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Overall performance  " sheetId="1" r:id="rId4"/>
    <sheet state="hidden" name="Details follow" sheetId="2" r:id="rId5"/>
    <sheet state="visible" name="Overall Performance" sheetId="3" r:id="rId6"/>
    <sheet state="visible" name="Source Detail Flow" sheetId="4" r:id="rId7"/>
    <sheet state="visible" name="Projects Detail Flow" sheetId="5" r:id="rId8"/>
    <sheet state="visible" name="Cinema Hub" sheetId="6" r:id="rId9"/>
    <sheet state="visible" name="Financial Hub" sheetId="7" r:id="rId10"/>
    <sheet state="visible" name="Structure" sheetId="8" r:id="rId11"/>
  </sheets>
  <definedNames/>
  <calcPr/>
  <extLst>
    <ext uri="GoogleSheetsCustomDataVersion2">
      <go:sheetsCustomData xmlns:go="http://customooxmlschemas.google.com/" r:id="rId12" roundtripDataChecksum="1e+i5fhD2pV8ivoIR9zGJbUmtbNosLCuSXL2Ggk+hfc="/>
    </ext>
  </extLst>
</workbook>
</file>

<file path=xl/sharedStrings.xml><?xml version="1.0" encoding="utf-8"?>
<sst xmlns="http://schemas.openxmlformats.org/spreadsheetml/2006/main" count="376" uniqueCount="158">
  <si>
    <t>KỊCH BẢN 4M (tạm tính) =&gt; Cần breakdown theo tháng để có target follow và Actual tracking perf monthly =&gt; Góc overview</t>
  </si>
  <si>
    <t>UTD 23/08/2026</t>
  </si>
  <si>
    <t>Project Group</t>
  </si>
  <si>
    <t>Full Month</t>
  </si>
  <si>
    <t>Góc view để so sánh và nhìn trend theo cùng kỳ và full month theo perf của từng nhóm để xem impact và perf</t>
  </si>
  <si>
    <t xml:space="preserve">Update to: </t>
  </si>
  <si>
    <t>Month to Date</t>
  </si>
  <si>
    <t>Target</t>
  </si>
  <si>
    <t>Total page views (traffic)</t>
  </si>
  <si>
    <t xml:space="preserve">    Net add</t>
  </si>
  <si>
    <t>Vs. SPLM</t>
  </si>
  <si>
    <t>Full month</t>
  </si>
  <si>
    <t>Kịch bản 4M</t>
  </si>
  <si>
    <t>Vs. LM</t>
  </si>
  <si>
    <t>Jan</t>
  </si>
  <si>
    <t>Feb</t>
  </si>
  <si>
    <t>Mar</t>
  </si>
  <si>
    <t>Apr</t>
  </si>
  <si>
    <t>May</t>
  </si>
  <si>
    <t>Jun</t>
  </si>
  <si>
    <t xml:space="preserve">   % Growth Rate</t>
  </si>
  <si>
    <t>Traffic (Page Views)</t>
  </si>
  <si>
    <t>Jul</t>
  </si>
  <si>
    <t>Aug</t>
  </si>
  <si>
    <t>Sep</t>
  </si>
  <si>
    <t>Oct</t>
  </si>
  <si>
    <t>Nov</t>
  </si>
  <si>
    <t>Dec</t>
  </si>
  <si>
    <t>Organic</t>
  </si>
  <si>
    <t>Paid</t>
  </si>
  <si>
    <t>Direct</t>
  </si>
  <si>
    <t>Cross</t>
  </si>
  <si>
    <t xml:space="preserve">   Net change</t>
  </si>
  <si>
    <t>Referral</t>
  </si>
  <si>
    <t>Others</t>
  </si>
  <si>
    <t xml:space="preserve">  Growth Rate (%)</t>
  </si>
  <si>
    <t>Actual</t>
  </si>
  <si>
    <t>Paids</t>
  </si>
  <si>
    <t xml:space="preserve">Social </t>
  </si>
  <si>
    <t xml:space="preserve">  Net change</t>
  </si>
  <si>
    <t>SEO</t>
  </si>
  <si>
    <t>Total page views</t>
  </si>
  <si>
    <t>Blog</t>
  </si>
  <si>
    <t xml:space="preserve">   % Target Rate</t>
  </si>
  <si>
    <t xml:space="preserve">   Net add</t>
  </si>
  <si>
    <t xml:space="preserve">  % Growth Rate</t>
  </si>
  <si>
    <t>Cinema Hub</t>
  </si>
  <si>
    <t>….....</t>
  </si>
  <si>
    <t>Financial Hub</t>
  </si>
  <si>
    <t>%Organic</t>
  </si>
  <si>
    <t>%Paid</t>
  </si>
  <si>
    <t>%Direct</t>
  </si>
  <si>
    <t>%Cross</t>
  </si>
  <si>
    <t>…..</t>
  </si>
  <si>
    <t>%Referral</t>
  </si>
  <si>
    <t>%Others</t>
  </si>
  <si>
    <t>Notes</t>
  </si>
  <si>
    <r>
      <rPr>
        <rFont val="Momo Trust Sans"/>
        <b/>
        <color theme="1"/>
        <sz val="10.0"/>
      </rPr>
      <t xml:space="preserve">Organic Search: </t>
    </r>
    <r>
      <rPr>
        <rFont val="Momo Trust Sans"/>
        <color theme="1"/>
        <sz val="10.0"/>
      </rPr>
      <t>Người dùng tìm kiếm từ khóa trên Google / Cốc Cốc và bấm vào kết quả hiển thị tự nhiên</t>
    </r>
  </si>
  <si>
    <r>
      <rPr>
        <rFont val="Momo Trust Sans"/>
        <b/>
        <color theme="1"/>
        <sz val="10.0"/>
      </rPr>
      <t xml:space="preserve">Paid Other: </t>
    </r>
    <r>
      <rPr>
        <rFont val="Momo Trust Sans"/>
        <color theme="1"/>
        <sz val="10.0"/>
      </rPr>
      <t>Lưu lượng từ các chiến dịch quảng cáo trả phí khác (quảng cáo đối tác liên kết, tài trợ Affiliate).</t>
    </r>
  </si>
  <si>
    <r>
      <rPr>
        <rFont val="Momo Trust Sans"/>
        <b/>
        <color theme="1"/>
        <sz val="10.0"/>
      </rPr>
      <t xml:space="preserve">Paid Search: </t>
    </r>
    <r>
      <rPr>
        <rFont val="Momo Trust Sans"/>
        <color theme="1"/>
        <sz val="10.0"/>
      </rPr>
      <t>Người dùng tìm kiếm trên Google và bấm vào kết quả quảng cáo tìm kiếm trả tiền (Google Search Ads).</t>
    </r>
  </si>
  <si>
    <r>
      <rPr>
        <rFont val="Momo Trust Sans"/>
        <b/>
        <color theme="1"/>
        <sz val="10.0"/>
      </rPr>
      <t xml:space="preserve">Paid Social: </t>
    </r>
    <r>
      <rPr>
        <rFont val="Momo Trust Sans"/>
        <color theme="1"/>
        <sz val="10.0"/>
      </rPr>
      <t>Khách bấm vào các bài viết / video chạy quảng cáo trả tiền trên Facebook Ads, TikTok Ads.</t>
    </r>
  </si>
  <si>
    <r>
      <rPr>
        <rFont val="Momo Trust Sans"/>
        <b/>
        <color theme="1"/>
        <sz val="10.0"/>
      </rPr>
      <t xml:space="preserve">Referral Domain: </t>
    </r>
    <r>
      <rPr>
        <rFont val="Momo Trust Sans"/>
        <color theme="1"/>
        <sz val="10.0"/>
      </rPr>
      <t>Lượng truy cập từ người dùng bấm vào link momo.vn đặt trên các website bên ngoài (bài báo PR VnExpress/CafeF, website đối tác ngân hàng/rạp phim, diễn đàn).</t>
    </r>
  </si>
  <si>
    <r>
      <rPr>
        <rFont val="Momo Trust Sans"/>
        <b/>
        <color theme="1"/>
        <sz val="10.0"/>
      </rPr>
      <t>AI Referrals:</t>
    </r>
    <r>
      <rPr>
        <rFont val="Momo Trust Sans"/>
        <color theme="1"/>
        <sz val="10.0"/>
      </rPr>
      <t xml:space="preserve"> Người dùng hỏi các công cụ AI (ChatGPT, Perplexity, Claude, Gemini) và bấm vào đường link trích dẫn nguồn momo.vn.</t>
    </r>
  </si>
  <si>
    <r>
      <rPr>
        <rFont val="Momo Trust Sans"/>
        <b/>
        <color theme="1"/>
        <sz val="10.0"/>
      </rPr>
      <t>App Referral:</t>
    </r>
    <r>
      <rPr>
        <rFont val="Momo Trust Sans"/>
        <color theme="1"/>
        <sz val="10.0"/>
      </rPr>
      <t xml:space="preserve"> Người dùng đang mở các ứng dụng trên điện thoại (đặc biệt là App MoMo, Zalo, Gmail) bấm link mở trang web momo.vn.</t>
    </r>
  </si>
  <si>
    <r>
      <rPr>
        <rFont val="Momo Trust Sans"/>
        <b/>
        <color theme="1"/>
        <sz val="10.0"/>
      </rPr>
      <t>Direct:</t>
    </r>
    <r>
      <rPr>
        <rFont val="Momo Trust Sans"/>
        <color theme="1"/>
        <sz val="10.0"/>
      </rPr>
      <t xml:space="preserve"> Người dùng tự gõ momo.vn vào trình duyệt, mở từ dấu trang (Bookmark), hoặc link không có nguồn trích dẫn.</t>
    </r>
  </si>
  <si>
    <r>
      <rPr>
        <rFont val="Momo Trust Sans"/>
        <b/>
        <color theme="1"/>
        <sz val="10.0"/>
      </rPr>
      <t>Cross-network:</t>
    </r>
    <r>
      <rPr>
        <rFont val="Momo Trust Sans"/>
        <color theme="1"/>
        <sz val="10.0"/>
      </rPr>
      <t xml:space="preserve"> Khách truy cập từ các chiến dịch quảng cáo đa kênh tự động của Google (Google Performance Max / PMax).</t>
    </r>
  </si>
  <si>
    <t>Other</t>
  </si>
  <si>
    <r>
      <rPr>
        <rFont val="Momo Trust Sans"/>
        <b/>
        <color theme="1"/>
        <sz val="10.0"/>
      </rPr>
      <t>Display:</t>
    </r>
    <r>
      <rPr>
        <rFont val="Momo Trust Sans"/>
        <color theme="1"/>
        <sz val="10.0"/>
      </rPr>
      <t xml:space="preserve"> Người dùng bấm vào các banner hình ảnh quảng cáo trên mạng lưới Google Display Network (GDN).</t>
    </r>
  </si>
  <si>
    <r>
      <rPr>
        <rFont val="Momo Trust Sans"/>
        <b/>
        <color theme="1"/>
        <sz val="10.0"/>
      </rPr>
      <t xml:space="preserve">Email: </t>
    </r>
    <r>
      <rPr>
        <rFont val="Momo Trust Sans"/>
        <color theme="1"/>
        <sz val="10.0"/>
      </rPr>
      <t>Khách bấm vào đường link đính kèm trong các email tin tức hoặc email marketing của MoMo.</t>
    </r>
  </si>
  <si>
    <t>Metrics</t>
  </si>
  <si>
    <t>Page views (Actual)</t>
  </si>
  <si>
    <t>Page view by Project</t>
  </si>
  <si>
    <t>Phạt nguội</t>
  </si>
  <si>
    <t>Home Page</t>
  </si>
  <si>
    <t>Tiktok</t>
  </si>
  <si>
    <t>Vay Nhanh</t>
  </si>
  <si>
    <t>Điểm Tín Dụng</t>
  </si>
  <si>
    <t>Ví Trả Sau</t>
  </si>
  <si>
    <t>Túi Thần Tài</t>
  </si>
  <si>
    <t>Mở Thẻ Tín Dụng</t>
  </si>
  <si>
    <t>Trả Góp Apple</t>
  </si>
  <si>
    <t>Chứng Khoán</t>
  </si>
  <si>
    <t>Tiết Kiệm Online</t>
  </si>
  <si>
    <t>Thanh Toán Thẻ Tín Dụng</t>
  </si>
  <si>
    <t>Chứng Chỉ Quỹ</t>
  </si>
  <si>
    <t>Sàn Đầu Tư</t>
  </si>
  <si>
    <t>Game</t>
  </si>
  <si>
    <t>Bảo hiểm ô tô</t>
  </si>
  <si>
    <t>Bảo hiểm xe máy</t>
  </si>
  <si>
    <t>Bảo hiểm y tế</t>
  </si>
  <si>
    <t xml:space="preserve">%Page view by Project
= PV project / PV total </t>
  </si>
  <si>
    <t>%Home Page</t>
  </si>
  <si>
    <t>%Cinema Hub</t>
  </si>
  <si>
    <t>%Financial Hub</t>
  </si>
  <si>
    <t>%Tiktok</t>
  </si>
  <si>
    <t>%Phạt nguội</t>
  </si>
  <si>
    <t>%Game</t>
  </si>
  <si>
    <t>Project</t>
  </si>
  <si>
    <t>Update to:  23</t>
  </si>
  <si>
    <t>VS. SPLM</t>
  </si>
  <si>
    <t>VS. LM</t>
  </si>
  <si>
    <t>%gap</t>
  </si>
  <si>
    <t>%growth</t>
  </si>
  <si>
    <t>Target = A</t>
  </si>
  <si>
    <t>%Gap = Target / Recent</t>
  </si>
  <si>
    <t>Cinema_Rạp Phim</t>
  </si>
  <si>
    <t>%Growth = [(%Gap)^(1/month)] - 1</t>
  </si>
  <si>
    <t>Market: 4.203.090</t>
  </si>
  <si>
    <t>Forecast_t+1 = t * (1 + %Growth)</t>
  </si>
  <si>
    <t>Cinema_Phim Chi Tiết</t>
  </si>
  <si>
    <t>Market: 1.743.000</t>
  </si>
  <si>
    <t>Cinema_Blog</t>
  </si>
  <si>
    <t>Market: 3.142.000</t>
  </si>
  <si>
    <t>Cinema_Lịch Chiếu</t>
  </si>
  <si>
    <t>Market: 160.000</t>
  </si>
  <si>
    <t>Cinema_News</t>
  </si>
  <si>
    <t>Cinema_Landing Page</t>
  </si>
  <si>
    <t xml:space="preserve">   Growth Rate (%)</t>
  </si>
  <si>
    <t>Market: 2,132,450</t>
  </si>
  <si>
    <t>Market: 339.000</t>
  </si>
  <si>
    <t>Market: 609,990</t>
  </si>
  <si>
    <t>Market: N/A</t>
  </si>
  <si>
    <t>Market: &lt;1,000</t>
  </si>
  <si>
    <t>Market: 2,900,000</t>
  </si>
  <si>
    <t>Market: 203,000</t>
  </si>
  <si>
    <t>Market: 21,200</t>
  </si>
  <si>
    <t>Potential Market</t>
  </si>
  <si>
    <t>Market Giá Vàng: 78,000,000</t>
  </si>
  <si>
    <t>Market Tỷ Giá: 8,500,000</t>
  </si>
  <si>
    <t>Market Tính Lương: 40,000</t>
  </si>
  <si>
    <t>Market Lãi Suất: 1,237,000</t>
  </si>
  <si>
    <t>Market Đầu Tư: 22,720</t>
  </si>
  <si>
    <t>Market Thuế TNCN: 283,000</t>
  </si>
  <si>
    <t>Est Total: 88,082,720</t>
  </si>
  <si>
    <r>
      <rPr>
        <rFont val="Arial"/>
        <b/>
        <color rgb="FF000000"/>
        <sz val="13.0"/>
      </rPr>
      <t>Structure này chỉ là ví dụ, team Web Platform có thể điều chỉnh logic/ định nghĩa, nhưng đây là bức tranh tổng thể, trước mắt focus vào đầu phễu (Mục 1) =&gt;</t>
    </r>
    <r>
      <rPr>
        <rFont val="Arial"/>
        <b/>
        <color rgb="FFFF0000"/>
        <sz val="13.0"/>
      </rPr>
      <t xml:space="preserve"> Làm sao về 4M vào tháng 12/2026?</t>
    </r>
  </si>
  <si>
    <t>Key Metrics</t>
  </si>
  <si>
    <t>Ý Nghĩa</t>
  </si>
  <si>
    <t>1. Tổng Page Views</t>
  </si>
  <si>
    <t>Tổng lượt xem trang từ TẤT CẢ nguồn (Organic, Paid, Direct, Social, Others)</t>
  </si>
  <si>
    <t>2. Net Add</t>
  </si>
  <si>
    <t>Lượng traffic mới thêm vào tháng này so với tháng trước. Chỉ báo efforts có working không</t>
  </si>
  <si>
    <t>3. Growth Rate (%)</t>
  </si>
  <si>
    <t>Phần trăm tăng trưởng traffic tuần/tháng. Mục tiêu: &gt;.... là healthy?</t>
  </si>
  <si>
    <t>4. Source Breakdown (%)</t>
  </si>
  <si>
    <t>Bao nhiêu % traffic đến từ mỗi source (Chỉ báo channels nào strongest, có thể quy định tì lệ?)</t>
  </si>
  <si>
    <t>5. Net Change per Source</t>
  </si>
  <si>
    <t>Traffic từ 1 source tăng/giảm so với tháng trước. Chỉ báo source nào growing/declining</t>
  </si>
  <si>
    <t>6. Pages cho use case</t>
  </si>
  <si>
    <t>Team Web tạo pages (Staking, Swap, Portfolio,..). Mỗi page nhận traffic từ Organic, Paid, Social,... Có thể show page nào hot, nào cần optimize?</t>
  </si>
  <si>
    <t>SPLM (Same Period Last Month)</t>
  </si>
  <si>
    <t>Khái niệm</t>
  </si>
  <si>
    <t>So sánh tháng hiện tại với tuần/tháng cùng kì tháng trước</t>
  </si>
  <si>
    <t>Tại sao?</t>
  </si>
  <si>
    <t>Loại bỏ seasonal factors - tránh nhầm lẫn vì yếu tố mùa vụ</t>
  </si>
  <si>
    <t>FULL MONTH (Toàn bộ tháng)</t>
  </si>
  <si>
    <t>Ý nghĩa</t>
  </si>
  <si>
    <t>Nhìn toàn cảnh tháng đó - So sánh với target &amp; tháng trước</t>
  </si>
  <si>
    <t>Total page views, Net add, Growth Rate, Source breakdown, vs Target, vs Previous 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</si>
</sst>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&quot; &quot;yy"/>
    <numFmt numFmtId="165" formatCode="0.0%"/>
    <numFmt numFmtId="166" formatCode="_(* #,##0_);_(* \(#,##0\);_(* &quot;-&quot;??_);_(@_)"/>
    <numFmt numFmtId="167" formatCode="yyyy-mm-dd"/>
  </numFmts>
  <fonts count="49">
    <font>
      <sz val="10.0"/>
      <color rgb="FF000000"/>
      <name val="Arial"/>
      <scheme val="minor"/>
    </font>
    <font>
      <sz val="13.0"/>
      <color rgb="FF000000"/>
      <name val="Arial"/>
    </font>
    <font>
      <b/>
      <sz val="12.0"/>
      <color rgb="FF000000"/>
      <name val="Arial"/>
      <scheme val="minor"/>
    </font>
    <font>
      <b/>
      <sz val="11.0"/>
      <color rgb="FFFFFFFF"/>
      <name val="Arial"/>
    </font>
    <font>
      <b/>
      <sz val="12.0"/>
      <color rgb="FFFFFFFF"/>
      <name val="Arial"/>
      <scheme val="minor"/>
    </font>
    <font>
      <sz val="11.0"/>
      <color rgb="FF000000"/>
      <name val="Arial"/>
    </font>
    <font>
      <sz val="12.0"/>
      <color rgb="FFFFFFFF"/>
      <name val="Arial"/>
      <scheme val="minor"/>
    </font>
    <font>
      <sz val="12.0"/>
      <color theme="1"/>
      <name val="Arial"/>
      <scheme val="minor"/>
    </font>
    <font>
      <i/>
      <sz val="12.0"/>
      <color rgb="FF000000"/>
      <name val="Arial"/>
      <scheme val="minor"/>
    </font>
    <font>
      <b/>
      <sz val="11.0"/>
      <color rgb="FF000000"/>
      <name val="Arial"/>
    </font>
    <font>
      <sz val="11.0"/>
      <color rgb="FFFFFFFF"/>
      <name val="Arial"/>
    </font>
    <font>
      <b/>
      <sz val="13.0"/>
      <color theme="0"/>
      <name val="Arial"/>
    </font>
    <font>
      <i/>
      <sz val="12.0"/>
      <color theme="1"/>
      <name val="Arial"/>
      <scheme val="minor"/>
    </font>
    <font/>
    <font>
      <b/>
      <sz val="13.0"/>
      <color rgb="FF000000"/>
      <name val="Arial"/>
    </font>
    <font>
      <b/>
      <sz val="11.0"/>
      <color theme="1"/>
      <name val="Arial"/>
    </font>
    <font>
      <i/>
      <sz val="11.0"/>
      <color theme="1"/>
      <name val="Arial"/>
    </font>
    <font>
      <i/>
      <sz val="11.0"/>
      <color rgb="FF000000"/>
      <name val="Arial"/>
    </font>
    <font>
      <b/>
      <i/>
      <sz val="11.0"/>
      <color theme="1"/>
      <name val="Arial"/>
    </font>
    <font>
      <i/>
      <sz val="13.0"/>
      <color rgb="FF000000"/>
      <name val="Arial"/>
    </font>
    <font>
      <b/>
      <i/>
      <sz val="11.0"/>
      <color rgb="FFFFFFFF"/>
      <name val="Arial"/>
    </font>
    <font>
      <sz val="11.0"/>
      <color theme="1"/>
      <name val="Arial"/>
    </font>
    <font>
      <b/>
      <i/>
      <sz val="11.0"/>
      <color rgb="FF0B5394"/>
      <name val="Arial"/>
    </font>
    <font>
      <b/>
      <sz val="11.0"/>
      <color rgb="FF0B5394"/>
      <name val="Arial"/>
    </font>
    <font>
      <i/>
      <sz val="11.0"/>
      <color rgb="FF0B5394"/>
      <name val="Arial"/>
    </font>
    <font>
      <i/>
      <sz val="12.0"/>
      <color rgb="FF666666"/>
      <name val="Arial"/>
    </font>
    <font>
      <sz val="12.0"/>
      <color rgb="FF666666"/>
      <name val="Arial"/>
      <scheme val="minor"/>
    </font>
    <font>
      <sz val="12.0"/>
      <color theme="1"/>
      <name val="Momo Trust Sans"/>
    </font>
    <font>
      <b/>
      <i/>
      <sz val="12.0"/>
      <color theme="1"/>
      <name val="Momo Trust Sans"/>
    </font>
    <font>
      <b/>
      <sz val="10.0"/>
      <color rgb="FFFF0000"/>
      <name val="Arial"/>
      <scheme val="minor"/>
    </font>
    <font>
      <sz val="10.0"/>
      <color theme="1"/>
      <name val="Momo Trust Sans"/>
    </font>
    <font>
      <b/>
      <color theme="1"/>
      <name val="Arial"/>
      <scheme val="minor"/>
    </font>
    <font>
      <sz val="11.0"/>
      <color rgb="FF0B5394"/>
      <name val="Arial"/>
    </font>
    <font>
      <sz val="11.0"/>
      <color theme="1"/>
      <name val="Arial"/>
      <scheme val="minor"/>
    </font>
    <font>
      <i/>
      <sz val="11.0"/>
      <color theme="1"/>
      <name val="Arial"/>
      <scheme val="minor"/>
    </font>
    <font>
      <i/>
      <sz val="11.0"/>
      <color rgb="FF999999"/>
      <name val="Arial"/>
      <scheme val="minor"/>
    </font>
    <font>
      <sz val="11.0"/>
      <color rgb="FF999999"/>
      <name val="Arial"/>
    </font>
    <font>
      <i/>
      <sz val="11.0"/>
      <color rgb="FF999999"/>
      <name val="Arial"/>
    </font>
    <font>
      <b/>
      <sz val="11.0"/>
      <color rgb="FFFFFFFF"/>
      <name val="Momo Trust Sans"/>
    </font>
    <font>
      <b/>
      <sz val="11.0"/>
      <color theme="1"/>
      <name val="Momo Trust Sans"/>
    </font>
    <font>
      <sz val="11.0"/>
      <color theme="1"/>
      <name val="Momo Trust Sans"/>
    </font>
    <font>
      <i/>
      <sz val="11.0"/>
      <color theme="1"/>
      <name val="Momo Trust Sans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0.0"/>
      <color rgb="FFFFFFFF"/>
      <name val="Momo Trust Sans"/>
    </font>
    <font>
      <sz val="10.0"/>
      <color rgb="FF000000"/>
      <name val="Arial"/>
    </font>
    <font>
      <b/>
      <sz val="12.0"/>
      <color rgb="FFFFFFFF"/>
      <name val="Calibri"/>
    </font>
    <font>
      <b/>
      <sz val="12.0"/>
      <color theme="1"/>
      <name val="Calibri"/>
    </font>
    <font>
      <sz val="12.0"/>
      <color rgb="FF000000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73763"/>
        <bgColor rgb="FF073763"/>
      </patternFill>
    </fill>
    <fill>
      <patternFill patternType="solid">
        <fgColor rgb="FF4A86E8"/>
        <bgColor rgb="FF4A86E8"/>
      </patternFill>
    </fill>
    <fill>
      <patternFill patternType="solid">
        <fgColor rgb="FF666666"/>
        <bgColor rgb="FF666666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262626"/>
        <bgColor rgb="FF262626"/>
      </patternFill>
    </fill>
    <fill>
      <patternFill patternType="solid">
        <fgColor rgb="FF3D85C6"/>
        <bgColor rgb="FF3D85C6"/>
      </patternFill>
    </fill>
    <fill>
      <patternFill patternType="solid">
        <fgColor rgb="FFD9D9D9"/>
        <bgColor rgb="FFD9D9D9"/>
      </patternFill>
    </fill>
    <fill>
      <patternFill patternType="solid">
        <fgColor rgb="FF6AA84F"/>
        <bgColor rgb="FF6AA84F"/>
      </patternFill>
    </fill>
    <fill>
      <patternFill patternType="solid">
        <fgColor rgb="FF2F9299"/>
        <bgColor rgb="FF2F9299"/>
      </patternFill>
    </fill>
    <fill>
      <patternFill patternType="solid">
        <fgColor rgb="FFCFE2F3"/>
        <bgColor rgb="FFCFE2F3"/>
      </patternFill>
    </fill>
    <fill>
      <patternFill patternType="solid">
        <fgColor rgb="FF34A853"/>
        <bgColor rgb="FF34A853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FF6B6B"/>
        <bgColor rgb="FFFF6B6B"/>
      </patternFill>
    </fill>
    <fill>
      <patternFill patternType="solid">
        <fgColor rgb="FFFFF2CC"/>
        <bgColor rgb="FFFFF2CC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10">
    <border/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/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horizontal="center" shrinkToFit="0" vertical="center" wrapText="1"/>
    </xf>
    <xf borderId="0" fillId="4" fontId="4" numFmtId="0" xfId="0" applyAlignment="1" applyFill="1" applyFont="1">
      <alignment readingOrder="0"/>
    </xf>
    <xf borderId="1" fillId="2" fontId="5" numFmtId="0" xfId="0" applyAlignment="1" applyBorder="1" applyFill="1" applyFont="1">
      <alignment readingOrder="0" vertical="center"/>
    </xf>
    <xf borderId="0" fillId="4" fontId="6" numFmtId="0" xfId="0" applyFill="1" applyFont="1"/>
    <xf borderId="1" fillId="3" fontId="3" numFmtId="164" xfId="0" applyAlignment="1" applyBorder="1" applyFill="1" applyFont="1" applyNumberFormat="1">
      <alignment horizontal="center" shrinkToFit="0" vertical="center" wrapText="1"/>
    </xf>
    <xf borderId="1" fillId="2" fontId="5" numFmtId="0" xfId="0" applyAlignment="1" applyBorder="1" applyFill="1" applyFont="1">
      <alignment vertical="center"/>
    </xf>
    <xf borderId="0" fillId="5" fontId="4" numFmtId="0" xfId="0" applyAlignment="1" applyFill="1" applyFont="1">
      <alignment readingOrder="0"/>
    </xf>
    <xf borderId="0" fillId="5" fontId="4" numFmtId="164" xfId="0" applyAlignment="1" applyFill="1" applyFont="1" applyNumberFormat="1">
      <alignment readingOrder="0"/>
    </xf>
    <xf borderId="0" fillId="0" fontId="5" numFmtId="0" xfId="0" applyAlignment="1" applyFont="1">
      <alignment vertical="center"/>
    </xf>
    <xf borderId="0" fillId="0" fontId="4" numFmtId="164" xfId="0" applyAlignment="1" applyFont="1" applyNumberFormat="1">
      <alignment readingOrder="0"/>
    </xf>
    <xf borderId="0" fillId="0" fontId="2" numFmtId="0" xfId="0" applyAlignment="1" applyFont="1">
      <alignment vertical="center"/>
    </xf>
    <xf borderId="0" fillId="0" fontId="7" numFmtId="3" xfId="0" applyAlignment="1" applyFont="1" applyNumberFormat="1">
      <alignment readingOrder="0"/>
    </xf>
    <xf borderId="0" fillId="0" fontId="1" numFmtId="0" xfId="0" applyFont="1"/>
    <xf borderId="0" fillId="6" fontId="7" numFmtId="3" xfId="0" applyAlignment="1" applyFill="1" applyFont="1" applyNumberFormat="1">
      <alignment readingOrder="0"/>
    </xf>
    <xf borderId="0" fillId="4" fontId="7" numFmtId="0" xfId="0" applyFill="1" applyFont="1"/>
    <xf borderId="0" fillId="0" fontId="7" numFmtId="0" xfId="0" applyFont="1"/>
    <xf borderId="0" fillId="0" fontId="8" numFmtId="0" xfId="0" applyAlignment="1" applyFont="1">
      <alignment vertical="center"/>
    </xf>
    <xf borderId="0" fillId="0" fontId="7" numFmtId="3" xfId="0" applyFont="1" applyNumberFormat="1"/>
    <xf borderId="1" fillId="7" fontId="9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2" fillId="8" fontId="11" numFmtId="0" xfId="0" applyAlignment="1" applyBorder="1" applyFill="1" applyFont="1">
      <alignment vertical="center"/>
    </xf>
    <xf borderId="1" fillId="3" fontId="10" numFmtId="0" xfId="0" applyAlignment="1" applyBorder="1" applyFill="1" applyFont="1">
      <alignment horizontal="center" shrinkToFit="0" vertical="center" wrapText="1"/>
    </xf>
    <xf borderId="0" fillId="0" fontId="12" numFmtId="0" xfId="0" applyFont="1"/>
    <xf borderId="3" fillId="9" fontId="3" numFmtId="0" xfId="0" applyAlignment="1" applyBorder="1" applyFill="1" applyFont="1">
      <alignment vertical="center"/>
    </xf>
    <xf borderId="4" fillId="0" fontId="13" numFmtId="0" xfId="0" applyBorder="1" applyFont="1"/>
    <xf borderId="0" fillId="0" fontId="1" numFmtId="0" xfId="0" applyAlignment="1" applyFont="1">
      <alignment vertical="center"/>
    </xf>
    <xf borderId="0" fillId="0" fontId="12" numFmtId="165" xfId="0" applyFont="1" applyNumberFormat="1"/>
    <xf borderId="1" fillId="7" fontId="9" numFmtId="0" xfId="0" applyAlignment="1" applyBorder="1" applyFill="1" applyFont="1">
      <alignment horizontal="center" readingOrder="0" shrinkToFit="0" vertical="center" wrapText="1"/>
    </xf>
    <xf borderId="0" fillId="0" fontId="14" numFmtId="0" xfId="0" applyAlignment="1" applyFont="1">
      <alignment vertical="center"/>
    </xf>
    <xf borderId="1" fillId="9" fontId="3" numFmtId="0" xfId="0" applyAlignment="1" applyBorder="1" applyFill="1" applyFont="1">
      <alignment vertical="center"/>
    </xf>
    <xf borderId="0" fillId="0" fontId="8" numFmtId="0" xfId="0" applyAlignment="1" applyFont="1">
      <alignment horizontal="right" readingOrder="0" vertical="center"/>
    </xf>
    <xf borderId="0" fillId="10" fontId="7" numFmtId="3" xfId="0" applyFill="1" applyFont="1" applyNumberFormat="1"/>
    <xf borderId="0" fillId="0" fontId="15" numFmtId="0" xfId="0" applyAlignment="1" applyFont="1">
      <alignment vertical="center"/>
    </xf>
    <xf borderId="1" fillId="9" fontId="3" numFmtId="3" xfId="0" applyAlignment="1" applyBorder="1" applyFill="1" applyFont="1" applyNumberFormat="1">
      <alignment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1" numFmtId="3" xfId="0" applyAlignment="1" applyFont="1" applyNumberFormat="1">
      <alignment vertical="center"/>
    </xf>
    <xf borderId="0" fillId="0" fontId="18" numFmtId="0" xfId="0" applyAlignment="1" applyFont="1">
      <alignment vertical="center"/>
    </xf>
    <xf borderId="1" fillId="7" fontId="9" numFmtId="3" xfId="0" applyAlignment="1" applyBorder="1" applyFill="1" applyFont="1" applyNumberFormat="1">
      <alignment horizontal="right" vertical="center"/>
    </xf>
    <xf borderId="0" fillId="0" fontId="19" numFmtId="0" xfId="0" applyAlignment="1" applyFont="1">
      <alignment vertical="center"/>
    </xf>
    <xf borderId="1" fillId="0" fontId="3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1" fillId="9" fontId="3" numFmtId="3" xfId="0" applyAlignment="1" applyBorder="1" applyFill="1" applyFont="1" applyNumberFormat="1">
      <alignment readingOrder="0" vertical="center"/>
    </xf>
    <xf borderId="0" fillId="0" fontId="1" numFmtId="166" xfId="0" applyAlignment="1" applyFont="1" applyNumberFormat="1">
      <alignment vertical="center"/>
    </xf>
    <xf borderId="0" fillId="11" fontId="4" numFmtId="0" xfId="0" applyAlignment="1" applyFill="1" applyFont="1">
      <alignment readingOrder="0"/>
    </xf>
    <xf borderId="0" fillId="7" fontId="15" numFmtId="3" xfId="0" applyAlignment="1" applyFill="1" applyFont="1" applyNumberFormat="1">
      <alignment horizontal="right" vertical="center"/>
    </xf>
    <xf borderId="0" fillId="11" fontId="4" numFmtId="164" xfId="0" applyAlignment="1" applyFill="1" applyFont="1" applyNumberFormat="1">
      <alignment readingOrder="0"/>
    </xf>
    <xf borderId="0" fillId="0" fontId="21" numFmtId="165" xfId="0" applyAlignment="1" applyFont="1" applyNumberFormat="1">
      <alignment vertical="center"/>
    </xf>
    <xf borderId="0" fillId="0" fontId="1" numFmtId="0" xfId="0" applyAlignment="1" applyFont="1">
      <alignment horizontal="right" vertical="center"/>
    </xf>
    <xf borderId="0" fillId="0" fontId="18" numFmtId="3" xfId="0" applyAlignment="1" applyFont="1" applyNumberFormat="1">
      <alignment vertical="center"/>
    </xf>
    <xf borderId="0" fillId="7" fontId="18" numFmtId="3" xfId="0" applyAlignment="1" applyFill="1" applyFont="1" applyNumberFormat="1">
      <alignment horizontal="right" vertical="center"/>
    </xf>
    <xf borderId="0" fillId="0" fontId="16" numFmtId="165" xfId="0" applyAlignment="1" applyFont="1" applyNumberFormat="1">
      <alignment vertical="center"/>
    </xf>
    <xf borderId="0" fillId="6" fontId="7" numFmtId="3" xfId="0" applyFill="1" applyFont="1" applyNumberFormat="1"/>
    <xf borderId="0" fillId="7" fontId="16" numFmtId="165" xfId="0" applyAlignment="1" applyFill="1" applyFont="1" applyNumberFormat="1">
      <alignment horizontal="right" vertical="center"/>
    </xf>
    <xf borderId="2" fillId="12" fontId="11" numFmtId="0" xfId="0" applyAlignment="1" applyBorder="1" applyFill="1" applyFont="1">
      <alignment vertical="center"/>
    </xf>
    <xf borderId="0" fillId="0" fontId="5" numFmtId="3" xfId="0" applyAlignment="1" applyFont="1" applyNumberFormat="1">
      <alignment vertical="center"/>
    </xf>
    <xf borderId="0" fillId="0" fontId="5" numFmtId="3" xfId="0" applyAlignment="1" applyFont="1" applyNumberFormat="1">
      <alignment horizontal="right" vertical="center"/>
    </xf>
    <xf borderId="0" fillId="0" fontId="15" numFmtId="3" xfId="0" applyAlignment="1" applyFont="1" applyNumberFormat="1">
      <alignment horizontal="right" vertical="center"/>
    </xf>
    <xf borderId="0" fillId="6" fontId="12" numFmtId="165" xfId="0" applyFill="1" applyFont="1" applyNumberFormat="1"/>
    <xf borderId="0" fillId="0" fontId="9" numFmtId="0" xfId="0" applyAlignment="1" applyFont="1">
      <alignment vertical="center"/>
    </xf>
    <xf borderId="0" fillId="0" fontId="9" numFmtId="3" xfId="0" applyAlignment="1" applyFont="1" applyNumberFormat="1">
      <alignment vertical="center"/>
    </xf>
    <xf borderId="0" fillId="0" fontId="7" numFmtId="165" xfId="0" applyFont="1" applyNumberFormat="1"/>
    <xf borderId="0" fillId="7" fontId="9" numFmtId="3" xfId="0" applyAlignment="1" applyFill="1" applyFont="1" applyNumberFormat="1">
      <alignment horizontal="right" vertical="center"/>
    </xf>
    <xf borderId="0" fillId="0" fontId="8" numFmtId="0" xfId="0" applyAlignment="1" applyFont="1">
      <alignment readingOrder="0" vertical="center"/>
    </xf>
    <xf borderId="0" fillId="0" fontId="17" numFmtId="3" xfId="0" applyAlignment="1" applyFont="1" applyNumberFormat="1">
      <alignment vertical="center"/>
    </xf>
    <xf borderId="0" fillId="7" fontId="17" numFmtId="3" xfId="0" applyAlignment="1" applyFill="1" applyFont="1" applyNumberFormat="1">
      <alignment horizontal="right" vertical="center"/>
    </xf>
    <xf borderId="0" fillId="0" fontId="22" numFmtId="0" xfId="0" applyAlignment="1" applyFont="1">
      <alignment vertical="center"/>
    </xf>
    <xf borderId="0" fillId="0" fontId="23" numFmtId="0" xfId="0" applyAlignment="1" applyFont="1">
      <alignment readingOrder="0" vertical="center"/>
    </xf>
    <xf borderId="0" fillId="0" fontId="23" numFmtId="0" xfId="0" applyAlignment="1" applyFont="1">
      <alignment vertical="center"/>
    </xf>
    <xf borderId="0" fillId="0" fontId="23" numFmtId="3" xfId="0" applyAlignment="1" applyFont="1" applyNumberFormat="1">
      <alignment readingOrder="0" vertical="center"/>
    </xf>
    <xf borderId="0" fillId="7" fontId="23" numFmtId="3" xfId="0" applyAlignment="1" applyFill="1" applyFont="1" applyNumberFormat="1">
      <alignment horizontal="right" vertical="center"/>
    </xf>
    <xf borderId="0" fillId="0" fontId="22" numFmtId="3" xfId="0" applyAlignment="1" applyFont="1" applyNumberFormat="1">
      <alignment readingOrder="0" vertical="center"/>
    </xf>
    <xf borderId="0" fillId="0" fontId="15" numFmtId="0" xfId="0" applyAlignment="1" applyFont="1">
      <alignment shrinkToFit="0" vertical="center" wrapText="1"/>
    </xf>
    <xf borderId="0" fillId="0" fontId="24" numFmtId="0" xfId="0" applyAlignment="1" applyFont="1">
      <alignment vertical="center"/>
    </xf>
    <xf borderId="0" fillId="0" fontId="24" numFmtId="3" xfId="0" applyAlignment="1" applyFont="1" applyNumberFormat="1">
      <alignment vertical="center"/>
    </xf>
    <xf borderId="0" fillId="7" fontId="24" numFmtId="3" xfId="0" applyAlignment="1" applyFill="1" applyFont="1" applyNumberFormat="1">
      <alignment horizontal="right" vertical="center"/>
    </xf>
    <xf borderId="0" fillId="7" fontId="22" numFmtId="3" xfId="0" applyAlignment="1" applyFill="1" applyFont="1" applyNumberFormat="1">
      <alignment horizontal="right" vertical="center"/>
    </xf>
    <xf borderId="0" fillId="0" fontId="25" numFmtId="0" xfId="0" applyAlignment="1" applyFont="1">
      <alignment horizontal="right" readingOrder="0"/>
    </xf>
    <xf borderId="0" fillId="0" fontId="26" numFmtId="0" xfId="0" applyFont="1"/>
    <xf borderId="0" fillId="0" fontId="26" numFmtId="165" xfId="0" applyFont="1" applyNumberFormat="1"/>
    <xf borderId="0" fillId="7" fontId="5" numFmtId="3" xfId="0" applyAlignment="1" applyFill="1" applyFont="1" applyNumberFormat="1">
      <alignment horizontal="right" vertical="center"/>
    </xf>
    <xf borderId="0" fillId="0" fontId="27" numFmtId="0" xfId="0" applyAlignment="1" applyFont="1">
      <alignment readingOrder="0" vertical="bottom"/>
    </xf>
    <xf borderId="0" fillId="0" fontId="28" numFmtId="0" xfId="0" applyAlignment="1" applyFont="1">
      <alignment readingOrder="0" vertical="bottom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 vertical="bottom"/>
    </xf>
    <xf borderId="0" fillId="0" fontId="15" numFmtId="0" xfId="0" applyAlignment="1" applyFont="1">
      <alignment readingOrder="0" vertical="center"/>
    </xf>
    <xf borderId="0" fillId="0" fontId="31" numFmtId="0" xfId="0" applyFont="1"/>
    <xf borderId="0" fillId="0" fontId="32" numFmtId="0" xfId="0" applyAlignment="1" applyFont="1">
      <alignment vertical="center"/>
    </xf>
    <xf borderId="0" fillId="0" fontId="32" numFmtId="3" xfId="0" applyAlignment="1" applyFont="1" applyNumberFormat="1">
      <alignment vertical="center"/>
    </xf>
    <xf borderId="0" fillId="7" fontId="32" numFmtId="3" xfId="0" applyAlignment="1" applyFill="1" applyFont="1" applyNumberFormat="1">
      <alignment horizontal="right" vertical="center"/>
    </xf>
    <xf borderId="0" fillId="7" fontId="5" numFmtId="3" xfId="0" applyAlignment="1" applyFill="1" applyFont="1" applyNumberFormat="1">
      <alignment horizontal="center" vertical="center"/>
    </xf>
    <xf borderId="0" fillId="7" fontId="5" numFmtId="0" xfId="0" applyAlignment="1" applyFill="1" applyFont="1">
      <alignment horizontal="right" vertical="center"/>
    </xf>
    <xf borderId="0" fillId="7" fontId="5" numFmtId="0" xfId="0" applyAlignment="1" applyFill="1" applyFont="1">
      <alignment horizontal="center" vertical="center"/>
    </xf>
    <xf borderId="0" fillId="3" fontId="3" numFmtId="0" xfId="0" applyAlignment="1" applyFill="1" applyFont="1">
      <alignment horizontal="center"/>
    </xf>
    <xf borderId="0" fillId="3" fontId="3" numFmtId="164" xfId="0" applyAlignment="1" applyFill="1" applyFont="1" applyNumberFormat="1">
      <alignment horizontal="center"/>
    </xf>
    <xf borderId="0" fillId="3" fontId="21" numFmtId="0" xfId="0" applyFill="1" applyFont="1"/>
    <xf borderId="0" fillId="0" fontId="33" numFmtId="0" xfId="0" applyFont="1"/>
    <xf borderId="0" fillId="0" fontId="15" numFmtId="0" xfId="0" applyAlignment="1" applyFont="1">
      <alignment vertical="bottom"/>
    </xf>
    <xf borderId="0" fillId="0" fontId="21" numFmtId="3" xfId="0" applyAlignment="1" applyFont="1" applyNumberFormat="1">
      <alignment horizontal="right" vertical="bottom"/>
    </xf>
    <xf borderId="0" fillId="0" fontId="21" numFmtId="3" xfId="0" applyAlignment="1" applyFont="1" applyNumberFormat="1">
      <alignment horizontal="right" readingOrder="0" vertical="bottom"/>
    </xf>
    <xf borderId="0" fillId="0" fontId="21" numFmtId="3" xfId="0" applyAlignment="1" applyFont="1" applyNumberFormat="1">
      <alignment readingOrder="0" vertical="bottom"/>
    </xf>
    <xf borderId="0" fillId="0" fontId="21" numFmtId="4" xfId="0" applyAlignment="1" applyFont="1" applyNumberFormat="1">
      <alignment vertical="bottom"/>
    </xf>
    <xf borderId="0" fillId="0" fontId="21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21" numFmtId="3" xfId="0" applyAlignment="1" applyFont="1" applyNumberFormat="1">
      <alignment vertical="bottom"/>
    </xf>
    <xf borderId="0" fillId="0" fontId="21" numFmtId="165" xfId="0" applyAlignment="1" applyFont="1" applyNumberFormat="1">
      <alignment vertical="bottom"/>
    </xf>
    <xf borderId="0" fillId="0" fontId="18" numFmtId="3" xfId="0" applyAlignment="1" applyFont="1" applyNumberFormat="1">
      <alignment readingOrder="0" vertical="bottom"/>
    </xf>
    <xf borderId="0" fillId="13" fontId="18" numFmtId="3" xfId="0" applyAlignment="1" applyFill="1" applyFont="1" applyNumberFormat="1">
      <alignment readingOrder="0" vertical="bottom"/>
    </xf>
    <xf borderId="0" fillId="13" fontId="21" numFmtId="0" xfId="0" applyAlignment="1" applyFill="1" applyFont="1">
      <alignment vertical="bottom"/>
    </xf>
    <xf borderId="0" fillId="0" fontId="16" numFmtId="0" xfId="0" applyAlignment="1" applyFont="1">
      <alignment horizontal="left" vertical="bottom"/>
    </xf>
    <xf borderId="0" fillId="0" fontId="21" numFmtId="0" xfId="0" applyAlignment="1" applyFont="1">
      <alignment readingOrder="0" vertical="bottom"/>
    </xf>
    <xf borderId="0" fillId="0" fontId="16" numFmtId="0" xfId="0" applyAlignment="1" applyFont="1">
      <alignment horizontal="left" readingOrder="0" vertical="bottom"/>
    </xf>
    <xf borderId="0" fillId="0" fontId="34" numFmtId="0" xfId="0" applyAlignment="1" applyFont="1">
      <alignment horizontal="left" readingOrder="0"/>
    </xf>
    <xf borderId="0" fillId="0" fontId="35" numFmtId="0" xfId="0" applyAlignment="1" applyFont="1">
      <alignment horizontal="right"/>
    </xf>
    <xf borderId="0" fillId="0" fontId="36" numFmtId="0" xfId="0" applyAlignment="1" applyFont="1">
      <alignment vertical="bottom"/>
    </xf>
    <xf borderId="0" fillId="0" fontId="36" numFmtId="3" xfId="0" applyAlignment="1" applyFont="1" applyNumberFormat="1">
      <alignment vertical="bottom"/>
    </xf>
    <xf borderId="0" fillId="0" fontId="37" numFmtId="0" xfId="0" applyAlignment="1" applyFont="1">
      <alignment horizontal="right" vertical="bottom"/>
    </xf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readingOrder="0" vertical="bottom"/>
    </xf>
    <xf borderId="0" fillId="0" fontId="34" numFmtId="0" xfId="0" applyAlignment="1" applyFont="1">
      <alignment horizontal="right" readingOrder="0"/>
    </xf>
    <xf borderId="0" fillId="3" fontId="38" numFmtId="0" xfId="0" applyAlignment="1" applyFill="1" applyFont="1">
      <alignment readingOrder="0" vertical="center"/>
    </xf>
    <xf borderId="0" fillId="3" fontId="38" numFmtId="167" xfId="0" applyAlignment="1" applyFill="1" applyFont="1" applyNumberFormat="1">
      <alignment readingOrder="0" vertical="center"/>
    </xf>
    <xf borderId="0" fillId="0" fontId="39" numFmtId="0" xfId="0" applyAlignment="1" applyFont="1">
      <alignment readingOrder="0" vertical="center"/>
    </xf>
    <xf borderId="0" fillId="0" fontId="40" numFmtId="0" xfId="0" applyAlignment="1" applyFont="1">
      <alignment vertical="center"/>
    </xf>
    <xf borderId="0" fillId="3" fontId="38" numFmtId="0" xfId="0" applyAlignment="1" applyFill="1" applyFont="1">
      <alignment vertical="center"/>
    </xf>
    <xf borderId="0" fillId="14" fontId="38" numFmtId="167" xfId="0" applyAlignment="1" applyFill="1" applyFont="1" applyNumberFormat="1">
      <alignment readingOrder="0" vertical="center"/>
    </xf>
    <xf borderId="0" fillId="0" fontId="40" numFmtId="0" xfId="0" applyAlignment="1" applyFont="1">
      <alignment readingOrder="0" vertical="center"/>
    </xf>
    <xf borderId="0" fillId="0" fontId="40" numFmtId="0" xfId="0" applyAlignment="1" applyFont="1">
      <alignment vertical="center"/>
    </xf>
    <xf borderId="0" fillId="0" fontId="40" numFmtId="3" xfId="0" applyAlignment="1" applyFont="1" applyNumberFormat="1">
      <alignment readingOrder="0" vertical="center"/>
    </xf>
    <xf borderId="0" fillId="0" fontId="40" numFmtId="3" xfId="0" applyAlignment="1" applyFont="1" applyNumberFormat="1">
      <alignment vertical="center"/>
    </xf>
    <xf borderId="0" fillId="0" fontId="40" numFmtId="10" xfId="0" applyAlignment="1" applyFont="1" applyNumberFormat="1">
      <alignment vertical="center"/>
    </xf>
    <xf borderId="0" fillId="0" fontId="41" numFmtId="0" xfId="0" applyAlignment="1" applyFont="1">
      <alignment vertical="center"/>
    </xf>
    <xf borderId="0" fillId="0" fontId="41" numFmtId="3" xfId="0" applyAlignment="1" applyFont="1" applyNumberFormat="1">
      <alignment readingOrder="0" vertical="center"/>
    </xf>
    <xf borderId="0" fillId="0" fontId="41" numFmtId="0" xfId="0" applyAlignment="1" applyFont="1">
      <alignment vertical="center"/>
    </xf>
    <xf borderId="0" fillId="0" fontId="41" numFmtId="0" xfId="0" applyAlignment="1" applyFont="1">
      <alignment readingOrder="0" vertical="center"/>
    </xf>
    <xf borderId="0" fillId="0" fontId="41" numFmtId="3" xfId="0" applyAlignment="1" applyFont="1" applyNumberFormat="1">
      <alignment vertical="center"/>
    </xf>
    <xf borderId="0" fillId="0" fontId="41" numFmtId="10" xfId="0" applyAlignment="1" applyFont="1" applyNumberFormat="1">
      <alignment vertical="center"/>
    </xf>
    <xf borderId="0" fillId="0" fontId="41" numFmtId="10" xfId="0" applyAlignment="1" applyFont="1" applyNumberFormat="1">
      <alignment readingOrder="0" vertical="center"/>
    </xf>
    <xf borderId="0" fillId="0" fontId="39" numFmtId="3" xfId="0" applyAlignment="1" applyFont="1" applyNumberFormat="1">
      <alignment readingOrder="0" vertical="center"/>
    </xf>
    <xf borderId="0" fillId="0" fontId="39" numFmtId="0" xfId="0" applyAlignment="1" applyFont="1">
      <alignment vertical="center"/>
    </xf>
    <xf borderId="0" fillId="15" fontId="30" numFmtId="0" xfId="0" applyAlignment="1" applyFill="1" applyFont="1">
      <alignment readingOrder="0" vertical="center"/>
    </xf>
    <xf borderId="0" fillId="16" fontId="40" numFmtId="10" xfId="0" applyAlignment="1" applyFill="1" applyFont="1" applyNumberFormat="1">
      <alignment vertical="center"/>
    </xf>
    <xf borderId="0" fillId="0" fontId="39" numFmtId="3" xfId="0" applyAlignment="1" applyFont="1" applyNumberFormat="1">
      <alignment vertical="center"/>
    </xf>
    <xf borderId="0" fillId="3" fontId="3" numFmtId="0" xfId="0" applyAlignment="1" applyFill="1" applyFont="1">
      <alignment readingOrder="0" vertical="center"/>
    </xf>
    <xf borderId="0" fillId="3" fontId="3" numFmtId="167" xfId="0" applyAlignment="1" applyFill="1" applyFont="1" applyNumberFormat="1">
      <alignment readingOrder="0" vertical="center"/>
    </xf>
    <xf borderId="0" fillId="0" fontId="21" numFmtId="0" xfId="0" applyAlignment="1" applyFont="1">
      <alignment vertical="center"/>
    </xf>
    <xf borderId="0" fillId="0" fontId="21" numFmtId="0" xfId="0" applyAlignment="1" applyFont="1">
      <alignment vertical="center"/>
    </xf>
    <xf borderId="0" fillId="0" fontId="21" numFmtId="3" xfId="0" applyAlignment="1" applyFont="1" applyNumberFormat="1">
      <alignment vertical="center"/>
    </xf>
    <xf borderId="0" fillId="0" fontId="21" numFmtId="3" xfId="0" applyAlignment="1" applyFont="1" applyNumberFormat="1">
      <alignment readingOrder="0" vertical="center"/>
    </xf>
    <xf borderId="0" fillId="0" fontId="16" numFmtId="0" xfId="0" applyAlignment="1" applyFont="1">
      <alignment readingOrder="0" vertical="center"/>
    </xf>
    <xf borderId="0" fillId="0" fontId="21" numFmtId="10" xfId="0" applyAlignment="1" applyFont="1" applyNumberFormat="1">
      <alignment readingOrder="0" vertical="center"/>
    </xf>
    <xf borderId="0" fillId="0" fontId="41" numFmtId="165" xfId="0" applyAlignment="1" applyFont="1" applyNumberFormat="1">
      <alignment vertical="center"/>
    </xf>
    <xf borderId="0" fillId="0" fontId="15" numFmtId="0" xfId="0" applyAlignment="1" applyFont="1">
      <alignment vertical="center"/>
    </xf>
    <xf borderId="0" fillId="0" fontId="15" numFmtId="3" xfId="0" applyAlignment="1" applyFont="1" applyNumberFormat="1">
      <alignment readingOrder="0" vertical="center"/>
    </xf>
    <xf borderId="0" fillId="0" fontId="15" numFmtId="3" xfId="0" applyAlignment="1" applyFont="1" applyNumberFormat="1">
      <alignment vertical="center"/>
    </xf>
    <xf borderId="0" fillId="0" fontId="42" numFmtId="3" xfId="0" applyFont="1" applyNumberFormat="1"/>
    <xf borderId="0" fillId="0" fontId="21" numFmtId="0" xfId="0" applyAlignment="1" applyFont="1">
      <alignment readingOrder="0" vertical="center"/>
    </xf>
    <xf borderId="0" fillId="17" fontId="15" numFmtId="10" xfId="0" applyAlignment="1" applyFill="1" applyFont="1" applyNumberFormat="1">
      <alignment vertical="center"/>
    </xf>
    <xf borderId="0" fillId="0" fontId="43" numFmtId="3" xfId="0" applyFont="1" applyNumberFormat="1"/>
    <xf borderId="0" fillId="18" fontId="39" numFmtId="0" xfId="0" applyAlignment="1" applyFill="1" applyFont="1">
      <alignment readingOrder="0" vertical="center"/>
    </xf>
    <xf borderId="0" fillId="19" fontId="44" numFmtId="0" xfId="0" applyAlignment="1" applyFill="1" applyFont="1">
      <alignment readingOrder="0" vertical="center"/>
    </xf>
    <xf borderId="0" fillId="0" fontId="14" numFmtId="0" xfId="0" applyAlignment="1" applyFont="1">
      <alignment horizontal="center" readingOrder="0" shrinkToFit="0" vertical="center" wrapText="1"/>
    </xf>
    <xf borderId="0" fillId="0" fontId="45" numFmtId="0" xfId="0" applyAlignment="1" applyFont="1">
      <alignment shrinkToFit="0" wrapText="1"/>
    </xf>
    <xf borderId="5" fillId="19" fontId="46" numFmtId="0" xfId="0" applyAlignment="1" applyBorder="1" applyFill="1" applyFont="1">
      <alignment horizontal="left" shrinkToFit="0" vertical="center" wrapText="1"/>
    </xf>
    <xf borderId="5" fillId="19" fontId="46" numFmtId="0" xfId="0" applyAlignment="1" applyBorder="1" applyFill="1" applyFont="1">
      <alignment horizontal="center" shrinkToFit="0" vertical="center" wrapText="1"/>
    </xf>
    <xf borderId="5" fillId="20" fontId="47" numFmtId="0" xfId="0" applyAlignment="1" applyBorder="1" applyFill="1" applyFont="1">
      <alignment horizontal="left" shrinkToFit="0" vertical="center" wrapText="1"/>
    </xf>
    <xf borderId="5" fillId="0" fontId="48" numFmtId="0" xfId="0" applyAlignment="1" applyBorder="1" applyFont="1">
      <alignment horizontal="left" shrinkToFit="0" vertical="center" wrapText="1"/>
    </xf>
    <xf borderId="5" fillId="0" fontId="48" numFmtId="0" xfId="0" applyAlignment="1" applyBorder="1" applyFont="1">
      <alignment horizontal="left" readingOrder="0" shrinkToFit="0" vertical="center" wrapText="1"/>
    </xf>
    <xf borderId="5" fillId="0" fontId="48" numFmtId="0" xfId="0" applyAlignment="1" applyBorder="1" applyFont="1">
      <alignment readingOrder="0" shrinkToFit="0" vertical="center" wrapText="1"/>
    </xf>
    <xf borderId="0" fillId="0" fontId="45" numFmtId="0" xfId="0" applyFont="1"/>
    <xf borderId="6" fillId="21" fontId="46" numFmtId="0" xfId="0" applyAlignment="1" applyBorder="1" applyFill="1" applyFont="1">
      <alignment horizontal="left" shrinkToFit="0" vertical="center" wrapText="1"/>
    </xf>
    <xf borderId="7" fillId="0" fontId="13" numFmtId="0" xfId="0" applyBorder="1" applyFont="1"/>
    <xf borderId="5" fillId="22" fontId="47" numFmtId="0" xfId="0" applyAlignment="1" applyBorder="1" applyFill="1" applyFont="1">
      <alignment horizontal="left" shrinkToFit="0" vertical="top" wrapText="1"/>
    </xf>
    <xf borderId="5" fillId="0" fontId="48" numFmtId="0" xfId="0" applyAlignment="1" applyBorder="1" applyFont="1">
      <alignment horizontal="left" shrinkToFit="0" vertical="top" wrapText="1"/>
    </xf>
    <xf borderId="8" fillId="23" fontId="46" numFmtId="0" xfId="0" applyAlignment="1" applyBorder="1" applyFill="1" applyFont="1">
      <alignment horizontal="left" shrinkToFit="0" vertical="center" wrapText="1"/>
    </xf>
    <xf borderId="9" fillId="0" fontId="13" numFmtId="0" xfId="0" applyBorder="1" applyFont="1"/>
    <xf borderId="5" fillId="24" fontId="47" numFmtId="0" xfId="0" applyAlignment="1" applyBorder="1" applyFill="1" applyFont="1">
      <alignment horizontal="left" shrinkToFit="0" vertical="top" wrapText="1"/>
    </xf>
    <xf borderId="5" fillId="24" fontId="47" numFmtId="0" xfId="0" applyAlignment="1" applyBorder="1" applyFill="1" applyFont="1">
      <alignment horizontal="left" shrinkToFit="0" vertical="center" wrapText="1"/>
    </xf>
    <xf borderId="5" fillId="0" fontId="4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3">
    <dxf>
      <font>
        <b/>
        <color theme="7"/>
      </font>
      <fill>
        <patternFill patternType="none"/>
      </fill>
      <border/>
    </dxf>
    <dxf>
      <font>
        <b/>
        <color theme="5"/>
      </font>
      <fill>
        <patternFill patternType="none"/>
      </fill>
      <border/>
    </dxf>
    <dxf>
      <font>
        <b/>
        <color rgb="FF34A853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-38100</xdr:colOff>
      <xdr:row>0</xdr:row>
      <xdr:rowOff>0</xdr:rowOff>
    </xdr:from>
    <xdr:ext cx="6057900" cy="4705350"/>
    <xdr:grpSp>
      <xdr:nvGrpSpPr>
        <xdr:cNvPr id="2" name="Shape 2" title="Bản vẽ"/>
        <xdr:cNvGrpSpPr/>
      </xdr:nvGrpSpPr>
      <xdr:grpSpPr>
        <a:xfrm>
          <a:off x="2326575" y="1436850"/>
          <a:ext cx="6038850" cy="4686300"/>
          <a:chOff x="2326575" y="1436850"/>
          <a:chExt cx="6038850" cy="4686300"/>
        </a:xfrm>
      </xdr:grpSpPr>
      <xdr:grpSp>
        <xdr:nvGrpSpPr>
          <xdr:cNvPr id="3" name="Shape 3"/>
          <xdr:cNvGrpSpPr/>
        </xdr:nvGrpSpPr>
        <xdr:grpSpPr>
          <a:xfrm>
            <a:off x="2326575" y="1436850"/>
            <a:ext cx="6038850" cy="4686300"/>
            <a:chOff x="0" y="0"/>
            <a:chExt cx="7434775" cy="6208376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7434775" cy="62083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720629" y="2099145"/>
              <a:ext cx="3784600" cy="4109231"/>
              <a:chOff x="0" y="0"/>
              <a:chExt cx="3784600" cy="4109231"/>
            </a:xfrm>
          </xdr:grpSpPr>
          <xdr:sp>
            <xdr:nvSpPr>
              <xdr:cNvPr id="6" name="Shape 6"/>
              <xdr:cNvSpPr/>
            </xdr:nvSpPr>
            <xdr:spPr>
              <a:xfrm>
                <a:off x="337624" y="844061"/>
                <a:ext cx="3086100" cy="845820"/>
              </a:xfrm>
              <a:prstGeom prst="flowChartManualOperation">
                <a:avLst/>
              </a:prstGeom>
              <a:gradFill>
                <a:gsLst>
                  <a:gs pos="0">
                    <a:srgbClr val="F6B2AC"/>
                  </a:gs>
                  <a:gs pos="100000">
                    <a:srgbClr val="73A7FF"/>
                  </a:gs>
                </a:gsLst>
                <a:lin ang="5400000" scaled="0"/>
              </a:gradFill>
              <a:ln cap="flat" cmpd="sng" w="9525">
                <a:solidFill>
                  <a:schemeClr val="accent1"/>
                </a:solidFill>
                <a:prstDash val="solid"/>
                <a:miter lim="8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marR="0" rtl="0" algn="ctr">
                  <a:lnSpc>
                    <a:spcPct val="115000"/>
                  </a:lnSpc>
                  <a:spcBef>
                    <a:spcPts val="0"/>
                  </a:spcBef>
                  <a:spcAft>
                    <a:spcPts val="0"/>
                  </a:spcAft>
                  <a:buSzPts val="1600"/>
                  <a:buFont typeface="Arial"/>
                  <a:buNone/>
                </a:pPr>
                <a:r>
                  <a:rPr b="1" lang="en-US" sz="1600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2. CTR </a:t>
                </a:r>
                <a:endParaRPr sz="1100"/>
              </a:p>
            </xdr:txBody>
          </xdr:sp>
          <xdr:sp>
            <xdr:nvSpPr>
              <xdr:cNvPr id="7" name="Shape 7"/>
              <xdr:cNvSpPr/>
            </xdr:nvSpPr>
            <xdr:spPr>
              <a:xfrm>
                <a:off x="675249" y="1709224"/>
                <a:ext cx="2559050" cy="831850"/>
              </a:xfrm>
              <a:prstGeom prst="flowChartManualOperation">
                <a:avLst/>
              </a:prstGeom>
              <a:gradFill>
                <a:gsLst>
                  <a:gs pos="0">
                    <a:srgbClr val="2F9299"/>
                  </a:gs>
                  <a:gs pos="100000">
                    <a:srgbClr val="73A7FF"/>
                  </a:gs>
                </a:gsLst>
                <a:lin ang="5400000" scaled="0"/>
              </a:gradFill>
              <a:ln cap="flat" cmpd="sng" w="9525">
                <a:solidFill>
                  <a:schemeClr val="accent1"/>
                </a:solidFill>
                <a:prstDash val="solid"/>
                <a:miter lim="8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marR="0" rtl="0" algn="ctr">
                  <a:lnSpc>
                    <a:spcPct val="115000"/>
                  </a:lnSpc>
                  <a:spcBef>
                    <a:spcPts val="0"/>
                  </a:spcBef>
                  <a:spcAft>
                    <a:spcPts val="0"/>
                  </a:spcAft>
                  <a:buSzPts val="1600"/>
                  <a:buFont typeface="Arial"/>
                  <a:buNone/>
                </a:pPr>
                <a:r>
                  <a:rPr b="1" lang="en-US" sz="1600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3. Login App</a:t>
                </a:r>
                <a:endParaRPr sz="1100"/>
              </a:p>
            </xdr:txBody>
          </xdr:sp>
          <xdr:sp>
            <xdr:nvSpPr>
              <xdr:cNvPr id="8" name="Shape 8"/>
              <xdr:cNvSpPr/>
            </xdr:nvSpPr>
            <xdr:spPr>
              <a:xfrm>
                <a:off x="0" y="0"/>
                <a:ext cx="3784600" cy="832045"/>
              </a:xfrm>
              <a:prstGeom prst="rect">
                <a:avLst/>
              </a:prstGeom>
              <a:gradFill>
                <a:gsLst>
                  <a:gs pos="0">
                    <a:srgbClr val="5E92F7"/>
                  </a:gs>
                  <a:gs pos="50000">
                    <a:srgbClr val="3982FC"/>
                  </a:gs>
                  <a:gs pos="100000">
                    <a:srgbClr val="2870E3"/>
                  </a:gs>
                </a:gsLst>
                <a:lin ang="5400000" scaled="0"/>
              </a:gradFill>
              <a:ln cap="flat" cmpd="sng" w="9525">
                <a:solidFill>
                  <a:schemeClr val="accent1"/>
                </a:solidFill>
                <a:prstDash val="solid"/>
                <a:miter lim="8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-228600" lvl="0" marL="457200" marR="0" rtl="0" algn="ctr">
                  <a:lnSpc>
                    <a:spcPct val="115000"/>
                  </a:lnSpc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b="1" sz="1400">
                  <a:solidFill>
                    <a:srgbClr val="EE0000"/>
                  </a:solidFill>
                </a:endParaRPr>
              </a:p>
              <a:p>
                <a:pPr indent="-228600" lvl="0" marL="457200" marR="0" rtl="0" algn="ctr">
                  <a:lnSpc>
                    <a:spcPct val="115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EE0000"/>
                  </a:buClr>
                  <a:buSzPts val="1400"/>
                  <a:buFont typeface="Arial"/>
                  <a:buNone/>
                </a:pPr>
                <a:r>
                  <a:rPr b="1" lang="en-US" sz="1400">
                    <a:solidFill>
                      <a:srgbClr val="EE0000"/>
                    </a:solidFill>
                    <a:latin typeface="Arial"/>
                    <a:ea typeface="Arial"/>
                    <a:cs typeface="Arial"/>
                    <a:sym typeface="Arial"/>
                  </a:rPr>
                  <a:t>Traffic (Page views)</a:t>
                </a:r>
                <a:endParaRPr sz="1400"/>
              </a:p>
              <a:p>
                <a:pPr indent="0" lvl="0" marL="457200" marR="0" rtl="0" algn="l">
                  <a:lnSpc>
                    <a:spcPct val="115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1F497D"/>
                  </a:buClr>
                  <a:buSzPts val="1800"/>
                  <a:buFont typeface="Arial"/>
                  <a:buNone/>
                </a:pPr>
                <a:r>
                  <a:rPr b="1" lang="en-US" sz="1800">
                    <a:solidFill>
                      <a:srgbClr val="1F497D"/>
                    </a:solidFill>
                    <a:latin typeface="Arial"/>
                    <a:ea typeface="Arial"/>
                    <a:cs typeface="Arial"/>
                    <a:sym typeface="Arial"/>
                  </a:rPr>
                  <a:t>        </a:t>
                </a:r>
                <a:r>
                  <a:rPr b="1" lang="en-US" sz="1400">
                    <a:solidFill>
                      <a:srgbClr val="1F497D"/>
                    </a:solidFill>
                    <a:latin typeface="Arial"/>
                    <a:ea typeface="Arial"/>
                    <a:cs typeface="Arial"/>
                    <a:sym typeface="Arial"/>
                  </a:rPr>
                  <a:t>(Target: 4M</a:t>
                </a:r>
                <a:r>
                  <a:rPr b="1" lang="en-US" sz="1800">
                    <a:solidFill>
                      <a:srgbClr val="1F497D"/>
                    </a:solidFill>
                    <a:latin typeface="Arial"/>
                    <a:ea typeface="Arial"/>
                    <a:cs typeface="Arial"/>
                    <a:sym typeface="Arial"/>
                  </a:rPr>
                  <a:t>)</a:t>
                </a:r>
                <a:endParaRPr sz="1100"/>
              </a:p>
              <a:p>
                <a:pPr indent="0" lvl="0" marL="0" marR="0" rtl="0" algn="l">
                  <a:lnSpc>
                    <a:spcPct val="115000"/>
                  </a:lnSpc>
                  <a:spcBef>
                    <a:spcPts val="100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rPr lang="en-US" sz="1100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 </a:t>
                </a:r>
                <a:endParaRPr sz="14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787791" y="2553286"/>
                <a:ext cx="2286000" cy="832045"/>
              </a:xfrm>
              <a:prstGeom prst="flowChartManualOperation">
                <a:avLst/>
              </a:prstGeom>
              <a:gradFill>
                <a:gsLst>
                  <a:gs pos="0">
                    <a:srgbClr val="2F9299"/>
                  </a:gs>
                  <a:gs pos="100000">
                    <a:srgbClr val="73A7FF"/>
                  </a:gs>
                </a:gsLst>
                <a:lin ang="5400000" scaled="0"/>
              </a:gradFill>
              <a:ln cap="flat" cmpd="sng" w="9525">
                <a:solidFill>
                  <a:schemeClr val="accent1"/>
                </a:solidFill>
                <a:prstDash val="solid"/>
                <a:miter lim="8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marR="0" rtl="0" algn="ctr">
                  <a:lnSpc>
                    <a:spcPct val="115000"/>
                  </a:lnSpc>
                  <a:spcBef>
                    <a:spcPts val="0"/>
                  </a:spcBef>
                  <a:spcAft>
                    <a:spcPts val="0"/>
                  </a:spcAft>
                  <a:buSzPts val="1600"/>
                  <a:buFont typeface="Arial"/>
                  <a:buNone/>
                </a:pPr>
                <a:r>
                  <a:rPr b="1" lang="en-US" sz="1600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4. Install</a:t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>
                <a:off x="1104314" y="3404381"/>
                <a:ext cx="1651000" cy="704850"/>
              </a:xfrm>
              <a:prstGeom prst="flowChartManualOperation">
                <a:avLst/>
              </a:prstGeom>
              <a:gradFill>
                <a:gsLst>
                  <a:gs pos="0">
                    <a:srgbClr val="5E92F7"/>
                  </a:gs>
                  <a:gs pos="50000">
                    <a:srgbClr val="3982FC"/>
                  </a:gs>
                  <a:gs pos="100000">
                    <a:srgbClr val="2870E3"/>
                  </a:gs>
                </a:gsLst>
                <a:lin ang="5400000" scaled="0"/>
              </a:gradFill>
              <a:ln cap="flat" cmpd="sng" w="9525">
                <a:solidFill>
                  <a:schemeClr val="accent1"/>
                </a:solidFill>
                <a:prstDash val="solid"/>
                <a:miter lim="8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marR="0" rtl="0" algn="ctr">
                  <a:lnSpc>
                    <a:spcPct val="115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2060"/>
                  </a:buClr>
                  <a:buSzPts val="1100"/>
                  <a:buFont typeface="Arial"/>
                  <a:buNone/>
                </a:pPr>
                <a:r>
                  <a:rPr lang="en-US" sz="1100">
                    <a:solidFill>
                      <a:srgbClr val="002060"/>
                    </a:solidFill>
                    <a:latin typeface="Arial"/>
                    <a:ea typeface="Arial"/>
                    <a:cs typeface="Arial"/>
                    <a:sym typeface="Arial"/>
                  </a:rPr>
                  <a:t>5….</a:t>
                </a:r>
                <a:endParaRPr sz="1100"/>
              </a:p>
            </xdr:txBody>
          </xdr:sp>
        </xdr:grpSp>
        <xdr:grpSp>
          <xdr:nvGrpSpPr>
            <xdr:cNvPr id="11" name="Shape 11"/>
            <xdr:cNvGrpSpPr/>
          </xdr:nvGrpSpPr>
          <xdr:grpSpPr>
            <a:xfrm>
              <a:off x="1512404" y="1102084"/>
              <a:ext cx="4259552" cy="876907"/>
              <a:chOff x="0" y="0"/>
              <a:chExt cx="4259552" cy="876907"/>
            </a:xfrm>
          </xdr:grpSpPr>
          <xdr:cxnSp>
            <xdr:nvCxnSpPr>
              <xdr:cNvPr id="12" name="Shape 12"/>
              <xdr:cNvCxnSpPr/>
            </xdr:nvCxnSpPr>
            <xdr:spPr>
              <a:xfrm>
                <a:off x="0" y="166977"/>
                <a:ext cx="759460" cy="709930"/>
              </a:xfrm>
              <a:prstGeom prst="straightConnector1">
                <a:avLst/>
              </a:prstGeom>
              <a:noFill/>
              <a:ln cap="flat" cmpd="sng" w="19050">
                <a:solidFill>
                  <a:schemeClr val="accent6"/>
                </a:solidFill>
                <a:prstDash val="solid"/>
                <a:round/>
                <a:headEnd len="sm" w="sm" type="none"/>
                <a:tailEnd len="med" w="med" type="stealth"/>
              </a:ln>
            </xdr:spPr>
          </xdr:cxnSp>
          <xdr:cxnSp>
            <xdr:nvCxnSpPr>
              <xdr:cNvPr id="13" name="Shape 13"/>
              <xdr:cNvCxnSpPr/>
            </xdr:nvCxnSpPr>
            <xdr:spPr>
              <a:xfrm>
                <a:off x="1246698" y="0"/>
                <a:ext cx="45085" cy="871220"/>
              </a:xfrm>
              <a:prstGeom prst="straightConnector1">
                <a:avLst/>
              </a:prstGeom>
              <a:noFill/>
              <a:ln cap="flat" cmpd="sng" w="19050">
                <a:solidFill>
                  <a:schemeClr val="accent6"/>
                </a:solidFill>
                <a:prstDash val="solid"/>
                <a:round/>
                <a:headEnd len="sm" w="sm" type="none"/>
                <a:tailEnd len="med" w="med" type="stealth"/>
              </a:ln>
            </xdr:spPr>
          </xdr:cxnSp>
          <xdr:cxnSp>
            <xdr:nvCxnSpPr>
              <xdr:cNvPr id="14" name="Shape 14"/>
              <xdr:cNvCxnSpPr/>
            </xdr:nvCxnSpPr>
            <xdr:spPr>
              <a:xfrm flipH="1">
                <a:off x="3496917" y="151075"/>
                <a:ext cx="762635" cy="702945"/>
              </a:xfrm>
              <a:prstGeom prst="straightConnector1">
                <a:avLst/>
              </a:prstGeom>
              <a:noFill/>
              <a:ln cap="flat" cmpd="sng" w="19050">
                <a:solidFill>
                  <a:schemeClr val="accent6"/>
                </a:solidFill>
                <a:prstDash val="solid"/>
                <a:round/>
                <a:headEnd len="sm" w="sm" type="none"/>
                <a:tailEnd len="med" w="med" type="stealth"/>
              </a:ln>
            </xdr:spPr>
          </xdr:cxnSp>
          <xdr:cxnSp>
            <xdr:nvCxnSpPr>
              <xdr:cNvPr id="15" name="Shape 15"/>
              <xdr:cNvCxnSpPr/>
            </xdr:nvCxnSpPr>
            <xdr:spPr>
              <a:xfrm flipH="1">
                <a:off x="2044976" y="15903"/>
                <a:ext cx="198120" cy="828675"/>
              </a:xfrm>
              <a:prstGeom prst="straightConnector1">
                <a:avLst/>
              </a:prstGeom>
              <a:noFill/>
              <a:ln cap="flat" cmpd="sng" w="19050">
                <a:solidFill>
                  <a:schemeClr val="accent6"/>
                </a:solidFill>
                <a:prstDash val="solid"/>
                <a:round/>
                <a:headEnd len="sm" w="sm" type="none"/>
                <a:tailEnd len="med" w="med" type="stealth"/>
              </a:ln>
            </xdr:spPr>
          </xdr:cxnSp>
          <xdr:cxnSp>
            <xdr:nvCxnSpPr>
              <xdr:cNvPr id="16" name="Shape 16"/>
              <xdr:cNvCxnSpPr/>
            </xdr:nvCxnSpPr>
            <xdr:spPr>
              <a:xfrm flipH="1">
                <a:off x="2781300" y="55659"/>
                <a:ext cx="533693" cy="794043"/>
              </a:xfrm>
              <a:prstGeom prst="straightConnector1">
                <a:avLst/>
              </a:prstGeom>
              <a:noFill/>
              <a:ln cap="flat" cmpd="sng" w="19050">
                <a:solidFill>
                  <a:schemeClr val="accent6"/>
                </a:solidFill>
                <a:prstDash val="solid"/>
                <a:round/>
                <a:headEnd len="sm" w="sm" type="none"/>
                <a:tailEnd len="med" w="med" type="stealth"/>
              </a:ln>
            </xdr:spPr>
          </xdr:cxnSp>
        </xdr:grpSp>
        <xdr:grpSp>
          <xdr:nvGrpSpPr>
            <xdr:cNvPr id="17" name="Shape 17"/>
            <xdr:cNvGrpSpPr/>
          </xdr:nvGrpSpPr>
          <xdr:grpSpPr>
            <a:xfrm>
              <a:off x="535884" y="326004"/>
              <a:ext cx="6829292" cy="1327921"/>
              <a:chOff x="0" y="0"/>
              <a:chExt cx="6829292" cy="1327921"/>
            </a:xfrm>
          </xdr:grpSpPr>
          <xdr:sp>
            <xdr:nvSpPr>
              <xdr:cNvPr id="18" name="Shape 18"/>
              <xdr:cNvSpPr/>
            </xdr:nvSpPr>
            <xdr:spPr>
              <a:xfrm>
                <a:off x="0" y="79513"/>
                <a:ext cx="1461770" cy="827600"/>
              </a:xfrm>
              <a:prstGeom prst="ellipse">
                <a:avLst/>
              </a:prstGeom>
              <a:gradFill>
                <a:gsLst>
                  <a:gs pos="0">
                    <a:srgbClr val="5E92F7"/>
                  </a:gs>
                  <a:gs pos="50000">
                    <a:srgbClr val="3982FC"/>
                  </a:gs>
                  <a:gs pos="100000">
                    <a:srgbClr val="2870E3"/>
                  </a:gs>
                </a:gsLst>
                <a:lin ang="5400000" scaled="0"/>
              </a:gradFill>
              <a:ln cap="flat" cmpd="sng" w="9525">
                <a:solidFill>
                  <a:schemeClr val="accent1"/>
                </a:solidFill>
                <a:prstDash val="solid"/>
                <a:miter lim="8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marR="0" rtl="0" algn="ctr">
                  <a:lnSpc>
                    <a:spcPct val="115000"/>
                  </a:lnSpc>
                  <a:spcBef>
                    <a:spcPts val="0"/>
                  </a:spcBef>
                  <a:spcAft>
                    <a:spcPts val="0"/>
                  </a:spcAft>
                  <a:buSzPts val="900"/>
                  <a:buFont typeface="Arial"/>
                  <a:buNone/>
                </a:pPr>
                <a:r>
                  <a:rPr lang="en-US" sz="900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Organic</a:t>
                </a:r>
                <a:endParaRPr sz="1100"/>
              </a:p>
              <a:p>
                <a:pPr indent="0" lvl="0" marL="0" marR="0" rtl="0" algn="ctr">
                  <a:lnSpc>
                    <a:spcPct val="115000"/>
                  </a:lnSpc>
                  <a:spcBef>
                    <a:spcPts val="1000"/>
                  </a:spcBef>
                  <a:spcAft>
                    <a:spcPts val="0"/>
                  </a:spcAft>
                  <a:buSzPts val="900"/>
                  <a:buFont typeface="Arial"/>
                  <a:buNone/>
                </a:pPr>
                <a:r>
                  <a:rPr lang="en-US" sz="900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ví</a:t>
                </a:r>
                <a:r>
                  <a:rPr lang="en-US" sz="900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 dụ </a:t>
                </a:r>
                <a:r>
                  <a:rPr lang="en-US" sz="900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(30-40%)</a:t>
                </a:r>
                <a:endParaRPr sz="1100"/>
              </a:p>
            </xdr:txBody>
          </xdr:sp>
          <xdr:sp>
            <xdr:nvSpPr>
              <xdr:cNvPr id="19" name="Shape 19"/>
              <xdr:cNvSpPr/>
            </xdr:nvSpPr>
            <xdr:spPr>
              <a:xfrm>
                <a:off x="1470992" y="0"/>
                <a:ext cx="1321484" cy="688975"/>
              </a:xfrm>
              <a:prstGeom prst="ellipse">
                <a:avLst/>
              </a:prstGeom>
              <a:gradFill>
                <a:gsLst>
                  <a:gs pos="0">
                    <a:srgbClr val="5E92F7"/>
                  </a:gs>
                  <a:gs pos="50000">
                    <a:srgbClr val="3982FC"/>
                  </a:gs>
                  <a:gs pos="100000">
                    <a:srgbClr val="2870E3"/>
                  </a:gs>
                </a:gsLst>
                <a:lin ang="5400000" scaled="0"/>
              </a:gradFill>
              <a:ln cap="flat" cmpd="sng" w="9525">
                <a:solidFill>
                  <a:schemeClr val="accent1"/>
                </a:solidFill>
                <a:prstDash val="solid"/>
                <a:miter lim="8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marR="0" rtl="0" algn="ctr">
                  <a:lnSpc>
                    <a:spcPct val="115000"/>
                  </a:lnSpc>
                  <a:spcBef>
                    <a:spcPts val="0"/>
                  </a:spcBef>
                  <a:spcAft>
                    <a:spcPts val="0"/>
                  </a:spcAft>
                  <a:buSzPts val="900"/>
                  <a:buFont typeface="Arial"/>
                  <a:buNone/>
                </a:pPr>
                <a:r>
                  <a:rPr lang="en-US" sz="900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Paids</a:t>
                </a:r>
                <a:endParaRPr sz="1100"/>
              </a:p>
              <a:p>
                <a:pPr indent="0" lvl="0" marL="0" marR="0" rtl="0" algn="ctr">
                  <a:lnSpc>
                    <a:spcPct val="115000"/>
                  </a:lnSpc>
                  <a:spcBef>
                    <a:spcPts val="1000"/>
                  </a:spcBef>
                  <a:spcAft>
                    <a:spcPts val="0"/>
                  </a:spcAft>
                  <a:buSzPts val="900"/>
                  <a:buFont typeface="Arial"/>
                  <a:buNone/>
                </a:pPr>
                <a:r>
                  <a:rPr lang="en-US" sz="900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(10-15%)</a:t>
                </a:r>
                <a:endParaRPr sz="1100"/>
              </a:p>
            </xdr:txBody>
          </xdr:sp>
          <xdr:sp>
            <xdr:nvSpPr>
              <xdr:cNvPr id="20" name="Shape 20"/>
              <xdr:cNvSpPr/>
            </xdr:nvSpPr>
            <xdr:spPr>
              <a:xfrm>
                <a:off x="2830665" y="47707"/>
                <a:ext cx="1321484" cy="688975"/>
              </a:xfrm>
              <a:prstGeom prst="ellipse">
                <a:avLst/>
              </a:prstGeom>
              <a:gradFill>
                <a:gsLst>
                  <a:gs pos="0">
                    <a:srgbClr val="5E92F7"/>
                  </a:gs>
                  <a:gs pos="50000">
                    <a:srgbClr val="3982FC"/>
                  </a:gs>
                  <a:gs pos="100000">
                    <a:srgbClr val="2870E3"/>
                  </a:gs>
                </a:gsLst>
                <a:lin ang="5400000" scaled="0"/>
              </a:gradFill>
              <a:ln cap="flat" cmpd="sng" w="9525">
                <a:solidFill>
                  <a:schemeClr val="accent1"/>
                </a:solidFill>
                <a:prstDash val="solid"/>
                <a:miter lim="8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marR="0" rtl="0" algn="ctr">
                  <a:lnSpc>
                    <a:spcPct val="115000"/>
                  </a:lnSpc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rPr lang="en-US" sz="1100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Direct</a:t>
                </a:r>
                <a:br>
                  <a:rPr lang="en-US" sz="1100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</a:br>
                <a:r>
                  <a:rPr lang="en-US" sz="1100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(…%)</a:t>
                </a:r>
                <a:endParaRPr sz="1400"/>
              </a:p>
            </xdr:txBody>
          </xdr:sp>
          <xdr:sp>
            <xdr:nvSpPr>
              <xdr:cNvPr id="21" name="Shape 21"/>
              <xdr:cNvSpPr/>
            </xdr:nvSpPr>
            <xdr:spPr>
              <a:xfrm>
                <a:off x="4222143" y="127221"/>
                <a:ext cx="1321435" cy="750228"/>
              </a:xfrm>
              <a:prstGeom prst="ellipse">
                <a:avLst/>
              </a:prstGeom>
              <a:gradFill>
                <a:gsLst>
                  <a:gs pos="0">
                    <a:srgbClr val="5E92F7"/>
                  </a:gs>
                  <a:gs pos="50000">
                    <a:srgbClr val="3982FC"/>
                  </a:gs>
                  <a:gs pos="100000">
                    <a:srgbClr val="2870E3"/>
                  </a:gs>
                </a:gsLst>
                <a:lin ang="5400000" scaled="0"/>
              </a:gradFill>
              <a:ln cap="flat" cmpd="sng" w="9525">
                <a:solidFill>
                  <a:schemeClr val="accent1"/>
                </a:solidFill>
                <a:prstDash val="solid"/>
                <a:miter lim="8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marR="0" rtl="0" algn="ctr">
                  <a:lnSpc>
                    <a:spcPct val="115000"/>
                  </a:lnSpc>
                  <a:spcBef>
                    <a:spcPts val="0"/>
                  </a:spcBef>
                  <a:spcAft>
                    <a:spcPts val="0"/>
                  </a:spcAft>
                  <a:buSzPts val="1000"/>
                  <a:buFont typeface="Arial"/>
                  <a:buNone/>
                </a:pPr>
                <a:r>
                  <a:rPr lang="en-US" sz="1000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Social</a:t>
                </a:r>
                <a:endParaRPr sz="1100"/>
              </a:p>
              <a:p>
                <a:pPr indent="0" lvl="0" marL="0" marR="0" rtl="0" algn="ctr">
                  <a:lnSpc>
                    <a:spcPct val="115000"/>
                  </a:lnSpc>
                  <a:spcBef>
                    <a:spcPts val="1000"/>
                  </a:spcBef>
                  <a:spcAft>
                    <a:spcPts val="0"/>
                  </a:spcAft>
                  <a:buSzPts val="1000"/>
                  <a:buFont typeface="Arial"/>
                  <a:buNone/>
                </a:pPr>
                <a:r>
                  <a:rPr lang="en-US" sz="1000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(…%)</a:t>
                </a:r>
                <a:endParaRPr sz="1100"/>
              </a:p>
            </xdr:txBody>
          </xdr:sp>
          <xdr:sp>
            <xdr:nvSpPr>
              <xdr:cNvPr id="22" name="Shape 22"/>
              <xdr:cNvSpPr/>
            </xdr:nvSpPr>
            <xdr:spPr>
              <a:xfrm>
                <a:off x="5367131" y="556591"/>
                <a:ext cx="1462161" cy="771330"/>
              </a:xfrm>
              <a:prstGeom prst="ellipse">
                <a:avLst/>
              </a:prstGeom>
              <a:gradFill>
                <a:gsLst>
                  <a:gs pos="0">
                    <a:srgbClr val="5E92F7"/>
                  </a:gs>
                  <a:gs pos="50000">
                    <a:srgbClr val="3982FC"/>
                  </a:gs>
                  <a:gs pos="100000">
                    <a:srgbClr val="2870E3"/>
                  </a:gs>
                </a:gsLst>
                <a:lin ang="5400000" scaled="0"/>
              </a:gradFill>
              <a:ln cap="flat" cmpd="sng" w="9525">
                <a:solidFill>
                  <a:schemeClr val="accent1"/>
                </a:solidFill>
                <a:prstDash val="solid"/>
                <a:miter lim="8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marR="0" rtl="0" algn="ctr">
                  <a:lnSpc>
                    <a:spcPct val="115000"/>
                  </a:lnSpc>
                  <a:spcBef>
                    <a:spcPts val="0"/>
                  </a:spcBef>
                  <a:spcAft>
                    <a:spcPts val="0"/>
                  </a:spcAft>
                  <a:buSzPts val="1000"/>
                  <a:buFont typeface="Arial"/>
                  <a:buNone/>
                </a:pPr>
                <a:r>
                  <a:rPr lang="en-US" sz="1000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Others…</a:t>
                </a:r>
                <a:endParaRPr sz="1100"/>
              </a:p>
              <a:p>
                <a:pPr indent="0" lvl="0" marL="0" marR="0" rtl="0" algn="ctr">
                  <a:lnSpc>
                    <a:spcPct val="115000"/>
                  </a:lnSpc>
                  <a:spcBef>
                    <a:spcPts val="1000"/>
                  </a:spcBef>
                  <a:spcAft>
                    <a:spcPts val="0"/>
                  </a:spcAft>
                  <a:buSzPts val="1000"/>
                  <a:buFont typeface="Arial"/>
                  <a:buNone/>
                </a:pPr>
                <a:r>
                  <a:rPr lang="en-US" sz="1000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(…%)</a:t>
                </a:r>
                <a:endParaRPr sz="1100"/>
              </a:p>
            </xdr:txBody>
          </xdr:sp>
        </xdr:grpSp>
        <xdr:sp>
          <xdr:nvSpPr>
            <xdr:cNvPr id="23" name="Shape 23"/>
            <xdr:cNvSpPr/>
          </xdr:nvSpPr>
          <xdr:spPr>
            <a:xfrm>
              <a:off x="0" y="0"/>
              <a:ext cx="7434775" cy="3010486"/>
            </a:xfrm>
            <a:prstGeom prst="rect">
              <a:avLst/>
            </a:prstGeom>
            <a:noFill/>
            <a:ln cap="flat" cmpd="sng" w="19050">
              <a:solidFill>
                <a:srgbClr val="EE0000"/>
              </a:solidFill>
              <a:prstDash val="dash"/>
              <a:miter lim="8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Mục 1</a:t>
              </a:r>
              <a:endParaRPr sz="1100"/>
            </a:p>
          </xdr:txBody>
        </xdr: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0"/>
    <col customWidth="1" min="2" max="13" width="13.13"/>
    <col customWidth="1" min="14" max="25" width="8.63"/>
  </cols>
  <sheetData>
    <row r="1" ht="18.75" customHeight="1">
      <c r="A1" s="1" t="s">
        <v>0</v>
      </c>
      <c r="B1" s="1"/>
      <c r="C1" s="1"/>
      <c r="D1" s="1"/>
      <c r="E1" s="1"/>
      <c r="F1" s="1"/>
      <c r="G1" s="1"/>
      <c r="H1" s="1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ht="18.7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ht="18.75" customHeight="1">
      <c r="A3" s="23" t="s">
        <v>12</v>
      </c>
      <c r="B3" s="23" t="s">
        <v>14</v>
      </c>
      <c r="C3" s="23" t="s">
        <v>15</v>
      </c>
      <c r="D3" s="23" t="s">
        <v>16</v>
      </c>
      <c r="E3" s="23" t="s">
        <v>17</v>
      </c>
      <c r="F3" s="23" t="s">
        <v>18</v>
      </c>
      <c r="G3" s="23" t="s">
        <v>19</v>
      </c>
      <c r="H3" s="23" t="s">
        <v>22</v>
      </c>
      <c r="I3" s="23" t="s">
        <v>23</v>
      </c>
      <c r="J3" s="23" t="s">
        <v>24</v>
      </c>
      <c r="K3" s="23" t="s">
        <v>25</v>
      </c>
      <c r="L3" s="23" t="s">
        <v>26</v>
      </c>
      <c r="M3" s="23" t="s">
        <v>27</v>
      </c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ht="18.75" customHeight="1">
      <c r="A4" s="31" t="s">
        <v>8</v>
      </c>
      <c r="B4" s="28">
        <f t="shared" ref="B4:L4" si="1">SUM(B7:B11)</f>
        <v>0</v>
      </c>
      <c r="C4" s="28">
        <f t="shared" si="1"/>
        <v>0</v>
      </c>
      <c r="D4" s="28">
        <f t="shared" si="1"/>
        <v>0</v>
      </c>
      <c r="E4" s="28">
        <f t="shared" si="1"/>
        <v>0</v>
      </c>
      <c r="F4" s="28">
        <f t="shared" si="1"/>
        <v>0</v>
      </c>
      <c r="G4" s="28">
        <f t="shared" si="1"/>
        <v>0</v>
      </c>
      <c r="H4" s="28">
        <f t="shared" si="1"/>
        <v>0</v>
      </c>
      <c r="I4" s="28">
        <f t="shared" si="1"/>
        <v>0</v>
      </c>
      <c r="J4" s="28">
        <f t="shared" si="1"/>
        <v>0</v>
      </c>
      <c r="K4" s="28">
        <f t="shared" si="1"/>
        <v>0</v>
      </c>
      <c r="L4" s="28">
        <f t="shared" si="1"/>
        <v>0</v>
      </c>
      <c r="M4" s="39">
        <v>4000000.0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ht="18.75" customHeight="1">
      <c r="A5" s="42" t="s">
        <v>9</v>
      </c>
      <c r="B5" s="28"/>
      <c r="C5" s="28">
        <f t="shared" ref="C5:L5" si="2">C4-B4</f>
        <v>0</v>
      </c>
      <c r="D5" s="28">
        <f t="shared" si="2"/>
        <v>0</v>
      </c>
      <c r="E5" s="28">
        <f t="shared" si="2"/>
        <v>0</v>
      </c>
      <c r="F5" s="28">
        <f t="shared" si="2"/>
        <v>0</v>
      </c>
      <c r="G5" s="28">
        <f t="shared" si="2"/>
        <v>0</v>
      </c>
      <c r="H5" s="28">
        <f t="shared" si="2"/>
        <v>0</v>
      </c>
      <c r="I5" s="28">
        <f t="shared" si="2"/>
        <v>0</v>
      </c>
      <c r="J5" s="28">
        <f t="shared" si="2"/>
        <v>0</v>
      </c>
      <c r="K5" s="28">
        <f t="shared" si="2"/>
        <v>0</v>
      </c>
      <c r="L5" s="28">
        <f t="shared" si="2"/>
        <v>0</v>
      </c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</row>
    <row r="6" ht="18.75" customHeight="1">
      <c r="A6" s="42" t="s">
        <v>20</v>
      </c>
      <c r="B6" s="28"/>
      <c r="C6" s="28"/>
      <c r="D6" s="28"/>
      <c r="E6" s="28"/>
      <c r="F6" s="28"/>
      <c r="G6" s="28"/>
      <c r="H6" s="46"/>
      <c r="I6" s="46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</row>
    <row r="7" ht="18.75" customHeight="1">
      <c r="A7" s="51" t="s">
        <v>28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 ht="18.75" customHeight="1">
      <c r="A8" s="51" t="s">
        <v>37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</row>
    <row r="9" ht="18.75" customHeight="1">
      <c r="A9" s="51" t="s">
        <v>30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</row>
    <row r="10" ht="18.75" customHeight="1">
      <c r="A10" s="51" t="s">
        <v>38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 ht="18.75" customHeight="1">
      <c r="A11" s="51" t="s">
        <v>34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</row>
    <row r="12" ht="18.75" customHeight="1">
      <c r="A12" s="57" t="s">
        <v>36</v>
      </c>
      <c r="B12" s="57" t="s">
        <v>14</v>
      </c>
      <c r="C12" s="57" t="s">
        <v>15</v>
      </c>
      <c r="D12" s="57" t="s">
        <v>16</v>
      </c>
      <c r="E12" s="57" t="s">
        <v>17</v>
      </c>
      <c r="F12" s="57" t="s">
        <v>18</v>
      </c>
      <c r="G12" s="57" t="s">
        <v>19</v>
      </c>
      <c r="H12" s="57" t="s">
        <v>22</v>
      </c>
      <c r="I12" s="57" t="s">
        <v>23</v>
      </c>
      <c r="J12" s="57" t="s">
        <v>24</v>
      </c>
      <c r="K12" s="57" t="s">
        <v>25</v>
      </c>
      <c r="L12" s="57" t="s">
        <v>26</v>
      </c>
      <c r="M12" s="57" t="s">
        <v>27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</row>
    <row r="13" ht="18.75" customHeight="1">
      <c r="A13" s="31" t="s">
        <v>41</v>
      </c>
      <c r="B13" s="28">
        <f t="shared" ref="B13:H13" si="3">SUM(B16:B20)</f>
        <v>0</v>
      </c>
      <c r="C13" s="28">
        <f t="shared" si="3"/>
        <v>0</v>
      </c>
      <c r="D13" s="28">
        <f t="shared" si="3"/>
        <v>0</v>
      </c>
      <c r="E13" s="28">
        <f t="shared" si="3"/>
        <v>0</v>
      </c>
      <c r="F13" s="28">
        <f t="shared" si="3"/>
        <v>0</v>
      </c>
      <c r="G13" s="28">
        <f t="shared" si="3"/>
        <v>0</v>
      </c>
      <c r="H13" s="28">
        <f t="shared" si="3"/>
        <v>0</v>
      </c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</row>
    <row r="14" ht="18.75" customHeight="1">
      <c r="A14" s="42" t="s">
        <v>44</v>
      </c>
      <c r="B14" s="28"/>
      <c r="C14" s="28">
        <f t="shared" ref="C14:H14" si="4">C13-B13</f>
        <v>0</v>
      </c>
      <c r="D14" s="28">
        <f t="shared" si="4"/>
        <v>0</v>
      </c>
      <c r="E14" s="28">
        <f t="shared" si="4"/>
        <v>0</v>
      </c>
      <c r="F14" s="28">
        <f t="shared" si="4"/>
        <v>0</v>
      </c>
      <c r="G14" s="28">
        <f t="shared" si="4"/>
        <v>0</v>
      </c>
      <c r="H14" s="28">
        <f t="shared" si="4"/>
        <v>0</v>
      </c>
      <c r="I14" s="28"/>
      <c r="J14" s="28"/>
      <c r="K14" s="28"/>
      <c r="L14" s="28"/>
      <c r="M14" s="39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</row>
    <row r="15" ht="18.75" customHeight="1">
      <c r="A15" s="42" t="s">
        <v>45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39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</row>
    <row r="16" ht="18.75" customHeight="1">
      <c r="A16" s="51" t="s">
        <v>28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</row>
    <row r="17" ht="18.75" customHeight="1">
      <c r="A17" s="51" t="s">
        <v>37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 ht="18.75" customHeight="1">
      <c r="A18" s="51" t="s">
        <v>30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</row>
    <row r="19" ht="18.75" customHeight="1">
      <c r="A19" s="51" t="s">
        <v>38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</row>
    <row r="20" ht="18.75" customHeight="1">
      <c r="A20" s="51" t="s">
        <v>34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 ht="13.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ht="13.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ht="13.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ht="13.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ht="13.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ht="13.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ht="13.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ht="13.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ht="13.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ht="13.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ht="13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ht="13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ht="13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ht="13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ht="13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ht="13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ht="13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ht="13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ht="13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ht="13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ht="13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ht="13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ht="13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ht="13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ht="13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ht="13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ht="13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ht="13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ht="13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ht="13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ht="13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ht="13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ht="13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ht="13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ht="13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ht="13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ht="13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ht="13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ht="13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ht="13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ht="13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ht="13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ht="13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ht="13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ht="13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ht="13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ht="13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ht="13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ht="13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ht="13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ht="13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ht="13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ht="13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ht="13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ht="13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ht="13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ht="13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ht="13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ht="13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ht="13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ht="13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ht="13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ht="13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ht="13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ht="13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ht="13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ht="13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ht="13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ht="13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ht="13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ht="13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ht="13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ht="13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ht="13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ht="13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ht="13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ht="13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ht="13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ht="13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ht="13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ht="13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ht="13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ht="13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ht="13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ht="13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ht="13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ht="13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ht="13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ht="13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ht="13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ht="13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ht="13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ht="13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ht="13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ht="13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ht="13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ht="13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ht="13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ht="13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ht="13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ht="13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ht="13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ht="13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ht="13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ht="13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ht="13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ht="13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ht="13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ht="13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ht="13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ht="13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ht="13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ht="13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ht="13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ht="13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ht="13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ht="13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ht="13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ht="13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ht="13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ht="13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ht="13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ht="13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ht="13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ht="13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ht="13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ht="13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ht="13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ht="13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ht="13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ht="13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ht="13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ht="13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ht="13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ht="13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ht="13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ht="13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ht="13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ht="13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ht="13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ht="13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ht="13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ht="13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ht="13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ht="13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ht="13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ht="13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ht="13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ht="13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ht="13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ht="13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ht="13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ht="13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ht="13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ht="13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ht="13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ht="13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ht="13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ht="13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ht="13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ht="13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ht="13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ht="13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ht="13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ht="13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ht="13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ht="13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ht="13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ht="13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ht="13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ht="13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ht="13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ht="13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ht="13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ht="13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ht="13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ht="13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ht="13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ht="13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ht="13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ht="13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ht="13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ht="13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ht="13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ht="13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ht="13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ht="13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ht="13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ht="13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ht="13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ht="13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ht="13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ht="13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ht="13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ht="13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ht="13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ht="13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ht="13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ht="13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ht="13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ht="13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ht="13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ht="13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ht="13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ht="13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ht="13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ht="13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ht="13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ht="13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ht="13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ht="13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ht="13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ht="13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ht="13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ht="13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ht="13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ht="13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ht="13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ht="13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ht="13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ht="13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ht="13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ht="13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ht="13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ht="13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ht="13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ht="13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ht="13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ht="13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ht="13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ht="13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ht="13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ht="13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ht="13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ht="13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 ht="13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ht="13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ht="13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ht="13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ht="13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ht="13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ht="13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ht="13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ht="13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ht="13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ht="13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ht="13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ht="13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ht="13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ht="13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ht="13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ht="13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ht="13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ht="13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ht="13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ht="13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ht="13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ht="13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ht="13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ht="13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ht="13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ht="13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ht="13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ht="13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ht="13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ht="13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ht="13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ht="13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ht="13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ht="13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ht="13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ht="13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ht="13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ht="13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ht="13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ht="13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ht="13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ht="13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ht="13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ht="13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ht="13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ht="13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ht="13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 ht="13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ht="13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ht="13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 ht="13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ht="13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ht="13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ht="13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ht="13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ht="13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ht="13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ht="13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ht="13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ht="13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ht="13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ht="13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ht="13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ht="13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ht="13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ht="13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ht="13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ht="13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ht="13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ht="13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ht="13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ht="13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ht="13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ht="13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ht="13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ht="13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ht="13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ht="13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ht="13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ht="13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ht="13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ht="13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ht="13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ht="13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ht="13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ht="13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ht="13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ht="13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ht="13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ht="13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ht="13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ht="13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ht="13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ht="13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ht="13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ht="13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ht="13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ht="13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ht="13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ht="13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ht="13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ht="13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ht="13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ht="13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ht="13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ht="13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ht="13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ht="13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ht="13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ht="13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ht="13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ht="13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ht="13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ht="13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ht="13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ht="13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ht="13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ht="13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ht="13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ht="13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ht="13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ht="13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ht="13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ht="13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ht="13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ht="13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ht="13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ht="13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ht="13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ht="13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ht="13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ht="13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ht="13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ht="13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ht="13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ht="13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ht="13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ht="13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ht="13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ht="13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ht="13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ht="13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ht="13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ht="13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ht="13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ht="13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ht="13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ht="13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ht="13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ht="13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ht="13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ht="13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ht="13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ht="13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ht="13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ht="13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ht="13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ht="13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ht="13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ht="13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ht="13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ht="13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ht="13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ht="13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ht="13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ht="13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ht="13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ht="13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ht="13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ht="13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ht="13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ht="13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ht="13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ht="13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ht="13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ht="13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ht="13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ht="13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ht="13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ht="13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ht="13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ht="13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ht="13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ht="13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ht="13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ht="13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ht="13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ht="13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ht="13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ht="13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ht="13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ht="13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ht="13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ht="13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ht="13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ht="13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ht="13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ht="13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ht="13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ht="13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ht="13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ht="13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ht="13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ht="13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ht="13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ht="13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ht="13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ht="13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ht="13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ht="13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ht="13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ht="13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ht="13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ht="13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ht="13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ht="13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ht="13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ht="13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ht="13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ht="13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ht="13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ht="13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ht="13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ht="13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ht="13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ht="13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ht="13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ht="13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ht="13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ht="13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ht="13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ht="13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ht="13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ht="13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ht="13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ht="13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ht="13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ht="13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ht="13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ht="13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ht="13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ht="13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ht="13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ht="13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ht="13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ht="13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ht="13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ht="13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ht="13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ht="13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ht="13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ht="13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ht="13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ht="13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ht="13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ht="13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ht="13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ht="13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ht="13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ht="13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ht="13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ht="13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ht="13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ht="13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ht="13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ht="13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ht="13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ht="13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ht="13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ht="13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ht="13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ht="13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ht="13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ht="13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ht="13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ht="13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ht="13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ht="13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ht="13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ht="13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ht="13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ht="13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ht="13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ht="13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ht="13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ht="13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ht="13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ht="13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ht="13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ht="13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ht="13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ht="13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ht="13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ht="13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ht="13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ht="13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ht="13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ht="13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ht="13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ht="13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ht="13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ht="13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ht="13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ht="13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ht="13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ht="13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ht="13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ht="13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ht="13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ht="13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ht="13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ht="13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ht="13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ht="13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ht="13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ht="13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ht="13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ht="13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ht="13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ht="13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ht="13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ht="13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ht="13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ht="13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ht="13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ht="13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ht="13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ht="13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ht="13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ht="13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ht="13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ht="13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ht="13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ht="13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ht="13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ht="13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ht="13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ht="13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ht="13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ht="13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ht="13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ht="13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ht="13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ht="13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ht="13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ht="13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ht="13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ht="13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ht="13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ht="13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ht="13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ht="13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ht="13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ht="13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ht="13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ht="13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ht="13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ht="13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ht="13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ht="13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ht="13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ht="13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ht="13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ht="13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ht="13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ht="13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ht="13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ht="13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ht="13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ht="13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ht="13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ht="13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ht="13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ht="13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ht="13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ht="13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ht="13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ht="13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ht="13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ht="13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ht="13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ht="13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ht="13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ht="13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ht="13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ht="13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ht="13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ht="13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ht="13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ht="13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ht="13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ht="13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ht="13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ht="13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ht="13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ht="13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ht="13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ht="13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ht="13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ht="13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ht="13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ht="13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ht="13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ht="13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ht="13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ht="13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ht="13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ht="13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ht="13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ht="13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ht="13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ht="13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ht="13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ht="13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ht="13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ht="13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ht="13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ht="13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ht="13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ht="13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ht="13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ht="13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ht="13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ht="13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ht="13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ht="13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ht="13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ht="13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ht="13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ht="13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ht="13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ht="13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ht="13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ht="13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ht="13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ht="13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ht="13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ht="13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ht="13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ht="13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ht="13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ht="13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ht="13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ht="13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ht="13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ht="13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ht="13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ht="13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ht="13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ht="13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ht="13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ht="13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ht="13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ht="13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ht="13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ht="13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ht="13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ht="13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ht="13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ht="13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ht="13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ht="13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ht="13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ht="13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ht="13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ht="13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ht="13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ht="13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ht="13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ht="13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ht="13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ht="13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ht="13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ht="13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ht="13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ht="13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ht="13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ht="13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ht="13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ht="13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ht="13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ht="13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ht="13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ht="13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ht="13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ht="13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ht="13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ht="13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ht="13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ht="13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ht="13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ht="13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ht="13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ht="13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ht="13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ht="13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ht="13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ht="13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ht="13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ht="13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ht="13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ht="13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ht="13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ht="13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ht="13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ht="13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ht="13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ht="13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ht="13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ht="13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ht="13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ht="13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ht="13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ht="13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ht="13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ht="13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ht="13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ht="13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ht="13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ht="13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ht="13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ht="13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ht="13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ht="13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ht="13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ht="13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ht="13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ht="13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ht="13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ht="13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ht="13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ht="13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ht="13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ht="13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ht="13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ht="13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ht="13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ht="13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ht="13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ht="13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ht="13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ht="13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ht="13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ht="13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ht="13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ht="13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ht="13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ht="13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ht="13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ht="13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ht="13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ht="13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ht="13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ht="13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ht="13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ht="13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ht="13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ht="13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ht="13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ht="13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ht="13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ht="13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ht="13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ht="13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ht="13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ht="13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ht="13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ht="13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ht="13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ht="13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ht="13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ht="13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ht="13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ht="13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ht="13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ht="13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ht="13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ht="13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ht="13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ht="13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ht="13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ht="13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ht="13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ht="13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ht="13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ht="13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ht="13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ht="13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ht="13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ht="13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ht="13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ht="13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ht="13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ht="13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ht="13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 ht="13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 ht="13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 ht="13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 ht="13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 ht="13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 ht="13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 ht="13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 ht="13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 ht="13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 ht="13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 ht="13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 ht="13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 ht="13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 ht="13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 ht="13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 ht="13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 ht="13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 ht="13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 ht="13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 ht="13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 ht="13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 ht="13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 ht="13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 ht="13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 ht="13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 ht="13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 ht="13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 ht="13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 ht="13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 ht="13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 ht="13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 ht="13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 ht="13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 ht="13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 ht="13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 ht="13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 ht="13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  <row r="997" ht="13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</row>
    <row r="998" ht="13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</row>
    <row r="999" ht="13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</row>
    <row r="1000" ht="13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outlinePr summaryBelow="0" summaryRight="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20.25"/>
    <col customWidth="1" min="2" max="3" width="14.63"/>
    <col customWidth="1" min="4" max="10" width="11.88"/>
    <col customWidth="1" min="11" max="11" width="12.63"/>
    <col customWidth="1" min="12" max="12" width="3.0"/>
    <col customWidth="1" min="13" max="13" width="11.25"/>
    <col customWidth="1" min="14" max="21" width="13.63"/>
    <col customWidth="1" min="22" max="27" width="12.63"/>
  </cols>
  <sheetData>
    <row r="1" ht="15.75" customHeight="1">
      <c r="A1" s="5" t="s">
        <v>4</v>
      </c>
      <c r="B1" s="8"/>
      <c r="C1" s="8"/>
      <c r="D1" s="8"/>
      <c r="E1" s="8"/>
      <c r="F1" s="8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ht="15.75" customHeight="1">
      <c r="A3" s="3" t="s">
        <v>2</v>
      </c>
      <c r="B3" s="3" t="s">
        <v>5</v>
      </c>
      <c r="C3" s="7">
        <v>46048.0</v>
      </c>
      <c r="D3" s="7">
        <v>46054.0</v>
      </c>
      <c r="E3" s="7">
        <v>46082.0</v>
      </c>
      <c r="F3" s="7">
        <v>46113.0</v>
      </c>
      <c r="G3" s="7">
        <v>46143.0</v>
      </c>
      <c r="H3" s="7">
        <v>46174.0</v>
      </c>
      <c r="I3" s="7">
        <v>46204.0</v>
      </c>
      <c r="J3" s="7">
        <v>46235.0</v>
      </c>
      <c r="K3" s="21" t="s">
        <v>10</v>
      </c>
      <c r="L3" s="22"/>
      <c r="M3" s="3" t="s">
        <v>11</v>
      </c>
      <c r="N3" s="7">
        <v>46023.0</v>
      </c>
      <c r="O3" s="7">
        <v>46054.0</v>
      </c>
      <c r="P3" s="7">
        <v>46082.0</v>
      </c>
      <c r="Q3" s="7">
        <v>46113.0</v>
      </c>
      <c r="R3" s="7">
        <v>46143.0</v>
      </c>
      <c r="S3" s="7">
        <v>46174.0</v>
      </c>
      <c r="T3" s="7">
        <v>46204.0</v>
      </c>
      <c r="U3" s="7" t="s">
        <v>13</v>
      </c>
      <c r="V3" s="24"/>
      <c r="W3" s="24"/>
      <c r="X3" s="24"/>
      <c r="Y3" s="24"/>
      <c r="Z3" s="24"/>
      <c r="AA3" s="24"/>
    </row>
    <row r="4" ht="15.75" customHeight="1">
      <c r="A4" s="26" t="s">
        <v>21</v>
      </c>
      <c r="B4" s="27"/>
      <c r="C4" s="32">
        <f t="shared" ref="C4:K4" si="1">SUM(C7,C14,M14)</f>
        <v>0</v>
      </c>
      <c r="D4" s="32">
        <f t="shared" si="1"/>
        <v>0</v>
      </c>
      <c r="E4" s="32">
        <f t="shared" si="1"/>
        <v>0</v>
      </c>
      <c r="F4" s="32">
        <f t="shared" si="1"/>
        <v>0</v>
      </c>
      <c r="G4" s="32">
        <f t="shared" si="1"/>
        <v>0</v>
      </c>
      <c r="H4" s="32">
        <f t="shared" si="1"/>
        <v>0</v>
      </c>
      <c r="I4" s="32">
        <f t="shared" si="1"/>
        <v>0</v>
      </c>
      <c r="J4" s="32">
        <f t="shared" si="1"/>
        <v>0</v>
      </c>
      <c r="K4" s="32">
        <f t="shared" si="1"/>
        <v>0</v>
      </c>
      <c r="L4" s="32"/>
      <c r="M4" s="32"/>
      <c r="N4" s="32">
        <f t="shared" ref="N4:T4" si="2">SUM(N7,N14,X14)</f>
        <v>0</v>
      </c>
      <c r="O4" s="32">
        <f t="shared" si="2"/>
        <v>0</v>
      </c>
      <c r="P4" s="32">
        <f t="shared" si="2"/>
        <v>0</v>
      </c>
      <c r="Q4" s="32">
        <f t="shared" si="2"/>
        <v>0</v>
      </c>
      <c r="R4" s="32">
        <f t="shared" si="2"/>
        <v>0</v>
      </c>
      <c r="S4" s="32">
        <f t="shared" si="2"/>
        <v>0</v>
      </c>
      <c r="T4" s="32">
        <f t="shared" si="2"/>
        <v>0</v>
      </c>
      <c r="U4" s="35">
        <f t="shared" ref="U4:U8" si="5">T4-S4</f>
        <v>0</v>
      </c>
      <c r="V4" s="32"/>
      <c r="W4" s="32"/>
      <c r="X4" s="32"/>
      <c r="Y4" s="32"/>
      <c r="Z4" s="32"/>
      <c r="AA4" s="32"/>
    </row>
    <row r="5" ht="15.75" customHeight="1">
      <c r="A5" s="37" t="s">
        <v>32</v>
      </c>
      <c r="B5" s="38"/>
      <c r="C5" s="40"/>
      <c r="D5" s="40">
        <f t="shared" ref="D5:K5" si="3">D4-C4</f>
        <v>0</v>
      </c>
      <c r="E5" s="40">
        <f t="shared" si="3"/>
        <v>0</v>
      </c>
      <c r="F5" s="40">
        <f t="shared" si="3"/>
        <v>0</v>
      </c>
      <c r="G5" s="40">
        <f t="shared" si="3"/>
        <v>0</v>
      </c>
      <c r="H5" s="40">
        <f t="shared" si="3"/>
        <v>0</v>
      </c>
      <c r="I5" s="40">
        <f t="shared" si="3"/>
        <v>0</v>
      </c>
      <c r="J5" s="40">
        <f t="shared" si="3"/>
        <v>0</v>
      </c>
      <c r="K5" s="40">
        <f t="shared" si="3"/>
        <v>0</v>
      </c>
      <c r="L5" s="44"/>
      <c r="M5" s="44"/>
      <c r="N5" s="40">
        <f t="shared" ref="N5:T5" si="4">N4-M4</f>
        <v>0</v>
      </c>
      <c r="O5" s="40">
        <f t="shared" si="4"/>
        <v>0</v>
      </c>
      <c r="P5" s="40">
        <f t="shared" si="4"/>
        <v>0</v>
      </c>
      <c r="Q5" s="40">
        <f t="shared" si="4"/>
        <v>0</v>
      </c>
      <c r="R5" s="40">
        <f t="shared" si="4"/>
        <v>0</v>
      </c>
      <c r="S5" s="40">
        <f t="shared" si="4"/>
        <v>0</v>
      </c>
      <c r="T5" s="40">
        <f t="shared" si="4"/>
        <v>0</v>
      </c>
      <c r="U5" s="35">
        <f t="shared" si="5"/>
        <v>0</v>
      </c>
      <c r="V5" s="44"/>
      <c r="W5" s="44"/>
      <c r="X5" s="44"/>
      <c r="Y5" s="44"/>
      <c r="Z5" s="44"/>
      <c r="AA5" s="44"/>
    </row>
    <row r="6" ht="15.75" customHeight="1">
      <c r="A6" s="37" t="s">
        <v>35</v>
      </c>
      <c r="B6" s="38"/>
      <c r="C6" s="44"/>
      <c r="D6" s="50" t="str">
        <f t="shared" ref="D6:K6" si="6">D4/C4-1</f>
        <v>#DIV/0!</v>
      </c>
      <c r="E6" s="50" t="str">
        <f t="shared" si="6"/>
        <v>#DIV/0!</v>
      </c>
      <c r="F6" s="50" t="str">
        <f t="shared" si="6"/>
        <v>#DIV/0!</v>
      </c>
      <c r="G6" s="50" t="str">
        <f t="shared" si="6"/>
        <v>#DIV/0!</v>
      </c>
      <c r="H6" s="50" t="str">
        <f t="shared" si="6"/>
        <v>#DIV/0!</v>
      </c>
      <c r="I6" s="50" t="str">
        <f t="shared" si="6"/>
        <v>#DIV/0!</v>
      </c>
      <c r="J6" s="50" t="str">
        <f t="shared" si="6"/>
        <v>#DIV/0!</v>
      </c>
      <c r="K6" s="50" t="str">
        <f t="shared" si="6"/>
        <v>#DIV/0!</v>
      </c>
      <c r="L6" s="44"/>
      <c r="M6" s="44"/>
      <c r="N6" s="50" t="str">
        <f t="shared" ref="N6:T6" si="7">N4/M4-1</f>
        <v>#DIV/0!</v>
      </c>
      <c r="O6" s="50" t="str">
        <f t="shared" si="7"/>
        <v>#DIV/0!</v>
      </c>
      <c r="P6" s="50" t="str">
        <f t="shared" si="7"/>
        <v>#DIV/0!</v>
      </c>
      <c r="Q6" s="50" t="str">
        <f t="shared" si="7"/>
        <v>#DIV/0!</v>
      </c>
      <c r="R6" s="50" t="str">
        <f t="shared" si="7"/>
        <v>#DIV/0!</v>
      </c>
      <c r="S6" s="50" t="str">
        <f t="shared" si="7"/>
        <v>#DIV/0!</v>
      </c>
      <c r="T6" s="50" t="str">
        <f t="shared" si="7"/>
        <v>#DIV/0!</v>
      </c>
      <c r="U6" s="35" t="str">
        <f t="shared" si="5"/>
        <v>#DIV/0!</v>
      </c>
      <c r="V6" s="44"/>
      <c r="W6" s="44"/>
      <c r="X6" s="44"/>
      <c r="Y6" s="44"/>
      <c r="Z6" s="44"/>
      <c r="AA6" s="44"/>
    </row>
    <row r="7" ht="15.75" customHeight="1">
      <c r="A7" s="35" t="s">
        <v>28</v>
      </c>
      <c r="B7" s="37"/>
      <c r="C7" s="11">
        <f t="shared" ref="C7:J7" si="8">SUM(C9,C11,C13)</f>
        <v>0</v>
      </c>
      <c r="D7" s="11">
        <f t="shared" si="8"/>
        <v>0</v>
      </c>
      <c r="E7" s="11">
        <f t="shared" si="8"/>
        <v>0</v>
      </c>
      <c r="F7" s="11">
        <f t="shared" si="8"/>
        <v>0</v>
      </c>
      <c r="G7" s="11">
        <f t="shared" si="8"/>
        <v>0</v>
      </c>
      <c r="H7" s="11">
        <f t="shared" si="8"/>
        <v>0</v>
      </c>
      <c r="I7" s="11">
        <f t="shared" si="8"/>
        <v>0</v>
      </c>
      <c r="J7" s="11">
        <f t="shared" si="8"/>
        <v>0</v>
      </c>
      <c r="K7" s="11">
        <f>SUM(K9,K11)</f>
        <v>0</v>
      </c>
      <c r="L7" s="11"/>
      <c r="M7" s="11"/>
      <c r="N7" s="11">
        <f t="shared" ref="N7:T7" si="9">SUM(N9,N11,N13)</f>
        <v>0</v>
      </c>
      <c r="O7" s="11">
        <f t="shared" si="9"/>
        <v>0</v>
      </c>
      <c r="P7" s="11">
        <f t="shared" si="9"/>
        <v>0</v>
      </c>
      <c r="Q7" s="11">
        <f t="shared" si="9"/>
        <v>0</v>
      </c>
      <c r="R7" s="11">
        <f t="shared" si="9"/>
        <v>0</v>
      </c>
      <c r="S7" s="11">
        <f t="shared" si="9"/>
        <v>0</v>
      </c>
      <c r="T7" s="11">
        <f t="shared" si="9"/>
        <v>0</v>
      </c>
      <c r="U7" s="35">
        <f t="shared" si="5"/>
        <v>0</v>
      </c>
      <c r="V7" s="11"/>
      <c r="W7" s="11"/>
      <c r="X7" s="11"/>
      <c r="Y7" s="11"/>
      <c r="Z7" s="11"/>
      <c r="AA7" s="11"/>
    </row>
    <row r="8" ht="15.75" customHeight="1">
      <c r="A8" s="37" t="s">
        <v>39</v>
      </c>
      <c r="B8" s="37"/>
      <c r="C8" s="11"/>
      <c r="D8" s="11">
        <f t="shared" ref="D8:K8" si="10">D7-C7</f>
        <v>0</v>
      </c>
      <c r="E8" s="11">
        <f t="shared" si="10"/>
        <v>0</v>
      </c>
      <c r="F8" s="11">
        <f t="shared" si="10"/>
        <v>0</v>
      </c>
      <c r="G8" s="11">
        <f t="shared" si="10"/>
        <v>0</v>
      </c>
      <c r="H8" s="11">
        <f t="shared" si="10"/>
        <v>0</v>
      </c>
      <c r="I8" s="11">
        <f t="shared" si="10"/>
        <v>0</v>
      </c>
      <c r="J8" s="11">
        <f t="shared" si="10"/>
        <v>0</v>
      </c>
      <c r="K8" s="11">
        <f t="shared" si="10"/>
        <v>0</v>
      </c>
      <c r="L8" s="11"/>
      <c r="M8" s="11"/>
      <c r="N8" s="11">
        <f t="shared" ref="N8:T8" si="11">N7-M7</f>
        <v>0</v>
      </c>
      <c r="O8" s="11">
        <f t="shared" si="11"/>
        <v>0</v>
      </c>
      <c r="P8" s="11">
        <f t="shared" si="11"/>
        <v>0</v>
      </c>
      <c r="Q8" s="11">
        <f t="shared" si="11"/>
        <v>0</v>
      </c>
      <c r="R8" s="11">
        <f t="shared" si="11"/>
        <v>0</v>
      </c>
      <c r="S8" s="11">
        <f t="shared" si="11"/>
        <v>0</v>
      </c>
      <c r="T8" s="11">
        <f t="shared" si="11"/>
        <v>0</v>
      </c>
      <c r="U8" s="35">
        <f t="shared" si="5"/>
        <v>0</v>
      </c>
      <c r="V8" s="11"/>
      <c r="W8" s="11"/>
      <c r="X8" s="11"/>
      <c r="Y8" s="11"/>
      <c r="Z8" s="11"/>
      <c r="AA8" s="11"/>
    </row>
    <row r="9" ht="15.75" customHeight="1">
      <c r="A9" s="37"/>
      <c r="B9" s="35" t="s">
        <v>40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35"/>
      <c r="V9" s="11"/>
      <c r="W9" s="11"/>
      <c r="X9" s="11"/>
      <c r="Y9" s="11"/>
      <c r="Z9" s="11"/>
      <c r="AA9" s="11"/>
    </row>
    <row r="10" ht="15.75" customHeight="1">
      <c r="A10" s="37"/>
      <c r="B10" s="37" t="s">
        <v>39</v>
      </c>
      <c r="C10" s="11"/>
      <c r="D10" s="11">
        <f t="shared" ref="D10:K10" si="12">D9-C9</f>
        <v>0</v>
      </c>
      <c r="E10" s="11">
        <f t="shared" si="12"/>
        <v>0</v>
      </c>
      <c r="F10" s="11">
        <f t="shared" si="12"/>
        <v>0</v>
      </c>
      <c r="G10" s="11">
        <f t="shared" si="12"/>
        <v>0</v>
      </c>
      <c r="H10" s="11">
        <f t="shared" si="12"/>
        <v>0</v>
      </c>
      <c r="I10" s="11">
        <f t="shared" si="12"/>
        <v>0</v>
      </c>
      <c r="J10" s="11">
        <f t="shared" si="12"/>
        <v>0</v>
      </c>
      <c r="K10" s="11">
        <f t="shared" si="12"/>
        <v>0</v>
      </c>
      <c r="L10" s="11"/>
      <c r="M10" s="11"/>
      <c r="N10" s="11">
        <f t="shared" ref="N10:T10" si="13">N9-M9</f>
        <v>0</v>
      </c>
      <c r="O10" s="11">
        <f t="shared" si="13"/>
        <v>0</v>
      </c>
      <c r="P10" s="11">
        <f t="shared" si="13"/>
        <v>0</v>
      </c>
      <c r="Q10" s="11">
        <f t="shared" si="13"/>
        <v>0</v>
      </c>
      <c r="R10" s="11">
        <f t="shared" si="13"/>
        <v>0</v>
      </c>
      <c r="S10" s="11">
        <f t="shared" si="13"/>
        <v>0</v>
      </c>
      <c r="T10" s="11">
        <f t="shared" si="13"/>
        <v>0</v>
      </c>
      <c r="U10" s="35">
        <f>T10-S10</f>
        <v>0</v>
      </c>
      <c r="V10" s="11"/>
      <c r="W10" s="11"/>
      <c r="X10" s="11"/>
      <c r="Y10" s="11"/>
      <c r="Z10" s="11"/>
      <c r="AA10" s="11"/>
    </row>
    <row r="11" ht="15.75" customHeight="1">
      <c r="A11" s="37"/>
      <c r="B11" s="35" t="s">
        <v>42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35"/>
      <c r="V11" s="11"/>
      <c r="W11" s="11"/>
      <c r="X11" s="11"/>
      <c r="Y11" s="11"/>
      <c r="Z11" s="11"/>
      <c r="AA11" s="11"/>
    </row>
    <row r="12" ht="15.75" customHeight="1">
      <c r="A12" s="37"/>
      <c r="B12" s="37" t="s">
        <v>39</v>
      </c>
      <c r="C12" s="11"/>
      <c r="D12" s="11">
        <f t="shared" ref="D12:K12" si="14">D11-C11</f>
        <v>0</v>
      </c>
      <c r="E12" s="11">
        <f t="shared" si="14"/>
        <v>0</v>
      </c>
      <c r="F12" s="11">
        <f t="shared" si="14"/>
        <v>0</v>
      </c>
      <c r="G12" s="11">
        <f t="shared" si="14"/>
        <v>0</v>
      </c>
      <c r="H12" s="11">
        <f t="shared" si="14"/>
        <v>0</v>
      </c>
      <c r="I12" s="11">
        <f t="shared" si="14"/>
        <v>0</v>
      </c>
      <c r="J12" s="11">
        <f t="shared" si="14"/>
        <v>0</v>
      </c>
      <c r="K12" s="11">
        <f t="shared" si="14"/>
        <v>0</v>
      </c>
      <c r="L12" s="11"/>
      <c r="M12" s="11"/>
      <c r="N12" s="11">
        <f t="shared" ref="N12:T12" si="15">N11-M11</f>
        <v>0</v>
      </c>
      <c r="O12" s="11">
        <f t="shared" si="15"/>
        <v>0</v>
      </c>
      <c r="P12" s="11">
        <f t="shared" si="15"/>
        <v>0</v>
      </c>
      <c r="Q12" s="11">
        <f t="shared" si="15"/>
        <v>0</v>
      </c>
      <c r="R12" s="11">
        <f t="shared" si="15"/>
        <v>0</v>
      </c>
      <c r="S12" s="11">
        <f t="shared" si="15"/>
        <v>0</v>
      </c>
      <c r="T12" s="11">
        <f t="shared" si="15"/>
        <v>0</v>
      </c>
      <c r="U12" s="35">
        <f>T12-S12</f>
        <v>0</v>
      </c>
      <c r="V12" s="11"/>
      <c r="W12" s="11"/>
      <c r="X12" s="11"/>
      <c r="Y12" s="11"/>
      <c r="Z12" s="11"/>
      <c r="AA12" s="11"/>
    </row>
    <row r="13" ht="15.75" customHeight="1">
      <c r="A13" s="37"/>
      <c r="B13" s="35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35"/>
      <c r="V13" s="11"/>
      <c r="W13" s="11"/>
      <c r="X13" s="11"/>
      <c r="Y13" s="11"/>
      <c r="Z13" s="11"/>
      <c r="AA13" s="11"/>
    </row>
    <row r="14">
      <c r="A14" s="35" t="s">
        <v>29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35"/>
      <c r="V14" s="11"/>
      <c r="W14" s="11"/>
      <c r="X14" s="11"/>
      <c r="Y14" s="11"/>
      <c r="Z14" s="11"/>
      <c r="AA14" s="11"/>
    </row>
    <row r="15" ht="15.75" customHeight="1">
      <c r="A15" s="37" t="s">
        <v>39</v>
      </c>
      <c r="B15" s="37"/>
      <c r="C15" s="11"/>
      <c r="D15" s="11">
        <f t="shared" ref="D15:K15" si="16">D14-C14</f>
        <v>0</v>
      </c>
      <c r="E15" s="11">
        <f t="shared" si="16"/>
        <v>0</v>
      </c>
      <c r="F15" s="11">
        <f t="shared" si="16"/>
        <v>0</v>
      </c>
      <c r="G15" s="11">
        <f t="shared" si="16"/>
        <v>0</v>
      </c>
      <c r="H15" s="11">
        <f t="shared" si="16"/>
        <v>0</v>
      </c>
      <c r="I15" s="11">
        <f t="shared" si="16"/>
        <v>0</v>
      </c>
      <c r="J15" s="11">
        <f t="shared" si="16"/>
        <v>0</v>
      </c>
      <c r="K15" s="11">
        <f t="shared" si="16"/>
        <v>0</v>
      </c>
      <c r="L15" s="11"/>
      <c r="M15" s="11"/>
      <c r="N15" s="11">
        <f t="shared" ref="N15:T15" si="17">N14-M14</f>
        <v>0</v>
      </c>
      <c r="O15" s="11">
        <f t="shared" si="17"/>
        <v>0</v>
      </c>
      <c r="P15" s="11">
        <f t="shared" si="17"/>
        <v>0</v>
      </c>
      <c r="Q15" s="11">
        <f t="shared" si="17"/>
        <v>0</v>
      </c>
      <c r="R15" s="11">
        <f t="shared" si="17"/>
        <v>0</v>
      </c>
      <c r="S15" s="11">
        <f t="shared" si="17"/>
        <v>0</v>
      </c>
      <c r="T15" s="11">
        <f t="shared" si="17"/>
        <v>0</v>
      </c>
      <c r="U15" s="35">
        <f>T15-S15</f>
        <v>0</v>
      </c>
      <c r="V15" s="11"/>
      <c r="W15" s="11"/>
      <c r="X15" s="11"/>
      <c r="Y15" s="11"/>
      <c r="Z15" s="11"/>
      <c r="AA15" s="11"/>
    </row>
    <row r="16" ht="12.75" customHeight="1">
      <c r="A16" s="11"/>
      <c r="B16" s="75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35"/>
      <c r="V16" s="11"/>
      <c r="W16" s="11"/>
      <c r="X16" s="11"/>
      <c r="Y16" s="11"/>
      <c r="Z16" s="11"/>
      <c r="AA16" s="11"/>
    </row>
    <row r="17" ht="12.75" customHeight="1">
      <c r="A17" s="11"/>
      <c r="B17" s="75" t="s">
        <v>47</v>
      </c>
      <c r="C17" s="11"/>
      <c r="D17" s="11">
        <f t="shared" ref="D17:K17" si="18">D16-C16</f>
        <v>0</v>
      </c>
      <c r="E17" s="11">
        <f t="shared" si="18"/>
        <v>0</v>
      </c>
      <c r="F17" s="11">
        <f t="shared" si="18"/>
        <v>0</v>
      </c>
      <c r="G17" s="11">
        <f t="shared" si="18"/>
        <v>0</v>
      </c>
      <c r="H17" s="11">
        <f t="shared" si="18"/>
        <v>0</v>
      </c>
      <c r="I17" s="11">
        <f t="shared" si="18"/>
        <v>0</v>
      </c>
      <c r="J17" s="11">
        <f t="shared" si="18"/>
        <v>0</v>
      </c>
      <c r="K17" s="11">
        <f t="shared" si="18"/>
        <v>0</v>
      </c>
      <c r="L17" s="11"/>
      <c r="M17" s="11"/>
      <c r="N17" s="11">
        <f t="shared" ref="N17:T17" si="19">N16-M16</f>
        <v>0</v>
      </c>
      <c r="O17" s="11">
        <f t="shared" si="19"/>
        <v>0</v>
      </c>
      <c r="P17" s="11">
        <f t="shared" si="19"/>
        <v>0</v>
      </c>
      <c r="Q17" s="11">
        <f t="shared" si="19"/>
        <v>0</v>
      </c>
      <c r="R17" s="11">
        <f t="shared" si="19"/>
        <v>0</v>
      </c>
      <c r="S17" s="11">
        <f t="shared" si="19"/>
        <v>0</v>
      </c>
      <c r="T17" s="11">
        <f t="shared" si="19"/>
        <v>0</v>
      </c>
      <c r="U17" s="35">
        <f>T17-S17</f>
        <v>0</v>
      </c>
      <c r="V17" s="11"/>
      <c r="W17" s="11"/>
      <c r="X17" s="11"/>
      <c r="Y17" s="11"/>
      <c r="Z17" s="11"/>
      <c r="AA17" s="11"/>
    </row>
    <row r="18" ht="15.75" customHeight="1">
      <c r="A18" s="37"/>
      <c r="B18" s="75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35"/>
      <c r="V18" s="11"/>
      <c r="W18" s="11"/>
      <c r="X18" s="11"/>
      <c r="Y18" s="11"/>
      <c r="Z18" s="11"/>
      <c r="AA18" s="11"/>
    </row>
    <row r="19" ht="15.75" customHeight="1">
      <c r="A19" s="37"/>
      <c r="B19" s="75"/>
      <c r="C19" s="11"/>
      <c r="D19" s="11">
        <f t="shared" ref="D19:K19" si="20">D18-C18</f>
        <v>0</v>
      </c>
      <c r="E19" s="11">
        <f t="shared" si="20"/>
        <v>0</v>
      </c>
      <c r="F19" s="11">
        <f t="shared" si="20"/>
        <v>0</v>
      </c>
      <c r="G19" s="11">
        <f t="shared" si="20"/>
        <v>0</v>
      </c>
      <c r="H19" s="11">
        <f t="shared" si="20"/>
        <v>0</v>
      </c>
      <c r="I19" s="11">
        <f t="shared" si="20"/>
        <v>0</v>
      </c>
      <c r="J19" s="11">
        <f t="shared" si="20"/>
        <v>0</v>
      </c>
      <c r="K19" s="11">
        <f t="shared" si="20"/>
        <v>0</v>
      </c>
      <c r="L19" s="11"/>
      <c r="M19" s="11"/>
      <c r="N19" s="11">
        <f t="shared" ref="N19:T19" si="21">N18-M18</f>
        <v>0</v>
      </c>
      <c r="O19" s="11">
        <f t="shared" si="21"/>
        <v>0</v>
      </c>
      <c r="P19" s="11">
        <f t="shared" si="21"/>
        <v>0</v>
      </c>
      <c r="Q19" s="11">
        <f t="shared" si="21"/>
        <v>0</v>
      </c>
      <c r="R19" s="11">
        <f t="shared" si="21"/>
        <v>0</v>
      </c>
      <c r="S19" s="11">
        <f t="shared" si="21"/>
        <v>0</v>
      </c>
      <c r="T19" s="11">
        <f t="shared" si="21"/>
        <v>0</v>
      </c>
      <c r="U19" s="35">
        <f>T19-S19</f>
        <v>0</v>
      </c>
      <c r="V19" s="11"/>
      <c r="W19" s="11"/>
      <c r="X19" s="11"/>
      <c r="Y19" s="11"/>
      <c r="Z19" s="11"/>
      <c r="AA19" s="11"/>
    </row>
    <row r="20" ht="15.75" customHeight="1">
      <c r="A20" s="37"/>
      <c r="B20" s="75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35"/>
      <c r="V20" s="11"/>
      <c r="W20" s="11"/>
      <c r="X20" s="11"/>
      <c r="Y20" s="11"/>
      <c r="Z20" s="11"/>
      <c r="AA20" s="11"/>
    </row>
    <row r="21" ht="15.75" customHeight="1">
      <c r="A21" s="37"/>
      <c r="B21" s="75"/>
      <c r="C21" s="11"/>
      <c r="D21" s="11">
        <f t="shared" ref="D21:K21" si="22">D20-C20</f>
        <v>0</v>
      </c>
      <c r="E21" s="11">
        <f t="shared" si="22"/>
        <v>0</v>
      </c>
      <c r="F21" s="11">
        <f t="shared" si="22"/>
        <v>0</v>
      </c>
      <c r="G21" s="11">
        <f t="shared" si="22"/>
        <v>0</v>
      </c>
      <c r="H21" s="11">
        <f t="shared" si="22"/>
        <v>0</v>
      </c>
      <c r="I21" s="11">
        <f t="shared" si="22"/>
        <v>0</v>
      </c>
      <c r="J21" s="11">
        <f t="shared" si="22"/>
        <v>0</v>
      </c>
      <c r="K21" s="11">
        <f t="shared" si="22"/>
        <v>0</v>
      </c>
      <c r="L21" s="11"/>
      <c r="M21" s="11"/>
      <c r="N21" s="11">
        <f t="shared" ref="N21:T21" si="23">N20-M20</f>
        <v>0</v>
      </c>
      <c r="O21" s="11">
        <f t="shared" si="23"/>
        <v>0</v>
      </c>
      <c r="P21" s="11">
        <f t="shared" si="23"/>
        <v>0</v>
      </c>
      <c r="Q21" s="11">
        <f t="shared" si="23"/>
        <v>0</v>
      </c>
      <c r="R21" s="11">
        <f t="shared" si="23"/>
        <v>0</v>
      </c>
      <c r="S21" s="11">
        <f t="shared" si="23"/>
        <v>0</v>
      </c>
      <c r="T21" s="11">
        <f t="shared" si="23"/>
        <v>0</v>
      </c>
      <c r="U21" s="35">
        <f>T21-S21</f>
        <v>0</v>
      </c>
      <c r="V21" s="11"/>
      <c r="W21" s="11"/>
      <c r="X21" s="11"/>
      <c r="Y21" s="11"/>
      <c r="Z21" s="11"/>
      <c r="AA21" s="11"/>
    </row>
    <row r="22" ht="15.75" customHeight="1">
      <c r="A22" s="37"/>
      <c r="B22" s="75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35"/>
      <c r="V22" s="11"/>
      <c r="W22" s="11"/>
      <c r="X22" s="11"/>
      <c r="Y22" s="11"/>
      <c r="Z22" s="11"/>
      <c r="AA22" s="11"/>
    </row>
    <row r="23" ht="15.75" customHeight="1">
      <c r="A23" s="37"/>
      <c r="B23" s="75"/>
      <c r="C23" s="11"/>
      <c r="D23" s="11">
        <f t="shared" ref="D23:K23" si="24">D22-C22</f>
        <v>0</v>
      </c>
      <c r="E23" s="11">
        <f t="shared" si="24"/>
        <v>0</v>
      </c>
      <c r="F23" s="11">
        <f t="shared" si="24"/>
        <v>0</v>
      </c>
      <c r="G23" s="11">
        <f t="shared" si="24"/>
        <v>0</v>
      </c>
      <c r="H23" s="11">
        <f t="shared" si="24"/>
        <v>0</v>
      </c>
      <c r="I23" s="11">
        <f t="shared" si="24"/>
        <v>0</v>
      </c>
      <c r="J23" s="11">
        <f t="shared" si="24"/>
        <v>0</v>
      </c>
      <c r="K23" s="11">
        <f t="shared" si="24"/>
        <v>0</v>
      </c>
      <c r="L23" s="11"/>
      <c r="M23" s="11"/>
      <c r="N23" s="11">
        <f t="shared" ref="N23:T23" si="25">N22-M22</f>
        <v>0</v>
      </c>
      <c r="O23" s="11">
        <f t="shared" si="25"/>
        <v>0</v>
      </c>
      <c r="P23" s="11">
        <f t="shared" si="25"/>
        <v>0</v>
      </c>
      <c r="Q23" s="11">
        <f t="shared" si="25"/>
        <v>0</v>
      </c>
      <c r="R23" s="11">
        <f t="shared" si="25"/>
        <v>0</v>
      </c>
      <c r="S23" s="11">
        <f t="shared" si="25"/>
        <v>0</v>
      </c>
      <c r="T23" s="11">
        <f t="shared" si="25"/>
        <v>0</v>
      </c>
      <c r="U23" s="35">
        <f>T23-S23</f>
        <v>0</v>
      </c>
      <c r="V23" s="11"/>
      <c r="W23" s="11"/>
      <c r="X23" s="11"/>
      <c r="Y23" s="11"/>
      <c r="Z23" s="11"/>
      <c r="AA23" s="11"/>
    </row>
    <row r="24" ht="15.75" customHeight="1">
      <c r="A24" s="37"/>
      <c r="B24" s="75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35"/>
      <c r="V24" s="11"/>
      <c r="W24" s="11"/>
      <c r="X24" s="11"/>
      <c r="Y24" s="11"/>
      <c r="Z24" s="11"/>
      <c r="AA24" s="11"/>
    </row>
    <row r="25" ht="15.75" customHeight="1">
      <c r="A25" s="37"/>
      <c r="B25" s="75"/>
      <c r="C25" s="11"/>
      <c r="D25" s="11">
        <f t="shared" ref="D25:K25" si="26">D24-C24</f>
        <v>0</v>
      </c>
      <c r="E25" s="11">
        <f t="shared" si="26"/>
        <v>0</v>
      </c>
      <c r="F25" s="11">
        <f t="shared" si="26"/>
        <v>0</v>
      </c>
      <c r="G25" s="11">
        <f t="shared" si="26"/>
        <v>0</v>
      </c>
      <c r="H25" s="11">
        <f t="shared" si="26"/>
        <v>0</v>
      </c>
      <c r="I25" s="11">
        <f t="shared" si="26"/>
        <v>0</v>
      </c>
      <c r="J25" s="11">
        <f t="shared" si="26"/>
        <v>0</v>
      </c>
      <c r="K25" s="11">
        <f t="shared" si="26"/>
        <v>0</v>
      </c>
      <c r="L25" s="11"/>
      <c r="M25" s="11"/>
      <c r="N25" s="11">
        <f t="shared" ref="N25:T25" si="27">N24-M24</f>
        <v>0</v>
      </c>
      <c r="O25" s="11">
        <f t="shared" si="27"/>
        <v>0</v>
      </c>
      <c r="P25" s="11">
        <f t="shared" si="27"/>
        <v>0</v>
      </c>
      <c r="Q25" s="11">
        <f t="shared" si="27"/>
        <v>0</v>
      </c>
      <c r="R25" s="11">
        <f t="shared" si="27"/>
        <v>0</v>
      </c>
      <c r="S25" s="11">
        <f t="shared" si="27"/>
        <v>0</v>
      </c>
      <c r="T25" s="11">
        <f t="shared" si="27"/>
        <v>0</v>
      </c>
      <c r="U25" s="35">
        <f>T25-S25</f>
        <v>0</v>
      </c>
      <c r="V25" s="11"/>
      <c r="W25" s="11"/>
      <c r="X25" s="11"/>
      <c r="Y25" s="11"/>
      <c r="Z25" s="11"/>
      <c r="AA25" s="11"/>
    </row>
    <row r="26" ht="15.75" customHeight="1">
      <c r="A26" s="35" t="s">
        <v>53</v>
      </c>
      <c r="B26" s="37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35"/>
      <c r="V26" s="11"/>
      <c r="W26" s="11"/>
      <c r="X26" s="11"/>
      <c r="Y26" s="11"/>
      <c r="Z26" s="11"/>
      <c r="AA26" s="11"/>
    </row>
    <row r="27" ht="15.75" customHeight="1">
      <c r="A27" s="37" t="s">
        <v>39</v>
      </c>
      <c r="B27" s="37"/>
      <c r="C27" s="11"/>
      <c r="D27" s="11">
        <f t="shared" ref="D27:K27" si="28">D26-C26</f>
        <v>0</v>
      </c>
      <c r="E27" s="11">
        <f t="shared" si="28"/>
        <v>0</v>
      </c>
      <c r="F27" s="11">
        <f t="shared" si="28"/>
        <v>0</v>
      </c>
      <c r="G27" s="11">
        <f t="shared" si="28"/>
        <v>0</v>
      </c>
      <c r="H27" s="11">
        <f t="shared" si="28"/>
        <v>0</v>
      </c>
      <c r="I27" s="11">
        <f t="shared" si="28"/>
        <v>0</v>
      </c>
      <c r="J27" s="11">
        <f t="shared" si="28"/>
        <v>0</v>
      </c>
      <c r="K27" s="11">
        <f t="shared" si="28"/>
        <v>0</v>
      </c>
      <c r="L27" s="11"/>
      <c r="M27" s="11"/>
      <c r="N27" s="11">
        <f t="shared" ref="N27:T27" si="29">N26-M26</f>
        <v>0</v>
      </c>
      <c r="O27" s="11">
        <f t="shared" si="29"/>
        <v>0</v>
      </c>
      <c r="P27" s="11">
        <f t="shared" si="29"/>
        <v>0</v>
      </c>
      <c r="Q27" s="11">
        <f t="shared" si="29"/>
        <v>0</v>
      </c>
      <c r="R27" s="11">
        <f t="shared" si="29"/>
        <v>0</v>
      </c>
      <c r="S27" s="11">
        <f t="shared" si="29"/>
        <v>0</v>
      </c>
      <c r="T27" s="11">
        <f t="shared" si="29"/>
        <v>0</v>
      </c>
      <c r="U27" s="35">
        <f>T27-S27</f>
        <v>0</v>
      </c>
      <c r="V27" s="11"/>
      <c r="W27" s="11"/>
      <c r="X27" s="11"/>
      <c r="Y27" s="11"/>
      <c r="Z27" s="11"/>
      <c r="AA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</sheetData>
  <mergeCells count="1">
    <mergeCell ref="A4:B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29.63"/>
    <col hidden="1" min="2" max="5" width="12.63"/>
    <col customWidth="1" min="14" max="14" width="1.88"/>
  </cols>
  <sheetData>
    <row r="1">
      <c r="A1" s="2" t="s">
        <v>1</v>
      </c>
      <c r="B1" s="4" t="s">
        <v>3</v>
      </c>
      <c r="N1" s="6"/>
      <c r="O1" s="4" t="s">
        <v>6</v>
      </c>
    </row>
    <row r="2">
      <c r="A2" s="9" t="s">
        <v>7</v>
      </c>
      <c r="B2" s="10">
        <v>46023.0</v>
      </c>
      <c r="C2" s="10">
        <v>46054.0</v>
      </c>
      <c r="D2" s="10">
        <v>46082.0</v>
      </c>
      <c r="E2" s="10">
        <v>46113.0</v>
      </c>
      <c r="F2" s="10">
        <v>46143.0</v>
      </c>
      <c r="G2" s="10">
        <v>46174.0</v>
      </c>
      <c r="H2" s="10">
        <v>46204.0</v>
      </c>
      <c r="I2" s="10">
        <v>46235.0</v>
      </c>
      <c r="J2" s="10">
        <v>46266.0</v>
      </c>
      <c r="K2" s="10">
        <v>46296.0</v>
      </c>
      <c r="L2" s="10">
        <v>46327.0</v>
      </c>
      <c r="M2" s="10">
        <v>46357.0</v>
      </c>
      <c r="N2" s="6"/>
      <c r="O2" s="12"/>
      <c r="P2" s="12"/>
      <c r="Q2" s="12"/>
      <c r="R2" s="12"/>
      <c r="S2" s="12"/>
      <c r="T2" s="12"/>
      <c r="U2" s="12"/>
      <c r="V2" s="12"/>
    </row>
    <row r="3">
      <c r="A3" s="13" t="s">
        <v>8</v>
      </c>
      <c r="B3" s="14">
        <v>2601280.0</v>
      </c>
      <c r="C3" s="14">
        <v>3470470.0</v>
      </c>
      <c r="D3" s="14">
        <v>3221705.0</v>
      </c>
      <c r="E3" s="14">
        <v>2699883.0</v>
      </c>
      <c r="F3" s="14">
        <f t="shared" ref="F3:I3" si="1">sum(F6:F11)</f>
        <v>3272867</v>
      </c>
      <c r="G3" s="14">
        <f t="shared" si="1"/>
        <v>3407958</v>
      </c>
      <c r="H3" s="14">
        <f t="shared" si="1"/>
        <v>3167821</v>
      </c>
      <c r="I3" s="14">
        <f t="shared" si="1"/>
        <v>3359168</v>
      </c>
      <c r="J3" s="16">
        <v>3509044.0</v>
      </c>
      <c r="K3" s="16">
        <v>3665607.0</v>
      </c>
      <c r="L3" s="16">
        <v>3829155.0</v>
      </c>
      <c r="M3" s="16">
        <v>4000000.0</v>
      </c>
      <c r="N3" s="17"/>
      <c r="O3" s="18"/>
      <c r="P3" s="18"/>
      <c r="Q3" s="18"/>
      <c r="R3" s="18"/>
      <c r="S3" s="18"/>
      <c r="T3" s="18"/>
      <c r="U3" s="18"/>
      <c r="V3" s="18"/>
    </row>
    <row r="4">
      <c r="A4" s="19" t="s">
        <v>9</v>
      </c>
      <c r="B4" s="20"/>
      <c r="C4" s="20">
        <f t="shared" ref="C4:M4" si="2">C3-B3</f>
        <v>869190</v>
      </c>
      <c r="D4" s="20">
        <f t="shared" si="2"/>
        <v>-248765</v>
      </c>
      <c r="E4" s="20">
        <f t="shared" si="2"/>
        <v>-521822</v>
      </c>
      <c r="F4" s="20">
        <f t="shared" si="2"/>
        <v>572984</v>
      </c>
      <c r="G4" s="20">
        <f t="shared" si="2"/>
        <v>135091</v>
      </c>
      <c r="H4" s="20">
        <f t="shared" si="2"/>
        <v>-240137</v>
      </c>
      <c r="I4" s="20">
        <f t="shared" si="2"/>
        <v>191347</v>
      </c>
      <c r="J4" s="20">
        <f t="shared" si="2"/>
        <v>149876</v>
      </c>
      <c r="K4" s="20">
        <f t="shared" si="2"/>
        <v>156563</v>
      </c>
      <c r="L4" s="20">
        <f t="shared" si="2"/>
        <v>163548</v>
      </c>
      <c r="M4" s="20">
        <f t="shared" si="2"/>
        <v>170845</v>
      </c>
      <c r="N4" s="17"/>
      <c r="O4" s="18"/>
      <c r="P4" s="18"/>
      <c r="Q4" s="18"/>
      <c r="R4" s="18"/>
      <c r="S4" s="18"/>
      <c r="T4" s="18"/>
      <c r="U4" s="18"/>
      <c r="V4" s="18"/>
    </row>
    <row r="5">
      <c r="A5" s="19" t="s">
        <v>20</v>
      </c>
      <c r="B5" s="25"/>
      <c r="C5" s="29">
        <f t="shared" ref="C5:E5" si="3">IFERROR((C3/B3)-1, 0)</f>
        <v>0.3341393468</v>
      </c>
      <c r="D5" s="29">
        <f t="shared" si="3"/>
        <v>-0.07168049284</v>
      </c>
      <c r="E5" s="29">
        <f t="shared" si="3"/>
        <v>-0.1619707577</v>
      </c>
      <c r="F5" s="29"/>
      <c r="G5" s="29">
        <f t="shared" ref="G5:M5" si="4">IFERROR((G3/F3)-1, 0)</f>
        <v>0.0412760433</v>
      </c>
      <c r="H5" s="29">
        <f t="shared" si="4"/>
        <v>-0.07046360313</v>
      </c>
      <c r="I5" s="29">
        <f t="shared" si="4"/>
        <v>0.06040334981</v>
      </c>
      <c r="J5" s="29">
        <f t="shared" si="4"/>
        <v>0.0446170004</v>
      </c>
      <c r="K5" s="29">
        <f t="shared" si="4"/>
        <v>0.0446169954</v>
      </c>
      <c r="L5" s="29">
        <f t="shared" si="4"/>
        <v>0.04461689428</v>
      </c>
      <c r="M5" s="29">
        <f t="shared" si="4"/>
        <v>0.04461689328</v>
      </c>
      <c r="N5" s="17"/>
      <c r="O5" s="18"/>
      <c r="P5" s="18"/>
      <c r="Q5" s="18"/>
      <c r="R5" s="18"/>
      <c r="S5" s="18"/>
      <c r="T5" s="18"/>
      <c r="U5" s="18"/>
      <c r="V5" s="18"/>
    </row>
    <row r="6">
      <c r="A6" s="33" t="s">
        <v>28</v>
      </c>
      <c r="B6" s="18"/>
      <c r="C6" s="18"/>
      <c r="D6" s="18"/>
      <c r="E6" s="18"/>
      <c r="F6" s="14">
        <v>1669075.0</v>
      </c>
      <c r="G6" s="14">
        <v>1648550.0</v>
      </c>
      <c r="H6" s="14">
        <v>1875191.0</v>
      </c>
      <c r="I6" s="14">
        <v>1684831.721607008</v>
      </c>
      <c r="J6" s="34"/>
      <c r="K6" s="34"/>
      <c r="L6" s="34"/>
      <c r="M6" s="34"/>
      <c r="N6" s="17"/>
      <c r="O6" s="18"/>
      <c r="P6" s="18"/>
      <c r="Q6" s="18"/>
      <c r="R6" s="18"/>
      <c r="S6" s="18"/>
      <c r="T6" s="18"/>
      <c r="U6" s="18"/>
      <c r="V6" s="18"/>
    </row>
    <row r="7">
      <c r="A7" s="33" t="s">
        <v>29</v>
      </c>
      <c r="B7" s="18"/>
      <c r="C7" s="18"/>
      <c r="D7" s="18"/>
      <c r="E7" s="18"/>
      <c r="F7" s="14">
        <v>703135.0</v>
      </c>
      <c r="G7" s="14">
        <v>967001.0</v>
      </c>
      <c r="H7" s="14">
        <v>491874.0</v>
      </c>
      <c r="I7" s="14">
        <v>612341.988993176</v>
      </c>
      <c r="J7" s="34"/>
      <c r="K7" s="34"/>
      <c r="L7" s="34"/>
      <c r="M7" s="34"/>
      <c r="N7" s="17"/>
      <c r="O7" s="18"/>
      <c r="P7" s="18"/>
      <c r="Q7" s="18"/>
      <c r="R7" s="18"/>
      <c r="S7" s="18"/>
      <c r="T7" s="18"/>
      <c r="U7" s="18"/>
      <c r="V7" s="18"/>
    </row>
    <row r="8">
      <c r="A8" s="33" t="s">
        <v>30</v>
      </c>
      <c r="B8" s="18"/>
      <c r="C8" s="18"/>
      <c r="D8" s="18"/>
      <c r="E8" s="18"/>
      <c r="F8" s="14">
        <v>637005.0</v>
      </c>
      <c r="G8" s="14">
        <v>488574.0</v>
      </c>
      <c r="H8" s="14">
        <v>440855.0</v>
      </c>
      <c r="I8" s="14">
        <v>676162.6399674121</v>
      </c>
      <c r="J8" s="34"/>
      <c r="K8" s="34"/>
      <c r="L8" s="34"/>
      <c r="M8" s="34"/>
      <c r="N8" s="17"/>
      <c r="O8" s="18"/>
      <c r="P8" s="18"/>
      <c r="Q8" s="18"/>
      <c r="R8" s="18"/>
      <c r="S8" s="18"/>
      <c r="T8" s="18"/>
      <c r="U8" s="18"/>
      <c r="V8" s="18"/>
    </row>
    <row r="9">
      <c r="A9" s="33" t="s">
        <v>31</v>
      </c>
      <c r="B9" s="18"/>
      <c r="C9" s="18"/>
      <c r="D9" s="18"/>
      <c r="E9" s="18"/>
      <c r="F9" s="14">
        <v>17748.0</v>
      </c>
      <c r="G9" s="14">
        <v>15488.0</v>
      </c>
      <c r="H9" s="14">
        <v>6084.0</v>
      </c>
      <c r="I9" s="14">
        <v>21975.666992968003</v>
      </c>
      <c r="J9" s="34"/>
      <c r="K9" s="34"/>
      <c r="L9" s="34"/>
      <c r="M9" s="34"/>
      <c r="N9" s="17"/>
      <c r="O9" s="18"/>
      <c r="P9" s="18"/>
      <c r="Q9" s="18"/>
      <c r="R9" s="18"/>
      <c r="S9" s="18"/>
      <c r="T9" s="18"/>
      <c r="U9" s="18"/>
      <c r="V9" s="18"/>
    </row>
    <row r="10">
      <c r="A10" s="33" t="s">
        <v>33</v>
      </c>
      <c r="B10" s="18"/>
      <c r="C10" s="18"/>
      <c r="D10" s="18"/>
      <c r="E10" s="18"/>
      <c r="F10" s="14">
        <v>201169.0</v>
      </c>
      <c r="G10" s="14">
        <v>255127.0</v>
      </c>
      <c r="H10" s="14">
        <v>329659.0</v>
      </c>
      <c r="I10" s="14">
        <v>340393.447295044</v>
      </c>
      <c r="J10" s="34"/>
      <c r="K10" s="34"/>
      <c r="L10" s="34"/>
      <c r="M10" s="34"/>
      <c r="N10" s="17"/>
      <c r="O10" s="18"/>
      <c r="P10" s="18"/>
      <c r="Q10" s="18"/>
      <c r="R10" s="18"/>
      <c r="S10" s="18"/>
      <c r="T10" s="18"/>
      <c r="U10" s="18"/>
      <c r="V10" s="18"/>
    </row>
    <row r="11">
      <c r="A11" s="33" t="s">
        <v>34</v>
      </c>
      <c r="B11" s="18"/>
      <c r="C11" s="18"/>
      <c r="D11" s="18"/>
      <c r="E11" s="18"/>
      <c r="F11" s="14">
        <v>44735.0</v>
      </c>
      <c r="G11" s="14">
        <v>33218.0</v>
      </c>
      <c r="H11" s="14">
        <v>24158.0</v>
      </c>
      <c r="I11" s="14">
        <v>23462.53514439147</v>
      </c>
      <c r="J11" s="34"/>
      <c r="K11" s="34"/>
      <c r="L11" s="34"/>
      <c r="M11" s="34"/>
      <c r="N11" s="17"/>
      <c r="O11" s="18"/>
      <c r="P11" s="18"/>
      <c r="Q11" s="18"/>
      <c r="R11" s="18"/>
      <c r="S11" s="18"/>
      <c r="T11" s="18"/>
      <c r="U11" s="18"/>
      <c r="V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7"/>
      <c r="O12" s="18"/>
      <c r="P12" s="18"/>
      <c r="Q12" s="18"/>
      <c r="R12" s="18"/>
      <c r="S12" s="18"/>
      <c r="T12" s="18"/>
      <c r="U12" s="18"/>
      <c r="V12" s="18"/>
    </row>
    <row r="13">
      <c r="A13" s="47" t="s">
        <v>36</v>
      </c>
      <c r="B13" s="49">
        <v>46023.0</v>
      </c>
      <c r="C13" s="49">
        <v>46054.0</v>
      </c>
      <c r="D13" s="49">
        <v>46082.0</v>
      </c>
      <c r="E13" s="49">
        <v>46113.0</v>
      </c>
      <c r="F13" s="49">
        <v>46143.0</v>
      </c>
      <c r="G13" s="49">
        <v>46174.0</v>
      </c>
      <c r="H13" s="49">
        <v>46204.0</v>
      </c>
      <c r="I13" s="49">
        <v>46257.0</v>
      </c>
      <c r="J13" s="49">
        <v>46266.0</v>
      </c>
      <c r="K13" s="49">
        <v>46296.0</v>
      </c>
      <c r="L13" s="49">
        <v>46327.0</v>
      </c>
      <c r="M13" s="49">
        <v>46357.0</v>
      </c>
      <c r="N13" s="17"/>
      <c r="O13" s="49">
        <v>46143.0</v>
      </c>
      <c r="P13" s="49">
        <v>46174.0</v>
      </c>
      <c r="Q13" s="49">
        <v>46204.0</v>
      </c>
      <c r="R13" s="49">
        <v>46235.0</v>
      </c>
      <c r="S13" s="49">
        <v>46266.0</v>
      </c>
      <c r="T13" s="49">
        <v>46296.0</v>
      </c>
      <c r="U13" s="49">
        <v>46327.0</v>
      </c>
      <c r="V13" s="49">
        <v>46357.0</v>
      </c>
    </row>
    <row r="14">
      <c r="A14" s="13" t="s">
        <v>8</v>
      </c>
      <c r="B14" s="14">
        <v>2601280.0</v>
      </c>
      <c r="C14" s="14">
        <v>3470470.0</v>
      </c>
      <c r="D14" s="14">
        <v>3221705.0</v>
      </c>
      <c r="E14" s="14">
        <v>2699883.0</v>
      </c>
      <c r="F14" s="14">
        <f t="shared" ref="F14:M14" si="5">sum(F18:F23)</f>
        <v>3272867</v>
      </c>
      <c r="G14" s="14">
        <f t="shared" si="5"/>
        <v>3407958</v>
      </c>
      <c r="H14" s="14">
        <f t="shared" si="5"/>
        <v>3167821</v>
      </c>
      <c r="I14" s="16">
        <f t="shared" si="5"/>
        <v>2489454</v>
      </c>
      <c r="J14" s="14">
        <f t="shared" si="5"/>
        <v>0</v>
      </c>
      <c r="K14" s="14">
        <f t="shared" si="5"/>
        <v>0</v>
      </c>
      <c r="L14" s="14">
        <f t="shared" si="5"/>
        <v>0</v>
      </c>
      <c r="M14" s="14">
        <f t="shared" si="5"/>
        <v>0</v>
      </c>
      <c r="N14" s="17"/>
      <c r="O14" s="20">
        <f t="shared" ref="O14:V14" si="6">sum(O18:O23)</f>
        <v>2318673</v>
      </c>
      <c r="P14" s="20">
        <f t="shared" si="6"/>
        <v>2682897</v>
      </c>
      <c r="Q14" s="20">
        <f t="shared" si="6"/>
        <v>2177329</v>
      </c>
      <c r="R14" s="20">
        <f t="shared" si="6"/>
        <v>2489454</v>
      </c>
      <c r="S14" s="18">
        <f t="shared" si="6"/>
        <v>0</v>
      </c>
      <c r="T14" s="18">
        <f t="shared" si="6"/>
        <v>0</v>
      </c>
      <c r="U14" s="18">
        <f t="shared" si="6"/>
        <v>0</v>
      </c>
      <c r="V14" s="18">
        <f t="shared" si="6"/>
        <v>0</v>
      </c>
    </row>
    <row r="15">
      <c r="A15" s="19" t="s">
        <v>9</v>
      </c>
      <c r="B15" s="20"/>
      <c r="C15" s="20">
        <f t="shared" ref="C15:M15" si="7">C14-B14</f>
        <v>869190</v>
      </c>
      <c r="D15" s="20">
        <f t="shared" si="7"/>
        <v>-248765</v>
      </c>
      <c r="E15" s="20">
        <f t="shared" si="7"/>
        <v>-521822</v>
      </c>
      <c r="F15" s="20">
        <f t="shared" si="7"/>
        <v>572984</v>
      </c>
      <c r="G15" s="20">
        <f t="shared" si="7"/>
        <v>135091</v>
      </c>
      <c r="H15" s="20">
        <f t="shared" si="7"/>
        <v>-240137</v>
      </c>
      <c r="I15" s="55">
        <f t="shared" si="7"/>
        <v>-678367</v>
      </c>
      <c r="J15" s="20">
        <f t="shared" si="7"/>
        <v>-2489454</v>
      </c>
      <c r="K15" s="20">
        <f t="shared" si="7"/>
        <v>0</v>
      </c>
      <c r="L15" s="20">
        <f t="shared" si="7"/>
        <v>0</v>
      </c>
      <c r="M15" s="20">
        <f t="shared" si="7"/>
        <v>0</v>
      </c>
      <c r="N15" s="17"/>
      <c r="O15" s="18"/>
      <c r="P15" s="20">
        <f t="shared" ref="P15:R15" si="8">P14-O14</f>
        <v>364224</v>
      </c>
      <c r="Q15" s="20">
        <f t="shared" si="8"/>
        <v>-505568</v>
      </c>
      <c r="R15" s="20">
        <f t="shared" si="8"/>
        <v>312125</v>
      </c>
      <c r="S15" s="18"/>
      <c r="T15" s="18"/>
      <c r="U15" s="18"/>
      <c r="V15" s="18"/>
    </row>
    <row r="16">
      <c r="A16" s="19" t="s">
        <v>20</v>
      </c>
      <c r="B16" s="25"/>
      <c r="C16" s="29">
        <f t="shared" ref="C16:E16" si="9">IFERROR((C14/B14)-1, 0)</f>
        <v>0.3341393468</v>
      </c>
      <c r="D16" s="29">
        <f t="shared" si="9"/>
        <v>-0.07168049284</v>
      </c>
      <c r="E16" s="29">
        <f t="shared" si="9"/>
        <v>-0.1619707577</v>
      </c>
      <c r="F16" s="29"/>
      <c r="G16" s="29">
        <f t="shared" ref="G16:M16" si="10">IFERROR((G14/F14)-1, 0)</f>
        <v>0.0412760433</v>
      </c>
      <c r="H16" s="29">
        <f t="shared" si="10"/>
        <v>-0.07046360313</v>
      </c>
      <c r="I16" s="61">
        <f t="shared" si="10"/>
        <v>-0.2141430971</v>
      </c>
      <c r="J16" s="29">
        <f t="shared" si="10"/>
        <v>-1</v>
      </c>
      <c r="K16" s="29">
        <f t="shared" si="10"/>
        <v>0</v>
      </c>
      <c r="L16" s="29">
        <f t="shared" si="10"/>
        <v>0</v>
      </c>
      <c r="M16" s="29">
        <f t="shared" si="10"/>
        <v>0</v>
      </c>
      <c r="N16" s="17"/>
      <c r="O16" s="18"/>
      <c r="P16" s="64">
        <f t="shared" ref="P16:R16" si="11">(P14/O14)-1</f>
        <v>0.1570829522</v>
      </c>
      <c r="Q16" s="64">
        <f t="shared" si="11"/>
        <v>-0.1884410769</v>
      </c>
      <c r="R16" s="64">
        <f t="shared" si="11"/>
        <v>0.1433522449</v>
      </c>
      <c r="S16" s="18"/>
      <c r="T16" s="18"/>
      <c r="U16" s="18"/>
      <c r="V16" s="18"/>
    </row>
    <row r="17">
      <c r="A17" s="66" t="s">
        <v>43</v>
      </c>
      <c r="B17" s="25"/>
      <c r="C17" s="29"/>
      <c r="D17" s="29"/>
      <c r="E17" s="29"/>
      <c r="F17" s="29">
        <f t="shared" ref="F17:M17" si="12">F14/F3</f>
        <v>1</v>
      </c>
      <c r="G17" s="29">
        <f t="shared" si="12"/>
        <v>1</v>
      </c>
      <c r="H17" s="29">
        <f t="shared" si="12"/>
        <v>1</v>
      </c>
      <c r="I17" s="61">
        <f t="shared" si="12"/>
        <v>0.7410924372</v>
      </c>
      <c r="J17" s="29">
        <f t="shared" si="12"/>
        <v>0</v>
      </c>
      <c r="K17" s="29">
        <f t="shared" si="12"/>
        <v>0</v>
      </c>
      <c r="L17" s="29">
        <f t="shared" si="12"/>
        <v>0</v>
      </c>
      <c r="M17" s="29">
        <f t="shared" si="12"/>
        <v>0</v>
      </c>
      <c r="N17" s="17"/>
      <c r="O17" s="18"/>
      <c r="P17" s="18"/>
      <c r="Q17" s="18"/>
      <c r="R17" s="18"/>
      <c r="S17" s="18"/>
      <c r="T17" s="18"/>
      <c r="U17" s="18"/>
      <c r="V17" s="18"/>
    </row>
    <row r="18">
      <c r="A18" s="33" t="s">
        <v>28</v>
      </c>
      <c r="B18" s="20"/>
      <c r="C18" s="20"/>
      <c r="D18" s="20"/>
      <c r="E18" s="20"/>
      <c r="F18" s="14">
        <f>'Source Detail Flow'!G6</f>
        <v>1669075</v>
      </c>
      <c r="G18" s="14">
        <f>'Source Detail Flow'!H6</f>
        <v>1648550</v>
      </c>
      <c r="H18" s="14">
        <f>'Source Detail Flow'!I6</f>
        <v>1875191</v>
      </c>
      <c r="I18" s="16">
        <f>'Source Detail Flow'!J6</f>
        <v>1248616</v>
      </c>
      <c r="J18" s="20"/>
      <c r="K18" s="20"/>
      <c r="L18" s="20"/>
      <c r="M18" s="20"/>
      <c r="N18" s="17"/>
      <c r="O18" s="20">
        <f>'Source Detail Flow'!R6</f>
        <v>1253336</v>
      </c>
      <c r="P18" s="20">
        <f>'Source Detail Flow'!S6</f>
        <v>1267036</v>
      </c>
      <c r="Q18" s="20">
        <f>'Source Detail Flow'!T6</f>
        <v>1408084</v>
      </c>
      <c r="R18" s="20">
        <f>'Source Detail Flow'!U6</f>
        <v>1248616</v>
      </c>
      <c r="S18" s="18"/>
      <c r="T18" s="18"/>
      <c r="U18" s="18"/>
      <c r="V18" s="18"/>
    </row>
    <row r="19">
      <c r="A19" s="33" t="s">
        <v>29</v>
      </c>
      <c r="B19" s="20"/>
      <c r="C19" s="20"/>
      <c r="D19" s="20"/>
      <c r="E19" s="20"/>
      <c r="F19" s="14">
        <f>'Source Detail Flow'!G15</f>
        <v>703135</v>
      </c>
      <c r="G19" s="14">
        <f>'Source Detail Flow'!H15</f>
        <v>967001</v>
      </c>
      <c r="H19" s="14">
        <f>'Source Detail Flow'!I15</f>
        <v>491874</v>
      </c>
      <c r="I19" s="16">
        <f>'Source Detail Flow'!J15</f>
        <v>453802</v>
      </c>
      <c r="J19" s="20"/>
      <c r="K19" s="20"/>
      <c r="L19" s="20"/>
      <c r="M19" s="20"/>
      <c r="N19" s="17"/>
      <c r="O19" s="20">
        <f>'Source Detail Flow'!R15</f>
        <v>376786</v>
      </c>
      <c r="P19" s="20">
        <f>'Source Detail Flow'!S15</f>
        <v>798331</v>
      </c>
      <c r="Q19" s="20">
        <f>'Source Detail Flow'!T15</f>
        <v>171834</v>
      </c>
      <c r="R19" s="20">
        <f>'Source Detail Flow'!U15</f>
        <v>453802</v>
      </c>
      <c r="S19" s="18"/>
      <c r="T19" s="18"/>
      <c r="U19" s="18"/>
      <c r="V19" s="18"/>
    </row>
    <row r="20">
      <c r="A20" s="33" t="s">
        <v>30</v>
      </c>
      <c r="B20" s="20"/>
      <c r="C20" s="20"/>
      <c r="D20" s="20"/>
      <c r="E20" s="20"/>
      <c r="F20" s="14">
        <f>'Source Detail Flow'!G24</f>
        <v>637005</v>
      </c>
      <c r="G20" s="14">
        <f>'Source Detail Flow'!H24</f>
        <v>488574</v>
      </c>
      <c r="H20" s="14">
        <f>'Source Detail Flow'!I24</f>
        <v>440855</v>
      </c>
      <c r="I20" s="16">
        <f>'Source Detail Flow'!J24</f>
        <v>501099</v>
      </c>
      <c r="J20" s="20"/>
      <c r="K20" s="20"/>
      <c r="L20" s="20"/>
      <c r="M20" s="20"/>
      <c r="N20" s="17"/>
      <c r="O20" s="20">
        <f>'Source Detail Flow'!R24</f>
        <v>489902</v>
      </c>
      <c r="P20" s="20">
        <f>'Source Detail Flow'!S24</f>
        <v>374413</v>
      </c>
      <c r="Q20" s="20">
        <f>'Source Detail Flow'!T24</f>
        <v>339018</v>
      </c>
      <c r="R20" s="20">
        <f>'Source Detail Flow'!U24</f>
        <v>501099</v>
      </c>
      <c r="S20" s="18"/>
      <c r="T20" s="18"/>
      <c r="U20" s="18"/>
      <c r="V20" s="18"/>
    </row>
    <row r="21">
      <c r="A21" s="33" t="s">
        <v>31</v>
      </c>
      <c r="B21" s="20"/>
      <c r="C21" s="20"/>
      <c r="D21" s="20"/>
      <c r="E21" s="20"/>
      <c r="F21" s="14">
        <f>'Source Detail Flow'!G33</f>
        <v>17748</v>
      </c>
      <c r="G21" s="14">
        <f>'Source Detail Flow'!H33</f>
        <v>15488</v>
      </c>
      <c r="H21" s="14">
        <f>'Source Detail Flow'!I33</f>
        <v>6084</v>
      </c>
      <c r="I21" s="16">
        <f>'Source Detail Flow'!J33</f>
        <v>16286</v>
      </c>
      <c r="J21" s="20"/>
      <c r="K21" s="20"/>
      <c r="L21" s="20"/>
      <c r="M21" s="20"/>
      <c r="N21" s="17"/>
      <c r="O21" s="20">
        <f>'Source Detail Flow'!R33</f>
        <v>7846</v>
      </c>
      <c r="P21" s="20">
        <f>'Source Detail Flow'!S33</f>
        <v>12889</v>
      </c>
      <c r="Q21" s="20">
        <f>'Source Detail Flow'!T33</f>
        <v>2009</v>
      </c>
      <c r="R21" s="20">
        <f>'Source Detail Flow'!U33</f>
        <v>16286</v>
      </c>
      <c r="S21" s="18"/>
      <c r="T21" s="18"/>
      <c r="U21" s="18"/>
      <c r="V21" s="18"/>
    </row>
    <row r="22">
      <c r="A22" s="33" t="s">
        <v>33</v>
      </c>
      <c r="B22" s="20"/>
      <c r="C22" s="20"/>
      <c r="D22" s="20"/>
      <c r="E22" s="20"/>
      <c r="F22" s="14">
        <f>'Source Detail Flow'!G42</f>
        <v>201169</v>
      </c>
      <c r="G22" s="14">
        <f>'Source Detail Flow'!H42</f>
        <v>255127</v>
      </c>
      <c r="H22" s="14">
        <f>'Source Detail Flow'!I42</f>
        <v>329659</v>
      </c>
      <c r="I22" s="16">
        <f>'Source Detail Flow'!J42</f>
        <v>252319</v>
      </c>
      <c r="J22" s="20"/>
      <c r="K22" s="20"/>
      <c r="L22" s="20"/>
      <c r="M22" s="20"/>
      <c r="N22" s="17"/>
      <c r="O22" s="20">
        <f>'Source Detail Flow'!R42</f>
        <v>155424</v>
      </c>
      <c r="P22" s="20">
        <f>'Source Detail Flow'!S42</f>
        <v>204749</v>
      </c>
      <c r="Q22" s="20">
        <f>'Source Detail Flow'!T42</f>
        <v>239886</v>
      </c>
      <c r="R22" s="20">
        <f>'Source Detail Flow'!U42</f>
        <v>252319</v>
      </c>
      <c r="S22" s="18"/>
      <c r="T22" s="18"/>
      <c r="U22" s="18"/>
      <c r="V22" s="18"/>
    </row>
    <row r="23">
      <c r="A23" s="33" t="s">
        <v>34</v>
      </c>
      <c r="B23" s="20"/>
      <c r="C23" s="20"/>
      <c r="D23" s="20"/>
      <c r="E23" s="20"/>
      <c r="F23" s="14">
        <f>'Source Detail Flow'!G51</f>
        <v>44735</v>
      </c>
      <c r="G23" s="14">
        <f>'Source Detail Flow'!H51</f>
        <v>33218</v>
      </c>
      <c r="H23" s="14">
        <f>'Source Detail Flow'!I51</f>
        <v>24158</v>
      </c>
      <c r="I23" s="16">
        <f>'Source Detail Flow'!J51</f>
        <v>17332</v>
      </c>
      <c r="J23" s="20"/>
      <c r="K23" s="20"/>
      <c r="L23" s="20"/>
      <c r="M23" s="20"/>
      <c r="N23" s="17"/>
      <c r="O23" s="20">
        <f>'Source Detail Flow'!R51</f>
        <v>35379</v>
      </c>
      <c r="P23" s="20">
        <f>'Source Detail Flow'!S51</f>
        <v>25479</v>
      </c>
      <c r="Q23" s="20">
        <f>'Source Detail Flow'!T51</f>
        <v>16498</v>
      </c>
      <c r="R23" s="20">
        <f>'Source Detail Flow'!U51</f>
        <v>17332</v>
      </c>
      <c r="S23" s="18"/>
      <c r="T23" s="18"/>
      <c r="U23" s="18"/>
      <c r="V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7"/>
      <c r="O24" s="18"/>
      <c r="P24" s="18"/>
      <c r="Q24" s="18"/>
      <c r="R24" s="18"/>
      <c r="S24" s="18"/>
      <c r="T24" s="18"/>
      <c r="U24" s="18"/>
      <c r="V24" s="18"/>
    </row>
    <row r="25">
      <c r="A25" s="80" t="s">
        <v>49</v>
      </c>
      <c r="B25" s="81"/>
      <c r="C25" s="81"/>
      <c r="D25" s="81"/>
      <c r="E25" s="81"/>
      <c r="F25" s="82">
        <f t="shared" ref="F25:F30" si="13">F18/$F$14</f>
        <v>0.5099733659</v>
      </c>
      <c r="G25" s="82">
        <f t="shared" ref="G25:G30" si="14">G18/$G$14</f>
        <v>0.4837354216</v>
      </c>
      <c r="H25" s="82">
        <f t="shared" ref="H25:H30" si="15">H18/$H$14</f>
        <v>0.5919497977</v>
      </c>
      <c r="I25" s="82">
        <f t="shared" ref="I25:I30" si="16">I18/$I$14</f>
        <v>0.5015621899</v>
      </c>
      <c r="J25" s="81"/>
      <c r="K25" s="81"/>
      <c r="L25" s="81"/>
      <c r="M25" s="81"/>
      <c r="N25" s="17"/>
      <c r="O25" s="82">
        <f t="shared" ref="O25:O30" si="17">O18/$O$14</f>
        <v>0.5405402142</v>
      </c>
      <c r="P25" s="82">
        <f t="shared" ref="P25:P30" si="18">P18/$P$14</f>
        <v>0.4722641234</v>
      </c>
      <c r="Q25" s="82">
        <f t="shared" ref="Q25:Q30" si="19">Q18/$Q$14</f>
        <v>0.6467024506</v>
      </c>
      <c r="R25" s="82">
        <f t="shared" ref="R25:R30" si="20">R18/$R$14</f>
        <v>0.5015621899</v>
      </c>
      <c r="S25" s="18"/>
      <c r="T25" s="18"/>
      <c r="U25" s="18"/>
      <c r="V25" s="18"/>
    </row>
    <row r="26">
      <c r="A26" s="80" t="s">
        <v>50</v>
      </c>
      <c r="B26" s="81"/>
      <c r="C26" s="81"/>
      <c r="D26" s="81"/>
      <c r="E26" s="81"/>
      <c r="F26" s="82">
        <f t="shared" si="13"/>
        <v>0.2148376332</v>
      </c>
      <c r="G26" s="82">
        <f t="shared" si="14"/>
        <v>0.2837479218</v>
      </c>
      <c r="H26" s="82">
        <f t="shared" si="15"/>
        <v>0.1552720308</v>
      </c>
      <c r="I26" s="82">
        <f t="shared" si="16"/>
        <v>0.1822897712</v>
      </c>
      <c r="J26" s="81"/>
      <c r="K26" s="81"/>
      <c r="L26" s="81"/>
      <c r="M26" s="81"/>
      <c r="N26" s="17"/>
      <c r="O26" s="82">
        <f t="shared" si="17"/>
        <v>0.1625007062</v>
      </c>
      <c r="P26" s="82">
        <f t="shared" si="18"/>
        <v>0.2975630447</v>
      </c>
      <c r="Q26" s="82">
        <f t="shared" si="19"/>
        <v>0.07891963043</v>
      </c>
      <c r="R26" s="82">
        <f t="shared" si="20"/>
        <v>0.1822897712</v>
      </c>
      <c r="S26" s="18"/>
      <c r="T26" s="18"/>
      <c r="U26" s="18"/>
      <c r="V26" s="18"/>
    </row>
    <row r="27">
      <c r="A27" s="80" t="s">
        <v>51</v>
      </c>
      <c r="B27" s="81"/>
      <c r="C27" s="81"/>
      <c r="D27" s="81"/>
      <c r="E27" s="81"/>
      <c r="F27" s="82">
        <f t="shared" si="13"/>
        <v>0.194632107</v>
      </c>
      <c r="G27" s="82">
        <f t="shared" si="14"/>
        <v>0.1433626823</v>
      </c>
      <c r="H27" s="82">
        <f t="shared" si="15"/>
        <v>0.1391666385</v>
      </c>
      <c r="I27" s="82">
        <f t="shared" si="16"/>
        <v>0.2012887163</v>
      </c>
      <c r="J27" s="81"/>
      <c r="K27" s="81"/>
      <c r="L27" s="81"/>
      <c r="M27" s="81"/>
      <c r="N27" s="17"/>
      <c r="O27" s="82">
        <f t="shared" si="17"/>
        <v>0.2112855068</v>
      </c>
      <c r="P27" s="82">
        <f t="shared" si="18"/>
        <v>0.139555488</v>
      </c>
      <c r="Q27" s="82">
        <f t="shared" si="19"/>
        <v>0.1557036167</v>
      </c>
      <c r="R27" s="82">
        <f t="shared" si="20"/>
        <v>0.2012887163</v>
      </c>
      <c r="S27" s="18"/>
      <c r="T27" s="18"/>
      <c r="U27" s="18"/>
      <c r="V27" s="18"/>
    </row>
    <row r="28">
      <c r="A28" s="80" t="s">
        <v>52</v>
      </c>
      <c r="B28" s="81"/>
      <c r="C28" s="81"/>
      <c r="D28" s="81"/>
      <c r="E28" s="81"/>
      <c r="F28" s="82">
        <f t="shared" si="13"/>
        <v>0.005422768478</v>
      </c>
      <c r="G28" s="82">
        <f t="shared" si="14"/>
        <v>0.004544656947</v>
      </c>
      <c r="H28" s="82">
        <f t="shared" si="15"/>
        <v>0.001920563062</v>
      </c>
      <c r="I28" s="82">
        <f t="shared" si="16"/>
        <v>0.006541996759</v>
      </c>
      <c r="J28" s="81"/>
      <c r="K28" s="81"/>
      <c r="L28" s="81"/>
      <c r="M28" s="81"/>
      <c r="N28" s="17"/>
      <c r="O28" s="82">
        <f t="shared" si="17"/>
        <v>0.003383832045</v>
      </c>
      <c r="P28" s="82">
        <f t="shared" si="18"/>
        <v>0.004804135231</v>
      </c>
      <c r="Q28" s="82">
        <f t="shared" si="19"/>
        <v>0.0009226901401</v>
      </c>
      <c r="R28" s="82">
        <f t="shared" si="20"/>
        <v>0.006541996759</v>
      </c>
      <c r="S28" s="18"/>
      <c r="T28" s="18"/>
      <c r="U28" s="18"/>
      <c r="V28" s="18"/>
    </row>
    <row r="29">
      <c r="A29" s="80" t="s">
        <v>54</v>
      </c>
      <c r="B29" s="81"/>
      <c r="C29" s="81"/>
      <c r="D29" s="81"/>
      <c r="E29" s="81"/>
      <c r="F29" s="82">
        <f t="shared" si="13"/>
        <v>0.06146568131</v>
      </c>
      <c r="G29" s="82">
        <f t="shared" si="14"/>
        <v>0.07486213152</v>
      </c>
      <c r="H29" s="82">
        <f t="shared" si="15"/>
        <v>0.1040649077</v>
      </c>
      <c r="I29" s="82">
        <f t="shared" si="16"/>
        <v>0.1013551566</v>
      </c>
      <c r="J29" s="81"/>
      <c r="K29" s="81"/>
      <c r="L29" s="81"/>
      <c r="M29" s="81"/>
      <c r="N29" s="17"/>
      <c r="O29" s="82">
        <f t="shared" si="17"/>
        <v>0.06703144428</v>
      </c>
      <c r="P29" s="82">
        <f t="shared" si="18"/>
        <v>0.07631638486</v>
      </c>
      <c r="Q29" s="82">
        <f t="shared" si="19"/>
        <v>0.1101744385</v>
      </c>
      <c r="R29" s="82">
        <f t="shared" si="20"/>
        <v>0.1013551566</v>
      </c>
      <c r="S29" s="18"/>
      <c r="T29" s="18"/>
      <c r="U29" s="18"/>
      <c r="V29" s="18"/>
    </row>
    <row r="30">
      <c r="A30" s="80" t="s">
        <v>55</v>
      </c>
      <c r="B30" s="81"/>
      <c r="C30" s="81"/>
      <c r="D30" s="81"/>
      <c r="E30" s="81"/>
      <c r="F30" s="82">
        <f t="shared" si="13"/>
        <v>0.01366844421</v>
      </c>
      <c r="G30" s="82">
        <f t="shared" si="14"/>
        <v>0.009747185851</v>
      </c>
      <c r="H30" s="82">
        <f t="shared" si="15"/>
        <v>0.007626062205</v>
      </c>
      <c r="I30" s="82">
        <f t="shared" si="16"/>
        <v>0.006962169215</v>
      </c>
      <c r="J30" s="81"/>
      <c r="K30" s="81"/>
      <c r="L30" s="81"/>
      <c r="M30" s="81"/>
      <c r="N30" s="17"/>
      <c r="O30" s="82">
        <f t="shared" si="17"/>
        <v>0.01525829645</v>
      </c>
      <c r="P30" s="82">
        <f t="shared" si="18"/>
        <v>0.009496823769</v>
      </c>
      <c r="Q30" s="82">
        <f t="shared" si="19"/>
        <v>0.007577173684</v>
      </c>
      <c r="R30" s="82">
        <f t="shared" si="20"/>
        <v>0.006962169215</v>
      </c>
      <c r="S30" s="18"/>
      <c r="T30" s="18"/>
      <c r="U30" s="18"/>
      <c r="V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3"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</row>
    <row r="36"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</row>
    <row r="37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</row>
    <row r="38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</row>
    <row r="39">
      <c r="A39" s="84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</row>
    <row r="40">
      <c r="A40" s="85" t="s">
        <v>56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>
      <c r="A41" s="86" t="s">
        <v>28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</row>
    <row r="42">
      <c r="A42" s="87" t="s">
        <v>57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</row>
    <row r="43">
      <c r="A43" s="86" t="s">
        <v>29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>
      <c r="A44" s="87" t="s">
        <v>58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>
      <c r="A45" s="87" t="s">
        <v>59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>
      <c r="A46" s="87" t="s">
        <v>60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>
      <c r="A47" s="86" t="s">
        <v>33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</row>
    <row r="48">
      <c r="A48" s="87" t="s">
        <v>61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>
      <c r="A49" s="87" t="s">
        <v>62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</row>
    <row r="50">
      <c r="A50" s="87" t="s">
        <v>63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>
      <c r="A51" s="86" t="s">
        <v>30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>
      <c r="A52" s="87" t="s">
        <v>64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>
      <c r="A53" s="86" t="s">
        <v>31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>
      <c r="A54" s="87" t="s">
        <v>65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>
      <c r="A55" s="86" t="s">
        <v>66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>
      <c r="A56" s="87" t="s">
        <v>67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>
      <c r="A57" s="87" t="s">
        <v>68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</row>
  </sheetData>
  <mergeCells count="2">
    <mergeCell ref="B1:M1"/>
    <mergeCell ref="O1:V1"/>
  </mergeCells>
  <conditionalFormatting sqref="B16:M17">
    <cfRule type="cellIs" dxfId="0" priority="1" operator="greaterThan">
      <formula>0</formula>
    </cfRule>
  </conditionalFormatting>
  <conditionalFormatting sqref="B16:M17">
    <cfRule type="cellIs" dxfId="1" priority="2" operator="lessThan">
      <formula>0</formula>
    </cfRule>
  </conditionalFormatting>
  <conditionalFormatting sqref="O16:V16">
    <cfRule type="cellIs" dxfId="0" priority="3" operator="greaterThanOrEqual">
      <formula>0</formula>
    </cfRule>
  </conditionalFormatting>
  <conditionalFormatting sqref="O16:V16">
    <cfRule type="cellIs" dxfId="1" priority="4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20.25"/>
    <col customWidth="1" min="2" max="2" width="14.63"/>
    <col customWidth="1" hidden="1" min="3" max="3" width="14.63"/>
    <col customWidth="1" hidden="1" min="4" max="6" width="11.88"/>
    <col customWidth="1" min="7" max="10" width="11.88"/>
    <col customWidth="1" min="11" max="11" width="12.63"/>
    <col customWidth="1" min="12" max="12" width="3.0"/>
    <col customWidth="1" min="13" max="13" width="11.25"/>
    <col customWidth="1" hidden="1" min="14" max="17" width="13.63"/>
    <col customWidth="1" min="18" max="20" width="13.63"/>
    <col customWidth="1" min="21" max="21" width="11.88"/>
    <col customWidth="1" min="22" max="22" width="13.63"/>
    <col customWidth="1" min="23" max="28" width="12.63"/>
  </cols>
  <sheetData>
    <row r="1" ht="15.75" customHeight="1">
      <c r="A1" s="3" t="s">
        <v>2</v>
      </c>
      <c r="B1" s="3" t="s">
        <v>5</v>
      </c>
      <c r="C1" s="7">
        <v>46048.0</v>
      </c>
      <c r="D1" s="7">
        <v>46054.0</v>
      </c>
      <c r="E1" s="7">
        <v>46082.0</v>
      </c>
      <c r="F1" s="7">
        <v>46113.0</v>
      </c>
      <c r="G1" s="7">
        <v>46143.0</v>
      </c>
      <c r="H1" s="7">
        <v>46174.0</v>
      </c>
      <c r="I1" s="7">
        <v>46204.0</v>
      </c>
      <c r="J1" s="7">
        <v>46235.0</v>
      </c>
      <c r="K1" s="30" t="s">
        <v>13</v>
      </c>
      <c r="L1" s="22"/>
      <c r="M1" s="3" t="s">
        <v>11</v>
      </c>
      <c r="N1" s="7">
        <v>46023.0</v>
      </c>
      <c r="O1" s="7">
        <v>46054.0</v>
      </c>
      <c r="P1" s="7">
        <v>46082.0</v>
      </c>
      <c r="Q1" s="7">
        <v>46113.0</v>
      </c>
      <c r="R1" s="7">
        <v>46143.0</v>
      </c>
      <c r="S1" s="7">
        <v>46174.0</v>
      </c>
      <c r="T1" s="7">
        <v>46204.0</v>
      </c>
      <c r="U1" s="7">
        <v>46235.0</v>
      </c>
      <c r="V1" s="21" t="s">
        <v>10</v>
      </c>
      <c r="W1" s="24"/>
      <c r="X1" s="24"/>
      <c r="Y1" s="24"/>
      <c r="Z1" s="24"/>
      <c r="AA1" s="24"/>
      <c r="AB1" s="24"/>
    </row>
    <row r="2" ht="15.75" customHeight="1">
      <c r="A2" s="26" t="s">
        <v>21</v>
      </c>
      <c r="B2" s="27"/>
      <c r="C2" s="32">
        <f t="shared" ref="C2:F2" si="1">SUM(C6,C15,M15)</f>
        <v>0</v>
      </c>
      <c r="D2" s="32">
        <f t="shared" si="1"/>
        <v>0</v>
      </c>
      <c r="E2" s="32">
        <f t="shared" si="1"/>
        <v>0</v>
      </c>
      <c r="F2" s="32">
        <f t="shared" si="1"/>
        <v>0</v>
      </c>
      <c r="G2" s="36">
        <f t="shared" ref="G2:J2" si="2">SUM(G6,G15,G24,G33,G42,G51)</f>
        <v>3272867</v>
      </c>
      <c r="H2" s="36">
        <f t="shared" si="2"/>
        <v>3407958</v>
      </c>
      <c r="I2" s="36">
        <f t="shared" si="2"/>
        <v>3167821</v>
      </c>
      <c r="J2" s="36">
        <f t="shared" si="2"/>
        <v>2489454</v>
      </c>
      <c r="K2" s="41">
        <f>J2-I2</f>
        <v>-678367</v>
      </c>
      <c r="L2" s="43"/>
      <c r="M2" s="32"/>
      <c r="N2" s="45">
        <v>2601280.0</v>
      </c>
      <c r="O2" s="45">
        <v>3470470.0</v>
      </c>
      <c r="P2" s="45">
        <v>3221705.0</v>
      </c>
      <c r="Q2" s="45">
        <v>2699883.0</v>
      </c>
      <c r="R2" s="36">
        <f t="shared" ref="R2:U2" si="3">SUM(R6,R15,R24,R33,R42,R51)</f>
        <v>2318673</v>
      </c>
      <c r="S2" s="36">
        <f t="shared" si="3"/>
        <v>2682897</v>
      </c>
      <c r="T2" s="36">
        <f t="shared" si="3"/>
        <v>2177329</v>
      </c>
      <c r="U2" s="36">
        <f t="shared" si="3"/>
        <v>2489454</v>
      </c>
      <c r="V2" s="48">
        <f>U2-T2</f>
        <v>312125</v>
      </c>
      <c r="W2" s="32"/>
      <c r="X2" s="32"/>
      <c r="Y2" s="32"/>
      <c r="Z2" s="32"/>
      <c r="AA2" s="32"/>
      <c r="AB2" s="32"/>
    </row>
    <row r="3" ht="15.75" customHeight="1">
      <c r="A3" s="37" t="s">
        <v>32</v>
      </c>
      <c r="B3" s="38"/>
      <c r="C3" s="40"/>
      <c r="D3" s="40">
        <f t="shared" ref="D3:J3" si="4">D2-C2</f>
        <v>0</v>
      </c>
      <c r="E3" s="40">
        <f t="shared" si="4"/>
        <v>0</v>
      </c>
      <c r="F3" s="40">
        <f t="shared" si="4"/>
        <v>0</v>
      </c>
      <c r="G3" s="52">
        <f t="shared" si="4"/>
        <v>3272867</v>
      </c>
      <c r="H3" s="52">
        <f t="shared" si="4"/>
        <v>135091</v>
      </c>
      <c r="I3" s="52">
        <f t="shared" si="4"/>
        <v>-240137</v>
      </c>
      <c r="J3" s="52">
        <f t="shared" si="4"/>
        <v>-678367</v>
      </c>
      <c r="K3" s="53"/>
      <c r="L3" s="44"/>
      <c r="M3" s="44"/>
      <c r="N3" s="52">
        <f t="shared" ref="N3:U3" si="5">N2-M2</f>
        <v>2601280</v>
      </c>
      <c r="O3" s="52">
        <f t="shared" si="5"/>
        <v>869190</v>
      </c>
      <c r="P3" s="52">
        <f t="shared" si="5"/>
        <v>-248765</v>
      </c>
      <c r="Q3" s="52">
        <f t="shared" si="5"/>
        <v>-521822</v>
      </c>
      <c r="R3" s="52">
        <f t="shared" si="5"/>
        <v>-381210</v>
      </c>
      <c r="S3" s="52">
        <f t="shared" si="5"/>
        <v>364224</v>
      </c>
      <c r="T3" s="52">
        <f t="shared" si="5"/>
        <v>-505568</v>
      </c>
      <c r="U3" s="52">
        <f t="shared" si="5"/>
        <v>312125</v>
      </c>
      <c r="V3" s="48"/>
      <c r="W3" s="44"/>
      <c r="X3" s="44"/>
      <c r="Y3" s="44"/>
      <c r="Z3" s="44"/>
      <c r="AA3" s="44"/>
      <c r="AB3" s="44"/>
    </row>
    <row r="4" ht="15.75" customHeight="1">
      <c r="A4" s="37" t="s">
        <v>35</v>
      </c>
      <c r="B4" s="38"/>
      <c r="C4" s="44"/>
      <c r="D4" s="54">
        <f t="shared" ref="D4:J4" si="6">IFERROR(D2/C2-1,0)</f>
        <v>0</v>
      </c>
      <c r="E4" s="54">
        <f t="shared" si="6"/>
        <v>0</v>
      </c>
      <c r="F4" s="54">
        <f t="shared" si="6"/>
        <v>0</v>
      </c>
      <c r="G4" s="54">
        <f t="shared" si="6"/>
        <v>0</v>
      </c>
      <c r="H4" s="54">
        <f t="shared" si="6"/>
        <v>0.0412760433</v>
      </c>
      <c r="I4" s="54">
        <f t="shared" si="6"/>
        <v>-0.07046360313</v>
      </c>
      <c r="J4" s="54">
        <f t="shared" si="6"/>
        <v>-0.2141430971</v>
      </c>
      <c r="K4" s="56">
        <f>J4-I4</f>
        <v>-0.143679494</v>
      </c>
      <c r="L4" s="44"/>
      <c r="M4" s="44"/>
      <c r="N4" s="54"/>
      <c r="O4" s="54">
        <f t="shared" ref="O4:U4" si="7">O2/N2-1</f>
        <v>0.3341393468</v>
      </c>
      <c r="P4" s="54">
        <f t="shared" si="7"/>
        <v>-0.07168049284</v>
      </c>
      <c r="Q4" s="54">
        <f t="shared" si="7"/>
        <v>-0.1619707577</v>
      </c>
      <c r="R4" s="54">
        <f t="shared" si="7"/>
        <v>-0.1411950073</v>
      </c>
      <c r="S4" s="54">
        <f t="shared" si="7"/>
        <v>0.1570829522</v>
      </c>
      <c r="T4" s="54">
        <f t="shared" si="7"/>
        <v>-0.1884410769</v>
      </c>
      <c r="U4" s="54">
        <f t="shared" si="7"/>
        <v>0.1433522449</v>
      </c>
      <c r="V4" s="56">
        <f>U4-T4</f>
        <v>0.3317933218</v>
      </c>
      <c r="W4" s="44"/>
      <c r="X4" s="44"/>
      <c r="Y4" s="44"/>
      <c r="Z4" s="44"/>
      <c r="AA4" s="44"/>
      <c r="AB4" s="44"/>
    </row>
    <row r="5">
      <c r="A5" s="35"/>
      <c r="B5" s="37"/>
      <c r="C5" s="11"/>
      <c r="D5" s="11"/>
      <c r="E5" s="11"/>
      <c r="F5" s="11"/>
      <c r="G5" s="58"/>
      <c r="H5" s="58"/>
      <c r="I5" s="58"/>
      <c r="J5" s="58"/>
      <c r="K5" s="59"/>
      <c r="L5" s="11"/>
      <c r="M5" s="11"/>
      <c r="N5" s="11"/>
      <c r="O5" s="11"/>
      <c r="P5" s="11"/>
      <c r="Q5" s="11"/>
      <c r="R5" s="58"/>
      <c r="S5" s="58"/>
      <c r="T5" s="58"/>
      <c r="U5" s="58"/>
      <c r="V5" s="60"/>
      <c r="W5" s="11"/>
      <c r="X5" s="11"/>
      <c r="Y5" s="11"/>
      <c r="Z5" s="11"/>
      <c r="AA5" s="11"/>
      <c r="AB5" s="11"/>
    </row>
    <row r="6" ht="15.0" customHeight="1">
      <c r="A6" s="35" t="s">
        <v>28</v>
      </c>
      <c r="B6" s="40"/>
      <c r="C6" s="62">
        <f t="shared" ref="C6:J6" si="8">SUM(C8,C10,C12)</f>
        <v>0</v>
      </c>
      <c r="D6" s="62">
        <f t="shared" si="8"/>
        <v>0</v>
      </c>
      <c r="E6" s="62">
        <f t="shared" si="8"/>
        <v>0</v>
      </c>
      <c r="F6" s="62">
        <f t="shared" si="8"/>
        <v>0</v>
      </c>
      <c r="G6" s="63">
        <f t="shared" si="8"/>
        <v>1669075</v>
      </c>
      <c r="H6" s="63">
        <f t="shared" si="8"/>
        <v>1648550</v>
      </c>
      <c r="I6" s="63">
        <f t="shared" si="8"/>
        <v>1875191</v>
      </c>
      <c r="J6" s="63">
        <f t="shared" si="8"/>
        <v>1248616</v>
      </c>
      <c r="K6" s="65">
        <f>J6-I6</f>
        <v>-626575</v>
      </c>
      <c r="L6" s="62"/>
      <c r="M6" s="62"/>
      <c r="N6" s="62">
        <f t="shared" ref="N6:Q6" si="9">SUM(N8,N10,N14)</f>
        <v>0</v>
      </c>
      <c r="O6" s="62">
        <f t="shared" si="9"/>
        <v>0</v>
      </c>
      <c r="P6" s="62">
        <f t="shared" si="9"/>
        <v>0</v>
      </c>
      <c r="Q6" s="62">
        <f t="shared" si="9"/>
        <v>0</v>
      </c>
      <c r="R6" s="63">
        <f t="shared" ref="R6:U6" si="10">SUM(R8,R10,R12)</f>
        <v>1253336</v>
      </c>
      <c r="S6" s="63">
        <f t="shared" si="10"/>
        <v>1267036</v>
      </c>
      <c r="T6" s="63">
        <f t="shared" si="10"/>
        <v>1408084</v>
      </c>
      <c r="U6" s="63">
        <f t="shared" si="10"/>
        <v>1248616</v>
      </c>
      <c r="V6" s="48">
        <f>U6-T6</f>
        <v>-159468</v>
      </c>
      <c r="W6" s="62"/>
      <c r="X6" s="62"/>
      <c r="Y6" s="62"/>
      <c r="Z6" s="62"/>
      <c r="AA6" s="62"/>
      <c r="AB6" s="62"/>
    </row>
    <row r="7" ht="15.0" customHeight="1">
      <c r="A7" s="37" t="s">
        <v>39</v>
      </c>
      <c r="B7" s="37"/>
      <c r="C7" s="38"/>
      <c r="D7" s="38">
        <f t="shared" ref="D7:J7" si="11">D6-C6</f>
        <v>0</v>
      </c>
      <c r="E7" s="38">
        <f t="shared" si="11"/>
        <v>0</v>
      </c>
      <c r="F7" s="38">
        <f t="shared" si="11"/>
        <v>0</v>
      </c>
      <c r="G7" s="67">
        <f t="shared" si="11"/>
        <v>1669075</v>
      </c>
      <c r="H7" s="67">
        <f t="shared" si="11"/>
        <v>-20525</v>
      </c>
      <c r="I7" s="67">
        <f t="shared" si="11"/>
        <v>226641</v>
      </c>
      <c r="J7" s="67">
        <f t="shared" si="11"/>
        <v>-626575</v>
      </c>
      <c r="K7" s="68"/>
      <c r="L7" s="38"/>
      <c r="M7" s="38"/>
      <c r="N7" s="38">
        <f t="shared" ref="N7:U7" si="12">N6-M6</f>
        <v>0</v>
      </c>
      <c r="O7" s="38">
        <f t="shared" si="12"/>
        <v>0</v>
      </c>
      <c r="P7" s="38">
        <f t="shared" si="12"/>
        <v>0</v>
      </c>
      <c r="Q7" s="38">
        <f t="shared" si="12"/>
        <v>0</v>
      </c>
      <c r="R7" s="67">
        <f t="shared" si="12"/>
        <v>1253336</v>
      </c>
      <c r="S7" s="67">
        <f t="shared" si="12"/>
        <v>13700</v>
      </c>
      <c r="T7" s="67">
        <f t="shared" si="12"/>
        <v>141048</v>
      </c>
      <c r="U7" s="67">
        <f t="shared" si="12"/>
        <v>-159468</v>
      </c>
      <c r="V7" s="53"/>
      <c r="W7" s="38"/>
      <c r="X7" s="38"/>
      <c r="Y7" s="38"/>
      <c r="Z7" s="38"/>
      <c r="AA7" s="38"/>
      <c r="AB7" s="38"/>
    </row>
    <row r="8" ht="15.0" customHeight="1">
      <c r="A8" s="69"/>
      <c r="B8" s="70" t="s">
        <v>46</v>
      </c>
      <c r="C8" s="71"/>
      <c r="D8" s="71"/>
      <c r="E8" s="71"/>
      <c r="F8" s="71"/>
      <c r="G8" s="72">
        <v>726916.0</v>
      </c>
      <c r="H8" s="72">
        <v>725084.0</v>
      </c>
      <c r="I8" s="72">
        <v>722336.0</v>
      </c>
      <c r="J8" s="72">
        <v>495785.0</v>
      </c>
      <c r="K8" s="73">
        <f>J8-I8</f>
        <v>-226551</v>
      </c>
      <c r="L8" s="71"/>
      <c r="M8" s="71"/>
      <c r="N8" s="71"/>
      <c r="O8" s="71"/>
      <c r="P8" s="71"/>
      <c r="Q8" s="71"/>
      <c r="R8" s="74">
        <v>539857.0</v>
      </c>
      <c r="S8" s="74">
        <v>562200.0</v>
      </c>
      <c r="T8" s="74">
        <v>538955.0</v>
      </c>
      <c r="U8" s="74">
        <v>495785.0</v>
      </c>
      <c r="V8" s="73">
        <f>U8-T8</f>
        <v>-43170</v>
      </c>
      <c r="W8" s="71"/>
      <c r="X8" s="71"/>
      <c r="Y8" s="71"/>
      <c r="Z8" s="71"/>
      <c r="AA8" s="71"/>
      <c r="AB8" s="71"/>
    </row>
    <row r="9" ht="15.0" customHeight="1">
      <c r="A9" s="76"/>
      <c r="B9" s="76" t="s">
        <v>39</v>
      </c>
      <c r="C9" s="76"/>
      <c r="D9" s="76">
        <f t="shared" ref="D9:J9" si="13">D8-C8</f>
        <v>0</v>
      </c>
      <c r="E9" s="76">
        <f t="shared" si="13"/>
        <v>0</v>
      </c>
      <c r="F9" s="76">
        <f t="shared" si="13"/>
        <v>0</v>
      </c>
      <c r="G9" s="77">
        <f t="shared" si="13"/>
        <v>726916</v>
      </c>
      <c r="H9" s="77">
        <f t="shared" si="13"/>
        <v>-1832</v>
      </c>
      <c r="I9" s="77">
        <f t="shared" si="13"/>
        <v>-2748</v>
      </c>
      <c r="J9" s="77">
        <f t="shared" si="13"/>
        <v>-226551</v>
      </c>
      <c r="K9" s="78"/>
      <c r="L9" s="76"/>
      <c r="M9" s="76"/>
      <c r="N9" s="76">
        <f t="shared" ref="N9:U9" si="14">N8-M8</f>
        <v>0</v>
      </c>
      <c r="O9" s="76">
        <f t="shared" si="14"/>
        <v>0</v>
      </c>
      <c r="P9" s="76">
        <f t="shared" si="14"/>
        <v>0</v>
      </c>
      <c r="Q9" s="76">
        <f t="shared" si="14"/>
        <v>0</v>
      </c>
      <c r="R9" s="77">
        <f t="shared" si="14"/>
        <v>539857</v>
      </c>
      <c r="S9" s="77">
        <f t="shared" si="14"/>
        <v>22343</v>
      </c>
      <c r="T9" s="77">
        <f t="shared" si="14"/>
        <v>-23245</v>
      </c>
      <c r="U9" s="77">
        <f t="shared" si="14"/>
        <v>-43170</v>
      </c>
      <c r="V9" s="79"/>
      <c r="W9" s="76"/>
      <c r="X9" s="76"/>
      <c r="Y9" s="76"/>
      <c r="Z9" s="76"/>
      <c r="AA9" s="76"/>
      <c r="AB9" s="76"/>
    </row>
    <row r="10" ht="15.0" customHeight="1">
      <c r="A10" s="69"/>
      <c r="B10" s="70" t="s">
        <v>48</v>
      </c>
      <c r="C10" s="71"/>
      <c r="D10" s="71"/>
      <c r="E10" s="71"/>
      <c r="F10" s="71"/>
      <c r="G10" s="72">
        <v>49109.0</v>
      </c>
      <c r="H10" s="72">
        <v>48429.0</v>
      </c>
      <c r="I10" s="72">
        <v>66359.0</v>
      </c>
      <c r="J10" s="72">
        <v>44742.0</v>
      </c>
      <c r="K10" s="73">
        <f>J10-I10</f>
        <v>-21617</v>
      </c>
      <c r="L10" s="71"/>
      <c r="M10" s="71"/>
      <c r="N10" s="71"/>
      <c r="O10" s="71"/>
      <c r="P10" s="71"/>
      <c r="Q10" s="71"/>
      <c r="R10" s="72">
        <v>36900.0</v>
      </c>
      <c r="S10" s="72">
        <v>35802.0</v>
      </c>
      <c r="T10" s="72">
        <v>51362.0</v>
      </c>
      <c r="U10" s="72">
        <v>44742.0</v>
      </c>
      <c r="V10" s="73">
        <f>U10-T10</f>
        <v>-6620</v>
      </c>
      <c r="W10" s="71"/>
      <c r="X10" s="71"/>
      <c r="Y10" s="71"/>
      <c r="Z10" s="71"/>
      <c r="AA10" s="71"/>
      <c r="AB10" s="71"/>
    </row>
    <row r="11" ht="15.0" customHeight="1">
      <c r="A11" s="76"/>
      <c r="B11" s="76" t="s">
        <v>39</v>
      </c>
      <c r="C11" s="76"/>
      <c r="D11" s="76">
        <f t="shared" ref="D11:J11" si="15">D10-C10</f>
        <v>0</v>
      </c>
      <c r="E11" s="76">
        <f t="shared" si="15"/>
        <v>0</v>
      </c>
      <c r="F11" s="76">
        <f t="shared" si="15"/>
        <v>0</v>
      </c>
      <c r="G11" s="77">
        <f t="shared" si="15"/>
        <v>49109</v>
      </c>
      <c r="H11" s="77">
        <f t="shared" si="15"/>
        <v>-680</v>
      </c>
      <c r="I11" s="77">
        <f t="shared" si="15"/>
        <v>17930</v>
      </c>
      <c r="J11" s="77">
        <f t="shared" si="15"/>
        <v>-21617</v>
      </c>
      <c r="K11" s="78"/>
      <c r="L11" s="76"/>
      <c r="M11" s="76"/>
      <c r="N11" s="76">
        <f t="shared" ref="N11:U11" si="16">N10-M10</f>
        <v>0</v>
      </c>
      <c r="O11" s="76">
        <f t="shared" si="16"/>
        <v>0</v>
      </c>
      <c r="P11" s="76">
        <f t="shared" si="16"/>
        <v>0</v>
      </c>
      <c r="Q11" s="76">
        <f t="shared" si="16"/>
        <v>0</v>
      </c>
      <c r="R11" s="77">
        <f t="shared" si="16"/>
        <v>36900</v>
      </c>
      <c r="S11" s="77">
        <f t="shared" si="16"/>
        <v>-1098</v>
      </c>
      <c r="T11" s="77">
        <f t="shared" si="16"/>
        <v>15560</v>
      </c>
      <c r="U11" s="77">
        <f t="shared" si="16"/>
        <v>-6620</v>
      </c>
      <c r="V11" s="79"/>
      <c r="W11" s="76"/>
      <c r="X11" s="76"/>
      <c r="Y11" s="76"/>
      <c r="Z11" s="76"/>
      <c r="AA11" s="76"/>
      <c r="AB11" s="76"/>
    </row>
    <row r="12" ht="15.0" customHeight="1">
      <c r="A12" s="69"/>
      <c r="B12" s="70" t="s">
        <v>34</v>
      </c>
      <c r="C12" s="71"/>
      <c r="D12" s="71"/>
      <c r="E12" s="71"/>
      <c r="F12" s="71"/>
      <c r="G12" s="72">
        <v>893050.0</v>
      </c>
      <c r="H12" s="72">
        <v>875037.0</v>
      </c>
      <c r="I12" s="72">
        <v>1086496.0</v>
      </c>
      <c r="J12" s="72">
        <v>708089.0</v>
      </c>
      <c r="K12" s="73">
        <f>J12-I12</f>
        <v>-378407</v>
      </c>
      <c r="L12" s="71"/>
      <c r="M12" s="71"/>
      <c r="N12" s="71"/>
      <c r="O12" s="71"/>
      <c r="P12" s="71"/>
      <c r="Q12" s="71"/>
      <c r="R12" s="72">
        <v>676579.0</v>
      </c>
      <c r="S12" s="72">
        <v>669034.0</v>
      </c>
      <c r="T12" s="72">
        <v>817767.0</v>
      </c>
      <c r="U12" s="72">
        <v>708089.0</v>
      </c>
      <c r="V12" s="79">
        <f>U12-T12</f>
        <v>-109678</v>
      </c>
      <c r="W12" s="71"/>
      <c r="X12" s="71"/>
      <c r="Y12" s="71"/>
      <c r="Z12" s="71"/>
      <c r="AA12" s="71"/>
      <c r="AB12" s="71"/>
    </row>
    <row r="13" ht="15.0" customHeight="1">
      <c r="A13" s="76"/>
      <c r="B13" s="76" t="s">
        <v>39</v>
      </c>
      <c r="C13" s="76"/>
      <c r="D13" s="76">
        <f t="shared" ref="D13:J13" si="17">D12-C12</f>
        <v>0</v>
      </c>
      <c r="E13" s="76">
        <f t="shared" si="17"/>
        <v>0</v>
      </c>
      <c r="F13" s="76">
        <f t="shared" si="17"/>
        <v>0</v>
      </c>
      <c r="G13" s="77">
        <f t="shared" si="17"/>
        <v>893050</v>
      </c>
      <c r="H13" s="77">
        <f t="shared" si="17"/>
        <v>-18013</v>
      </c>
      <c r="I13" s="77">
        <f t="shared" si="17"/>
        <v>211459</v>
      </c>
      <c r="J13" s="77">
        <f t="shared" si="17"/>
        <v>-378407</v>
      </c>
      <c r="K13" s="78"/>
      <c r="L13" s="76"/>
      <c r="M13" s="76"/>
      <c r="N13" s="76"/>
      <c r="O13" s="76"/>
      <c r="P13" s="76"/>
      <c r="Q13" s="76"/>
      <c r="R13" s="77">
        <f t="shared" ref="R13:U13" si="18">R12-Q12</f>
        <v>676579</v>
      </c>
      <c r="S13" s="77">
        <f t="shared" si="18"/>
        <v>-7545</v>
      </c>
      <c r="T13" s="77">
        <f t="shared" si="18"/>
        <v>148733</v>
      </c>
      <c r="U13" s="77">
        <f t="shared" si="18"/>
        <v>-109678</v>
      </c>
      <c r="V13" s="79"/>
      <c r="W13" s="76"/>
      <c r="X13" s="76"/>
      <c r="Y13" s="76"/>
      <c r="Z13" s="76"/>
      <c r="AA13" s="76"/>
      <c r="AB13" s="76"/>
    </row>
    <row r="14" ht="15.0" customHeight="1">
      <c r="A14" s="37"/>
      <c r="B14" s="35"/>
      <c r="C14" s="11"/>
      <c r="D14" s="11"/>
      <c r="E14" s="11"/>
      <c r="F14" s="11"/>
      <c r="G14" s="58"/>
      <c r="H14" s="58"/>
      <c r="I14" s="58"/>
      <c r="J14" s="58"/>
      <c r="K14" s="83"/>
      <c r="L14" s="11"/>
      <c r="M14" s="11"/>
      <c r="N14" s="11"/>
      <c r="O14" s="11"/>
      <c r="P14" s="11"/>
      <c r="Q14" s="11"/>
      <c r="R14" s="58"/>
      <c r="S14" s="58"/>
      <c r="T14" s="58"/>
      <c r="U14" s="58"/>
      <c r="V14" s="48"/>
      <c r="W14" s="11"/>
      <c r="X14" s="11"/>
      <c r="Y14" s="11"/>
      <c r="Z14" s="11"/>
      <c r="AA14" s="11"/>
      <c r="AB14" s="11"/>
    </row>
    <row r="15" ht="15.0" customHeight="1">
      <c r="A15" s="35" t="s">
        <v>29</v>
      </c>
      <c r="B15" s="62"/>
      <c r="C15" s="62">
        <f t="shared" ref="C15:J15" si="19">SUM(C17,C19,C21)</f>
        <v>0</v>
      </c>
      <c r="D15" s="62">
        <f t="shared" si="19"/>
        <v>0</v>
      </c>
      <c r="E15" s="62">
        <f t="shared" si="19"/>
        <v>0</v>
      </c>
      <c r="F15" s="62">
        <f t="shared" si="19"/>
        <v>0</v>
      </c>
      <c r="G15" s="63">
        <f t="shared" si="19"/>
        <v>703135</v>
      </c>
      <c r="H15" s="63">
        <f t="shared" si="19"/>
        <v>967001</v>
      </c>
      <c r="I15" s="63">
        <f t="shared" si="19"/>
        <v>491874</v>
      </c>
      <c r="J15" s="63">
        <f t="shared" si="19"/>
        <v>453802</v>
      </c>
      <c r="K15" s="65">
        <f>J15-I15</f>
        <v>-38072</v>
      </c>
      <c r="L15" s="62"/>
      <c r="M15" s="62"/>
      <c r="N15" s="62"/>
      <c r="O15" s="62"/>
      <c r="P15" s="62"/>
      <c r="Q15" s="62"/>
      <c r="R15" s="63">
        <f t="shared" ref="R15:U15" si="20">SUM(R17,R19,R21)</f>
        <v>376786</v>
      </c>
      <c r="S15" s="63">
        <f t="shared" si="20"/>
        <v>798331</v>
      </c>
      <c r="T15" s="63">
        <f t="shared" si="20"/>
        <v>171834</v>
      </c>
      <c r="U15" s="63">
        <f t="shared" si="20"/>
        <v>453802</v>
      </c>
      <c r="V15" s="48">
        <f>U15-T15</f>
        <v>281968</v>
      </c>
      <c r="W15" s="62"/>
      <c r="X15" s="62"/>
      <c r="Y15" s="62"/>
      <c r="Z15" s="62"/>
      <c r="AA15" s="62"/>
      <c r="AB15" s="62"/>
    </row>
    <row r="16" ht="15.0" customHeight="1">
      <c r="A16" s="37" t="s">
        <v>39</v>
      </c>
      <c r="B16" s="37"/>
      <c r="C16" s="38"/>
      <c r="D16" s="38">
        <f t="shared" ref="D16:J16" si="21">D15-C15</f>
        <v>0</v>
      </c>
      <c r="E16" s="38">
        <f t="shared" si="21"/>
        <v>0</v>
      </c>
      <c r="F16" s="38">
        <f t="shared" si="21"/>
        <v>0</v>
      </c>
      <c r="G16" s="67">
        <f t="shared" si="21"/>
        <v>703135</v>
      </c>
      <c r="H16" s="67">
        <f t="shared" si="21"/>
        <v>263866</v>
      </c>
      <c r="I16" s="67">
        <f t="shared" si="21"/>
        <v>-475127</v>
      </c>
      <c r="J16" s="67">
        <f t="shared" si="21"/>
        <v>-38072</v>
      </c>
      <c r="K16" s="68"/>
      <c r="L16" s="38"/>
      <c r="M16" s="38"/>
      <c r="N16" s="38">
        <f t="shared" ref="N16:U16" si="22">N15-M15</f>
        <v>0</v>
      </c>
      <c r="O16" s="38">
        <f t="shared" si="22"/>
        <v>0</v>
      </c>
      <c r="P16" s="38">
        <f t="shared" si="22"/>
        <v>0</v>
      </c>
      <c r="Q16" s="38">
        <f t="shared" si="22"/>
        <v>0</v>
      </c>
      <c r="R16" s="67">
        <f t="shared" si="22"/>
        <v>376786</v>
      </c>
      <c r="S16" s="67">
        <f t="shared" si="22"/>
        <v>421545</v>
      </c>
      <c r="T16" s="67">
        <f t="shared" si="22"/>
        <v>-626497</v>
      </c>
      <c r="U16" s="67">
        <f t="shared" si="22"/>
        <v>281968</v>
      </c>
      <c r="V16" s="53"/>
      <c r="W16" s="38"/>
      <c r="X16" s="38"/>
      <c r="Y16" s="38"/>
      <c r="Z16" s="38"/>
      <c r="AA16" s="38"/>
      <c r="AB16" s="38"/>
    </row>
    <row r="17" ht="15.0" customHeight="1">
      <c r="A17" s="71"/>
      <c r="B17" s="70" t="s">
        <v>46</v>
      </c>
      <c r="C17" s="71"/>
      <c r="D17" s="71"/>
      <c r="E17" s="71"/>
      <c r="F17" s="71"/>
      <c r="G17" s="72">
        <v>1425.0</v>
      </c>
      <c r="H17" s="72">
        <v>24582.0</v>
      </c>
      <c r="I17" s="72">
        <v>6056.0</v>
      </c>
      <c r="J17" s="72">
        <v>14162.0</v>
      </c>
      <c r="K17" s="73">
        <f>J17-I17</f>
        <v>8106</v>
      </c>
      <c r="L17" s="71"/>
      <c r="M17" s="71"/>
      <c r="N17" s="71"/>
      <c r="O17" s="71"/>
      <c r="P17" s="71"/>
      <c r="Q17" s="71"/>
      <c r="R17" s="74">
        <v>958.0</v>
      </c>
      <c r="S17" s="74">
        <v>24431.0</v>
      </c>
      <c r="T17" s="74">
        <v>2120.0</v>
      </c>
      <c r="U17" s="74">
        <v>14162.0</v>
      </c>
      <c r="V17" s="73">
        <f>U17-T17</f>
        <v>12042</v>
      </c>
      <c r="W17" s="71"/>
      <c r="X17" s="71"/>
      <c r="Y17" s="71"/>
      <c r="Z17" s="71"/>
      <c r="AA17" s="71"/>
      <c r="AB17" s="71"/>
    </row>
    <row r="18" ht="15.0" customHeight="1">
      <c r="A18" s="76"/>
      <c r="B18" s="76" t="s">
        <v>39</v>
      </c>
      <c r="C18" s="76"/>
      <c r="D18" s="76">
        <f t="shared" ref="D18:J18" si="23">D17-C17</f>
        <v>0</v>
      </c>
      <c r="E18" s="76">
        <f t="shared" si="23"/>
        <v>0</v>
      </c>
      <c r="F18" s="76">
        <f t="shared" si="23"/>
        <v>0</v>
      </c>
      <c r="G18" s="77">
        <f t="shared" si="23"/>
        <v>1425</v>
      </c>
      <c r="H18" s="77">
        <f t="shared" si="23"/>
        <v>23157</v>
      </c>
      <c r="I18" s="77">
        <f t="shared" si="23"/>
        <v>-18526</v>
      </c>
      <c r="J18" s="77">
        <f t="shared" si="23"/>
        <v>8106</v>
      </c>
      <c r="K18" s="78"/>
      <c r="L18" s="76"/>
      <c r="M18" s="76"/>
      <c r="N18" s="76">
        <f t="shared" ref="N18:U18" si="24">N17-M17</f>
        <v>0</v>
      </c>
      <c r="O18" s="76">
        <f t="shared" si="24"/>
        <v>0</v>
      </c>
      <c r="P18" s="76">
        <f t="shared" si="24"/>
        <v>0</v>
      </c>
      <c r="Q18" s="76">
        <f t="shared" si="24"/>
        <v>0</v>
      </c>
      <c r="R18" s="77">
        <f t="shared" si="24"/>
        <v>958</v>
      </c>
      <c r="S18" s="77">
        <f t="shared" si="24"/>
        <v>23473</v>
      </c>
      <c r="T18" s="77">
        <f t="shared" si="24"/>
        <v>-22311</v>
      </c>
      <c r="U18" s="77">
        <f t="shared" si="24"/>
        <v>12042</v>
      </c>
      <c r="V18" s="79"/>
      <c r="W18" s="76"/>
      <c r="X18" s="76"/>
      <c r="Y18" s="76"/>
      <c r="Z18" s="76"/>
      <c r="AA18" s="76"/>
      <c r="AB18" s="76"/>
    </row>
    <row r="19" ht="15.0" customHeight="1">
      <c r="A19" s="69"/>
      <c r="B19" s="70" t="s">
        <v>48</v>
      </c>
      <c r="C19" s="71"/>
      <c r="D19" s="71"/>
      <c r="E19" s="71"/>
      <c r="F19" s="71"/>
      <c r="G19" s="72">
        <v>91258.0</v>
      </c>
      <c r="H19" s="72">
        <v>69033.0</v>
      </c>
      <c r="I19" s="72">
        <v>31835.0</v>
      </c>
      <c r="J19" s="72">
        <v>57140.0</v>
      </c>
      <c r="K19" s="73">
        <f>J19-I19</f>
        <v>25305</v>
      </c>
      <c r="L19" s="71"/>
      <c r="M19" s="71"/>
      <c r="N19" s="71"/>
      <c r="O19" s="71"/>
      <c r="P19" s="71"/>
      <c r="Q19" s="71"/>
      <c r="R19" s="72">
        <v>67814.0</v>
      </c>
      <c r="S19" s="72">
        <v>52745.0</v>
      </c>
      <c r="T19" s="72">
        <v>14695.0</v>
      </c>
      <c r="U19" s="72">
        <v>57140.0</v>
      </c>
      <c r="V19" s="73">
        <f>U19-T19</f>
        <v>42445</v>
      </c>
      <c r="W19" s="71"/>
      <c r="X19" s="71"/>
      <c r="Y19" s="71"/>
      <c r="Z19" s="71"/>
      <c r="AA19" s="71"/>
      <c r="AB19" s="71"/>
    </row>
    <row r="20" ht="15.0" customHeight="1">
      <c r="A20" s="76"/>
      <c r="B20" s="76" t="s">
        <v>39</v>
      </c>
      <c r="C20" s="76"/>
      <c r="D20" s="76">
        <f t="shared" ref="D20:J20" si="25">D19-C19</f>
        <v>0</v>
      </c>
      <c r="E20" s="76">
        <f t="shared" si="25"/>
        <v>0</v>
      </c>
      <c r="F20" s="76">
        <f t="shared" si="25"/>
        <v>0</v>
      </c>
      <c r="G20" s="77">
        <f t="shared" si="25"/>
        <v>91258</v>
      </c>
      <c r="H20" s="77">
        <f t="shared" si="25"/>
        <v>-22225</v>
      </c>
      <c r="I20" s="77">
        <f t="shared" si="25"/>
        <v>-37198</v>
      </c>
      <c r="J20" s="77">
        <f t="shared" si="25"/>
        <v>25305</v>
      </c>
      <c r="K20" s="78"/>
      <c r="L20" s="76"/>
      <c r="M20" s="76"/>
      <c r="N20" s="76">
        <f t="shared" ref="N20:U20" si="26">N19-M19</f>
        <v>0</v>
      </c>
      <c r="O20" s="76">
        <f t="shared" si="26"/>
        <v>0</v>
      </c>
      <c r="P20" s="76">
        <f t="shared" si="26"/>
        <v>0</v>
      </c>
      <c r="Q20" s="76">
        <f t="shared" si="26"/>
        <v>0</v>
      </c>
      <c r="R20" s="77">
        <f t="shared" si="26"/>
        <v>67814</v>
      </c>
      <c r="S20" s="77">
        <f t="shared" si="26"/>
        <v>-15069</v>
      </c>
      <c r="T20" s="77">
        <f t="shared" si="26"/>
        <v>-38050</v>
      </c>
      <c r="U20" s="77">
        <f t="shared" si="26"/>
        <v>42445</v>
      </c>
      <c r="V20" s="79"/>
      <c r="W20" s="76"/>
      <c r="X20" s="76"/>
      <c r="Y20" s="76"/>
      <c r="Z20" s="76"/>
      <c r="AA20" s="76"/>
      <c r="AB20" s="76"/>
    </row>
    <row r="21" ht="15.0" customHeight="1">
      <c r="A21" s="69"/>
      <c r="B21" s="70" t="s">
        <v>34</v>
      </c>
      <c r="C21" s="71"/>
      <c r="D21" s="71"/>
      <c r="E21" s="71"/>
      <c r="F21" s="71"/>
      <c r="G21" s="72">
        <v>610452.0</v>
      </c>
      <c r="H21" s="72">
        <v>873386.0</v>
      </c>
      <c r="I21" s="72">
        <v>453983.0</v>
      </c>
      <c r="J21" s="72">
        <v>382500.0</v>
      </c>
      <c r="K21" s="73">
        <f>J21-I21</f>
        <v>-71483</v>
      </c>
      <c r="L21" s="71"/>
      <c r="M21" s="71"/>
      <c r="N21" s="71"/>
      <c r="O21" s="71"/>
      <c r="P21" s="71"/>
      <c r="Q21" s="71"/>
      <c r="R21" s="72">
        <v>308014.0</v>
      </c>
      <c r="S21" s="72">
        <v>721155.0</v>
      </c>
      <c r="T21" s="72">
        <v>155019.0</v>
      </c>
      <c r="U21" s="72">
        <v>382500.0</v>
      </c>
      <c r="V21" s="79">
        <f>U21-T21</f>
        <v>227481</v>
      </c>
      <c r="W21" s="71"/>
      <c r="X21" s="71"/>
      <c r="Y21" s="71"/>
      <c r="Z21" s="71"/>
      <c r="AA21" s="71"/>
      <c r="AB21" s="71"/>
    </row>
    <row r="22" ht="15.0" customHeight="1">
      <c r="A22" s="76"/>
      <c r="B22" s="76" t="s">
        <v>39</v>
      </c>
      <c r="C22" s="76"/>
      <c r="D22" s="76">
        <f t="shared" ref="D22:J22" si="27">D21-C21</f>
        <v>0</v>
      </c>
      <c r="E22" s="76">
        <f t="shared" si="27"/>
        <v>0</v>
      </c>
      <c r="F22" s="76">
        <f t="shared" si="27"/>
        <v>0</v>
      </c>
      <c r="G22" s="77">
        <f t="shared" si="27"/>
        <v>610452</v>
      </c>
      <c r="H22" s="77">
        <f t="shared" si="27"/>
        <v>262934</v>
      </c>
      <c r="I22" s="77">
        <f t="shared" si="27"/>
        <v>-419403</v>
      </c>
      <c r="J22" s="77">
        <f t="shared" si="27"/>
        <v>-71483</v>
      </c>
      <c r="K22" s="78"/>
      <c r="L22" s="76"/>
      <c r="M22" s="76"/>
      <c r="N22" s="76"/>
      <c r="O22" s="76"/>
      <c r="P22" s="76"/>
      <c r="Q22" s="76"/>
      <c r="R22" s="77">
        <f t="shared" ref="R22:U22" si="28">R21-Q21</f>
        <v>308014</v>
      </c>
      <c r="S22" s="77">
        <f t="shared" si="28"/>
        <v>413141</v>
      </c>
      <c r="T22" s="77">
        <f t="shared" si="28"/>
        <v>-566136</v>
      </c>
      <c r="U22" s="77">
        <f t="shared" si="28"/>
        <v>227481</v>
      </c>
      <c r="V22" s="79"/>
      <c r="W22" s="76"/>
      <c r="X22" s="76"/>
      <c r="Y22" s="76"/>
      <c r="Z22" s="76"/>
      <c r="AA22" s="76"/>
      <c r="AB22" s="76"/>
    </row>
    <row r="23" ht="15.0" customHeight="1">
      <c r="A23" s="37"/>
      <c r="B23" s="75"/>
      <c r="C23" s="11"/>
      <c r="D23" s="11"/>
      <c r="E23" s="11"/>
      <c r="F23" s="11"/>
      <c r="G23" s="58"/>
      <c r="H23" s="58"/>
      <c r="I23" s="58"/>
      <c r="J23" s="58"/>
      <c r="K23" s="83"/>
      <c r="L23" s="11"/>
      <c r="M23" s="11"/>
      <c r="N23" s="11"/>
      <c r="O23" s="11"/>
      <c r="P23" s="11"/>
      <c r="Q23" s="11"/>
      <c r="R23" s="58"/>
      <c r="S23" s="58"/>
      <c r="T23" s="58"/>
      <c r="U23" s="58"/>
      <c r="V23" s="48"/>
      <c r="W23" s="11"/>
      <c r="X23" s="11"/>
      <c r="Y23" s="11"/>
      <c r="Z23" s="11"/>
      <c r="AA23" s="11"/>
      <c r="AB23" s="11"/>
    </row>
    <row r="24" ht="15.0" customHeight="1">
      <c r="A24" s="88" t="s">
        <v>30</v>
      </c>
      <c r="B24" s="62"/>
      <c r="C24" s="62">
        <f t="shared" ref="C24:J24" si="29">SUM(C26,C28,C30)</f>
        <v>0</v>
      </c>
      <c r="D24" s="62">
        <f t="shared" si="29"/>
        <v>0</v>
      </c>
      <c r="E24" s="62">
        <f t="shared" si="29"/>
        <v>0</v>
      </c>
      <c r="F24" s="62">
        <f t="shared" si="29"/>
        <v>0</v>
      </c>
      <c r="G24" s="63">
        <f t="shared" si="29"/>
        <v>637005</v>
      </c>
      <c r="H24" s="63">
        <f t="shared" si="29"/>
        <v>488574</v>
      </c>
      <c r="I24" s="63">
        <f t="shared" si="29"/>
        <v>440855</v>
      </c>
      <c r="J24" s="63">
        <f t="shared" si="29"/>
        <v>501099</v>
      </c>
      <c r="K24" s="65">
        <f>J24-I24</f>
        <v>60244</v>
      </c>
      <c r="L24" s="62"/>
      <c r="M24" s="62"/>
      <c r="N24" s="62">
        <f t="shared" ref="N24:Q24" si="30">N23-M23</f>
        <v>0</v>
      </c>
      <c r="O24" s="62">
        <f t="shared" si="30"/>
        <v>0</v>
      </c>
      <c r="P24" s="62">
        <f t="shared" si="30"/>
        <v>0</v>
      </c>
      <c r="Q24" s="62">
        <f t="shared" si="30"/>
        <v>0</v>
      </c>
      <c r="R24" s="63">
        <f t="shared" ref="R24:U24" si="31">SUM(R26,R28,R30)</f>
        <v>489902</v>
      </c>
      <c r="S24" s="63">
        <f t="shared" si="31"/>
        <v>374413</v>
      </c>
      <c r="T24" s="63">
        <f t="shared" si="31"/>
        <v>339018</v>
      </c>
      <c r="U24" s="63">
        <f t="shared" si="31"/>
        <v>501099</v>
      </c>
      <c r="V24" s="48">
        <f>U24-T24</f>
        <v>162081</v>
      </c>
      <c r="W24" s="62"/>
      <c r="X24" s="62"/>
      <c r="Y24" s="62"/>
      <c r="Z24" s="62"/>
      <c r="AA24" s="62"/>
      <c r="AB24" s="62"/>
    </row>
    <row r="25" ht="15.0" customHeight="1">
      <c r="A25" s="37" t="s">
        <v>39</v>
      </c>
      <c r="B25" s="37"/>
      <c r="C25" s="38"/>
      <c r="D25" s="38">
        <f t="shared" ref="D25:J25" si="32">D24-C24</f>
        <v>0</v>
      </c>
      <c r="E25" s="38">
        <f t="shared" si="32"/>
        <v>0</v>
      </c>
      <c r="F25" s="38">
        <f t="shared" si="32"/>
        <v>0</v>
      </c>
      <c r="G25" s="67">
        <f t="shared" si="32"/>
        <v>637005</v>
      </c>
      <c r="H25" s="67">
        <f t="shared" si="32"/>
        <v>-148431</v>
      </c>
      <c r="I25" s="67">
        <f t="shared" si="32"/>
        <v>-47719</v>
      </c>
      <c r="J25" s="67">
        <f t="shared" si="32"/>
        <v>60244</v>
      </c>
      <c r="K25" s="68"/>
      <c r="L25" s="38"/>
      <c r="M25" s="38"/>
      <c r="N25" s="38"/>
      <c r="O25" s="38"/>
      <c r="P25" s="38"/>
      <c r="Q25" s="38"/>
      <c r="R25" s="67">
        <f t="shared" ref="R25:U25" si="33">R24-Q24</f>
        <v>489902</v>
      </c>
      <c r="S25" s="67">
        <f t="shared" si="33"/>
        <v>-115489</v>
      </c>
      <c r="T25" s="67">
        <f t="shared" si="33"/>
        <v>-35395</v>
      </c>
      <c r="U25" s="67">
        <f t="shared" si="33"/>
        <v>162081</v>
      </c>
      <c r="V25" s="53"/>
      <c r="W25" s="38"/>
      <c r="X25" s="38"/>
      <c r="Y25" s="38"/>
      <c r="Z25" s="38"/>
      <c r="AA25" s="38"/>
      <c r="AB25" s="38"/>
    </row>
    <row r="26" ht="15.0" customHeight="1">
      <c r="A26" s="71"/>
      <c r="B26" s="70" t="s">
        <v>46</v>
      </c>
      <c r="C26" s="71"/>
      <c r="D26" s="71"/>
      <c r="E26" s="71"/>
      <c r="F26" s="71"/>
      <c r="G26" s="72">
        <v>215661.0</v>
      </c>
      <c r="H26" s="72">
        <v>64908.0</v>
      </c>
      <c r="I26" s="72">
        <v>62105.0</v>
      </c>
      <c r="J26" s="72">
        <v>39180.0</v>
      </c>
      <c r="K26" s="73">
        <f>J26-I26</f>
        <v>-22925</v>
      </c>
      <c r="L26" s="71"/>
      <c r="M26" s="71"/>
      <c r="N26" s="71">
        <f t="shared" ref="N26:Q26" si="34">N25-M25</f>
        <v>0</v>
      </c>
      <c r="O26" s="71">
        <f t="shared" si="34"/>
        <v>0</v>
      </c>
      <c r="P26" s="71">
        <f t="shared" si="34"/>
        <v>0</v>
      </c>
      <c r="Q26" s="71">
        <f t="shared" si="34"/>
        <v>0</v>
      </c>
      <c r="R26" s="72">
        <v>187645.0</v>
      </c>
      <c r="S26" s="72">
        <v>46728.0</v>
      </c>
      <c r="T26" s="72">
        <v>48994.0</v>
      </c>
      <c r="U26" s="72">
        <v>39180.0</v>
      </c>
      <c r="V26" s="73">
        <f>U26-T26</f>
        <v>-9814</v>
      </c>
      <c r="W26" s="71"/>
      <c r="X26" s="71"/>
      <c r="Y26" s="71"/>
      <c r="Z26" s="71"/>
      <c r="AA26" s="71"/>
      <c r="AB26" s="71"/>
    </row>
    <row r="27" ht="15.0" customHeight="1">
      <c r="A27" s="76"/>
      <c r="B27" s="76" t="s">
        <v>39</v>
      </c>
      <c r="C27" s="76"/>
      <c r="D27" s="76">
        <f t="shared" ref="D27:J27" si="35">D26-C26</f>
        <v>0</v>
      </c>
      <c r="E27" s="76">
        <f t="shared" si="35"/>
        <v>0</v>
      </c>
      <c r="F27" s="76">
        <f t="shared" si="35"/>
        <v>0</v>
      </c>
      <c r="G27" s="77">
        <f t="shared" si="35"/>
        <v>215661</v>
      </c>
      <c r="H27" s="77">
        <f t="shared" si="35"/>
        <v>-150753</v>
      </c>
      <c r="I27" s="77">
        <f t="shared" si="35"/>
        <v>-2803</v>
      </c>
      <c r="J27" s="77">
        <f t="shared" si="35"/>
        <v>-22925</v>
      </c>
      <c r="K27" s="78"/>
      <c r="L27" s="76"/>
      <c r="M27" s="76"/>
      <c r="N27" s="76"/>
      <c r="O27" s="76"/>
      <c r="P27" s="76"/>
      <c r="Q27" s="76"/>
      <c r="R27" s="77">
        <f t="shared" ref="R27:U27" si="36">R26-Q26</f>
        <v>187645</v>
      </c>
      <c r="S27" s="77">
        <f t="shared" si="36"/>
        <v>-140917</v>
      </c>
      <c r="T27" s="77">
        <f t="shared" si="36"/>
        <v>2266</v>
      </c>
      <c r="U27" s="77">
        <f t="shared" si="36"/>
        <v>-9814</v>
      </c>
      <c r="V27" s="79"/>
      <c r="W27" s="76"/>
      <c r="X27" s="76"/>
      <c r="Y27" s="76"/>
      <c r="Z27" s="76"/>
      <c r="AA27" s="76"/>
      <c r="AB27" s="76"/>
    </row>
    <row r="28" ht="15.0" customHeight="1">
      <c r="A28" s="69"/>
      <c r="B28" s="70" t="s">
        <v>48</v>
      </c>
      <c r="C28" s="71"/>
      <c r="D28" s="71"/>
      <c r="E28" s="71"/>
      <c r="F28" s="71"/>
      <c r="G28" s="72">
        <v>3856.0</v>
      </c>
      <c r="H28" s="72">
        <v>4248.0</v>
      </c>
      <c r="I28" s="72">
        <v>4712.0</v>
      </c>
      <c r="J28" s="72">
        <v>4928.0</v>
      </c>
      <c r="K28" s="73">
        <f>J28-I28</f>
        <v>216</v>
      </c>
      <c r="L28" s="71"/>
      <c r="M28" s="71"/>
      <c r="N28" s="71">
        <f t="shared" ref="N28:Q28" si="37">N27-M27</f>
        <v>0</v>
      </c>
      <c r="O28" s="71">
        <f t="shared" si="37"/>
        <v>0</v>
      </c>
      <c r="P28" s="71">
        <f t="shared" si="37"/>
        <v>0</v>
      </c>
      <c r="Q28" s="71">
        <f t="shared" si="37"/>
        <v>0</v>
      </c>
      <c r="R28" s="72">
        <v>2928.0</v>
      </c>
      <c r="S28" s="72">
        <v>3259.0</v>
      </c>
      <c r="T28" s="72">
        <v>3164.0</v>
      </c>
      <c r="U28" s="72">
        <v>4928.0</v>
      </c>
      <c r="V28" s="73">
        <f>U28-T28</f>
        <v>1764</v>
      </c>
      <c r="W28" s="71"/>
      <c r="X28" s="71"/>
      <c r="Y28" s="71"/>
      <c r="Z28" s="71"/>
      <c r="AA28" s="71"/>
      <c r="AB28" s="71"/>
    </row>
    <row r="29" ht="15.0" customHeight="1">
      <c r="A29" s="76"/>
      <c r="B29" s="76" t="s">
        <v>39</v>
      </c>
      <c r="C29" s="76"/>
      <c r="D29" s="76">
        <f t="shared" ref="D29:J29" si="38">D28-C28</f>
        <v>0</v>
      </c>
      <c r="E29" s="76">
        <f t="shared" si="38"/>
        <v>0</v>
      </c>
      <c r="F29" s="76">
        <f t="shared" si="38"/>
        <v>0</v>
      </c>
      <c r="G29" s="77">
        <f t="shared" si="38"/>
        <v>3856</v>
      </c>
      <c r="H29" s="77">
        <f t="shared" si="38"/>
        <v>392</v>
      </c>
      <c r="I29" s="77">
        <f t="shared" si="38"/>
        <v>464</v>
      </c>
      <c r="J29" s="77">
        <f t="shared" si="38"/>
        <v>216</v>
      </c>
      <c r="K29" s="78"/>
      <c r="L29" s="76"/>
      <c r="M29" s="76"/>
      <c r="N29" s="76"/>
      <c r="O29" s="76"/>
      <c r="P29" s="76"/>
      <c r="Q29" s="76"/>
      <c r="R29" s="77">
        <f t="shared" ref="R29:U29" si="39">R28-Q28</f>
        <v>2928</v>
      </c>
      <c r="S29" s="77">
        <f t="shared" si="39"/>
        <v>331</v>
      </c>
      <c r="T29" s="77">
        <f t="shared" si="39"/>
        <v>-95</v>
      </c>
      <c r="U29" s="77">
        <f t="shared" si="39"/>
        <v>1764</v>
      </c>
      <c r="V29" s="79"/>
      <c r="W29" s="76"/>
      <c r="X29" s="76"/>
      <c r="Y29" s="76"/>
      <c r="Z29" s="76"/>
      <c r="AA29" s="76"/>
      <c r="AB29" s="76"/>
    </row>
    <row r="30" ht="15.0" customHeight="1">
      <c r="A30" s="69"/>
      <c r="B30" s="70" t="s">
        <v>34</v>
      </c>
      <c r="C30" s="71"/>
      <c r="D30" s="71"/>
      <c r="E30" s="71"/>
      <c r="F30" s="71"/>
      <c r="G30" s="72">
        <v>417488.0</v>
      </c>
      <c r="H30" s="72">
        <v>419418.0</v>
      </c>
      <c r="I30" s="72">
        <v>374038.0</v>
      </c>
      <c r="J30" s="72">
        <v>456991.0</v>
      </c>
      <c r="K30" s="73">
        <f>J30-I30</f>
        <v>82953</v>
      </c>
      <c r="L30" s="71"/>
      <c r="M30" s="71"/>
      <c r="N30" s="71"/>
      <c r="O30" s="71"/>
      <c r="P30" s="71"/>
      <c r="Q30" s="71"/>
      <c r="R30" s="74">
        <v>299329.0</v>
      </c>
      <c r="S30" s="74">
        <v>324426.0</v>
      </c>
      <c r="T30" s="74">
        <v>286860.0</v>
      </c>
      <c r="U30" s="74">
        <v>456991.0</v>
      </c>
      <c r="V30" s="79">
        <f>U30-T30</f>
        <v>170131</v>
      </c>
      <c r="W30" s="71"/>
      <c r="X30" s="71"/>
      <c r="Y30" s="71"/>
      <c r="Z30" s="71"/>
      <c r="AA30" s="71"/>
      <c r="AB30" s="71"/>
    </row>
    <row r="31" ht="15.0" customHeight="1">
      <c r="A31" s="76"/>
      <c r="B31" s="76" t="s">
        <v>39</v>
      </c>
      <c r="C31" s="76"/>
      <c r="D31" s="76">
        <f t="shared" ref="D31:J31" si="40">D30-C30</f>
        <v>0</v>
      </c>
      <c r="E31" s="76">
        <f t="shared" si="40"/>
        <v>0</v>
      </c>
      <c r="F31" s="76">
        <f t="shared" si="40"/>
        <v>0</v>
      </c>
      <c r="G31" s="77">
        <f t="shared" si="40"/>
        <v>417488</v>
      </c>
      <c r="H31" s="77">
        <f t="shared" si="40"/>
        <v>1930</v>
      </c>
      <c r="I31" s="77">
        <f t="shared" si="40"/>
        <v>-45380</v>
      </c>
      <c r="J31" s="77">
        <f t="shared" si="40"/>
        <v>82953</v>
      </c>
      <c r="K31" s="78"/>
      <c r="L31" s="76"/>
      <c r="M31" s="76"/>
      <c r="N31" s="76"/>
      <c r="O31" s="76"/>
      <c r="P31" s="76"/>
      <c r="Q31" s="76"/>
      <c r="R31" s="77">
        <f t="shared" ref="R31:U31" si="41">R30-Q30</f>
        <v>299329</v>
      </c>
      <c r="S31" s="77">
        <f t="shared" si="41"/>
        <v>25097</v>
      </c>
      <c r="T31" s="77">
        <f t="shared" si="41"/>
        <v>-37566</v>
      </c>
      <c r="U31" s="77">
        <f t="shared" si="41"/>
        <v>170131</v>
      </c>
      <c r="V31" s="79"/>
      <c r="W31" s="76"/>
      <c r="X31" s="76"/>
      <c r="Y31" s="76"/>
      <c r="Z31" s="76"/>
      <c r="AA31" s="76"/>
      <c r="AB31" s="76"/>
    </row>
    <row r="32" ht="15.0" customHeight="1">
      <c r="A32" s="37"/>
      <c r="B32" s="37"/>
      <c r="C32" s="11"/>
      <c r="D32" s="11"/>
      <c r="E32" s="11"/>
      <c r="F32" s="11"/>
      <c r="G32" s="58"/>
      <c r="H32" s="58"/>
      <c r="I32" s="58"/>
      <c r="J32" s="58"/>
      <c r="K32" s="83"/>
      <c r="L32" s="11"/>
      <c r="M32" s="11"/>
      <c r="N32" s="11"/>
      <c r="O32" s="11"/>
      <c r="P32" s="11"/>
      <c r="Q32" s="11"/>
      <c r="R32" s="58"/>
      <c r="S32" s="58"/>
      <c r="T32" s="58"/>
      <c r="U32" s="58"/>
      <c r="V32" s="48"/>
      <c r="W32" s="11"/>
      <c r="X32" s="11"/>
      <c r="Y32" s="11"/>
      <c r="Z32" s="11"/>
      <c r="AA32" s="11"/>
      <c r="AB32" s="11"/>
    </row>
    <row r="33" ht="15.0" customHeight="1">
      <c r="A33" s="88" t="s">
        <v>31</v>
      </c>
      <c r="B33" s="62"/>
      <c r="C33" s="62">
        <f t="shared" ref="C33:J33" si="42">SUM(C35,C37,C39)</f>
        <v>0</v>
      </c>
      <c r="D33" s="62">
        <f t="shared" si="42"/>
        <v>0</v>
      </c>
      <c r="E33" s="62">
        <f t="shared" si="42"/>
        <v>0</v>
      </c>
      <c r="F33" s="62">
        <f t="shared" si="42"/>
        <v>0</v>
      </c>
      <c r="G33" s="63">
        <f t="shared" si="42"/>
        <v>17748</v>
      </c>
      <c r="H33" s="63">
        <f t="shared" si="42"/>
        <v>15488</v>
      </c>
      <c r="I33" s="63">
        <f t="shared" si="42"/>
        <v>6084</v>
      </c>
      <c r="J33" s="63">
        <f t="shared" si="42"/>
        <v>16286</v>
      </c>
      <c r="K33" s="65">
        <f>J33-I33</f>
        <v>10202</v>
      </c>
      <c r="L33" s="62"/>
      <c r="M33" s="62"/>
      <c r="N33" s="62"/>
      <c r="O33" s="62"/>
      <c r="P33" s="62"/>
      <c r="Q33" s="62"/>
      <c r="R33" s="63">
        <f t="shared" ref="R33:U33" si="43">SUM(R35,R37,R39)</f>
        <v>7846</v>
      </c>
      <c r="S33" s="63">
        <f t="shared" si="43"/>
        <v>12889</v>
      </c>
      <c r="T33" s="63">
        <f t="shared" si="43"/>
        <v>2009</v>
      </c>
      <c r="U33" s="63">
        <f t="shared" si="43"/>
        <v>16286</v>
      </c>
      <c r="V33" s="48">
        <f>U33-T33</f>
        <v>14277</v>
      </c>
      <c r="W33" s="62"/>
      <c r="X33" s="62"/>
      <c r="Y33" s="62"/>
      <c r="Z33" s="62"/>
      <c r="AA33" s="62"/>
      <c r="AB33" s="62"/>
    </row>
    <row r="34" ht="15.0" customHeight="1">
      <c r="A34" s="37" t="s">
        <v>39</v>
      </c>
      <c r="B34" s="37"/>
      <c r="C34" s="38"/>
      <c r="D34" s="38">
        <f t="shared" ref="D34:J34" si="44">D33-C33</f>
        <v>0</v>
      </c>
      <c r="E34" s="38">
        <f t="shared" si="44"/>
        <v>0</v>
      </c>
      <c r="F34" s="38">
        <f t="shared" si="44"/>
        <v>0</v>
      </c>
      <c r="G34" s="67">
        <f t="shared" si="44"/>
        <v>17748</v>
      </c>
      <c r="H34" s="67">
        <f t="shared" si="44"/>
        <v>-2260</v>
      </c>
      <c r="I34" s="67">
        <f t="shared" si="44"/>
        <v>-9404</v>
      </c>
      <c r="J34" s="67">
        <f t="shared" si="44"/>
        <v>10202</v>
      </c>
      <c r="K34" s="68"/>
      <c r="L34" s="38"/>
      <c r="M34" s="38"/>
      <c r="N34" s="38"/>
      <c r="O34" s="38"/>
      <c r="P34" s="38"/>
      <c r="Q34" s="38"/>
      <c r="R34" s="67">
        <f t="shared" ref="R34:U34" si="45">R33-Q33</f>
        <v>7846</v>
      </c>
      <c r="S34" s="67">
        <f t="shared" si="45"/>
        <v>5043</v>
      </c>
      <c r="T34" s="67">
        <f t="shared" si="45"/>
        <v>-10880</v>
      </c>
      <c r="U34" s="67">
        <f t="shared" si="45"/>
        <v>14277</v>
      </c>
      <c r="V34" s="53"/>
      <c r="W34" s="38"/>
      <c r="X34" s="38"/>
      <c r="Y34" s="38"/>
      <c r="Z34" s="38"/>
      <c r="AA34" s="38"/>
      <c r="AB34" s="38"/>
    </row>
    <row r="35" ht="15.0" customHeight="1">
      <c r="A35" s="71"/>
      <c r="B35" s="70" t="s">
        <v>46</v>
      </c>
      <c r="C35" s="71"/>
      <c r="D35" s="71"/>
      <c r="E35" s="71"/>
      <c r="F35" s="71"/>
      <c r="G35" s="72">
        <v>2.0</v>
      </c>
      <c r="H35" s="72">
        <v>5.0</v>
      </c>
      <c r="I35" s="72">
        <v>183.0</v>
      </c>
      <c r="J35" s="72">
        <v>827.0</v>
      </c>
      <c r="K35" s="73">
        <f>J35-I35</f>
        <v>644</v>
      </c>
      <c r="L35" s="71"/>
      <c r="M35" s="71"/>
      <c r="N35" s="71"/>
      <c r="O35" s="71"/>
      <c r="P35" s="71"/>
      <c r="Q35" s="71"/>
      <c r="R35" s="89"/>
      <c r="S35" s="89"/>
      <c r="T35" s="89"/>
      <c r="U35" s="74">
        <v>827.0</v>
      </c>
      <c r="V35" s="73">
        <f>U35-T35</f>
        <v>827</v>
      </c>
      <c r="W35" s="71"/>
      <c r="X35" s="71"/>
      <c r="Y35" s="71"/>
      <c r="Z35" s="71"/>
      <c r="AA35" s="71"/>
      <c r="AB35" s="71"/>
    </row>
    <row r="36" ht="15.0" customHeight="1">
      <c r="A36" s="76"/>
      <c r="B36" s="76" t="s">
        <v>39</v>
      </c>
      <c r="C36" s="76"/>
      <c r="D36" s="76">
        <f t="shared" ref="D36:J36" si="46">D35-C35</f>
        <v>0</v>
      </c>
      <c r="E36" s="76">
        <f t="shared" si="46"/>
        <v>0</v>
      </c>
      <c r="F36" s="76">
        <f t="shared" si="46"/>
        <v>0</v>
      </c>
      <c r="G36" s="77">
        <f t="shared" si="46"/>
        <v>2</v>
      </c>
      <c r="H36" s="77">
        <f t="shared" si="46"/>
        <v>3</v>
      </c>
      <c r="I36" s="77">
        <f t="shared" si="46"/>
        <v>178</v>
      </c>
      <c r="J36" s="77">
        <f t="shared" si="46"/>
        <v>644</v>
      </c>
      <c r="K36" s="78"/>
      <c r="L36" s="76"/>
      <c r="M36" s="76"/>
      <c r="N36" s="76"/>
      <c r="O36" s="76"/>
      <c r="P36" s="76"/>
      <c r="Q36" s="76"/>
      <c r="R36" s="77">
        <f t="shared" ref="R36:U36" si="47">R35-Q35</f>
        <v>0</v>
      </c>
      <c r="S36" s="77">
        <f t="shared" si="47"/>
        <v>0</v>
      </c>
      <c r="T36" s="77">
        <f t="shared" si="47"/>
        <v>0</v>
      </c>
      <c r="U36" s="77">
        <f t="shared" si="47"/>
        <v>827</v>
      </c>
      <c r="V36" s="79"/>
      <c r="W36" s="76"/>
      <c r="X36" s="76"/>
      <c r="Y36" s="76"/>
      <c r="Z36" s="76"/>
      <c r="AA36" s="76"/>
      <c r="AB36" s="76"/>
    </row>
    <row r="37" ht="15.0" customHeight="1">
      <c r="A37" s="69"/>
      <c r="B37" s="70" t="s">
        <v>48</v>
      </c>
      <c r="C37" s="71"/>
      <c r="D37" s="71"/>
      <c r="E37" s="71"/>
      <c r="F37" s="71"/>
      <c r="G37" s="72">
        <v>1542.0</v>
      </c>
      <c r="H37" s="72">
        <v>1193.0</v>
      </c>
      <c r="I37" s="72">
        <v>851.0</v>
      </c>
      <c r="J37" s="72">
        <v>1315.0</v>
      </c>
      <c r="K37" s="73">
        <f>J37-I37</f>
        <v>464</v>
      </c>
      <c r="L37" s="71"/>
      <c r="M37" s="71"/>
      <c r="N37" s="71"/>
      <c r="O37" s="71"/>
      <c r="P37" s="71"/>
      <c r="Q37" s="71"/>
      <c r="R37" s="72">
        <v>1189.0</v>
      </c>
      <c r="S37" s="72">
        <v>868.0</v>
      </c>
      <c r="T37" s="72">
        <v>437.0</v>
      </c>
      <c r="U37" s="72">
        <v>1315.0</v>
      </c>
      <c r="V37" s="73">
        <f>U37-T37</f>
        <v>878</v>
      </c>
      <c r="W37" s="71"/>
      <c r="X37" s="71"/>
      <c r="Y37" s="71"/>
      <c r="Z37" s="71"/>
      <c r="AA37" s="71"/>
      <c r="AB37" s="71"/>
    </row>
    <row r="38" ht="15.0" customHeight="1">
      <c r="A38" s="76"/>
      <c r="B38" s="76" t="s">
        <v>39</v>
      </c>
      <c r="C38" s="76"/>
      <c r="D38" s="76">
        <f t="shared" ref="D38:J38" si="48">D37-C37</f>
        <v>0</v>
      </c>
      <c r="E38" s="76">
        <f t="shared" si="48"/>
        <v>0</v>
      </c>
      <c r="F38" s="76">
        <f t="shared" si="48"/>
        <v>0</v>
      </c>
      <c r="G38" s="77">
        <f t="shared" si="48"/>
        <v>1542</v>
      </c>
      <c r="H38" s="77">
        <f t="shared" si="48"/>
        <v>-349</v>
      </c>
      <c r="I38" s="77">
        <f t="shared" si="48"/>
        <v>-342</v>
      </c>
      <c r="J38" s="77">
        <f t="shared" si="48"/>
        <v>464</v>
      </c>
      <c r="K38" s="78"/>
      <c r="L38" s="76"/>
      <c r="M38" s="76"/>
      <c r="N38" s="76"/>
      <c r="O38" s="76"/>
      <c r="P38" s="76"/>
      <c r="Q38" s="76"/>
      <c r="R38" s="77">
        <f t="shared" ref="R38:U38" si="49">R37-Q37</f>
        <v>1189</v>
      </c>
      <c r="S38" s="77">
        <f t="shared" si="49"/>
        <v>-321</v>
      </c>
      <c r="T38" s="77">
        <f t="shared" si="49"/>
        <v>-431</v>
      </c>
      <c r="U38" s="77">
        <f t="shared" si="49"/>
        <v>878</v>
      </c>
      <c r="V38" s="79"/>
      <c r="W38" s="76"/>
      <c r="X38" s="76"/>
      <c r="Y38" s="76"/>
      <c r="Z38" s="76"/>
      <c r="AA38" s="76"/>
      <c r="AB38" s="76"/>
    </row>
    <row r="39" ht="15.0" customHeight="1">
      <c r="A39" s="69"/>
      <c r="B39" s="70" t="s">
        <v>34</v>
      </c>
      <c r="C39" s="71"/>
      <c r="D39" s="71"/>
      <c r="E39" s="71"/>
      <c r="F39" s="71"/>
      <c r="G39" s="72">
        <v>16204.0</v>
      </c>
      <c r="H39" s="72">
        <v>14290.0</v>
      </c>
      <c r="I39" s="72">
        <v>5050.0</v>
      </c>
      <c r="J39" s="72">
        <v>14144.0</v>
      </c>
      <c r="K39" s="73">
        <f>J39-I39</f>
        <v>9094</v>
      </c>
      <c r="L39" s="71"/>
      <c r="M39" s="71"/>
      <c r="N39" s="71"/>
      <c r="O39" s="71"/>
      <c r="P39" s="71"/>
      <c r="Q39" s="71"/>
      <c r="R39" s="72">
        <v>6657.0</v>
      </c>
      <c r="S39" s="72">
        <v>12021.0</v>
      </c>
      <c r="T39" s="72">
        <v>1572.0</v>
      </c>
      <c r="U39" s="72">
        <v>14144.0</v>
      </c>
      <c r="V39" s="73">
        <f>U39-T39</f>
        <v>12572</v>
      </c>
      <c r="W39" s="71"/>
      <c r="X39" s="71"/>
      <c r="Y39" s="71"/>
      <c r="Z39" s="71"/>
      <c r="AA39" s="71"/>
      <c r="AB39" s="71"/>
    </row>
    <row r="40" ht="15.0" customHeight="1">
      <c r="A40" s="76"/>
      <c r="B40" s="76" t="s">
        <v>39</v>
      </c>
      <c r="C40" s="76"/>
      <c r="D40" s="76">
        <f t="shared" ref="D40:J40" si="50">D39-C39</f>
        <v>0</v>
      </c>
      <c r="E40" s="76">
        <f t="shared" si="50"/>
        <v>0</v>
      </c>
      <c r="F40" s="76">
        <f t="shared" si="50"/>
        <v>0</v>
      </c>
      <c r="G40" s="77">
        <f t="shared" si="50"/>
        <v>16204</v>
      </c>
      <c r="H40" s="77">
        <f t="shared" si="50"/>
        <v>-1914</v>
      </c>
      <c r="I40" s="77">
        <f t="shared" si="50"/>
        <v>-9240</v>
      </c>
      <c r="J40" s="77">
        <f t="shared" si="50"/>
        <v>9094</v>
      </c>
      <c r="K40" s="78"/>
      <c r="L40" s="76"/>
      <c r="M40" s="76"/>
      <c r="N40" s="76"/>
      <c r="O40" s="76"/>
      <c r="P40" s="76"/>
      <c r="Q40" s="76"/>
      <c r="R40" s="77">
        <f t="shared" ref="R40:U40" si="51">R39-Q39</f>
        <v>6657</v>
      </c>
      <c r="S40" s="77">
        <f t="shared" si="51"/>
        <v>5364</v>
      </c>
      <c r="T40" s="77">
        <f t="shared" si="51"/>
        <v>-10449</v>
      </c>
      <c r="U40" s="77">
        <f t="shared" si="51"/>
        <v>12572</v>
      </c>
      <c r="V40" s="79"/>
      <c r="W40" s="76"/>
      <c r="X40" s="76"/>
      <c r="Y40" s="76"/>
      <c r="Z40" s="76"/>
      <c r="AA40" s="76"/>
      <c r="AB40" s="76"/>
    </row>
    <row r="41" ht="15.0" customHeight="1">
      <c r="A41" s="11"/>
      <c r="B41" s="11"/>
      <c r="C41" s="11"/>
      <c r="D41" s="11"/>
      <c r="E41" s="11"/>
      <c r="F41" s="11"/>
      <c r="G41" s="58"/>
      <c r="H41" s="58"/>
      <c r="I41" s="58"/>
      <c r="J41" s="58"/>
      <c r="K41" s="83"/>
      <c r="L41" s="11"/>
      <c r="M41" s="11"/>
      <c r="N41" s="11"/>
      <c r="O41" s="11"/>
      <c r="P41" s="11"/>
      <c r="Q41" s="11"/>
      <c r="R41" s="58"/>
      <c r="S41" s="58"/>
      <c r="T41" s="58"/>
      <c r="U41" s="58"/>
      <c r="V41" s="83"/>
      <c r="W41" s="11"/>
      <c r="X41" s="11"/>
      <c r="Y41" s="11"/>
      <c r="Z41" s="11"/>
      <c r="AA41" s="11"/>
      <c r="AB41" s="11"/>
    </row>
    <row r="42" ht="15.0" customHeight="1">
      <c r="A42" s="88" t="s">
        <v>33</v>
      </c>
      <c r="B42" s="62"/>
      <c r="C42" s="62">
        <f t="shared" ref="C42:J42" si="52">SUM(C44,C46,C48)</f>
        <v>0</v>
      </c>
      <c r="D42" s="62">
        <f t="shared" si="52"/>
        <v>0</v>
      </c>
      <c r="E42" s="62">
        <f t="shared" si="52"/>
        <v>0</v>
      </c>
      <c r="F42" s="62">
        <f t="shared" si="52"/>
        <v>0</v>
      </c>
      <c r="G42" s="63">
        <f t="shared" si="52"/>
        <v>201169</v>
      </c>
      <c r="H42" s="63">
        <f t="shared" si="52"/>
        <v>255127</v>
      </c>
      <c r="I42" s="63">
        <f t="shared" si="52"/>
        <v>329659</v>
      </c>
      <c r="J42" s="63">
        <f t="shared" si="52"/>
        <v>252319</v>
      </c>
      <c r="K42" s="65">
        <f>J42-I42</f>
        <v>-77340</v>
      </c>
      <c r="L42" s="62"/>
      <c r="M42" s="62"/>
      <c r="N42" s="62"/>
      <c r="O42" s="62"/>
      <c r="P42" s="62"/>
      <c r="Q42" s="62"/>
      <c r="R42" s="63">
        <f t="shared" ref="R42:U42" si="53">SUM(R44,R46,R48)</f>
        <v>155424</v>
      </c>
      <c r="S42" s="63">
        <f t="shared" si="53"/>
        <v>204749</v>
      </c>
      <c r="T42" s="63">
        <f t="shared" si="53"/>
        <v>239886</v>
      </c>
      <c r="U42" s="63">
        <f t="shared" si="53"/>
        <v>252319</v>
      </c>
      <c r="V42" s="48">
        <f>U42-T42</f>
        <v>12433</v>
      </c>
      <c r="W42" s="62"/>
      <c r="X42" s="62"/>
      <c r="Y42" s="62"/>
      <c r="Z42" s="62"/>
      <c r="AA42" s="62"/>
      <c r="AB42" s="62"/>
    </row>
    <row r="43" ht="15.0" customHeight="1">
      <c r="A43" s="37" t="s">
        <v>39</v>
      </c>
      <c r="B43" s="37"/>
      <c r="C43" s="38"/>
      <c r="D43" s="38">
        <f t="shared" ref="D43:J43" si="54">D42-C42</f>
        <v>0</v>
      </c>
      <c r="E43" s="38">
        <f t="shared" si="54"/>
        <v>0</v>
      </c>
      <c r="F43" s="38">
        <f t="shared" si="54"/>
        <v>0</v>
      </c>
      <c r="G43" s="67">
        <f t="shared" si="54"/>
        <v>201169</v>
      </c>
      <c r="H43" s="67">
        <f t="shared" si="54"/>
        <v>53958</v>
      </c>
      <c r="I43" s="67">
        <f t="shared" si="54"/>
        <v>74532</v>
      </c>
      <c r="J43" s="67">
        <f t="shared" si="54"/>
        <v>-77340</v>
      </c>
      <c r="K43" s="68"/>
      <c r="L43" s="38"/>
      <c r="M43" s="38"/>
      <c r="N43" s="38"/>
      <c r="O43" s="38"/>
      <c r="P43" s="38"/>
      <c r="Q43" s="38"/>
      <c r="R43" s="67">
        <f t="shared" ref="R43:U43" si="55">R42-Q42</f>
        <v>155424</v>
      </c>
      <c r="S43" s="67">
        <f t="shared" si="55"/>
        <v>49325</v>
      </c>
      <c r="T43" s="67">
        <f t="shared" si="55"/>
        <v>35137</v>
      </c>
      <c r="U43" s="67">
        <f t="shared" si="55"/>
        <v>12433</v>
      </c>
      <c r="V43" s="53"/>
      <c r="W43" s="38"/>
      <c r="X43" s="38"/>
      <c r="Y43" s="38"/>
      <c r="Z43" s="38"/>
      <c r="AA43" s="38"/>
      <c r="AB43" s="38"/>
    </row>
    <row r="44" ht="15.0" customHeight="1">
      <c r="A44" s="71"/>
      <c r="B44" s="70" t="s">
        <v>46</v>
      </c>
      <c r="C44" s="71"/>
      <c r="D44" s="71"/>
      <c r="E44" s="71"/>
      <c r="F44" s="71"/>
      <c r="G44" s="72">
        <v>18040.0</v>
      </c>
      <c r="H44" s="72">
        <v>19990.0</v>
      </c>
      <c r="I44" s="72">
        <v>17946.0</v>
      </c>
      <c r="J44" s="72">
        <v>11256.0</v>
      </c>
      <c r="K44" s="73">
        <f>J44-I44</f>
        <v>-6690</v>
      </c>
      <c r="L44" s="71"/>
      <c r="M44" s="71"/>
      <c r="N44" s="71"/>
      <c r="O44" s="71"/>
      <c r="P44" s="71"/>
      <c r="Q44" s="71"/>
      <c r="R44" s="72">
        <v>13446.0</v>
      </c>
      <c r="S44" s="72">
        <v>16519.0</v>
      </c>
      <c r="T44" s="72">
        <v>13953.0</v>
      </c>
      <c r="U44" s="72">
        <v>11256.0</v>
      </c>
      <c r="V44" s="73">
        <f>U44-T44</f>
        <v>-2697</v>
      </c>
      <c r="W44" s="71"/>
      <c r="X44" s="71"/>
      <c r="Y44" s="71"/>
      <c r="Z44" s="71"/>
      <c r="AA44" s="71"/>
      <c r="AB44" s="71"/>
    </row>
    <row r="45" ht="15.0" customHeight="1">
      <c r="A45" s="76"/>
      <c r="B45" s="76" t="s">
        <v>39</v>
      </c>
      <c r="C45" s="76"/>
      <c r="D45" s="76">
        <f t="shared" ref="D45:J45" si="56">D44-C44</f>
        <v>0</v>
      </c>
      <c r="E45" s="76">
        <f t="shared" si="56"/>
        <v>0</v>
      </c>
      <c r="F45" s="76">
        <f t="shared" si="56"/>
        <v>0</v>
      </c>
      <c r="G45" s="77">
        <f t="shared" si="56"/>
        <v>18040</v>
      </c>
      <c r="H45" s="77">
        <f t="shared" si="56"/>
        <v>1950</v>
      </c>
      <c r="I45" s="77">
        <f t="shared" si="56"/>
        <v>-2044</v>
      </c>
      <c r="J45" s="77">
        <f t="shared" si="56"/>
        <v>-6690</v>
      </c>
      <c r="K45" s="78"/>
      <c r="L45" s="76"/>
      <c r="M45" s="76"/>
      <c r="N45" s="76"/>
      <c r="O45" s="76"/>
      <c r="P45" s="76"/>
      <c r="Q45" s="76"/>
      <c r="R45" s="77">
        <f t="shared" ref="R45:U45" si="57">R44-Q44</f>
        <v>13446</v>
      </c>
      <c r="S45" s="77">
        <f t="shared" si="57"/>
        <v>3073</v>
      </c>
      <c r="T45" s="77">
        <f t="shared" si="57"/>
        <v>-2566</v>
      </c>
      <c r="U45" s="77">
        <f t="shared" si="57"/>
        <v>-2697</v>
      </c>
      <c r="V45" s="79"/>
      <c r="W45" s="76"/>
      <c r="X45" s="76"/>
      <c r="Y45" s="76"/>
      <c r="Z45" s="76"/>
      <c r="AA45" s="76"/>
      <c r="AB45" s="76"/>
    </row>
    <row r="46" ht="15.0" customHeight="1">
      <c r="A46" s="69"/>
      <c r="B46" s="70" t="s">
        <v>48</v>
      </c>
      <c r="C46" s="71"/>
      <c r="D46" s="71"/>
      <c r="E46" s="71"/>
      <c r="F46" s="71"/>
      <c r="G46" s="72">
        <v>5877.0</v>
      </c>
      <c r="H46" s="72">
        <v>6140.0</v>
      </c>
      <c r="I46" s="72">
        <v>23055.0</v>
      </c>
      <c r="J46" s="72">
        <v>51182.0</v>
      </c>
      <c r="K46" s="73">
        <f>J46-I46</f>
        <v>28127</v>
      </c>
      <c r="L46" s="71"/>
      <c r="M46" s="71"/>
      <c r="N46" s="71"/>
      <c r="O46" s="71"/>
      <c r="P46" s="71"/>
      <c r="Q46" s="71"/>
      <c r="R46" s="72">
        <v>4310.0</v>
      </c>
      <c r="S46" s="72">
        <v>4724.0</v>
      </c>
      <c r="T46" s="72">
        <v>6750.0</v>
      </c>
      <c r="U46" s="72">
        <v>51182.0</v>
      </c>
      <c r="V46" s="73">
        <f>U46-T46</f>
        <v>44432</v>
      </c>
      <c r="W46" s="71"/>
      <c r="X46" s="71"/>
      <c r="Y46" s="71"/>
      <c r="Z46" s="71"/>
      <c r="AA46" s="71"/>
      <c r="AB46" s="71"/>
    </row>
    <row r="47" ht="15.0" customHeight="1">
      <c r="A47" s="76"/>
      <c r="B47" s="76" t="s">
        <v>39</v>
      </c>
      <c r="C47" s="76"/>
      <c r="D47" s="76">
        <f t="shared" ref="D47:J47" si="58">D46-C46</f>
        <v>0</v>
      </c>
      <c r="E47" s="76">
        <f t="shared" si="58"/>
        <v>0</v>
      </c>
      <c r="F47" s="76">
        <f t="shared" si="58"/>
        <v>0</v>
      </c>
      <c r="G47" s="77">
        <f t="shared" si="58"/>
        <v>5877</v>
      </c>
      <c r="H47" s="77">
        <f t="shared" si="58"/>
        <v>263</v>
      </c>
      <c r="I47" s="77">
        <f t="shared" si="58"/>
        <v>16915</v>
      </c>
      <c r="J47" s="77">
        <f t="shared" si="58"/>
        <v>28127</v>
      </c>
      <c r="K47" s="78"/>
      <c r="L47" s="76"/>
      <c r="M47" s="76"/>
      <c r="N47" s="76"/>
      <c r="O47" s="76"/>
      <c r="P47" s="76"/>
      <c r="Q47" s="76"/>
      <c r="R47" s="77">
        <f t="shared" ref="R47:U47" si="59">R46-Q46</f>
        <v>4310</v>
      </c>
      <c r="S47" s="77">
        <f t="shared" si="59"/>
        <v>414</v>
      </c>
      <c r="T47" s="77">
        <f t="shared" si="59"/>
        <v>2026</v>
      </c>
      <c r="U47" s="77">
        <f t="shared" si="59"/>
        <v>44432</v>
      </c>
      <c r="V47" s="79"/>
      <c r="W47" s="76"/>
      <c r="X47" s="76"/>
      <c r="Y47" s="76"/>
      <c r="Z47" s="76"/>
      <c r="AA47" s="76"/>
      <c r="AB47" s="76"/>
    </row>
    <row r="48" ht="15.0" customHeight="1">
      <c r="A48" s="69"/>
      <c r="B48" s="70" t="s">
        <v>34</v>
      </c>
      <c r="C48" s="71"/>
      <c r="D48" s="71"/>
      <c r="E48" s="71"/>
      <c r="F48" s="71"/>
      <c r="G48" s="72">
        <v>177252.0</v>
      </c>
      <c r="H48" s="72">
        <v>228997.0</v>
      </c>
      <c r="I48" s="72">
        <v>288658.0</v>
      </c>
      <c r="J48" s="72">
        <v>189881.0</v>
      </c>
      <c r="K48" s="73">
        <f>J48-I48</f>
        <v>-98777</v>
      </c>
      <c r="L48" s="71"/>
      <c r="M48" s="71"/>
      <c r="N48" s="71"/>
      <c r="O48" s="71"/>
      <c r="P48" s="71"/>
      <c r="Q48" s="71"/>
      <c r="R48" s="72">
        <v>137668.0</v>
      </c>
      <c r="S48" s="72">
        <v>183506.0</v>
      </c>
      <c r="T48" s="72">
        <v>219183.0</v>
      </c>
      <c r="U48" s="72">
        <v>189881.0</v>
      </c>
      <c r="V48" s="73">
        <f>U48-T48</f>
        <v>-29302</v>
      </c>
      <c r="W48" s="71"/>
      <c r="X48" s="71"/>
      <c r="Y48" s="71"/>
      <c r="Z48" s="71"/>
      <c r="AA48" s="71"/>
      <c r="AB48" s="71"/>
    </row>
    <row r="49" ht="15.0" customHeight="1">
      <c r="A49" s="76"/>
      <c r="B49" s="76" t="s">
        <v>39</v>
      </c>
      <c r="C49" s="76"/>
      <c r="D49" s="76">
        <f t="shared" ref="D49:J49" si="60">D48-C48</f>
        <v>0</v>
      </c>
      <c r="E49" s="76">
        <f t="shared" si="60"/>
        <v>0</v>
      </c>
      <c r="F49" s="76">
        <f t="shared" si="60"/>
        <v>0</v>
      </c>
      <c r="G49" s="77">
        <f t="shared" si="60"/>
        <v>177252</v>
      </c>
      <c r="H49" s="77">
        <f t="shared" si="60"/>
        <v>51745</v>
      </c>
      <c r="I49" s="77">
        <f t="shared" si="60"/>
        <v>59661</v>
      </c>
      <c r="J49" s="77">
        <f t="shared" si="60"/>
        <v>-98777</v>
      </c>
      <c r="K49" s="78"/>
      <c r="L49" s="76"/>
      <c r="M49" s="76"/>
      <c r="N49" s="76"/>
      <c r="O49" s="76"/>
      <c r="P49" s="76"/>
      <c r="Q49" s="76"/>
      <c r="R49" s="77">
        <f t="shared" ref="R49:U49" si="61">R48-Q48</f>
        <v>137668</v>
      </c>
      <c r="S49" s="77">
        <f t="shared" si="61"/>
        <v>45838</v>
      </c>
      <c r="T49" s="77">
        <f t="shared" si="61"/>
        <v>35677</v>
      </c>
      <c r="U49" s="77">
        <f t="shared" si="61"/>
        <v>-29302</v>
      </c>
      <c r="V49" s="79"/>
      <c r="W49" s="76"/>
      <c r="X49" s="76"/>
      <c r="Y49" s="76"/>
      <c r="Z49" s="76"/>
      <c r="AA49" s="76"/>
      <c r="AB49" s="76"/>
    </row>
    <row r="50" ht="15.0" customHeight="1">
      <c r="A50" s="11"/>
      <c r="B50" s="11"/>
      <c r="C50" s="11"/>
      <c r="D50" s="11"/>
      <c r="E50" s="11"/>
      <c r="F50" s="11"/>
      <c r="G50" s="58"/>
      <c r="H50" s="58"/>
      <c r="I50" s="58"/>
      <c r="J50" s="58"/>
      <c r="K50" s="83"/>
      <c r="L50" s="11"/>
      <c r="M50" s="11"/>
      <c r="N50" s="11"/>
      <c r="O50" s="11"/>
      <c r="P50" s="11"/>
      <c r="Q50" s="11"/>
      <c r="R50" s="58"/>
      <c r="S50" s="58"/>
      <c r="T50" s="58"/>
      <c r="U50" s="58"/>
      <c r="V50" s="83"/>
      <c r="W50" s="11"/>
      <c r="X50" s="11"/>
      <c r="Y50" s="11"/>
      <c r="Z50" s="11"/>
      <c r="AA50" s="11"/>
      <c r="AB50" s="11"/>
    </row>
    <row r="51" ht="15.0" customHeight="1">
      <c r="A51" s="88" t="s">
        <v>34</v>
      </c>
      <c r="B51" s="62"/>
      <c r="C51" s="62">
        <f t="shared" ref="C51:J51" si="62">SUM(C53,C55,C57)</f>
        <v>0</v>
      </c>
      <c r="D51" s="62">
        <f t="shared" si="62"/>
        <v>0</v>
      </c>
      <c r="E51" s="62">
        <f t="shared" si="62"/>
        <v>0</v>
      </c>
      <c r="F51" s="62">
        <f t="shared" si="62"/>
        <v>0</v>
      </c>
      <c r="G51" s="63">
        <f t="shared" si="62"/>
        <v>44735</v>
      </c>
      <c r="H51" s="63">
        <f t="shared" si="62"/>
        <v>33218</v>
      </c>
      <c r="I51" s="63">
        <f t="shared" si="62"/>
        <v>24158</v>
      </c>
      <c r="J51" s="63">
        <f t="shared" si="62"/>
        <v>17332</v>
      </c>
      <c r="K51" s="65">
        <f>J51-I51</f>
        <v>-6826</v>
      </c>
      <c r="L51" s="62"/>
      <c r="M51" s="62"/>
      <c r="N51" s="62"/>
      <c r="O51" s="62"/>
      <c r="P51" s="62"/>
      <c r="Q51" s="62"/>
      <c r="R51" s="63">
        <f t="shared" ref="R51:U51" si="63">SUM(R53,R55,R57)</f>
        <v>35379</v>
      </c>
      <c r="S51" s="63">
        <f t="shared" si="63"/>
        <v>25479</v>
      </c>
      <c r="T51" s="63">
        <f t="shared" si="63"/>
        <v>16498</v>
      </c>
      <c r="U51" s="63">
        <f t="shared" si="63"/>
        <v>17332</v>
      </c>
      <c r="V51" s="48">
        <f>U51-T51</f>
        <v>834</v>
      </c>
      <c r="W51" s="62"/>
      <c r="X51" s="62"/>
      <c r="Y51" s="62"/>
      <c r="Z51" s="62"/>
      <c r="AA51" s="62"/>
      <c r="AB51" s="62"/>
    </row>
    <row r="52" ht="15.0" customHeight="1">
      <c r="A52" s="37" t="s">
        <v>39</v>
      </c>
      <c r="B52" s="37"/>
      <c r="C52" s="11"/>
      <c r="D52" s="11">
        <f t="shared" ref="D52:J52" si="64">D51-C51</f>
        <v>0</v>
      </c>
      <c r="E52" s="11">
        <f t="shared" si="64"/>
        <v>0</v>
      </c>
      <c r="F52" s="11">
        <f t="shared" si="64"/>
        <v>0</v>
      </c>
      <c r="G52" s="58">
        <f t="shared" si="64"/>
        <v>44735</v>
      </c>
      <c r="H52" s="58">
        <f t="shared" si="64"/>
        <v>-11517</v>
      </c>
      <c r="I52" s="58">
        <f t="shared" si="64"/>
        <v>-9060</v>
      </c>
      <c r="J52" s="58">
        <f t="shared" si="64"/>
        <v>-6826</v>
      </c>
      <c r="K52" s="83"/>
      <c r="L52" s="11"/>
      <c r="M52" s="11"/>
      <c r="N52" s="11"/>
      <c r="O52" s="11"/>
      <c r="P52" s="11"/>
      <c r="Q52" s="11"/>
      <c r="R52" s="67">
        <f t="shared" ref="R52:U52" si="65">R51-Q51</f>
        <v>35379</v>
      </c>
      <c r="S52" s="67">
        <f t="shared" si="65"/>
        <v>-9900</v>
      </c>
      <c r="T52" s="67">
        <f t="shared" si="65"/>
        <v>-8981</v>
      </c>
      <c r="U52" s="67">
        <f t="shared" si="65"/>
        <v>834</v>
      </c>
      <c r="V52" s="53"/>
      <c r="W52" s="11"/>
      <c r="X52" s="11"/>
      <c r="Y52" s="11"/>
      <c r="Z52" s="11"/>
      <c r="AA52" s="11"/>
      <c r="AB52" s="11"/>
    </row>
    <row r="53" ht="15.0" customHeight="1">
      <c r="A53" s="71"/>
      <c r="B53" s="70" t="s">
        <v>46</v>
      </c>
      <c r="C53" s="71"/>
      <c r="D53" s="71"/>
      <c r="E53" s="71"/>
      <c r="F53" s="71"/>
      <c r="G53" s="72">
        <v>14609.0</v>
      </c>
      <c r="H53" s="72">
        <v>7780.0</v>
      </c>
      <c r="I53" s="72">
        <v>1939.0</v>
      </c>
      <c r="J53" s="72">
        <v>1027.0</v>
      </c>
      <c r="K53" s="73">
        <f>J53-I53</f>
        <v>-912</v>
      </c>
      <c r="L53" s="71"/>
      <c r="M53" s="71"/>
      <c r="N53" s="71"/>
      <c r="O53" s="71"/>
      <c r="P53" s="71"/>
      <c r="Q53" s="71"/>
      <c r="R53" s="72">
        <v>12305.0</v>
      </c>
      <c r="S53" s="72">
        <v>6360.0</v>
      </c>
      <c r="T53" s="72">
        <v>1338.0</v>
      </c>
      <c r="U53" s="72">
        <v>1027.0</v>
      </c>
      <c r="V53" s="73">
        <f>U53-T53</f>
        <v>-311</v>
      </c>
      <c r="W53" s="71"/>
      <c r="X53" s="71"/>
      <c r="Y53" s="71"/>
      <c r="Z53" s="71"/>
      <c r="AA53" s="71"/>
      <c r="AB53" s="71"/>
    </row>
    <row r="54" ht="15.0" customHeight="1">
      <c r="A54" s="90"/>
      <c r="B54" s="76" t="s">
        <v>39</v>
      </c>
      <c r="C54" s="90"/>
      <c r="D54" s="90">
        <f t="shared" ref="D54:J54" si="66">D53-C53</f>
        <v>0</v>
      </c>
      <c r="E54" s="90">
        <f t="shared" si="66"/>
        <v>0</v>
      </c>
      <c r="F54" s="90">
        <f t="shared" si="66"/>
        <v>0</v>
      </c>
      <c r="G54" s="91">
        <f t="shared" si="66"/>
        <v>14609</v>
      </c>
      <c r="H54" s="91">
        <f t="shared" si="66"/>
        <v>-6829</v>
      </c>
      <c r="I54" s="91">
        <f t="shared" si="66"/>
        <v>-5841</v>
      </c>
      <c r="J54" s="91">
        <f t="shared" si="66"/>
        <v>-912</v>
      </c>
      <c r="K54" s="92"/>
      <c r="L54" s="90"/>
      <c r="M54" s="90"/>
      <c r="N54" s="90"/>
      <c r="O54" s="90"/>
      <c r="P54" s="90"/>
      <c r="Q54" s="90"/>
      <c r="R54" s="77">
        <f t="shared" ref="R54:U54" si="67">R53-Q53</f>
        <v>12305</v>
      </c>
      <c r="S54" s="77">
        <f t="shared" si="67"/>
        <v>-5945</v>
      </c>
      <c r="T54" s="77">
        <f t="shared" si="67"/>
        <v>-5022</v>
      </c>
      <c r="U54" s="77">
        <f t="shared" si="67"/>
        <v>-311</v>
      </c>
      <c r="V54" s="79"/>
      <c r="W54" s="90"/>
      <c r="X54" s="90"/>
      <c r="Y54" s="90"/>
      <c r="Z54" s="90"/>
      <c r="AA54" s="90"/>
      <c r="AB54" s="90"/>
    </row>
    <row r="55" ht="15.0" customHeight="1">
      <c r="A55" s="69"/>
      <c r="B55" s="70" t="s">
        <v>48</v>
      </c>
      <c r="C55" s="71"/>
      <c r="D55" s="71"/>
      <c r="E55" s="71"/>
      <c r="F55" s="71"/>
      <c r="G55" s="72">
        <v>1559.0</v>
      </c>
      <c r="H55" s="72">
        <v>810.0</v>
      </c>
      <c r="I55" s="72">
        <v>1405.0</v>
      </c>
      <c r="J55" s="72">
        <v>1836.0</v>
      </c>
      <c r="K55" s="73">
        <f>J55-I55</f>
        <v>431</v>
      </c>
      <c r="L55" s="71"/>
      <c r="M55" s="71"/>
      <c r="N55" s="71"/>
      <c r="O55" s="71"/>
      <c r="P55" s="71"/>
      <c r="Q55" s="71"/>
      <c r="R55" s="72">
        <v>1283.0</v>
      </c>
      <c r="S55" s="72">
        <v>656.0</v>
      </c>
      <c r="T55" s="72">
        <v>751.0</v>
      </c>
      <c r="U55" s="72">
        <v>1836.0</v>
      </c>
      <c r="V55" s="73">
        <f>U55-T55</f>
        <v>1085</v>
      </c>
      <c r="W55" s="71"/>
      <c r="X55" s="71"/>
      <c r="Y55" s="71"/>
      <c r="Z55" s="71"/>
      <c r="AA55" s="71"/>
      <c r="AB55" s="71"/>
    </row>
    <row r="56" ht="15.0" customHeight="1">
      <c r="A56" s="76"/>
      <c r="B56" s="76" t="s">
        <v>39</v>
      </c>
      <c r="C56" s="90"/>
      <c r="D56" s="90">
        <f t="shared" ref="D56:J56" si="68">D55-C55</f>
        <v>0</v>
      </c>
      <c r="E56" s="90">
        <f t="shared" si="68"/>
        <v>0</v>
      </c>
      <c r="F56" s="90">
        <f t="shared" si="68"/>
        <v>0</v>
      </c>
      <c r="G56" s="91">
        <f t="shared" si="68"/>
        <v>1559</v>
      </c>
      <c r="H56" s="91">
        <f t="shared" si="68"/>
        <v>-749</v>
      </c>
      <c r="I56" s="91">
        <f t="shared" si="68"/>
        <v>595</v>
      </c>
      <c r="J56" s="91">
        <f t="shared" si="68"/>
        <v>431</v>
      </c>
      <c r="K56" s="92"/>
      <c r="L56" s="90"/>
      <c r="M56" s="90"/>
      <c r="N56" s="90"/>
      <c r="O56" s="90"/>
      <c r="P56" s="90"/>
      <c r="Q56" s="90"/>
      <c r="R56" s="77">
        <f t="shared" ref="R56:U56" si="69">R55-Q55</f>
        <v>1283</v>
      </c>
      <c r="S56" s="77">
        <f t="shared" si="69"/>
        <v>-627</v>
      </c>
      <c r="T56" s="77">
        <f t="shared" si="69"/>
        <v>95</v>
      </c>
      <c r="U56" s="77">
        <f t="shared" si="69"/>
        <v>1085</v>
      </c>
      <c r="V56" s="79"/>
      <c r="W56" s="90"/>
      <c r="X56" s="90"/>
      <c r="Y56" s="90"/>
      <c r="Z56" s="90"/>
      <c r="AA56" s="90"/>
      <c r="AB56" s="90"/>
    </row>
    <row r="57" ht="15.0" customHeight="1">
      <c r="A57" s="69"/>
      <c r="B57" s="70" t="s">
        <v>34</v>
      </c>
      <c r="C57" s="71"/>
      <c r="D57" s="71"/>
      <c r="E57" s="71"/>
      <c r="F57" s="71"/>
      <c r="G57" s="72">
        <v>28567.0</v>
      </c>
      <c r="H57" s="72">
        <v>24628.0</v>
      </c>
      <c r="I57" s="72">
        <v>20814.0</v>
      </c>
      <c r="J57" s="72">
        <v>14469.0</v>
      </c>
      <c r="K57" s="73">
        <f>J57-I57</f>
        <v>-6345</v>
      </c>
      <c r="L57" s="71"/>
      <c r="M57" s="71"/>
      <c r="N57" s="71"/>
      <c r="O57" s="71"/>
      <c r="P57" s="71"/>
      <c r="Q57" s="71"/>
      <c r="R57" s="72">
        <v>21791.0</v>
      </c>
      <c r="S57" s="72">
        <v>18463.0</v>
      </c>
      <c r="T57" s="72">
        <v>14409.0</v>
      </c>
      <c r="U57" s="72">
        <v>14469.0</v>
      </c>
      <c r="V57" s="73">
        <f>U57-T57</f>
        <v>60</v>
      </c>
      <c r="W57" s="71"/>
      <c r="X57" s="71"/>
      <c r="Y57" s="71"/>
      <c r="Z57" s="71"/>
      <c r="AA57" s="71"/>
      <c r="AB57" s="71"/>
    </row>
    <row r="58" ht="15.0" customHeight="1">
      <c r="A58" s="76"/>
      <c r="B58" s="76" t="s">
        <v>39</v>
      </c>
      <c r="C58" s="90"/>
      <c r="D58" s="90">
        <f t="shared" ref="D58:J58" si="70">D57-C57</f>
        <v>0</v>
      </c>
      <c r="E58" s="90">
        <f t="shared" si="70"/>
        <v>0</v>
      </c>
      <c r="F58" s="90">
        <f t="shared" si="70"/>
        <v>0</v>
      </c>
      <c r="G58" s="91">
        <f t="shared" si="70"/>
        <v>28567</v>
      </c>
      <c r="H58" s="91">
        <f t="shared" si="70"/>
        <v>-3939</v>
      </c>
      <c r="I58" s="91">
        <f t="shared" si="70"/>
        <v>-3814</v>
      </c>
      <c r="J58" s="91">
        <f t="shared" si="70"/>
        <v>-6345</v>
      </c>
      <c r="K58" s="92"/>
      <c r="L58" s="90"/>
      <c r="M58" s="90"/>
      <c r="N58" s="90"/>
      <c r="O58" s="90"/>
      <c r="P58" s="90"/>
      <c r="Q58" s="90"/>
      <c r="R58" s="77">
        <f t="shared" ref="R58:U58" si="71">R57-Q57</f>
        <v>21791</v>
      </c>
      <c r="S58" s="77">
        <f t="shared" si="71"/>
        <v>-3328</v>
      </c>
      <c r="T58" s="77">
        <f t="shared" si="71"/>
        <v>-4054</v>
      </c>
      <c r="U58" s="77">
        <f t="shared" si="71"/>
        <v>60</v>
      </c>
      <c r="V58" s="79"/>
      <c r="W58" s="90"/>
      <c r="X58" s="90"/>
      <c r="Y58" s="90"/>
      <c r="Z58" s="90"/>
      <c r="AA58" s="90"/>
      <c r="AB58" s="90"/>
    </row>
    <row r="59" ht="15.75" customHeight="1">
      <c r="A59" s="11"/>
      <c r="B59" s="11"/>
      <c r="C59" s="11"/>
      <c r="D59" s="11"/>
      <c r="E59" s="11"/>
      <c r="F59" s="11"/>
      <c r="G59" s="58"/>
      <c r="H59" s="58"/>
      <c r="I59" s="58"/>
      <c r="J59" s="58"/>
      <c r="K59" s="93"/>
      <c r="L59" s="11"/>
      <c r="M59" s="11"/>
      <c r="N59" s="11"/>
      <c r="O59" s="11"/>
      <c r="P59" s="11"/>
      <c r="Q59" s="11"/>
      <c r="R59" s="58"/>
      <c r="S59" s="58"/>
      <c r="T59" s="58"/>
      <c r="U59" s="58"/>
      <c r="V59" s="83"/>
      <c r="W59" s="11"/>
      <c r="X59" s="11"/>
      <c r="Y59" s="11"/>
      <c r="Z59" s="11"/>
      <c r="AA59" s="11"/>
      <c r="AB59" s="11"/>
    </row>
    <row r="60" ht="15.75" customHeight="1">
      <c r="A60" s="11"/>
      <c r="B60" s="11"/>
      <c r="C60" s="11"/>
      <c r="D60" s="11"/>
      <c r="E60" s="11"/>
      <c r="F60" s="11"/>
      <c r="G60" s="58"/>
      <c r="H60" s="58"/>
      <c r="I60" s="58"/>
      <c r="J60" s="58"/>
      <c r="K60" s="93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94"/>
      <c r="W60" s="11"/>
      <c r="X60" s="11"/>
      <c r="Y60" s="11"/>
      <c r="Z60" s="11"/>
      <c r="AA60" s="11"/>
      <c r="AB60" s="11"/>
    </row>
    <row r="61" ht="15.75" customHeight="1">
      <c r="A61" s="11"/>
      <c r="B61" s="11"/>
      <c r="C61" s="11"/>
      <c r="D61" s="11"/>
      <c r="E61" s="11"/>
      <c r="F61" s="11"/>
      <c r="G61" s="58"/>
      <c r="H61" s="58"/>
      <c r="I61" s="58"/>
      <c r="J61" s="58"/>
      <c r="K61" s="93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94"/>
      <c r="W61" s="11"/>
      <c r="X61" s="11"/>
      <c r="Y61" s="11"/>
      <c r="Z61" s="11"/>
      <c r="AA61" s="11"/>
      <c r="AB61" s="11"/>
    </row>
    <row r="62" ht="15.75" customHeight="1">
      <c r="A62" s="11"/>
      <c r="B62" s="11"/>
      <c r="C62" s="11"/>
      <c r="D62" s="11"/>
      <c r="E62" s="11"/>
      <c r="F62" s="11"/>
      <c r="G62" s="58"/>
      <c r="H62" s="58"/>
      <c r="I62" s="58"/>
      <c r="J62" s="58"/>
      <c r="K62" s="93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94"/>
      <c r="W62" s="11"/>
      <c r="X62" s="11"/>
      <c r="Y62" s="11"/>
      <c r="Z62" s="11"/>
      <c r="AA62" s="11"/>
      <c r="AB62" s="11"/>
    </row>
    <row r="63" ht="15.75" customHeight="1">
      <c r="A63" s="11"/>
      <c r="B63" s="11"/>
      <c r="C63" s="11"/>
      <c r="D63" s="11"/>
      <c r="E63" s="11"/>
      <c r="F63" s="11"/>
      <c r="G63" s="58"/>
      <c r="H63" s="58"/>
      <c r="I63" s="58"/>
      <c r="J63" s="58"/>
      <c r="K63" s="93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94"/>
      <c r="W63" s="11"/>
      <c r="X63" s="11"/>
      <c r="Y63" s="11"/>
      <c r="Z63" s="11"/>
      <c r="AA63" s="11"/>
      <c r="AB63" s="11"/>
    </row>
    <row r="64" ht="15.75" customHeight="1">
      <c r="A64" s="11"/>
      <c r="B64" s="11"/>
      <c r="C64" s="11"/>
      <c r="D64" s="11"/>
      <c r="E64" s="11"/>
      <c r="F64" s="11"/>
      <c r="G64" s="58"/>
      <c r="H64" s="58"/>
      <c r="I64" s="58"/>
      <c r="J64" s="58"/>
      <c r="K64" s="93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95"/>
      <c r="W64" s="11"/>
      <c r="X64" s="11"/>
      <c r="Y64" s="11"/>
      <c r="Z64" s="11"/>
      <c r="AA64" s="11"/>
      <c r="AB64" s="11"/>
    </row>
    <row r="65" ht="15.75" customHeight="1">
      <c r="A65" s="11"/>
      <c r="B65" s="11"/>
      <c r="C65" s="11"/>
      <c r="D65" s="11"/>
      <c r="E65" s="11"/>
      <c r="F65" s="11"/>
      <c r="G65" s="58"/>
      <c r="H65" s="58"/>
      <c r="I65" s="58"/>
      <c r="J65" s="58"/>
      <c r="K65" s="93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95"/>
      <c r="W65" s="11"/>
      <c r="X65" s="11"/>
      <c r="Y65" s="11"/>
      <c r="Z65" s="11"/>
      <c r="AA65" s="11"/>
      <c r="AB65" s="11"/>
    </row>
    <row r="66" ht="15.75" customHeight="1">
      <c r="A66" s="11"/>
      <c r="B66" s="11"/>
      <c r="C66" s="11"/>
      <c r="D66" s="11"/>
      <c r="E66" s="11"/>
      <c r="F66" s="11"/>
      <c r="G66" s="58"/>
      <c r="H66" s="58"/>
      <c r="I66" s="58"/>
      <c r="J66" s="58"/>
      <c r="K66" s="93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95"/>
      <c r="W66" s="11"/>
      <c r="X66" s="11"/>
      <c r="Y66" s="11"/>
      <c r="Z66" s="11"/>
      <c r="AA66" s="11"/>
      <c r="AB66" s="11"/>
    </row>
    <row r="67" ht="15.75" customHeight="1">
      <c r="A67" s="11"/>
      <c r="B67" s="11"/>
      <c r="C67" s="11"/>
      <c r="D67" s="11"/>
      <c r="E67" s="11"/>
      <c r="F67" s="11"/>
      <c r="G67" s="58"/>
      <c r="H67" s="58"/>
      <c r="I67" s="58"/>
      <c r="J67" s="58"/>
      <c r="K67" s="93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95"/>
      <c r="W67" s="11"/>
      <c r="X67" s="11"/>
      <c r="Y67" s="11"/>
      <c r="Z67" s="11"/>
      <c r="AA67" s="11"/>
      <c r="AB67" s="11"/>
    </row>
    <row r="68" ht="15.75" customHeight="1">
      <c r="A68" s="11"/>
      <c r="B68" s="11"/>
      <c r="C68" s="11"/>
      <c r="D68" s="11"/>
      <c r="E68" s="11"/>
      <c r="F68" s="11"/>
      <c r="G68" s="58"/>
      <c r="H68" s="58"/>
      <c r="I68" s="58"/>
      <c r="J68" s="58"/>
      <c r="K68" s="93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95"/>
      <c r="W68" s="11"/>
      <c r="X68" s="11"/>
      <c r="Y68" s="11"/>
      <c r="Z68" s="11"/>
      <c r="AA68" s="11"/>
      <c r="AB68" s="11"/>
    </row>
    <row r="69" ht="15.75" customHeight="1">
      <c r="A69" s="11"/>
      <c r="B69" s="11"/>
      <c r="C69" s="11"/>
      <c r="D69" s="11"/>
      <c r="E69" s="11"/>
      <c r="F69" s="11"/>
      <c r="G69" s="58"/>
      <c r="H69" s="58"/>
      <c r="I69" s="58"/>
      <c r="J69" s="58"/>
      <c r="K69" s="93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95"/>
      <c r="W69" s="11"/>
      <c r="X69" s="11"/>
      <c r="Y69" s="11"/>
      <c r="Z69" s="11"/>
      <c r="AA69" s="11"/>
      <c r="AB69" s="11"/>
    </row>
    <row r="70" ht="15.75" customHeight="1">
      <c r="A70" s="11"/>
      <c r="B70" s="11"/>
      <c r="C70" s="11"/>
      <c r="D70" s="11"/>
      <c r="E70" s="11"/>
      <c r="F70" s="11"/>
      <c r="G70" s="58"/>
      <c r="H70" s="58"/>
      <c r="I70" s="58"/>
      <c r="J70" s="58"/>
      <c r="K70" s="93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95"/>
      <c r="W70" s="11"/>
      <c r="X70" s="11"/>
      <c r="Y70" s="11"/>
      <c r="Z70" s="11"/>
      <c r="AA70" s="11"/>
      <c r="AB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95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95"/>
      <c r="W71" s="11"/>
      <c r="X71" s="11"/>
      <c r="Y71" s="11"/>
      <c r="Z71" s="11"/>
      <c r="AA71" s="11"/>
      <c r="AB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95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95"/>
      <c r="W72" s="11"/>
      <c r="X72" s="11"/>
      <c r="Y72" s="11"/>
      <c r="Z72" s="11"/>
      <c r="AA72" s="11"/>
      <c r="AB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95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95"/>
      <c r="W73" s="11"/>
      <c r="X73" s="11"/>
      <c r="Y73" s="11"/>
      <c r="Z73" s="11"/>
      <c r="AA73" s="11"/>
      <c r="AB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95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95"/>
      <c r="W74" s="11"/>
      <c r="X74" s="11"/>
      <c r="Y74" s="11"/>
      <c r="Z74" s="11"/>
      <c r="AA74" s="11"/>
      <c r="AB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95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95"/>
      <c r="W75" s="11"/>
      <c r="X75" s="11"/>
      <c r="Y75" s="11"/>
      <c r="Z75" s="11"/>
      <c r="AA75" s="11"/>
      <c r="AB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95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95"/>
      <c r="W76" s="11"/>
      <c r="X76" s="11"/>
      <c r="Y76" s="11"/>
      <c r="Z76" s="11"/>
      <c r="AA76" s="11"/>
      <c r="AB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95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95"/>
      <c r="W77" s="11"/>
      <c r="X77" s="11"/>
      <c r="Y77" s="11"/>
      <c r="Z77" s="11"/>
      <c r="AA77" s="11"/>
      <c r="AB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95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95"/>
      <c r="W78" s="11"/>
      <c r="X78" s="11"/>
      <c r="Y78" s="11"/>
      <c r="Z78" s="11"/>
      <c r="AA78" s="11"/>
      <c r="AB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95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95"/>
      <c r="W79" s="11"/>
      <c r="X79" s="11"/>
      <c r="Y79" s="11"/>
      <c r="Z79" s="11"/>
      <c r="AA79" s="11"/>
      <c r="AB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95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95"/>
      <c r="W80" s="11"/>
      <c r="X80" s="11"/>
      <c r="Y80" s="11"/>
      <c r="Z80" s="11"/>
      <c r="AA80" s="11"/>
      <c r="AB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95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95"/>
      <c r="W81" s="11"/>
      <c r="X81" s="11"/>
      <c r="Y81" s="11"/>
      <c r="Z81" s="11"/>
      <c r="AA81" s="11"/>
      <c r="AB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95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95"/>
      <c r="W82" s="11"/>
      <c r="X82" s="11"/>
      <c r="Y82" s="11"/>
      <c r="Z82" s="11"/>
      <c r="AA82" s="11"/>
      <c r="AB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95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95"/>
      <c r="W83" s="11"/>
      <c r="X83" s="11"/>
      <c r="Y83" s="11"/>
      <c r="Z83" s="11"/>
      <c r="AA83" s="11"/>
      <c r="AB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95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95"/>
      <c r="W84" s="11"/>
      <c r="X84" s="11"/>
      <c r="Y84" s="11"/>
      <c r="Z84" s="11"/>
      <c r="AA84" s="11"/>
      <c r="AB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95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95"/>
      <c r="W85" s="11"/>
      <c r="X85" s="11"/>
      <c r="Y85" s="11"/>
      <c r="Z85" s="11"/>
      <c r="AA85" s="11"/>
      <c r="AB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95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95"/>
      <c r="W86" s="11"/>
      <c r="X86" s="11"/>
      <c r="Y86" s="11"/>
      <c r="Z86" s="11"/>
      <c r="AA86" s="11"/>
      <c r="AB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95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95"/>
      <c r="W87" s="11"/>
      <c r="X87" s="11"/>
      <c r="Y87" s="11"/>
      <c r="Z87" s="11"/>
      <c r="AA87" s="11"/>
      <c r="AB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95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95"/>
      <c r="W88" s="11"/>
      <c r="X88" s="11"/>
      <c r="Y88" s="11"/>
      <c r="Z88" s="11"/>
      <c r="AA88" s="11"/>
      <c r="AB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95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95"/>
      <c r="W89" s="11"/>
      <c r="X89" s="11"/>
      <c r="Y89" s="11"/>
      <c r="Z89" s="11"/>
      <c r="AA89" s="11"/>
      <c r="AB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95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95"/>
      <c r="W90" s="11"/>
      <c r="X90" s="11"/>
      <c r="Y90" s="11"/>
      <c r="Z90" s="11"/>
      <c r="AA90" s="11"/>
      <c r="AB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95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95"/>
      <c r="W91" s="11"/>
      <c r="X91" s="11"/>
      <c r="Y91" s="11"/>
      <c r="Z91" s="11"/>
      <c r="AA91" s="11"/>
      <c r="AB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95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95"/>
      <c r="W92" s="11"/>
      <c r="X92" s="11"/>
      <c r="Y92" s="11"/>
      <c r="Z92" s="11"/>
      <c r="AA92" s="11"/>
      <c r="AB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95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95"/>
      <c r="W93" s="11"/>
      <c r="X93" s="11"/>
      <c r="Y93" s="11"/>
      <c r="Z93" s="11"/>
      <c r="AA93" s="11"/>
      <c r="AB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95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95"/>
      <c r="W94" s="11"/>
      <c r="X94" s="11"/>
      <c r="Y94" s="11"/>
      <c r="Z94" s="11"/>
      <c r="AA94" s="11"/>
      <c r="AB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95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95"/>
      <c r="W95" s="11"/>
      <c r="X95" s="11"/>
      <c r="Y95" s="11"/>
      <c r="Z95" s="11"/>
      <c r="AA95" s="11"/>
      <c r="AB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95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95"/>
      <c r="W96" s="11"/>
      <c r="X96" s="11"/>
      <c r="Y96" s="11"/>
      <c r="Z96" s="11"/>
      <c r="AA96" s="11"/>
      <c r="AB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95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95"/>
      <c r="W97" s="11"/>
      <c r="X97" s="11"/>
      <c r="Y97" s="11"/>
      <c r="Z97" s="11"/>
      <c r="AA97" s="11"/>
      <c r="AB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95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95"/>
      <c r="W98" s="11"/>
      <c r="X98" s="11"/>
      <c r="Y98" s="11"/>
      <c r="Z98" s="11"/>
      <c r="AA98" s="11"/>
      <c r="AB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95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95"/>
      <c r="W99" s="11"/>
      <c r="X99" s="11"/>
      <c r="Y99" s="11"/>
      <c r="Z99" s="11"/>
      <c r="AA99" s="11"/>
      <c r="AB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95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95"/>
      <c r="W100" s="11"/>
      <c r="X100" s="11"/>
      <c r="Y100" s="11"/>
      <c r="Z100" s="11"/>
      <c r="AA100" s="11"/>
      <c r="AB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95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95"/>
      <c r="W101" s="11"/>
      <c r="X101" s="11"/>
      <c r="Y101" s="11"/>
      <c r="Z101" s="11"/>
      <c r="AA101" s="11"/>
      <c r="AB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95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95"/>
      <c r="W102" s="11"/>
      <c r="X102" s="11"/>
      <c r="Y102" s="11"/>
      <c r="Z102" s="11"/>
      <c r="AA102" s="11"/>
      <c r="AB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95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95"/>
      <c r="W103" s="11"/>
      <c r="X103" s="11"/>
      <c r="Y103" s="11"/>
      <c r="Z103" s="11"/>
      <c r="AA103" s="11"/>
      <c r="AB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95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95"/>
      <c r="W104" s="11"/>
      <c r="X104" s="11"/>
      <c r="Y104" s="11"/>
      <c r="Z104" s="11"/>
      <c r="AA104" s="11"/>
      <c r="AB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95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95"/>
      <c r="W105" s="11"/>
      <c r="X105" s="11"/>
      <c r="Y105" s="11"/>
      <c r="Z105" s="11"/>
      <c r="AA105" s="11"/>
      <c r="AB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95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95"/>
      <c r="W106" s="11"/>
      <c r="X106" s="11"/>
      <c r="Y106" s="11"/>
      <c r="Z106" s="11"/>
      <c r="AA106" s="11"/>
      <c r="AB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95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95"/>
      <c r="W107" s="11"/>
      <c r="X107" s="11"/>
      <c r="Y107" s="11"/>
      <c r="Z107" s="11"/>
      <c r="AA107" s="11"/>
      <c r="AB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95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95"/>
      <c r="W108" s="11"/>
      <c r="X108" s="11"/>
      <c r="Y108" s="11"/>
      <c r="Z108" s="11"/>
      <c r="AA108" s="11"/>
      <c r="AB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95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95"/>
      <c r="W109" s="11"/>
      <c r="X109" s="11"/>
      <c r="Y109" s="11"/>
      <c r="Z109" s="11"/>
      <c r="AA109" s="11"/>
      <c r="AB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95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95"/>
      <c r="W110" s="11"/>
      <c r="X110" s="11"/>
      <c r="Y110" s="11"/>
      <c r="Z110" s="11"/>
      <c r="AA110" s="11"/>
      <c r="AB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95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95"/>
      <c r="W111" s="11"/>
      <c r="X111" s="11"/>
      <c r="Y111" s="11"/>
      <c r="Z111" s="11"/>
      <c r="AA111" s="11"/>
      <c r="AB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95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95"/>
      <c r="W112" s="11"/>
      <c r="X112" s="11"/>
      <c r="Y112" s="11"/>
      <c r="Z112" s="11"/>
      <c r="AA112" s="11"/>
      <c r="AB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95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95"/>
      <c r="W113" s="11"/>
      <c r="X113" s="11"/>
      <c r="Y113" s="11"/>
      <c r="Z113" s="11"/>
      <c r="AA113" s="11"/>
      <c r="AB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95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95"/>
      <c r="W114" s="11"/>
      <c r="X114" s="11"/>
      <c r="Y114" s="11"/>
      <c r="Z114" s="11"/>
      <c r="AA114" s="11"/>
      <c r="AB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95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95"/>
      <c r="W115" s="11"/>
      <c r="X115" s="11"/>
      <c r="Y115" s="11"/>
      <c r="Z115" s="11"/>
      <c r="AA115" s="11"/>
      <c r="AB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95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95"/>
      <c r="W116" s="11"/>
      <c r="X116" s="11"/>
      <c r="Y116" s="11"/>
      <c r="Z116" s="11"/>
      <c r="AA116" s="11"/>
      <c r="AB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95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95"/>
      <c r="W117" s="11"/>
      <c r="X117" s="11"/>
      <c r="Y117" s="11"/>
      <c r="Z117" s="11"/>
      <c r="AA117" s="11"/>
      <c r="AB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95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95"/>
      <c r="W118" s="11"/>
      <c r="X118" s="11"/>
      <c r="Y118" s="11"/>
      <c r="Z118" s="11"/>
      <c r="AA118" s="11"/>
      <c r="AB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95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95"/>
      <c r="W119" s="11"/>
      <c r="X119" s="11"/>
      <c r="Y119" s="11"/>
      <c r="Z119" s="11"/>
      <c r="AA119" s="11"/>
      <c r="AB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95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95"/>
      <c r="W120" s="11"/>
      <c r="X120" s="11"/>
      <c r="Y120" s="11"/>
      <c r="Z120" s="11"/>
      <c r="AA120" s="11"/>
      <c r="AB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95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95"/>
      <c r="W121" s="11"/>
      <c r="X121" s="11"/>
      <c r="Y121" s="11"/>
      <c r="Z121" s="11"/>
      <c r="AA121" s="11"/>
      <c r="AB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95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95"/>
      <c r="W122" s="11"/>
      <c r="X122" s="11"/>
      <c r="Y122" s="11"/>
      <c r="Z122" s="11"/>
      <c r="AA122" s="11"/>
      <c r="AB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95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95"/>
      <c r="W123" s="11"/>
      <c r="X123" s="11"/>
      <c r="Y123" s="11"/>
      <c r="Z123" s="11"/>
      <c r="AA123" s="11"/>
      <c r="AB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95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95"/>
      <c r="W124" s="11"/>
      <c r="X124" s="11"/>
      <c r="Y124" s="11"/>
      <c r="Z124" s="11"/>
      <c r="AA124" s="11"/>
      <c r="AB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95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95"/>
      <c r="W125" s="11"/>
      <c r="X125" s="11"/>
      <c r="Y125" s="11"/>
      <c r="Z125" s="11"/>
      <c r="AA125" s="11"/>
      <c r="AB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95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95"/>
      <c r="W126" s="11"/>
      <c r="X126" s="11"/>
      <c r="Y126" s="11"/>
      <c r="Z126" s="11"/>
      <c r="AA126" s="11"/>
      <c r="AB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95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95"/>
      <c r="W127" s="11"/>
      <c r="X127" s="11"/>
      <c r="Y127" s="11"/>
      <c r="Z127" s="11"/>
      <c r="AA127" s="11"/>
      <c r="AB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95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95"/>
      <c r="W128" s="11"/>
      <c r="X128" s="11"/>
      <c r="Y128" s="11"/>
      <c r="Z128" s="11"/>
      <c r="AA128" s="11"/>
      <c r="AB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95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95"/>
      <c r="W129" s="11"/>
      <c r="X129" s="11"/>
      <c r="Y129" s="11"/>
      <c r="Z129" s="11"/>
      <c r="AA129" s="11"/>
      <c r="AB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95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95"/>
      <c r="W130" s="11"/>
      <c r="X130" s="11"/>
      <c r="Y130" s="11"/>
      <c r="Z130" s="11"/>
      <c r="AA130" s="11"/>
      <c r="AB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95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95"/>
      <c r="W131" s="11"/>
      <c r="X131" s="11"/>
      <c r="Y131" s="11"/>
      <c r="Z131" s="11"/>
      <c r="AA131" s="11"/>
      <c r="AB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95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95"/>
      <c r="W132" s="11"/>
      <c r="X132" s="11"/>
      <c r="Y132" s="11"/>
      <c r="Z132" s="11"/>
      <c r="AA132" s="11"/>
      <c r="AB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95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95"/>
      <c r="W133" s="11"/>
      <c r="X133" s="11"/>
      <c r="Y133" s="11"/>
      <c r="Z133" s="11"/>
      <c r="AA133" s="11"/>
      <c r="AB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95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95"/>
      <c r="W134" s="11"/>
      <c r="X134" s="11"/>
      <c r="Y134" s="11"/>
      <c r="Z134" s="11"/>
      <c r="AA134" s="11"/>
      <c r="AB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95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95"/>
      <c r="W135" s="11"/>
      <c r="X135" s="11"/>
      <c r="Y135" s="11"/>
      <c r="Z135" s="11"/>
      <c r="AA135" s="11"/>
      <c r="AB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95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95"/>
      <c r="W136" s="11"/>
      <c r="X136" s="11"/>
      <c r="Y136" s="11"/>
      <c r="Z136" s="11"/>
      <c r="AA136" s="11"/>
      <c r="AB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95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95"/>
      <c r="W137" s="11"/>
      <c r="X137" s="11"/>
      <c r="Y137" s="11"/>
      <c r="Z137" s="11"/>
      <c r="AA137" s="11"/>
      <c r="AB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95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95"/>
      <c r="W138" s="11"/>
      <c r="X138" s="11"/>
      <c r="Y138" s="11"/>
      <c r="Z138" s="11"/>
      <c r="AA138" s="11"/>
      <c r="AB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95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95"/>
      <c r="W139" s="11"/>
      <c r="X139" s="11"/>
      <c r="Y139" s="11"/>
      <c r="Z139" s="11"/>
      <c r="AA139" s="11"/>
      <c r="AB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95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95"/>
      <c r="W140" s="11"/>
      <c r="X140" s="11"/>
      <c r="Y140" s="11"/>
      <c r="Z140" s="11"/>
      <c r="AA140" s="11"/>
      <c r="AB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95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95"/>
      <c r="W141" s="11"/>
      <c r="X141" s="11"/>
      <c r="Y141" s="11"/>
      <c r="Z141" s="11"/>
      <c r="AA141" s="11"/>
      <c r="AB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95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95"/>
      <c r="W142" s="11"/>
      <c r="X142" s="11"/>
      <c r="Y142" s="11"/>
      <c r="Z142" s="11"/>
      <c r="AA142" s="11"/>
      <c r="AB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95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95"/>
      <c r="W143" s="11"/>
      <c r="X143" s="11"/>
      <c r="Y143" s="11"/>
      <c r="Z143" s="11"/>
      <c r="AA143" s="11"/>
      <c r="AB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95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95"/>
      <c r="W144" s="11"/>
      <c r="X144" s="11"/>
      <c r="Y144" s="11"/>
      <c r="Z144" s="11"/>
      <c r="AA144" s="11"/>
      <c r="AB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95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95"/>
      <c r="W145" s="11"/>
      <c r="X145" s="11"/>
      <c r="Y145" s="11"/>
      <c r="Z145" s="11"/>
      <c r="AA145" s="11"/>
      <c r="AB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95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95"/>
      <c r="W146" s="11"/>
      <c r="X146" s="11"/>
      <c r="Y146" s="11"/>
      <c r="Z146" s="11"/>
      <c r="AA146" s="11"/>
      <c r="AB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95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95"/>
      <c r="W147" s="11"/>
      <c r="X147" s="11"/>
      <c r="Y147" s="11"/>
      <c r="Z147" s="11"/>
      <c r="AA147" s="11"/>
      <c r="AB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95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95"/>
      <c r="W148" s="11"/>
      <c r="X148" s="11"/>
      <c r="Y148" s="11"/>
      <c r="Z148" s="11"/>
      <c r="AA148" s="11"/>
      <c r="AB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95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95"/>
      <c r="W149" s="11"/>
      <c r="X149" s="11"/>
      <c r="Y149" s="11"/>
      <c r="Z149" s="11"/>
      <c r="AA149" s="11"/>
      <c r="AB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95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95"/>
      <c r="W150" s="11"/>
      <c r="X150" s="11"/>
      <c r="Y150" s="11"/>
      <c r="Z150" s="11"/>
      <c r="AA150" s="11"/>
      <c r="AB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95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95"/>
      <c r="W151" s="11"/>
      <c r="X151" s="11"/>
      <c r="Y151" s="11"/>
      <c r="Z151" s="11"/>
      <c r="AA151" s="11"/>
      <c r="AB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95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95"/>
      <c r="W152" s="11"/>
      <c r="X152" s="11"/>
      <c r="Y152" s="11"/>
      <c r="Z152" s="11"/>
      <c r="AA152" s="11"/>
      <c r="AB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95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95"/>
      <c r="W153" s="11"/>
      <c r="X153" s="11"/>
      <c r="Y153" s="11"/>
      <c r="Z153" s="11"/>
      <c r="AA153" s="11"/>
      <c r="AB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95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95"/>
      <c r="W154" s="11"/>
      <c r="X154" s="11"/>
      <c r="Y154" s="11"/>
      <c r="Z154" s="11"/>
      <c r="AA154" s="11"/>
      <c r="AB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95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95"/>
      <c r="W155" s="11"/>
      <c r="X155" s="11"/>
      <c r="Y155" s="11"/>
      <c r="Z155" s="11"/>
      <c r="AA155" s="11"/>
      <c r="AB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95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95"/>
      <c r="W156" s="11"/>
      <c r="X156" s="11"/>
      <c r="Y156" s="11"/>
      <c r="Z156" s="11"/>
      <c r="AA156" s="11"/>
      <c r="AB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95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95"/>
      <c r="W157" s="11"/>
      <c r="X157" s="11"/>
      <c r="Y157" s="11"/>
      <c r="Z157" s="11"/>
      <c r="AA157" s="11"/>
      <c r="AB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95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95"/>
      <c r="W158" s="11"/>
      <c r="X158" s="11"/>
      <c r="Y158" s="11"/>
      <c r="Z158" s="11"/>
      <c r="AA158" s="11"/>
      <c r="AB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95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95"/>
      <c r="W159" s="11"/>
      <c r="X159" s="11"/>
      <c r="Y159" s="11"/>
      <c r="Z159" s="11"/>
      <c r="AA159" s="11"/>
      <c r="AB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95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95"/>
      <c r="W160" s="11"/>
      <c r="X160" s="11"/>
      <c r="Y160" s="11"/>
      <c r="Z160" s="11"/>
      <c r="AA160" s="11"/>
      <c r="AB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95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95"/>
      <c r="W161" s="11"/>
      <c r="X161" s="11"/>
      <c r="Y161" s="11"/>
      <c r="Z161" s="11"/>
      <c r="AA161" s="11"/>
      <c r="AB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95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95"/>
      <c r="W162" s="11"/>
      <c r="X162" s="11"/>
      <c r="Y162" s="11"/>
      <c r="Z162" s="11"/>
      <c r="AA162" s="11"/>
      <c r="AB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95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95"/>
      <c r="W163" s="11"/>
      <c r="X163" s="11"/>
      <c r="Y163" s="11"/>
      <c r="Z163" s="11"/>
      <c r="AA163" s="11"/>
      <c r="AB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95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95"/>
      <c r="W164" s="11"/>
      <c r="X164" s="11"/>
      <c r="Y164" s="11"/>
      <c r="Z164" s="11"/>
      <c r="AA164" s="11"/>
      <c r="AB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95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95"/>
      <c r="W165" s="11"/>
      <c r="X165" s="11"/>
      <c r="Y165" s="11"/>
      <c r="Z165" s="11"/>
      <c r="AA165" s="11"/>
      <c r="AB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95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95"/>
      <c r="W166" s="11"/>
      <c r="X166" s="11"/>
      <c r="Y166" s="11"/>
      <c r="Z166" s="11"/>
      <c r="AA166" s="11"/>
      <c r="AB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95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95"/>
      <c r="W167" s="11"/>
      <c r="X167" s="11"/>
      <c r="Y167" s="11"/>
      <c r="Z167" s="11"/>
      <c r="AA167" s="11"/>
      <c r="AB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95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95"/>
      <c r="W168" s="11"/>
      <c r="X168" s="11"/>
      <c r="Y168" s="11"/>
      <c r="Z168" s="11"/>
      <c r="AA168" s="11"/>
      <c r="AB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95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95"/>
      <c r="W169" s="11"/>
      <c r="X169" s="11"/>
      <c r="Y169" s="11"/>
      <c r="Z169" s="11"/>
      <c r="AA169" s="11"/>
      <c r="AB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95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95"/>
      <c r="W170" s="11"/>
      <c r="X170" s="11"/>
      <c r="Y170" s="11"/>
      <c r="Z170" s="11"/>
      <c r="AA170" s="11"/>
      <c r="AB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95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95"/>
      <c r="W171" s="11"/>
      <c r="X171" s="11"/>
      <c r="Y171" s="11"/>
      <c r="Z171" s="11"/>
      <c r="AA171" s="11"/>
      <c r="AB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95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95"/>
      <c r="W172" s="11"/>
      <c r="X172" s="11"/>
      <c r="Y172" s="11"/>
      <c r="Z172" s="11"/>
      <c r="AA172" s="11"/>
      <c r="AB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95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95"/>
      <c r="W173" s="11"/>
      <c r="X173" s="11"/>
      <c r="Y173" s="11"/>
      <c r="Z173" s="11"/>
      <c r="AA173" s="11"/>
      <c r="AB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95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95"/>
      <c r="W174" s="11"/>
      <c r="X174" s="11"/>
      <c r="Y174" s="11"/>
      <c r="Z174" s="11"/>
      <c r="AA174" s="11"/>
      <c r="AB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95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95"/>
      <c r="W175" s="11"/>
      <c r="X175" s="11"/>
      <c r="Y175" s="11"/>
      <c r="Z175" s="11"/>
      <c r="AA175" s="11"/>
      <c r="AB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95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95"/>
      <c r="W176" s="11"/>
      <c r="X176" s="11"/>
      <c r="Y176" s="11"/>
      <c r="Z176" s="11"/>
      <c r="AA176" s="11"/>
      <c r="AB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95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95"/>
      <c r="W177" s="11"/>
      <c r="X177" s="11"/>
      <c r="Y177" s="11"/>
      <c r="Z177" s="11"/>
      <c r="AA177" s="11"/>
      <c r="AB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95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95"/>
      <c r="W178" s="11"/>
      <c r="X178" s="11"/>
      <c r="Y178" s="11"/>
      <c r="Z178" s="11"/>
      <c r="AA178" s="11"/>
      <c r="AB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95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95"/>
      <c r="W179" s="11"/>
      <c r="X179" s="11"/>
      <c r="Y179" s="11"/>
      <c r="Z179" s="11"/>
      <c r="AA179" s="11"/>
      <c r="AB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95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95"/>
      <c r="W180" s="11"/>
      <c r="X180" s="11"/>
      <c r="Y180" s="11"/>
      <c r="Z180" s="11"/>
      <c r="AA180" s="11"/>
      <c r="AB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95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95"/>
      <c r="W181" s="11"/>
      <c r="X181" s="11"/>
      <c r="Y181" s="11"/>
      <c r="Z181" s="11"/>
      <c r="AA181" s="11"/>
      <c r="AB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95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95"/>
      <c r="W182" s="11"/>
      <c r="X182" s="11"/>
      <c r="Y182" s="11"/>
      <c r="Z182" s="11"/>
      <c r="AA182" s="11"/>
      <c r="AB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95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95"/>
      <c r="W183" s="11"/>
      <c r="X183" s="11"/>
      <c r="Y183" s="11"/>
      <c r="Z183" s="11"/>
      <c r="AA183" s="11"/>
      <c r="AB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95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95"/>
      <c r="W184" s="11"/>
      <c r="X184" s="11"/>
      <c r="Y184" s="11"/>
      <c r="Z184" s="11"/>
      <c r="AA184" s="11"/>
      <c r="AB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95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95"/>
      <c r="W185" s="11"/>
      <c r="X185" s="11"/>
      <c r="Y185" s="11"/>
      <c r="Z185" s="11"/>
      <c r="AA185" s="11"/>
      <c r="AB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95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95"/>
      <c r="W186" s="11"/>
      <c r="X186" s="11"/>
      <c r="Y186" s="11"/>
      <c r="Z186" s="11"/>
      <c r="AA186" s="11"/>
      <c r="AB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95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95"/>
      <c r="W187" s="11"/>
      <c r="X187" s="11"/>
      <c r="Y187" s="11"/>
      <c r="Z187" s="11"/>
      <c r="AA187" s="11"/>
      <c r="AB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95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95"/>
      <c r="W188" s="11"/>
      <c r="X188" s="11"/>
      <c r="Y188" s="11"/>
      <c r="Z188" s="11"/>
      <c r="AA188" s="11"/>
      <c r="AB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95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95"/>
      <c r="W189" s="11"/>
      <c r="X189" s="11"/>
      <c r="Y189" s="11"/>
      <c r="Z189" s="11"/>
      <c r="AA189" s="11"/>
      <c r="AB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95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95"/>
      <c r="W190" s="11"/>
      <c r="X190" s="11"/>
      <c r="Y190" s="11"/>
      <c r="Z190" s="11"/>
      <c r="AA190" s="11"/>
      <c r="AB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95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95"/>
      <c r="W191" s="11"/>
      <c r="X191" s="11"/>
      <c r="Y191" s="11"/>
      <c r="Z191" s="11"/>
      <c r="AA191" s="11"/>
      <c r="AB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95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95"/>
      <c r="W192" s="11"/>
      <c r="X192" s="11"/>
      <c r="Y192" s="11"/>
      <c r="Z192" s="11"/>
      <c r="AA192" s="11"/>
      <c r="AB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95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95"/>
      <c r="W193" s="11"/>
      <c r="X193" s="11"/>
      <c r="Y193" s="11"/>
      <c r="Z193" s="11"/>
      <c r="AA193" s="11"/>
      <c r="AB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95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95"/>
      <c r="W194" s="11"/>
      <c r="X194" s="11"/>
      <c r="Y194" s="11"/>
      <c r="Z194" s="11"/>
      <c r="AA194" s="11"/>
      <c r="AB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95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95"/>
      <c r="W195" s="11"/>
      <c r="X195" s="11"/>
      <c r="Y195" s="11"/>
      <c r="Z195" s="11"/>
      <c r="AA195" s="11"/>
      <c r="AB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95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95"/>
      <c r="W196" s="11"/>
      <c r="X196" s="11"/>
      <c r="Y196" s="11"/>
      <c r="Z196" s="11"/>
      <c r="AA196" s="11"/>
      <c r="AB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95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95"/>
      <c r="W197" s="11"/>
      <c r="X197" s="11"/>
      <c r="Y197" s="11"/>
      <c r="Z197" s="11"/>
      <c r="AA197" s="11"/>
      <c r="AB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95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95"/>
      <c r="W198" s="11"/>
      <c r="X198" s="11"/>
      <c r="Y198" s="11"/>
      <c r="Z198" s="11"/>
      <c r="AA198" s="11"/>
      <c r="AB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95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95"/>
      <c r="W199" s="11"/>
      <c r="X199" s="11"/>
      <c r="Y199" s="11"/>
      <c r="Z199" s="11"/>
      <c r="AA199" s="11"/>
      <c r="AB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95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95"/>
      <c r="W200" s="11"/>
      <c r="X200" s="11"/>
      <c r="Y200" s="11"/>
      <c r="Z200" s="11"/>
      <c r="AA200" s="11"/>
      <c r="AB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95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95"/>
      <c r="W201" s="11"/>
      <c r="X201" s="11"/>
      <c r="Y201" s="11"/>
      <c r="Z201" s="11"/>
      <c r="AA201" s="11"/>
      <c r="AB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95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95"/>
      <c r="W202" s="11"/>
      <c r="X202" s="11"/>
      <c r="Y202" s="11"/>
      <c r="Z202" s="11"/>
      <c r="AA202" s="11"/>
      <c r="AB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95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95"/>
      <c r="W203" s="11"/>
      <c r="X203" s="11"/>
      <c r="Y203" s="11"/>
      <c r="Z203" s="11"/>
      <c r="AA203" s="11"/>
      <c r="AB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95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95"/>
      <c r="W204" s="11"/>
      <c r="X204" s="11"/>
      <c r="Y204" s="11"/>
      <c r="Z204" s="11"/>
      <c r="AA204" s="11"/>
      <c r="AB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95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95"/>
      <c r="W205" s="11"/>
      <c r="X205" s="11"/>
      <c r="Y205" s="11"/>
      <c r="Z205" s="11"/>
      <c r="AA205" s="11"/>
      <c r="AB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95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95"/>
      <c r="W206" s="11"/>
      <c r="X206" s="11"/>
      <c r="Y206" s="11"/>
      <c r="Z206" s="11"/>
      <c r="AA206" s="11"/>
      <c r="AB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95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95"/>
      <c r="W207" s="11"/>
      <c r="X207" s="11"/>
      <c r="Y207" s="11"/>
      <c r="Z207" s="11"/>
      <c r="AA207" s="11"/>
      <c r="AB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95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95"/>
      <c r="W208" s="11"/>
      <c r="X208" s="11"/>
      <c r="Y208" s="11"/>
      <c r="Z208" s="11"/>
      <c r="AA208" s="11"/>
      <c r="AB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95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95"/>
      <c r="W209" s="11"/>
      <c r="X209" s="11"/>
      <c r="Y209" s="11"/>
      <c r="Z209" s="11"/>
      <c r="AA209" s="11"/>
      <c r="AB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95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95"/>
      <c r="W210" s="11"/>
      <c r="X210" s="11"/>
      <c r="Y210" s="11"/>
      <c r="Z210" s="11"/>
      <c r="AA210" s="11"/>
      <c r="AB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95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95"/>
      <c r="W211" s="11"/>
      <c r="X211" s="11"/>
      <c r="Y211" s="11"/>
      <c r="Z211" s="11"/>
      <c r="AA211" s="11"/>
      <c r="AB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95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95"/>
      <c r="W212" s="11"/>
      <c r="X212" s="11"/>
      <c r="Y212" s="11"/>
      <c r="Z212" s="11"/>
      <c r="AA212" s="11"/>
      <c r="AB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95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95"/>
      <c r="W213" s="11"/>
      <c r="X213" s="11"/>
      <c r="Y213" s="11"/>
      <c r="Z213" s="11"/>
      <c r="AA213" s="11"/>
      <c r="AB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95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95"/>
      <c r="W214" s="11"/>
      <c r="X214" s="11"/>
      <c r="Y214" s="11"/>
      <c r="Z214" s="11"/>
      <c r="AA214" s="11"/>
      <c r="AB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95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95"/>
      <c r="W215" s="11"/>
      <c r="X215" s="11"/>
      <c r="Y215" s="11"/>
      <c r="Z215" s="11"/>
      <c r="AA215" s="11"/>
      <c r="AB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95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95"/>
      <c r="W216" s="11"/>
      <c r="X216" s="11"/>
      <c r="Y216" s="11"/>
      <c r="Z216" s="11"/>
      <c r="AA216" s="11"/>
      <c r="AB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95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95"/>
      <c r="W217" s="11"/>
      <c r="X217" s="11"/>
      <c r="Y217" s="11"/>
      <c r="Z217" s="11"/>
      <c r="AA217" s="11"/>
      <c r="AB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95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95"/>
      <c r="W218" s="11"/>
      <c r="X218" s="11"/>
      <c r="Y218" s="11"/>
      <c r="Z218" s="11"/>
      <c r="AA218" s="11"/>
      <c r="AB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95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95"/>
      <c r="W219" s="11"/>
      <c r="X219" s="11"/>
      <c r="Y219" s="11"/>
      <c r="Z219" s="11"/>
      <c r="AA219" s="11"/>
      <c r="AB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95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95"/>
      <c r="W220" s="11"/>
      <c r="X220" s="11"/>
      <c r="Y220" s="11"/>
      <c r="Z220" s="11"/>
      <c r="AA220" s="11"/>
      <c r="AB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95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95"/>
      <c r="W221" s="11"/>
      <c r="X221" s="11"/>
      <c r="Y221" s="11"/>
      <c r="Z221" s="11"/>
      <c r="AA221" s="11"/>
      <c r="AB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95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95"/>
      <c r="W222" s="11"/>
      <c r="X222" s="11"/>
      <c r="Y222" s="11"/>
      <c r="Z222" s="11"/>
      <c r="AA222" s="11"/>
      <c r="AB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95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95"/>
      <c r="W223" s="11"/>
      <c r="X223" s="11"/>
      <c r="Y223" s="11"/>
      <c r="Z223" s="11"/>
      <c r="AA223" s="11"/>
      <c r="AB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95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95"/>
      <c r="W224" s="11"/>
      <c r="X224" s="11"/>
      <c r="Y224" s="11"/>
      <c r="Z224" s="11"/>
      <c r="AA224" s="11"/>
      <c r="AB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95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95"/>
      <c r="W225" s="11"/>
      <c r="X225" s="11"/>
      <c r="Y225" s="11"/>
      <c r="Z225" s="11"/>
      <c r="AA225" s="11"/>
      <c r="AB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95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95"/>
      <c r="W226" s="11"/>
      <c r="X226" s="11"/>
      <c r="Y226" s="11"/>
      <c r="Z226" s="11"/>
      <c r="AA226" s="11"/>
      <c r="AB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95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95"/>
      <c r="W227" s="11"/>
      <c r="X227" s="11"/>
      <c r="Y227" s="11"/>
      <c r="Z227" s="11"/>
      <c r="AA227" s="11"/>
      <c r="AB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95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95"/>
      <c r="W228" s="11"/>
      <c r="X228" s="11"/>
      <c r="Y228" s="11"/>
      <c r="Z228" s="11"/>
      <c r="AA228" s="11"/>
      <c r="AB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95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95"/>
      <c r="W229" s="11"/>
      <c r="X229" s="11"/>
      <c r="Y229" s="11"/>
      <c r="Z229" s="11"/>
      <c r="AA229" s="11"/>
      <c r="AB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95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95"/>
      <c r="W230" s="11"/>
      <c r="X230" s="11"/>
      <c r="Y230" s="11"/>
      <c r="Z230" s="11"/>
      <c r="AA230" s="11"/>
      <c r="AB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95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95"/>
      <c r="W231" s="11"/>
      <c r="X231" s="11"/>
      <c r="Y231" s="11"/>
      <c r="Z231" s="11"/>
      <c r="AA231" s="11"/>
      <c r="AB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95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95"/>
      <c r="W232" s="11"/>
      <c r="X232" s="11"/>
      <c r="Y232" s="11"/>
      <c r="Z232" s="11"/>
      <c r="AA232" s="11"/>
      <c r="AB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95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95"/>
      <c r="W233" s="11"/>
      <c r="X233" s="11"/>
      <c r="Y233" s="11"/>
      <c r="Z233" s="11"/>
      <c r="AA233" s="11"/>
      <c r="AB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95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95"/>
      <c r="W234" s="11"/>
      <c r="X234" s="11"/>
      <c r="Y234" s="11"/>
      <c r="Z234" s="11"/>
      <c r="AA234" s="11"/>
      <c r="AB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95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95"/>
      <c r="W235" s="11"/>
      <c r="X235" s="11"/>
      <c r="Y235" s="11"/>
      <c r="Z235" s="11"/>
      <c r="AA235" s="11"/>
      <c r="AB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95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95"/>
      <c r="W236" s="11"/>
      <c r="X236" s="11"/>
      <c r="Y236" s="11"/>
      <c r="Z236" s="11"/>
      <c r="AA236" s="11"/>
      <c r="AB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95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95"/>
      <c r="W237" s="11"/>
      <c r="X237" s="11"/>
      <c r="Y237" s="11"/>
      <c r="Z237" s="11"/>
      <c r="AA237" s="11"/>
      <c r="AB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95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95"/>
      <c r="W238" s="11"/>
      <c r="X238" s="11"/>
      <c r="Y238" s="11"/>
      <c r="Z238" s="11"/>
      <c r="AA238" s="11"/>
      <c r="AB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95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95"/>
      <c r="W239" s="11"/>
      <c r="X239" s="11"/>
      <c r="Y239" s="11"/>
      <c r="Z239" s="11"/>
      <c r="AA239" s="11"/>
      <c r="AB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95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95"/>
      <c r="W240" s="11"/>
      <c r="X240" s="11"/>
      <c r="Y240" s="11"/>
      <c r="Z240" s="11"/>
      <c r="AA240" s="11"/>
      <c r="AB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95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95"/>
      <c r="W241" s="11"/>
      <c r="X241" s="11"/>
      <c r="Y241" s="11"/>
      <c r="Z241" s="11"/>
      <c r="AA241" s="11"/>
      <c r="AB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95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95"/>
      <c r="W242" s="11"/>
      <c r="X242" s="11"/>
      <c r="Y242" s="11"/>
      <c r="Z242" s="11"/>
      <c r="AA242" s="11"/>
      <c r="AB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95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95"/>
      <c r="W243" s="11"/>
      <c r="X243" s="11"/>
      <c r="Y243" s="11"/>
      <c r="Z243" s="11"/>
      <c r="AA243" s="11"/>
      <c r="AB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95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95"/>
      <c r="W244" s="11"/>
      <c r="X244" s="11"/>
      <c r="Y244" s="11"/>
      <c r="Z244" s="11"/>
      <c r="AA244" s="11"/>
      <c r="AB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95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95"/>
      <c r="W245" s="11"/>
      <c r="X245" s="11"/>
      <c r="Y245" s="11"/>
      <c r="Z245" s="11"/>
      <c r="AA245" s="11"/>
      <c r="AB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95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95"/>
      <c r="W246" s="11"/>
      <c r="X246" s="11"/>
      <c r="Y246" s="11"/>
      <c r="Z246" s="11"/>
      <c r="AA246" s="11"/>
      <c r="AB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95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95"/>
      <c r="W247" s="11"/>
      <c r="X247" s="11"/>
      <c r="Y247" s="11"/>
      <c r="Z247" s="11"/>
      <c r="AA247" s="11"/>
      <c r="AB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95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95"/>
      <c r="W248" s="11"/>
      <c r="X248" s="11"/>
      <c r="Y248" s="11"/>
      <c r="Z248" s="11"/>
      <c r="AA248" s="11"/>
      <c r="AB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95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95"/>
      <c r="W249" s="11"/>
      <c r="X249" s="11"/>
      <c r="Y249" s="11"/>
      <c r="Z249" s="11"/>
      <c r="AA249" s="11"/>
      <c r="AB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95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95"/>
      <c r="W250" s="11"/>
      <c r="X250" s="11"/>
      <c r="Y250" s="11"/>
      <c r="Z250" s="11"/>
      <c r="AA250" s="11"/>
      <c r="AB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95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95"/>
      <c r="W251" s="11"/>
      <c r="X251" s="11"/>
      <c r="Y251" s="11"/>
      <c r="Z251" s="11"/>
      <c r="AA251" s="11"/>
      <c r="AB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95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95"/>
      <c r="W252" s="11"/>
      <c r="X252" s="11"/>
      <c r="Y252" s="11"/>
      <c r="Z252" s="11"/>
      <c r="AA252" s="11"/>
      <c r="AB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95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95"/>
      <c r="W253" s="11"/>
      <c r="X253" s="11"/>
      <c r="Y253" s="11"/>
      <c r="Z253" s="11"/>
      <c r="AA253" s="11"/>
      <c r="AB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95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95"/>
      <c r="W254" s="11"/>
      <c r="X254" s="11"/>
      <c r="Y254" s="11"/>
      <c r="Z254" s="11"/>
      <c r="AA254" s="11"/>
      <c r="AB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95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95"/>
      <c r="W255" s="11"/>
      <c r="X255" s="11"/>
      <c r="Y255" s="11"/>
      <c r="Z255" s="11"/>
      <c r="AA255" s="11"/>
      <c r="AB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95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95"/>
      <c r="W256" s="11"/>
      <c r="X256" s="11"/>
      <c r="Y256" s="11"/>
      <c r="Z256" s="11"/>
      <c r="AA256" s="11"/>
      <c r="AB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95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95"/>
      <c r="W257" s="11"/>
      <c r="X257" s="11"/>
      <c r="Y257" s="11"/>
      <c r="Z257" s="11"/>
      <c r="AA257" s="11"/>
      <c r="AB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95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95"/>
      <c r="W258" s="11"/>
      <c r="X258" s="11"/>
      <c r="Y258" s="11"/>
      <c r="Z258" s="11"/>
      <c r="AA258" s="11"/>
      <c r="AB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95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95"/>
      <c r="W259" s="11"/>
      <c r="X259" s="11"/>
      <c r="Y259" s="11"/>
      <c r="Z259" s="11"/>
      <c r="AA259" s="11"/>
      <c r="AB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95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95"/>
      <c r="W260" s="11"/>
      <c r="X260" s="11"/>
      <c r="Y260" s="11"/>
      <c r="Z260" s="11"/>
      <c r="AA260" s="11"/>
      <c r="AB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95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95"/>
      <c r="W261" s="11"/>
      <c r="X261" s="11"/>
      <c r="Y261" s="11"/>
      <c r="Z261" s="11"/>
      <c r="AA261" s="11"/>
      <c r="AB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95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95"/>
      <c r="W262" s="11"/>
      <c r="X262" s="11"/>
      <c r="Y262" s="11"/>
      <c r="Z262" s="11"/>
      <c r="AA262" s="11"/>
      <c r="AB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95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95"/>
      <c r="W263" s="11"/>
      <c r="X263" s="11"/>
      <c r="Y263" s="11"/>
      <c r="Z263" s="11"/>
      <c r="AA263" s="11"/>
      <c r="AB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95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95"/>
      <c r="W264" s="11"/>
      <c r="X264" s="11"/>
      <c r="Y264" s="11"/>
      <c r="Z264" s="11"/>
      <c r="AA264" s="11"/>
      <c r="AB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95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95"/>
      <c r="W265" s="11"/>
      <c r="X265" s="11"/>
      <c r="Y265" s="11"/>
      <c r="Z265" s="11"/>
      <c r="AA265" s="11"/>
      <c r="AB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95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95"/>
      <c r="W266" s="11"/>
      <c r="X266" s="11"/>
      <c r="Y266" s="11"/>
      <c r="Z266" s="11"/>
      <c r="AA266" s="11"/>
      <c r="AB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95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95"/>
      <c r="W267" s="11"/>
      <c r="X267" s="11"/>
      <c r="Y267" s="11"/>
      <c r="Z267" s="11"/>
      <c r="AA267" s="11"/>
      <c r="AB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95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95"/>
      <c r="W268" s="11"/>
      <c r="X268" s="11"/>
      <c r="Y268" s="11"/>
      <c r="Z268" s="11"/>
      <c r="AA268" s="11"/>
      <c r="AB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95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95"/>
      <c r="W269" s="11"/>
      <c r="X269" s="11"/>
      <c r="Y269" s="11"/>
      <c r="Z269" s="11"/>
      <c r="AA269" s="11"/>
      <c r="AB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95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95"/>
      <c r="W270" s="11"/>
      <c r="X270" s="11"/>
      <c r="Y270" s="11"/>
      <c r="Z270" s="11"/>
      <c r="AA270" s="11"/>
      <c r="AB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95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95"/>
      <c r="W271" s="11"/>
      <c r="X271" s="11"/>
      <c r="Y271" s="11"/>
      <c r="Z271" s="11"/>
      <c r="AA271" s="11"/>
      <c r="AB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95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95"/>
      <c r="W272" s="11"/>
      <c r="X272" s="11"/>
      <c r="Y272" s="11"/>
      <c r="Z272" s="11"/>
      <c r="AA272" s="11"/>
      <c r="AB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95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95"/>
      <c r="W273" s="11"/>
      <c r="X273" s="11"/>
      <c r="Y273" s="11"/>
      <c r="Z273" s="11"/>
      <c r="AA273" s="11"/>
      <c r="AB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95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95"/>
      <c r="W274" s="11"/>
      <c r="X274" s="11"/>
      <c r="Y274" s="11"/>
      <c r="Z274" s="11"/>
      <c r="AA274" s="11"/>
      <c r="AB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95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95"/>
      <c r="W275" s="11"/>
      <c r="X275" s="11"/>
      <c r="Y275" s="11"/>
      <c r="Z275" s="11"/>
      <c r="AA275" s="11"/>
      <c r="AB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95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95"/>
      <c r="W276" s="11"/>
      <c r="X276" s="11"/>
      <c r="Y276" s="11"/>
      <c r="Z276" s="11"/>
      <c r="AA276" s="11"/>
      <c r="AB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95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95"/>
      <c r="W277" s="11"/>
      <c r="X277" s="11"/>
      <c r="Y277" s="11"/>
      <c r="Z277" s="11"/>
      <c r="AA277" s="11"/>
      <c r="AB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95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95"/>
      <c r="W278" s="11"/>
      <c r="X278" s="11"/>
      <c r="Y278" s="11"/>
      <c r="Z278" s="11"/>
      <c r="AA278" s="11"/>
      <c r="AB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95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95"/>
      <c r="W279" s="11"/>
      <c r="X279" s="11"/>
      <c r="Y279" s="11"/>
      <c r="Z279" s="11"/>
      <c r="AA279" s="11"/>
      <c r="AB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95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95"/>
      <c r="W280" s="11"/>
      <c r="X280" s="11"/>
      <c r="Y280" s="11"/>
      <c r="Z280" s="11"/>
      <c r="AA280" s="11"/>
      <c r="AB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95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95"/>
      <c r="W281" s="11"/>
      <c r="X281" s="11"/>
      <c r="Y281" s="11"/>
      <c r="Z281" s="11"/>
      <c r="AA281" s="11"/>
      <c r="AB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95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95"/>
      <c r="W282" s="11"/>
      <c r="X282" s="11"/>
      <c r="Y282" s="11"/>
      <c r="Z282" s="11"/>
      <c r="AA282" s="11"/>
      <c r="AB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95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95"/>
      <c r="W283" s="11"/>
      <c r="X283" s="11"/>
      <c r="Y283" s="11"/>
      <c r="Z283" s="11"/>
      <c r="AA283" s="11"/>
      <c r="AB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95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95"/>
      <c r="W284" s="11"/>
      <c r="X284" s="11"/>
      <c r="Y284" s="11"/>
      <c r="Z284" s="11"/>
      <c r="AA284" s="11"/>
      <c r="AB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95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95"/>
      <c r="W285" s="11"/>
      <c r="X285" s="11"/>
      <c r="Y285" s="11"/>
      <c r="Z285" s="11"/>
      <c r="AA285" s="11"/>
      <c r="AB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95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95"/>
      <c r="W286" s="11"/>
      <c r="X286" s="11"/>
      <c r="Y286" s="11"/>
      <c r="Z286" s="11"/>
      <c r="AA286" s="11"/>
      <c r="AB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95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95"/>
      <c r="W287" s="11"/>
      <c r="X287" s="11"/>
      <c r="Y287" s="11"/>
      <c r="Z287" s="11"/>
      <c r="AA287" s="11"/>
      <c r="AB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95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95"/>
      <c r="W288" s="11"/>
      <c r="X288" s="11"/>
      <c r="Y288" s="11"/>
      <c r="Z288" s="11"/>
      <c r="AA288" s="11"/>
      <c r="AB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95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95"/>
      <c r="W289" s="11"/>
      <c r="X289" s="11"/>
      <c r="Y289" s="11"/>
      <c r="Z289" s="11"/>
      <c r="AA289" s="11"/>
      <c r="AB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95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95"/>
      <c r="W290" s="11"/>
      <c r="X290" s="11"/>
      <c r="Y290" s="11"/>
      <c r="Z290" s="11"/>
      <c r="AA290" s="11"/>
      <c r="AB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95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95"/>
      <c r="W291" s="11"/>
      <c r="X291" s="11"/>
      <c r="Y291" s="11"/>
      <c r="Z291" s="11"/>
      <c r="AA291" s="11"/>
      <c r="AB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95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95"/>
      <c r="W292" s="11"/>
      <c r="X292" s="11"/>
      <c r="Y292" s="11"/>
      <c r="Z292" s="11"/>
      <c r="AA292" s="11"/>
      <c r="AB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95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95"/>
      <c r="W293" s="11"/>
      <c r="X293" s="11"/>
      <c r="Y293" s="11"/>
      <c r="Z293" s="11"/>
      <c r="AA293" s="11"/>
      <c r="AB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95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95"/>
      <c r="W294" s="11"/>
      <c r="X294" s="11"/>
      <c r="Y294" s="11"/>
      <c r="Z294" s="11"/>
      <c r="AA294" s="11"/>
      <c r="AB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95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95"/>
      <c r="W295" s="11"/>
      <c r="X295" s="11"/>
      <c r="Y295" s="11"/>
      <c r="Z295" s="11"/>
      <c r="AA295" s="11"/>
      <c r="AB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95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95"/>
      <c r="W296" s="11"/>
      <c r="X296" s="11"/>
      <c r="Y296" s="11"/>
      <c r="Z296" s="11"/>
      <c r="AA296" s="11"/>
      <c r="AB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95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95"/>
      <c r="W297" s="11"/>
      <c r="X297" s="11"/>
      <c r="Y297" s="11"/>
      <c r="Z297" s="11"/>
      <c r="AA297" s="11"/>
      <c r="AB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95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95"/>
      <c r="W298" s="11"/>
      <c r="X298" s="11"/>
      <c r="Y298" s="11"/>
      <c r="Z298" s="11"/>
      <c r="AA298" s="11"/>
      <c r="AB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95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95"/>
      <c r="W299" s="11"/>
      <c r="X299" s="11"/>
      <c r="Y299" s="11"/>
      <c r="Z299" s="11"/>
      <c r="AA299" s="11"/>
      <c r="AB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95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95"/>
      <c r="W300" s="11"/>
      <c r="X300" s="11"/>
      <c r="Y300" s="11"/>
      <c r="Z300" s="11"/>
      <c r="AA300" s="11"/>
      <c r="AB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95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95"/>
      <c r="W301" s="11"/>
      <c r="X301" s="11"/>
      <c r="Y301" s="11"/>
      <c r="Z301" s="11"/>
      <c r="AA301" s="11"/>
      <c r="AB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95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95"/>
      <c r="W302" s="11"/>
      <c r="X302" s="11"/>
      <c r="Y302" s="11"/>
      <c r="Z302" s="11"/>
      <c r="AA302" s="11"/>
      <c r="AB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95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95"/>
      <c r="W303" s="11"/>
      <c r="X303" s="11"/>
      <c r="Y303" s="11"/>
      <c r="Z303" s="11"/>
      <c r="AA303" s="11"/>
      <c r="AB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95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95"/>
      <c r="W304" s="11"/>
      <c r="X304" s="11"/>
      <c r="Y304" s="11"/>
      <c r="Z304" s="11"/>
      <c r="AA304" s="11"/>
      <c r="AB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95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95"/>
      <c r="W305" s="11"/>
      <c r="X305" s="11"/>
      <c r="Y305" s="11"/>
      <c r="Z305" s="11"/>
      <c r="AA305" s="11"/>
      <c r="AB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95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95"/>
      <c r="W306" s="11"/>
      <c r="X306" s="11"/>
      <c r="Y306" s="11"/>
      <c r="Z306" s="11"/>
      <c r="AA306" s="11"/>
      <c r="AB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95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95"/>
      <c r="W307" s="11"/>
      <c r="X307" s="11"/>
      <c r="Y307" s="11"/>
      <c r="Z307" s="11"/>
      <c r="AA307" s="11"/>
      <c r="AB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95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95"/>
      <c r="W308" s="11"/>
      <c r="X308" s="11"/>
      <c r="Y308" s="11"/>
      <c r="Z308" s="11"/>
      <c r="AA308" s="11"/>
      <c r="AB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95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95"/>
      <c r="W309" s="11"/>
      <c r="X309" s="11"/>
      <c r="Y309" s="11"/>
      <c r="Z309" s="11"/>
      <c r="AA309" s="11"/>
      <c r="AB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95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95"/>
      <c r="W310" s="11"/>
      <c r="X310" s="11"/>
      <c r="Y310" s="11"/>
      <c r="Z310" s="11"/>
      <c r="AA310" s="11"/>
      <c r="AB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95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95"/>
      <c r="W311" s="11"/>
      <c r="X311" s="11"/>
      <c r="Y311" s="11"/>
      <c r="Z311" s="11"/>
      <c r="AA311" s="11"/>
      <c r="AB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95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95"/>
      <c r="W312" s="11"/>
      <c r="X312" s="11"/>
      <c r="Y312" s="11"/>
      <c r="Z312" s="11"/>
      <c r="AA312" s="11"/>
      <c r="AB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95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95"/>
      <c r="W313" s="11"/>
      <c r="X313" s="11"/>
      <c r="Y313" s="11"/>
      <c r="Z313" s="11"/>
      <c r="AA313" s="11"/>
      <c r="AB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95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95"/>
      <c r="W314" s="11"/>
      <c r="X314" s="11"/>
      <c r="Y314" s="11"/>
      <c r="Z314" s="11"/>
      <c r="AA314" s="11"/>
      <c r="AB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95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95"/>
      <c r="W315" s="11"/>
      <c r="X315" s="11"/>
      <c r="Y315" s="11"/>
      <c r="Z315" s="11"/>
      <c r="AA315" s="11"/>
      <c r="AB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95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95"/>
      <c r="W316" s="11"/>
      <c r="X316" s="11"/>
      <c r="Y316" s="11"/>
      <c r="Z316" s="11"/>
      <c r="AA316" s="11"/>
      <c r="AB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95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95"/>
      <c r="W317" s="11"/>
      <c r="X317" s="11"/>
      <c r="Y317" s="11"/>
      <c r="Z317" s="11"/>
      <c r="AA317" s="11"/>
      <c r="AB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95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95"/>
      <c r="W318" s="11"/>
      <c r="X318" s="11"/>
      <c r="Y318" s="11"/>
      <c r="Z318" s="11"/>
      <c r="AA318" s="11"/>
      <c r="AB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95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95"/>
      <c r="W319" s="11"/>
      <c r="X319" s="11"/>
      <c r="Y319" s="11"/>
      <c r="Z319" s="11"/>
      <c r="AA319" s="11"/>
      <c r="AB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95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95"/>
      <c r="W320" s="11"/>
      <c r="X320" s="11"/>
      <c r="Y320" s="11"/>
      <c r="Z320" s="11"/>
      <c r="AA320" s="11"/>
      <c r="AB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95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95"/>
      <c r="W321" s="11"/>
      <c r="X321" s="11"/>
      <c r="Y321" s="11"/>
      <c r="Z321" s="11"/>
      <c r="AA321" s="11"/>
      <c r="AB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95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95"/>
      <c r="W322" s="11"/>
      <c r="X322" s="11"/>
      <c r="Y322" s="11"/>
      <c r="Z322" s="11"/>
      <c r="AA322" s="11"/>
      <c r="AB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95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95"/>
      <c r="W323" s="11"/>
      <c r="X323" s="11"/>
      <c r="Y323" s="11"/>
      <c r="Z323" s="11"/>
      <c r="AA323" s="11"/>
      <c r="AB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95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95"/>
      <c r="W324" s="11"/>
      <c r="X324" s="11"/>
      <c r="Y324" s="11"/>
      <c r="Z324" s="11"/>
      <c r="AA324" s="11"/>
      <c r="AB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95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95"/>
      <c r="W325" s="11"/>
      <c r="X325" s="11"/>
      <c r="Y325" s="11"/>
      <c r="Z325" s="11"/>
      <c r="AA325" s="11"/>
      <c r="AB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95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95"/>
      <c r="W326" s="11"/>
      <c r="X326" s="11"/>
      <c r="Y326" s="11"/>
      <c r="Z326" s="11"/>
      <c r="AA326" s="11"/>
      <c r="AB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95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95"/>
      <c r="W327" s="11"/>
      <c r="X327" s="11"/>
      <c r="Y327" s="11"/>
      <c r="Z327" s="11"/>
      <c r="AA327" s="11"/>
      <c r="AB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95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95"/>
      <c r="W328" s="11"/>
      <c r="X328" s="11"/>
      <c r="Y328" s="11"/>
      <c r="Z328" s="11"/>
      <c r="AA328" s="11"/>
      <c r="AB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95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95"/>
      <c r="W329" s="11"/>
      <c r="X329" s="11"/>
      <c r="Y329" s="11"/>
      <c r="Z329" s="11"/>
      <c r="AA329" s="11"/>
      <c r="AB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95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95"/>
      <c r="W330" s="11"/>
      <c r="X330" s="11"/>
      <c r="Y330" s="11"/>
      <c r="Z330" s="11"/>
      <c r="AA330" s="11"/>
      <c r="AB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95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95"/>
      <c r="W331" s="11"/>
      <c r="X331" s="11"/>
      <c r="Y331" s="11"/>
      <c r="Z331" s="11"/>
      <c r="AA331" s="11"/>
      <c r="AB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95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95"/>
      <c r="W332" s="11"/>
      <c r="X332" s="11"/>
      <c r="Y332" s="11"/>
      <c r="Z332" s="11"/>
      <c r="AA332" s="11"/>
      <c r="AB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95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95"/>
      <c r="W333" s="11"/>
      <c r="X333" s="11"/>
      <c r="Y333" s="11"/>
      <c r="Z333" s="11"/>
      <c r="AA333" s="11"/>
      <c r="AB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95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95"/>
      <c r="W334" s="11"/>
      <c r="X334" s="11"/>
      <c r="Y334" s="11"/>
      <c r="Z334" s="11"/>
      <c r="AA334" s="11"/>
      <c r="AB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95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95"/>
      <c r="W335" s="11"/>
      <c r="X335" s="11"/>
      <c r="Y335" s="11"/>
      <c r="Z335" s="11"/>
      <c r="AA335" s="11"/>
      <c r="AB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95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95"/>
      <c r="W336" s="11"/>
      <c r="X336" s="11"/>
      <c r="Y336" s="11"/>
      <c r="Z336" s="11"/>
      <c r="AA336" s="11"/>
      <c r="AB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95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95"/>
      <c r="W337" s="11"/>
      <c r="X337" s="11"/>
      <c r="Y337" s="11"/>
      <c r="Z337" s="11"/>
      <c r="AA337" s="11"/>
      <c r="AB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95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95"/>
      <c r="W338" s="11"/>
      <c r="X338" s="11"/>
      <c r="Y338" s="11"/>
      <c r="Z338" s="11"/>
      <c r="AA338" s="11"/>
      <c r="AB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95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95"/>
      <c r="W339" s="11"/>
      <c r="X339" s="11"/>
      <c r="Y339" s="11"/>
      <c r="Z339" s="11"/>
      <c r="AA339" s="11"/>
      <c r="AB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95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95"/>
      <c r="W340" s="11"/>
      <c r="X340" s="11"/>
      <c r="Y340" s="11"/>
      <c r="Z340" s="11"/>
      <c r="AA340" s="11"/>
      <c r="AB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95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95"/>
      <c r="W341" s="11"/>
      <c r="X341" s="11"/>
      <c r="Y341" s="11"/>
      <c r="Z341" s="11"/>
      <c r="AA341" s="11"/>
      <c r="AB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95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95"/>
      <c r="W342" s="11"/>
      <c r="X342" s="11"/>
      <c r="Y342" s="11"/>
      <c r="Z342" s="11"/>
      <c r="AA342" s="11"/>
      <c r="AB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95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95"/>
      <c r="W343" s="11"/>
      <c r="X343" s="11"/>
      <c r="Y343" s="11"/>
      <c r="Z343" s="11"/>
      <c r="AA343" s="11"/>
      <c r="AB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95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95"/>
      <c r="W344" s="11"/>
      <c r="X344" s="11"/>
      <c r="Y344" s="11"/>
      <c r="Z344" s="11"/>
      <c r="AA344" s="11"/>
      <c r="AB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95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95"/>
      <c r="W345" s="11"/>
      <c r="X345" s="11"/>
      <c r="Y345" s="11"/>
      <c r="Z345" s="11"/>
      <c r="AA345" s="11"/>
      <c r="AB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95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95"/>
      <c r="W346" s="11"/>
      <c r="X346" s="11"/>
      <c r="Y346" s="11"/>
      <c r="Z346" s="11"/>
      <c r="AA346" s="11"/>
      <c r="AB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95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95"/>
      <c r="W347" s="11"/>
      <c r="X347" s="11"/>
      <c r="Y347" s="11"/>
      <c r="Z347" s="11"/>
      <c r="AA347" s="11"/>
      <c r="AB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95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95"/>
      <c r="W348" s="11"/>
      <c r="X348" s="11"/>
      <c r="Y348" s="11"/>
      <c r="Z348" s="11"/>
      <c r="AA348" s="11"/>
      <c r="AB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95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95"/>
      <c r="W349" s="11"/>
      <c r="X349" s="11"/>
      <c r="Y349" s="11"/>
      <c r="Z349" s="11"/>
      <c r="AA349" s="11"/>
      <c r="AB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95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95"/>
      <c r="W350" s="11"/>
      <c r="X350" s="11"/>
      <c r="Y350" s="11"/>
      <c r="Z350" s="11"/>
      <c r="AA350" s="11"/>
      <c r="AB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95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95"/>
      <c r="W351" s="11"/>
      <c r="X351" s="11"/>
      <c r="Y351" s="11"/>
      <c r="Z351" s="11"/>
      <c r="AA351" s="11"/>
      <c r="AB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95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95"/>
      <c r="W352" s="11"/>
      <c r="X352" s="11"/>
      <c r="Y352" s="11"/>
      <c r="Z352" s="11"/>
      <c r="AA352" s="11"/>
      <c r="AB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95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95"/>
      <c r="W353" s="11"/>
      <c r="X353" s="11"/>
      <c r="Y353" s="11"/>
      <c r="Z353" s="11"/>
      <c r="AA353" s="11"/>
      <c r="AB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95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95"/>
      <c r="W354" s="11"/>
      <c r="X354" s="11"/>
      <c r="Y354" s="11"/>
      <c r="Z354" s="11"/>
      <c r="AA354" s="11"/>
      <c r="AB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95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95"/>
      <c r="W355" s="11"/>
      <c r="X355" s="11"/>
      <c r="Y355" s="11"/>
      <c r="Z355" s="11"/>
      <c r="AA355" s="11"/>
      <c r="AB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95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95"/>
      <c r="W356" s="11"/>
      <c r="X356" s="11"/>
      <c r="Y356" s="11"/>
      <c r="Z356" s="11"/>
      <c r="AA356" s="11"/>
      <c r="AB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95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95"/>
      <c r="W357" s="11"/>
      <c r="X357" s="11"/>
      <c r="Y357" s="11"/>
      <c r="Z357" s="11"/>
      <c r="AA357" s="11"/>
      <c r="AB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95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95"/>
      <c r="W358" s="11"/>
      <c r="X358" s="11"/>
      <c r="Y358" s="11"/>
      <c r="Z358" s="11"/>
      <c r="AA358" s="11"/>
      <c r="AB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95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95"/>
      <c r="W359" s="11"/>
      <c r="X359" s="11"/>
      <c r="Y359" s="11"/>
      <c r="Z359" s="11"/>
      <c r="AA359" s="11"/>
      <c r="AB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95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95"/>
      <c r="W360" s="11"/>
      <c r="X360" s="11"/>
      <c r="Y360" s="11"/>
      <c r="Z360" s="11"/>
      <c r="AA360" s="11"/>
      <c r="AB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95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95"/>
      <c r="W361" s="11"/>
      <c r="X361" s="11"/>
      <c r="Y361" s="11"/>
      <c r="Z361" s="11"/>
      <c r="AA361" s="11"/>
      <c r="AB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95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95"/>
      <c r="W362" s="11"/>
      <c r="X362" s="11"/>
      <c r="Y362" s="11"/>
      <c r="Z362" s="11"/>
      <c r="AA362" s="11"/>
      <c r="AB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95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95"/>
      <c r="W363" s="11"/>
      <c r="X363" s="11"/>
      <c r="Y363" s="11"/>
      <c r="Z363" s="11"/>
      <c r="AA363" s="11"/>
      <c r="AB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95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95"/>
      <c r="W364" s="11"/>
      <c r="X364" s="11"/>
      <c r="Y364" s="11"/>
      <c r="Z364" s="11"/>
      <c r="AA364" s="11"/>
      <c r="AB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95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95"/>
      <c r="W365" s="11"/>
      <c r="X365" s="11"/>
      <c r="Y365" s="11"/>
      <c r="Z365" s="11"/>
      <c r="AA365" s="11"/>
      <c r="AB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95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95"/>
      <c r="W366" s="11"/>
      <c r="X366" s="11"/>
      <c r="Y366" s="11"/>
      <c r="Z366" s="11"/>
      <c r="AA366" s="11"/>
      <c r="AB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95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95"/>
      <c r="W367" s="11"/>
      <c r="X367" s="11"/>
      <c r="Y367" s="11"/>
      <c r="Z367" s="11"/>
      <c r="AA367" s="11"/>
      <c r="AB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95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95"/>
      <c r="W368" s="11"/>
      <c r="X368" s="11"/>
      <c r="Y368" s="11"/>
      <c r="Z368" s="11"/>
      <c r="AA368" s="11"/>
      <c r="AB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95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95"/>
      <c r="W369" s="11"/>
      <c r="X369" s="11"/>
      <c r="Y369" s="11"/>
      <c r="Z369" s="11"/>
      <c r="AA369" s="11"/>
      <c r="AB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95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95"/>
      <c r="W370" s="11"/>
      <c r="X370" s="11"/>
      <c r="Y370" s="11"/>
      <c r="Z370" s="11"/>
      <c r="AA370" s="11"/>
      <c r="AB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95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95"/>
      <c r="W371" s="11"/>
      <c r="X371" s="11"/>
      <c r="Y371" s="11"/>
      <c r="Z371" s="11"/>
      <c r="AA371" s="11"/>
      <c r="AB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95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95"/>
      <c r="W372" s="11"/>
      <c r="X372" s="11"/>
      <c r="Y372" s="11"/>
      <c r="Z372" s="11"/>
      <c r="AA372" s="11"/>
      <c r="AB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95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95"/>
      <c r="W373" s="11"/>
      <c r="X373" s="11"/>
      <c r="Y373" s="11"/>
      <c r="Z373" s="11"/>
      <c r="AA373" s="11"/>
      <c r="AB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95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95"/>
      <c r="W374" s="11"/>
      <c r="X374" s="11"/>
      <c r="Y374" s="11"/>
      <c r="Z374" s="11"/>
      <c r="AA374" s="11"/>
      <c r="AB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95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95"/>
      <c r="W375" s="11"/>
      <c r="X375" s="11"/>
      <c r="Y375" s="11"/>
      <c r="Z375" s="11"/>
      <c r="AA375" s="11"/>
      <c r="AB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95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95"/>
      <c r="W376" s="11"/>
      <c r="X376" s="11"/>
      <c r="Y376" s="11"/>
      <c r="Z376" s="11"/>
      <c r="AA376" s="11"/>
      <c r="AB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95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95"/>
      <c r="W377" s="11"/>
      <c r="X377" s="11"/>
      <c r="Y377" s="11"/>
      <c r="Z377" s="11"/>
      <c r="AA377" s="11"/>
      <c r="AB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95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95"/>
      <c r="W378" s="11"/>
      <c r="X378" s="11"/>
      <c r="Y378" s="11"/>
      <c r="Z378" s="11"/>
      <c r="AA378" s="11"/>
      <c r="AB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95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95"/>
      <c r="W379" s="11"/>
      <c r="X379" s="11"/>
      <c r="Y379" s="11"/>
      <c r="Z379" s="11"/>
      <c r="AA379" s="11"/>
      <c r="AB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95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95"/>
      <c r="W380" s="11"/>
      <c r="X380" s="11"/>
      <c r="Y380" s="11"/>
      <c r="Z380" s="11"/>
      <c r="AA380" s="11"/>
      <c r="AB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95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95"/>
      <c r="W381" s="11"/>
      <c r="X381" s="11"/>
      <c r="Y381" s="11"/>
      <c r="Z381" s="11"/>
      <c r="AA381" s="11"/>
      <c r="AB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95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95"/>
      <c r="W382" s="11"/>
      <c r="X382" s="11"/>
      <c r="Y382" s="11"/>
      <c r="Z382" s="11"/>
      <c r="AA382" s="11"/>
      <c r="AB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95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95"/>
      <c r="W383" s="11"/>
      <c r="X383" s="11"/>
      <c r="Y383" s="11"/>
      <c r="Z383" s="11"/>
      <c r="AA383" s="11"/>
      <c r="AB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95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95"/>
      <c r="W384" s="11"/>
      <c r="X384" s="11"/>
      <c r="Y384" s="11"/>
      <c r="Z384" s="11"/>
      <c r="AA384" s="11"/>
      <c r="AB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95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95"/>
      <c r="W385" s="11"/>
      <c r="X385" s="11"/>
      <c r="Y385" s="11"/>
      <c r="Z385" s="11"/>
      <c r="AA385" s="11"/>
      <c r="AB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95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95"/>
      <c r="W386" s="11"/>
      <c r="X386" s="11"/>
      <c r="Y386" s="11"/>
      <c r="Z386" s="11"/>
      <c r="AA386" s="11"/>
      <c r="AB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95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95"/>
      <c r="W387" s="11"/>
      <c r="X387" s="11"/>
      <c r="Y387" s="11"/>
      <c r="Z387" s="11"/>
      <c r="AA387" s="11"/>
      <c r="AB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95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95"/>
      <c r="W388" s="11"/>
      <c r="X388" s="11"/>
      <c r="Y388" s="11"/>
      <c r="Z388" s="11"/>
      <c r="AA388" s="11"/>
      <c r="AB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95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95"/>
      <c r="W389" s="11"/>
      <c r="X389" s="11"/>
      <c r="Y389" s="11"/>
      <c r="Z389" s="11"/>
      <c r="AA389" s="11"/>
      <c r="AB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95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95"/>
      <c r="W390" s="11"/>
      <c r="X390" s="11"/>
      <c r="Y390" s="11"/>
      <c r="Z390" s="11"/>
      <c r="AA390" s="11"/>
      <c r="AB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95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95"/>
      <c r="W391" s="11"/>
      <c r="X391" s="11"/>
      <c r="Y391" s="11"/>
      <c r="Z391" s="11"/>
      <c r="AA391" s="11"/>
      <c r="AB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95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95"/>
      <c r="W392" s="11"/>
      <c r="X392" s="11"/>
      <c r="Y392" s="11"/>
      <c r="Z392" s="11"/>
      <c r="AA392" s="11"/>
      <c r="AB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95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95"/>
      <c r="W393" s="11"/>
      <c r="X393" s="11"/>
      <c r="Y393" s="11"/>
      <c r="Z393" s="11"/>
      <c r="AA393" s="11"/>
      <c r="AB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95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95"/>
      <c r="W394" s="11"/>
      <c r="X394" s="11"/>
      <c r="Y394" s="11"/>
      <c r="Z394" s="11"/>
      <c r="AA394" s="11"/>
      <c r="AB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95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95"/>
      <c r="W395" s="11"/>
      <c r="X395" s="11"/>
      <c r="Y395" s="11"/>
      <c r="Z395" s="11"/>
      <c r="AA395" s="11"/>
      <c r="AB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95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95"/>
      <c r="W396" s="11"/>
      <c r="X396" s="11"/>
      <c r="Y396" s="11"/>
      <c r="Z396" s="11"/>
      <c r="AA396" s="11"/>
      <c r="AB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95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95"/>
      <c r="W397" s="11"/>
      <c r="X397" s="11"/>
      <c r="Y397" s="11"/>
      <c r="Z397" s="11"/>
      <c r="AA397" s="11"/>
      <c r="AB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95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95"/>
      <c r="W398" s="11"/>
      <c r="X398" s="11"/>
      <c r="Y398" s="11"/>
      <c r="Z398" s="11"/>
      <c r="AA398" s="11"/>
      <c r="AB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95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95"/>
      <c r="W399" s="11"/>
      <c r="X399" s="11"/>
      <c r="Y399" s="11"/>
      <c r="Z399" s="11"/>
      <c r="AA399" s="11"/>
      <c r="AB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95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95"/>
      <c r="W400" s="11"/>
      <c r="X400" s="11"/>
      <c r="Y400" s="11"/>
      <c r="Z400" s="11"/>
      <c r="AA400" s="11"/>
      <c r="AB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95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95"/>
      <c r="W401" s="11"/>
      <c r="X401" s="11"/>
      <c r="Y401" s="11"/>
      <c r="Z401" s="11"/>
      <c r="AA401" s="11"/>
      <c r="AB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95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95"/>
      <c r="W402" s="11"/>
      <c r="X402" s="11"/>
      <c r="Y402" s="11"/>
      <c r="Z402" s="11"/>
      <c r="AA402" s="11"/>
      <c r="AB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95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95"/>
      <c r="W403" s="11"/>
      <c r="X403" s="11"/>
      <c r="Y403" s="11"/>
      <c r="Z403" s="11"/>
      <c r="AA403" s="11"/>
      <c r="AB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95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95"/>
      <c r="W404" s="11"/>
      <c r="X404" s="11"/>
      <c r="Y404" s="11"/>
      <c r="Z404" s="11"/>
      <c r="AA404" s="11"/>
      <c r="AB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95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95"/>
      <c r="W405" s="11"/>
      <c r="X405" s="11"/>
      <c r="Y405" s="11"/>
      <c r="Z405" s="11"/>
      <c r="AA405" s="11"/>
      <c r="AB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95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95"/>
      <c r="W406" s="11"/>
      <c r="X406" s="11"/>
      <c r="Y406" s="11"/>
      <c r="Z406" s="11"/>
      <c r="AA406" s="11"/>
      <c r="AB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95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95"/>
      <c r="W407" s="11"/>
      <c r="X407" s="11"/>
      <c r="Y407" s="11"/>
      <c r="Z407" s="11"/>
      <c r="AA407" s="11"/>
      <c r="AB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95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95"/>
      <c r="W408" s="11"/>
      <c r="X408" s="11"/>
      <c r="Y408" s="11"/>
      <c r="Z408" s="11"/>
      <c r="AA408" s="11"/>
      <c r="AB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95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95"/>
      <c r="W409" s="11"/>
      <c r="X409" s="11"/>
      <c r="Y409" s="11"/>
      <c r="Z409" s="11"/>
      <c r="AA409" s="11"/>
      <c r="AB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95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95"/>
      <c r="W410" s="11"/>
      <c r="X410" s="11"/>
      <c r="Y410" s="11"/>
      <c r="Z410" s="11"/>
      <c r="AA410" s="11"/>
      <c r="AB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95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95"/>
      <c r="W411" s="11"/>
      <c r="X411" s="11"/>
      <c r="Y411" s="11"/>
      <c r="Z411" s="11"/>
      <c r="AA411" s="11"/>
      <c r="AB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95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95"/>
      <c r="W412" s="11"/>
      <c r="X412" s="11"/>
      <c r="Y412" s="11"/>
      <c r="Z412" s="11"/>
      <c r="AA412" s="11"/>
      <c r="AB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95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95"/>
      <c r="W413" s="11"/>
      <c r="X413" s="11"/>
      <c r="Y413" s="11"/>
      <c r="Z413" s="11"/>
      <c r="AA413" s="11"/>
      <c r="AB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95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95"/>
      <c r="W414" s="11"/>
      <c r="X414" s="11"/>
      <c r="Y414" s="11"/>
      <c r="Z414" s="11"/>
      <c r="AA414" s="11"/>
      <c r="AB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95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95"/>
      <c r="W415" s="11"/>
      <c r="X415" s="11"/>
      <c r="Y415" s="11"/>
      <c r="Z415" s="11"/>
      <c r="AA415" s="11"/>
      <c r="AB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95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95"/>
      <c r="W416" s="11"/>
      <c r="X416" s="11"/>
      <c r="Y416" s="11"/>
      <c r="Z416" s="11"/>
      <c r="AA416" s="11"/>
      <c r="AB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95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95"/>
      <c r="W417" s="11"/>
      <c r="X417" s="11"/>
      <c r="Y417" s="11"/>
      <c r="Z417" s="11"/>
      <c r="AA417" s="11"/>
      <c r="AB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95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95"/>
      <c r="W418" s="11"/>
      <c r="X418" s="11"/>
      <c r="Y418" s="11"/>
      <c r="Z418" s="11"/>
      <c r="AA418" s="11"/>
      <c r="AB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95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95"/>
      <c r="W419" s="11"/>
      <c r="X419" s="11"/>
      <c r="Y419" s="11"/>
      <c r="Z419" s="11"/>
      <c r="AA419" s="11"/>
      <c r="AB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95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95"/>
      <c r="W420" s="11"/>
      <c r="X420" s="11"/>
      <c r="Y420" s="11"/>
      <c r="Z420" s="11"/>
      <c r="AA420" s="11"/>
      <c r="AB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95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95"/>
      <c r="W421" s="11"/>
      <c r="X421" s="11"/>
      <c r="Y421" s="11"/>
      <c r="Z421" s="11"/>
      <c r="AA421" s="11"/>
      <c r="AB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95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95"/>
      <c r="W422" s="11"/>
      <c r="X422" s="11"/>
      <c r="Y422" s="11"/>
      <c r="Z422" s="11"/>
      <c r="AA422" s="11"/>
      <c r="AB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95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95"/>
      <c r="W423" s="11"/>
      <c r="X423" s="11"/>
      <c r="Y423" s="11"/>
      <c r="Z423" s="11"/>
      <c r="AA423" s="11"/>
      <c r="AB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95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95"/>
      <c r="W424" s="11"/>
      <c r="X424" s="11"/>
      <c r="Y424" s="11"/>
      <c r="Z424" s="11"/>
      <c r="AA424" s="11"/>
      <c r="AB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95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95"/>
      <c r="W425" s="11"/>
      <c r="X425" s="11"/>
      <c r="Y425" s="11"/>
      <c r="Z425" s="11"/>
      <c r="AA425" s="11"/>
      <c r="AB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95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95"/>
      <c r="W426" s="11"/>
      <c r="X426" s="11"/>
      <c r="Y426" s="11"/>
      <c r="Z426" s="11"/>
      <c r="AA426" s="11"/>
      <c r="AB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95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95"/>
      <c r="W427" s="11"/>
      <c r="X427" s="11"/>
      <c r="Y427" s="11"/>
      <c r="Z427" s="11"/>
      <c r="AA427" s="11"/>
      <c r="AB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95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95"/>
      <c r="W428" s="11"/>
      <c r="X428" s="11"/>
      <c r="Y428" s="11"/>
      <c r="Z428" s="11"/>
      <c r="AA428" s="11"/>
      <c r="AB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95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95"/>
      <c r="W429" s="11"/>
      <c r="X429" s="11"/>
      <c r="Y429" s="11"/>
      <c r="Z429" s="11"/>
      <c r="AA429" s="11"/>
      <c r="AB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95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95"/>
      <c r="W430" s="11"/>
      <c r="X430" s="11"/>
      <c r="Y430" s="11"/>
      <c r="Z430" s="11"/>
      <c r="AA430" s="11"/>
      <c r="AB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95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95"/>
      <c r="W431" s="11"/>
      <c r="X431" s="11"/>
      <c r="Y431" s="11"/>
      <c r="Z431" s="11"/>
      <c r="AA431" s="11"/>
      <c r="AB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95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95"/>
      <c r="W432" s="11"/>
      <c r="X432" s="11"/>
      <c r="Y432" s="11"/>
      <c r="Z432" s="11"/>
      <c r="AA432" s="11"/>
      <c r="AB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95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95"/>
      <c r="W433" s="11"/>
      <c r="X433" s="11"/>
      <c r="Y433" s="11"/>
      <c r="Z433" s="11"/>
      <c r="AA433" s="11"/>
      <c r="AB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95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95"/>
      <c r="W434" s="11"/>
      <c r="X434" s="11"/>
      <c r="Y434" s="11"/>
      <c r="Z434" s="11"/>
      <c r="AA434" s="11"/>
      <c r="AB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95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95"/>
      <c r="W435" s="11"/>
      <c r="X435" s="11"/>
      <c r="Y435" s="11"/>
      <c r="Z435" s="11"/>
      <c r="AA435" s="11"/>
      <c r="AB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95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95"/>
      <c r="W436" s="11"/>
      <c r="X436" s="11"/>
      <c r="Y436" s="11"/>
      <c r="Z436" s="11"/>
      <c r="AA436" s="11"/>
      <c r="AB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95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95"/>
      <c r="W437" s="11"/>
      <c r="X437" s="11"/>
      <c r="Y437" s="11"/>
      <c r="Z437" s="11"/>
      <c r="AA437" s="11"/>
      <c r="AB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95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95"/>
      <c r="W438" s="11"/>
      <c r="X438" s="11"/>
      <c r="Y438" s="11"/>
      <c r="Z438" s="11"/>
      <c r="AA438" s="11"/>
      <c r="AB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95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95"/>
      <c r="W439" s="11"/>
      <c r="X439" s="11"/>
      <c r="Y439" s="11"/>
      <c r="Z439" s="11"/>
      <c r="AA439" s="11"/>
      <c r="AB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95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95"/>
      <c r="W440" s="11"/>
      <c r="X440" s="11"/>
      <c r="Y440" s="11"/>
      <c r="Z440" s="11"/>
      <c r="AA440" s="11"/>
      <c r="AB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95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95"/>
      <c r="W441" s="11"/>
      <c r="X441" s="11"/>
      <c r="Y441" s="11"/>
      <c r="Z441" s="11"/>
      <c r="AA441" s="11"/>
      <c r="AB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95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95"/>
      <c r="W442" s="11"/>
      <c r="X442" s="11"/>
      <c r="Y442" s="11"/>
      <c r="Z442" s="11"/>
      <c r="AA442" s="11"/>
      <c r="AB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95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95"/>
      <c r="W443" s="11"/>
      <c r="X443" s="11"/>
      <c r="Y443" s="11"/>
      <c r="Z443" s="11"/>
      <c r="AA443" s="11"/>
      <c r="AB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95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95"/>
      <c r="W444" s="11"/>
      <c r="X444" s="11"/>
      <c r="Y444" s="11"/>
      <c r="Z444" s="11"/>
      <c r="AA444" s="11"/>
      <c r="AB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95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95"/>
      <c r="W445" s="11"/>
      <c r="X445" s="11"/>
      <c r="Y445" s="11"/>
      <c r="Z445" s="11"/>
      <c r="AA445" s="11"/>
      <c r="AB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95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95"/>
      <c r="W446" s="11"/>
      <c r="X446" s="11"/>
      <c r="Y446" s="11"/>
      <c r="Z446" s="11"/>
      <c r="AA446" s="11"/>
      <c r="AB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95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95"/>
      <c r="W447" s="11"/>
      <c r="X447" s="11"/>
      <c r="Y447" s="11"/>
      <c r="Z447" s="11"/>
      <c r="AA447" s="11"/>
      <c r="AB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95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95"/>
      <c r="W448" s="11"/>
      <c r="X448" s="11"/>
      <c r="Y448" s="11"/>
      <c r="Z448" s="11"/>
      <c r="AA448" s="11"/>
      <c r="AB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95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95"/>
      <c r="W449" s="11"/>
      <c r="X449" s="11"/>
      <c r="Y449" s="11"/>
      <c r="Z449" s="11"/>
      <c r="AA449" s="11"/>
      <c r="AB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95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95"/>
      <c r="W450" s="11"/>
      <c r="X450" s="11"/>
      <c r="Y450" s="11"/>
      <c r="Z450" s="11"/>
      <c r="AA450" s="11"/>
      <c r="AB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95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95"/>
      <c r="W451" s="11"/>
      <c r="X451" s="11"/>
      <c r="Y451" s="11"/>
      <c r="Z451" s="11"/>
      <c r="AA451" s="11"/>
      <c r="AB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95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95"/>
      <c r="W452" s="11"/>
      <c r="X452" s="11"/>
      <c r="Y452" s="11"/>
      <c r="Z452" s="11"/>
      <c r="AA452" s="11"/>
      <c r="AB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95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95"/>
      <c r="W453" s="11"/>
      <c r="X453" s="11"/>
      <c r="Y453" s="11"/>
      <c r="Z453" s="11"/>
      <c r="AA453" s="11"/>
      <c r="AB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95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95"/>
      <c r="W454" s="11"/>
      <c r="X454" s="11"/>
      <c r="Y454" s="11"/>
      <c r="Z454" s="11"/>
      <c r="AA454" s="11"/>
      <c r="AB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95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95"/>
      <c r="W455" s="11"/>
      <c r="X455" s="11"/>
      <c r="Y455" s="11"/>
      <c r="Z455" s="11"/>
      <c r="AA455" s="11"/>
      <c r="AB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95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95"/>
      <c r="W456" s="11"/>
      <c r="X456" s="11"/>
      <c r="Y456" s="11"/>
      <c r="Z456" s="11"/>
      <c r="AA456" s="11"/>
      <c r="AB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95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95"/>
      <c r="W457" s="11"/>
      <c r="X457" s="11"/>
      <c r="Y457" s="11"/>
      <c r="Z457" s="11"/>
      <c r="AA457" s="11"/>
      <c r="AB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95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95"/>
      <c r="W458" s="11"/>
      <c r="X458" s="11"/>
      <c r="Y458" s="11"/>
      <c r="Z458" s="11"/>
      <c r="AA458" s="11"/>
      <c r="AB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95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95"/>
      <c r="W459" s="11"/>
      <c r="X459" s="11"/>
      <c r="Y459" s="11"/>
      <c r="Z459" s="11"/>
      <c r="AA459" s="11"/>
      <c r="AB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95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95"/>
      <c r="W460" s="11"/>
      <c r="X460" s="11"/>
      <c r="Y460" s="11"/>
      <c r="Z460" s="11"/>
      <c r="AA460" s="11"/>
      <c r="AB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95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95"/>
      <c r="W461" s="11"/>
      <c r="X461" s="11"/>
      <c r="Y461" s="11"/>
      <c r="Z461" s="11"/>
      <c r="AA461" s="11"/>
      <c r="AB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95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95"/>
      <c r="W462" s="11"/>
      <c r="X462" s="11"/>
      <c r="Y462" s="11"/>
      <c r="Z462" s="11"/>
      <c r="AA462" s="11"/>
      <c r="AB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95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95"/>
      <c r="W463" s="11"/>
      <c r="X463" s="11"/>
      <c r="Y463" s="11"/>
      <c r="Z463" s="11"/>
      <c r="AA463" s="11"/>
      <c r="AB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95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95"/>
      <c r="W464" s="11"/>
      <c r="X464" s="11"/>
      <c r="Y464" s="11"/>
      <c r="Z464" s="11"/>
      <c r="AA464" s="11"/>
      <c r="AB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95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95"/>
      <c r="W465" s="11"/>
      <c r="X465" s="11"/>
      <c r="Y465" s="11"/>
      <c r="Z465" s="11"/>
      <c r="AA465" s="11"/>
      <c r="AB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95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95"/>
      <c r="W466" s="11"/>
      <c r="X466" s="11"/>
      <c r="Y466" s="11"/>
      <c r="Z466" s="11"/>
      <c r="AA466" s="11"/>
      <c r="AB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95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95"/>
      <c r="W467" s="11"/>
      <c r="X467" s="11"/>
      <c r="Y467" s="11"/>
      <c r="Z467" s="11"/>
      <c r="AA467" s="11"/>
      <c r="AB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95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95"/>
      <c r="W468" s="11"/>
      <c r="X468" s="11"/>
      <c r="Y468" s="11"/>
      <c r="Z468" s="11"/>
      <c r="AA468" s="11"/>
      <c r="AB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95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95"/>
      <c r="W469" s="11"/>
      <c r="X469" s="11"/>
      <c r="Y469" s="11"/>
      <c r="Z469" s="11"/>
      <c r="AA469" s="11"/>
      <c r="AB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95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95"/>
      <c r="W470" s="11"/>
      <c r="X470" s="11"/>
      <c r="Y470" s="11"/>
      <c r="Z470" s="11"/>
      <c r="AA470" s="11"/>
      <c r="AB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95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95"/>
      <c r="W471" s="11"/>
      <c r="X471" s="11"/>
      <c r="Y471" s="11"/>
      <c r="Z471" s="11"/>
      <c r="AA471" s="11"/>
      <c r="AB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95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95"/>
      <c r="W472" s="11"/>
      <c r="X472" s="11"/>
      <c r="Y472" s="11"/>
      <c r="Z472" s="11"/>
      <c r="AA472" s="11"/>
      <c r="AB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95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95"/>
      <c r="W473" s="11"/>
      <c r="X473" s="11"/>
      <c r="Y473" s="11"/>
      <c r="Z473" s="11"/>
      <c r="AA473" s="11"/>
      <c r="AB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95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95"/>
      <c r="W474" s="11"/>
      <c r="X474" s="11"/>
      <c r="Y474" s="11"/>
      <c r="Z474" s="11"/>
      <c r="AA474" s="11"/>
      <c r="AB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95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95"/>
      <c r="W475" s="11"/>
      <c r="X475" s="11"/>
      <c r="Y475" s="11"/>
      <c r="Z475" s="11"/>
      <c r="AA475" s="11"/>
      <c r="AB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95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95"/>
      <c r="W476" s="11"/>
      <c r="X476" s="11"/>
      <c r="Y476" s="11"/>
      <c r="Z476" s="11"/>
      <c r="AA476" s="11"/>
      <c r="AB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95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95"/>
      <c r="W477" s="11"/>
      <c r="X477" s="11"/>
      <c r="Y477" s="11"/>
      <c r="Z477" s="11"/>
      <c r="AA477" s="11"/>
      <c r="AB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95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95"/>
      <c r="W478" s="11"/>
      <c r="X478" s="11"/>
      <c r="Y478" s="11"/>
      <c r="Z478" s="11"/>
      <c r="AA478" s="11"/>
      <c r="AB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95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95"/>
      <c r="W479" s="11"/>
      <c r="X479" s="11"/>
      <c r="Y479" s="11"/>
      <c r="Z479" s="11"/>
      <c r="AA479" s="11"/>
      <c r="AB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95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95"/>
      <c r="W480" s="11"/>
      <c r="X480" s="11"/>
      <c r="Y480" s="11"/>
      <c r="Z480" s="11"/>
      <c r="AA480" s="11"/>
      <c r="AB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95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95"/>
      <c r="W481" s="11"/>
      <c r="X481" s="11"/>
      <c r="Y481" s="11"/>
      <c r="Z481" s="11"/>
      <c r="AA481" s="11"/>
      <c r="AB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95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95"/>
      <c r="W482" s="11"/>
      <c r="X482" s="11"/>
      <c r="Y482" s="11"/>
      <c r="Z482" s="11"/>
      <c r="AA482" s="11"/>
      <c r="AB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95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95"/>
      <c r="W483" s="11"/>
      <c r="X483" s="11"/>
      <c r="Y483" s="11"/>
      <c r="Z483" s="11"/>
      <c r="AA483" s="11"/>
      <c r="AB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95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95"/>
      <c r="W484" s="11"/>
      <c r="X484" s="11"/>
      <c r="Y484" s="11"/>
      <c r="Z484" s="11"/>
      <c r="AA484" s="11"/>
      <c r="AB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95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95"/>
      <c r="W485" s="11"/>
      <c r="X485" s="11"/>
      <c r="Y485" s="11"/>
      <c r="Z485" s="11"/>
      <c r="AA485" s="11"/>
      <c r="AB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95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95"/>
      <c r="W486" s="11"/>
      <c r="X486" s="11"/>
      <c r="Y486" s="11"/>
      <c r="Z486" s="11"/>
      <c r="AA486" s="11"/>
      <c r="AB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95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95"/>
      <c r="W487" s="11"/>
      <c r="X487" s="11"/>
      <c r="Y487" s="11"/>
      <c r="Z487" s="11"/>
      <c r="AA487" s="11"/>
      <c r="AB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95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95"/>
      <c r="W488" s="11"/>
      <c r="X488" s="11"/>
      <c r="Y488" s="11"/>
      <c r="Z488" s="11"/>
      <c r="AA488" s="11"/>
      <c r="AB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95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95"/>
      <c r="W489" s="11"/>
      <c r="X489" s="11"/>
      <c r="Y489" s="11"/>
      <c r="Z489" s="11"/>
      <c r="AA489" s="11"/>
      <c r="AB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95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95"/>
      <c r="W490" s="11"/>
      <c r="X490" s="11"/>
      <c r="Y490" s="11"/>
      <c r="Z490" s="11"/>
      <c r="AA490" s="11"/>
      <c r="AB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95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95"/>
      <c r="W491" s="11"/>
      <c r="X491" s="11"/>
      <c r="Y491" s="11"/>
      <c r="Z491" s="11"/>
      <c r="AA491" s="11"/>
      <c r="AB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95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95"/>
      <c r="W492" s="11"/>
      <c r="X492" s="11"/>
      <c r="Y492" s="11"/>
      <c r="Z492" s="11"/>
      <c r="AA492" s="11"/>
      <c r="AB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95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95"/>
      <c r="W493" s="11"/>
      <c r="X493" s="11"/>
      <c r="Y493" s="11"/>
      <c r="Z493" s="11"/>
      <c r="AA493" s="11"/>
      <c r="AB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95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95"/>
      <c r="W494" s="11"/>
      <c r="X494" s="11"/>
      <c r="Y494" s="11"/>
      <c r="Z494" s="11"/>
      <c r="AA494" s="11"/>
      <c r="AB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95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95"/>
      <c r="W495" s="11"/>
      <c r="X495" s="11"/>
      <c r="Y495" s="11"/>
      <c r="Z495" s="11"/>
      <c r="AA495" s="11"/>
      <c r="AB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95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95"/>
      <c r="W496" s="11"/>
      <c r="X496" s="11"/>
      <c r="Y496" s="11"/>
      <c r="Z496" s="11"/>
      <c r="AA496" s="11"/>
      <c r="AB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95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95"/>
      <c r="W497" s="11"/>
      <c r="X497" s="11"/>
      <c r="Y497" s="11"/>
      <c r="Z497" s="11"/>
      <c r="AA497" s="11"/>
      <c r="AB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95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95"/>
      <c r="W498" s="11"/>
      <c r="X498" s="11"/>
      <c r="Y498" s="11"/>
      <c r="Z498" s="11"/>
      <c r="AA498" s="11"/>
      <c r="AB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95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95"/>
      <c r="W499" s="11"/>
      <c r="X499" s="11"/>
      <c r="Y499" s="11"/>
      <c r="Z499" s="11"/>
      <c r="AA499" s="11"/>
      <c r="AB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95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95"/>
      <c r="W500" s="11"/>
      <c r="X500" s="11"/>
      <c r="Y500" s="11"/>
      <c r="Z500" s="11"/>
      <c r="AA500" s="11"/>
      <c r="AB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95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95"/>
      <c r="W501" s="11"/>
      <c r="X501" s="11"/>
      <c r="Y501" s="11"/>
      <c r="Z501" s="11"/>
      <c r="AA501" s="11"/>
      <c r="AB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95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95"/>
      <c r="W502" s="11"/>
      <c r="X502" s="11"/>
      <c r="Y502" s="11"/>
      <c r="Z502" s="11"/>
      <c r="AA502" s="11"/>
      <c r="AB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95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95"/>
      <c r="W503" s="11"/>
      <c r="X503" s="11"/>
      <c r="Y503" s="11"/>
      <c r="Z503" s="11"/>
      <c r="AA503" s="11"/>
      <c r="AB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95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95"/>
      <c r="W504" s="11"/>
      <c r="X504" s="11"/>
      <c r="Y504" s="11"/>
      <c r="Z504" s="11"/>
      <c r="AA504" s="11"/>
      <c r="AB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95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95"/>
      <c r="W505" s="11"/>
      <c r="X505" s="11"/>
      <c r="Y505" s="11"/>
      <c r="Z505" s="11"/>
      <c r="AA505" s="11"/>
      <c r="AB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95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95"/>
      <c r="W506" s="11"/>
      <c r="X506" s="11"/>
      <c r="Y506" s="11"/>
      <c r="Z506" s="11"/>
      <c r="AA506" s="11"/>
      <c r="AB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95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95"/>
      <c r="W507" s="11"/>
      <c r="X507" s="11"/>
      <c r="Y507" s="11"/>
      <c r="Z507" s="11"/>
      <c r="AA507" s="11"/>
      <c r="AB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95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95"/>
      <c r="W508" s="11"/>
      <c r="X508" s="11"/>
      <c r="Y508" s="11"/>
      <c r="Z508" s="11"/>
      <c r="AA508" s="11"/>
      <c r="AB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95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95"/>
      <c r="W509" s="11"/>
      <c r="X509" s="11"/>
      <c r="Y509" s="11"/>
      <c r="Z509" s="11"/>
      <c r="AA509" s="11"/>
      <c r="AB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95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95"/>
      <c r="W510" s="11"/>
      <c r="X510" s="11"/>
      <c r="Y510" s="11"/>
      <c r="Z510" s="11"/>
      <c r="AA510" s="11"/>
      <c r="AB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95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95"/>
      <c r="W511" s="11"/>
      <c r="X511" s="11"/>
      <c r="Y511" s="11"/>
      <c r="Z511" s="11"/>
      <c r="AA511" s="11"/>
      <c r="AB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95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95"/>
      <c r="W512" s="11"/>
      <c r="X512" s="11"/>
      <c r="Y512" s="11"/>
      <c r="Z512" s="11"/>
      <c r="AA512" s="11"/>
      <c r="AB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95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95"/>
      <c r="W513" s="11"/>
      <c r="X513" s="11"/>
      <c r="Y513" s="11"/>
      <c r="Z513" s="11"/>
      <c r="AA513" s="11"/>
      <c r="AB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95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95"/>
      <c r="W514" s="11"/>
      <c r="X514" s="11"/>
      <c r="Y514" s="11"/>
      <c r="Z514" s="11"/>
      <c r="AA514" s="11"/>
      <c r="AB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95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95"/>
      <c r="W515" s="11"/>
      <c r="X515" s="11"/>
      <c r="Y515" s="11"/>
      <c r="Z515" s="11"/>
      <c r="AA515" s="11"/>
      <c r="AB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95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95"/>
      <c r="W516" s="11"/>
      <c r="X516" s="11"/>
      <c r="Y516" s="11"/>
      <c r="Z516" s="11"/>
      <c r="AA516" s="11"/>
      <c r="AB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95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95"/>
      <c r="W517" s="11"/>
      <c r="X517" s="11"/>
      <c r="Y517" s="11"/>
      <c r="Z517" s="11"/>
      <c r="AA517" s="11"/>
      <c r="AB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95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95"/>
      <c r="W518" s="11"/>
      <c r="X518" s="11"/>
      <c r="Y518" s="11"/>
      <c r="Z518" s="11"/>
      <c r="AA518" s="11"/>
      <c r="AB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95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95"/>
      <c r="W519" s="11"/>
      <c r="X519" s="11"/>
      <c r="Y519" s="11"/>
      <c r="Z519" s="11"/>
      <c r="AA519" s="11"/>
      <c r="AB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95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95"/>
      <c r="W520" s="11"/>
      <c r="X520" s="11"/>
      <c r="Y520" s="11"/>
      <c r="Z520" s="11"/>
      <c r="AA520" s="11"/>
      <c r="AB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95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95"/>
      <c r="W521" s="11"/>
      <c r="X521" s="11"/>
      <c r="Y521" s="11"/>
      <c r="Z521" s="11"/>
      <c r="AA521" s="11"/>
      <c r="AB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95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95"/>
      <c r="W522" s="11"/>
      <c r="X522" s="11"/>
      <c r="Y522" s="11"/>
      <c r="Z522" s="11"/>
      <c r="AA522" s="11"/>
      <c r="AB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95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95"/>
      <c r="W523" s="11"/>
      <c r="X523" s="11"/>
      <c r="Y523" s="11"/>
      <c r="Z523" s="11"/>
      <c r="AA523" s="11"/>
      <c r="AB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95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95"/>
      <c r="W524" s="11"/>
      <c r="X524" s="11"/>
      <c r="Y524" s="11"/>
      <c r="Z524" s="11"/>
      <c r="AA524" s="11"/>
      <c r="AB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95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95"/>
      <c r="W525" s="11"/>
      <c r="X525" s="11"/>
      <c r="Y525" s="11"/>
      <c r="Z525" s="11"/>
      <c r="AA525" s="11"/>
      <c r="AB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95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95"/>
      <c r="W526" s="11"/>
      <c r="X526" s="11"/>
      <c r="Y526" s="11"/>
      <c r="Z526" s="11"/>
      <c r="AA526" s="11"/>
      <c r="AB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95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95"/>
      <c r="W527" s="11"/>
      <c r="X527" s="11"/>
      <c r="Y527" s="11"/>
      <c r="Z527" s="11"/>
      <c r="AA527" s="11"/>
      <c r="AB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95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95"/>
      <c r="W528" s="11"/>
      <c r="X528" s="11"/>
      <c r="Y528" s="11"/>
      <c r="Z528" s="11"/>
      <c r="AA528" s="11"/>
      <c r="AB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95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95"/>
      <c r="W529" s="11"/>
      <c r="X529" s="11"/>
      <c r="Y529" s="11"/>
      <c r="Z529" s="11"/>
      <c r="AA529" s="11"/>
      <c r="AB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95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95"/>
      <c r="W530" s="11"/>
      <c r="X530" s="11"/>
      <c r="Y530" s="11"/>
      <c r="Z530" s="11"/>
      <c r="AA530" s="11"/>
      <c r="AB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95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95"/>
      <c r="W531" s="11"/>
      <c r="X531" s="11"/>
      <c r="Y531" s="11"/>
      <c r="Z531" s="11"/>
      <c r="AA531" s="11"/>
      <c r="AB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95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95"/>
      <c r="W532" s="11"/>
      <c r="X532" s="11"/>
      <c r="Y532" s="11"/>
      <c r="Z532" s="11"/>
      <c r="AA532" s="11"/>
      <c r="AB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95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95"/>
      <c r="W533" s="11"/>
      <c r="X533" s="11"/>
      <c r="Y533" s="11"/>
      <c r="Z533" s="11"/>
      <c r="AA533" s="11"/>
      <c r="AB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95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95"/>
      <c r="W534" s="11"/>
      <c r="X534" s="11"/>
      <c r="Y534" s="11"/>
      <c r="Z534" s="11"/>
      <c r="AA534" s="11"/>
      <c r="AB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95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95"/>
      <c r="W535" s="11"/>
      <c r="X535" s="11"/>
      <c r="Y535" s="11"/>
      <c r="Z535" s="11"/>
      <c r="AA535" s="11"/>
      <c r="AB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95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95"/>
      <c r="W536" s="11"/>
      <c r="X536" s="11"/>
      <c r="Y536" s="11"/>
      <c r="Z536" s="11"/>
      <c r="AA536" s="11"/>
      <c r="AB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95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95"/>
      <c r="W537" s="11"/>
      <c r="X537" s="11"/>
      <c r="Y537" s="11"/>
      <c r="Z537" s="11"/>
      <c r="AA537" s="11"/>
      <c r="AB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95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95"/>
      <c r="W538" s="11"/>
      <c r="X538" s="11"/>
      <c r="Y538" s="11"/>
      <c r="Z538" s="11"/>
      <c r="AA538" s="11"/>
      <c r="AB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95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95"/>
      <c r="W539" s="11"/>
      <c r="X539" s="11"/>
      <c r="Y539" s="11"/>
      <c r="Z539" s="11"/>
      <c r="AA539" s="11"/>
      <c r="AB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95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95"/>
      <c r="W540" s="11"/>
      <c r="X540" s="11"/>
      <c r="Y540" s="11"/>
      <c r="Z540" s="11"/>
      <c r="AA540" s="11"/>
      <c r="AB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95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95"/>
      <c r="W541" s="11"/>
      <c r="X541" s="11"/>
      <c r="Y541" s="11"/>
      <c r="Z541" s="11"/>
      <c r="AA541" s="11"/>
      <c r="AB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95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95"/>
      <c r="W542" s="11"/>
      <c r="X542" s="11"/>
      <c r="Y542" s="11"/>
      <c r="Z542" s="11"/>
      <c r="AA542" s="11"/>
      <c r="AB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95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95"/>
      <c r="W543" s="11"/>
      <c r="X543" s="11"/>
      <c r="Y543" s="11"/>
      <c r="Z543" s="11"/>
      <c r="AA543" s="11"/>
      <c r="AB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95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95"/>
      <c r="W544" s="11"/>
      <c r="X544" s="11"/>
      <c r="Y544" s="11"/>
      <c r="Z544" s="11"/>
      <c r="AA544" s="11"/>
      <c r="AB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95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95"/>
      <c r="W545" s="11"/>
      <c r="X545" s="11"/>
      <c r="Y545" s="11"/>
      <c r="Z545" s="11"/>
      <c r="AA545" s="11"/>
      <c r="AB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95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95"/>
      <c r="W546" s="11"/>
      <c r="X546" s="11"/>
      <c r="Y546" s="11"/>
      <c r="Z546" s="11"/>
      <c r="AA546" s="11"/>
      <c r="AB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95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95"/>
      <c r="W547" s="11"/>
      <c r="X547" s="11"/>
      <c r="Y547" s="11"/>
      <c r="Z547" s="11"/>
      <c r="AA547" s="11"/>
      <c r="AB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95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95"/>
      <c r="W548" s="11"/>
      <c r="X548" s="11"/>
      <c r="Y548" s="11"/>
      <c r="Z548" s="11"/>
      <c r="AA548" s="11"/>
      <c r="AB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95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95"/>
      <c r="W549" s="11"/>
      <c r="X549" s="11"/>
      <c r="Y549" s="11"/>
      <c r="Z549" s="11"/>
      <c r="AA549" s="11"/>
      <c r="AB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95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95"/>
      <c r="W550" s="11"/>
      <c r="X550" s="11"/>
      <c r="Y550" s="11"/>
      <c r="Z550" s="11"/>
      <c r="AA550" s="11"/>
      <c r="AB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95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95"/>
      <c r="W551" s="11"/>
      <c r="X551" s="11"/>
      <c r="Y551" s="11"/>
      <c r="Z551" s="11"/>
      <c r="AA551" s="11"/>
      <c r="AB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95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95"/>
      <c r="W552" s="11"/>
      <c r="X552" s="11"/>
      <c r="Y552" s="11"/>
      <c r="Z552" s="11"/>
      <c r="AA552" s="11"/>
      <c r="AB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95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95"/>
      <c r="W553" s="11"/>
      <c r="X553" s="11"/>
      <c r="Y553" s="11"/>
      <c r="Z553" s="11"/>
      <c r="AA553" s="11"/>
      <c r="AB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95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95"/>
      <c r="W554" s="11"/>
      <c r="X554" s="11"/>
      <c r="Y554" s="11"/>
      <c r="Z554" s="11"/>
      <c r="AA554" s="11"/>
      <c r="AB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95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95"/>
      <c r="W555" s="11"/>
      <c r="X555" s="11"/>
      <c r="Y555" s="11"/>
      <c r="Z555" s="11"/>
      <c r="AA555" s="11"/>
      <c r="AB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95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95"/>
      <c r="W556" s="11"/>
      <c r="X556" s="11"/>
      <c r="Y556" s="11"/>
      <c r="Z556" s="11"/>
      <c r="AA556" s="11"/>
      <c r="AB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95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95"/>
      <c r="W557" s="11"/>
      <c r="X557" s="11"/>
      <c r="Y557" s="11"/>
      <c r="Z557" s="11"/>
      <c r="AA557" s="11"/>
      <c r="AB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95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95"/>
      <c r="W558" s="11"/>
      <c r="X558" s="11"/>
      <c r="Y558" s="11"/>
      <c r="Z558" s="11"/>
      <c r="AA558" s="11"/>
      <c r="AB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95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95"/>
      <c r="W559" s="11"/>
      <c r="X559" s="11"/>
      <c r="Y559" s="11"/>
      <c r="Z559" s="11"/>
      <c r="AA559" s="11"/>
      <c r="AB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95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95"/>
      <c r="W560" s="11"/>
      <c r="X560" s="11"/>
      <c r="Y560" s="11"/>
      <c r="Z560" s="11"/>
      <c r="AA560" s="11"/>
      <c r="AB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95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95"/>
      <c r="W561" s="11"/>
      <c r="X561" s="11"/>
      <c r="Y561" s="11"/>
      <c r="Z561" s="11"/>
      <c r="AA561" s="11"/>
      <c r="AB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95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95"/>
      <c r="W562" s="11"/>
      <c r="X562" s="11"/>
      <c r="Y562" s="11"/>
      <c r="Z562" s="11"/>
      <c r="AA562" s="11"/>
      <c r="AB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95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95"/>
      <c r="W563" s="11"/>
      <c r="X563" s="11"/>
      <c r="Y563" s="11"/>
      <c r="Z563" s="11"/>
      <c r="AA563" s="11"/>
      <c r="AB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95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95"/>
      <c r="W564" s="11"/>
      <c r="X564" s="11"/>
      <c r="Y564" s="11"/>
      <c r="Z564" s="11"/>
      <c r="AA564" s="11"/>
      <c r="AB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95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95"/>
      <c r="W565" s="11"/>
      <c r="X565" s="11"/>
      <c r="Y565" s="11"/>
      <c r="Z565" s="11"/>
      <c r="AA565" s="11"/>
      <c r="AB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95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95"/>
      <c r="W566" s="11"/>
      <c r="X566" s="11"/>
      <c r="Y566" s="11"/>
      <c r="Z566" s="11"/>
      <c r="AA566" s="11"/>
      <c r="AB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95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95"/>
      <c r="W567" s="11"/>
      <c r="X567" s="11"/>
      <c r="Y567" s="11"/>
      <c r="Z567" s="11"/>
      <c r="AA567" s="11"/>
      <c r="AB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95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95"/>
      <c r="W568" s="11"/>
      <c r="X568" s="11"/>
      <c r="Y568" s="11"/>
      <c r="Z568" s="11"/>
      <c r="AA568" s="11"/>
      <c r="AB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95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95"/>
      <c r="W569" s="11"/>
      <c r="X569" s="11"/>
      <c r="Y569" s="11"/>
      <c r="Z569" s="11"/>
      <c r="AA569" s="11"/>
      <c r="AB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95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95"/>
      <c r="W570" s="11"/>
      <c r="X570" s="11"/>
      <c r="Y570" s="11"/>
      <c r="Z570" s="11"/>
      <c r="AA570" s="11"/>
      <c r="AB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95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95"/>
      <c r="W571" s="11"/>
      <c r="X571" s="11"/>
      <c r="Y571" s="11"/>
      <c r="Z571" s="11"/>
      <c r="AA571" s="11"/>
      <c r="AB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95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95"/>
      <c r="W572" s="11"/>
      <c r="X572" s="11"/>
      <c r="Y572" s="11"/>
      <c r="Z572" s="11"/>
      <c r="AA572" s="11"/>
      <c r="AB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95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95"/>
      <c r="W573" s="11"/>
      <c r="X573" s="11"/>
      <c r="Y573" s="11"/>
      <c r="Z573" s="11"/>
      <c r="AA573" s="11"/>
      <c r="AB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95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95"/>
      <c r="W574" s="11"/>
      <c r="X574" s="11"/>
      <c r="Y574" s="11"/>
      <c r="Z574" s="11"/>
      <c r="AA574" s="11"/>
      <c r="AB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95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95"/>
      <c r="W575" s="11"/>
      <c r="X575" s="11"/>
      <c r="Y575" s="11"/>
      <c r="Z575" s="11"/>
      <c r="AA575" s="11"/>
      <c r="AB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95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95"/>
      <c r="W576" s="11"/>
      <c r="X576" s="11"/>
      <c r="Y576" s="11"/>
      <c r="Z576" s="11"/>
      <c r="AA576" s="11"/>
      <c r="AB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95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95"/>
      <c r="W577" s="11"/>
      <c r="X577" s="11"/>
      <c r="Y577" s="11"/>
      <c r="Z577" s="11"/>
      <c r="AA577" s="11"/>
      <c r="AB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95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95"/>
      <c r="W578" s="11"/>
      <c r="X578" s="11"/>
      <c r="Y578" s="11"/>
      <c r="Z578" s="11"/>
      <c r="AA578" s="11"/>
      <c r="AB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95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95"/>
      <c r="W579" s="11"/>
      <c r="X579" s="11"/>
      <c r="Y579" s="11"/>
      <c r="Z579" s="11"/>
      <c r="AA579" s="11"/>
      <c r="AB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95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95"/>
      <c r="W580" s="11"/>
      <c r="X580" s="11"/>
      <c r="Y580" s="11"/>
      <c r="Z580" s="11"/>
      <c r="AA580" s="11"/>
      <c r="AB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95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95"/>
      <c r="W581" s="11"/>
      <c r="X581" s="11"/>
      <c r="Y581" s="11"/>
      <c r="Z581" s="11"/>
      <c r="AA581" s="11"/>
      <c r="AB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95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95"/>
      <c r="W582" s="11"/>
      <c r="X582" s="11"/>
      <c r="Y582" s="11"/>
      <c r="Z582" s="11"/>
      <c r="AA582" s="11"/>
      <c r="AB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95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95"/>
      <c r="W583" s="11"/>
      <c r="X583" s="11"/>
      <c r="Y583" s="11"/>
      <c r="Z583" s="11"/>
      <c r="AA583" s="11"/>
      <c r="AB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95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95"/>
      <c r="W584" s="11"/>
      <c r="X584" s="11"/>
      <c r="Y584" s="11"/>
      <c r="Z584" s="11"/>
      <c r="AA584" s="11"/>
      <c r="AB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95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95"/>
      <c r="W585" s="11"/>
      <c r="X585" s="11"/>
      <c r="Y585" s="11"/>
      <c r="Z585" s="11"/>
      <c r="AA585" s="11"/>
      <c r="AB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95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95"/>
      <c r="W586" s="11"/>
      <c r="X586" s="11"/>
      <c r="Y586" s="11"/>
      <c r="Z586" s="11"/>
      <c r="AA586" s="11"/>
      <c r="AB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95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95"/>
      <c r="W587" s="11"/>
      <c r="X587" s="11"/>
      <c r="Y587" s="11"/>
      <c r="Z587" s="11"/>
      <c r="AA587" s="11"/>
      <c r="AB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95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95"/>
      <c r="W588" s="11"/>
      <c r="X588" s="11"/>
      <c r="Y588" s="11"/>
      <c r="Z588" s="11"/>
      <c r="AA588" s="11"/>
      <c r="AB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95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95"/>
      <c r="W589" s="11"/>
      <c r="X589" s="11"/>
      <c r="Y589" s="11"/>
      <c r="Z589" s="11"/>
      <c r="AA589" s="11"/>
      <c r="AB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95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95"/>
      <c r="W590" s="11"/>
      <c r="X590" s="11"/>
      <c r="Y590" s="11"/>
      <c r="Z590" s="11"/>
      <c r="AA590" s="11"/>
      <c r="AB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95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95"/>
      <c r="W591" s="11"/>
      <c r="X591" s="11"/>
      <c r="Y591" s="11"/>
      <c r="Z591" s="11"/>
      <c r="AA591" s="11"/>
      <c r="AB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95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95"/>
      <c r="W592" s="11"/>
      <c r="X592" s="11"/>
      <c r="Y592" s="11"/>
      <c r="Z592" s="11"/>
      <c r="AA592" s="11"/>
      <c r="AB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95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95"/>
      <c r="W593" s="11"/>
      <c r="X593" s="11"/>
      <c r="Y593" s="11"/>
      <c r="Z593" s="11"/>
      <c r="AA593" s="11"/>
      <c r="AB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95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95"/>
      <c r="W594" s="11"/>
      <c r="X594" s="11"/>
      <c r="Y594" s="11"/>
      <c r="Z594" s="11"/>
      <c r="AA594" s="11"/>
      <c r="AB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95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95"/>
      <c r="W595" s="11"/>
      <c r="X595" s="11"/>
      <c r="Y595" s="11"/>
      <c r="Z595" s="11"/>
      <c r="AA595" s="11"/>
      <c r="AB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95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95"/>
      <c r="W596" s="11"/>
      <c r="X596" s="11"/>
      <c r="Y596" s="11"/>
      <c r="Z596" s="11"/>
      <c r="AA596" s="11"/>
      <c r="AB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95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95"/>
      <c r="W597" s="11"/>
      <c r="X597" s="11"/>
      <c r="Y597" s="11"/>
      <c r="Z597" s="11"/>
      <c r="AA597" s="11"/>
      <c r="AB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95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95"/>
      <c r="W598" s="11"/>
      <c r="X598" s="11"/>
      <c r="Y598" s="11"/>
      <c r="Z598" s="11"/>
      <c r="AA598" s="11"/>
      <c r="AB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95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95"/>
      <c r="W599" s="11"/>
      <c r="X599" s="11"/>
      <c r="Y599" s="11"/>
      <c r="Z599" s="11"/>
      <c r="AA599" s="11"/>
      <c r="AB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95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95"/>
      <c r="W600" s="11"/>
      <c r="X600" s="11"/>
      <c r="Y600" s="11"/>
      <c r="Z600" s="11"/>
      <c r="AA600" s="11"/>
      <c r="AB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95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95"/>
      <c r="W601" s="11"/>
      <c r="X601" s="11"/>
      <c r="Y601" s="11"/>
      <c r="Z601" s="11"/>
      <c r="AA601" s="11"/>
      <c r="AB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95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95"/>
      <c r="W602" s="11"/>
      <c r="X602" s="11"/>
      <c r="Y602" s="11"/>
      <c r="Z602" s="11"/>
      <c r="AA602" s="11"/>
      <c r="AB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95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95"/>
      <c r="W603" s="11"/>
      <c r="X603" s="11"/>
      <c r="Y603" s="11"/>
      <c r="Z603" s="11"/>
      <c r="AA603" s="11"/>
      <c r="AB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95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95"/>
      <c r="W604" s="11"/>
      <c r="X604" s="11"/>
      <c r="Y604" s="11"/>
      <c r="Z604" s="11"/>
      <c r="AA604" s="11"/>
      <c r="AB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95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95"/>
      <c r="W605" s="11"/>
      <c r="X605" s="11"/>
      <c r="Y605" s="11"/>
      <c r="Z605" s="11"/>
      <c r="AA605" s="11"/>
      <c r="AB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95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95"/>
      <c r="W606" s="11"/>
      <c r="X606" s="11"/>
      <c r="Y606" s="11"/>
      <c r="Z606" s="11"/>
      <c r="AA606" s="11"/>
      <c r="AB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95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95"/>
      <c r="W607" s="11"/>
      <c r="X607" s="11"/>
      <c r="Y607" s="11"/>
      <c r="Z607" s="11"/>
      <c r="AA607" s="11"/>
      <c r="AB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95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95"/>
      <c r="W608" s="11"/>
      <c r="X608" s="11"/>
      <c r="Y608" s="11"/>
      <c r="Z608" s="11"/>
      <c r="AA608" s="11"/>
      <c r="AB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95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95"/>
      <c r="W609" s="11"/>
      <c r="X609" s="11"/>
      <c r="Y609" s="11"/>
      <c r="Z609" s="11"/>
      <c r="AA609" s="11"/>
      <c r="AB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95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95"/>
      <c r="W610" s="11"/>
      <c r="X610" s="11"/>
      <c r="Y610" s="11"/>
      <c r="Z610" s="11"/>
      <c r="AA610" s="11"/>
      <c r="AB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95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95"/>
      <c r="W611" s="11"/>
      <c r="X611" s="11"/>
      <c r="Y611" s="11"/>
      <c r="Z611" s="11"/>
      <c r="AA611" s="11"/>
      <c r="AB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95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95"/>
      <c r="W612" s="11"/>
      <c r="X612" s="11"/>
      <c r="Y612" s="11"/>
      <c r="Z612" s="11"/>
      <c r="AA612" s="11"/>
      <c r="AB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95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95"/>
      <c r="W613" s="11"/>
      <c r="X613" s="11"/>
      <c r="Y613" s="11"/>
      <c r="Z613" s="11"/>
      <c r="AA613" s="11"/>
      <c r="AB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95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95"/>
      <c r="W614" s="11"/>
      <c r="X614" s="11"/>
      <c r="Y614" s="11"/>
      <c r="Z614" s="11"/>
      <c r="AA614" s="11"/>
      <c r="AB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95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95"/>
      <c r="W615" s="11"/>
      <c r="X615" s="11"/>
      <c r="Y615" s="11"/>
      <c r="Z615" s="11"/>
      <c r="AA615" s="11"/>
      <c r="AB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95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95"/>
      <c r="W616" s="11"/>
      <c r="X616" s="11"/>
      <c r="Y616" s="11"/>
      <c r="Z616" s="11"/>
      <c r="AA616" s="11"/>
      <c r="AB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95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95"/>
      <c r="W617" s="11"/>
      <c r="X617" s="11"/>
      <c r="Y617" s="11"/>
      <c r="Z617" s="11"/>
      <c r="AA617" s="11"/>
      <c r="AB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95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95"/>
      <c r="W618" s="11"/>
      <c r="X618" s="11"/>
      <c r="Y618" s="11"/>
      <c r="Z618" s="11"/>
      <c r="AA618" s="11"/>
      <c r="AB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95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95"/>
      <c r="W619" s="11"/>
      <c r="X619" s="11"/>
      <c r="Y619" s="11"/>
      <c r="Z619" s="11"/>
      <c r="AA619" s="11"/>
      <c r="AB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95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95"/>
      <c r="W620" s="11"/>
      <c r="X620" s="11"/>
      <c r="Y620" s="11"/>
      <c r="Z620" s="11"/>
      <c r="AA620" s="11"/>
      <c r="AB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95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95"/>
      <c r="W621" s="11"/>
      <c r="X621" s="11"/>
      <c r="Y621" s="11"/>
      <c r="Z621" s="11"/>
      <c r="AA621" s="11"/>
      <c r="AB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95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95"/>
      <c r="W622" s="11"/>
      <c r="X622" s="11"/>
      <c r="Y622" s="11"/>
      <c r="Z622" s="11"/>
      <c r="AA622" s="11"/>
      <c r="AB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95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95"/>
      <c r="W623" s="11"/>
      <c r="X623" s="11"/>
      <c r="Y623" s="11"/>
      <c r="Z623" s="11"/>
      <c r="AA623" s="11"/>
      <c r="AB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95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95"/>
      <c r="W624" s="11"/>
      <c r="X624" s="11"/>
      <c r="Y624" s="11"/>
      <c r="Z624" s="11"/>
      <c r="AA624" s="11"/>
      <c r="AB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95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95"/>
      <c r="W625" s="11"/>
      <c r="X625" s="11"/>
      <c r="Y625" s="11"/>
      <c r="Z625" s="11"/>
      <c r="AA625" s="11"/>
      <c r="AB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95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95"/>
      <c r="W626" s="11"/>
      <c r="X626" s="11"/>
      <c r="Y626" s="11"/>
      <c r="Z626" s="11"/>
      <c r="AA626" s="11"/>
      <c r="AB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95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95"/>
      <c r="W627" s="11"/>
      <c r="X627" s="11"/>
      <c r="Y627" s="11"/>
      <c r="Z627" s="11"/>
      <c r="AA627" s="11"/>
      <c r="AB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95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95"/>
      <c r="W628" s="11"/>
      <c r="X628" s="11"/>
      <c r="Y628" s="11"/>
      <c r="Z628" s="11"/>
      <c r="AA628" s="11"/>
      <c r="AB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95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95"/>
      <c r="W629" s="11"/>
      <c r="X629" s="11"/>
      <c r="Y629" s="11"/>
      <c r="Z629" s="11"/>
      <c r="AA629" s="11"/>
      <c r="AB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95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95"/>
      <c r="W630" s="11"/>
      <c r="X630" s="11"/>
      <c r="Y630" s="11"/>
      <c r="Z630" s="11"/>
      <c r="AA630" s="11"/>
      <c r="AB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95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95"/>
      <c r="W631" s="11"/>
      <c r="X631" s="11"/>
      <c r="Y631" s="11"/>
      <c r="Z631" s="11"/>
      <c r="AA631" s="11"/>
      <c r="AB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95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95"/>
      <c r="W632" s="11"/>
      <c r="X632" s="11"/>
      <c r="Y632" s="11"/>
      <c r="Z632" s="11"/>
      <c r="AA632" s="11"/>
      <c r="AB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95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95"/>
      <c r="W633" s="11"/>
      <c r="X633" s="11"/>
      <c r="Y633" s="11"/>
      <c r="Z633" s="11"/>
      <c r="AA633" s="11"/>
      <c r="AB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95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95"/>
      <c r="W634" s="11"/>
      <c r="X634" s="11"/>
      <c r="Y634" s="11"/>
      <c r="Z634" s="11"/>
      <c r="AA634" s="11"/>
      <c r="AB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95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95"/>
      <c r="W635" s="11"/>
      <c r="X635" s="11"/>
      <c r="Y635" s="11"/>
      <c r="Z635" s="11"/>
      <c r="AA635" s="11"/>
      <c r="AB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95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95"/>
      <c r="W636" s="11"/>
      <c r="X636" s="11"/>
      <c r="Y636" s="11"/>
      <c r="Z636" s="11"/>
      <c r="AA636" s="11"/>
      <c r="AB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95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95"/>
      <c r="W637" s="11"/>
      <c r="X637" s="11"/>
      <c r="Y637" s="11"/>
      <c r="Z637" s="11"/>
      <c r="AA637" s="11"/>
      <c r="AB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95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95"/>
      <c r="W638" s="11"/>
      <c r="X638" s="11"/>
      <c r="Y638" s="11"/>
      <c r="Z638" s="11"/>
      <c r="AA638" s="11"/>
      <c r="AB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95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95"/>
      <c r="W639" s="11"/>
      <c r="X639" s="11"/>
      <c r="Y639" s="11"/>
      <c r="Z639" s="11"/>
      <c r="AA639" s="11"/>
      <c r="AB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95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95"/>
      <c r="W640" s="11"/>
      <c r="X640" s="11"/>
      <c r="Y640" s="11"/>
      <c r="Z640" s="11"/>
      <c r="AA640" s="11"/>
      <c r="AB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95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95"/>
      <c r="W641" s="11"/>
      <c r="X641" s="11"/>
      <c r="Y641" s="11"/>
      <c r="Z641" s="11"/>
      <c r="AA641" s="11"/>
      <c r="AB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95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95"/>
      <c r="W642" s="11"/>
      <c r="X642" s="11"/>
      <c r="Y642" s="11"/>
      <c r="Z642" s="11"/>
      <c r="AA642" s="11"/>
      <c r="AB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95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95"/>
      <c r="W643" s="11"/>
      <c r="X643" s="11"/>
      <c r="Y643" s="11"/>
      <c r="Z643" s="11"/>
      <c r="AA643" s="11"/>
      <c r="AB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95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95"/>
      <c r="W644" s="11"/>
      <c r="X644" s="11"/>
      <c r="Y644" s="11"/>
      <c r="Z644" s="11"/>
      <c r="AA644" s="11"/>
      <c r="AB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95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95"/>
      <c r="W645" s="11"/>
      <c r="X645" s="11"/>
      <c r="Y645" s="11"/>
      <c r="Z645" s="11"/>
      <c r="AA645" s="11"/>
      <c r="AB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95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95"/>
      <c r="W646" s="11"/>
      <c r="X646" s="11"/>
      <c r="Y646" s="11"/>
      <c r="Z646" s="11"/>
      <c r="AA646" s="11"/>
      <c r="AB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95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95"/>
      <c r="W647" s="11"/>
      <c r="X647" s="11"/>
      <c r="Y647" s="11"/>
      <c r="Z647" s="11"/>
      <c r="AA647" s="11"/>
      <c r="AB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95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95"/>
      <c r="W648" s="11"/>
      <c r="X648" s="11"/>
      <c r="Y648" s="11"/>
      <c r="Z648" s="11"/>
      <c r="AA648" s="11"/>
      <c r="AB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95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95"/>
      <c r="W649" s="11"/>
      <c r="X649" s="11"/>
      <c r="Y649" s="11"/>
      <c r="Z649" s="11"/>
      <c r="AA649" s="11"/>
      <c r="AB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95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95"/>
      <c r="W650" s="11"/>
      <c r="X650" s="11"/>
      <c r="Y650" s="11"/>
      <c r="Z650" s="11"/>
      <c r="AA650" s="11"/>
      <c r="AB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95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95"/>
      <c r="W651" s="11"/>
      <c r="X651" s="11"/>
      <c r="Y651" s="11"/>
      <c r="Z651" s="11"/>
      <c r="AA651" s="11"/>
      <c r="AB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95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95"/>
      <c r="W652" s="11"/>
      <c r="X652" s="11"/>
      <c r="Y652" s="11"/>
      <c r="Z652" s="11"/>
      <c r="AA652" s="11"/>
      <c r="AB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95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95"/>
      <c r="W653" s="11"/>
      <c r="X653" s="11"/>
      <c r="Y653" s="11"/>
      <c r="Z653" s="11"/>
      <c r="AA653" s="11"/>
      <c r="AB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95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95"/>
      <c r="W654" s="11"/>
      <c r="X654" s="11"/>
      <c r="Y654" s="11"/>
      <c r="Z654" s="11"/>
      <c r="AA654" s="11"/>
      <c r="AB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95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95"/>
      <c r="W655" s="11"/>
      <c r="X655" s="11"/>
      <c r="Y655" s="11"/>
      <c r="Z655" s="11"/>
      <c r="AA655" s="11"/>
      <c r="AB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95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95"/>
      <c r="W656" s="11"/>
      <c r="X656" s="11"/>
      <c r="Y656" s="11"/>
      <c r="Z656" s="11"/>
      <c r="AA656" s="11"/>
      <c r="AB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95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95"/>
      <c r="W657" s="11"/>
      <c r="X657" s="11"/>
      <c r="Y657" s="11"/>
      <c r="Z657" s="11"/>
      <c r="AA657" s="11"/>
      <c r="AB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95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95"/>
      <c r="W658" s="11"/>
      <c r="X658" s="11"/>
      <c r="Y658" s="11"/>
      <c r="Z658" s="11"/>
      <c r="AA658" s="11"/>
      <c r="AB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95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95"/>
      <c r="W659" s="11"/>
      <c r="X659" s="11"/>
      <c r="Y659" s="11"/>
      <c r="Z659" s="11"/>
      <c r="AA659" s="11"/>
      <c r="AB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95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95"/>
      <c r="W660" s="11"/>
      <c r="X660" s="11"/>
      <c r="Y660" s="11"/>
      <c r="Z660" s="11"/>
      <c r="AA660" s="11"/>
      <c r="AB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95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95"/>
      <c r="W661" s="11"/>
      <c r="X661" s="11"/>
      <c r="Y661" s="11"/>
      <c r="Z661" s="11"/>
      <c r="AA661" s="11"/>
      <c r="AB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95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95"/>
      <c r="W662" s="11"/>
      <c r="X662" s="11"/>
      <c r="Y662" s="11"/>
      <c r="Z662" s="11"/>
      <c r="AA662" s="11"/>
      <c r="AB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95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95"/>
      <c r="W663" s="11"/>
      <c r="X663" s="11"/>
      <c r="Y663" s="11"/>
      <c r="Z663" s="11"/>
      <c r="AA663" s="11"/>
      <c r="AB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95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95"/>
      <c r="W664" s="11"/>
      <c r="X664" s="11"/>
      <c r="Y664" s="11"/>
      <c r="Z664" s="11"/>
      <c r="AA664" s="11"/>
      <c r="AB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95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95"/>
      <c r="W665" s="11"/>
      <c r="X665" s="11"/>
      <c r="Y665" s="11"/>
      <c r="Z665" s="11"/>
      <c r="AA665" s="11"/>
      <c r="AB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95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95"/>
      <c r="W666" s="11"/>
      <c r="X666" s="11"/>
      <c r="Y666" s="11"/>
      <c r="Z666" s="11"/>
      <c r="AA666" s="11"/>
      <c r="AB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95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95"/>
      <c r="W667" s="11"/>
      <c r="X667" s="11"/>
      <c r="Y667" s="11"/>
      <c r="Z667" s="11"/>
      <c r="AA667" s="11"/>
      <c r="AB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95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95"/>
      <c r="W668" s="11"/>
      <c r="X668" s="11"/>
      <c r="Y668" s="11"/>
      <c r="Z668" s="11"/>
      <c r="AA668" s="11"/>
      <c r="AB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95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95"/>
      <c r="W669" s="11"/>
      <c r="X669" s="11"/>
      <c r="Y669" s="11"/>
      <c r="Z669" s="11"/>
      <c r="AA669" s="11"/>
      <c r="AB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95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95"/>
      <c r="W670" s="11"/>
      <c r="X670" s="11"/>
      <c r="Y670" s="11"/>
      <c r="Z670" s="11"/>
      <c r="AA670" s="11"/>
      <c r="AB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95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95"/>
      <c r="W671" s="11"/>
      <c r="X671" s="11"/>
      <c r="Y671" s="11"/>
      <c r="Z671" s="11"/>
      <c r="AA671" s="11"/>
      <c r="AB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95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95"/>
      <c r="W672" s="11"/>
      <c r="X672" s="11"/>
      <c r="Y672" s="11"/>
      <c r="Z672" s="11"/>
      <c r="AA672" s="11"/>
      <c r="AB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95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95"/>
      <c r="W673" s="11"/>
      <c r="X673" s="11"/>
      <c r="Y673" s="11"/>
      <c r="Z673" s="11"/>
      <c r="AA673" s="11"/>
      <c r="AB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95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95"/>
      <c r="W674" s="11"/>
      <c r="X674" s="11"/>
      <c r="Y674" s="11"/>
      <c r="Z674" s="11"/>
      <c r="AA674" s="11"/>
      <c r="AB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95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95"/>
      <c r="W675" s="11"/>
      <c r="X675" s="11"/>
      <c r="Y675" s="11"/>
      <c r="Z675" s="11"/>
      <c r="AA675" s="11"/>
      <c r="AB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95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95"/>
      <c r="W676" s="11"/>
      <c r="X676" s="11"/>
      <c r="Y676" s="11"/>
      <c r="Z676" s="11"/>
      <c r="AA676" s="11"/>
      <c r="AB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95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95"/>
      <c r="W677" s="11"/>
      <c r="X677" s="11"/>
      <c r="Y677" s="11"/>
      <c r="Z677" s="11"/>
      <c r="AA677" s="11"/>
      <c r="AB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95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95"/>
      <c r="W678" s="11"/>
      <c r="X678" s="11"/>
      <c r="Y678" s="11"/>
      <c r="Z678" s="11"/>
      <c r="AA678" s="11"/>
      <c r="AB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95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95"/>
      <c r="W679" s="11"/>
      <c r="X679" s="11"/>
      <c r="Y679" s="11"/>
      <c r="Z679" s="11"/>
      <c r="AA679" s="11"/>
      <c r="AB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95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95"/>
      <c r="W680" s="11"/>
      <c r="X680" s="11"/>
      <c r="Y680" s="11"/>
      <c r="Z680" s="11"/>
      <c r="AA680" s="11"/>
      <c r="AB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95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95"/>
      <c r="W681" s="11"/>
      <c r="X681" s="11"/>
      <c r="Y681" s="11"/>
      <c r="Z681" s="11"/>
      <c r="AA681" s="11"/>
      <c r="AB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95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95"/>
      <c r="W682" s="11"/>
      <c r="X682" s="11"/>
      <c r="Y682" s="11"/>
      <c r="Z682" s="11"/>
      <c r="AA682" s="11"/>
      <c r="AB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95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95"/>
      <c r="W683" s="11"/>
      <c r="X683" s="11"/>
      <c r="Y683" s="11"/>
      <c r="Z683" s="11"/>
      <c r="AA683" s="11"/>
      <c r="AB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95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95"/>
      <c r="W684" s="11"/>
      <c r="X684" s="11"/>
      <c r="Y684" s="11"/>
      <c r="Z684" s="11"/>
      <c r="AA684" s="11"/>
      <c r="AB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95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95"/>
      <c r="W685" s="11"/>
      <c r="X685" s="11"/>
      <c r="Y685" s="11"/>
      <c r="Z685" s="11"/>
      <c r="AA685" s="11"/>
      <c r="AB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95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95"/>
      <c r="W686" s="11"/>
      <c r="X686" s="11"/>
      <c r="Y686" s="11"/>
      <c r="Z686" s="11"/>
      <c r="AA686" s="11"/>
      <c r="AB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95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95"/>
      <c r="W687" s="11"/>
      <c r="X687" s="11"/>
      <c r="Y687" s="11"/>
      <c r="Z687" s="11"/>
      <c r="AA687" s="11"/>
      <c r="AB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95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95"/>
      <c r="W688" s="11"/>
      <c r="X688" s="11"/>
      <c r="Y688" s="11"/>
      <c r="Z688" s="11"/>
      <c r="AA688" s="11"/>
      <c r="AB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95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95"/>
      <c r="W689" s="11"/>
      <c r="X689" s="11"/>
      <c r="Y689" s="11"/>
      <c r="Z689" s="11"/>
      <c r="AA689" s="11"/>
      <c r="AB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95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95"/>
      <c r="W690" s="11"/>
      <c r="X690" s="11"/>
      <c r="Y690" s="11"/>
      <c r="Z690" s="11"/>
      <c r="AA690" s="11"/>
      <c r="AB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95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95"/>
      <c r="W691" s="11"/>
      <c r="X691" s="11"/>
      <c r="Y691" s="11"/>
      <c r="Z691" s="11"/>
      <c r="AA691" s="11"/>
      <c r="AB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95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95"/>
      <c r="W692" s="11"/>
      <c r="X692" s="11"/>
      <c r="Y692" s="11"/>
      <c r="Z692" s="11"/>
      <c r="AA692" s="11"/>
      <c r="AB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95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95"/>
      <c r="W693" s="11"/>
      <c r="X693" s="11"/>
      <c r="Y693" s="11"/>
      <c r="Z693" s="11"/>
      <c r="AA693" s="11"/>
      <c r="AB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95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95"/>
      <c r="W694" s="11"/>
      <c r="X694" s="11"/>
      <c r="Y694" s="11"/>
      <c r="Z694" s="11"/>
      <c r="AA694" s="11"/>
      <c r="AB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95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95"/>
      <c r="W695" s="11"/>
      <c r="X695" s="11"/>
      <c r="Y695" s="11"/>
      <c r="Z695" s="11"/>
      <c r="AA695" s="11"/>
      <c r="AB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95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95"/>
      <c r="W696" s="11"/>
      <c r="X696" s="11"/>
      <c r="Y696" s="11"/>
      <c r="Z696" s="11"/>
      <c r="AA696" s="11"/>
      <c r="AB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95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95"/>
      <c r="W697" s="11"/>
      <c r="X697" s="11"/>
      <c r="Y697" s="11"/>
      <c r="Z697" s="11"/>
      <c r="AA697" s="11"/>
      <c r="AB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95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95"/>
      <c r="W698" s="11"/>
      <c r="X698" s="11"/>
      <c r="Y698" s="11"/>
      <c r="Z698" s="11"/>
      <c r="AA698" s="11"/>
      <c r="AB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95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95"/>
      <c r="W699" s="11"/>
      <c r="X699" s="11"/>
      <c r="Y699" s="11"/>
      <c r="Z699" s="11"/>
      <c r="AA699" s="11"/>
      <c r="AB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95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95"/>
      <c r="W700" s="11"/>
      <c r="X700" s="11"/>
      <c r="Y700" s="11"/>
      <c r="Z700" s="11"/>
      <c r="AA700" s="11"/>
      <c r="AB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95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95"/>
      <c r="W701" s="11"/>
      <c r="X701" s="11"/>
      <c r="Y701" s="11"/>
      <c r="Z701" s="11"/>
      <c r="AA701" s="11"/>
      <c r="AB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95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95"/>
      <c r="W702" s="11"/>
      <c r="X702" s="11"/>
      <c r="Y702" s="11"/>
      <c r="Z702" s="11"/>
      <c r="AA702" s="11"/>
      <c r="AB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95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95"/>
      <c r="W703" s="11"/>
      <c r="X703" s="11"/>
      <c r="Y703" s="11"/>
      <c r="Z703" s="11"/>
      <c r="AA703" s="11"/>
      <c r="AB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95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95"/>
      <c r="W704" s="11"/>
      <c r="X704" s="11"/>
      <c r="Y704" s="11"/>
      <c r="Z704" s="11"/>
      <c r="AA704" s="11"/>
      <c r="AB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95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95"/>
      <c r="W705" s="11"/>
      <c r="X705" s="11"/>
      <c r="Y705" s="11"/>
      <c r="Z705" s="11"/>
      <c r="AA705" s="11"/>
      <c r="AB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95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95"/>
      <c r="W706" s="11"/>
      <c r="X706" s="11"/>
      <c r="Y706" s="11"/>
      <c r="Z706" s="11"/>
      <c r="AA706" s="11"/>
      <c r="AB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95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95"/>
      <c r="W707" s="11"/>
      <c r="X707" s="11"/>
      <c r="Y707" s="11"/>
      <c r="Z707" s="11"/>
      <c r="AA707" s="11"/>
      <c r="AB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95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95"/>
      <c r="W708" s="11"/>
      <c r="X708" s="11"/>
      <c r="Y708" s="11"/>
      <c r="Z708" s="11"/>
      <c r="AA708" s="11"/>
      <c r="AB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95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95"/>
      <c r="W709" s="11"/>
      <c r="X709" s="11"/>
      <c r="Y709" s="11"/>
      <c r="Z709" s="11"/>
      <c r="AA709" s="11"/>
      <c r="AB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95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95"/>
      <c r="W710" s="11"/>
      <c r="X710" s="11"/>
      <c r="Y710" s="11"/>
      <c r="Z710" s="11"/>
      <c r="AA710" s="11"/>
      <c r="AB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95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95"/>
      <c r="W711" s="11"/>
      <c r="X711" s="11"/>
      <c r="Y711" s="11"/>
      <c r="Z711" s="11"/>
      <c r="AA711" s="11"/>
      <c r="AB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95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95"/>
      <c r="W712" s="11"/>
      <c r="X712" s="11"/>
      <c r="Y712" s="11"/>
      <c r="Z712" s="11"/>
      <c r="AA712" s="11"/>
      <c r="AB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95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95"/>
      <c r="W713" s="11"/>
      <c r="X713" s="11"/>
      <c r="Y713" s="11"/>
      <c r="Z713" s="11"/>
      <c r="AA713" s="11"/>
      <c r="AB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95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95"/>
      <c r="W714" s="11"/>
      <c r="X714" s="11"/>
      <c r="Y714" s="11"/>
      <c r="Z714" s="11"/>
      <c r="AA714" s="11"/>
      <c r="AB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95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95"/>
      <c r="W715" s="11"/>
      <c r="X715" s="11"/>
      <c r="Y715" s="11"/>
      <c r="Z715" s="11"/>
      <c r="AA715" s="11"/>
      <c r="AB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95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95"/>
      <c r="W716" s="11"/>
      <c r="X716" s="11"/>
      <c r="Y716" s="11"/>
      <c r="Z716" s="11"/>
      <c r="AA716" s="11"/>
      <c r="AB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95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95"/>
      <c r="W717" s="11"/>
      <c r="X717" s="11"/>
      <c r="Y717" s="11"/>
      <c r="Z717" s="11"/>
      <c r="AA717" s="11"/>
      <c r="AB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95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95"/>
      <c r="W718" s="11"/>
      <c r="X718" s="11"/>
      <c r="Y718" s="11"/>
      <c r="Z718" s="11"/>
      <c r="AA718" s="11"/>
      <c r="AB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95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95"/>
      <c r="W719" s="11"/>
      <c r="X719" s="11"/>
      <c r="Y719" s="11"/>
      <c r="Z719" s="11"/>
      <c r="AA719" s="11"/>
      <c r="AB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95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95"/>
      <c r="W720" s="11"/>
      <c r="X720" s="11"/>
      <c r="Y720" s="11"/>
      <c r="Z720" s="11"/>
      <c r="AA720" s="11"/>
      <c r="AB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95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95"/>
      <c r="W721" s="11"/>
      <c r="X721" s="11"/>
      <c r="Y721" s="11"/>
      <c r="Z721" s="11"/>
      <c r="AA721" s="11"/>
      <c r="AB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95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95"/>
      <c r="W722" s="11"/>
      <c r="X722" s="11"/>
      <c r="Y722" s="11"/>
      <c r="Z722" s="11"/>
      <c r="AA722" s="11"/>
      <c r="AB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95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95"/>
      <c r="W723" s="11"/>
      <c r="X723" s="11"/>
      <c r="Y723" s="11"/>
      <c r="Z723" s="11"/>
      <c r="AA723" s="11"/>
      <c r="AB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95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95"/>
      <c r="W724" s="11"/>
      <c r="X724" s="11"/>
      <c r="Y724" s="11"/>
      <c r="Z724" s="11"/>
      <c r="AA724" s="11"/>
      <c r="AB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95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95"/>
      <c r="W725" s="11"/>
      <c r="X725" s="11"/>
      <c r="Y725" s="11"/>
      <c r="Z725" s="11"/>
      <c r="AA725" s="11"/>
      <c r="AB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95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95"/>
      <c r="W726" s="11"/>
      <c r="X726" s="11"/>
      <c r="Y726" s="11"/>
      <c r="Z726" s="11"/>
      <c r="AA726" s="11"/>
      <c r="AB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95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95"/>
      <c r="W727" s="11"/>
      <c r="X727" s="11"/>
      <c r="Y727" s="11"/>
      <c r="Z727" s="11"/>
      <c r="AA727" s="11"/>
      <c r="AB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95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95"/>
      <c r="W728" s="11"/>
      <c r="X728" s="11"/>
      <c r="Y728" s="11"/>
      <c r="Z728" s="11"/>
      <c r="AA728" s="11"/>
      <c r="AB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95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95"/>
      <c r="W729" s="11"/>
      <c r="X729" s="11"/>
      <c r="Y729" s="11"/>
      <c r="Z729" s="11"/>
      <c r="AA729" s="11"/>
      <c r="AB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95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95"/>
      <c r="W730" s="11"/>
      <c r="X730" s="11"/>
      <c r="Y730" s="11"/>
      <c r="Z730" s="11"/>
      <c r="AA730" s="11"/>
      <c r="AB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95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95"/>
      <c r="W731" s="11"/>
      <c r="X731" s="11"/>
      <c r="Y731" s="11"/>
      <c r="Z731" s="11"/>
      <c r="AA731" s="11"/>
      <c r="AB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95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95"/>
      <c r="W732" s="11"/>
      <c r="X732" s="11"/>
      <c r="Y732" s="11"/>
      <c r="Z732" s="11"/>
      <c r="AA732" s="11"/>
      <c r="AB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95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95"/>
      <c r="W733" s="11"/>
      <c r="X733" s="11"/>
      <c r="Y733" s="11"/>
      <c r="Z733" s="11"/>
      <c r="AA733" s="11"/>
      <c r="AB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95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95"/>
      <c r="W734" s="11"/>
      <c r="X734" s="11"/>
      <c r="Y734" s="11"/>
      <c r="Z734" s="11"/>
      <c r="AA734" s="11"/>
      <c r="AB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95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95"/>
      <c r="W735" s="11"/>
      <c r="X735" s="11"/>
      <c r="Y735" s="11"/>
      <c r="Z735" s="11"/>
      <c r="AA735" s="11"/>
      <c r="AB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95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95"/>
      <c r="W736" s="11"/>
      <c r="X736" s="11"/>
      <c r="Y736" s="11"/>
      <c r="Z736" s="11"/>
      <c r="AA736" s="11"/>
      <c r="AB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95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95"/>
      <c r="W737" s="11"/>
      <c r="X737" s="11"/>
      <c r="Y737" s="11"/>
      <c r="Z737" s="11"/>
      <c r="AA737" s="11"/>
      <c r="AB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95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95"/>
      <c r="W738" s="11"/>
      <c r="X738" s="11"/>
      <c r="Y738" s="11"/>
      <c r="Z738" s="11"/>
      <c r="AA738" s="11"/>
      <c r="AB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95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95"/>
      <c r="W739" s="11"/>
      <c r="X739" s="11"/>
      <c r="Y739" s="11"/>
      <c r="Z739" s="11"/>
      <c r="AA739" s="11"/>
      <c r="AB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95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95"/>
      <c r="W740" s="11"/>
      <c r="X740" s="11"/>
      <c r="Y740" s="11"/>
      <c r="Z740" s="11"/>
      <c r="AA740" s="11"/>
      <c r="AB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95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95"/>
      <c r="W741" s="11"/>
      <c r="X741" s="11"/>
      <c r="Y741" s="11"/>
      <c r="Z741" s="11"/>
      <c r="AA741" s="11"/>
      <c r="AB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95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95"/>
      <c r="W742" s="11"/>
      <c r="X742" s="11"/>
      <c r="Y742" s="11"/>
      <c r="Z742" s="11"/>
      <c r="AA742" s="11"/>
      <c r="AB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95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95"/>
      <c r="W743" s="11"/>
      <c r="X743" s="11"/>
      <c r="Y743" s="11"/>
      <c r="Z743" s="11"/>
      <c r="AA743" s="11"/>
      <c r="AB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95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95"/>
      <c r="W744" s="11"/>
      <c r="X744" s="11"/>
      <c r="Y744" s="11"/>
      <c r="Z744" s="11"/>
      <c r="AA744" s="11"/>
      <c r="AB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95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95"/>
      <c r="W745" s="11"/>
      <c r="X745" s="11"/>
      <c r="Y745" s="11"/>
      <c r="Z745" s="11"/>
      <c r="AA745" s="11"/>
      <c r="AB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95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95"/>
      <c r="W746" s="11"/>
      <c r="X746" s="11"/>
      <c r="Y746" s="11"/>
      <c r="Z746" s="11"/>
      <c r="AA746" s="11"/>
      <c r="AB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95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95"/>
      <c r="W747" s="11"/>
      <c r="X747" s="11"/>
      <c r="Y747" s="11"/>
      <c r="Z747" s="11"/>
      <c r="AA747" s="11"/>
      <c r="AB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95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95"/>
      <c r="W748" s="11"/>
      <c r="X748" s="11"/>
      <c r="Y748" s="11"/>
      <c r="Z748" s="11"/>
      <c r="AA748" s="11"/>
      <c r="AB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95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95"/>
      <c r="W749" s="11"/>
      <c r="X749" s="11"/>
      <c r="Y749" s="11"/>
      <c r="Z749" s="11"/>
      <c r="AA749" s="11"/>
      <c r="AB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95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95"/>
      <c r="W750" s="11"/>
      <c r="X750" s="11"/>
      <c r="Y750" s="11"/>
      <c r="Z750" s="11"/>
      <c r="AA750" s="11"/>
      <c r="AB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95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95"/>
      <c r="W751" s="11"/>
      <c r="X751" s="11"/>
      <c r="Y751" s="11"/>
      <c r="Z751" s="11"/>
      <c r="AA751" s="11"/>
      <c r="AB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95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95"/>
      <c r="W752" s="11"/>
      <c r="X752" s="11"/>
      <c r="Y752" s="11"/>
      <c r="Z752" s="11"/>
      <c r="AA752" s="11"/>
      <c r="AB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95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95"/>
      <c r="W753" s="11"/>
      <c r="X753" s="11"/>
      <c r="Y753" s="11"/>
      <c r="Z753" s="11"/>
      <c r="AA753" s="11"/>
      <c r="AB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95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95"/>
      <c r="W754" s="11"/>
      <c r="X754" s="11"/>
      <c r="Y754" s="11"/>
      <c r="Z754" s="11"/>
      <c r="AA754" s="11"/>
      <c r="AB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95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95"/>
      <c r="W755" s="11"/>
      <c r="X755" s="11"/>
      <c r="Y755" s="11"/>
      <c r="Z755" s="11"/>
      <c r="AA755" s="11"/>
      <c r="AB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95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95"/>
      <c r="W756" s="11"/>
      <c r="X756" s="11"/>
      <c r="Y756" s="11"/>
      <c r="Z756" s="11"/>
      <c r="AA756" s="11"/>
      <c r="AB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95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95"/>
      <c r="W757" s="11"/>
      <c r="X757" s="11"/>
      <c r="Y757" s="11"/>
      <c r="Z757" s="11"/>
      <c r="AA757" s="11"/>
      <c r="AB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95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95"/>
      <c r="W758" s="11"/>
      <c r="X758" s="11"/>
      <c r="Y758" s="11"/>
      <c r="Z758" s="11"/>
      <c r="AA758" s="11"/>
      <c r="AB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95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95"/>
      <c r="W759" s="11"/>
      <c r="X759" s="11"/>
      <c r="Y759" s="11"/>
      <c r="Z759" s="11"/>
      <c r="AA759" s="11"/>
      <c r="AB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95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95"/>
      <c r="W760" s="11"/>
      <c r="X760" s="11"/>
      <c r="Y760" s="11"/>
      <c r="Z760" s="11"/>
      <c r="AA760" s="11"/>
      <c r="AB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95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95"/>
      <c r="W761" s="11"/>
      <c r="X761" s="11"/>
      <c r="Y761" s="11"/>
      <c r="Z761" s="11"/>
      <c r="AA761" s="11"/>
      <c r="AB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95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95"/>
      <c r="W762" s="11"/>
      <c r="X762" s="11"/>
      <c r="Y762" s="11"/>
      <c r="Z762" s="11"/>
      <c r="AA762" s="11"/>
      <c r="AB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95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95"/>
      <c r="W763" s="11"/>
      <c r="X763" s="11"/>
      <c r="Y763" s="11"/>
      <c r="Z763" s="11"/>
      <c r="AA763" s="11"/>
      <c r="AB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95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95"/>
      <c r="W764" s="11"/>
      <c r="X764" s="11"/>
      <c r="Y764" s="11"/>
      <c r="Z764" s="11"/>
      <c r="AA764" s="11"/>
      <c r="AB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95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95"/>
      <c r="W765" s="11"/>
      <c r="X765" s="11"/>
      <c r="Y765" s="11"/>
      <c r="Z765" s="11"/>
      <c r="AA765" s="11"/>
      <c r="AB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95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95"/>
      <c r="W766" s="11"/>
      <c r="X766" s="11"/>
      <c r="Y766" s="11"/>
      <c r="Z766" s="11"/>
      <c r="AA766" s="11"/>
      <c r="AB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95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95"/>
      <c r="W767" s="11"/>
      <c r="X767" s="11"/>
      <c r="Y767" s="11"/>
      <c r="Z767" s="11"/>
      <c r="AA767" s="11"/>
      <c r="AB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95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95"/>
      <c r="W768" s="11"/>
      <c r="X768" s="11"/>
      <c r="Y768" s="11"/>
      <c r="Z768" s="11"/>
      <c r="AA768" s="11"/>
      <c r="AB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95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95"/>
      <c r="W769" s="11"/>
      <c r="X769" s="11"/>
      <c r="Y769" s="11"/>
      <c r="Z769" s="11"/>
      <c r="AA769" s="11"/>
      <c r="AB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95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95"/>
      <c r="W770" s="11"/>
      <c r="X770" s="11"/>
      <c r="Y770" s="11"/>
      <c r="Z770" s="11"/>
      <c r="AA770" s="11"/>
      <c r="AB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95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95"/>
      <c r="W771" s="11"/>
      <c r="X771" s="11"/>
      <c r="Y771" s="11"/>
      <c r="Z771" s="11"/>
      <c r="AA771" s="11"/>
      <c r="AB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95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95"/>
      <c r="W772" s="11"/>
      <c r="X772" s="11"/>
      <c r="Y772" s="11"/>
      <c r="Z772" s="11"/>
      <c r="AA772" s="11"/>
      <c r="AB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95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95"/>
      <c r="W773" s="11"/>
      <c r="X773" s="11"/>
      <c r="Y773" s="11"/>
      <c r="Z773" s="11"/>
      <c r="AA773" s="11"/>
      <c r="AB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95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95"/>
      <c r="W774" s="11"/>
      <c r="X774" s="11"/>
      <c r="Y774" s="11"/>
      <c r="Z774" s="11"/>
      <c r="AA774" s="11"/>
      <c r="AB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95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95"/>
      <c r="W775" s="11"/>
      <c r="X775" s="11"/>
      <c r="Y775" s="11"/>
      <c r="Z775" s="11"/>
      <c r="AA775" s="11"/>
      <c r="AB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95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95"/>
      <c r="W776" s="11"/>
      <c r="X776" s="11"/>
      <c r="Y776" s="11"/>
      <c r="Z776" s="11"/>
      <c r="AA776" s="11"/>
      <c r="AB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95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95"/>
      <c r="W777" s="11"/>
      <c r="X777" s="11"/>
      <c r="Y777" s="11"/>
      <c r="Z777" s="11"/>
      <c r="AA777" s="11"/>
      <c r="AB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95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95"/>
      <c r="W778" s="11"/>
      <c r="X778" s="11"/>
      <c r="Y778" s="11"/>
      <c r="Z778" s="11"/>
      <c r="AA778" s="11"/>
      <c r="AB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95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95"/>
      <c r="W779" s="11"/>
      <c r="X779" s="11"/>
      <c r="Y779" s="11"/>
      <c r="Z779" s="11"/>
      <c r="AA779" s="11"/>
      <c r="AB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95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95"/>
      <c r="W780" s="11"/>
      <c r="X780" s="11"/>
      <c r="Y780" s="11"/>
      <c r="Z780" s="11"/>
      <c r="AA780" s="11"/>
      <c r="AB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95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95"/>
      <c r="W781" s="11"/>
      <c r="X781" s="11"/>
      <c r="Y781" s="11"/>
      <c r="Z781" s="11"/>
      <c r="AA781" s="11"/>
      <c r="AB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95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95"/>
      <c r="W782" s="11"/>
      <c r="X782" s="11"/>
      <c r="Y782" s="11"/>
      <c r="Z782" s="11"/>
      <c r="AA782" s="11"/>
      <c r="AB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95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95"/>
      <c r="W783" s="11"/>
      <c r="X783" s="11"/>
      <c r="Y783" s="11"/>
      <c r="Z783" s="11"/>
      <c r="AA783" s="11"/>
      <c r="AB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95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95"/>
      <c r="W784" s="11"/>
      <c r="X784" s="11"/>
      <c r="Y784" s="11"/>
      <c r="Z784" s="11"/>
      <c r="AA784" s="11"/>
      <c r="AB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95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95"/>
      <c r="W785" s="11"/>
      <c r="X785" s="11"/>
      <c r="Y785" s="11"/>
      <c r="Z785" s="11"/>
      <c r="AA785" s="11"/>
      <c r="AB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95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95"/>
      <c r="W786" s="11"/>
      <c r="X786" s="11"/>
      <c r="Y786" s="11"/>
      <c r="Z786" s="11"/>
      <c r="AA786" s="11"/>
      <c r="AB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95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95"/>
      <c r="W787" s="11"/>
      <c r="X787" s="11"/>
      <c r="Y787" s="11"/>
      <c r="Z787" s="11"/>
      <c r="AA787" s="11"/>
      <c r="AB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95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95"/>
      <c r="W788" s="11"/>
      <c r="X788" s="11"/>
      <c r="Y788" s="11"/>
      <c r="Z788" s="11"/>
      <c r="AA788" s="11"/>
      <c r="AB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95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95"/>
      <c r="W789" s="11"/>
      <c r="X789" s="11"/>
      <c r="Y789" s="11"/>
      <c r="Z789" s="11"/>
      <c r="AA789" s="11"/>
      <c r="AB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95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95"/>
      <c r="W790" s="11"/>
      <c r="X790" s="11"/>
      <c r="Y790" s="11"/>
      <c r="Z790" s="11"/>
      <c r="AA790" s="11"/>
      <c r="AB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95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95"/>
      <c r="W791" s="11"/>
      <c r="X791" s="11"/>
      <c r="Y791" s="11"/>
      <c r="Z791" s="11"/>
      <c r="AA791" s="11"/>
      <c r="AB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95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95"/>
      <c r="W792" s="11"/>
      <c r="X792" s="11"/>
      <c r="Y792" s="11"/>
      <c r="Z792" s="11"/>
      <c r="AA792" s="11"/>
      <c r="AB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95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95"/>
      <c r="W793" s="11"/>
      <c r="X793" s="11"/>
      <c r="Y793" s="11"/>
      <c r="Z793" s="11"/>
      <c r="AA793" s="11"/>
      <c r="AB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95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95"/>
      <c r="W794" s="11"/>
      <c r="X794" s="11"/>
      <c r="Y794" s="11"/>
      <c r="Z794" s="11"/>
      <c r="AA794" s="11"/>
      <c r="AB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95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95"/>
      <c r="W795" s="11"/>
      <c r="X795" s="11"/>
      <c r="Y795" s="11"/>
      <c r="Z795" s="11"/>
      <c r="AA795" s="11"/>
      <c r="AB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95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95"/>
      <c r="W796" s="11"/>
      <c r="X796" s="11"/>
      <c r="Y796" s="11"/>
      <c r="Z796" s="11"/>
      <c r="AA796" s="11"/>
      <c r="AB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95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95"/>
      <c r="W797" s="11"/>
      <c r="X797" s="11"/>
      <c r="Y797" s="11"/>
      <c r="Z797" s="11"/>
      <c r="AA797" s="11"/>
      <c r="AB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95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95"/>
      <c r="W798" s="11"/>
      <c r="X798" s="11"/>
      <c r="Y798" s="11"/>
      <c r="Z798" s="11"/>
      <c r="AA798" s="11"/>
      <c r="AB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95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95"/>
      <c r="W799" s="11"/>
      <c r="X799" s="11"/>
      <c r="Y799" s="11"/>
      <c r="Z799" s="11"/>
      <c r="AA799" s="11"/>
      <c r="AB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95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95"/>
      <c r="W800" s="11"/>
      <c r="X800" s="11"/>
      <c r="Y800" s="11"/>
      <c r="Z800" s="11"/>
      <c r="AA800" s="11"/>
      <c r="AB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95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95"/>
      <c r="W801" s="11"/>
      <c r="X801" s="11"/>
      <c r="Y801" s="11"/>
      <c r="Z801" s="11"/>
      <c r="AA801" s="11"/>
      <c r="AB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95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95"/>
      <c r="W802" s="11"/>
      <c r="X802" s="11"/>
      <c r="Y802" s="11"/>
      <c r="Z802" s="11"/>
      <c r="AA802" s="11"/>
      <c r="AB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95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95"/>
      <c r="W803" s="11"/>
      <c r="X803" s="11"/>
      <c r="Y803" s="11"/>
      <c r="Z803" s="11"/>
      <c r="AA803" s="11"/>
      <c r="AB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95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95"/>
      <c r="W804" s="11"/>
      <c r="X804" s="11"/>
      <c r="Y804" s="11"/>
      <c r="Z804" s="11"/>
      <c r="AA804" s="11"/>
      <c r="AB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95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95"/>
      <c r="W805" s="11"/>
      <c r="X805" s="11"/>
      <c r="Y805" s="11"/>
      <c r="Z805" s="11"/>
      <c r="AA805" s="11"/>
      <c r="AB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95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95"/>
      <c r="W806" s="11"/>
      <c r="X806" s="11"/>
      <c r="Y806" s="11"/>
      <c r="Z806" s="11"/>
      <c r="AA806" s="11"/>
      <c r="AB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95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95"/>
      <c r="W807" s="11"/>
      <c r="X807" s="11"/>
      <c r="Y807" s="11"/>
      <c r="Z807" s="11"/>
      <c r="AA807" s="11"/>
      <c r="AB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95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95"/>
      <c r="W808" s="11"/>
      <c r="X808" s="11"/>
      <c r="Y808" s="11"/>
      <c r="Z808" s="11"/>
      <c r="AA808" s="11"/>
      <c r="AB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95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95"/>
      <c r="W809" s="11"/>
      <c r="X809" s="11"/>
      <c r="Y809" s="11"/>
      <c r="Z809" s="11"/>
      <c r="AA809" s="11"/>
      <c r="AB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95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95"/>
      <c r="W810" s="11"/>
      <c r="X810" s="11"/>
      <c r="Y810" s="11"/>
      <c r="Z810" s="11"/>
      <c r="AA810" s="11"/>
      <c r="AB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95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95"/>
      <c r="W811" s="11"/>
      <c r="X811" s="11"/>
      <c r="Y811" s="11"/>
      <c r="Z811" s="11"/>
      <c r="AA811" s="11"/>
      <c r="AB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95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95"/>
      <c r="W812" s="11"/>
      <c r="X812" s="11"/>
      <c r="Y812" s="11"/>
      <c r="Z812" s="11"/>
      <c r="AA812" s="11"/>
      <c r="AB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95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95"/>
      <c r="W813" s="11"/>
      <c r="X813" s="11"/>
      <c r="Y813" s="11"/>
      <c r="Z813" s="11"/>
      <c r="AA813" s="11"/>
      <c r="AB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95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95"/>
      <c r="W814" s="11"/>
      <c r="X814" s="11"/>
      <c r="Y814" s="11"/>
      <c r="Z814" s="11"/>
      <c r="AA814" s="11"/>
      <c r="AB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95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95"/>
      <c r="W815" s="11"/>
      <c r="X815" s="11"/>
      <c r="Y815" s="11"/>
      <c r="Z815" s="11"/>
      <c r="AA815" s="11"/>
      <c r="AB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95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95"/>
      <c r="W816" s="11"/>
      <c r="X816" s="11"/>
      <c r="Y816" s="11"/>
      <c r="Z816" s="11"/>
      <c r="AA816" s="11"/>
      <c r="AB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95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95"/>
      <c r="W817" s="11"/>
      <c r="X817" s="11"/>
      <c r="Y817" s="11"/>
      <c r="Z817" s="11"/>
      <c r="AA817" s="11"/>
      <c r="AB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95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95"/>
      <c r="W818" s="11"/>
      <c r="X818" s="11"/>
      <c r="Y818" s="11"/>
      <c r="Z818" s="11"/>
      <c r="AA818" s="11"/>
      <c r="AB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95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95"/>
      <c r="W819" s="11"/>
      <c r="X819" s="11"/>
      <c r="Y819" s="11"/>
      <c r="Z819" s="11"/>
      <c r="AA819" s="11"/>
      <c r="AB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95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95"/>
      <c r="W820" s="11"/>
      <c r="X820" s="11"/>
      <c r="Y820" s="11"/>
      <c r="Z820" s="11"/>
      <c r="AA820" s="11"/>
      <c r="AB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95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95"/>
      <c r="W821" s="11"/>
      <c r="X821" s="11"/>
      <c r="Y821" s="11"/>
      <c r="Z821" s="11"/>
      <c r="AA821" s="11"/>
      <c r="AB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95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95"/>
      <c r="W822" s="11"/>
      <c r="X822" s="11"/>
      <c r="Y822" s="11"/>
      <c r="Z822" s="11"/>
      <c r="AA822" s="11"/>
      <c r="AB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95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95"/>
      <c r="W823" s="11"/>
      <c r="X823" s="11"/>
      <c r="Y823" s="11"/>
      <c r="Z823" s="11"/>
      <c r="AA823" s="11"/>
      <c r="AB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95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95"/>
      <c r="W824" s="11"/>
      <c r="X824" s="11"/>
      <c r="Y824" s="11"/>
      <c r="Z824" s="11"/>
      <c r="AA824" s="11"/>
      <c r="AB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95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95"/>
      <c r="W825" s="11"/>
      <c r="X825" s="11"/>
      <c r="Y825" s="11"/>
      <c r="Z825" s="11"/>
      <c r="AA825" s="11"/>
      <c r="AB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95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95"/>
      <c r="W826" s="11"/>
      <c r="X826" s="11"/>
      <c r="Y826" s="11"/>
      <c r="Z826" s="11"/>
      <c r="AA826" s="11"/>
      <c r="AB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95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95"/>
      <c r="W827" s="11"/>
      <c r="X827" s="11"/>
      <c r="Y827" s="11"/>
      <c r="Z827" s="11"/>
      <c r="AA827" s="11"/>
      <c r="AB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95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95"/>
      <c r="W828" s="11"/>
      <c r="X828" s="11"/>
      <c r="Y828" s="11"/>
      <c r="Z828" s="11"/>
      <c r="AA828" s="11"/>
      <c r="AB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95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95"/>
      <c r="W829" s="11"/>
      <c r="X829" s="11"/>
      <c r="Y829" s="11"/>
      <c r="Z829" s="11"/>
      <c r="AA829" s="11"/>
      <c r="AB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95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95"/>
      <c r="W830" s="11"/>
      <c r="X830" s="11"/>
      <c r="Y830" s="11"/>
      <c r="Z830" s="11"/>
      <c r="AA830" s="11"/>
      <c r="AB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95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95"/>
      <c r="W831" s="11"/>
      <c r="X831" s="11"/>
      <c r="Y831" s="11"/>
      <c r="Z831" s="11"/>
      <c r="AA831" s="11"/>
      <c r="AB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95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95"/>
      <c r="W832" s="11"/>
      <c r="X832" s="11"/>
      <c r="Y832" s="11"/>
      <c r="Z832" s="11"/>
      <c r="AA832" s="11"/>
      <c r="AB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95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95"/>
      <c r="W833" s="11"/>
      <c r="X833" s="11"/>
      <c r="Y833" s="11"/>
      <c r="Z833" s="11"/>
      <c r="AA833" s="11"/>
      <c r="AB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95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95"/>
      <c r="W834" s="11"/>
      <c r="X834" s="11"/>
      <c r="Y834" s="11"/>
      <c r="Z834" s="11"/>
      <c r="AA834" s="11"/>
      <c r="AB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95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95"/>
      <c r="W835" s="11"/>
      <c r="X835" s="11"/>
      <c r="Y835" s="11"/>
      <c r="Z835" s="11"/>
      <c r="AA835" s="11"/>
      <c r="AB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95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95"/>
      <c r="W836" s="11"/>
      <c r="X836" s="11"/>
      <c r="Y836" s="11"/>
      <c r="Z836" s="11"/>
      <c r="AA836" s="11"/>
      <c r="AB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95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95"/>
      <c r="W837" s="11"/>
      <c r="X837" s="11"/>
      <c r="Y837" s="11"/>
      <c r="Z837" s="11"/>
      <c r="AA837" s="11"/>
      <c r="AB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95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95"/>
      <c r="W838" s="11"/>
      <c r="X838" s="11"/>
      <c r="Y838" s="11"/>
      <c r="Z838" s="11"/>
      <c r="AA838" s="11"/>
      <c r="AB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95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95"/>
      <c r="W839" s="11"/>
      <c r="X839" s="11"/>
      <c r="Y839" s="11"/>
      <c r="Z839" s="11"/>
      <c r="AA839" s="11"/>
      <c r="AB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95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95"/>
      <c r="W840" s="11"/>
      <c r="X840" s="11"/>
      <c r="Y840" s="11"/>
      <c r="Z840" s="11"/>
      <c r="AA840" s="11"/>
      <c r="AB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95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95"/>
      <c r="W841" s="11"/>
      <c r="X841" s="11"/>
      <c r="Y841" s="11"/>
      <c r="Z841" s="11"/>
      <c r="AA841" s="11"/>
      <c r="AB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95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95"/>
      <c r="W842" s="11"/>
      <c r="X842" s="11"/>
      <c r="Y842" s="11"/>
      <c r="Z842" s="11"/>
      <c r="AA842" s="11"/>
      <c r="AB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95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95"/>
      <c r="W843" s="11"/>
      <c r="X843" s="11"/>
      <c r="Y843" s="11"/>
      <c r="Z843" s="11"/>
      <c r="AA843" s="11"/>
      <c r="AB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95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95"/>
      <c r="W844" s="11"/>
      <c r="X844" s="11"/>
      <c r="Y844" s="11"/>
      <c r="Z844" s="11"/>
      <c r="AA844" s="11"/>
      <c r="AB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95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95"/>
      <c r="W845" s="11"/>
      <c r="X845" s="11"/>
      <c r="Y845" s="11"/>
      <c r="Z845" s="11"/>
      <c r="AA845" s="11"/>
      <c r="AB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95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95"/>
      <c r="W846" s="11"/>
      <c r="X846" s="11"/>
      <c r="Y846" s="11"/>
      <c r="Z846" s="11"/>
      <c r="AA846" s="11"/>
      <c r="AB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95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95"/>
      <c r="W847" s="11"/>
      <c r="X847" s="11"/>
      <c r="Y847" s="11"/>
      <c r="Z847" s="11"/>
      <c r="AA847" s="11"/>
      <c r="AB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95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95"/>
      <c r="W848" s="11"/>
      <c r="X848" s="11"/>
      <c r="Y848" s="11"/>
      <c r="Z848" s="11"/>
      <c r="AA848" s="11"/>
      <c r="AB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95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95"/>
      <c r="W849" s="11"/>
      <c r="X849" s="11"/>
      <c r="Y849" s="11"/>
      <c r="Z849" s="11"/>
      <c r="AA849" s="11"/>
      <c r="AB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95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95"/>
      <c r="W850" s="11"/>
      <c r="X850" s="11"/>
      <c r="Y850" s="11"/>
      <c r="Z850" s="11"/>
      <c r="AA850" s="11"/>
      <c r="AB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95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95"/>
      <c r="W851" s="11"/>
      <c r="X851" s="11"/>
      <c r="Y851" s="11"/>
      <c r="Z851" s="11"/>
      <c r="AA851" s="11"/>
      <c r="AB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95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95"/>
      <c r="W852" s="11"/>
      <c r="X852" s="11"/>
      <c r="Y852" s="11"/>
      <c r="Z852" s="11"/>
      <c r="AA852" s="11"/>
      <c r="AB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95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95"/>
      <c r="W853" s="11"/>
      <c r="X853" s="11"/>
      <c r="Y853" s="11"/>
      <c r="Z853" s="11"/>
      <c r="AA853" s="11"/>
      <c r="AB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95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95"/>
      <c r="W854" s="11"/>
      <c r="X854" s="11"/>
      <c r="Y854" s="11"/>
      <c r="Z854" s="11"/>
      <c r="AA854" s="11"/>
      <c r="AB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95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95"/>
      <c r="W855" s="11"/>
      <c r="X855" s="11"/>
      <c r="Y855" s="11"/>
      <c r="Z855" s="11"/>
      <c r="AA855" s="11"/>
      <c r="AB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95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95"/>
      <c r="W856" s="11"/>
      <c r="X856" s="11"/>
      <c r="Y856" s="11"/>
      <c r="Z856" s="11"/>
      <c r="AA856" s="11"/>
      <c r="AB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95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95"/>
      <c r="W857" s="11"/>
      <c r="X857" s="11"/>
      <c r="Y857" s="11"/>
      <c r="Z857" s="11"/>
      <c r="AA857" s="11"/>
      <c r="AB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95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95"/>
      <c r="W858" s="11"/>
      <c r="X858" s="11"/>
      <c r="Y858" s="11"/>
      <c r="Z858" s="11"/>
      <c r="AA858" s="11"/>
      <c r="AB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95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95"/>
      <c r="W859" s="11"/>
      <c r="X859" s="11"/>
      <c r="Y859" s="11"/>
      <c r="Z859" s="11"/>
      <c r="AA859" s="11"/>
      <c r="AB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95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95"/>
      <c r="W860" s="11"/>
      <c r="X860" s="11"/>
      <c r="Y860" s="11"/>
      <c r="Z860" s="11"/>
      <c r="AA860" s="11"/>
      <c r="AB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95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95"/>
      <c r="W861" s="11"/>
      <c r="X861" s="11"/>
      <c r="Y861" s="11"/>
      <c r="Z861" s="11"/>
      <c r="AA861" s="11"/>
      <c r="AB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95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95"/>
      <c r="W862" s="11"/>
      <c r="X862" s="11"/>
      <c r="Y862" s="11"/>
      <c r="Z862" s="11"/>
      <c r="AA862" s="11"/>
      <c r="AB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95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95"/>
      <c r="W863" s="11"/>
      <c r="X863" s="11"/>
      <c r="Y863" s="11"/>
      <c r="Z863" s="11"/>
      <c r="AA863" s="11"/>
      <c r="AB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95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95"/>
      <c r="W864" s="11"/>
      <c r="X864" s="11"/>
      <c r="Y864" s="11"/>
      <c r="Z864" s="11"/>
      <c r="AA864" s="11"/>
      <c r="AB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95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95"/>
      <c r="W865" s="11"/>
      <c r="X865" s="11"/>
      <c r="Y865" s="11"/>
      <c r="Z865" s="11"/>
      <c r="AA865" s="11"/>
      <c r="AB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95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95"/>
      <c r="W866" s="11"/>
      <c r="X866" s="11"/>
      <c r="Y866" s="11"/>
      <c r="Z866" s="11"/>
      <c r="AA866" s="11"/>
      <c r="AB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95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95"/>
      <c r="W867" s="11"/>
      <c r="X867" s="11"/>
      <c r="Y867" s="11"/>
      <c r="Z867" s="11"/>
      <c r="AA867" s="11"/>
      <c r="AB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95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95"/>
      <c r="W868" s="11"/>
      <c r="X868" s="11"/>
      <c r="Y868" s="11"/>
      <c r="Z868" s="11"/>
      <c r="AA868" s="11"/>
      <c r="AB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95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95"/>
      <c r="W869" s="11"/>
      <c r="X869" s="11"/>
      <c r="Y869" s="11"/>
      <c r="Z869" s="11"/>
      <c r="AA869" s="11"/>
      <c r="AB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95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95"/>
      <c r="W870" s="11"/>
      <c r="X870" s="11"/>
      <c r="Y870" s="11"/>
      <c r="Z870" s="11"/>
      <c r="AA870" s="11"/>
      <c r="AB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95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95"/>
      <c r="W871" s="11"/>
      <c r="X871" s="11"/>
      <c r="Y871" s="11"/>
      <c r="Z871" s="11"/>
      <c r="AA871" s="11"/>
      <c r="AB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95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95"/>
      <c r="W872" s="11"/>
      <c r="X872" s="11"/>
      <c r="Y872" s="11"/>
      <c r="Z872" s="11"/>
      <c r="AA872" s="11"/>
      <c r="AB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95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95"/>
      <c r="W873" s="11"/>
      <c r="X873" s="11"/>
      <c r="Y873" s="11"/>
      <c r="Z873" s="11"/>
      <c r="AA873" s="11"/>
      <c r="AB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95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95"/>
      <c r="W874" s="11"/>
      <c r="X874" s="11"/>
      <c r="Y874" s="11"/>
      <c r="Z874" s="11"/>
      <c r="AA874" s="11"/>
      <c r="AB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95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95"/>
      <c r="W875" s="11"/>
      <c r="X875" s="11"/>
      <c r="Y875" s="11"/>
      <c r="Z875" s="11"/>
      <c r="AA875" s="11"/>
      <c r="AB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95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95"/>
      <c r="W876" s="11"/>
      <c r="X876" s="11"/>
      <c r="Y876" s="11"/>
      <c r="Z876" s="11"/>
      <c r="AA876" s="11"/>
      <c r="AB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95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95"/>
      <c r="W877" s="11"/>
      <c r="X877" s="11"/>
      <c r="Y877" s="11"/>
      <c r="Z877" s="11"/>
      <c r="AA877" s="11"/>
      <c r="AB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95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95"/>
      <c r="W878" s="11"/>
      <c r="X878" s="11"/>
      <c r="Y878" s="11"/>
      <c r="Z878" s="11"/>
      <c r="AA878" s="11"/>
      <c r="AB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95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95"/>
      <c r="W879" s="11"/>
      <c r="X879" s="11"/>
      <c r="Y879" s="11"/>
      <c r="Z879" s="11"/>
      <c r="AA879" s="11"/>
      <c r="AB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95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95"/>
      <c r="W880" s="11"/>
      <c r="X880" s="11"/>
      <c r="Y880" s="11"/>
      <c r="Z880" s="11"/>
      <c r="AA880" s="11"/>
      <c r="AB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95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95"/>
      <c r="W881" s="11"/>
      <c r="X881" s="11"/>
      <c r="Y881" s="11"/>
      <c r="Z881" s="11"/>
      <c r="AA881" s="11"/>
      <c r="AB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95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95"/>
      <c r="W882" s="11"/>
      <c r="X882" s="11"/>
      <c r="Y882" s="11"/>
      <c r="Z882" s="11"/>
      <c r="AA882" s="11"/>
      <c r="AB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95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95"/>
      <c r="W883" s="11"/>
      <c r="X883" s="11"/>
      <c r="Y883" s="11"/>
      <c r="Z883" s="11"/>
      <c r="AA883" s="11"/>
      <c r="AB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95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95"/>
      <c r="W884" s="11"/>
      <c r="X884" s="11"/>
      <c r="Y884" s="11"/>
      <c r="Z884" s="11"/>
      <c r="AA884" s="11"/>
      <c r="AB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95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95"/>
      <c r="W885" s="11"/>
      <c r="X885" s="11"/>
      <c r="Y885" s="11"/>
      <c r="Z885" s="11"/>
      <c r="AA885" s="11"/>
      <c r="AB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95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95"/>
      <c r="W886" s="11"/>
      <c r="X886" s="11"/>
      <c r="Y886" s="11"/>
      <c r="Z886" s="11"/>
      <c r="AA886" s="11"/>
      <c r="AB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95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95"/>
      <c r="W887" s="11"/>
      <c r="X887" s="11"/>
      <c r="Y887" s="11"/>
      <c r="Z887" s="11"/>
      <c r="AA887" s="11"/>
      <c r="AB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95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95"/>
      <c r="W888" s="11"/>
      <c r="X888" s="11"/>
      <c r="Y888" s="11"/>
      <c r="Z888" s="11"/>
      <c r="AA888" s="11"/>
      <c r="AB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95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95"/>
      <c r="W889" s="11"/>
      <c r="X889" s="11"/>
      <c r="Y889" s="11"/>
      <c r="Z889" s="11"/>
      <c r="AA889" s="11"/>
      <c r="AB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95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95"/>
      <c r="W890" s="11"/>
      <c r="X890" s="11"/>
      <c r="Y890" s="11"/>
      <c r="Z890" s="11"/>
      <c r="AA890" s="11"/>
      <c r="AB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95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95"/>
      <c r="W891" s="11"/>
      <c r="X891" s="11"/>
      <c r="Y891" s="11"/>
      <c r="Z891" s="11"/>
      <c r="AA891" s="11"/>
      <c r="AB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95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95"/>
      <c r="W892" s="11"/>
      <c r="X892" s="11"/>
      <c r="Y892" s="11"/>
      <c r="Z892" s="11"/>
      <c r="AA892" s="11"/>
      <c r="AB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95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95"/>
      <c r="W893" s="11"/>
      <c r="X893" s="11"/>
      <c r="Y893" s="11"/>
      <c r="Z893" s="11"/>
      <c r="AA893" s="11"/>
      <c r="AB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95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95"/>
      <c r="W894" s="11"/>
      <c r="X894" s="11"/>
      <c r="Y894" s="11"/>
      <c r="Z894" s="11"/>
      <c r="AA894" s="11"/>
      <c r="AB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95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95"/>
      <c r="W895" s="11"/>
      <c r="X895" s="11"/>
      <c r="Y895" s="11"/>
      <c r="Z895" s="11"/>
      <c r="AA895" s="11"/>
      <c r="AB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95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95"/>
      <c r="W896" s="11"/>
      <c r="X896" s="11"/>
      <c r="Y896" s="11"/>
      <c r="Z896" s="11"/>
      <c r="AA896" s="11"/>
      <c r="AB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95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95"/>
      <c r="W897" s="11"/>
      <c r="X897" s="11"/>
      <c r="Y897" s="11"/>
      <c r="Z897" s="11"/>
      <c r="AA897" s="11"/>
      <c r="AB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95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95"/>
      <c r="W898" s="11"/>
      <c r="X898" s="11"/>
      <c r="Y898" s="11"/>
      <c r="Z898" s="11"/>
      <c r="AA898" s="11"/>
      <c r="AB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95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95"/>
      <c r="W899" s="11"/>
      <c r="X899" s="11"/>
      <c r="Y899" s="11"/>
      <c r="Z899" s="11"/>
      <c r="AA899" s="11"/>
      <c r="AB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95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95"/>
      <c r="W900" s="11"/>
      <c r="X900" s="11"/>
      <c r="Y900" s="11"/>
      <c r="Z900" s="11"/>
      <c r="AA900" s="11"/>
      <c r="AB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95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95"/>
      <c r="W901" s="11"/>
      <c r="X901" s="11"/>
      <c r="Y901" s="11"/>
      <c r="Z901" s="11"/>
      <c r="AA901" s="11"/>
      <c r="AB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95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95"/>
      <c r="W902" s="11"/>
      <c r="X902" s="11"/>
      <c r="Y902" s="11"/>
      <c r="Z902" s="11"/>
      <c r="AA902" s="11"/>
      <c r="AB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95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95"/>
      <c r="W903" s="11"/>
      <c r="X903" s="11"/>
      <c r="Y903" s="11"/>
      <c r="Z903" s="11"/>
      <c r="AA903" s="11"/>
      <c r="AB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95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95"/>
      <c r="W904" s="11"/>
      <c r="X904" s="11"/>
      <c r="Y904" s="11"/>
      <c r="Z904" s="11"/>
      <c r="AA904" s="11"/>
      <c r="AB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95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95"/>
      <c r="W905" s="11"/>
      <c r="X905" s="11"/>
      <c r="Y905" s="11"/>
      <c r="Z905" s="11"/>
      <c r="AA905" s="11"/>
      <c r="AB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95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95"/>
      <c r="W906" s="11"/>
      <c r="X906" s="11"/>
      <c r="Y906" s="11"/>
      <c r="Z906" s="11"/>
      <c r="AA906" s="11"/>
      <c r="AB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95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95"/>
      <c r="W907" s="11"/>
      <c r="X907" s="11"/>
      <c r="Y907" s="11"/>
      <c r="Z907" s="11"/>
      <c r="AA907" s="11"/>
      <c r="AB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95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95"/>
      <c r="W908" s="11"/>
      <c r="X908" s="11"/>
      <c r="Y908" s="11"/>
      <c r="Z908" s="11"/>
      <c r="AA908" s="11"/>
      <c r="AB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95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95"/>
      <c r="W909" s="11"/>
      <c r="X909" s="11"/>
      <c r="Y909" s="11"/>
      <c r="Z909" s="11"/>
      <c r="AA909" s="11"/>
      <c r="AB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95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95"/>
      <c r="W910" s="11"/>
      <c r="X910" s="11"/>
      <c r="Y910" s="11"/>
      <c r="Z910" s="11"/>
      <c r="AA910" s="11"/>
      <c r="AB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95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95"/>
      <c r="W911" s="11"/>
      <c r="X911" s="11"/>
      <c r="Y911" s="11"/>
      <c r="Z911" s="11"/>
      <c r="AA911" s="11"/>
      <c r="AB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95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95"/>
      <c r="W912" s="11"/>
      <c r="X912" s="11"/>
      <c r="Y912" s="11"/>
      <c r="Z912" s="11"/>
      <c r="AA912" s="11"/>
      <c r="AB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95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95"/>
      <c r="W913" s="11"/>
      <c r="X913" s="11"/>
      <c r="Y913" s="11"/>
      <c r="Z913" s="11"/>
      <c r="AA913" s="11"/>
      <c r="AB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95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95"/>
      <c r="W914" s="11"/>
      <c r="X914" s="11"/>
      <c r="Y914" s="11"/>
      <c r="Z914" s="11"/>
      <c r="AA914" s="11"/>
      <c r="AB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95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95"/>
      <c r="W915" s="11"/>
      <c r="X915" s="11"/>
      <c r="Y915" s="11"/>
      <c r="Z915" s="11"/>
      <c r="AA915" s="11"/>
      <c r="AB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95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95"/>
      <c r="W916" s="11"/>
      <c r="X916" s="11"/>
      <c r="Y916" s="11"/>
      <c r="Z916" s="11"/>
      <c r="AA916" s="11"/>
      <c r="AB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95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95"/>
      <c r="W917" s="11"/>
      <c r="X917" s="11"/>
      <c r="Y917" s="11"/>
      <c r="Z917" s="11"/>
      <c r="AA917" s="11"/>
      <c r="AB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95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95"/>
      <c r="W918" s="11"/>
      <c r="X918" s="11"/>
      <c r="Y918" s="11"/>
      <c r="Z918" s="11"/>
      <c r="AA918" s="11"/>
      <c r="AB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95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95"/>
      <c r="W919" s="11"/>
      <c r="X919" s="11"/>
      <c r="Y919" s="11"/>
      <c r="Z919" s="11"/>
      <c r="AA919" s="11"/>
      <c r="AB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95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95"/>
      <c r="W920" s="11"/>
      <c r="X920" s="11"/>
      <c r="Y920" s="11"/>
      <c r="Z920" s="11"/>
      <c r="AA920" s="11"/>
      <c r="AB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95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95"/>
      <c r="W921" s="11"/>
      <c r="X921" s="11"/>
      <c r="Y921" s="11"/>
      <c r="Z921" s="11"/>
      <c r="AA921" s="11"/>
      <c r="AB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95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95"/>
      <c r="W922" s="11"/>
      <c r="X922" s="11"/>
      <c r="Y922" s="11"/>
      <c r="Z922" s="11"/>
      <c r="AA922" s="11"/>
      <c r="AB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95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95"/>
      <c r="W923" s="11"/>
      <c r="X923" s="11"/>
      <c r="Y923" s="11"/>
      <c r="Z923" s="11"/>
      <c r="AA923" s="11"/>
      <c r="AB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95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95"/>
      <c r="W924" s="11"/>
      <c r="X924" s="11"/>
      <c r="Y924" s="11"/>
      <c r="Z924" s="11"/>
      <c r="AA924" s="11"/>
      <c r="AB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95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95"/>
      <c r="W925" s="11"/>
      <c r="X925" s="11"/>
      <c r="Y925" s="11"/>
      <c r="Z925" s="11"/>
      <c r="AA925" s="11"/>
      <c r="AB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95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95"/>
      <c r="W926" s="11"/>
      <c r="X926" s="11"/>
      <c r="Y926" s="11"/>
      <c r="Z926" s="11"/>
      <c r="AA926" s="11"/>
      <c r="AB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95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95"/>
      <c r="W927" s="11"/>
      <c r="X927" s="11"/>
      <c r="Y927" s="11"/>
      <c r="Z927" s="11"/>
      <c r="AA927" s="11"/>
      <c r="AB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95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95"/>
      <c r="W928" s="11"/>
      <c r="X928" s="11"/>
      <c r="Y928" s="11"/>
      <c r="Z928" s="11"/>
      <c r="AA928" s="11"/>
      <c r="AB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95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95"/>
      <c r="W929" s="11"/>
      <c r="X929" s="11"/>
      <c r="Y929" s="11"/>
      <c r="Z929" s="11"/>
      <c r="AA929" s="11"/>
      <c r="AB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95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95"/>
      <c r="W930" s="11"/>
      <c r="X930" s="11"/>
      <c r="Y930" s="11"/>
      <c r="Z930" s="11"/>
      <c r="AA930" s="11"/>
      <c r="AB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95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95"/>
      <c r="W931" s="11"/>
      <c r="X931" s="11"/>
      <c r="Y931" s="11"/>
      <c r="Z931" s="11"/>
      <c r="AA931" s="11"/>
      <c r="AB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95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95"/>
      <c r="W932" s="11"/>
      <c r="X932" s="11"/>
      <c r="Y932" s="11"/>
      <c r="Z932" s="11"/>
      <c r="AA932" s="11"/>
      <c r="AB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95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95"/>
      <c r="W933" s="11"/>
      <c r="X933" s="11"/>
      <c r="Y933" s="11"/>
      <c r="Z933" s="11"/>
      <c r="AA933" s="11"/>
      <c r="AB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95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95"/>
      <c r="W934" s="11"/>
      <c r="X934" s="11"/>
      <c r="Y934" s="11"/>
      <c r="Z934" s="11"/>
      <c r="AA934" s="11"/>
      <c r="AB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95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95"/>
      <c r="W935" s="11"/>
      <c r="X935" s="11"/>
      <c r="Y935" s="11"/>
      <c r="Z935" s="11"/>
      <c r="AA935" s="11"/>
      <c r="AB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95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95"/>
      <c r="W936" s="11"/>
      <c r="X936" s="11"/>
      <c r="Y936" s="11"/>
      <c r="Z936" s="11"/>
      <c r="AA936" s="11"/>
      <c r="AB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95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95"/>
      <c r="W937" s="11"/>
      <c r="X937" s="11"/>
      <c r="Y937" s="11"/>
      <c r="Z937" s="11"/>
      <c r="AA937" s="11"/>
      <c r="AB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95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95"/>
      <c r="W938" s="11"/>
      <c r="X938" s="11"/>
      <c r="Y938" s="11"/>
      <c r="Z938" s="11"/>
      <c r="AA938" s="11"/>
      <c r="AB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95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95"/>
      <c r="W939" s="11"/>
      <c r="X939" s="11"/>
      <c r="Y939" s="11"/>
      <c r="Z939" s="11"/>
      <c r="AA939" s="11"/>
      <c r="AB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95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95"/>
      <c r="W940" s="11"/>
      <c r="X940" s="11"/>
      <c r="Y940" s="11"/>
      <c r="Z940" s="11"/>
      <c r="AA940" s="11"/>
      <c r="AB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95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95"/>
      <c r="W941" s="11"/>
      <c r="X941" s="11"/>
      <c r="Y941" s="11"/>
      <c r="Z941" s="11"/>
      <c r="AA941" s="11"/>
      <c r="AB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95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95"/>
      <c r="W942" s="11"/>
      <c r="X942" s="11"/>
      <c r="Y942" s="11"/>
      <c r="Z942" s="11"/>
      <c r="AA942" s="11"/>
      <c r="AB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95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95"/>
      <c r="W943" s="11"/>
      <c r="X943" s="11"/>
      <c r="Y943" s="11"/>
      <c r="Z943" s="11"/>
      <c r="AA943" s="11"/>
      <c r="AB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95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95"/>
      <c r="W944" s="11"/>
      <c r="X944" s="11"/>
      <c r="Y944" s="11"/>
      <c r="Z944" s="11"/>
      <c r="AA944" s="11"/>
      <c r="AB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95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95"/>
      <c r="W945" s="11"/>
      <c r="X945" s="11"/>
      <c r="Y945" s="11"/>
      <c r="Z945" s="11"/>
      <c r="AA945" s="11"/>
      <c r="AB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95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95"/>
      <c r="W946" s="11"/>
      <c r="X946" s="11"/>
      <c r="Y946" s="11"/>
      <c r="Z946" s="11"/>
      <c r="AA946" s="11"/>
      <c r="AB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95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95"/>
      <c r="W947" s="11"/>
      <c r="X947" s="11"/>
      <c r="Y947" s="11"/>
      <c r="Z947" s="11"/>
      <c r="AA947" s="11"/>
      <c r="AB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95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95"/>
      <c r="W948" s="11"/>
      <c r="X948" s="11"/>
      <c r="Y948" s="11"/>
      <c r="Z948" s="11"/>
      <c r="AA948" s="11"/>
      <c r="AB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95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95"/>
      <c r="W949" s="11"/>
      <c r="X949" s="11"/>
      <c r="Y949" s="11"/>
      <c r="Z949" s="11"/>
      <c r="AA949" s="11"/>
      <c r="AB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95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95"/>
      <c r="W950" s="11"/>
      <c r="X950" s="11"/>
      <c r="Y950" s="11"/>
      <c r="Z950" s="11"/>
      <c r="AA950" s="11"/>
      <c r="AB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95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95"/>
      <c r="W951" s="11"/>
      <c r="X951" s="11"/>
      <c r="Y951" s="11"/>
      <c r="Z951" s="11"/>
      <c r="AA951" s="11"/>
      <c r="AB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95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95"/>
      <c r="W952" s="11"/>
      <c r="X952" s="11"/>
      <c r="Y952" s="11"/>
      <c r="Z952" s="11"/>
      <c r="AA952" s="11"/>
      <c r="AB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95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95"/>
      <c r="W953" s="11"/>
      <c r="X953" s="11"/>
      <c r="Y953" s="11"/>
      <c r="Z953" s="11"/>
      <c r="AA953" s="11"/>
      <c r="AB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95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95"/>
      <c r="W954" s="11"/>
      <c r="X954" s="11"/>
      <c r="Y954" s="11"/>
      <c r="Z954" s="11"/>
      <c r="AA954" s="11"/>
      <c r="AB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95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95"/>
      <c r="W955" s="11"/>
      <c r="X955" s="11"/>
      <c r="Y955" s="11"/>
      <c r="Z955" s="11"/>
      <c r="AA955" s="11"/>
      <c r="AB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95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95"/>
      <c r="W956" s="11"/>
      <c r="X956" s="11"/>
      <c r="Y956" s="11"/>
      <c r="Z956" s="11"/>
      <c r="AA956" s="11"/>
      <c r="AB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95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95"/>
      <c r="W957" s="11"/>
      <c r="X957" s="11"/>
      <c r="Y957" s="11"/>
      <c r="Z957" s="11"/>
      <c r="AA957" s="11"/>
      <c r="AB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95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95"/>
      <c r="W958" s="11"/>
      <c r="X958" s="11"/>
      <c r="Y958" s="11"/>
      <c r="Z958" s="11"/>
      <c r="AA958" s="11"/>
      <c r="AB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95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95"/>
      <c r="W959" s="11"/>
      <c r="X959" s="11"/>
      <c r="Y959" s="11"/>
      <c r="Z959" s="11"/>
      <c r="AA959" s="11"/>
      <c r="AB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95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95"/>
      <c r="W960" s="11"/>
      <c r="X960" s="11"/>
      <c r="Y960" s="11"/>
      <c r="Z960" s="11"/>
      <c r="AA960" s="11"/>
      <c r="AB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95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95"/>
      <c r="W961" s="11"/>
      <c r="X961" s="11"/>
      <c r="Y961" s="11"/>
      <c r="Z961" s="11"/>
      <c r="AA961" s="11"/>
      <c r="AB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95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95"/>
      <c r="W962" s="11"/>
      <c r="X962" s="11"/>
      <c r="Y962" s="11"/>
      <c r="Z962" s="11"/>
      <c r="AA962" s="11"/>
      <c r="AB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95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95"/>
      <c r="W963" s="11"/>
      <c r="X963" s="11"/>
      <c r="Y963" s="11"/>
      <c r="Z963" s="11"/>
      <c r="AA963" s="11"/>
      <c r="AB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95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95"/>
      <c r="W964" s="11"/>
      <c r="X964" s="11"/>
      <c r="Y964" s="11"/>
      <c r="Z964" s="11"/>
      <c r="AA964" s="11"/>
      <c r="AB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95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95"/>
      <c r="W965" s="11"/>
      <c r="X965" s="11"/>
      <c r="Y965" s="11"/>
      <c r="Z965" s="11"/>
      <c r="AA965" s="11"/>
      <c r="AB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95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95"/>
      <c r="W966" s="11"/>
      <c r="X966" s="11"/>
      <c r="Y966" s="11"/>
      <c r="Z966" s="11"/>
      <c r="AA966" s="11"/>
      <c r="AB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95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95"/>
      <c r="W967" s="11"/>
      <c r="X967" s="11"/>
      <c r="Y967" s="11"/>
      <c r="Z967" s="11"/>
      <c r="AA967" s="11"/>
      <c r="AB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95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95"/>
      <c r="W968" s="11"/>
      <c r="X968" s="11"/>
      <c r="Y968" s="11"/>
      <c r="Z968" s="11"/>
      <c r="AA968" s="11"/>
      <c r="AB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95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95"/>
      <c r="W969" s="11"/>
      <c r="X969" s="11"/>
      <c r="Y969" s="11"/>
      <c r="Z969" s="11"/>
      <c r="AA969" s="11"/>
      <c r="AB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95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95"/>
      <c r="W970" s="11"/>
      <c r="X970" s="11"/>
      <c r="Y970" s="11"/>
      <c r="Z970" s="11"/>
      <c r="AA970" s="11"/>
      <c r="AB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95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95"/>
      <c r="W971" s="11"/>
      <c r="X971" s="11"/>
      <c r="Y971" s="11"/>
      <c r="Z971" s="11"/>
      <c r="AA971" s="11"/>
      <c r="AB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95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95"/>
      <c r="W972" s="11"/>
      <c r="X972" s="11"/>
      <c r="Y972" s="11"/>
      <c r="Z972" s="11"/>
      <c r="AA972" s="11"/>
      <c r="AB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95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95"/>
      <c r="W973" s="11"/>
      <c r="X973" s="11"/>
      <c r="Y973" s="11"/>
      <c r="Z973" s="11"/>
      <c r="AA973" s="11"/>
      <c r="AB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95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95"/>
      <c r="W974" s="11"/>
      <c r="X974" s="11"/>
      <c r="Y974" s="11"/>
      <c r="Z974" s="11"/>
      <c r="AA974" s="11"/>
      <c r="AB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95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95"/>
      <c r="W975" s="11"/>
      <c r="X975" s="11"/>
      <c r="Y975" s="11"/>
      <c r="Z975" s="11"/>
      <c r="AA975" s="11"/>
      <c r="AB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95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95"/>
      <c r="W976" s="11"/>
      <c r="X976" s="11"/>
      <c r="Y976" s="11"/>
      <c r="Z976" s="11"/>
      <c r="AA976" s="11"/>
      <c r="AB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95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95"/>
      <c r="W977" s="11"/>
      <c r="X977" s="11"/>
      <c r="Y977" s="11"/>
      <c r="Z977" s="11"/>
      <c r="AA977" s="11"/>
      <c r="AB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95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95"/>
      <c r="W978" s="11"/>
      <c r="X978" s="11"/>
      <c r="Y978" s="11"/>
      <c r="Z978" s="11"/>
      <c r="AA978" s="11"/>
      <c r="AB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95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95"/>
      <c r="W979" s="11"/>
      <c r="X979" s="11"/>
      <c r="Y979" s="11"/>
      <c r="Z979" s="11"/>
      <c r="AA979" s="11"/>
      <c r="AB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95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95"/>
      <c r="W980" s="11"/>
      <c r="X980" s="11"/>
      <c r="Y980" s="11"/>
      <c r="Z980" s="11"/>
      <c r="AA980" s="11"/>
      <c r="AB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95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95"/>
      <c r="W981" s="11"/>
      <c r="X981" s="11"/>
      <c r="Y981" s="11"/>
      <c r="Z981" s="11"/>
      <c r="AA981" s="11"/>
      <c r="AB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95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95"/>
      <c r="W982" s="11"/>
      <c r="X982" s="11"/>
      <c r="Y982" s="11"/>
      <c r="Z982" s="11"/>
      <c r="AA982" s="11"/>
      <c r="AB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95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95"/>
      <c r="W983" s="11"/>
      <c r="X983" s="11"/>
      <c r="Y983" s="11"/>
      <c r="Z983" s="11"/>
      <c r="AA983" s="11"/>
      <c r="AB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95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95"/>
      <c r="W984" s="11"/>
      <c r="X984" s="11"/>
      <c r="Y984" s="11"/>
      <c r="Z984" s="11"/>
      <c r="AA984" s="11"/>
      <c r="AB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95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95"/>
      <c r="W985" s="11"/>
      <c r="X985" s="11"/>
      <c r="Y985" s="11"/>
      <c r="Z985" s="11"/>
      <c r="AA985" s="11"/>
      <c r="AB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95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95"/>
      <c r="W986" s="11"/>
      <c r="X986" s="11"/>
      <c r="Y986" s="11"/>
      <c r="Z986" s="11"/>
      <c r="AA986" s="11"/>
      <c r="AB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95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95"/>
      <c r="W987" s="11"/>
      <c r="X987" s="11"/>
      <c r="Y987" s="11"/>
      <c r="Z987" s="11"/>
      <c r="AA987" s="11"/>
      <c r="AB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95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95"/>
      <c r="W988" s="11"/>
      <c r="X988" s="11"/>
      <c r="Y988" s="11"/>
      <c r="Z988" s="11"/>
      <c r="AA988" s="11"/>
      <c r="AB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95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95"/>
      <c r="W989" s="11"/>
      <c r="X989" s="11"/>
      <c r="Y989" s="11"/>
      <c r="Z989" s="11"/>
      <c r="AA989" s="11"/>
      <c r="AB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95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95"/>
      <c r="W990" s="11"/>
      <c r="X990" s="11"/>
      <c r="Y990" s="11"/>
      <c r="Z990" s="11"/>
      <c r="AA990" s="11"/>
      <c r="AB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95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95"/>
      <c r="W991" s="11"/>
      <c r="X991" s="11"/>
      <c r="Y991" s="11"/>
      <c r="Z991" s="11"/>
      <c r="AA991" s="11"/>
      <c r="AB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95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95"/>
      <c r="W992" s="11"/>
      <c r="X992" s="11"/>
      <c r="Y992" s="11"/>
      <c r="Z992" s="11"/>
      <c r="AA992" s="11"/>
      <c r="AB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95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95"/>
      <c r="W993" s="11"/>
      <c r="X993" s="11"/>
      <c r="Y993" s="11"/>
      <c r="Z993" s="11"/>
      <c r="AA993" s="11"/>
      <c r="AB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95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95"/>
      <c r="W994" s="11"/>
      <c r="X994" s="11"/>
      <c r="Y994" s="11"/>
      <c r="Z994" s="11"/>
      <c r="AA994" s="11"/>
      <c r="AB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95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95"/>
      <c r="W995" s="11"/>
      <c r="X995" s="11"/>
      <c r="Y995" s="11"/>
      <c r="Z995" s="11"/>
      <c r="AA995" s="11"/>
      <c r="AB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95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95"/>
      <c r="W996" s="11"/>
      <c r="X996" s="11"/>
      <c r="Y996" s="11"/>
      <c r="Z996" s="11"/>
      <c r="AA996" s="11"/>
      <c r="AB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95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95"/>
      <c r="W997" s="11"/>
      <c r="X997" s="11"/>
      <c r="Y997" s="11"/>
      <c r="Z997" s="11"/>
      <c r="AA997" s="11"/>
      <c r="AB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95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95"/>
      <c r="W998" s="11"/>
      <c r="X998" s="11"/>
      <c r="Y998" s="11"/>
      <c r="Z998" s="11"/>
      <c r="AA998" s="11"/>
      <c r="AB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95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95"/>
      <c r="W999" s="11"/>
      <c r="X999" s="11"/>
      <c r="Y999" s="11"/>
      <c r="Z999" s="11"/>
      <c r="AA999" s="11"/>
      <c r="AB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95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95"/>
      <c r="W1000" s="11"/>
      <c r="X1000" s="11"/>
      <c r="Y1000" s="11"/>
      <c r="Z1000" s="11"/>
      <c r="AA1000" s="11"/>
      <c r="AB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95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95"/>
      <c r="W1001" s="11"/>
      <c r="X1001" s="11"/>
      <c r="Y1001" s="11"/>
      <c r="Z1001" s="11"/>
      <c r="AA1001" s="11"/>
      <c r="AB1001" s="11"/>
    </row>
    <row r="1002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95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95"/>
      <c r="W1002" s="11"/>
      <c r="X1002" s="11"/>
      <c r="Y1002" s="11"/>
      <c r="Z1002" s="11"/>
      <c r="AA1002" s="11"/>
      <c r="AB1002" s="11"/>
    </row>
    <row r="1003" ht="15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95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95"/>
      <c r="W1003" s="11"/>
      <c r="X1003" s="11"/>
      <c r="Y1003" s="11"/>
      <c r="Z1003" s="11"/>
      <c r="AA1003" s="11"/>
      <c r="AB1003" s="11"/>
    </row>
    <row r="1004" ht="15.7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95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95"/>
      <c r="W1004" s="11"/>
      <c r="X1004" s="11"/>
      <c r="Y1004" s="11"/>
      <c r="Z1004" s="11"/>
      <c r="AA1004" s="11"/>
      <c r="AB1004" s="11"/>
    </row>
    <row r="1005" ht="15.75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95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95"/>
      <c r="W1005" s="11"/>
      <c r="X1005" s="11"/>
      <c r="Y1005" s="11"/>
      <c r="Z1005" s="11"/>
      <c r="AA1005" s="11"/>
      <c r="AB1005" s="11"/>
    </row>
    <row r="1006" ht="15.75" customHeight="1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95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95"/>
      <c r="W1006" s="11"/>
      <c r="X1006" s="11"/>
      <c r="Y1006" s="11"/>
      <c r="Z1006" s="11"/>
      <c r="AA1006" s="11"/>
      <c r="AB1006" s="11"/>
    </row>
    <row r="1007" ht="15.75" customHeight="1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95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95"/>
      <c r="W1007" s="11"/>
      <c r="X1007" s="11"/>
      <c r="Y1007" s="11"/>
      <c r="Z1007" s="11"/>
      <c r="AA1007" s="11"/>
      <c r="AB1007" s="11"/>
    </row>
    <row r="1008" ht="15.75" customHeight="1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95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95"/>
      <c r="W1008" s="11"/>
      <c r="X1008" s="11"/>
      <c r="Y1008" s="11"/>
      <c r="Z1008" s="11"/>
      <c r="AA1008" s="11"/>
      <c r="AB1008" s="11"/>
    </row>
    <row r="1009" ht="15.75" customHeight="1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95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95"/>
      <c r="W1009" s="11"/>
      <c r="X1009" s="11"/>
      <c r="Y1009" s="11"/>
      <c r="Z1009" s="11"/>
      <c r="AA1009" s="11"/>
      <c r="AB1009" s="11"/>
    </row>
  </sheetData>
  <mergeCells count="1">
    <mergeCell ref="A2:B2"/>
  </mergeCells>
  <conditionalFormatting sqref="K2:K58">
    <cfRule type="cellIs" dxfId="2" priority="1" operator="greaterThanOrEqual">
      <formula>0</formula>
    </cfRule>
  </conditionalFormatting>
  <conditionalFormatting sqref="K2:K58">
    <cfRule type="cellIs" dxfId="1" priority="2" operator="lessThan">
      <formula>0</formula>
    </cfRule>
  </conditionalFormatting>
  <conditionalFormatting sqref="V2:V63">
    <cfRule type="cellIs" dxfId="0" priority="3" operator="greaterThanOrEqual">
      <formula>0</formula>
    </cfRule>
  </conditionalFormatting>
  <conditionalFormatting sqref="V2:V63">
    <cfRule type="cellIs" dxfId="1" priority="4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38"/>
    <col hidden="1" min="2" max="5" width="12.63"/>
  </cols>
  <sheetData>
    <row r="1">
      <c r="A1" s="96" t="s">
        <v>69</v>
      </c>
      <c r="B1" s="97">
        <v>46048.0</v>
      </c>
      <c r="C1" s="97">
        <v>46054.0</v>
      </c>
      <c r="D1" s="97">
        <v>46082.0</v>
      </c>
      <c r="E1" s="97">
        <v>46113.0</v>
      </c>
      <c r="F1" s="97">
        <v>46143.0</v>
      </c>
      <c r="G1" s="97">
        <v>46174.0</v>
      </c>
      <c r="H1" s="97">
        <v>46204.0</v>
      </c>
      <c r="I1" s="97">
        <v>46235.0</v>
      </c>
      <c r="J1" s="97">
        <v>46266.0</v>
      </c>
      <c r="K1" s="97">
        <v>46296.0</v>
      </c>
      <c r="L1" s="97">
        <v>46327.0</v>
      </c>
      <c r="M1" s="97">
        <v>46357.0</v>
      </c>
      <c r="N1" s="98"/>
      <c r="O1" s="98"/>
      <c r="P1" s="98"/>
      <c r="Q1" s="98"/>
      <c r="R1" s="98"/>
      <c r="S1" s="98"/>
      <c r="T1" s="99"/>
      <c r="U1" s="99"/>
      <c r="V1" s="99"/>
      <c r="W1" s="99"/>
      <c r="X1" s="99"/>
      <c r="Y1" s="99"/>
    </row>
    <row r="2">
      <c r="A2" s="100" t="s">
        <v>70</v>
      </c>
      <c r="B2" s="101"/>
      <c r="C2" s="101"/>
      <c r="D2" s="101"/>
      <c r="E2" s="101"/>
      <c r="F2" s="102">
        <v>3272867.0</v>
      </c>
      <c r="G2" s="103">
        <v>3407958.0</v>
      </c>
      <c r="H2" s="103">
        <v>3167821.0</v>
      </c>
      <c r="I2" s="103">
        <v>2489454.0</v>
      </c>
      <c r="J2" s="104"/>
      <c r="K2" s="104"/>
      <c r="L2" s="104"/>
      <c r="M2" s="104"/>
      <c r="N2" s="105"/>
      <c r="O2" s="105"/>
      <c r="P2" s="105"/>
      <c r="Q2" s="105"/>
      <c r="R2" s="105"/>
      <c r="S2" s="105"/>
      <c r="T2" s="99"/>
      <c r="U2" s="99"/>
      <c r="V2" s="99"/>
      <c r="W2" s="99"/>
      <c r="X2" s="99"/>
      <c r="Y2" s="99"/>
    </row>
    <row r="3">
      <c r="A3" s="106" t="s">
        <v>32</v>
      </c>
      <c r="B3" s="107"/>
      <c r="C3" s="107"/>
      <c r="D3" s="107"/>
      <c r="E3" s="107"/>
      <c r="F3" s="108"/>
      <c r="G3" s="107">
        <f t="shared" ref="G3:I3" si="1">G2-F2</f>
        <v>135091</v>
      </c>
      <c r="H3" s="107">
        <f t="shared" si="1"/>
        <v>-240137</v>
      </c>
      <c r="I3" s="107">
        <f t="shared" si="1"/>
        <v>-678367</v>
      </c>
      <c r="J3" s="108"/>
      <c r="K3" s="108"/>
      <c r="L3" s="108"/>
      <c r="M3" s="108"/>
      <c r="N3" s="105"/>
      <c r="O3" s="105"/>
      <c r="P3" s="105"/>
      <c r="Q3" s="105"/>
      <c r="R3" s="105"/>
      <c r="S3" s="105"/>
      <c r="T3" s="99"/>
      <c r="U3" s="99"/>
      <c r="V3" s="99"/>
      <c r="W3" s="99"/>
      <c r="X3" s="99"/>
      <c r="Y3" s="99"/>
    </row>
    <row r="4">
      <c r="A4" s="106" t="s">
        <v>35</v>
      </c>
      <c r="B4" s="107"/>
      <c r="C4" s="107"/>
      <c r="D4" s="107"/>
      <c r="E4" s="107"/>
      <c r="F4" s="107"/>
      <c r="G4" s="108">
        <f t="shared" ref="G4:I4" si="2">G2/F2-1</f>
        <v>0.0412760433</v>
      </c>
      <c r="H4" s="108">
        <f t="shared" si="2"/>
        <v>-0.07046360313</v>
      </c>
      <c r="I4" s="108">
        <f t="shared" si="2"/>
        <v>-0.2141430971</v>
      </c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99"/>
      <c r="U4" s="99"/>
      <c r="V4" s="99"/>
      <c r="W4" s="99"/>
      <c r="X4" s="99"/>
      <c r="Y4" s="99"/>
    </row>
    <row r="5">
      <c r="A5" s="109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99"/>
      <c r="U5" s="99"/>
      <c r="V5" s="99"/>
      <c r="W5" s="99"/>
      <c r="X5" s="99"/>
      <c r="Y5" s="99"/>
    </row>
    <row r="6">
      <c r="A6" s="110" t="s">
        <v>71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99"/>
      <c r="U6" s="99"/>
      <c r="V6" s="99"/>
      <c r="W6" s="99"/>
      <c r="X6" s="99"/>
      <c r="Y6" s="99"/>
    </row>
    <row r="7">
      <c r="A7" s="112" t="s">
        <v>46</v>
      </c>
      <c r="B7" s="113"/>
      <c r="C7" s="105"/>
      <c r="D7" s="105"/>
      <c r="E7" s="105"/>
      <c r="F7" s="103">
        <v>976664.0</v>
      </c>
      <c r="G7" s="103">
        <v>842352.0</v>
      </c>
      <c r="H7" s="103">
        <v>810565.0</v>
      </c>
      <c r="I7" s="103">
        <v>562237.0</v>
      </c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99"/>
      <c r="U7" s="99"/>
      <c r="V7" s="99"/>
      <c r="W7" s="99"/>
      <c r="X7" s="99"/>
      <c r="Y7" s="99"/>
    </row>
    <row r="8">
      <c r="A8" s="114" t="s">
        <v>72</v>
      </c>
      <c r="B8" s="105"/>
      <c r="C8" s="105"/>
      <c r="D8" s="105"/>
      <c r="E8" s="105"/>
      <c r="F8" s="103">
        <v>294668.0</v>
      </c>
      <c r="G8" s="103">
        <v>573611.0</v>
      </c>
      <c r="H8" s="103">
        <v>154889.0</v>
      </c>
      <c r="I8" s="103">
        <v>198174.0</v>
      </c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99"/>
      <c r="U8" s="99"/>
      <c r="V8" s="99"/>
      <c r="W8" s="99"/>
      <c r="X8" s="99"/>
      <c r="Y8" s="99"/>
    </row>
    <row r="9">
      <c r="A9" s="112" t="s">
        <v>73</v>
      </c>
      <c r="B9" s="113"/>
      <c r="C9" s="105"/>
      <c r="D9" s="105"/>
      <c r="E9" s="105"/>
      <c r="F9" s="103">
        <v>236663.0</v>
      </c>
      <c r="G9" s="103">
        <v>193278.0</v>
      </c>
      <c r="H9" s="103">
        <v>195988.0</v>
      </c>
      <c r="I9" s="103">
        <v>150305.0</v>
      </c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99"/>
      <c r="U9" s="99"/>
      <c r="V9" s="99"/>
      <c r="W9" s="99"/>
      <c r="X9" s="99"/>
      <c r="Y9" s="99"/>
    </row>
    <row r="10">
      <c r="A10" s="114" t="s">
        <v>74</v>
      </c>
      <c r="B10" s="105"/>
      <c r="C10" s="105"/>
      <c r="D10" s="105"/>
      <c r="E10" s="105"/>
      <c r="F10" s="103">
        <v>210707.0</v>
      </c>
      <c r="G10" s="103">
        <v>237410.0</v>
      </c>
      <c r="H10" s="103">
        <v>227699.0</v>
      </c>
      <c r="I10" s="103">
        <v>138282.0</v>
      </c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99"/>
      <c r="U10" s="99"/>
      <c r="V10" s="99"/>
      <c r="W10" s="99"/>
      <c r="X10" s="99"/>
      <c r="Y10" s="99"/>
    </row>
    <row r="11">
      <c r="A11" s="115" t="s">
        <v>48</v>
      </c>
      <c r="B11" s="105"/>
      <c r="C11" s="105"/>
      <c r="D11" s="105"/>
      <c r="E11" s="105"/>
      <c r="F11" s="107">
        <f t="shared" ref="F11:I11" si="3">sum(F12:F22)</f>
        <v>150769</v>
      </c>
      <c r="G11" s="107">
        <f t="shared" si="3"/>
        <v>126976</v>
      </c>
      <c r="H11" s="107">
        <f t="shared" si="3"/>
        <v>125336</v>
      </c>
      <c r="I11" s="107">
        <f t="shared" si="3"/>
        <v>159027</v>
      </c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99"/>
      <c r="U11" s="99"/>
      <c r="V11" s="99"/>
      <c r="W11" s="99"/>
      <c r="X11" s="99"/>
      <c r="Y11" s="99"/>
    </row>
    <row r="12">
      <c r="A12" s="116" t="s">
        <v>75</v>
      </c>
      <c r="B12" s="117"/>
      <c r="C12" s="117"/>
      <c r="D12" s="117"/>
      <c r="E12" s="117"/>
      <c r="F12" s="118">
        <f>'Financial Hub'!J6</f>
        <v>127284</v>
      </c>
      <c r="G12" s="118">
        <f>'Financial Hub'!K6</f>
        <v>76228</v>
      </c>
      <c r="H12" s="118">
        <f>'Financial Hub'!L6</f>
        <v>65899</v>
      </c>
      <c r="I12" s="118">
        <f>'Financial Hub'!M6</f>
        <v>84745</v>
      </c>
      <c r="J12" s="117"/>
      <c r="K12" s="117"/>
      <c r="L12" s="117"/>
      <c r="M12" s="117"/>
      <c r="N12" s="105"/>
      <c r="O12" s="105"/>
      <c r="P12" s="105"/>
      <c r="Q12" s="105"/>
      <c r="R12" s="105"/>
      <c r="S12" s="105"/>
      <c r="T12" s="99"/>
      <c r="U12" s="99"/>
      <c r="V12" s="99"/>
      <c r="W12" s="99"/>
      <c r="X12" s="99"/>
      <c r="Y12" s="99"/>
    </row>
    <row r="13">
      <c r="A13" s="119" t="s">
        <v>76</v>
      </c>
      <c r="B13" s="117"/>
      <c r="C13" s="117"/>
      <c r="D13" s="117"/>
      <c r="E13" s="117"/>
      <c r="F13" s="118">
        <f>'Financial Hub'!J14</f>
        <v>7894</v>
      </c>
      <c r="G13" s="118">
        <f>'Financial Hub'!K14</f>
        <v>8565</v>
      </c>
      <c r="H13" s="118">
        <f>'Financial Hub'!L14</f>
        <v>29368</v>
      </c>
      <c r="I13" s="118">
        <f>'Financial Hub'!M14</f>
        <v>55110</v>
      </c>
      <c r="J13" s="117"/>
      <c r="K13" s="117"/>
      <c r="L13" s="117"/>
      <c r="M13" s="117"/>
      <c r="N13" s="105"/>
      <c r="O13" s="105"/>
      <c r="P13" s="105"/>
      <c r="Q13" s="105"/>
      <c r="R13" s="105"/>
      <c r="S13" s="105"/>
      <c r="T13" s="99"/>
      <c r="U13" s="99"/>
      <c r="V13" s="99"/>
      <c r="W13" s="99"/>
      <c r="X13" s="99"/>
      <c r="Y13" s="99"/>
    </row>
    <row r="14">
      <c r="A14" s="119" t="s">
        <v>77</v>
      </c>
      <c r="B14" s="117"/>
      <c r="C14" s="117"/>
      <c r="D14" s="117"/>
      <c r="E14" s="117"/>
      <c r="F14" s="118">
        <f>'Financial Hub'!J22</f>
        <v>10134</v>
      </c>
      <c r="G14" s="118">
        <f>'Financial Hub'!K22</f>
        <v>37232</v>
      </c>
      <c r="H14" s="118">
        <f>'Financial Hub'!L22</f>
        <v>22949</v>
      </c>
      <c r="I14" s="118">
        <f>'Financial Hub'!M22</f>
        <v>14206</v>
      </c>
      <c r="J14" s="117"/>
      <c r="K14" s="117"/>
      <c r="L14" s="117"/>
      <c r="M14" s="117"/>
      <c r="N14" s="105"/>
      <c r="O14" s="105"/>
      <c r="P14" s="105"/>
      <c r="Q14" s="105"/>
      <c r="R14" s="105"/>
      <c r="S14" s="105"/>
      <c r="T14" s="99"/>
      <c r="U14" s="99"/>
      <c r="V14" s="99"/>
      <c r="W14" s="99"/>
      <c r="X14" s="99"/>
      <c r="Y14" s="99"/>
    </row>
    <row r="15">
      <c r="A15" s="119" t="s">
        <v>78</v>
      </c>
      <c r="B15" s="117"/>
      <c r="C15" s="117"/>
      <c r="D15" s="117"/>
      <c r="E15" s="117"/>
      <c r="F15" s="118">
        <f>'Financial Hub'!J30</f>
        <v>1131</v>
      </c>
      <c r="G15" s="118">
        <f>'Financial Hub'!K30</f>
        <v>1029</v>
      </c>
      <c r="H15" s="118">
        <f>'Financial Hub'!L30</f>
        <v>2339</v>
      </c>
      <c r="I15" s="118">
        <f>'Financial Hub'!M30</f>
        <v>1808</v>
      </c>
      <c r="J15" s="117"/>
      <c r="K15" s="117"/>
      <c r="L15" s="117"/>
      <c r="M15" s="117"/>
      <c r="N15" s="105"/>
      <c r="O15" s="105"/>
      <c r="P15" s="105"/>
      <c r="Q15" s="105"/>
      <c r="R15" s="105"/>
      <c r="S15" s="105"/>
      <c r="T15" s="99"/>
      <c r="U15" s="99"/>
      <c r="V15" s="99"/>
      <c r="W15" s="99"/>
      <c r="X15" s="99"/>
      <c r="Y15" s="99"/>
    </row>
    <row r="16">
      <c r="A16" s="119" t="s">
        <v>79</v>
      </c>
      <c r="B16" s="117"/>
      <c r="C16" s="117"/>
      <c r="D16" s="117"/>
      <c r="E16" s="117"/>
      <c r="F16" s="118">
        <f>'Financial Hub'!J38</f>
        <v>1634</v>
      </c>
      <c r="G16" s="118">
        <f>'Financial Hub'!K38</f>
        <v>1422</v>
      </c>
      <c r="H16" s="118">
        <f>'Financial Hub'!L38</f>
        <v>1629</v>
      </c>
      <c r="I16" s="118">
        <f>'Financial Hub'!M38</f>
        <v>1061</v>
      </c>
      <c r="J16" s="117"/>
      <c r="K16" s="117"/>
      <c r="L16" s="117"/>
      <c r="M16" s="117"/>
      <c r="N16" s="105"/>
      <c r="O16" s="105"/>
      <c r="P16" s="105"/>
      <c r="Q16" s="105"/>
      <c r="R16" s="105"/>
      <c r="S16" s="105"/>
      <c r="T16" s="99"/>
      <c r="U16" s="99"/>
      <c r="V16" s="99"/>
      <c r="W16" s="99"/>
      <c r="X16" s="99"/>
      <c r="Y16" s="99"/>
    </row>
    <row r="17">
      <c r="A17" s="119" t="s">
        <v>80</v>
      </c>
      <c r="B17" s="117"/>
      <c r="C17" s="117"/>
      <c r="D17" s="117"/>
      <c r="E17" s="117"/>
      <c r="F17" s="118">
        <f>'Financial Hub'!J45</f>
        <v>807</v>
      </c>
      <c r="G17" s="118">
        <f>'Financial Hub'!K45</f>
        <v>771</v>
      </c>
      <c r="H17" s="118">
        <f>'Financial Hub'!L45</f>
        <v>1167</v>
      </c>
      <c r="I17" s="118">
        <f>'Financial Hub'!M45</f>
        <v>794</v>
      </c>
      <c r="J17" s="117"/>
      <c r="K17" s="117"/>
      <c r="L17" s="117"/>
      <c r="M17" s="117"/>
      <c r="N17" s="105"/>
      <c r="O17" s="105"/>
      <c r="P17" s="105"/>
      <c r="Q17" s="105"/>
      <c r="R17" s="105"/>
      <c r="S17" s="105"/>
      <c r="T17" s="99"/>
      <c r="U17" s="99"/>
      <c r="V17" s="99"/>
      <c r="W17" s="99"/>
      <c r="X17" s="99"/>
      <c r="Y17" s="99"/>
    </row>
    <row r="18">
      <c r="A18" s="119" t="s">
        <v>81</v>
      </c>
      <c r="B18" s="117"/>
      <c r="C18" s="117"/>
      <c r="D18" s="117"/>
      <c r="E18" s="117"/>
      <c r="F18" s="118">
        <f>'Financial Hub'!J52</f>
        <v>689</v>
      </c>
      <c r="G18" s="118">
        <f>'Financial Hub'!K52</f>
        <v>666</v>
      </c>
      <c r="H18" s="118">
        <f>'Financial Hub'!L52</f>
        <v>702</v>
      </c>
      <c r="I18" s="118">
        <f>'Financial Hub'!M52</f>
        <v>463</v>
      </c>
      <c r="J18" s="117"/>
      <c r="K18" s="117"/>
      <c r="L18" s="117"/>
      <c r="M18" s="117"/>
      <c r="N18" s="105"/>
      <c r="O18" s="105"/>
      <c r="P18" s="105"/>
      <c r="Q18" s="105"/>
      <c r="R18" s="105"/>
      <c r="S18" s="105"/>
      <c r="T18" s="99"/>
      <c r="U18" s="99"/>
      <c r="V18" s="99"/>
      <c r="W18" s="99"/>
      <c r="X18" s="99"/>
      <c r="Y18" s="99"/>
    </row>
    <row r="19">
      <c r="A19" s="119" t="s">
        <v>82</v>
      </c>
      <c r="B19" s="117"/>
      <c r="C19" s="117"/>
      <c r="D19" s="117"/>
      <c r="E19" s="117"/>
      <c r="F19" s="118">
        <f>'Financial Hub'!J60</f>
        <v>430</v>
      </c>
      <c r="G19" s="118">
        <f>'Financial Hub'!K60</f>
        <v>408</v>
      </c>
      <c r="H19" s="118">
        <f>'Financial Hub'!L60</f>
        <v>550</v>
      </c>
      <c r="I19" s="118">
        <f>'Financial Hub'!M60</f>
        <v>386</v>
      </c>
      <c r="J19" s="117"/>
      <c r="K19" s="117"/>
      <c r="L19" s="117"/>
      <c r="M19" s="117"/>
      <c r="N19" s="105"/>
      <c r="O19" s="105"/>
      <c r="P19" s="105"/>
      <c r="Q19" s="105"/>
      <c r="R19" s="105"/>
      <c r="S19" s="105"/>
      <c r="T19" s="99"/>
      <c r="U19" s="99"/>
      <c r="V19" s="99"/>
      <c r="W19" s="99"/>
      <c r="X19" s="99"/>
      <c r="Y19" s="99"/>
    </row>
    <row r="20">
      <c r="A20" s="119" t="s">
        <v>83</v>
      </c>
      <c r="B20" s="117"/>
      <c r="C20" s="117"/>
      <c r="D20" s="117"/>
      <c r="E20" s="117"/>
      <c r="F20" s="118">
        <f>'Financial Hub'!J67</f>
        <v>482</v>
      </c>
      <c r="G20" s="118">
        <f>'Financial Hub'!K67</f>
        <v>427</v>
      </c>
      <c r="H20" s="118">
        <f>'Financial Hub'!L67</f>
        <v>468</v>
      </c>
      <c r="I20" s="118">
        <f>'Financial Hub'!M67</f>
        <v>300</v>
      </c>
      <c r="J20" s="117"/>
      <c r="K20" s="117"/>
      <c r="L20" s="117"/>
      <c r="M20" s="117"/>
      <c r="N20" s="105"/>
      <c r="O20" s="105"/>
      <c r="P20" s="105"/>
      <c r="Q20" s="105"/>
      <c r="R20" s="105"/>
      <c r="S20" s="105"/>
      <c r="T20" s="99"/>
      <c r="U20" s="99"/>
      <c r="V20" s="99"/>
      <c r="W20" s="99"/>
      <c r="X20" s="99"/>
      <c r="Y20" s="99"/>
    </row>
    <row r="21">
      <c r="A21" s="119" t="s">
        <v>84</v>
      </c>
      <c r="B21" s="117"/>
      <c r="C21" s="117"/>
      <c r="D21" s="117"/>
      <c r="E21" s="117"/>
      <c r="F21" s="118">
        <f>'Financial Hub'!J74</f>
        <v>256</v>
      </c>
      <c r="G21" s="118">
        <f>'Financial Hub'!K74</f>
        <v>206</v>
      </c>
      <c r="H21" s="118">
        <f>'Financial Hub'!L74</f>
        <v>237</v>
      </c>
      <c r="I21" s="118">
        <f>'Financial Hub'!M74</f>
        <v>137</v>
      </c>
      <c r="J21" s="117"/>
      <c r="K21" s="117"/>
      <c r="L21" s="117"/>
      <c r="M21" s="117"/>
      <c r="N21" s="105"/>
      <c r="O21" s="105"/>
      <c r="P21" s="105"/>
      <c r="Q21" s="105"/>
      <c r="R21" s="105"/>
      <c r="S21" s="105"/>
      <c r="T21" s="99"/>
      <c r="U21" s="99"/>
      <c r="V21" s="99"/>
      <c r="W21" s="99"/>
      <c r="X21" s="99"/>
      <c r="Y21" s="99"/>
    </row>
    <row r="22">
      <c r="A22" s="119" t="s">
        <v>85</v>
      </c>
      <c r="B22" s="117"/>
      <c r="C22" s="117"/>
      <c r="D22" s="117"/>
      <c r="E22" s="117"/>
      <c r="F22" s="118">
        <f>'Financial Hub'!J81</f>
        <v>28</v>
      </c>
      <c r="G22" s="118">
        <f>'Financial Hub'!K81</f>
        <v>22</v>
      </c>
      <c r="H22" s="118">
        <f>'Financial Hub'!L81</f>
        <v>28</v>
      </c>
      <c r="I22" s="118">
        <f>'Financial Hub'!M81</f>
        <v>17</v>
      </c>
      <c r="J22" s="117"/>
      <c r="K22" s="117"/>
      <c r="L22" s="117"/>
      <c r="M22" s="117"/>
      <c r="N22" s="105"/>
      <c r="O22" s="105"/>
      <c r="P22" s="105"/>
      <c r="Q22" s="105"/>
      <c r="R22" s="105"/>
      <c r="S22" s="105"/>
      <c r="T22" s="99"/>
      <c r="U22" s="99"/>
      <c r="V22" s="99"/>
      <c r="W22" s="99"/>
      <c r="X22" s="99"/>
      <c r="Y22" s="99"/>
    </row>
    <row r="23">
      <c r="A23" s="114" t="s">
        <v>86</v>
      </c>
      <c r="B23" s="105"/>
      <c r="C23" s="105"/>
      <c r="D23" s="105"/>
      <c r="E23" s="105"/>
      <c r="F23" s="103">
        <v>57713.0</v>
      </c>
      <c r="G23" s="103">
        <v>36827.0</v>
      </c>
      <c r="H23" s="103">
        <v>57118.0</v>
      </c>
      <c r="I23" s="103">
        <v>31153.0</v>
      </c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99"/>
      <c r="U23" s="99"/>
      <c r="V23" s="99"/>
      <c r="W23" s="99"/>
      <c r="X23" s="99"/>
      <c r="Y23" s="99"/>
    </row>
    <row r="24">
      <c r="A24" s="114" t="s">
        <v>87</v>
      </c>
      <c r="B24" s="105"/>
      <c r="C24" s="105"/>
      <c r="D24" s="105"/>
      <c r="E24" s="105"/>
      <c r="F24" s="103">
        <v>12014.0</v>
      </c>
      <c r="G24" s="103">
        <v>10943.0</v>
      </c>
      <c r="H24" s="103">
        <v>12417.0</v>
      </c>
      <c r="I24" s="103">
        <v>10465.0</v>
      </c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99"/>
      <c r="U24" s="99"/>
      <c r="V24" s="99"/>
      <c r="W24" s="99"/>
      <c r="X24" s="99"/>
      <c r="Y24" s="99"/>
    </row>
    <row r="25">
      <c r="A25" s="114" t="s">
        <v>88</v>
      </c>
      <c r="B25" s="105"/>
      <c r="C25" s="105"/>
      <c r="D25" s="105"/>
      <c r="E25" s="105"/>
      <c r="F25" s="103">
        <v>4910.0</v>
      </c>
      <c r="G25" s="103">
        <v>3905.0</v>
      </c>
      <c r="H25" s="103">
        <v>5280.0</v>
      </c>
      <c r="I25" s="103">
        <v>5746.0</v>
      </c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99"/>
      <c r="U25" s="99"/>
      <c r="V25" s="99"/>
      <c r="W25" s="99"/>
      <c r="X25" s="99"/>
      <c r="Y25" s="99"/>
    </row>
    <row r="26">
      <c r="A26" s="114" t="s">
        <v>89</v>
      </c>
      <c r="B26" s="105"/>
      <c r="C26" s="105"/>
      <c r="D26" s="105"/>
      <c r="E26" s="105"/>
      <c r="F26" s="103">
        <v>6052.0</v>
      </c>
      <c r="G26" s="103">
        <v>14059.0</v>
      </c>
      <c r="H26" s="103">
        <v>30251.0</v>
      </c>
      <c r="I26" s="103">
        <v>7667.0</v>
      </c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99"/>
      <c r="U26" s="99"/>
      <c r="V26" s="99"/>
      <c r="W26" s="99"/>
      <c r="X26" s="99"/>
      <c r="Y26" s="99"/>
    </row>
    <row r="27">
      <c r="A27" s="114" t="s">
        <v>34</v>
      </c>
      <c r="B27" s="105"/>
      <c r="C27" s="105"/>
      <c r="D27" s="105"/>
      <c r="E27" s="105"/>
      <c r="F27" s="103">
        <v>1321017.0</v>
      </c>
      <c r="G27" s="103">
        <v>1365943.0</v>
      </c>
      <c r="H27" s="103">
        <v>1545397.0</v>
      </c>
      <c r="I27" s="103">
        <v>1289591.0</v>
      </c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99"/>
      <c r="U27" s="99"/>
      <c r="V27" s="99"/>
      <c r="W27" s="99"/>
      <c r="X27" s="99"/>
      <c r="Y27" s="99"/>
    </row>
    <row r="28">
      <c r="A28" s="114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99"/>
      <c r="U28" s="99"/>
      <c r="V28" s="99"/>
      <c r="W28" s="99"/>
      <c r="X28" s="99"/>
      <c r="Y28" s="99"/>
    </row>
    <row r="29">
      <c r="A29" s="120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99"/>
      <c r="U29" s="99"/>
      <c r="V29" s="99"/>
      <c r="W29" s="99"/>
      <c r="X29" s="99"/>
      <c r="Y29" s="99"/>
    </row>
    <row r="30">
      <c r="A30" s="121" t="s">
        <v>90</v>
      </c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99"/>
      <c r="U30" s="99"/>
      <c r="V30" s="99"/>
      <c r="W30" s="99"/>
      <c r="X30" s="99"/>
      <c r="Y30" s="99"/>
    </row>
    <row r="31">
      <c r="A31" s="122" t="s">
        <v>91</v>
      </c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99"/>
      <c r="U31" s="99"/>
      <c r="V31" s="99"/>
      <c r="W31" s="99"/>
      <c r="X31" s="99"/>
      <c r="Y31" s="99"/>
    </row>
    <row r="32">
      <c r="A32" s="122" t="s">
        <v>92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99"/>
      <c r="U32" s="99"/>
      <c r="V32" s="99"/>
      <c r="W32" s="99"/>
      <c r="X32" s="99"/>
      <c r="Y32" s="99"/>
    </row>
    <row r="33">
      <c r="A33" s="123" t="s">
        <v>93</v>
      </c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99"/>
      <c r="U33" s="99"/>
      <c r="V33" s="99"/>
      <c r="W33" s="99"/>
      <c r="X33" s="99"/>
      <c r="Y33" s="99"/>
    </row>
    <row r="34">
      <c r="A34" s="122" t="s">
        <v>94</v>
      </c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99"/>
      <c r="U34" s="99"/>
      <c r="V34" s="99"/>
      <c r="W34" s="99"/>
      <c r="X34" s="99"/>
      <c r="Y34" s="99"/>
    </row>
    <row r="35">
      <c r="A35" s="122" t="s">
        <v>95</v>
      </c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99"/>
      <c r="U35" s="99"/>
      <c r="V35" s="99"/>
      <c r="W35" s="99"/>
      <c r="X35" s="99"/>
      <c r="Y35" s="99"/>
    </row>
    <row r="36">
      <c r="A36" s="122" t="s">
        <v>96</v>
      </c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99"/>
      <c r="U36" s="99"/>
      <c r="V36" s="99"/>
      <c r="W36" s="99"/>
      <c r="X36" s="99"/>
      <c r="Y36" s="99"/>
    </row>
    <row r="37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99"/>
      <c r="U37" s="99"/>
      <c r="V37" s="99"/>
      <c r="W37" s="99"/>
      <c r="X37" s="99"/>
      <c r="Y37" s="99"/>
    </row>
    <row r="38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99"/>
      <c r="U38" s="99"/>
      <c r="V38" s="99"/>
      <c r="W38" s="99"/>
      <c r="X38" s="99"/>
      <c r="Y38" s="99"/>
    </row>
    <row r="39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99"/>
      <c r="U39" s="99"/>
      <c r="V39" s="99"/>
      <c r="W39" s="99"/>
      <c r="X39" s="99"/>
      <c r="Y39" s="99"/>
    </row>
    <row r="40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99"/>
      <c r="U40" s="99"/>
      <c r="V40" s="99"/>
      <c r="W40" s="99"/>
      <c r="X40" s="99"/>
      <c r="Y40" s="99"/>
    </row>
    <row r="41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99"/>
      <c r="U41" s="99"/>
      <c r="V41" s="99"/>
      <c r="W41" s="99"/>
      <c r="X41" s="99"/>
      <c r="Y41" s="99"/>
    </row>
    <row r="42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99"/>
      <c r="U42" s="99"/>
      <c r="V42" s="99"/>
      <c r="W42" s="99"/>
      <c r="X42" s="99"/>
      <c r="Y42" s="99"/>
    </row>
    <row r="43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99"/>
      <c r="U43" s="99"/>
      <c r="V43" s="99"/>
      <c r="W43" s="99"/>
      <c r="X43" s="99"/>
      <c r="Y43" s="99"/>
    </row>
    <row r="44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99"/>
      <c r="U44" s="99"/>
      <c r="V44" s="99"/>
      <c r="W44" s="99"/>
      <c r="X44" s="99"/>
      <c r="Y44" s="99"/>
    </row>
    <row r="45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99"/>
      <c r="U45" s="99"/>
      <c r="V45" s="99"/>
      <c r="W45" s="99"/>
      <c r="X45" s="99"/>
      <c r="Y45" s="99"/>
    </row>
    <row r="46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99"/>
      <c r="U46" s="99"/>
      <c r="V46" s="99"/>
      <c r="W46" s="99"/>
      <c r="X46" s="99"/>
      <c r="Y46" s="99"/>
    </row>
    <row r="47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99"/>
      <c r="U47" s="99"/>
      <c r="V47" s="99"/>
      <c r="W47" s="99"/>
      <c r="X47" s="99"/>
      <c r="Y47" s="99"/>
    </row>
    <row r="48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99"/>
      <c r="U48" s="99"/>
      <c r="V48" s="99"/>
      <c r="W48" s="99"/>
      <c r="X48" s="99"/>
      <c r="Y48" s="99"/>
    </row>
    <row r="49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99"/>
      <c r="U49" s="99"/>
      <c r="V49" s="99"/>
      <c r="W49" s="99"/>
      <c r="X49" s="99"/>
      <c r="Y49" s="99"/>
    </row>
    <row r="50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99"/>
      <c r="U50" s="99"/>
      <c r="V50" s="99"/>
      <c r="W50" s="99"/>
      <c r="X50" s="99"/>
      <c r="Y50" s="99"/>
    </row>
    <row r="51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99"/>
      <c r="U51" s="99"/>
      <c r="V51" s="99"/>
      <c r="W51" s="99"/>
      <c r="X51" s="99"/>
      <c r="Y51" s="99"/>
    </row>
    <row r="52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99"/>
      <c r="U52" s="99"/>
      <c r="V52" s="99"/>
      <c r="W52" s="99"/>
      <c r="X52" s="99"/>
      <c r="Y52" s="99"/>
    </row>
    <row r="53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99"/>
      <c r="U53" s="99"/>
      <c r="V53" s="99"/>
      <c r="W53" s="99"/>
      <c r="X53" s="99"/>
      <c r="Y53" s="99"/>
    </row>
    <row r="54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99"/>
      <c r="U54" s="99"/>
      <c r="V54" s="99"/>
      <c r="W54" s="99"/>
      <c r="X54" s="99"/>
      <c r="Y54" s="99"/>
    </row>
    <row r="55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99"/>
      <c r="U55" s="99"/>
      <c r="V55" s="99"/>
      <c r="W55" s="99"/>
      <c r="X55" s="99"/>
      <c r="Y55" s="99"/>
    </row>
    <row r="56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99"/>
      <c r="U56" s="99"/>
      <c r="V56" s="99"/>
      <c r="W56" s="99"/>
      <c r="X56" s="99"/>
      <c r="Y56" s="99"/>
    </row>
    <row r="57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99"/>
      <c r="U57" s="99"/>
      <c r="V57" s="99"/>
      <c r="W57" s="99"/>
      <c r="X57" s="99"/>
      <c r="Y57" s="99"/>
    </row>
    <row r="58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99"/>
      <c r="U58" s="99"/>
      <c r="V58" s="99"/>
      <c r="W58" s="99"/>
      <c r="X58" s="99"/>
      <c r="Y58" s="99"/>
    </row>
    <row r="59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99"/>
      <c r="U59" s="99"/>
      <c r="V59" s="99"/>
      <c r="W59" s="99"/>
      <c r="X59" s="99"/>
      <c r="Y59" s="99"/>
    </row>
    <row r="60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99"/>
      <c r="U60" s="99"/>
      <c r="V60" s="99"/>
      <c r="W60" s="99"/>
      <c r="X60" s="99"/>
      <c r="Y60" s="99"/>
    </row>
    <row r="61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99"/>
      <c r="U61" s="99"/>
      <c r="V61" s="99"/>
      <c r="W61" s="99"/>
      <c r="X61" s="99"/>
      <c r="Y61" s="99"/>
    </row>
    <row r="62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99"/>
      <c r="U62" s="99"/>
      <c r="V62" s="99"/>
      <c r="W62" s="99"/>
      <c r="X62" s="99"/>
      <c r="Y62" s="99"/>
    </row>
    <row r="63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99"/>
      <c r="U63" s="99"/>
      <c r="V63" s="99"/>
      <c r="W63" s="99"/>
      <c r="X63" s="99"/>
      <c r="Y63" s="99"/>
    </row>
    <row r="64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99"/>
      <c r="U64" s="99"/>
      <c r="V64" s="99"/>
      <c r="W64" s="99"/>
      <c r="X64" s="99"/>
      <c r="Y64" s="99"/>
    </row>
    <row r="65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99"/>
      <c r="U65" s="99"/>
      <c r="V65" s="99"/>
      <c r="W65" s="99"/>
      <c r="X65" s="99"/>
      <c r="Y65" s="99"/>
    </row>
    <row r="66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99"/>
      <c r="U66" s="99"/>
      <c r="V66" s="99"/>
      <c r="W66" s="99"/>
      <c r="X66" s="99"/>
      <c r="Y66" s="99"/>
    </row>
    <row r="67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99"/>
      <c r="U67" s="99"/>
      <c r="V67" s="99"/>
      <c r="W67" s="99"/>
      <c r="X67" s="99"/>
      <c r="Y67" s="99"/>
    </row>
    <row r="68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99"/>
      <c r="U68" s="99"/>
      <c r="V68" s="99"/>
      <c r="W68" s="99"/>
      <c r="X68" s="99"/>
      <c r="Y68" s="99"/>
    </row>
    <row r="69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99"/>
      <c r="U69" s="99"/>
      <c r="V69" s="99"/>
      <c r="W69" s="99"/>
      <c r="X69" s="99"/>
      <c r="Y69" s="99"/>
    </row>
    <row r="70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99"/>
      <c r="U70" s="99"/>
      <c r="V70" s="99"/>
      <c r="W70" s="99"/>
      <c r="X70" s="99"/>
      <c r="Y70" s="99"/>
    </row>
    <row r="71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99"/>
      <c r="U71" s="99"/>
      <c r="V71" s="99"/>
      <c r="W71" s="99"/>
      <c r="X71" s="99"/>
      <c r="Y71" s="99"/>
    </row>
    <row r="72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99"/>
      <c r="U72" s="99"/>
      <c r="V72" s="99"/>
      <c r="W72" s="99"/>
      <c r="X72" s="99"/>
      <c r="Y72" s="99"/>
    </row>
    <row r="73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99"/>
      <c r="U73" s="99"/>
      <c r="V73" s="99"/>
      <c r="W73" s="99"/>
      <c r="X73" s="99"/>
      <c r="Y73" s="99"/>
    </row>
    <row r="74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99"/>
      <c r="U74" s="99"/>
      <c r="V74" s="99"/>
      <c r="W74" s="99"/>
      <c r="X74" s="99"/>
      <c r="Y74" s="99"/>
    </row>
    <row r="75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99"/>
      <c r="U75" s="99"/>
      <c r="V75" s="99"/>
      <c r="W75" s="99"/>
      <c r="X75" s="99"/>
      <c r="Y75" s="99"/>
    </row>
    <row r="76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99"/>
      <c r="U76" s="99"/>
      <c r="V76" s="99"/>
      <c r="W76" s="99"/>
      <c r="X76" s="99"/>
      <c r="Y76" s="99"/>
    </row>
    <row r="77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99"/>
      <c r="U77" s="99"/>
      <c r="V77" s="99"/>
      <c r="W77" s="99"/>
      <c r="X77" s="99"/>
      <c r="Y77" s="99"/>
    </row>
    <row r="78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99"/>
      <c r="U78" s="99"/>
      <c r="V78" s="99"/>
      <c r="W78" s="99"/>
      <c r="X78" s="99"/>
      <c r="Y78" s="99"/>
    </row>
    <row r="79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99"/>
      <c r="U79" s="99"/>
      <c r="V79" s="99"/>
      <c r="W79" s="99"/>
      <c r="X79" s="99"/>
      <c r="Y79" s="99"/>
    </row>
    <row r="80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99"/>
      <c r="U80" s="99"/>
      <c r="V80" s="99"/>
      <c r="W80" s="99"/>
      <c r="X80" s="99"/>
      <c r="Y80" s="99"/>
    </row>
    <row r="81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99"/>
      <c r="U81" s="99"/>
      <c r="V81" s="99"/>
      <c r="W81" s="99"/>
      <c r="X81" s="99"/>
      <c r="Y81" s="99"/>
    </row>
    <row r="82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99"/>
      <c r="U82" s="99"/>
      <c r="V82" s="99"/>
      <c r="W82" s="99"/>
      <c r="X82" s="99"/>
      <c r="Y82" s="99"/>
    </row>
    <row r="83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99"/>
      <c r="U83" s="99"/>
      <c r="V83" s="99"/>
      <c r="W83" s="99"/>
      <c r="X83" s="99"/>
      <c r="Y83" s="99"/>
    </row>
    <row r="84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99"/>
      <c r="U84" s="99"/>
      <c r="V84" s="99"/>
      <c r="W84" s="99"/>
      <c r="X84" s="99"/>
      <c r="Y84" s="99"/>
    </row>
    <row r="85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99"/>
      <c r="U85" s="99"/>
      <c r="V85" s="99"/>
      <c r="W85" s="99"/>
      <c r="X85" s="99"/>
      <c r="Y85" s="99"/>
    </row>
    <row r="86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99"/>
      <c r="U86" s="99"/>
      <c r="V86" s="99"/>
      <c r="W86" s="99"/>
      <c r="X86" s="99"/>
      <c r="Y86" s="99"/>
    </row>
    <row r="87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99"/>
      <c r="U87" s="99"/>
      <c r="V87" s="99"/>
      <c r="W87" s="99"/>
      <c r="X87" s="99"/>
      <c r="Y87" s="99"/>
    </row>
    <row r="88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99"/>
      <c r="U88" s="99"/>
      <c r="V88" s="99"/>
      <c r="W88" s="99"/>
      <c r="X88" s="99"/>
      <c r="Y88" s="99"/>
    </row>
    <row r="89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99"/>
      <c r="U89" s="99"/>
      <c r="V89" s="99"/>
      <c r="W89" s="99"/>
      <c r="X89" s="99"/>
      <c r="Y89" s="99"/>
    </row>
    <row r="90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99"/>
      <c r="U90" s="99"/>
      <c r="V90" s="99"/>
      <c r="W90" s="99"/>
      <c r="X90" s="99"/>
      <c r="Y90" s="99"/>
    </row>
    <row r="9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99"/>
      <c r="U91" s="99"/>
      <c r="V91" s="99"/>
      <c r="W91" s="99"/>
      <c r="X91" s="99"/>
      <c r="Y91" s="99"/>
    </row>
    <row r="92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99"/>
      <c r="U92" s="99"/>
      <c r="V92" s="99"/>
      <c r="W92" s="99"/>
      <c r="X92" s="99"/>
      <c r="Y92" s="99"/>
    </row>
    <row r="93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99"/>
      <c r="U93" s="99"/>
      <c r="V93" s="99"/>
      <c r="W93" s="99"/>
      <c r="X93" s="99"/>
      <c r="Y93" s="99"/>
    </row>
    <row r="94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99"/>
      <c r="U94" s="99"/>
      <c r="V94" s="99"/>
      <c r="W94" s="99"/>
      <c r="X94" s="99"/>
      <c r="Y94" s="99"/>
    </row>
    <row r="95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99"/>
      <c r="U95" s="99"/>
      <c r="V95" s="99"/>
      <c r="W95" s="99"/>
      <c r="X95" s="99"/>
      <c r="Y95" s="99"/>
    </row>
    <row r="96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99"/>
      <c r="U96" s="99"/>
      <c r="V96" s="99"/>
      <c r="W96" s="99"/>
      <c r="X96" s="99"/>
      <c r="Y96" s="99"/>
    </row>
    <row r="97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99"/>
      <c r="U97" s="99"/>
      <c r="V97" s="99"/>
      <c r="W97" s="99"/>
      <c r="X97" s="99"/>
      <c r="Y97" s="99"/>
    </row>
    <row r="98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99"/>
      <c r="U98" s="99"/>
      <c r="V98" s="99"/>
      <c r="W98" s="99"/>
      <c r="X98" s="99"/>
      <c r="Y98" s="99"/>
    </row>
    <row r="99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99"/>
      <c r="U99" s="99"/>
      <c r="V99" s="99"/>
      <c r="W99" s="99"/>
      <c r="X99" s="99"/>
      <c r="Y99" s="99"/>
    </row>
    <row r="100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99"/>
      <c r="U100" s="99"/>
      <c r="V100" s="99"/>
      <c r="W100" s="99"/>
      <c r="X100" s="99"/>
      <c r="Y100" s="99"/>
    </row>
    <row r="101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99"/>
      <c r="U101" s="99"/>
      <c r="V101" s="99"/>
      <c r="W101" s="99"/>
      <c r="X101" s="99"/>
      <c r="Y101" s="99"/>
    </row>
    <row r="102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99"/>
      <c r="U102" s="99"/>
      <c r="V102" s="99"/>
      <c r="W102" s="99"/>
      <c r="X102" s="99"/>
      <c r="Y102" s="99"/>
    </row>
    <row r="103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99"/>
      <c r="U103" s="99"/>
      <c r="V103" s="99"/>
      <c r="W103" s="99"/>
      <c r="X103" s="99"/>
      <c r="Y103" s="99"/>
    </row>
    <row r="104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99"/>
      <c r="U104" s="99"/>
      <c r="V104" s="99"/>
      <c r="W104" s="99"/>
      <c r="X104" s="99"/>
      <c r="Y104" s="99"/>
    </row>
    <row r="105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99"/>
      <c r="U105" s="99"/>
      <c r="V105" s="99"/>
      <c r="W105" s="99"/>
      <c r="X105" s="99"/>
      <c r="Y105" s="99"/>
    </row>
    <row r="106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99"/>
      <c r="U106" s="99"/>
      <c r="V106" s="99"/>
      <c r="W106" s="99"/>
      <c r="X106" s="99"/>
      <c r="Y106" s="99"/>
    </row>
    <row r="107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99"/>
      <c r="U107" s="99"/>
      <c r="V107" s="99"/>
      <c r="W107" s="99"/>
      <c r="X107" s="99"/>
      <c r="Y107" s="99"/>
    </row>
    <row r="108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99"/>
      <c r="U108" s="99"/>
      <c r="V108" s="99"/>
      <c r="W108" s="99"/>
      <c r="X108" s="99"/>
      <c r="Y108" s="99"/>
    </row>
    <row r="109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99"/>
      <c r="U109" s="99"/>
      <c r="V109" s="99"/>
      <c r="W109" s="99"/>
      <c r="X109" s="99"/>
      <c r="Y109" s="99"/>
    </row>
    <row r="110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99"/>
      <c r="U110" s="99"/>
      <c r="V110" s="99"/>
      <c r="W110" s="99"/>
      <c r="X110" s="99"/>
      <c r="Y110" s="99"/>
    </row>
    <row r="111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99"/>
      <c r="U111" s="99"/>
      <c r="V111" s="99"/>
      <c r="W111" s="99"/>
      <c r="X111" s="99"/>
      <c r="Y111" s="99"/>
    </row>
    <row r="112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99"/>
      <c r="U112" s="99"/>
      <c r="V112" s="99"/>
      <c r="W112" s="99"/>
      <c r="X112" s="99"/>
      <c r="Y112" s="99"/>
    </row>
    <row r="113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99"/>
      <c r="U113" s="99"/>
      <c r="V113" s="99"/>
      <c r="W113" s="99"/>
      <c r="X113" s="99"/>
      <c r="Y113" s="99"/>
    </row>
    <row r="114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99"/>
      <c r="U114" s="99"/>
      <c r="V114" s="99"/>
      <c r="W114" s="99"/>
      <c r="X114" s="99"/>
      <c r="Y114" s="99"/>
    </row>
    <row r="115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99"/>
      <c r="U115" s="99"/>
      <c r="V115" s="99"/>
      <c r="W115" s="99"/>
      <c r="X115" s="99"/>
      <c r="Y115" s="99"/>
    </row>
    <row r="116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99"/>
      <c r="U116" s="99"/>
      <c r="V116" s="99"/>
      <c r="W116" s="99"/>
      <c r="X116" s="99"/>
      <c r="Y116" s="99"/>
    </row>
    <row r="117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99"/>
      <c r="U117" s="99"/>
      <c r="V117" s="99"/>
      <c r="W117" s="99"/>
      <c r="X117" s="99"/>
      <c r="Y117" s="99"/>
    </row>
    <row r="118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99"/>
      <c r="U118" s="99"/>
      <c r="V118" s="99"/>
      <c r="W118" s="99"/>
      <c r="X118" s="99"/>
      <c r="Y118" s="99"/>
    </row>
    <row r="119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99"/>
      <c r="U119" s="99"/>
      <c r="V119" s="99"/>
      <c r="W119" s="99"/>
      <c r="X119" s="99"/>
      <c r="Y119" s="99"/>
    </row>
    <row r="120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99"/>
      <c r="U120" s="99"/>
      <c r="V120" s="99"/>
      <c r="W120" s="99"/>
      <c r="X120" s="99"/>
      <c r="Y120" s="99"/>
    </row>
    <row r="12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99"/>
      <c r="U121" s="99"/>
      <c r="V121" s="99"/>
      <c r="W121" s="99"/>
      <c r="X121" s="99"/>
      <c r="Y121" s="99"/>
    </row>
    <row r="122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99"/>
      <c r="U122" s="99"/>
      <c r="V122" s="99"/>
      <c r="W122" s="99"/>
      <c r="X122" s="99"/>
      <c r="Y122" s="99"/>
    </row>
    <row r="123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99"/>
      <c r="U123" s="99"/>
      <c r="V123" s="99"/>
      <c r="W123" s="99"/>
      <c r="X123" s="99"/>
      <c r="Y123" s="99"/>
    </row>
    <row r="124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99"/>
      <c r="U124" s="99"/>
      <c r="V124" s="99"/>
      <c r="W124" s="99"/>
      <c r="X124" s="99"/>
      <c r="Y124" s="99"/>
    </row>
    <row r="125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99"/>
      <c r="U125" s="99"/>
      <c r="V125" s="99"/>
      <c r="W125" s="99"/>
      <c r="X125" s="99"/>
      <c r="Y125" s="99"/>
    </row>
    <row r="126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99"/>
      <c r="U126" s="99"/>
      <c r="V126" s="99"/>
      <c r="W126" s="99"/>
      <c r="X126" s="99"/>
      <c r="Y126" s="99"/>
    </row>
    <row r="127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99"/>
      <c r="U127" s="99"/>
      <c r="V127" s="99"/>
      <c r="W127" s="99"/>
      <c r="X127" s="99"/>
      <c r="Y127" s="99"/>
    </row>
    <row r="128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99"/>
      <c r="U128" s="99"/>
      <c r="V128" s="99"/>
      <c r="W128" s="99"/>
      <c r="X128" s="99"/>
      <c r="Y128" s="99"/>
    </row>
    <row r="129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99"/>
      <c r="U129" s="99"/>
      <c r="V129" s="99"/>
      <c r="W129" s="99"/>
      <c r="X129" s="99"/>
      <c r="Y129" s="99"/>
    </row>
    <row r="130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99"/>
      <c r="U130" s="99"/>
      <c r="V130" s="99"/>
      <c r="W130" s="99"/>
      <c r="X130" s="99"/>
      <c r="Y130" s="99"/>
    </row>
    <row r="13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99"/>
      <c r="U131" s="99"/>
      <c r="V131" s="99"/>
      <c r="W131" s="99"/>
      <c r="X131" s="99"/>
      <c r="Y131" s="99"/>
    </row>
    <row r="132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99"/>
      <c r="U132" s="99"/>
      <c r="V132" s="99"/>
      <c r="W132" s="99"/>
      <c r="X132" s="99"/>
      <c r="Y132" s="99"/>
    </row>
    <row r="133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99"/>
      <c r="U133" s="99"/>
      <c r="V133" s="99"/>
      <c r="W133" s="99"/>
      <c r="X133" s="99"/>
      <c r="Y133" s="99"/>
    </row>
    <row r="134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99"/>
      <c r="U134" s="99"/>
      <c r="V134" s="99"/>
      <c r="W134" s="99"/>
      <c r="X134" s="99"/>
      <c r="Y134" s="99"/>
    </row>
    <row r="135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99"/>
      <c r="U135" s="99"/>
      <c r="V135" s="99"/>
      <c r="W135" s="99"/>
      <c r="X135" s="99"/>
      <c r="Y135" s="99"/>
    </row>
    <row r="136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99"/>
      <c r="U136" s="99"/>
      <c r="V136" s="99"/>
      <c r="W136" s="99"/>
      <c r="X136" s="99"/>
      <c r="Y136" s="99"/>
    </row>
    <row r="137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99"/>
      <c r="U137" s="99"/>
      <c r="V137" s="99"/>
      <c r="W137" s="99"/>
      <c r="X137" s="99"/>
      <c r="Y137" s="99"/>
    </row>
    <row r="138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99"/>
      <c r="U138" s="99"/>
      <c r="V138" s="99"/>
      <c r="W138" s="99"/>
      <c r="X138" s="99"/>
      <c r="Y138" s="99"/>
    </row>
    <row r="139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99"/>
      <c r="U139" s="99"/>
      <c r="V139" s="99"/>
      <c r="W139" s="99"/>
      <c r="X139" s="99"/>
      <c r="Y139" s="99"/>
    </row>
    <row r="140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99"/>
      <c r="U140" s="99"/>
      <c r="V140" s="99"/>
      <c r="W140" s="99"/>
      <c r="X140" s="99"/>
      <c r="Y140" s="99"/>
    </row>
    <row r="14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99"/>
      <c r="U141" s="99"/>
      <c r="V141" s="99"/>
      <c r="W141" s="99"/>
      <c r="X141" s="99"/>
      <c r="Y141" s="99"/>
    </row>
    <row r="142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99"/>
      <c r="U142" s="99"/>
      <c r="V142" s="99"/>
      <c r="W142" s="99"/>
      <c r="X142" s="99"/>
      <c r="Y142" s="99"/>
    </row>
    <row r="143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99"/>
      <c r="U143" s="99"/>
      <c r="V143" s="99"/>
      <c r="W143" s="99"/>
      <c r="X143" s="99"/>
      <c r="Y143" s="99"/>
    </row>
    <row r="144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99"/>
      <c r="U144" s="99"/>
      <c r="V144" s="99"/>
      <c r="W144" s="99"/>
      <c r="X144" s="99"/>
      <c r="Y144" s="99"/>
    </row>
    <row r="145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99"/>
      <c r="U145" s="99"/>
      <c r="V145" s="99"/>
      <c r="W145" s="99"/>
      <c r="X145" s="99"/>
      <c r="Y145" s="99"/>
    </row>
    <row r="146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99"/>
      <c r="U146" s="99"/>
      <c r="V146" s="99"/>
      <c r="W146" s="99"/>
      <c r="X146" s="99"/>
      <c r="Y146" s="99"/>
    </row>
    <row r="147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99"/>
      <c r="U147" s="99"/>
      <c r="V147" s="99"/>
      <c r="W147" s="99"/>
      <c r="X147" s="99"/>
      <c r="Y147" s="99"/>
    </row>
    <row r="148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99"/>
      <c r="U148" s="99"/>
      <c r="V148" s="99"/>
      <c r="W148" s="99"/>
      <c r="X148" s="99"/>
      <c r="Y148" s="99"/>
    </row>
    <row r="149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99"/>
      <c r="U149" s="99"/>
      <c r="V149" s="99"/>
      <c r="W149" s="99"/>
      <c r="X149" s="99"/>
      <c r="Y149" s="99"/>
    </row>
    <row r="150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99"/>
      <c r="U150" s="99"/>
      <c r="V150" s="99"/>
      <c r="W150" s="99"/>
      <c r="X150" s="99"/>
      <c r="Y150" s="99"/>
    </row>
    <row r="15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99"/>
      <c r="U151" s="99"/>
      <c r="V151" s="99"/>
      <c r="W151" s="99"/>
      <c r="X151" s="99"/>
      <c r="Y151" s="99"/>
    </row>
    <row r="152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99"/>
      <c r="U152" s="99"/>
      <c r="V152" s="99"/>
      <c r="W152" s="99"/>
      <c r="X152" s="99"/>
      <c r="Y152" s="99"/>
    </row>
    <row r="153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99"/>
      <c r="U153" s="99"/>
      <c r="V153" s="99"/>
      <c r="W153" s="99"/>
      <c r="X153" s="99"/>
      <c r="Y153" s="99"/>
    </row>
    <row r="154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99"/>
      <c r="U154" s="99"/>
      <c r="V154" s="99"/>
      <c r="W154" s="99"/>
      <c r="X154" s="99"/>
      <c r="Y154" s="99"/>
    </row>
    <row r="155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99"/>
      <c r="U155" s="99"/>
      <c r="V155" s="99"/>
      <c r="W155" s="99"/>
      <c r="X155" s="99"/>
      <c r="Y155" s="99"/>
    </row>
    <row r="156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99"/>
      <c r="U156" s="99"/>
      <c r="V156" s="99"/>
      <c r="W156" s="99"/>
      <c r="X156" s="99"/>
      <c r="Y156" s="99"/>
    </row>
    <row r="157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99"/>
      <c r="U157" s="99"/>
      <c r="V157" s="99"/>
      <c r="W157" s="99"/>
      <c r="X157" s="99"/>
      <c r="Y157" s="99"/>
    </row>
    <row r="158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99"/>
      <c r="U158" s="99"/>
      <c r="V158" s="99"/>
      <c r="W158" s="99"/>
      <c r="X158" s="99"/>
      <c r="Y158" s="99"/>
    </row>
    <row r="159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99"/>
      <c r="U159" s="99"/>
      <c r="V159" s="99"/>
      <c r="W159" s="99"/>
      <c r="X159" s="99"/>
      <c r="Y159" s="99"/>
    </row>
    <row r="160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99"/>
      <c r="U160" s="99"/>
      <c r="V160" s="99"/>
      <c r="W160" s="99"/>
      <c r="X160" s="99"/>
      <c r="Y160" s="99"/>
    </row>
    <row r="16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99"/>
      <c r="U161" s="99"/>
      <c r="V161" s="99"/>
      <c r="W161" s="99"/>
      <c r="X161" s="99"/>
      <c r="Y161" s="99"/>
    </row>
    <row r="162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99"/>
      <c r="U162" s="99"/>
      <c r="V162" s="99"/>
      <c r="W162" s="99"/>
      <c r="X162" s="99"/>
      <c r="Y162" s="99"/>
    </row>
    <row r="163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99"/>
      <c r="U163" s="99"/>
      <c r="V163" s="99"/>
      <c r="W163" s="99"/>
      <c r="X163" s="99"/>
      <c r="Y163" s="99"/>
    </row>
    <row r="164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99"/>
      <c r="U164" s="99"/>
      <c r="V164" s="99"/>
      <c r="W164" s="99"/>
      <c r="X164" s="99"/>
      <c r="Y164" s="99"/>
    </row>
    <row r="16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99"/>
      <c r="U165" s="99"/>
      <c r="V165" s="99"/>
      <c r="W165" s="99"/>
      <c r="X165" s="99"/>
      <c r="Y165" s="99"/>
    </row>
    <row r="166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99"/>
      <c r="U166" s="99"/>
      <c r="V166" s="99"/>
      <c r="W166" s="99"/>
      <c r="X166" s="99"/>
      <c r="Y166" s="99"/>
    </row>
    <row r="167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99"/>
      <c r="U167" s="99"/>
      <c r="V167" s="99"/>
      <c r="W167" s="99"/>
      <c r="X167" s="99"/>
      <c r="Y167" s="99"/>
    </row>
    <row r="168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99"/>
      <c r="U168" s="99"/>
      <c r="V168" s="99"/>
      <c r="W168" s="99"/>
      <c r="X168" s="99"/>
      <c r="Y168" s="99"/>
    </row>
    <row r="169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99"/>
      <c r="U169" s="99"/>
      <c r="V169" s="99"/>
      <c r="W169" s="99"/>
      <c r="X169" s="99"/>
      <c r="Y169" s="99"/>
    </row>
    <row r="170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99"/>
      <c r="U170" s="99"/>
      <c r="V170" s="99"/>
      <c r="W170" s="99"/>
      <c r="X170" s="99"/>
      <c r="Y170" s="99"/>
    </row>
    <row r="17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99"/>
      <c r="U171" s="99"/>
      <c r="V171" s="99"/>
      <c r="W171" s="99"/>
      <c r="X171" s="99"/>
      <c r="Y171" s="99"/>
    </row>
    <row r="172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99"/>
      <c r="U172" s="99"/>
      <c r="V172" s="99"/>
      <c r="W172" s="99"/>
      <c r="X172" s="99"/>
      <c r="Y172" s="99"/>
    </row>
    <row r="173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99"/>
      <c r="U173" s="99"/>
      <c r="V173" s="99"/>
      <c r="W173" s="99"/>
      <c r="X173" s="99"/>
      <c r="Y173" s="99"/>
    </row>
    <row r="174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99"/>
      <c r="U174" s="99"/>
      <c r="V174" s="99"/>
      <c r="W174" s="99"/>
      <c r="X174" s="99"/>
      <c r="Y174" s="99"/>
    </row>
    <row r="17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99"/>
      <c r="U175" s="99"/>
      <c r="V175" s="99"/>
      <c r="W175" s="99"/>
      <c r="X175" s="99"/>
      <c r="Y175" s="99"/>
    </row>
    <row r="176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99"/>
      <c r="U176" s="99"/>
      <c r="V176" s="99"/>
      <c r="W176" s="99"/>
      <c r="X176" s="99"/>
      <c r="Y176" s="99"/>
    </row>
    <row r="177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99"/>
      <c r="U177" s="99"/>
      <c r="V177" s="99"/>
      <c r="W177" s="99"/>
      <c r="X177" s="99"/>
      <c r="Y177" s="99"/>
    </row>
    <row r="178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99"/>
      <c r="U178" s="99"/>
      <c r="V178" s="99"/>
      <c r="W178" s="99"/>
      <c r="X178" s="99"/>
      <c r="Y178" s="99"/>
    </row>
    <row r="179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99"/>
      <c r="U179" s="99"/>
      <c r="V179" s="99"/>
      <c r="W179" s="99"/>
      <c r="X179" s="99"/>
      <c r="Y179" s="99"/>
    </row>
    <row r="180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99"/>
      <c r="U180" s="99"/>
      <c r="V180" s="99"/>
      <c r="W180" s="99"/>
      <c r="X180" s="99"/>
      <c r="Y180" s="99"/>
    </row>
    <row r="18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99"/>
      <c r="U181" s="99"/>
      <c r="V181" s="99"/>
      <c r="W181" s="99"/>
      <c r="X181" s="99"/>
      <c r="Y181" s="99"/>
    </row>
    <row r="182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99"/>
      <c r="U182" s="99"/>
      <c r="V182" s="99"/>
      <c r="W182" s="99"/>
      <c r="X182" s="99"/>
      <c r="Y182" s="99"/>
    </row>
    <row r="183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99"/>
      <c r="U183" s="99"/>
      <c r="V183" s="99"/>
      <c r="W183" s="99"/>
      <c r="X183" s="99"/>
      <c r="Y183" s="99"/>
    </row>
    <row r="184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99"/>
      <c r="U184" s="99"/>
      <c r="V184" s="99"/>
      <c r="W184" s="99"/>
      <c r="X184" s="99"/>
      <c r="Y184" s="99"/>
    </row>
    <row r="185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99"/>
      <c r="U185" s="99"/>
      <c r="V185" s="99"/>
      <c r="W185" s="99"/>
      <c r="X185" s="99"/>
      <c r="Y185" s="99"/>
    </row>
    <row r="186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99"/>
      <c r="U186" s="99"/>
      <c r="V186" s="99"/>
      <c r="W186" s="99"/>
      <c r="X186" s="99"/>
      <c r="Y186" s="99"/>
    </row>
    <row r="187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99"/>
      <c r="U187" s="99"/>
      <c r="V187" s="99"/>
      <c r="W187" s="99"/>
      <c r="X187" s="99"/>
      <c r="Y187" s="99"/>
    </row>
    <row r="188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99"/>
      <c r="U188" s="99"/>
      <c r="V188" s="99"/>
      <c r="W188" s="99"/>
      <c r="X188" s="99"/>
      <c r="Y188" s="99"/>
    </row>
    <row r="189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99"/>
      <c r="U189" s="99"/>
      <c r="V189" s="99"/>
      <c r="W189" s="99"/>
      <c r="X189" s="99"/>
      <c r="Y189" s="99"/>
    </row>
    <row r="190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99"/>
      <c r="U190" s="99"/>
      <c r="V190" s="99"/>
      <c r="W190" s="99"/>
      <c r="X190" s="99"/>
      <c r="Y190" s="99"/>
    </row>
    <row r="19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99"/>
      <c r="U191" s="99"/>
      <c r="V191" s="99"/>
      <c r="W191" s="99"/>
      <c r="X191" s="99"/>
      <c r="Y191" s="99"/>
    </row>
    <row r="192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99"/>
      <c r="U192" s="99"/>
      <c r="V192" s="99"/>
      <c r="W192" s="99"/>
      <c r="X192" s="99"/>
      <c r="Y192" s="99"/>
    </row>
    <row r="193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99"/>
      <c r="U193" s="99"/>
      <c r="V193" s="99"/>
      <c r="W193" s="99"/>
      <c r="X193" s="99"/>
      <c r="Y193" s="99"/>
    </row>
    <row r="194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99"/>
      <c r="U194" s="99"/>
      <c r="V194" s="99"/>
      <c r="W194" s="99"/>
      <c r="X194" s="99"/>
      <c r="Y194" s="99"/>
    </row>
    <row r="195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99"/>
      <c r="U195" s="99"/>
      <c r="V195" s="99"/>
      <c r="W195" s="99"/>
      <c r="X195" s="99"/>
      <c r="Y195" s="99"/>
    </row>
    <row r="196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99"/>
      <c r="U196" s="99"/>
      <c r="V196" s="99"/>
      <c r="W196" s="99"/>
      <c r="X196" s="99"/>
      <c r="Y196" s="99"/>
    </row>
    <row r="197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99"/>
      <c r="U197" s="99"/>
      <c r="V197" s="99"/>
      <c r="W197" s="99"/>
      <c r="X197" s="99"/>
      <c r="Y197" s="99"/>
    </row>
    <row r="198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99"/>
      <c r="U198" s="99"/>
      <c r="V198" s="99"/>
      <c r="W198" s="99"/>
      <c r="X198" s="99"/>
      <c r="Y198" s="99"/>
    </row>
    <row r="199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99"/>
      <c r="U199" s="99"/>
      <c r="V199" s="99"/>
      <c r="W199" s="99"/>
      <c r="X199" s="99"/>
      <c r="Y199" s="99"/>
    </row>
    <row r="200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99"/>
      <c r="U200" s="99"/>
      <c r="V200" s="99"/>
      <c r="W200" s="99"/>
      <c r="X200" s="99"/>
      <c r="Y200" s="99"/>
    </row>
    <row r="20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99"/>
      <c r="U201" s="99"/>
      <c r="V201" s="99"/>
      <c r="W201" s="99"/>
      <c r="X201" s="99"/>
      <c r="Y201" s="99"/>
    </row>
    <row r="202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99"/>
      <c r="U202" s="99"/>
      <c r="V202" s="99"/>
      <c r="W202" s="99"/>
      <c r="X202" s="99"/>
      <c r="Y202" s="99"/>
    </row>
    <row r="203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99"/>
      <c r="U203" s="99"/>
      <c r="V203" s="99"/>
      <c r="W203" s="99"/>
      <c r="X203" s="99"/>
      <c r="Y203" s="99"/>
    </row>
    <row r="204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99"/>
      <c r="U204" s="99"/>
      <c r="V204" s="99"/>
      <c r="W204" s="99"/>
      <c r="X204" s="99"/>
      <c r="Y204" s="99"/>
    </row>
    <row r="205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99"/>
      <c r="U205" s="99"/>
      <c r="V205" s="99"/>
      <c r="W205" s="99"/>
      <c r="X205" s="99"/>
      <c r="Y205" s="99"/>
    </row>
    <row r="206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99"/>
      <c r="U206" s="99"/>
      <c r="V206" s="99"/>
      <c r="W206" s="99"/>
      <c r="X206" s="99"/>
      <c r="Y206" s="99"/>
    </row>
    <row r="207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99"/>
      <c r="U207" s="99"/>
      <c r="V207" s="99"/>
      <c r="W207" s="99"/>
      <c r="X207" s="99"/>
      <c r="Y207" s="99"/>
    </row>
    <row r="208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99"/>
      <c r="U208" s="99"/>
      <c r="V208" s="99"/>
      <c r="W208" s="99"/>
      <c r="X208" s="99"/>
      <c r="Y208" s="99"/>
    </row>
    <row r="209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99"/>
      <c r="U209" s="99"/>
      <c r="V209" s="99"/>
      <c r="W209" s="99"/>
      <c r="X209" s="99"/>
      <c r="Y209" s="99"/>
    </row>
    <row r="210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99"/>
      <c r="U210" s="99"/>
      <c r="V210" s="99"/>
      <c r="W210" s="99"/>
      <c r="X210" s="99"/>
      <c r="Y210" s="99"/>
    </row>
    <row r="21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99"/>
      <c r="U211" s="99"/>
      <c r="V211" s="99"/>
      <c r="W211" s="99"/>
      <c r="X211" s="99"/>
      <c r="Y211" s="99"/>
    </row>
    <row r="212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99"/>
      <c r="U212" s="99"/>
      <c r="V212" s="99"/>
      <c r="W212" s="99"/>
      <c r="X212" s="99"/>
      <c r="Y212" s="99"/>
    </row>
    <row r="213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99"/>
      <c r="U213" s="99"/>
      <c r="V213" s="99"/>
      <c r="W213" s="99"/>
      <c r="X213" s="99"/>
      <c r="Y213" s="99"/>
    </row>
    <row r="214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99"/>
      <c r="U214" s="99"/>
      <c r="V214" s="99"/>
      <c r="W214" s="99"/>
      <c r="X214" s="99"/>
      <c r="Y214" s="99"/>
    </row>
    <row r="21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99"/>
      <c r="U215" s="99"/>
      <c r="V215" s="99"/>
      <c r="W215" s="99"/>
      <c r="X215" s="99"/>
      <c r="Y215" s="99"/>
    </row>
    <row r="216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99"/>
      <c r="U216" s="99"/>
      <c r="V216" s="99"/>
      <c r="W216" s="99"/>
      <c r="X216" s="99"/>
      <c r="Y216" s="99"/>
    </row>
    <row r="217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99"/>
      <c r="U217" s="99"/>
      <c r="V217" s="99"/>
      <c r="W217" s="99"/>
      <c r="X217" s="99"/>
      <c r="Y217" s="99"/>
    </row>
    <row r="218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99"/>
      <c r="U218" s="99"/>
      <c r="V218" s="99"/>
      <c r="W218" s="99"/>
      <c r="X218" s="99"/>
      <c r="Y218" s="99"/>
    </row>
    <row r="219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99"/>
      <c r="U219" s="99"/>
      <c r="V219" s="99"/>
      <c r="W219" s="99"/>
      <c r="X219" s="99"/>
      <c r="Y219" s="99"/>
    </row>
    <row r="220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99"/>
      <c r="U220" s="99"/>
      <c r="V220" s="99"/>
      <c r="W220" s="99"/>
      <c r="X220" s="99"/>
      <c r="Y220" s="99"/>
    </row>
    <row r="22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99"/>
      <c r="U221" s="99"/>
      <c r="V221" s="99"/>
      <c r="W221" s="99"/>
      <c r="X221" s="99"/>
      <c r="Y221" s="99"/>
    </row>
    <row r="222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99"/>
      <c r="U222" s="99"/>
      <c r="V222" s="99"/>
      <c r="W222" s="99"/>
      <c r="X222" s="99"/>
      <c r="Y222" s="99"/>
    </row>
    <row r="223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99"/>
      <c r="U223" s="99"/>
      <c r="V223" s="99"/>
      <c r="W223" s="99"/>
      <c r="X223" s="99"/>
      <c r="Y223" s="99"/>
    </row>
    <row r="224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99"/>
      <c r="U224" s="99"/>
      <c r="V224" s="99"/>
      <c r="W224" s="99"/>
      <c r="X224" s="99"/>
      <c r="Y224" s="99"/>
    </row>
    <row r="225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99"/>
      <c r="U225" s="99"/>
      <c r="V225" s="99"/>
      <c r="W225" s="99"/>
      <c r="X225" s="99"/>
      <c r="Y225" s="99"/>
    </row>
    <row r="226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99"/>
      <c r="U226" s="99"/>
      <c r="V226" s="99"/>
      <c r="W226" s="99"/>
      <c r="X226" s="99"/>
      <c r="Y226" s="99"/>
    </row>
    <row r="227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99"/>
      <c r="U227" s="99"/>
      <c r="V227" s="99"/>
      <c r="W227" s="99"/>
      <c r="X227" s="99"/>
      <c r="Y227" s="99"/>
    </row>
    <row r="228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99"/>
      <c r="U228" s="99"/>
      <c r="V228" s="99"/>
      <c r="W228" s="99"/>
      <c r="X228" s="99"/>
      <c r="Y228" s="99"/>
    </row>
    <row r="229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99"/>
      <c r="U229" s="99"/>
      <c r="V229" s="99"/>
      <c r="W229" s="99"/>
      <c r="X229" s="99"/>
      <c r="Y229" s="99"/>
    </row>
    <row r="230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99"/>
      <c r="U230" s="99"/>
      <c r="V230" s="99"/>
      <c r="W230" s="99"/>
      <c r="X230" s="99"/>
      <c r="Y230" s="99"/>
    </row>
    <row r="23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99"/>
      <c r="U231" s="99"/>
      <c r="V231" s="99"/>
      <c r="W231" s="99"/>
      <c r="X231" s="99"/>
      <c r="Y231" s="99"/>
    </row>
    <row r="232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99"/>
      <c r="U232" s="99"/>
      <c r="V232" s="99"/>
      <c r="W232" s="99"/>
      <c r="X232" s="99"/>
      <c r="Y232" s="99"/>
    </row>
    <row r="233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99"/>
      <c r="U233" s="99"/>
      <c r="V233" s="99"/>
      <c r="W233" s="99"/>
      <c r="X233" s="99"/>
      <c r="Y233" s="99"/>
    </row>
    <row r="234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99"/>
      <c r="U234" s="99"/>
      <c r="V234" s="99"/>
      <c r="W234" s="99"/>
      <c r="X234" s="99"/>
      <c r="Y234" s="99"/>
    </row>
    <row r="235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99"/>
      <c r="U235" s="99"/>
      <c r="V235" s="99"/>
      <c r="W235" s="99"/>
      <c r="X235" s="99"/>
      <c r="Y235" s="99"/>
    </row>
    <row r="236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99"/>
      <c r="U236" s="99"/>
      <c r="V236" s="99"/>
      <c r="W236" s="99"/>
      <c r="X236" s="99"/>
      <c r="Y236" s="99"/>
    </row>
    <row r="237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99"/>
      <c r="U237" s="99"/>
      <c r="V237" s="99"/>
      <c r="W237" s="99"/>
      <c r="X237" s="99"/>
      <c r="Y237" s="99"/>
    </row>
    <row r="238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99"/>
      <c r="U238" s="99"/>
      <c r="V238" s="99"/>
      <c r="W238" s="99"/>
      <c r="X238" s="99"/>
      <c r="Y238" s="99"/>
    </row>
    <row r="239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99"/>
      <c r="U239" s="99"/>
      <c r="V239" s="99"/>
      <c r="W239" s="99"/>
      <c r="X239" s="99"/>
      <c r="Y239" s="99"/>
    </row>
    <row r="240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99"/>
      <c r="U240" s="99"/>
      <c r="V240" s="99"/>
      <c r="W240" s="99"/>
      <c r="X240" s="99"/>
      <c r="Y240" s="99"/>
    </row>
    <row r="24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99"/>
      <c r="U241" s="99"/>
      <c r="V241" s="99"/>
      <c r="W241" s="99"/>
      <c r="X241" s="99"/>
      <c r="Y241" s="99"/>
    </row>
    <row r="242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99"/>
      <c r="U242" s="99"/>
      <c r="V242" s="99"/>
      <c r="W242" s="99"/>
      <c r="X242" s="99"/>
      <c r="Y242" s="99"/>
    </row>
    <row r="243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99"/>
      <c r="U243" s="99"/>
      <c r="V243" s="99"/>
      <c r="W243" s="99"/>
      <c r="X243" s="99"/>
      <c r="Y243" s="99"/>
    </row>
    <row r="244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99"/>
      <c r="U244" s="99"/>
      <c r="V244" s="99"/>
      <c r="W244" s="99"/>
      <c r="X244" s="99"/>
      <c r="Y244" s="99"/>
    </row>
    <row r="245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99"/>
      <c r="U245" s="99"/>
      <c r="V245" s="99"/>
      <c r="W245" s="99"/>
      <c r="X245" s="99"/>
      <c r="Y245" s="99"/>
    </row>
    <row r="246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99"/>
      <c r="U246" s="99"/>
      <c r="V246" s="99"/>
      <c r="W246" s="99"/>
      <c r="X246" s="99"/>
      <c r="Y246" s="99"/>
    </row>
    <row r="247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99"/>
      <c r="U247" s="99"/>
      <c r="V247" s="99"/>
      <c r="W247" s="99"/>
      <c r="X247" s="99"/>
      <c r="Y247" s="99"/>
    </row>
    <row r="248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99"/>
      <c r="U248" s="99"/>
      <c r="V248" s="99"/>
      <c r="W248" s="99"/>
      <c r="X248" s="99"/>
      <c r="Y248" s="99"/>
    </row>
    <row r="249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99"/>
      <c r="U249" s="99"/>
      <c r="V249" s="99"/>
      <c r="W249" s="99"/>
      <c r="X249" s="99"/>
      <c r="Y249" s="99"/>
    </row>
    <row r="250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99"/>
      <c r="U250" s="99"/>
      <c r="V250" s="99"/>
      <c r="W250" s="99"/>
      <c r="X250" s="99"/>
      <c r="Y250" s="99"/>
    </row>
    <row r="25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99"/>
      <c r="U251" s="99"/>
      <c r="V251" s="99"/>
      <c r="W251" s="99"/>
      <c r="X251" s="99"/>
      <c r="Y251" s="99"/>
    </row>
    <row r="252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99"/>
      <c r="U252" s="99"/>
      <c r="V252" s="99"/>
      <c r="W252" s="99"/>
      <c r="X252" s="99"/>
      <c r="Y252" s="99"/>
    </row>
    <row r="253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99"/>
      <c r="U253" s="99"/>
      <c r="V253" s="99"/>
      <c r="W253" s="99"/>
      <c r="X253" s="99"/>
      <c r="Y253" s="99"/>
    </row>
    <row r="254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99"/>
      <c r="U254" s="99"/>
      <c r="V254" s="99"/>
      <c r="W254" s="99"/>
      <c r="X254" s="99"/>
      <c r="Y254" s="99"/>
    </row>
    <row r="25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99"/>
      <c r="U255" s="99"/>
      <c r="V255" s="99"/>
      <c r="W255" s="99"/>
      <c r="X255" s="99"/>
      <c r="Y255" s="99"/>
    </row>
    <row r="256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99"/>
      <c r="U256" s="99"/>
      <c r="V256" s="99"/>
      <c r="W256" s="99"/>
      <c r="X256" s="99"/>
      <c r="Y256" s="99"/>
    </row>
    <row r="257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99"/>
      <c r="U257" s="99"/>
      <c r="V257" s="99"/>
      <c r="W257" s="99"/>
      <c r="X257" s="99"/>
      <c r="Y257" s="99"/>
    </row>
    <row r="258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99"/>
      <c r="U258" s="99"/>
      <c r="V258" s="99"/>
      <c r="W258" s="99"/>
      <c r="X258" s="99"/>
      <c r="Y258" s="99"/>
    </row>
    <row r="259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99"/>
      <c r="U259" s="99"/>
      <c r="V259" s="99"/>
      <c r="W259" s="99"/>
      <c r="X259" s="99"/>
      <c r="Y259" s="99"/>
    </row>
    <row r="260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99"/>
      <c r="U260" s="99"/>
      <c r="V260" s="99"/>
      <c r="W260" s="99"/>
      <c r="X260" s="99"/>
      <c r="Y260" s="99"/>
    </row>
    <row r="26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99"/>
      <c r="U261" s="99"/>
      <c r="V261" s="99"/>
      <c r="W261" s="99"/>
      <c r="X261" s="99"/>
      <c r="Y261" s="99"/>
    </row>
    <row r="262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99"/>
      <c r="U262" s="99"/>
      <c r="V262" s="99"/>
      <c r="W262" s="99"/>
      <c r="X262" s="99"/>
      <c r="Y262" s="99"/>
    </row>
    <row r="263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99"/>
      <c r="U263" s="99"/>
      <c r="V263" s="99"/>
      <c r="W263" s="99"/>
      <c r="X263" s="99"/>
      <c r="Y263" s="99"/>
    </row>
    <row r="264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99"/>
      <c r="U264" s="99"/>
      <c r="V264" s="99"/>
      <c r="W264" s="99"/>
      <c r="X264" s="99"/>
      <c r="Y264" s="99"/>
    </row>
    <row r="26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99"/>
      <c r="U265" s="99"/>
      <c r="V265" s="99"/>
      <c r="W265" s="99"/>
      <c r="X265" s="99"/>
      <c r="Y265" s="99"/>
    </row>
    <row r="266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99"/>
      <c r="U266" s="99"/>
      <c r="V266" s="99"/>
      <c r="W266" s="99"/>
      <c r="X266" s="99"/>
      <c r="Y266" s="99"/>
    </row>
    <row r="267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99"/>
      <c r="U267" s="99"/>
      <c r="V267" s="99"/>
      <c r="W267" s="99"/>
      <c r="X267" s="99"/>
      <c r="Y267" s="99"/>
    </row>
    <row r="268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99"/>
      <c r="U268" s="99"/>
      <c r="V268" s="99"/>
      <c r="W268" s="99"/>
      <c r="X268" s="99"/>
      <c r="Y268" s="99"/>
    </row>
    <row r="269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99"/>
      <c r="U269" s="99"/>
      <c r="V269" s="99"/>
      <c r="W269" s="99"/>
      <c r="X269" s="99"/>
      <c r="Y269" s="99"/>
    </row>
    <row r="270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99"/>
      <c r="U270" s="99"/>
      <c r="V270" s="99"/>
      <c r="W270" s="99"/>
      <c r="X270" s="99"/>
      <c r="Y270" s="99"/>
    </row>
    <row r="27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99"/>
      <c r="U271" s="99"/>
      <c r="V271" s="99"/>
      <c r="W271" s="99"/>
      <c r="X271" s="99"/>
      <c r="Y271" s="99"/>
    </row>
    <row r="272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99"/>
      <c r="U272" s="99"/>
      <c r="V272" s="99"/>
      <c r="W272" s="99"/>
      <c r="X272" s="99"/>
      <c r="Y272" s="99"/>
    </row>
    <row r="273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99"/>
      <c r="U273" s="99"/>
      <c r="V273" s="99"/>
      <c r="W273" s="99"/>
      <c r="X273" s="99"/>
      <c r="Y273" s="99"/>
    </row>
    <row r="274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99"/>
      <c r="U274" s="99"/>
      <c r="V274" s="99"/>
      <c r="W274" s="99"/>
      <c r="X274" s="99"/>
      <c r="Y274" s="99"/>
    </row>
    <row r="275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99"/>
      <c r="U275" s="99"/>
      <c r="V275" s="99"/>
      <c r="W275" s="99"/>
      <c r="X275" s="99"/>
      <c r="Y275" s="99"/>
    </row>
    <row r="276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99"/>
      <c r="U276" s="99"/>
      <c r="V276" s="99"/>
      <c r="W276" s="99"/>
      <c r="X276" s="99"/>
      <c r="Y276" s="99"/>
    </row>
    <row r="277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99"/>
      <c r="U277" s="99"/>
      <c r="V277" s="99"/>
      <c r="W277" s="99"/>
      <c r="X277" s="99"/>
      <c r="Y277" s="99"/>
    </row>
    <row r="278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99"/>
      <c r="U278" s="99"/>
      <c r="V278" s="99"/>
      <c r="W278" s="99"/>
      <c r="X278" s="99"/>
      <c r="Y278" s="99"/>
    </row>
    <row r="279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99"/>
      <c r="U279" s="99"/>
      <c r="V279" s="99"/>
      <c r="W279" s="99"/>
      <c r="X279" s="99"/>
      <c r="Y279" s="99"/>
    </row>
    <row r="280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99"/>
      <c r="U280" s="99"/>
      <c r="V280" s="99"/>
      <c r="W280" s="99"/>
      <c r="X280" s="99"/>
      <c r="Y280" s="99"/>
    </row>
    <row r="28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99"/>
      <c r="U281" s="99"/>
      <c r="V281" s="99"/>
      <c r="W281" s="99"/>
      <c r="X281" s="99"/>
      <c r="Y281" s="99"/>
    </row>
    <row r="282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99"/>
      <c r="U282" s="99"/>
      <c r="V282" s="99"/>
      <c r="W282" s="99"/>
      <c r="X282" s="99"/>
      <c r="Y282" s="99"/>
    </row>
    <row r="283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99"/>
      <c r="U283" s="99"/>
      <c r="V283" s="99"/>
      <c r="W283" s="99"/>
      <c r="X283" s="99"/>
      <c r="Y283" s="99"/>
    </row>
    <row r="284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99"/>
      <c r="U284" s="99"/>
      <c r="V284" s="99"/>
      <c r="W284" s="99"/>
      <c r="X284" s="99"/>
      <c r="Y284" s="99"/>
    </row>
    <row r="285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99"/>
      <c r="U285" s="99"/>
      <c r="V285" s="99"/>
      <c r="W285" s="99"/>
      <c r="X285" s="99"/>
      <c r="Y285" s="99"/>
    </row>
    <row r="286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99"/>
      <c r="U286" s="99"/>
      <c r="V286" s="99"/>
      <c r="W286" s="99"/>
      <c r="X286" s="99"/>
      <c r="Y286" s="99"/>
    </row>
    <row r="287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99"/>
      <c r="U287" s="99"/>
      <c r="V287" s="99"/>
      <c r="W287" s="99"/>
      <c r="X287" s="99"/>
      <c r="Y287" s="99"/>
    </row>
    <row r="288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99"/>
      <c r="U288" s="99"/>
      <c r="V288" s="99"/>
      <c r="W288" s="99"/>
      <c r="X288" s="99"/>
      <c r="Y288" s="99"/>
    </row>
    <row r="289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99"/>
      <c r="U289" s="99"/>
      <c r="V289" s="99"/>
      <c r="W289" s="99"/>
      <c r="X289" s="99"/>
      <c r="Y289" s="99"/>
    </row>
    <row r="290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99"/>
      <c r="U290" s="99"/>
      <c r="V290" s="99"/>
      <c r="W290" s="99"/>
      <c r="X290" s="99"/>
      <c r="Y290" s="99"/>
    </row>
    <row r="29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99"/>
      <c r="U291" s="99"/>
      <c r="V291" s="99"/>
      <c r="W291" s="99"/>
      <c r="X291" s="99"/>
      <c r="Y291" s="99"/>
    </row>
    <row r="292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99"/>
      <c r="U292" s="99"/>
      <c r="V292" s="99"/>
      <c r="W292" s="99"/>
      <c r="X292" s="99"/>
      <c r="Y292" s="99"/>
    </row>
    <row r="293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99"/>
      <c r="U293" s="99"/>
      <c r="V293" s="99"/>
      <c r="W293" s="99"/>
      <c r="X293" s="99"/>
      <c r="Y293" s="99"/>
    </row>
    <row r="294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99"/>
      <c r="U294" s="99"/>
      <c r="V294" s="99"/>
      <c r="W294" s="99"/>
      <c r="X294" s="99"/>
      <c r="Y294" s="99"/>
    </row>
    <row r="29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99"/>
      <c r="U295" s="99"/>
      <c r="V295" s="99"/>
      <c r="W295" s="99"/>
      <c r="X295" s="99"/>
      <c r="Y295" s="99"/>
    </row>
    <row r="296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99"/>
      <c r="U296" s="99"/>
      <c r="V296" s="99"/>
      <c r="W296" s="99"/>
      <c r="X296" s="99"/>
      <c r="Y296" s="99"/>
    </row>
    <row r="297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99"/>
      <c r="U297" s="99"/>
      <c r="V297" s="99"/>
      <c r="W297" s="99"/>
      <c r="X297" s="99"/>
      <c r="Y297" s="99"/>
    </row>
    <row r="298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99"/>
      <c r="U298" s="99"/>
      <c r="V298" s="99"/>
      <c r="W298" s="99"/>
      <c r="X298" s="99"/>
      <c r="Y298" s="99"/>
    </row>
    <row r="299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99"/>
      <c r="U299" s="99"/>
      <c r="V299" s="99"/>
      <c r="W299" s="99"/>
      <c r="X299" s="99"/>
      <c r="Y299" s="99"/>
    </row>
    <row r="300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99"/>
      <c r="U300" s="99"/>
      <c r="V300" s="99"/>
      <c r="W300" s="99"/>
      <c r="X300" s="99"/>
      <c r="Y300" s="99"/>
    </row>
    <row r="30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99"/>
      <c r="U301" s="99"/>
      <c r="V301" s="99"/>
      <c r="W301" s="99"/>
      <c r="X301" s="99"/>
      <c r="Y301" s="99"/>
    </row>
    <row r="302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99"/>
      <c r="U302" s="99"/>
      <c r="V302" s="99"/>
      <c r="W302" s="99"/>
      <c r="X302" s="99"/>
      <c r="Y302" s="99"/>
    </row>
    <row r="303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99"/>
      <c r="U303" s="99"/>
      <c r="V303" s="99"/>
      <c r="W303" s="99"/>
      <c r="X303" s="99"/>
      <c r="Y303" s="99"/>
    </row>
    <row r="304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99"/>
      <c r="U304" s="99"/>
      <c r="V304" s="99"/>
      <c r="W304" s="99"/>
      <c r="X304" s="99"/>
      <c r="Y304" s="99"/>
    </row>
    <row r="305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99"/>
      <c r="U305" s="99"/>
      <c r="V305" s="99"/>
      <c r="W305" s="99"/>
      <c r="X305" s="99"/>
      <c r="Y305" s="99"/>
    </row>
    <row r="306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99"/>
      <c r="U306" s="99"/>
      <c r="V306" s="99"/>
      <c r="W306" s="99"/>
      <c r="X306" s="99"/>
      <c r="Y306" s="99"/>
    </row>
    <row r="307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99"/>
      <c r="U307" s="99"/>
      <c r="V307" s="99"/>
      <c r="W307" s="99"/>
      <c r="X307" s="99"/>
      <c r="Y307" s="99"/>
    </row>
    <row r="308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99"/>
      <c r="U308" s="99"/>
      <c r="V308" s="99"/>
      <c r="W308" s="99"/>
      <c r="X308" s="99"/>
      <c r="Y308" s="99"/>
    </row>
    <row r="309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99"/>
      <c r="U309" s="99"/>
      <c r="V309" s="99"/>
      <c r="W309" s="99"/>
      <c r="X309" s="99"/>
      <c r="Y309" s="99"/>
    </row>
    <row r="310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99"/>
      <c r="U310" s="99"/>
      <c r="V310" s="99"/>
      <c r="W310" s="99"/>
      <c r="X310" s="99"/>
      <c r="Y310" s="99"/>
    </row>
    <row r="31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99"/>
      <c r="U311" s="99"/>
      <c r="V311" s="99"/>
      <c r="W311" s="99"/>
      <c r="X311" s="99"/>
      <c r="Y311" s="99"/>
    </row>
    <row r="312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99"/>
      <c r="U312" s="99"/>
      <c r="V312" s="99"/>
      <c r="W312" s="99"/>
      <c r="X312" s="99"/>
      <c r="Y312" s="99"/>
    </row>
    <row r="313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99"/>
      <c r="U313" s="99"/>
      <c r="V313" s="99"/>
      <c r="W313" s="99"/>
      <c r="X313" s="99"/>
      <c r="Y313" s="99"/>
    </row>
    <row r="314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99"/>
      <c r="U314" s="99"/>
      <c r="V314" s="99"/>
      <c r="W314" s="99"/>
      <c r="X314" s="99"/>
      <c r="Y314" s="99"/>
    </row>
    <row r="315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99"/>
      <c r="U315" s="99"/>
      <c r="V315" s="99"/>
      <c r="W315" s="99"/>
      <c r="X315" s="99"/>
      <c r="Y315" s="99"/>
    </row>
    <row r="316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99"/>
      <c r="U316" s="99"/>
      <c r="V316" s="99"/>
      <c r="W316" s="99"/>
      <c r="X316" s="99"/>
      <c r="Y316" s="99"/>
    </row>
    <row r="317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99"/>
      <c r="U317" s="99"/>
      <c r="V317" s="99"/>
      <c r="W317" s="99"/>
      <c r="X317" s="99"/>
      <c r="Y317" s="99"/>
    </row>
    <row r="318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99"/>
      <c r="U318" s="99"/>
      <c r="V318" s="99"/>
      <c r="W318" s="99"/>
      <c r="X318" s="99"/>
      <c r="Y318" s="99"/>
    </row>
    <row r="319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99"/>
      <c r="U319" s="99"/>
      <c r="V319" s="99"/>
      <c r="W319" s="99"/>
      <c r="X319" s="99"/>
      <c r="Y319" s="99"/>
    </row>
    <row r="320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99"/>
      <c r="U320" s="99"/>
      <c r="V320" s="99"/>
      <c r="W320" s="99"/>
      <c r="X320" s="99"/>
      <c r="Y320" s="99"/>
    </row>
    <row r="32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99"/>
      <c r="U321" s="99"/>
      <c r="V321" s="99"/>
      <c r="W321" s="99"/>
      <c r="X321" s="99"/>
      <c r="Y321" s="99"/>
    </row>
    <row r="322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99"/>
      <c r="U322" s="99"/>
      <c r="V322" s="99"/>
      <c r="W322" s="99"/>
      <c r="X322" s="99"/>
      <c r="Y322" s="99"/>
    </row>
    <row r="323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99"/>
      <c r="U323" s="99"/>
      <c r="V323" s="99"/>
      <c r="W323" s="99"/>
      <c r="X323" s="99"/>
      <c r="Y323" s="99"/>
    </row>
    <row r="324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99"/>
      <c r="U324" s="99"/>
      <c r="V324" s="99"/>
      <c r="W324" s="99"/>
      <c r="X324" s="99"/>
      <c r="Y324" s="99"/>
    </row>
    <row r="325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99"/>
      <c r="U325" s="99"/>
      <c r="V325" s="99"/>
      <c r="W325" s="99"/>
      <c r="X325" s="99"/>
      <c r="Y325" s="99"/>
    </row>
    <row r="326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99"/>
      <c r="U326" s="99"/>
      <c r="V326" s="99"/>
      <c r="W326" s="99"/>
      <c r="X326" s="99"/>
      <c r="Y326" s="99"/>
    </row>
    <row r="327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99"/>
      <c r="U327" s="99"/>
      <c r="V327" s="99"/>
      <c r="W327" s="99"/>
      <c r="X327" s="99"/>
      <c r="Y327" s="99"/>
    </row>
    <row r="328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99"/>
      <c r="U328" s="99"/>
      <c r="V328" s="99"/>
      <c r="W328" s="99"/>
      <c r="X328" s="99"/>
      <c r="Y328" s="99"/>
    </row>
    <row r="329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99"/>
      <c r="U329" s="99"/>
      <c r="V329" s="99"/>
      <c r="W329" s="99"/>
      <c r="X329" s="99"/>
      <c r="Y329" s="99"/>
    </row>
    <row r="330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99"/>
      <c r="U330" s="99"/>
      <c r="V330" s="99"/>
      <c r="W330" s="99"/>
      <c r="X330" s="99"/>
      <c r="Y330" s="99"/>
    </row>
    <row r="33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99"/>
      <c r="U331" s="99"/>
      <c r="V331" s="99"/>
      <c r="W331" s="99"/>
      <c r="X331" s="99"/>
      <c r="Y331" s="99"/>
    </row>
    <row r="332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99"/>
      <c r="U332" s="99"/>
      <c r="V332" s="99"/>
      <c r="W332" s="99"/>
      <c r="X332" s="99"/>
      <c r="Y332" s="99"/>
    </row>
    <row r="333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99"/>
      <c r="U333" s="99"/>
      <c r="V333" s="99"/>
      <c r="W333" s="99"/>
      <c r="X333" s="99"/>
      <c r="Y333" s="99"/>
    </row>
    <row r="334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99"/>
      <c r="U334" s="99"/>
      <c r="V334" s="99"/>
      <c r="W334" s="99"/>
      <c r="X334" s="99"/>
      <c r="Y334" s="99"/>
    </row>
    <row r="335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99"/>
      <c r="U335" s="99"/>
      <c r="V335" s="99"/>
      <c r="W335" s="99"/>
      <c r="X335" s="99"/>
      <c r="Y335" s="99"/>
    </row>
    <row r="336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99"/>
      <c r="U336" s="99"/>
      <c r="V336" s="99"/>
      <c r="W336" s="99"/>
      <c r="X336" s="99"/>
      <c r="Y336" s="99"/>
    </row>
    <row r="337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99"/>
      <c r="U337" s="99"/>
      <c r="V337" s="99"/>
      <c r="W337" s="99"/>
      <c r="X337" s="99"/>
      <c r="Y337" s="99"/>
    </row>
    <row r="338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99"/>
      <c r="U338" s="99"/>
      <c r="V338" s="99"/>
      <c r="W338" s="99"/>
      <c r="X338" s="99"/>
      <c r="Y338" s="99"/>
    </row>
    <row r="339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99"/>
      <c r="U339" s="99"/>
      <c r="V339" s="99"/>
      <c r="W339" s="99"/>
      <c r="X339" s="99"/>
      <c r="Y339" s="99"/>
    </row>
    <row r="340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99"/>
      <c r="U340" s="99"/>
      <c r="V340" s="99"/>
      <c r="W340" s="99"/>
      <c r="X340" s="99"/>
      <c r="Y340" s="99"/>
    </row>
    <row r="34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99"/>
      <c r="U341" s="99"/>
      <c r="V341" s="99"/>
      <c r="W341" s="99"/>
      <c r="X341" s="99"/>
      <c r="Y341" s="99"/>
    </row>
    <row r="342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99"/>
      <c r="U342" s="99"/>
      <c r="V342" s="99"/>
      <c r="W342" s="99"/>
      <c r="X342" s="99"/>
      <c r="Y342" s="99"/>
    </row>
    <row r="343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99"/>
      <c r="U343" s="99"/>
      <c r="V343" s="99"/>
      <c r="W343" s="99"/>
      <c r="X343" s="99"/>
      <c r="Y343" s="99"/>
    </row>
    <row r="344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99"/>
      <c r="U344" s="99"/>
      <c r="V344" s="99"/>
      <c r="W344" s="99"/>
      <c r="X344" s="99"/>
      <c r="Y344" s="99"/>
    </row>
    <row r="345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99"/>
      <c r="U345" s="99"/>
      <c r="V345" s="99"/>
      <c r="W345" s="99"/>
      <c r="X345" s="99"/>
      <c r="Y345" s="99"/>
    </row>
    <row r="346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99"/>
      <c r="U346" s="99"/>
      <c r="V346" s="99"/>
      <c r="W346" s="99"/>
      <c r="X346" s="99"/>
      <c r="Y346" s="99"/>
    </row>
    <row r="347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99"/>
      <c r="U347" s="99"/>
      <c r="V347" s="99"/>
      <c r="W347" s="99"/>
      <c r="X347" s="99"/>
      <c r="Y347" s="99"/>
    </row>
    <row r="348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99"/>
      <c r="U348" s="99"/>
      <c r="V348" s="99"/>
      <c r="W348" s="99"/>
      <c r="X348" s="99"/>
      <c r="Y348" s="99"/>
    </row>
    <row r="349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99"/>
      <c r="U349" s="99"/>
      <c r="V349" s="99"/>
      <c r="W349" s="99"/>
      <c r="X349" s="99"/>
      <c r="Y349" s="99"/>
    </row>
    <row r="350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99"/>
      <c r="U350" s="99"/>
      <c r="V350" s="99"/>
      <c r="W350" s="99"/>
      <c r="X350" s="99"/>
      <c r="Y350" s="99"/>
    </row>
    <row r="35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99"/>
      <c r="U351" s="99"/>
      <c r="V351" s="99"/>
      <c r="W351" s="99"/>
      <c r="X351" s="99"/>
      <c r="Y351" s="99"/>
    </row>
    <row r="352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99"/>
      <c r="U352" s="99"/>
      <c r="V352" s="99"/>
      <c r="W352" s="99"/>
      <c r="X352" s="99"/>
      <c r="Y352" s="99"/>
    </row>
    <row r="353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99"/>
      <c r="U353" s="99"/>
      <c r="V353" s="99"/>
      <c r="W353" s="99"/>
      <c r="X353" s="99"/>
      <c r="Y353" s="99"/>
    </row>
    <row r="354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99"/>
      <c r="U354" s="99"/>
      <c r="V354" s="99"/>
      <c r="W354" s="99"/>
      <c r="X354" s="99"/>
      <c r="Y354" s="99"/>
    </row>
    <row r="355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99"/>
      <c r="U355" s="99"/>
      <c r="V355" s="99"/>
      <c r="W355" s="99"/>
      <c r="X355" s="99"/>
      <c r="Y355" s="99"/>
    </row>
    <row r="356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99"/>
      <c r="U356" s="99"/>
      <c r="V356" s="99"/>
      <c r="W356" s="99"/>
      <c r="X356" s="99"/>
      <c r="Y356" s="99"/>
    </row>
    <row r="357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99"/>
      <c r="U357" s="99"/>
      <c r="V357" s="99"/>
      <c r="W357" s="99"/>
      <c r="X357" s="99"/>
      <c r="Y357" s="99"/>
    </row>
    <row r="358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99"/>
      <c r="U358" s="99"/>
      <c r="V358" s="99"/>
      <c r="W358" s="99"/>
      <c r="X358" s="99"/>
      <c r="Y358" s="99"/>
    </row>
    <row r="359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99"/>
      <c r="U359" s="99"/>
      <c r="V359" s="99"/>
      <c r="W359" s="99"/>
      <c r="X359" s="99"/>
      <c r="Y359" s="99"/>
    </row>
    <row r="360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99"/>
      <c r="U360" s="99"/>
      <c r="V360" s="99"/>
      <c r="W360" s="99"/>
      <c r="X360" s="99"/>
      <c r="Y360" s="99"/>
    </row>
    <row r="36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99"/>
      <c r="U361" s="99"/>
      <c r="V361" s="99"/>
      <c r="W361" s="99"/>
      <c r="X361" s="99"/>
      <c r="Y361" s="99"/>
    </row>
    <row r="362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99"/>
      <c r="U362" s="99"/>
      <c r="V362" s="99"/>
      <c r="W362" s="99"/>
      <c r="X362" s="99"/>
      <c r="Y362" s="99"/>
    </row>
    <row r="363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99"/>
      <c r="U363" s="99"/>
      <c r="V363" s="99"/>
      <c r="W363" s="99"/>
      <c r="X363" s="99"/>
      <c r="Y363" s="99"/>
    </row>
    <row r="364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99"/>
      <c r="U364" s="99"/>
      <c r="V364" s="99"/>
      <c r="W364" s="99"/>
      <c r="X364" s="99"/>
      <c r="Y364" s="99"/>
    </row>
    <row r="365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99"/>
      <c r="U365" s="99"/>
      <c r="V365" s="99"/>
      <c r="W365" s="99"/>
      <c r="X365" s="99"/>
      <c r="Y365" s="99"/>
    </row>
    <row r="366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99"/>
      <c r="U366" s="99"/>
      <c r="V366" s="99"/>
      <c r="W366" s="99"/>
      <c r="X366" s="99"/>
      <c r="Y366" s="99"/>
    </row>
    <row r="367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99"/>
      <c r="U367" s="99"/>
      <c r="V367" s="99"/>
      <c r="W367" s="99"/>
      <c r="X367" s="99"/>
      <c r="Y367" s="99"/>
    </row>
    <row r="368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99"/>
      <c r="U368" s="99"/>
      <c r="V368" s="99"/>
      <c r="W368" s="99"/>
      <c r="X368" s="99"/>
      <c r="Y368" s="99"/>
    </row>
    <row r="369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99"/>
      <c r="U369" s="99"/>
      <c r="V369" s="99"/>
      <c r="W369" s="99"/>
      <c r="X369" s="99"/>
      <c r="Y369" s="99"/>
    </row>
    <row r="370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99"/>
      <c r="U370" s="99"/>
      <c r="V370" s="99"/>
      <c r="W370" s="99"/>
      <c r="X370" s="99"/>
      <c r="Y370" s="99"/>
    </row>
    <row r="37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99"/>
      <c r="U371" s="99"/>
      <c r="V371" s="99"/>
      <c r="W371" s="99"/>
      <c r="X371" s="99"/>
      <c r="Y371" s="99"/>
    </row>
    <row r="372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99"/>
      <c r="U372" s="99"/>
      <c r="V372" s="99"/>
      <c r="W372" s="99"/>
      <c r="X372" s="99"/>
      <c r="Y372" s="99"/>
    </row>
    <row r="373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99"/>
      <c r="U373" s="99"/>
      <c r="V373" s="99"/>
      <c r="W373" s="99"/>
      <c r="X373" s="99"/>
      <c r="Y373" s="99"/>
    </row>
    <row r="374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99"/>
      <c r="U374" s="99"/>
      <c r="V374" s="99"/>
      <c r="W374" s="99"/>
      <c r="X374" s="99"/>
      <c r="Y374" s="99"/>
    </row>
    <row r="375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99"/>
      <c r="U375" s="99"/>
      <c r="V375" s="99"/>
      <c r="W375" s="99"/>
      <c r="X375" s="99"/>
      <c r="Y375" s="99"/>
    </row>
    <row r="376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99"/>
      <c r="U376" s="99"/>
      <c r="V376" s="99"/>
      <c r="W376" s="99"/>
      <c r="X376" s="99"/>
      <c r="Y376" s="99"/>
    </row>
    <row r="377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99"/>
      <c r="U377" s="99"/>
      <c r="V377" s="99"/>
      <c r="W377" s="99"/>
      <c r="X377" s="99"/>
      <c r="Y377" s="99"/>
    </row>
    <row r="378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99"/>
      <c r="U378" s="99"/>
      <c r="V378" s="99"/>
      <c r="W378" s="99"/>
      <c r="X378" s="99"/>
      <c r="Y378" s="99"/>
    </row>
    <row r="379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99"/>
      <c r="U379" s="99"/>
      <c r="V379" s="99"/>
      <c r="W379" s="99"/>
      <c r="X379" s="99"/>
      <c r="Y379" s="99"/>
    </row>
    <row r="380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99"/>
      <c r="U380" s="99"/>
      <c r="V380" s="99"/>
      <c r="W380" s="99"/>
      <c r="X380" s="99"/>
      <c r="Y380" s="99"/>
    </row>
    <row r="38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99"/>
      <c r="U381" s="99"/>
      <c r="V381" s="99"/>
      <c r="W381" s="99"/>
      <c r="X381" s="99"/>
      <c r="Y381" s="99"/>
    </row>
    <row r="382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99"/>
      <c r="U382" s="99"/>
      <c r="V382" s="99"/>
      <c r="W382" s="99"/>
      <c r="X382" s="99"/>
      <c r="Y382" s="99"/>
    </row>
    <row r="383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99"/>
      <c r="U383" s="99"/>
      <c r="V383" s="99"/>
      <c r="W383" s="99"/>
      <c r="X383" s="99"/>
      <c r="Y383" s="99"/>
    </row>
    <row r="384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99"/>
      <c r="U384" s="99"/>
      <c r="V384" s="99"/>
      <c r="W384" s="99"/>
      <c r="X384" s="99"/>
      <c r="Y384" s="99"/>
    </row>
    <row r="385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99"/>
      <c r="U385" s="99"/>
      <c r="V385" s="99"/>
      <c r="W385" s="99"/>
      <c r="X385" s="99"/>
      <c r="Y385" s="99"/>
    </row>
    <row r="386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99"/>
      <c r="U386" s="99"/>
      <c r="V386" s="99"/>
      <c r="W386" s="99"/>
      <c r="X386" s="99"/>
      <c r="Y386" s="99"/>
    </row>
    <row r="387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99"/>
      <c r="U387" s="99"/>
      <c r="V387" s="99"/>
      <c r="W387" s="99"/>
      <c r="X387" s="99"/>
      <c r="Y387" s="99"/>
    </row>
    <row r="388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99"/>
      <c r="U388" s="99"/>
      <c r="V388" s="99"/>
      <c r="W388" s="99"/>
      <c r="X388" s="99"/>
      <c r="Y388" s="99"/>
    </row>
    <row r="389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99"/>
      <c r="U389" s="99"/>
      <c r="V389" s="99"/>
      <c r="W389" s="99"/>
      <c r="X389" s="99"/>
      <c r="Y389" s="99"/>
    </row>
    <row r="390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99"/>
      <c r="U390" s="99"/>
      <c r="V390" s="99"/>
      <c r="W390" s="99"/>
      <c r="X390" s="99"/>
      <c r="Y390" s="99"/>
    </row>
    <row r="39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99"/>
      <c r="U391" s="99"/>
      <c r="V391" s="99"/>
      <c r="W391" s="99"/>
      <c r="X391" s="99"/>
      <c r="Y391" s="99"/>
    </row>
    <row r="392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99"/>
      <c r="U392" s="99"/>
      <c r="V392" s="99"/>
      <c r="W392" s="99"/>
      <c r="X392" s="99"/>
      <c r="Y392" s="99"/>
    </row>
    <row r="393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99"/>
      <c r="U393" s="99"/>
      <c r="V393" s="99"/>
      <c r="W393" s="99"/>
      <c r="X393" s="99"/>
      <c r="Y393" s="99"/>
    </row>
    <row r="394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99"/>
      <c r="U394" s="99"/>
      <c r="V394" s="99"/>
      <c r="W394" s="99"/>
      <c r="X394" s="99"/>
      <c r="Y394" s="99"/>
    </row>
    <row r="39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99"/>
      <c r="U395" s="99"/>
      <c r="V395" s="99"/>
      <c r="W395" s="99"/>
      <c r="X395" s="99"/>
      <c r="Y395" s="99"/>
    </row>
    <row r="396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99"/>
      <c r="U396" s="99"/>
      <c r="V396" s="99"/>
      <c r="W396" s="99"/>
      <c r="X396" s="99"/>
      <c r="Y396" s="99"/>
    </row>
    <row r="397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99"/>
      <c r="U397" s="99"/>
      <c r="V397" s="99"/>
      <c r="W397" s="99"/>
      <c r="X397" s="99"/>
      <c r="Y397" s="99"/>
    </row>
    <row r="398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99"/>
      <c r="U398" s="99"/>
      <c r="V398" s="99"/>
      <c r="W398" s="99"/>
      <c r="X398" s="99"/>
      <c r="Y398" s="99"/>
    </row>
    <row r="399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99"/>
      <c r="U399" s="99"/>
      <c r="V399" s="99"/>
      <c r="W399" s="99"/>
      <c r="X399" s="99"/>
      <c r="Y399" s="99"/>
    </row>
    <row r="400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99"/>
      <c r="U400" s="99"/>
      <c r="V400" s="99"/>
      <c r="W400" s="99"/>
      <c r="X400" s="99"/>
      <c r="Y400" s="99"/>
    </row>
    <row r="40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99"/>
      <c r="U401" s="99"/>
      <c r="V401" s="99"/>
      <c r="W401" s="99"/>
      <c r="X401" s="99"/>
      <c r="Y401" s="99"/>
    </row>
    <row r="402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99"/>
      <c r="U402" s="99"/>
      <c r="V402" s="99"/>
      <c r="W402" s="99"/>
      <c r="X402" s="99"/>
      <c r="Y402" s="99"/>
    </row>
    <row r="403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99"/>
      <c r="U403" s="99"/>
      <c r="V403" s="99"/>
      <c r="W403" s="99"/>
      <c r="X403" s="99"/>
      <c r="Y403" s="99"/>
    </row>
    <row r="404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99"/>
      <c r="U404" s="99"/>
      <c r="V404" s="99"/>
      <c r="W404" s="99"/>
      <c r="X404" s="99"/>
      <c r="Y404" s="99"/>
    </row>
    <row r="405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99"/>
      <c r="U405" s="99"/>
      <c r="V405" s="99"/>
      <c r="W405" s="99"/>
      <c r="X405" s="99"/>
      <c r="Y405" s="99"/>
    </row>
    <row r="406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99"/>
      <c r="U406" s="99"/>
      <c r="V406" s="99"/>
      <c r="W406" s="99"/>
      <c r="X406" s="99"/>
      <c r="Y406" s="99"/>
    </row>
    <row r="407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99"/>
      <c r="U407" s="99"/>
      <c r="V407" s="99"/>
      <c r="W407" s="99"/>
      <c r="X407" s="99"/>
      <c r="Y407" s="99"/>
    </row>
    <row r="408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99"/>
      <c r="U408" s="99"/>
      <c r="V408" s="99"/>
      <c r="W408" s="99"/>
      <c r="X408" s="99"/>
      <c r="Y408" s="99"/>
    </row>
    <row r="409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99"/>
      <c r="U409" s="99"/>
      <c r="V409" s="99"/>
      <c r="W409" s="99"/>
      <c r="X409" s="99"/>
      <c r="Y409" s="99"/>
    </row>
    <row r="410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99"/>
      <c r="U410" s="99"/>
      <c r="V410" s="99"/>
      <c r="W410" s="99"/>
      <c r="X410" s="99"/>
      <c r="Y410" s="99"/>
    </row>
    <row r="41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99"/>
      <c r="U411" s="99"/>
      <c r="V411" s="99"/>
      <c r="W411" s="99"/>
      <c r="X411" s="99"/>
      <c r="Y411" s="99"/>
    </row>
    <row r="412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99"/>
      <c r="U412" s="99"/>
      <c r="V412" s="99"/>
      <c r="W412" s="99"/>
      <c r="X412" s="99"/>
      <c r="Y412" s="99"/>
    </row>
    <row r="413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99"/>
      <c r="U413" s="99"/>
      <c r="V413" s="99"/>
      <c r="W413" s="99"/>
      <c r="X413" s="99"/>
      <c r="Y413" s="99"/>
    </row>
    <row r="414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99"/>
      <c r="U414" s="99"/>
      <c r="V414" s="99"/>
      <c r="W414" s="99"/>
      <c r="X414" s="99"/>
      <c r="Y414" s="99"/>
    </row>
    <row r="415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99"/>
      <c r="U415" s="99"/>
      <c r="V415" s="99"/>
      <c r="W415" s="99"/>
      <c r="X415" s="99"/>
      <c r="Y415" s="99"/>
    </row>
    <row r="416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99"/>
      <c r="U416" s="99"/>
      <c r="V416" s="99"/>
      <c r="W416" s="99"/>
      <c r="X416" s="99"/>
      <c r="Y416" s="99"/>
    </row>
    <row r="417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99"/>
      <c r="U417" s="99"/>
      <c r="V417" s="99"/>
      <c r="W417" s="99"/>
      <c r="X417" s="99"/>
      <c r="Y417" s="99"/>
    </row>
    <row r="418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99"/>
      <c r="U418" s="99"/>
      <c r="V418" s="99"/>
      <c r="W418" s="99"/>
      <c r="X418" s="99"/>
      <c r="Y418" s="99"/>
    </row>
    <row r="419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99"/>
      <c r="U419" s="99"/>
      <c r="V419" s="99"/>
      <c r="W419" s="99"/>
      <c r="X419" s="99"/>
      <c r="Y419" s="99"/>
    </row>
    <row r="420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99"/>
      <c r="U420" s="99"/>
      <c r="V420" s="99"/>
      <c r="W420" s="99"/>
      <c r="X420" s="99"/>
      <c r="Y420" s="99"/>
    </row>
    <row r="42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99"/>
      <c r="U421" s="99"/>
      <c r="V421" s="99"/>
      <c r="W421" s="99"/>
      <c r="X421" s="99"/>
      <c r="Y421" s="99"/>
    </row>
    <row r="422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99"/>
      <c r="U422" s="99"/>
      <c r="V422" s="99"/>
      <c r="W422" s="99"/>
      <c r="X422" s="99"/>
      <c r="Y422" s="99"/>
    </row>
    <row r="423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99"/>
      <c r="U423" s="99"/>
      <c r="V423" s="99"/>
      <c r="W423" s="99"/>
      <c r="X423" s="99"/>
      <c r="Y423" s="99"/>
    </row>
    <row r="424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99"/>
      <c r="U424" s="99"/>
      <c r="V424" s="99"/>
      <c r="W424" s="99"/>
      <c r="X424" s="99"/>
      <c r="Y424" s="99"/>
    </row>
    <row r="425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99"/>
      <c r="U425" s="99"/>
      <c r="V425" s="99"/>
      <c r="W425" s="99"/>
      <c r="X425" s="99"/>
      <c r="Y425" s="99"/>
    </row>
    <row r="426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99"/>
      <c r="U426" s="99"/>
      <c r="V426" s="99"/>
      <c r="W426" s="99"/>
      <c r="X426" s="99"/>
      <c r="Y426" s="99"/>
    </row>
    <row r="427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99"/>
      <c r="U427" s="99"/>
      <c r="V427" s="99"/>
      <c r="W427" s="99"/>
      <c r="X427" s="99"/>
      <c r="Y427" s="99"/>
    </row>
    <row r="428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99"/>
      <c r="U428" s="99"/>
      <c r="V428" s="99"/>
      <c r="W428" s="99"/>
      <c r="X428" s="99"/>
      <c r="Y428" s="99"/>
    </row>
    <row r="429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99"/>
      <c r="U429" s="99"/>
      <c r="V429" s="99"/>
      <c r="W429" s="99"/>
      <c r="X429" s="99"/>
      <c r="Y429" s="99"/>
    </row>
    <row r="430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99"/>
      <c r="U430" s="99"/>
      <c r="V430" s="99"/>
      <c r="W430" s="99"/>
      <c r="X430" s="99"/>
      <c r="Y430" s="99"/>
    </row>
    <row r="43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99"/>
      <c r="U431" s="99"/>
      <c r="V431" s="99"/>
      <c r="W431" s="99"/>
      <c r="X431" s="99"/>
      <c r="Y431" s="99"/>
    </row>
    <row r="432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99"/>
      <c r="U432" s="99"/>
      <c r="V432" s="99"/>
      <c r="W432" s="99"/>
      <c r="X432" s="99"/>
      <c r="Y432" s="99"/>
    </row>
    <row r="433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99"/>
      <c r="U433" s="99"/>
      <c r="V433" s="99"/>
      <c r="W433" s="99"/>
      <c r="X433" s="99"/>
      <c r="Y433" s="99"/>
    </row>
    <row r="434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99"/>
      <c r="U434" s="99"/>
      <c r="V434" s="99"/>
      <c r="W434" s="99"/>
      <c r="X434" s="99"/>
      <c r="Y434" s="99"/>
    </row>
    <row r="435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99"/>
      <c r="U435" s="99"/>
      <c r="V435" s="99"/>
      <c r="W435" s="99"/>
      <c r="X435" s="99"/>
      <c r="Y435" s="99"/>
    </row>
    <row r="436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99"/>
      <c r="U436" s="99"/>
      <c r="V436" s="99"/>
      <c r="W436" s="99"/>
      <c r="X436" s="99"/>
      <c r="Y436" s="99"/>
    </row>
    <row r="437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99"/>
      <c r="U437" s="99"/>
      <c r="V437" s="99"/>
      <c r="W437" s="99"/>
      <c r="X437" s="99"/>
      <c r="Y437" s="99"/>
    </row>
    <row r="438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99"/>
      <c r="U438" s="99"/>
      <c r="V438" s="99"/>
      <c r="W438" s="99"/>
      <c r="X438" s="99"/>
      <c r="Y438" s="99"/>
    </row>
    <row r="439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99"/>
      <c r="U439" s="99"/>
      <c r="V439" s="99"/>
      <c r="W439" s="99"/>
      <c r="X439" s="99"/>
      <c r="Y439" s="99"/>
    </row>
    <row r="440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99"/>
      <c r="U440" s="99"/>
      <c r="V440" s="99"/>
      <c r="W440" s="99"/>
      <c r="X440" s="99"/>
      <c r="Y440" s="99"/>
    </row>
    <row r="44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99"/>
      <c r="U441" s="99"/>
      <c r="V441" s="99"/>
      <c r="W441" s="99"/>
      <c r="X441" s="99"/>
      <c r="Y441" s="99"/>
    </row>
    <row r="442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99"/>
      <c r="U442" s="99"/>
      <c r="V442" s="99"/>
      <c r="W442" s="99"/>
      <c r="X442" s="99"/>
      <c r="Y442" s="99"/>
    </row>
    <row r="443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99"/>
      <c r="U443" s="99"/>
      <c r="V443" s="99"/>
      <c r="W443" s="99"/>
      <c r="X443" s="99"/>
      <c r="Y443" s="99"/>
    </row>
    <row r="444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99"/>
      <c r="U444" s="99"/>
      <c r="V444" s="99"/>
      <c r="W444" s="99"/>
      <c r="X444" s="99"/>
      <c r="Y444" s="99"/>
    </row>
    <row r="445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99"/>
      <c r="U445" s="99"/>
      <c r="V445" s="99"/>
      <c r="W445" s="99"/>
      <c r="X445" s="99"/>
      <c r="Y445" s="99"/>
    </row>
    <row r="446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99"/>
      <c r="U446" s="99"/>
      <c r="V446" s="99"/>
      <c r="W446" s="99"/>
      <c r="X446" s="99"/>
      <c r="Y446" s="99"/>
    </row>
    <row r="447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99"/>
      <c r="U447" s="99"/>
      <c r="V447" s="99"/>
      <c r="W447" s="99"/>
      <c r="X447" s="99"/>
      <c r="Y447" s="99"/>
    </row>
    <row r="448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99"/>
      <c r="U448" s="99"/>
      <c r="V448" s="99"/>
      <c r="W448" s="99"/>
      <c r="X448" s="99"/>
      <c r="Y448" s="99"/>
    </row>
    <row r="449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99"/>
      <c r="U449" s="99"/>
      <c r="V449" s="99"/>
      <c r="W449" s="99"/>
      <c r="X449" s="99"/>
      <c r="Y449" s="99"/>
    </row>
    <row r="450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99"/>
      <c r="U450" s="99"/>
      <c r="V450" s="99"/>
      <c r="W450" s="99"/>
      <c r="X450" s="99"/>
      <c r="Y450" s="99"/>
    </row>
    <row r="45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99"/>
      <c r="U451" s="99"/>
      <c r="V451" s="99"/>
      <c r="W451" s="99"/>
      <c r="X451" s="99"/>
      <c r="Y451" s="99"/>
    </row>
    <row r="452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99"/>
      <c r="U452" s="99"/>
      <c r="V452" s="99"/>
      <c r="W452" s="99"/>
      <c r="X452" s="99"/>
      <c r="Y452" s="99"/>
    </row>
    <row r="453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99"/>
      <c r="U453" s="99"/>
      <c r="V453" s="99"/>
      <c r="W453" s="99"/>
      <c r="X453" s="99"/>
      <c r="Y453" s="99"/>
    </row>
    <row r="454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99"/>
      <c r="U454" s="99"/>
      <c r="V454" s="99"/>
      <c r="W454" s="99"/>
      <c r="X454" s="99"/>
      <c r="Y454" s="99"/>
    </row>
    <row r="455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99"/>
      <c r="U455" s="99"/>
      <c r="V455" s="99"/>
      <c r="W455" s="99"/>
      <c r="X455" s="99"/>
      <c r="Y455" s="99"/>
    </row>
    <row r="456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99"/>
      <c r="U456" s="99"/>
      <c r="V456" s="99"/>
      <c r="W456" s="99"/>
      <c r="X456" s="99"/>
      <c r="Y456" s="99"/>
    </row>
    <row r="457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99"/>
      <c r="U457" s="99"/>
      <c r="V457" s="99"/>
      <c r="W457" s="99"/>
      <c r="X457" s="99"/>
      <c r="Y457" s="99"/>
    </row>
    <row r="458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99"/>
      <c r="U458" s="99"/>
      <c r="V458" s="99"/>
      <c r="W458" s="99"/>
      <c r="X458" s="99"/>
      <c r="Y458" s="99"/>
    </row>
    <row r="459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99"/>
      <c r="U459" s="99"/>
      <c r="V459" s="99"/>
      <c r="W459" s="99"/>
      <c r="X459" s="99"/>
      <c r="Y459" s="99"/>
    </row>
    <row r="460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99"/>
      <c r="U460" s="99"/>
      <c r="V460" s="99"/>
      <c r="W460" s="99"/>
      <c r="X460" s="99"/>
      <c r="Y460" s="99"/>
    </row>
    <row r="46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99"/>
      <c r="U461" s="99"/>
      <c r="V461" s="99"/>
      <c r="W461" s="99"/>
      <c r="X461" s="99"/>
      <c r="Y461" s="99"/>
    </row>
    <row r="462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99"/>
      <c r="U462" s="99"/>
      <c r="V462" s="99"/>
      <c r="W462" s="99"/>
      <c r="X462" s="99"/>
      <c r="Y462" s="99"/>
    </row>
    <row r="463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99"/>
      <c r="U463" s="99"/>
      <c r="V463" s="99"/>
      <c r="W463" s="99"/>
      <c r="X463" s="99"/>
      <c r="Y463" s="99"/>
    </row>
    <row r="464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99"/>
      <c r="U464" s="99"/>
      <c r="V464" s="99"/>
      <c r="W464" s="99"/>
      <c r="X464" s="99"/>
      <c r="Y464" s="99"/>
    </row>
    <row r="465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99"/>
      <c r="U465" s="99"/>
      <c r="V465" s="99"/>
      <c r="W465" s="99"/>
      <c r="X465" s="99"/>
      <c r="Y465" s="99"/>
    </row>
    <row r="466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99"/>
      <c r="U466" s="99"/>
      <c r="V466" s="99"/>
      <c r="W466" s="99"/>
      <c r="X466" s="99"/>
      <c r="Y466" s="99"/>
    </row>
    <row r="467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99"/>
      <c r="U467" s="99"/>
      <c r="V467" s="99"/>
      <c r="W467" s="99"/>
      <c r="X467" s="99"/>
      <c r="Y467" s="99"/>
    </row>
    <row r="468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99"/>
      <c r="U468" s="99"/>
      <c r="V468" s="99"/>
      <c r="W468" s="99"/>
      <c r="X468" s="99"/>
      <c r="Y468" s="99"/>
    </row>
    <row r="469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99"/>
      <c r="U469" s="99"/>
      <c r="V469" s="99"/>
      <c r="W469" s="99"/>
      <c r="X469" s="99"/>
      <c r="Y469" s="99"/>
    </row>
    <row r="470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99"/>
      <c r="U470" s="99"/>
      <c r="V470" s="99"/>
      <c r="W470" s="99"/>
      <c r="X470" s="99"/>
      <c r="Y470" s="99"/>
    </row>
    <row r="47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99"/>
      <c r="U471" s="99"/>
      <c r="V471" s="99"/>
      <c r="W471" s="99"/>
      <c r="X471" s="99"/>
      <c r="Y471" s="99"/>
    </row>
    <row r="472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99"/>
      <c r="U472" s="99"/>
      <c r="V472" s="99"/>
      <c r="W472" s="99"/>
      <c r="X472" s="99"/>
      <c r="Y472" s="99"/>
    </row>
    <row r="473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99"/>
      <c r="U473" s="99"/>
      <c r="V473" s="99"/>
      <c r="W473" s="99"/>
      <c r="X473" s="99"/>
      <c r="Y473" s="99"/>
    </row>
    <row r="474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99"/>
      <c r="U474" s="99"/>
      <c r="V474" s="99"/>
      <c r="W474" s="99"/>
      <c r="X474" s="99"/>
      <c r="Y474" s="99"/>
    </row>
    <row r="475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99"/>
      <c r="U475" s="99"/>
      <c r="V475" s="99"/>
      <c r="W475" s="99"/>
      <c r="X475" s="99"/>
      <c r="Y475" s="99"/>
    </row>
    <row r="476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99"/>
      <c r="U476" s="99"/>
      <c r="V476" s="99"/>
      <c r="W476" s="99"/>
      <c r="X476" s="99"/>
      <c r="Y476" s="99"/>
    </row>
    <row r="477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99"/>
      <c r="U477" s="99"/>
      <c r="V477" s="99"/>
      <c r="W477" s="99"/>
      <c r="X477" s="99"/>
      <c r="Y477" s="99"/>
    </row>
    <row r="478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99"/>
      <c r="U478" s="99"/>
      <c r="V478" s="99"/>
      <c r="W478" s="99"/>
      <c r="X478" s="99"/>
      <c r="Y478" s="99"/>
    </row>
    <row r="479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99"/>
      <c r="U479" s="99"/>
      <c r="V479" s="99"/>
      <c r="W479" s="99"/>
      <c r="X479" s="99"/>
      <c r="Y479" s="99"/>
    </row>
    <row r="480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99"/>
      <c r="U480" s="99"/>
      <c r="V480" s="99"/>
      <c r="W480" s="99"/>
      <c r="X480" s="99"/>
      <c r="Y480" s="99"/>
    </row>
    <row r="48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99"/>
      <c r="U481" s="99"/>
      <c r="V481" s="99"/>
      <c r="W481" s="99"/>
      <c r="X481" s="99"/>
      <c r="Y481" s="99"/>
    </row>
    <row r="482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99"/>
      <c r="U482" s="99"/>
      <c r="V482" s="99"/>
      <c r="W482" s="99"/>
      <c r="X482" s="99"/>
      <c r="Y482" s="99"/>
    </row>
    <row r="483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99"/>
      <c r="U483" s="99"/>
      <c r="V483" s="99"/>
      <c r="W483" s="99"/>
      <c r="X483" s="99"/>
      <c r="Y483" s="99"/>
    </row>
    <row r="484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99"/>
      <c r="U484" s="99"/>
      <c r="V484" s="99"/>
      <c r="W484" s="99"/>
      <c r="X484" s="99"/>
      <c r="Y484" s="99"/>
    </row>
    <row r="485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99"/>
      <c r="U485" s="99"/>
      <c r="V485" s="99"/>
      <c r="W485" s="99"/>
      <c r="X485" s="99"/>
      <c r="Y485" s="99"/>
    </row>
    <row r="486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99"/>
      <c r="U486" s="99"/>
      <c r="V486" s="99"/>
      <c r="W486" s="99"/>
      <c r="X486" s="99"/>
      <c r="Y486" s="99"/>
    </row>
    <row r="487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99"/>
      <c r="U487" s="99"/>
      <c r="V487" s="99"/>
      <c r="W487" s="99"/>
      <c r="X487" s="99"/>
      <c r="Y487" s="99"/>
    </row>
    <row r="488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99"/>
      <c r="U488" s="99"/>
      <c r="V488" s="99"/>
      <c r="W488" s="99"/>
      <c r="X488" s="99"/>
      <c r="Y488" s="99"/>
    </row>
    <row r="489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99"/>
      <c r="U489" s="99"/>
      <c r="V489" s="99"/>
      <c r="W489" s="99"/>
      <c r="X489" s="99"/>
      <c r="Y489" s="99"/>
    </row>
    <row r="490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99"/>
      <c r="U490" s="99"/>
      <c r="V490" s="99"/>
      <c r="W490" s="99"/>
      <c r="X490" s="99"/>
      <c r="Y490" s="99"/>
    </row>
    <row r="49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99"/>
      <c r="U491" s="99"/>
      <c r="V491" s="99"/>
      <c r="W491" s="99"/>
      <c r="X491" s="99"/>
      <c r="Y491" s="99"/>
    </row>
    <row r="492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99"/>
      <c r="U492" s="99"/>
      <c r="V492" s="99"/>
      <c r="W492" s="99"/>
      <c r="X492" s="99"/>
      <c r="Y492" s="99"/>
    </row>
    <row r="493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99"/>
      <c r="U493" s="99"/>
      <c r="V493" s="99"/>
      <c r="W493" s="99"/>
      <c r="X493" s="99"/>
      <c r="Y493" s="99"/>
    </row>
    <row r="494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99"/>
      <c r="U494" s="99"/>
      <c r="V494" s="99"/>
      <c r="W494" s="99"/>
      <c r="X494" s="99"/>
      <c r="Y494" s="99"/>
    </row>
    <row r="495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99"/>
      <c r="U495" s="99"/>
      <c r="V495" s="99"/>
      <c r="W495" s="99"/>
      <c r="X495" s="99"/>
      <c r="Y495" s="99"/>
    </row>
    <row r="496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99"/>
      <c r="U496" s="99"/>
      <c r="V496" s="99"/>
      <c r="W496" s="99"/>
      <c r="X496" s="99"/>
      <c r="Y496" s="99"/>
    </row>
    <row r="497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99"/>
      <c r="U497" s="99"/>
      <c r="V497" s="99"/>
      <c r="W497" s="99"/>
      <c r="X497" s="99"/>
      <c r="Y497" s="99"/>
    </row>
    <row r="498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99"/>
      <c r="U498" s="99"/>
      <c r="V498" s="99"/>
      <c r="W498" s="99"/>
      <c r="X498" s="99"/>
      <c r="Y498" s="99"/>
    </row>
    <row r="499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99"/>
      <c r="U499" s="99"/>
      <c r="V499" s="99"/>
      <c r="W499" s="99"/>
      <c r="X499" s="99"/>
      <c r="Y499" s="99"/>
    </row>
    <row r="500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99"/>
      <c r="U500" s="99"/>
      <c r="V500" s="99"/>
      <c r="W500" s="99"/>
      <c r="X500" s="99"/>
      <c r="Y500" s="99"/>
    </row>
    <row r="50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99"/>
      <c r="U501" s="99"/>
      <c r="V501" s="99"/>
      <c r="W501" s="99"/>
      <c r="X501" s="99"/>
      <c r="Y501" s="99"/>
    </row>
    <row r="502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99"/>
      <c r="U502" s="99"/>
      <c r="V502" s="99"/>
      <c r="W502" s="99"/>
      <c r="X502" s="99"/>
      <c r="Y502" s="99"/>
    </row>
    <row r="503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99"/>
      <c r="U503" s="99"/>
      <c r="V503" s="99"/>
      <c r="W503" s="99"/>
      <c r="X503" s="99"/>
      <c r="Y503" s="99"/>
    </row>
    <row r="504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99"/>
      <c r="U504" s="99"/>
      <c r="V504" s="99"/>
      <c r="W504" s="99"/>
      <c r="X504" s="99"/>
      <c r="Y504" s="99"/>
    </row>
    <row r="505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99"/>
      <c r="U505" s="99"/>
      <c r="V505" s="99"/>
      <c r="W505" s="99"/>
      <c r="X505" s="99"/>
      <c r="Y505" s="99"/>
    </row>
    <row r="506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99"/>
      <c r="U506" s="99"/>
      <c r="V506" s="99"/>
      <c r="W506" s="99"/>
      <c r="X506" s="99"/>
      <c r="Y506" s="99"/>
    </row>
    <row r="507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99"/>
      <c r="U507" s="99"/>
      <c r="V507" s="99"/>
      <c r="W507" s="99"/>
      <c r="X507" s="99"/>
      <c r="Y507" s="99"/>
    </row>
    <row r="508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99"/>
      <c r="U508" s="99"/>
      <c r="V508" s="99"/>
      <c r="W508" s="99"/>
      <c r="X508" s="99"/>
      <c r="Y508" s="99"/>
    </row>
    <row r="509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99"/>
      <c r="U509" s="99"/>
      <c r="V509" s="99"/>
      <c r="W509" s="99"/>
      <c r="X509" s="99"/>
      <c r="Y509" s="99"/>
    </row>
    <row r="510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99"/>
      <c r="U510" s="99"/>
      <c r="V510" s="99"/>
      <c r="W510" s="99"/>
      <c r="X510" s="99"/>
      <c r="Y510" s="99"/>
    </row>
    <row r="51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99"/>
      <c r="U511" s="99"/>
      <c r="V511" s="99"/>
      <c r="W511" s="99"/>
      <c r="X511" s="99"/>
      <c r="Y511" s="99"/>
    </row>
    <row r="512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99"/>
      <c r="U512" s="99"/>
      <c r="V512" s="99"/>
      <c r="W512" s="99"/>
      <c r="X512" s="99"/>
      <c r="Y512" s="99"/>
    </row>
    <row r="513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99"/>
      <c r="U513" s="99"/>
      <c r="V513" s="99"/>
      <c r="W513" s="99"/>
      <c r="X513" s="99"/>
      <c r="Y513" s="99"/>
    </row>
    <row r="514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99"/>
      <c r="U514" s="99"/>
      <c r="V514" s="99"/>
      <c r="W514" s="99"/>
      <c r="X514" s="99"/>
      <c r="Y514" s="99"/>
    </row>
    <row r="515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99"/>
      <c r="U515" s="99"/>
      <c r="V515" s="99"/>
      <c r="W515" s="99"/>
      <c r="X515" s="99"/>
      <c r="Y515" s="99"/>
    </row>
    <row r="516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99"/>
      <c r="U516" s="99"/>
      <c r="V516" s="99"/>
      <c r="W516" s="99"/>
      <c r="X516" s="99"/>
      <c r="Y516" s="99"/>
    </row>
    <row r="517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99"/>
      <c r="U517" s="99"/>
      <c r="V517" s="99"/>
      <c r="W517" s="99"/>
      <c r="X517" s="99"/>
      <c r="Y517" s="99"/>
    </row>
    <row r="518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99"/>
      <c r="U518" s="99"/>
      <c r="V518" s="99"/>
      <c r="W518" s="99"/>
      <c r="X518" s="99"/>
      <c r="Y518" s="99"/>
    </row>
    <row r="519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99"/>
      <c r="U519" s="99"/>
      <c r="V519" s="99"/>
      <c r="W519" s="99"/>
      <c r="X519" s="99"/>
      <c r="Y519" s="99"/>
    </row>
    <row r="520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99"/>
      <c r="U520" s="99"/>
      <c r="V520" s="99"/>
      <c r="W520" s="99"/>
      <c r="X520" s="99"/>
      <c r="Y520" s="99"/>
    </row>
    <row r="52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99"/>
      <c r="U521" s="99"/>
      <c r="V521" s="99"/>
      <c r="W521" s="99"/>
      <c r="X521" s="99"/>
      <c r="Y521" s="99"/>
    </row>
    <row r="522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99"/>
      <c r="U522" s="99"/>
      <c r="V522" s="99"/>
      <c r="W522" s="99"/>
      <c r="X522" s="99"/>
      <c r="Y522" s="99"/>
    </row>
    <row r="523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99"/>
      <c r="U523" s="99"/>
      <c r="V523" s="99"/>
      <c r="W523" s="99"/>
      <c r="X523" s="99"/>
      <c r="Y523" s="99"/>
    </row>
    <row r="524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99"/>
      <c r="U524" s="99"/>
      <c r="V524" s="99"/>
      <c r="W524" s="99"/>
      <c r="X524" s="99"/>
      <c r="Y524" s="99"/>
    </row>
    <row r="525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99"/>
      <c r="U525" s="99"/>
      <c r="V525" s="99"/>
      <c r="W525" s="99"/>
      <c r="X525" s="99"/>
      <c r="Y525" s="99"/>
    </row>
    <row r="526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99"/>
      <c r="U526" s="99"/>
      <c r="V526" s="99"/>
      <c r="W526" s="99"/>
      <c r="X526" s="99"/>
      <c r="Y526" s="99"/>
    </row>
    <row r="527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99"/>
      <c r="U527" s="99"/>
      <c r="V527" s="99"/>
      <c r="W527" s="99"/>
      <c r="X527" s="99"/>
      <c r="Y527" s="99"/>
    </row>
    <row r="528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99"/>
      <c r="U528" s="99"/>
      <c r="V528" s="99"/>
      <c r="W528" s="99"/>
      <c r="X528" s="99"/>
      <c r="Y528" s="99"/>
    </row>
    <row r="529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99"/>
      <c r="U529" s="99"/>
      <c r="V529" s="99"/>
      <c r="W529" s="99"/>
      <c r="X529" s="99"/>
      <c r="Y529" s="99"/>
    </row>
    <row r="530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99"/>
      <c r="U530" s="99"/>
      <c r="V530" s="99"/>
      <c r="W530" s="99"/>
      <c r="X530" s="99"/>
      <c r="Y530" s="99"/>
    </row>
    <row r="53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99"/>
      <c r="U531" s="99"/>
      <c r="V531" s="99"/>
      <c r="W531" s="99"/>
      <c r="X531" s="99"/>
      <c r="Y531" s="99"/>
    </row>
    <row r="532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99"/>
      <c r="U532" s="99"/>
      <c r="V532" s="99"/>
      <c r="W532" s="99"/>
      <c r="X532" s="99"/>
      <c r="Y532" s="99"/>
    </row>
    <row r="533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99"/>
      <c r="U533" s="99"/>
      <c r="V533" s="99"/>
      <c r="W533" s="99"/>
      <c r="X533" s="99"/>
      <c r="Y533" s="99"/>
    </row>
    <row r="534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99"/>
      <c r="U534" s="99"/>
      <c r="V534" s="99"/>
      <c r="W534" s="99"/>
      <c r="X534" s="99"/>
      <c r="Y534" s="99"/>
    </row>
    <row r="535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99"/>
      <c r="U535" s="99"/>
      <c r="V535" s="99"/>
      <c r="W535" s="99"/>
      <c r="X535" s="99"/>
      <c r="Y535" s="99"/>
    </row>
    <row r="536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99"/>
      <c r="U536" s="99"/>
      <c r="V536" s="99"/>
      <c r="W536" s="99"/>
      <c r="X536" s="99"/>
      <c r="Y536" s="99"/>
    </row>
    <row r="537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99"/>
      <c r="U537" s="99"/>
      <c r="V537" s="99"/>
      <c r="W537" s="99"/>
      <c r="X537" s="99"/>
      <c r="Y537" s="99"/>
    </row>
    <row r="538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99"/>
      <c r="U538" s="99"/>
      <c r="V538" s="99"/>
      <c r="W538" s="99"/>
      <c r="X538" s="99"/>
      <c r="Y538" s="99"/>
    </row>
    <row r="539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99"/>
      <c r="U539" s="99"/>
      <c r="V539" s="99"/>
      <c r="W539" s="99"/>
      <c r="X539" s="99"/>
      <c r="Y539" s="99"/>
    </row>
    <row r="540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99"/>
      <c r="U540" s="99"/>
      <c r="V540" s="99"/>
      <c r="W540" s="99"/>
      <c r="X540" s="99"/>
      <c r="Y540" s="99"/>
    </row>
    <row r="54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99"/>
      <c r="U541" s="99"/>
      <c r="V541" s="99"/>
      <c r="W541" s="99"/>
      <c r="X541" s="99"/>
      <c r="Y541" s="99"/>
    </row>
    <row r="542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99"/>
      <c r="U542" s="99"/>
      <c r="V542" s="99"/>
      <c r="W542" s="99"/>
      <c r="X542" s="99"/>
      <c r="Y542" s="99"/>
    </row>
    <row r="543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99"/>
      <c r="U543" s="99"/>
      <c r="V543" s="99"/>
      <c r="W543" s="99"/>
      <c r="X543" s="99"/>
      <c r="Y543" s="99"/>
    </row>
    <row r="544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99"/>
      <c r="U544" s="99"/>
      <c r="V544" s="99"/>
      <c r="W544" s="99"/>
      <c r="X544" s="99"/>
      <c r="Y544" s="99"/>
    </row>
    <row r="545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99"/>
      <c r="U545" s="99"/>
      <c r="V545" s="99"/>
      <c r="W545" s="99"/>
      <c r="X545" s="99"/>
      <c r="Y545" s="99"/>
    </row>
    <row r="546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99"/>
      <c r="U546" s="99"/>
      <c r="V546" s="99"/>
      <c r="W546" s="99"/>
      <c r="X546" s="99"/>
      <c r="Y546" s="99"/>
    </row>
    <row r="547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99"/>
      <c r="U547" s="99"/>
      <c r="V547" s="99"/>
      <c r="W547" s="99"/>
      <c r="X547" s="99"/>
      <c r="Y547" s="99"/>
    </row>
    <row r="548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99"/>
      <c r="U548" s="99"/>
      <c r="V548" s="99"/>
      <c r="W548" s="99"/>
      <c r="X548" s="99"/>
      <c r="Y548" s="99"/>
    </row>
    <row r="549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99"/>
      <c r="U549" s="99"/>
      <c r="V549" s="99"/>
      <c r="W549" s="99"/>
      <c r="X549" s="99"/>
      <c r="Y549" s="99"/>
    </row>
    <row r="550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99"/>
      <c r="U550" s="99"/>
      <c r="V550" s="99"/>
      <c r="W550" s="99"/>
      <c r="X550" s="99"/>
      <c r="Y550" s="99"/>
    </row>
    <row r="55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99"/>
      <c r="U551" s="99"/>
      <c r="V551" s="99"/>
      <c r="W551" s="99"/>
      <c r="X551" s="99"/>
      <c r="Y551" s="99"/>
    </row>
    <row r="552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99"/>
      <c r="U552" s="99"/>
      <c r="V552" s="99"/>
      <c r="W552" s="99"/>
      <c r="X552" s="99"/>
      <c r="Y552" s="99"/>
    </row>
    <row r="553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99"/>
      <c r="U553" s="99"/>
      <c r="V553" s="99"/>
      <c r="W553" s="99"/>
      <c r="X553" s="99"/>
      <c r="Y553" s="99"/>
    </row>
    <row r="554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99"/>
      <c r="U554" s="99"/>
      <c r="V554" s="99"/>
      <c r="W554" s="99"/>
      <c r="X554" s="99"/>
      <c r="Y554" s="99"/>
    </row>
    <row r="555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99"/>
      <c r="U555" s="99"/>
      <c r="V555" s="99"/>
      <c r="W555" s="99"/>
      <c r="X555" s="99"/>
      <c r="Y555" s="99"/>
    </row>
    <row r="556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99"/>
      <c r="U556" s="99"/>
      <c r="V556" s="99"/>
      <c r="W556" s="99"/>
      <c r="X556" s="99"/>
      <c r="Y556" s="99"/>
    </row>
    <row r="557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99"/>
      <c r="U557" s="99"/>
      <c r="V557" s="99"/>
      <c r="W557" s="99"/>
      <c r="X557" s="99"/>
      <c r="Y557" s="99"/>
    </row>
    <row r="558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99"/>
      <c r="U558" s="99"/>
      <c r="V558" s="99"/>
      <c r="W558" s="99"/>
      <c r="X558" s="99"/>
      <c r="Y558" s="99"/>
    </row>
    <row r="559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99"/>
      <c r="U559" s="99"/>
      <c r="V559" s="99"/>
      <c r="W559" s="99"/>
      <c r="X559" s="99"/>
      <c r="Y559" s="99"/>
    </row>
    <row r="560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99"/>
      <c r="U560" s="99"/>
      <c r="V560" s="99"/>
      <c r="W560" s="99"/>
      <c r="X560" s="99"/>
      <c r="Y560" s="99"/>
    </row>
    <row r="56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99"/>
      <c r="U561" s="99"/>
      <c r="V561" s="99"/>
      <c r="W561" s="99"/>
      <c r="X561" s="99"/>
      <c r="Y561" s="99"/>
    </row>
    <row r="562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99"/>
      <c r="U562" s="99"/>
      <c r="V562" s="99"/>
      <c r="W562" s="99"/>
      <c r="X562" s="99"/>
      <c r="Y562" s="99"/>
    </row>
    <row r="563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99"/>
      <c r="U563" s="99"/>
      <c r="V563" s="99"/>
      <c r="W563" s="99"/>
      <c r="X563" s="99"/>
      <c r="Y563" s="99"/>
    </row>
    <row r="564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99"/>
      <c r="U564" s="99"/>
      <c r="V564" s="99"/>
      <c r="W564" s="99"/>
      <c r="X564" s="99"/>
      <c r="Y564" s="99"/>
    </row>
    <row r="565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99"/>
      <c r="U565" s="99"/>
      <c r="V565" s="99"/>
      <c r="W565" s="99"/>
      <c r="X565" s="99"/>
      <c r="Y565" s="99"/>
    </row>
    <row r="566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99"/>
      <c r="U566" s="99"/>
      <c r="V566" s="99"/>
      <c r="W566" s="99"/>
      <c r="X566" s="99"/>
      <c r="Y566" s="99"/>
    </row>
    <row r="567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99"/>
      <c r="U567" s="99"/>
      <c r="V567" s="99"/>
      <c r="W567" s="99"/>
      <c r="X567" s="99"/>
      <c r="Y567" s="99"/>
    </row>
    <row r="568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99"/>
      <c r="U568" s="99"/>
      <c r="V568" s="99"/>
      <c r="W568" s="99"/>
      <c r="X568" s="99"/>
      <c r="Y568" s="99"/>
    </row>
    <row r="569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99"/>
      <c r="U569" s="99"/>
      <c r="V569" s="99"/>
      <c r="W569" s="99"/>
      <c r="X569" s="99"/>
      <c r="Y569" s="99"/>
    </row>
    <row r="570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99"/>
      <c r="U570" s="99"/>
      <c r="V570" s="99"/>
      <c r="W570" s="99"/>
      <c r="X570" s="99"/>
      <c r="Y570" s="99"/>
    </row>
    <row r="57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99"/>
      <c r="U571" s="99"/>
      <c r="V571" s="99"/>
      <c r="W571" s="99"/>
      <c r="X571" s="99"/>
      <c r="Y571" s="99"/>
    </row>
    <row r="572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99"/>
      <c r="U572" s="99"/>
      <c r="V572" s="99"/>
      <c r="W572" s="99"/>
      <c r="X572" s="99"/>
      <c r="Y572" s="99"/>
    </row>
    <row r="573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99"/>
      <c r="U573" s="99"/>
      <c r="V573" s="99"/>
      <c r="W573" s="99"/>
      <c r="X573" s="99"/>
      <c r="Y573" s="99"/>
    </row>
    <row r="574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99"/>
      <c r="U574" s="99"/>
      <c r="V574" s="99"/>
      <c r="W574" s="99"/>
      <c r="X574" s="99"/>
      <c r="Y574" s="99"/>
    </row>
    <row r="575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99"/>
      <c r="U575" s="99"/>
      <c r="V575" s="99"/>
      <c r="W575" s="99"/>
      <c r="X575" s="99"/>
      <c r="Y575" s="99"/>
    </row>
    <row r="576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99"/>
      <c r="U576" s="99"/>
      <c r="V576" s="99"/>
      <c r="W576" s="99"/>
      <c r="X576" s="99"/>
      <c r="Y576" s="99"/>
    </row>
    <row r="577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99"/>
      <c r="U577" s="99"/>
      <c r="V577" s="99"/>
      <c r="W577" s="99"/>
      <c r="X577" s="99"/>
      <c r="Y577" s="99"/>
    </row>
    <row r="578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99"/>
      <c r="U578" s="99"/>
      <c r="V578" s="99"/>
      <c r="W578" s="99"/>
      <c r="X578" s="99"/>
      <c r="Y578" s="99"/>
    </row>
    <row r="579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99"/>
      <c r="U579" s="99"/>
      <c r="V579" s="99"/>
      <c r="W579" s="99"/>
      <c r="X579" s="99"/>
      <c r="Y579" s="99"/>
    </row>
    <row r="580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99"/>
      <c r="U580" s="99"/>
      <c r="V580" s="99"/>
      <c r="W580" s="99"/>
      <c r="X580" s="99"/>
      <c r="Y580" s="99"/>
    </row>
    <row r="58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99"/>
      <c r="U581" s="99"/>
      <c r="V581" s="99"/>
      <c r="W581" s="99"/>
      <c r="X581" s="99"/>
      <c r="Y581" s="99"/>
    </row>
    <row r="582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99"/>
      <c r="U582" s="99"/>
      <c r="V582" s="99"/>
      <c r="W582" s="99"/>
      <c r="X582" s="99"/>
      <c r="Y582" s="99"/>
    </row>
    <row r="583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99"/>
      <c r="U583" s="99"/>
      <c r="V583" s="99"/>
      <c r="W583" s="99"/>
      <c r="X583" s="99"/>
      <c r="Y583" s="99"/>
    </row>
    <row r="584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99"/>
      <c r="U584" s="99"/>
      <c r="V584" s="99"/>
      <c r="W584" s="99"/>
      <c r="X584" s="99"/>
      <c r="Y584" s="99"/>
    </row>
    <row r="585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99"/>
      <c r="U585" s="99"/>
      <c r="V585" s="99"/>
      <c r="W585" s="99"/>
      <c r="X585" s="99"/>
      <c r="Y585" s="99"/>
    </row>
    <row r="586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99"/>
      <c r="U586" s="99"/>
      <c r="V586" s="99"/>
      <c r="W586" s="99"/>
      <c r="X586" s="99"/>
      <c r="Y586" s="99"/>
    </row>
    <row r="587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99"/>
      <c r="U587" s="99"/>
      <c r="V587" s="99"/>
      <c r="W587" s="99"/>
      <c r="X587" s="99"/>
      <c r="Y587" s="99"/>
    </row>
    <row r="588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99"/>
      <c r="U588" s="99"/>
      <c r="V588" s="99"/>
      <c r="W588" s="99"/>
      <c r="X588" s="99"/>
      <c r="Y588" s="99"/>
    </row>
    <row r="589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99"/>
      <c r="U589" s="99"/>
      <c r="V589" s="99"/>
      <c r="W589" s="99"/>
      <c r="X589" s="99"/>
      <c r="Y589" s="99"/>
    </row>
    <row r="590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99"/>
      <c r="U590" s="99"/>
      <c r="V590" s="99"/>
      <c r="W590" s="99"/>
      <c r="X590" s="99"/>
      <c r="Y590" s="99"/>
    </row>
    <row r="59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99"/>
      <c r="U591" s="99"/>
      <c r="V591" s="99"/>
      <c r="W591" s="99"/>
      <c r="X591" s="99"/>
      <c r="Y591" s="99"/>
    </row>
    <row r="592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99"/>
      <c r="U592" s="99"/>
      <c r="V592" s="99"/>
      <c r="W592" s="99"/>
      <c r="X592" s="99"/>
      <c r="Y592" s="99"/>
    </row>
    <row r="593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99"/>
      <c r="U593" s="99"/>
      <c r="V593" s="99"/>
      <c r="W593" s="99"/>
      <c r="X593" s="99"/>
      <c r="Y593" s="99"/>
    </row>
    <row r="594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99"/>
      <c r="U594" s="99"/>
      <c r="V594" s="99"/>
      <c r="W594" s="99"/>
      <c r="X594" s="99"/>
      <c r="Y594" s="99"/>
    </row>
    <row r="595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99"/>
      <c r="U595" s="99"/>
      <c r="V595" s="99"/>
      <c r="W595" s="99"/>
      <c r="X595" s="99"/>
      <c r="Y595" s="99"/>
    </row>
    <row r="596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99"/>
      <c r="U596" s="99"/>
      <c r="V596" s="99"/>
      <c r="W596" s="99"/>
      <c r="X596" s="99"/>
      <c r="Y596" s="99"/>
    </row>
    <row r="597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99"/>
      <c r="U597" s="99"/>
      <c r="V597" s="99"/>
      <c r="W597" s="99"/>
      <c r="X597" s="99"/>
      <c r="Y597" s="99"/>
    </row>
    <row r="598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99"/>
      <c r="U598" s="99"/>
      <c r="V598" s="99"/>
      <c r="W598" s="99"/>
      <c r="X598" s="99"/>
      <c r="Y598" s="99"/>
    </row>
    <row r="599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99"/>
      <c r="U599" s="99"/>
      <c r="V599" s="99"/>
      <c r="W599" s="99"/>
      <c r="X599" s="99"/>
      <c r="Y599" s="99"/>
    </row>
    <row r="600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99"/>
      <c r="U600" s="99"/>
      <c r="V600" s="99"/>
      <c r="W600" s="99"/>
      <c r="X600" s="99"/>
      <c r="Y600" s="99"/>
    </row>
    <row r="60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99"/>
      <c r="U601" s="99"/>
      <c r="V601" s="99"/>
      <c r="W601" s="99"/>
      <c r="X601" s="99"/>
      <c r="Y601" s="99"/>
    </row>
    <row r="602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99"/>
      <c r="U602" s="99"/>
      <c r="V602" s="99"/>
      <c r="W602" s="99"/>
      <c r="X602" s="99"/>
      <c r="Y602" s="99"/>
    </row>
    <row r="603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99"/>
      <c r="U603" s="99"/>
      <c r="V603" s="99"/>
      <c r="W603" s="99"/>
      <c r="X603" s="99"/>
      <c r="Y603" s="99"/>
    </row>
    <row r="604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99"/>
      <c r="U604" s="99"/>
      <c r="V604" s="99"/>
      <c r="W604" s="99"/>
      <c r="X604" s="99"/>
      <c r="Y604" s="99"/>
    </row>
    <row r="605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99"/>
      <c r="U605" s="99"/>
      <c r="V605" s="99"/>
      <c r="W605" s="99"/>
      <c r="X605" s="99"/>
      <c r="Y605" s="99"/>
    </row>
    <row r="606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99"/>
      <c r="U606" s="99"/>
      <c r="V606" s="99"/>
      <c r="W606" s="99"/>
      <c r="X606" s="99"/>
      <c r="Y606" s="99"/>
    </row>
    <row r="607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99"/>
      <c r="U607" s="99"/>
      <c r="V607" s="99"/>
      <c r="W607" s="99"/>
      <c r="X607" s="99"/>
      <c r="Y607" s="99"/>
    </row>
    <row r="608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99"/>
      <c r="U608" s="99"/>
      <c r="V608" s="99"/>
      <c r="W608" s="99"/>
      <c r="X608" s="99"/>
      <c r="Y608" s="99"/>
    </row>
    <row r="609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99"/>
      <c r="U609" s="99"/>
      <c r="V609" s="99"/>
      <c r="W609" s="99"/>
      <c r="X609" s="99"/>
      <c r="Y609" s="99"/>
    </row>
    <row r="610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99"/>
      <c r="U610" s="99"/>
      <c r="V610" s="99"/>
      <c r="W610" s="99"/>
      <c r="X610" s="99"/>
      <c r="Y610" s="99"/>
    </row>
    <row r="61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99"/>
      <c r="U611" s="99"/>
      <c r="V611" s="99"/>
      <c r="W611" s="99"/>
      <c r="X611" s="99"/>
      <c r="Y611" s="99"/>
    </row>
    <row r="612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99"/>
      <c r="U612" s="99"/>
      <c r="V612" s="99"/>
      <c r="W612" s="99"/>
      <c r="X612" s="99"/>
      <c r="Y612" s="99"/>
    </row>
    <row r="613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99"/>
      <c r="U613" s="99"/>
      <c r="V613" s="99"/>
      <c r="W613" s="99"/>
      <c r="X613" s="99"/>
      <c r="Y613" s="99"/>
    </row>
    <row r="614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99"/>
      <c r="U614" s="99"/>
      <c r="V614" s="99"/>
      <c r="W614" s="99"/>
      <c r="X614" s="99"/>
      <c r="Y614" s="99"/>
    </row>
    <row r="615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99"/>
      <c r="U615" s="99"/>
      <c r="V615" s="99"/>
      <c r="W615" s="99"/>
      <c r="X615" s="99"/>
      <c r="Y615" s="99"/>
    </row>
    <row r="616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99"/>
      <c r="U616" s="99"/>
      <c r="V616" s="99"/>
      <c r="W616" s="99"/>
      <c r="X616" s="99"/>
      <c r="Y616" s="99"/>
    </row>
    <row r="617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99"/>
      <c r="U617" s="99"/>
      <c r="V617" s="99"/>
      <c r="W617" s="99"/>
      <c r="X617" s="99"/>
      <c r="Y617" s="99"/>
    </row>
    <row r="618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99"/>
      <c r="U618" s="99"/>
      <c r="V618" s="99"/>
      <c r="W618" s="99"/>
      <c r="X618" s="99"/>
      <c r="Y618" s="99"/>
    </row>
    <row r="619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99"/>
      <c r="U619" s="99"/>
      <c r="V619" s="99"/>
      <c r="W619" s="99"/>
      <c r="X619" s="99"/>
      <c r="Y619" s="99"/>
    </row>
    <row r="620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99"/>
      <c r="U620" s="99"/>
      <c r="V620" s="99"/>
      <c r="W620" s="99"/>
      <c r="X620" s="99"/>
      <c r="Y620" s="99"/>
    </row>
    <row r="62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99"/>
      <c r="U621" s="99"/>
      <c r="V621" s="99"/>
      <c r="W621" s="99"/>
      <c r="X621" s="99"/>
      <c r="Y621" s="99"/>
    </row>
    <row r="622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99"/>
      <c r="U622" s="99"/>
      <c r="V622" s="99"/>
      <c r="W622" s="99"/>
      <c r="X622" s="99"/>
      <c r="Y622" s="99"/>
    </row>
    <row r="623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99"/>
      <c r="U623" s="99"/>
      <c r="V623" s="99"/>
      <c r="W623" s="99"/>
      <c r="X623" s="99"/>
      <c r="Y623" s="99"/>
    </row>
    <row r="624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99"/>
      <c r="U624" s="99"/>
      <c r="V624" s="99"/>
      <c r="W624" s="99"/>
      <c r="X624" s="99"/>
      <c r="Y624" s="99"/>
    </row>
    <row r="625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99"/>
      <c r="U625" s="99"/>
      <c r="V625" s="99"/>
      <c r="W625" s="99"/>
      <c r="X625" s="99"/>
      <c r="Y625" s="99"/>
    </row>
    <row r="626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99"/>
      <c r="U626" s="99"/>
      <c r="V626" s="99"/>
      <c r="W626" s="99"/>
      <c r="X626" s="99"/>
      <c r="Y626" s="99"/>
    </row>
    <row r="627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99"/>
      <c r="U627" s="99"/>
      <c r="V627" s="99"/>
      <c r="W627" s="99"/>
      <c r="X627" s="99"/>
      <c r="Y627" s="99"/>
    </row>
    <row r="628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99"/>
      <c r="U628" s="99"/>
      <c r="V628" s="99"/>
      <c r="W628" s="99"/>
      <c r="X628" s="99"/>
      <c r="Y628" s="99"/>
    </row>
    <row r="629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99"/>
      <c r="U629" s="99"/>
      <c r="V629" s="99"/>
      <c r="W629" s="99"/>
      <c r="X629" s="99"/>
      <c r="Y629" s="99"/>
    </row>
    <row r="630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99"/>
      <c r="U630" s="99"/>
      <c r="V630" s="99"/>
      <c r="W630" s="99"/>
      <c r="X630" s="99"/>
      <c r="Y630" s="99"/>
    </row>
    <row r="63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99"/>
      <c r="U631" s="99"/>
      <c r="V631" s="99"/>
      <c r="W631" s="99"/>
      <c r="X631" s="99"/>
      <c r="Y631" s="99"/>
    </row>
    <row r="632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99"/>
      <c r="U632" s="99"/>
      <c r="V632" s="99"/>
      <c r="W632" s="99"/>
      <c r="X632" s="99"/>
      <c r="Y632" s="99"/>
    </row>
    <row r="633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99"/>
      <c r="U633" s="99"/>
      <c r="V633" s="99"/>
      <c r="W633" s="99"/>
      <c r="X633" s="99"/>
      <c r="Y633" s="99"/>
    </row>
    <row r="634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99"/>
      <c r="U634" s="99"/>
      <c r="V634" s="99"/>
      <c r="W634" s="99"/>
      <c r="X634" s="99"/>
      <c r="Y634" s="99"/>
    </row>
    <row r="635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99"/>
      <c r="U635" s="99"/>
      <c r="V635" s="99"/>
      <c r="W635" s="99"/>
      <c r="X635" s="99"/>
      <c r="Y635" s="99"/>
    </row>
    <row r="636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99"/>
      <c r="U636" s="99"/>
      <c r="V636" s="99"/>
      <c r="W636" s="99"/>
      <c r="X636" s="99"/>
      <c r="Y636" s="99"/>
    </row>
    <row r="637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99"/>
      <c r="U637" s="99"/>
      <c r="V637" s="99"/>
      <c r="W637" s="99"/>
      <c r="X637" s="99"/>
      <c r="Y637" s="99"/>
    </row>
    <row r="638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99"/>
      <c r="U638" s="99"/>
      <c r="V638" s="99"/>
      <c r="W638" s="99"/>
      <c r="X638" s="99"/>
      <c r="Y638" s="99"/>
    </row>
    <row r="639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99"/>
      <c r="U639" s="99"/>
      <c r="V639" s="99"/>
      <c r="W639" s="99"/>
      <c r="X639" s="99"/>
      <c r="Y639" s="99"/>
    </row>
    <row r="640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99"/>
      <c r="U640" s="99"/>
      <c r="V640" s="99"/>
      <c r="W640" s="99"/>
      <c r="X640" s="99"/>
      <c r="Y640" s="99"/>
    </row>
    <row r="64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99"/>
      <c r="U641" s="99"/>
      <c r="V641" s="99"/>
      <c r="W641" s="99"/>
      <c r="X641" s="99"/>
      <c r="Y641" s="99"/>
    </row>
    <row r="642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99"/>
      <c r="U642" s="99"/>
      <c r="V642" s="99"/>
      <c r="W642" s="99"/>
      <c r="X642" s="99"/>
      <c r="Y642" s="99"/>
    </row>
    <row r="643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99"/>
      <c r="U643" s="99"/>
      <c r="V643" s="99"/>
      <c r="W643" s="99"/>
      <c r="X643" s="99"/>
      <c r="Y643" s="99"/>
    </row>
    <row r="644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99"/>
      <c r="U644" s="99"/>
      <c r="V644" s="99"/>
      <c r="W644" s="99"/>
      <c r="X644" s="99"/>
      <c r="Y644" s="99"/>
    </row>
    <row r="645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99"/>
      <c r="U645" s="99"/>
      <c r="V645" s="99"/>
      <c r="W645" s="99"/>
      <c r="X645" s="99"/>
      <c r="Y645" s="99"/>
    </row>
    <row r="646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99"/>
      <c r="U646" s="99"/>
      <c r="V646" s="99"/>
      <c r="W646" s="99"/>
      <c r="X646" s="99"/>
      <c r="Y646" s="99"/>
    </row>
    <row r="647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99"/>
      <c r="U647" s="99"/>
      <c r="V647" s="99"/>
      <c r="W647" s="99"/>
      <c r="X647" s="99"/>
      <c r="Y647" s="99"/>
    </row>
    <row r="648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99"/>
      <c r="U648" s="99"/>
      <c r="V648" s="99"/>
      <c r="W648" s="99"/>
      <c r="X648" s="99"/>
      <c r="Y648" s="99"/>
    </row>
    <row r="649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99"/>
      <c r="U649" s="99"/>
      <c r="V649" s="99"/>
      <c r="W649" s="99"/>
      <c r="X649" s="99"/>
      <c r="Y649" s="99"/>
    </row>
    <row r="650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99"/>
      <c r="U650" s="99"/>
      <c r="V650" s="99"/>
      <c r="W650" s="99"/>
      <c r="X650" s="99"/>
      <c r="Y650" s="99"/>
    </row>
    <row r="65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99"/>
      <c r="U651" s="99"/>
      <c r="V651" s="99"/>
      <c r="W651" s="99"/>
      <c r="X651" s="99"/>
      <c r="Y651" s="99"/>
    </row>
    <row r="652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99"/>
      <c r="U652" s="99"/>
      <c r="V652" s="99"/>
      <c r="W652" s="99"/>
      <c r="X652" s="99"/>
      <c r="Y652" s="99"/>
    </row>
    <row r="653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99"/>
      <c r="U653" s="99"/>
      <c r="V653" s="99"/>
      <c r="W653" s="99"/>
      <c r="X653" s="99"/>
      <c r="Y653" s="99"/>
    </row>
    <row r="654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99"/>
      <c r="U654" s="99"/>
      <c r="V654" s="99"/>
      <c r="W654" s="99"/>
      <c r="X654" s="99"/>
      <c r="Y654" s="99"/>
    </row>
    <row r="655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99"/>
      <c r="U655" s="99"/>
      <c r="V655" s="99"/>
      <c r="W655" s="99"/>
      <c r="X655" s="99"/>
      <c r="Y655" s="99"/>
    </row>
    <row r="656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99"/>
      <c r="U656" s="99"/>
      <c r="V656" s="99"/>
      <c r="W656" s="99"/>
      <c r="X656" s="99"/>
      <c r="Y656" s="99"/>
    </row>
    <row r="657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99"/>
      <c r="U657" s="99"/>
      <c r="V657" s="99"/>
      <c r="W657" s="99"/>
      <c r="X657" s="99"/>
      <c r="Y657" s="99"/>
    </row>
    <row r="658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99"/>
      <c r="U658" s="99"/>
      <c r="V658" s="99"/>
      <c r="W658" s="99"/>
      <c r="X658" s="99"/>
      <c r="Y658" s="99"/>
    </row>
    <row r="659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99"/>
      <c r="U659" s="99"/>
      <c r="V659" s="99"/>
      <c r="W659" s="99"/>
      <c r="X659" s="99"/>
      <c r="Y659" s="99"/>
    </row>
    <row r="660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99"/>
      <c r="U660" s="99"/>
      <c r="V660" s="99"/>
      <c r="W660" s="99"/>
      <c r="X660" s="99"/>
      <c r="Y660" s="99"/>
    </row>
    <row r="66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99"/>
      <c r="U661" s="99"/>
      <c r="V661" s="99"/>
      <c r="W661" s="99"/>
      <c r="X661" s="99"/>
      <c r="Y661" s="99"/>
    </row>
    <row r="662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99"/>
      <c r="U662" s="99"/>
      <c r="V662" s="99"/>
      <c r="W662" s="99"/>
      <c r="X662" s="99"/>
      <c r="Y662" s="99"/>
    </row>
    <row r="663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99"/>
      <c r="U663" s="99"/>
      <c r="V663" s="99"/>
      <c r="W663" s="99"/>
      <c r="X663" s="99"/>
      <c r="Y663" s="99"/>
    </row>
    <row r="664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99"/>
      <c r="U664" s="99"/>
      <c r="V664" s="99"/>
      <c r="W664" s="99"/>
      <c r="X664" s="99"/>
      <c r="Y664" s="99"/>
    </row>
    <row r="665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99"/>
      <c r="U665" s="99"/>
      <c r="V665" s="99"/>
      <c r="W665" s="99"/>
      <c r="X665" s="99"/>
      <c r="Y665" s="99"/>
    </row>
    <row r="666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99"/>
      <c r="U666" s="99"/>
      <c r="V666" s="99"/>
      <c r="W666" s="99"/>
      <c r="X666" s="99"/>
      <c r="Y666" s="99"/>
    </row>
    <row r="667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99"/>
      <c r="U667" s="99"/>
      <c r="V667" s="99"/>
      <c r="W667" s="99"/>
      <c r="X667" s="99"/>
      <c r="Y667" s="99"/>
    </row>
    <row r="668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99"/>
      <c r="U668" s="99"/>
      <c r="V668" s="99"/>
      <c r="W668" s="99"/>
      <c r="X668" s="99"/>
      <c r="Y668" s="99"/>
    </row>
    <row r="669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99"/>
      <c r="U669" s="99"/>
      <c r="V669" s="99"/>
      <c r="W669" s="99"/>
      <c r="X669" s="99"/>
      <c r="Y669" s="99"/>
    </row>
    <row r="670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99"/>
      <c r="U670" s="99"/>
      <c r="V670" s="99"/>
      <c r="W670" s="99"/>
      <c r="X670" s="99"/>
      <c r="Y670" s="99"/>
    </row>
    <row r="67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99"/>
      <c r="U671" s="99"/>
      <c r="V671" s="99"/>
      <c r="W671" s="99"/>
      <c r="X671" s="99"/>
      <c r="Y671" s="99"/>
    </row>
    <row r="672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99"/>
      <c r="U672" s="99"/>
      <c r="V672" s="99"/>
      <c r="W672" s="99"/>
      <c r="X672" s="99"/>
      <c r="Y672" s="99"/>
    </row>
    <row r="673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99"/>
      <c r="U673" s="99"/>
      <c r="V673" s="99"/>
      <c r="W673" s="99"/>
      <c r="X673" s="99"/>
      <c r="Y673" s="99"/>
    </row>
    <row r="674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99"/>
      <c r="U674" s="99"/>
      <c r="V674" s="99"/>
      <c r="W674" s="99"/>
      <c r="X674" s="99"/>
      <c r="Y674" s="99"/>
    </row>
    <row r="675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99"/>
      <c r="U675" s="99"/>
      <c r="V675" s="99"/>
      <c r="W675" s="99"/>
      <c r="X675" s="99"/>
      <c r="Y675" s="99"/>
    </row>
    <row r="676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99"/>
      <c r="U676" s="99"/>
      <c r="V676" s="99"/>
      <c r="W676" s="99"/>
      <c r="X676" s="99"/>
      <c r="Y676" s="99"/>
    </row>
    <row r="677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99"/>
      <c r="U677" s="99"/>
      <c r="V677" s="99"/>
      <c r="W677" s="99"/>
      <c r="X677" s="99"/>
      <c r="Y677" s="99"/>
    </row>
    <row r="678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99"/>
      <c r="U678" s="99"/>
      <c r="V678" s="99"/>
      <c r="W678" s="99"/>
      <c r="X678" s="99"/>
      <c r="Y678" s="99"/>
    </row>
    <row r="679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99"/>
      <c r="U679" s="99"/>
      <c r="V679" s="99"/>
      <c r="W679" s="99"/>
      <c r="X679" s="99"/>
      <c r="Y679" s="99"/>
    </row>
    <row r="680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99"/>
      <c r="U680" s="99"/>
      <c r="V680" s="99"/>
      <c r="W680" s="99"/>
      <c r="X680" s="99"/>
      <c r="Y680" s="99"/>
    </row>
    <row r="68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99"/>
      <c r="U681" s="99"/>
      <c r="V681" s="99"/>
      <c r="W681" s="99"/>
      <c r="X681" s="99"/>
      <c r="Y681" s="99"/>
    </row>
    <row r="682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99"/>
      <c r="U682" s="99"/>
      <c r="V682" s="99"/>
      <c r="W682" s="99"/>
      <c r="X682" s="99"/>
      <c r="Y682" s="99"/>
    </row>
    <row r="683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99"/>
      <c r="U683" s="99"/>
      <c r="V683" s="99"/>
      <c r="W683" s="99"/>
      <c r="X683" s="99"/>
      <c r="Y683" s="99"/>
    </row>
    <row r="684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99"/>
      <c r="U684" s="99"/>
      <c r="V684" s="99"/>
      <c r="W684" s="99"/>
      <c r="X684" s="99"/>
      <c r="Y684" s="99"/>
    </row>
    <row r="685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99"/>
      <c r="U685" s="99"/>
      <c r="V685" s="99"/>
      <c r="W685" s="99"/>
      <c r="X685" s="99"/>
      <c r="Y685" s="99"/>
    </row>
    <row r="686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99"/>
      <c r="U686" s="99"/>
      <c r="V686" s="99"/>
      <c r="W686" s="99"/>
      <c r="X686" s="99"/>
      <c r="Y686" s="99"/>
    </row>
    <row r="687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99"/>
      <c r="U687" s="99"/>
      <c r="V687" s="99"/>
      <c r="W687" s="99"/>
      <c r="X687" s="99"/>
      <c r="Y687" s="99"/>
    </row>
    <row r="688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99"/>
      <c r="U688" s="99"/>
      <c r="V688" s="99"/>
      <c r="W688" s="99"/>
      <c r="X688" s="99"/>
      <c r="Y688" s="99"/>
    </row>
    <row r="689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99"/>
      <c r="U689" s="99"/>
      <c r="V689" s="99"/>
      <c r="W689" s="99"/>
      <c r="X689" s="99"/>
      <c r="Y689" s="99"/>
    </row>
    <row r="690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99"/>
      <c r="U690" s="99"/>
      <c r="V690" s="99"/>
      <c r="W690" s="99"/>
      <c r="X690" s="99"/>
      <c r="Y690" s="99"/>
    </row>
    <row r="69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99"/>
      <c r="U691" s="99"/>
      <c r="V691" s="99"/>
      <c r="W691" s="99"/>
      <c r="X691" s="99"/>
      <c r="Y691" s="99"/>
    </row>
    <row r="692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99"/>
      <c r="U692" s="99"/>
      <c r="V692" s="99"/>
      <c r="W692" s="99"/>
      <c r="X692" s="99"/>
      <c r="Y692" s="99"/>
    </row>
    <row r="693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99"/>
      <c r="U693" s="99"/>
      <c r="V693" s="99"/>
      <c r="W693" s="99"/>
      <c r="X693" s="99"/>
      <c r="Y693" s="99"/>
    </row>
    <row r="694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99"/>
      <c r="U694" s="99"/>
      <c r="V694" s="99"/>
      <c r="W694" s="99"/>
      <c r="X694" s="99"/>
      <c r="Y694" s="99"/>
    </row>
    <row r="695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99"/>
      <c r="U695" s="99"/>
      <c r="V695" s="99"/>
      <c r="W695" s="99"/>
      <c r="X695" s="99"/>
      <c r="Y695" s="99"/>
    </row>
    <row r="696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99"/>
      <c r="U696" s="99"/>
      <c r="V696" s="99"/>
      <c r="W696" s="99"/>
      <c r="X696" s="99"/>
      <c r="Y696" s="99"/>
    </row>
    <row r="697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99"/>
      <c r="U697" s="99"/>
      <c r="V697" s="99"/>
      <c r="W697" s="99"/>
      <c r="X697" s="99"/>
      <c r="Y697" s="99"/>
    </row>
    <row r="698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99"/>
      <c r="U698" s="99"/>
      <c r="V698" s="99"/>
      <c r="W698" s="99"/>
      <c r="X698" s="99"/>
      <c r="Y698" s="99"/>
    </row>
    <row r="699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99"/>
      <c r="U699" s="99"/>
      <c r="V699" s="99"/>
      <c r="W699" s="99"/>
      <c r="X699" s="99"/>
      <c r="Y699" s="99"/>
    </row>
    <row r="700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99"/>
      <c r="U700" s="99"/>
      <c r="V700" s="99"/>
      <c r="W700" s="99"/>
      <c r="X700" s="99"/>
      <c r="Y700" s="99"/>
    </row>
    <row r="70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99"/>
      <c r="U701" s="99"/>
      <c r="V701" s="99"/>
      <c r="W701" s="99"/>
      <c r="X701" s="99"/>
      <c r="Y701" s="99"/>
    </row>
    <row r="702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99"/>
      <c r="U702" s="99"/>
      <c r="V702" s="99"/>
      <c r="W702" s="99"/>
      <c r="X702" s="99"/>
      <c r="Y702" s="99"/>
    </row>
    <row r="703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99"/>
      <c r="U703" s="99"/>
      <c r="V703" s="99"/>
      <c r="W703" s="99"/>
      <c r="X703" s="99"/>
      <c r="Y703" s="99"/>
    </row>
    <row r="704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99"/>
      <c r="U704" s="99"/>
      <c r="V704" s="99"/>
      <c r="W704" s="99"/>
      <c r="X704" s="99"/>
      <c r="Y704" s="99"/>
    </row>
    <row r="705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99"/>
      <c r="U705" s="99"/>
      <c r="V705" s="99"/>
      <c r="W705" s="99"/>
      <c r="X705" s="99"/>
      <c r="Y705" s="99"/>
    </row>
    <row r="706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99"/>
      <c r="U706" s="99"/>
      <c r="V706" s="99"/>
      <c r="W706" s="99"/>
      <c r="X706" s="99"/>
      <c r="Y706" s="99"/>
    </row>
    <row r="707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99"/>
      <c r="U707" s="99"/>
      <c r="V707" s="99"/>
      <c r="W707" s="99"/>
      <c r="X707" s="99"/>
      <c r="Y707" s="99"/>
    </row>
    <row r="708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99"/>
      <c r="U708" s="99"/>
      <c r="V708" s="99"/>
      <c r="W708" s="99"/>
      <c r="X708" s="99"/>
      <c r="Y708" s="99"/>
    </row>
    <row r="709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99"/>
      <c r="U709" s="99"/>
      <c r="V709" s="99"/>
      <c r="W709" s="99"/>
      <c r="X709" s="99"/>
      <c r="Y709" s="99"/>
    </row>
    <row r="710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99"/>
      <c r="U710" s="99"/>
      <c r="V710" s="99"/>
      <c r="W710" s="99"/>
      <c r="X710" s="99"/>
      <c r="Y710" s="99"/>
    </row>
    <row r="71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99"/>
      <c r="U711" s="99"/>
      <c r="V711" s="99"/>
      <c r="W711" s="99"/>
      <c r="X711" s="99"/>
      <c r="Y711" s="99"/>
    </row>
    <row r="712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99"/>
      <c r="U712" s="99"/>
      <c r="V712" s="99"/>
      <c r="W712" s="99"/>
      <c r="X712" s="99"/>
      <c r="Y712" s="99"/>
    </row>
    <row r="713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99"/>
      <c r="U713" s="99"/>
      <c r="V713" s="99"/>
      <c r="W713" s="99"/>
      <c r="X713" s="99"/>
      <c r="Y713" s="99"/>
    </row>
    <row r="714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99"/>
      <c r="U714" s="99"/>
      <c r="V714" s="99"/>
      <c r="W714" s="99"/>
      <c r="X714" s="99"/>
      <c r="Y714" s="99"/>
    </row>
    <row r="715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99"/>
      <c r="U715" s="99"/>
      <c r="V715" s="99"/>
      <c r="W715" s="99"/>
      <c r="X715" s="99"/>
      <c r="Y715" s="99"/>
    </row>
    <row r="716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99"/>
      <c r="U716" s="99"/>
      <c r="V716" s="99"/>
      <c r="W716" s="99"/>
      <c r="X716" s="99"/>
      <c r="Y716" s="99"/>
    </row>
    <row r="717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99"/>
      <c r="U717" s="99"/>
      <c r="V717" s="99"/>
      <c r="W717" s="99"/>
      <c r="X717" s="99"/>
      <c r="Y717" s="99"/>
    </row>
    <row r="718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99"/>
      <c r="U718" s="99"/>
      <c r="V718" s="99"/>
      <c r="W718" s="99"/>
      <c r="X718" s="99"/>
      <c r="Y718" s="99"/>
    </row>
    <row r="719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99"/>
      <c r="U719" s="99"/>
      <c r="V719" s="99"/>
      <c r="W719" s="99"/>
      <c r="X719" s="99"/>
      <c r="Y719" s="99"/>
    </row>
    <row r="720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99"/>
      <c r="U720" s="99"/>
      <c r="V720" s="99"/>
      <c r="W720" s="99"/>
      <c r="X720" s="99"/>
      <c r="Y720" s="99"/>
    </row>
    <row r="72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99"/>
      <c r="U721" s="99"/>
      <c r="V721" s="99"/>
      <c r="W721" s="99"/>
      <c r="X721" s="99"/>
      <c r="Y721" s="99"/>
    </row>
    <row r="722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99"/>
      <c r="U722" s="99"/>
      <c r="V722" s="99"/>
      <c r="W722" s="99"/>
      <c r="X722" s="99"/>
      <c r="Y722" s="99"/>
    </row>
    <row r="723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99"/>
      <c r="U723" s="99"/>
      <c r="V723" s="99"/>
      <c r="W723" s="99"/>
      <c r="X723" s="99"/>
      <c r="Y723" s="99"/>
    </row>
    <row r="724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99"/>
      <c r="U724" s="99"/>
      <c r="V724" s="99"/>
      <c r="W724" s="99"/>
      <c r="X724" s="99"/>
      <c r="Y724" s="99"/>
    </row>
    <row r="725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99"/>
      <c r="U725" s="99"/>
      <c r="V725" s="99"/>
      <c r="W725" s="99"/>
      <c r="X725" s="99"/>
      <c r="Y725" s="99"/>
    </row>
    <row r="726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99"/>
      <c r="U726" s="99"/>
      <c r="V726" s="99"/>
      <c r="W726" s="99"/>
      <c r="X726" s="99"/>
      <c r="Y726" s="99"/>
    </row>
    <row r="727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99"/>
      <c r="U727" s="99"/>
      <c r="V727" s="99"/>
      <c r="W727" s="99"/>
      <c r="X727" s="99"/>
      <c r="Y727" s="99"/>
    </row>
    <row r="728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99"/>
      <c r="U728" s="99"/>
      <c r="V728" s="99"/>
      <c r="W728" s="99"/>
      <c r="X728" s="99"/>
      <c r="Y728" s="99"/>
    </row>
    <row r="729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99"/>
      <c r="U729" s="99"/>
      <c r="V729" s="99"/>
      <c r="W729" s="99"/>
      <c r="X729" s="99"/>
      <c r="Y729" s="99"/>
    </row>
    <row r="730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99"/>
      <c r="U730" s="99"/>
      <c r="V730" s="99"/>
      <c r="W730" s="99"/>
      <c r="X730" s="99"/>
      <c r="Y730" s="99"/>
    </row>
    <row r="73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99"/>
      <c r="U731" s="99"/>
      <c r="V731" s="99"/>
      <c r="W731" s="99"/>
      <c r="X731" s="99"/>
      <c r="Y731" s="99"/>
    </row>
    <row r="732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99"/>
      <c r="U732" s="99"/>
      <c r="V732" s="99"/>
      <c r="W732" s="99"/>
      <c r="X732" s="99"/>
      <c r="Y732" s="99"/>
    </row>
    <row r="733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99"/>
      <c r="U733" s="99"/>
      <c r="V733" s="99"/>
      <c r="W733" s="99"/>
      <c r="X733" s="99"/>
      <c r="Y733" s="99"/>
    </row>
    <row r="734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99"/>
      <c r="U734" s="99"/>
      <c r="V734" s="99"/>
      <c r="W734" s="99"/>
      <c r="X734" s="99"/>
      <c r="Y734" s="99"/>
    </row>
    <row r="735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99"/>
      <c r="U735" s="99"/>
      <c r="V735" s="99"/>
      <c r="W735" s="99"/>
      <c r="X735" s="99"/>
      <c r="Y735" s="99"/>
    </row>
    <row r="736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99"/>
      <c r="U736" s="99"/>
      <c r="V736" s="99"/>
      <c r="W736" s="99"/>
      <c r="X736" s="99"/>
      <c r="Y736" s="99"/>
    </row>
    <row r="737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99"/>
      <c r="U737" s="99"/>
      <c r="V737" s="99"/>
      <c r="W737" s="99"/>
      <c r="X737" s="99"/>
      <c r="Y737" s="99"/>
    </row>
    <row r="738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99"/>
      <c r="U738" s="99"/>
      <c r="V738" s="99"/>
      <c r="W738" s="99"/>
      <c r="X738" s="99"/>
      <c r="Y738" s="99"/>
    </row>
    <row r="739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99"/>
      <c r="U739" s="99"/>
      <c r="V739" s="99"/>
      <c r="W739" s="99"/>
      <c r="X739" s="99"/>
      <c r="Y739" s="99"/>
    </row>
    <row r="740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99"/>
      <c r="U740" s="99"/>
      <c r="V740" s="99"/>
      <c r="W740" s="99"/>
      <c r="X740" s="99"/>
      <c r="Y740" s="99"/>
    </row>
    <row r="74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99"/>
      <c r="U741" s="99"/>
      <c r="V741" s="99"/>
      <c r="W741" s="99"/>
      <c r="X741" s="99"/>
      <c r="Y741" s="99"/>
    </row>
    <row r="742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99"/>
      <c r="U742" s="99"/>
      <c r="V742" s="99"/>
      <c r="W742" s="99"/>
      <c r="X742" s="99"/>
      <c r="Y742" s="99"/>
    </row>
    <row r="743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99"/>
      <c r="U743" s="99"/>
      <c r="V743" s="99"/>
      <c r="W743" s="99"/>
      <c r="X743" s="99"/>
      <c r="Y743" s="99"/>
    </row>
    <row r="744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99"/>
      <c r="U744" s="99"/>
      <c r="V744" s="99"/>
      <c r="W744" s="99"/>
      <c r="X744" s="99"/>
      <c r="Y744" s="99"/>
    </row>
    <row r="745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99"/>
      <c r="U745" s="99"/>
      <c r="V745" s="99"/>
      <c r="W745" s="99"/>
      <c r="X745" s="99"/>
      <c r="Y745" s="99"/>
    </row>
    <row r="746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99"/>
      <c r="U746" s="99"/>
      <c r="V746" s="99"/>
      <c r="W746" s="99"/>
      <c r="X746" s="99"/>
      <c r="Y746" s="99"/>
    </row>
    <row r="747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99"/>
      <c r="U747" s="99"/>
      <c r="V747" s="99"/>
      <c r="W747" s="99"/>
      <c r="X747" s="99"/>
      <c r="Y747" s="99"/>
    </row>
    <row r="748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99"/>
      <c r="U748" s="99"/>
      <c r="V748" s="99"/>
      <c r="W748" s="99"/>
      <c r="X748" s="99"/>
      <c r="Y748" s="99"/>
    </row>
    <row r="749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99"/>
      <c r="U749" s="99"/>
      <c r="V749" s="99"/>
      <c r="W749" s="99"/>
      <c r="X749" s="99"/>
      <c r="Y749" s="99"/>
    </row>
    <row r="750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99"/>
      <c r="U750" s="99"/>
      <c r="V750" s="99"/>
      <c r="W750" s="99"/>
      <c r="X750" s="99"/>
      <c r="Y750" s="99"/>
    </row>
    <row r="75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99"/>
      <c r="U751" s="99"/>
      <c r="V751" s="99"/>
      <c r="W751" s="99"/>
      <c r="X751" s="99"/>
      <c r="Y751" s="99"/>
    </row>
    <row r="752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99"/>
      <c r="U752" s="99"/>
      <c r="V752" s="99"/>
      <c r="W752" s="99"/>
      <c r="X752" s="99"/>
      <c r="Y752" s="99"/>
    </row>
    <row r="753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99"/>
      <c r="U753" s="99"/>
      <c r="V753" s="99"/>
      <c r="W753" s="99"/>
      <c r="X753" s="99"/>
      <c r="Y753" s="99"/>
    </row>
    <row r="754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99"/>
      <c r="U754" s="99"/>
      <c r="V754" s="99"/>
      <c r="W754" s="99"/>
      <c r="X754" s="99"/>
      <c r="Y754" s="99"/>
    </row>
    <row r="755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99"/>
      <c r="U755" s="99"/>
      <c r="V755" s="99"/>
      <c r="W755" s="99"/>
      <c r="X755" s="99"/>
      <c r="Y755" s="99"/>
    </row>
    <row r="756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99"/>
      <c r="U756" s="99"/>
      <c r="V756" s="99"/>
      <c r="W756" s="99"/>
      <c r="X756" s="99"/>
      <c r="Y756" s="99"/>
    </row>
    <row r="757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99"/>
      <c r="U757" s="99"/>
      <c r="V757" s="99"/>
      <c r="W757" s="99"/>
      <c r="X757" s="99"/>
      <c r="Y757" s="99"/>
    </row>
    <row r="758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99"/>
      <c r="U758" s="99"/>
      <c r="V758" s="99"/>
      <c r="W758" s="99"/>
      <c r="X758" s="99"/>
      <c r="Y758" s="99"/>
    </row>
    <row r="759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99"/>
      <c r="U759" s="99"/>
      <c r="V759" s="99"/>
      <c r="W759" s="99"/>
      <c r="X759" s="99"/>
      <c r="Y759" s="99"/>
    </row>
    <row r="760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99"/>
      <c r="U760" s="99"/>
      <c r="V760" s="99"/>
      <c r="W760" s="99"/>
      <c r="X760" s="99"/>
      <c r="Y760" s="99"/>
    </row>
    <row r="76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99"/>
      <c r="U761" s="99"/>
      <c r="V761" s="99"/>
      <c r="W761" s="99"/>
      <c r="X761" s="99"/>
      <c r="Y761" s="99"/>
    </row>
    <row r="762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99"/>
      <c r="U762" s="99"/>
      <c r="V762" s="99"/>
      <c r="W762" s="99"/>
      <c r="X762" s="99"/>
      <c r="Y762" s="99"/>
    </row>
    <row r="763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99"/>
      <c r="U763" s="99"/>
      <c r="V763" s="99"/>
      <c r="W763" s="99"/>
      <c r="X763" s="99"/>
      <c r="Y763" s="99"/>
    </row>
    <row r="764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99"/>
      <c r="U764" s="99"/>
      <c r="V764" s="99"/>
      <c r="W764" s="99"/>
      <c r="X764" s="99"/>
      <c r="Y764" s="99"/>
    </row>
    <row r="765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99"/>
      <c r="U765" s="99"/>
      <c r="V765" s="99"/>
      <c r="W765" s="99"/>
      <c r="X765" s="99"/>
      <c r="Y765" s="99"/>
    </row>
    <row r="766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99"/>
      <c r="U766" s="99"/>
      <c r="V766" s="99"/>
      <c r="W766" s="99"/>
      <c r="X766" s="99"/>
      <c r="Y766" s="99"/>
    </row>
    <row r="767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99"/>
      <c r="U767" s="99"/>
      <c r="V767" s="99"/>
      <c r="W767" s="99"/>
      <c r="X767" s="99"/>
      <c r="Y767" s="99"/>
    </row>
    <row r="768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99"/>
      <c r="U768" s="99"/>
      <c r="V768" s="99"/>
      <c r="W768" s="99"/>
      <c r="X768" s="99"/>
      <c r="Y768" s="99"/>
    </row>
    <row r="769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99"/>
      <c r="U769" s="99"/>
      <c r="V769" s="99"/>
      <c r="W769" s="99"/>
      <c r="X769" s="99"/>
      <c r="Y769" s="99"/>
    </row>
    <row r="770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99"/>
      <c r="U770" s="99"/>
      <c r="V770" s="99"/>
      <c r="W770" s="99"/>
      <c r="X770" s="99"/>
      <c r="Y770" s="99"/>
    </row>
    <row r="77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99"/>
      <c r="U771" s="99"/>
      <c r="V771" s="99"/>
      <c r="W771" s="99"/>
      <c r="X771" s="99"/>
      <c r="Y771" s="99"/>
    </row>
    <row r="772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99"/>
      <c r="U772" s="99"/>
      <c r="V772" s="99"/>
      <c r="W772" s="99"/>
      <c r="X772" s="99"/>
      <c r="Y772" s="99"/>
    </row>
    <row r="773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99"/>
      <c r="U773" s="99"/>
      <c r="V773" s="99"/>
      <c r="W773" s="99"/>
      <c r="X773" s="99"/>
      <c r="Y773" s="99"/>
    </row>
    <row r="774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99"/>
      <c r="U774" s="99"/>
      <c r="V774" s="99"/>
      <c r="W774" s="99"/>
      <c r="X774" s="99"/>
      <c r="Y774" s="99"/>
    </row>
    <row r="775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99"/>
      <c r="U775" s="99"/>
      <c r="V775" s="99"/>
      <c r="W775" s="99"/>
      <c r="X775" s="99"/>
      <c r="Y775" s="99"/>
    </row>
    <row r="776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99"/>
      <c r="U776" s="99"/>
      <c r="V776" s="99"/>
      <c r="W776" s="99"/>
      <c r="X776" s="99"/>
      <c r="Y776" s="99"/>
    </row>
    <row r="777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99"/>
      <c r="U777" s="99"/>
      <c r="V777" s="99"/>
      <c r="W777" s="99"/>
      <c r="X777" s="99"/>
      <c r="Y777" s="99"/>
    </row>
    <row r="778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99"/>
      <c r="U778" s="99"/>
      <c r="V778" s="99"/>
      <c r="W778" s="99"/>
      <c r="X778" s="99"/>
      <c r="Y778" s="99"/>
    </row>
    <row r="779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99"/>
      <c r="U779" s="99"/>
      <c r="V779" s="99"/>
      <c r="W779" s="99"/>
      <c r="X779" s="99"/>
      <c r="Y779" s="99"/>
    </row>
    <row r="780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99"/>
      <c r="U780" s="99"/>
      <c r="V780" s="99"/>
      <c r="W780" s="99"/>
      <c r="X780" s="99"/>
      <c r="Y780" s="99"/>
    </row>
    <row r="78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99"/>
      <c r="U781" s="99"/>
      <c r="V781" s="99"/>
      <c r="W781" s="99"/>
      <c r="X781" s="99"/>
      <c r="Y781" s="99"/>
    </row>
    <row r="782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99"/>
      <c r="U782" s="99"/>
      <c r="V782" s="99"/>
      <c r="W782" s="99"/>
      <c r="X782" s="99"/>
      <c r="Y782" s="99"/>
    </row>
    <row r="783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99"/>
      <c r="U783" s="99"/>
      <c r="V783" s="99"/>
      <c r="W783" s="99"/>
      <c r="X783" s="99"/>
      <c r="Y783" s="99"/>
    </row>
    <row r="784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99"/>
      <c r="U784" s="99"/>
      <c r="V784" s="99"/>
      <c r="W784" s="99"/>
      <c r="X784" s="99"/>
      <c r="Y784" s="99"/>
    </row>
    <row r="785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99"/>
      <c r="U785" s="99"/>
      <c r="V785" s="99"/>
      <c r="W785" s="99"/>
      <c r="X785" s="99"/>
      <c r="Y785" s="99"/>
    </row>
    <row r="786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99"/>
      <c r="U786" s="99"/>
      <c r="V786" s="99"/>
      <c r="W786" s="99"/>
      <c r="X786" s="99"/>
      <c r="Y786" s="99"/>
    </row>
    <row r="787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99"/>
      <c r="U787" s="99"/>
      <c r="V787" s="99"/>
      <c r="W787" s="99"/>
      <c r="X787" s="99"/>
      <c r="Y787" s="99"/>
    </row>
    <row r="788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99"/>
      <c r="U788" s="99"/>
      <c r="V788" s="99"/>
      <c r="W788" s="99"/>
      <c r="X788" s="99"/>
      <c r="Y788" s="99"/>
    </row>
    <row r="789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99"/>
      <c r="U789" s="99"/>
      <c r="V789" s="99"/>
      <c r="W789" s="99"/>
      <c r="X789" s="99"/>
      <c r="Y789" s="99"/>
    </row>
    <row r="790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99"/>
      <c r="U790" s="99"/>
      <c r="V790" s="99"/>
      <c r="W790" s="99"/>
      <c r="X790" s="99"/>
      <c r="Y790" s="99"/>
    </row>
    <row r="79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99"/>
      <c r="U791" s="99"/>
      <c r="V791" s="99"/>
      <c r="W791" s="99"/>
      <c r="X791" s="99"/>
      <c r="Y791" s="99"/>
    </row>
    <row r="792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99"/>
      <c r="U792" s="99"/>
      <c r="V792" s="99"/>
      <c r="W792" s="99"/>
      <c r="X792" s="99"/>
      <c r="Y792" s="99"/>
    </row>
    <row r="793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99"/>
      <c r="U793" s="99"/>
      <c r="V793" s="99"/>
      <c r="W793" s="99"/>
      <c r="X793" s="99"/>
      <c r="Y793" s="99"/>
    </row>
    <row r="794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99"/>
      <c r="U794" s="99"/>
      <c r="V794" s="99"/>
      <c r="W794" s="99"/>
      <c r="X794" s="99"/>
      <c r="Y794" s="99"/>
    </row>
    <row r="795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99"/>
      <c r="U795" s="99"/>
      <c r="V795" s="99"/>
      <c r="W795" s="99"/>
      <c r="X795" s="99"/>
      <c r="Y795" s="99"/>
    </row>
    <row r="796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99"/>
      <c r="U796" s="99"/>
      <c r="V796" s="99"/>
      <c r="W796" s="99"/>
      <c r="X796" s="99"/>
      <c r="Y796" s="99"/>
    </row>
    <row r="797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99"/>
      <c r="U797" s="99"/>
      <c r="V797" s="99"/>
      <c r="W797" s="99"/>
      <c r="X797" s="99"/>
      <c r="Y797" s="99"/>
    </row>
    <row r="798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99"/>
      <c r="U798" s="99"/>
      <c r="V798" s="99"/>
      <c r="W798" s="99"/>
      <c r="X798" s="99"/>
      <c r="Y798" s="99"/>
    </row>
    <row r="799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99"/>
      <c r="U799" s="99"/>
      <c r="V799" s="99"/>
      <c r="W799" s="99"/>
      <c r="X799" s="99"/>
      <c r="Y799" s="99"/>
    </row>
    <row r="800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99"/>
      <c r="U800" s="99"/>
      <c r="V800" s="99"/>
      <c r="W800" s="99"/>
      <c r="X800" s="99"/>
      <c r="Y800" s="99"/>
    </row>
    <row r="80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99"/>
      <c r="U801" s="99"/>
      <c r="V801" s="99"/>
      <c r="W801" s="99"/>
      <c r="X801" s="99"/>
      <c r="Y801" s="99"/>
    </row>
    <row r="802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99"/>
      <c r="U802" s="99"/>
      <c r="V802" s="99"/>
      <c r="W802" s="99"/>
      <c r="X802" s="99"/>
      <c r="Y802" s="99"/>
    </row>
    <row r="803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99"/>
      <c r="U803" s="99"/>
      <c r="V803" s="99"/>
      <c r="W803" s="99"/>
      <c r="X803" s="99"/>
      <c r="Y803" s="99"/>
    </row>
    <row r="804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99"/>
      <c r="U804" s="99"/>
      <c r="V804" s="99"/>
      <c r="W804" s="99"/>
      <c r="X804" s="99"/>
      <c r="Y804" s="99"/>
    </row>
    <row r="805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99"/>
      <c r="U805" s="99"/>
      <c r="V805" s="99"/>
      <c r="W805" s="99"/>
      <c r="X805" s="99"/>
      <c r="Y805" s="99"/>
    </row>
    <row r="806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99"/>
      <c r="U806" s="99"/>
      <c r="V806" s="99"/>
      <c r="W806" s="99"/>
      <c r="X806" s="99"/>
      <c r="Y806" s="99"/>
    </row>
    <row r="807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99"/>
      <c r="U807" s="99"/>
      <c r="V807" s="99"/>
      <c r="W807" s="99"/>
      <c r="X807" s="99"/>
      <c r="Y807" s="99"/>
    </row>
    <row r="808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99"/>
      <c r="U808" s="99"/>
      <c r="V808" s="99"/>
      <c r="W808" s="99"/>
      <c r="X808" s="99"/>
      <c r="Y808" s="99"/>
    </row>
    <row r="809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99"/>
      <c r="U809" s="99"/>
      <c r="V809" s="99"/>
      <c r="W809" s="99"/>
      <c r="X809" s="99"/>
      <c r="Y809" s="99"/>
    </row>
    <row r="810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99"/>
      <c r="U810" s="99"/>
      <c r="V810" s="99"/>
      <c r="W810" s="99"/>
      <c r="X810" s="99"/>
      <c r="Y810" s="99"/>
    </row>
    <row r="81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99"/>
      <c r="U811" s="99"/>
      <c r="V811" s="99"/>
      <c r="W811" s="99"/>
      <c r="X811" s="99"/>
      <c r="Y811" s="99"/>
    </row>
    <row r="812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99"/>
      <c r="U812" s="99"/>
      <c r="V812" s="99"/>
      <c r="W812" s="99"/>
      <c r="X812" s="99"/>
      <c r="Y812" s="99"/>
    </row>
    <row r="813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99"/>
      <c r="U813" s="99"/>
      <c r="V813" s="99"/>
      <c r="W813" s="99"/>
      <c r="X813" s="99"/>
      <c r="Y813" s="99"/>
    </row>
    <row r="814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99"/>
      <c r="U814" s="99"/>
      <c r="V814" s="99"/>
      <c r="W814" s="99"/>
      <c r="X814" s="99"/>
      <c r="Y814" s="99"/>
    </row>
    <row r="815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99"/>
      <c r="U815" s="99"/>
      <c r="V815" s="99"/>
      <c r="W815" s="99"/>
      <c r="X815" s="99"/>
      <c r="Y815" s="99"/>
    </row>
    <row r="816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99"/>
      <c r="U816" s="99"/>
      <c r="V816" s="99"/>
      <c r="W816" s="99"/>
      <c r="X816" s="99"/>
      <c r="Y816" s="99"/>
    </row>
    <row r="817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99"/>
      <c r="U817" s="99"/>
      <c r="V817" s="99"/>
      <c r="W817" s="99"/>
      <c r="X817" s="99"/>
      <c r="Y817" s="99"/>
    </row>
    <row r="818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99"/>
      <c r="U818" s="99"/>
      <c r="V818" s="99"/>
      <c r="W818" s="99"/>
      <c r="X818" s="99"/>
      <c r="Y818" s="99"/>
    </row>
    <row r="819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99"/>
      <c r="U819" s="99"/>
      <c r="V819" s="99"/>
      <c r="W819" s="99"/>
      <c r="X819" s="99"/>
      <c r="Y819" s="99"/>
    </row>
    <row r="820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99"/>
      <c r="U820" s="99"/>
      <c r="V820" s="99"/>
      <c r="W820" s="99"/>
      <c r="X820" s="99"/>
      <c r="Y820" s="99"/>
    </row>
    <row r="82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99"/>
      <c r="U821" s="99"/>
      <c r="V821" s="99"/>
      <c r="W821" s="99"/>
      <c r="X821" s="99"/>
      <c r="Y821" s="99"/>
    </row>
    <row r="822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99"/>
      <c r="U822" s="99"/>
      <c r="V822" s="99"/>
      <c r="W822" s="99"/>
      <c r="X822" s="99"/>
      <c r="Y822" s="99"/>
    </row>
    <row r="823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99"/>
      <c r="U823" s="99"/>
      <c r="V823" s="99"/>
      <c r="W823" s="99"/>
      <c r="X823" s="99"/>
      <c r="Y823" s="99"/>
    </row>
    <row r="824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99"/>
      <c r="U824" s="99"/>
      <c r="V824" s="99"/>
      <c r="W824" s="99"/>
      <c r="X824" s="99"/>
      <c r="Y824" s="99"/>
    </row>
    <row r="825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99"/>
      <c r="U825" s="99"/>
      <c r="V825" s="99"/>
      <c r="W825" s="99"/>
      <c r="X825" s="99"/>
      <c r="Y825" s="99"/>
    </row>
    <row r="826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99"/>
      <c r="U826" s="99"/>
      <c r="V826" s="99"/>
      <c r="W826" s="99"/>
      <c r="X826" s="99"/>
      <c r="Y826" s="99"/>
    </row>
    <row r="827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99"/>
      <c r="U827" s="99"/>
      <c r="V827" s="99"/>
      <c r="W827" s="99"/>
      <c r="X827" s="99"/>
      <c r="Y827" s="99"/>
    </row>
    <row r="828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99"/>
      <c r="U828" s="99"/>
      <c r="V828" s="99"/>
      <c r="W828" s="99"/>
      <c r="X828" s="99"/>
      <c r="Y828" s="99"/>
    </row>
    <row r="829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99"/>
      <c r="U829" s="99"/>
      <c r="V829" s="99"/>
      <c r="W829" s="99"/>
      <c r="X829" s="99"/>
      <c r="Y829" s="99"/>
    </row>
    <row r="830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99"/>
      <c r="U830" s="99"/>
      <c r="V830" s="99"/>
      <c r="W830" s="99"/>
      <c r="X830" s="99"/>
      <c r="Y830" s="99"/>
    </row>
    <row r="83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99"/>
      <c r="U831" s="99"/>
      <c r="V831" s="99"/>
      <c r="W831" s="99"/>
      <c r="X831" s="99"/>
      <c r="Y831" s="99"/>
    </row>
    <row r="832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99"/>
      <c r="U832" s="99"/>
      <c r="V832" s="99"/>
      <c r="W832" s="99"/>
      <c r="X832" s="99"/>
      <c r="Y832" s="99"/>
    </row>
    <row r="833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99"/>
      <c r="U833" s="99"/>
      <c r="V833" s="99"/>
      <c r="W833" s="99"/>
      <c r="X833" s="99"/>
      <c r="Y833" s="99"/>
    </row>
    <row r="834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99"/>
      <c r="U834" s="99"/>
      <c r="V834" s="99"/>
      <c r="W834" s="99"/>
      <c r="X834" s="99"/>
      <c r="Y834" s="99"/>
    </row>
    <row r="835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99"/>
      <c r="U835" s="99"/>
      <c r="V835" s="99"/>
      <c r="W835" s="99"/>
      <c r="X835" s="99"/>
      <c r="Y835" s="99"/>
    </row>
    <row r="836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99"/>
      <c r="U836" s="99"/>
      <c r="V836" s="99"/>
      <c r="W836" s="99"/>
      <c r="X836" s="99"/>
      <c r="Y836" s="99"/>
    </row>
    <row r="837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99"/>
      <c r="U837" s="99"/>
      <c r="V837" s="99"/>
      <c r="W837" s="99"/>
      <c r="X837" s="99"/>
      <c r="Y837" s="99"/>
    </row>
    <row r="838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99"/>
      <c r="U838" s="99"/>
      <c r="V838" s="99"/>
      <c r="W838" s="99"/>
      <c r="X838" s="99"/>
      <c r="Y838" s="99"/>
    </row>
    <row r="839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99"/>
      <c r="U839" s="99"/>
      <c r="V839" s="99"/>
      <c r="W839" s="99"/>
      <c r="X839" s="99"/>
      <c r="Y839" s="99"/>
    </row>
    <row r="840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99"/>
      <c r="U840" s="99"/>
      <c r="V840" s="99"/>
      <c r="W840" s="99"/>
      <c r="X840" s="99"/>
      <c r="Y840" s="99"/>
    </row>
    <row r="84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99"/>
      <c r="U841" s="99"/>
      <c r="V841" s="99"/>
      <c r="W841" s="99"/>
      <c r="X841" s="99"/>
      <c r="Y841" s="99"/>
    </row>
    <row r="842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99"/>
      <c r="U842" s="99"/>
      <c r="V842" s="99"/>
      <c r="W842" s="99"/>
      <c r="X842" s="99"/>
      <c r="Y842" s="99"/>
    </row>
    <row r="843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99"/>
      <c r="U843" s="99"/>
      <c r="V843" s="99"/>
      <c r="W843" s="99"/>
      <c r="X843" s="99"/>
      <c r="Y843" s="99"/>
    </row>
    <row r="844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99"/>
      <c r="U844" s="99"/>
      <c r="V844" s="99"/>
      <c r="W844" s="99"/>
      <c r="X844" s="99"/>
      <c r="Y844" s="99"/>
    </row>
    <row r="845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99"/>
      <c r="U845" s="99"/>
      <c r="V845" s="99"/>
      <c r="W845" s="99"/>
      <c r="X845" s="99"/>
      <c r="Y845" s="99"/>
    </row>
    <row r="846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99"/>
      <c r="U846" s="99"/>
      <c r="V846" s="99"/>
      <c r="W846" s="99"/>
      <c r="X846" s="99"/>
      <c r="Y846" s="99"/>
    </row>
    <row r="847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99"/>
      <c r="U847" s="99"/>
      <c r="V847" s="99"/>
      <c r="W847" s="99"/>
      <c r="X847" s="99"/>
      <c r="Y847" s="99"/>
    </row>
    <row r="848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99"/>
      <c r="U848" s="99"/>
      <c r="V848" s="99"/>
      <c r="W848" s="99"/>
      <c r="X848" s="99"/>
      <c r="Y848" s="99"/>
    </row>
    <row r="849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99"/>
      <c r="U849" s="99"/>
      <c r="V849" s="99"/>
      <c r="W849" s="99"/>
      <c r="X849" s="99"/>
      <c r="Y849" s="99"/>
    </row>
    <row r="850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99"/>
      <c r="U850" s="99"/>
      <c r="V850" s="99"/>
      <c r="W850" s="99"/>
      <c r="X850" s="99"/>
      <c r="Y850" s="99"/>
    </row>
    <row r="85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99"/>
      <c r="U851" s="99"/>
      <c r="V851" s="99"/>
      <c r="W851" s="99"/>
      <c r="X851" s="99"/>
      <c r="Y851" s="99"/>
    </row>
    <row r="852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99"/>
      <c r="U852" s="99"/>
      <c r="V852" s="99"/>
      <c r="W852" s="99"/>
      <c r="X852" s="99"/>
      <c r="Y852" s="99"/>
    </row>
    <row r="853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99"/>
      <c r="U853" s="99"/>
      <c r="V853" s="99"/>
      <c r="W853" s="99"/>
      <c r="X853" s="99"/>
      <c r="Y853" s="99"/>
    </row>
    <row r="854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99"/>
      <c r="U854" s="99"/>
      <c r="V854" s="99"/>
      <c r="W854" s="99"/>
      <c r="X854" s="99"/>
      <c r="Y854" s="99"/>
    </row>
    <row r="855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99"/>
      <c r="U855" s="99"/>
      <c r="V855" s="99"/>
      <c r="W855" s="99"/>
      <c r="X855" s="99"/>
      <c r="Y855" s="99"/>
    </row>
    <row r="856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99"/>
      <c r="U856" s="99"/>
      <c r="V856" s="99"/>
      <c r="W856" s="99"/>
      <c r="X856" s="99"/>
      <c r="Y856" s="99"/>
    </row>
    <row r="857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99"/>
      <c r="U857" s="99"/>
      <c r="V857" s="99"/>
      <c r="W857" s="99"/>
      <c r="X857" s="99"/>
      <c r="Y857" s="99"/>
    </row>
    <row r="858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99"/>
      <c r="U858" s="99"/>
      <c r="V858" s="99"/>
      <c r="W858" s="99"/>
      <c r="X858" s="99"/>
      <c r="Y858" s="99"/>
    </row>
    <row r="859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99"/>
      <c r="U859" s="99"/>
      <c r="V859" s="99"/>
      <c r="W859" s="99"/>
      <c r="X859" s="99"/>
      <c r="Y859" s="99"/>
    </row>
    <row r="860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99"/>
      <c r="U860" s="99"/>
      <c r="V860" s="99"/>
      <c r="W860" s="99"/>
      <c r="X860" s="99"/>
      <c r="Y860" s="99"/>
    </row>
    <row r="86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99"/>
      <c r="U861" s="99"/>
      <c r="V861" s="99"/>
      <c r="W861" s="99"/>
      <c r="X861" s="99"/>
      <c r="Y861" s="99"/>
    </row>
    <row r="862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99"/>
      <c r="U862" s="99"/>
      <c r="V862" s="99"/>
      <c r="W862" s="99"/>
      <c r="X862" s="99"/>
      <c r="Y862" s="99"/>
    </row>
    <row r="863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99"/>
      <c r="U863" s="99"/>
      <c r="V863" s="99"/>
      <c r="W863" s="99"/>
      <c r="X863" s="99"/>
      <c r="Y863" s="99"/>
    </row>
    <row r="864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99"/>
      <c r="U864" s="99"/>
      <c r="V864" s="99"/>
      <c r="W864" s="99"/>
      <c r="X864" s="99"/>
      <c r="Y864" s="99"/>
    </row>
    <row r="865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99"/>
      <c r="U865" s="99"/>
      <c r="V865" s="99"/>
      <c r="W865" s="99"/>
      <c r="X865" s="99"/>
      <c r="Y865" s="99"/>
    </row>
    <row r="866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99"/>
      <c r="U866" s="99"/>
      <c r="V866" s="99"/>
      <c r="W866" s="99"/>
      <c r="X866" s="99"/>
      <c r="Y866" s="99"/>
    </row>
    <row r="867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99"/>
      <c r="U867" s="99"/>
      <c r="V867" s="99"/>
      <c r="W867" s="99"/>
      <c r="X867" s="99"/>
      <c r="Y867" s="99"/>
    </row>
    <row r="868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99"/>
      <c r="U868" s="99"/>
      <c r="V868" s="99"/>
      <c r="W868" s="99"/>
      <c r="X868" s="99"/>
      <c r="Y868" s="99"/>
    </row>
    <row r="869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99"/>
      <c r="U869" s="99"/>
      <c r="V869" s="99"/>
      <c r="W869" s="99"/>
      <c r="X869" s="99"/>
      <c r="Y869" s="99"/>
    </row>
    <row r="870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99"/>
      <c r="U870" s="99"/>
      <c r="V870" s="99"/>
      <c r="W870" s="99"/>
      <c r="X870" s="99"/>
      <c r="Y870" s="99"/>
    </row>
    <row r="87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99"/>
      <c r="U871" s="99"/>
      <c r="V871" s="99"/>
      <c r="W871" s="99"/>
      <c r="X871" s="99"/>
      <c r="Y871" s="99"/>
    </row>
    <row r="872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99"/>
      <c r="U872" s="99"/>
      <c r="V872" s="99"/>
      <c r="W872" s="99"/>
      <c r="X872" s="99"/>
      <c r="Y872" s="99"/>
    </row>
    <row r="873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99"/>
      <c r="U873" s="99"/>
      <c r="V873" s="99"/>
      <c r="W873" s="99"/>
      <c r="X873" s="99"/>
      <c r="Y873" s="99"/>
    </row>
    <row r="874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99"/>
      <c r="U874" s="99"/>
      <c r="V874" s="99"/>
      <c r="W874" s="99"/>
      <c r="X874" s="99"/>
      <c r="Y874" s="99"/>
    </row>
    <row r="875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99"/>
      <c r="U875" s="99"/>
      <c r="V875" s="99"/>
      <c r="W875" s="99"/>
      <c r="X875" s="99"/>
      <c r="Y875" s="99"/>
    </row>
    <row r="876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99"/>
      <c r="U876" s="99"/>
      <c r="V876" s="99"/>
      <c r="W876" s="99"/>
      <c r="X876" s="99"/>
      <c r="Y876" s="99"/>
    </row>
    <row r="877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99"/>
      <c r="U877" s="99"/>
      <c r="V877" s="99"/>
      <c r="W877" s="99"/>
      <c r="X877" s="99"/>
      <c r="Y877" s="99"/>
    </row>
    <row r="878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99"/>
      <c r="U878" s="99"/>
      <c r="V878" s="99"/>
      <c r="W878" s="99"/>
      <c r="X878" s="99"/>
      <c r="Y878" s="99"/>
    </row>
    <row r="879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99"/>
      <c r="U879" s="99"/>
      <c r="V879" s="99"/>
      <c r="W879" s="99"/>
      <c r="X879" s="99"/>
      <c r="Y879" s="99"/>
    </row>
    <row r="880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99"/>
      <c r="U880" s="99"/>
      <c r="V880" s="99"/>
      <c r="W880" s="99"/>
      <c r="X880" s="99"/>
      <c r="Y880" s="99"/>
    </row>
    <row r="88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99"/>
      <c r="U881" s="99"/>
      <c r="V881" s="99"/>
      <c r="W881" s="99"/>
      <c r="X881" s="99"/>
      <c r="Y881" s="99"/>
    </row>
    <row r="882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99"/>
      <c r="U882" s="99"/>
      <c r="V882" s="99"/>
      <c r="W882" s="99"/>
      <c r="X882" s="99"/>
      <c r="Y882" s="99"/>
    </row>
    <row r="883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99"/>
      <c r="U883" s="99"/>
      <c r="V883" s="99"/>
      <c r="W883" s="99"/>
      <c r="X883" s="99"/>
      <c r="Y883" s="99"/>
    </row>
    <row r="884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99"/>
      <c r="U884" s="99"/>
      <c r="V884" s="99"/>
      <c r="W884" s="99"/>
      <c r="X884" s="99"/>
      <c r="Y884" s="99"/>
    </row>
    <row r="885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99"/>
      <c r="U885" s="99"/>
      <c r="V885" s="99"/>
      <c r="W885" s="99"/>
      <c r="X885" s="99"/>
      <c r="Y885" s="99"/>
    </row>
    <row r="886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99"/>
      <c r="U886" s="99"/>
      <c r="V886" s="99"/>
      <c r="W886" s="99"/>
      <c r="X886" s="99"/>
      <c r="Y886" s="99"/>
    </row>
    <row r="887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99"/>
      <c r="U887" s="99"/>
      <c r="V887" s="99"/>
      <c r="W887" s="99"/>
      <c r="X887" s="99"/>
      <c r="Y887" s="99"/>
    </row>
    <row r="888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99"/>
      <c r="U888" s="99"/>
      <c r="V888" s="99"/>
      <c r="W888" s="99"/>
      <c r="X888" s="99"/>
      <c r="Y888" s="99"/>
    </row>
    <row r="889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99"/>
      <c r="U889" s="99"/>
      <c r="V889" s="99"/>
      <c r="W889" s="99"/>
      <c r="X889" s="99"/>
      <c r="Y889" s="99"/>
    </row>
    <row r="890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99"/>
      <c r="U890" s="99"/>
      <c r="V890" s="99"/>
      <c r="W890" s="99"/>
      <c r="X890" s="99"/>
      <c r="Y890" s="99"/>
    </row>
    <row r="89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99"/>
      <c r="U891" s="99"/>
      <c r="V891" s="99"/>
      <c r="W891" s="99"/>
      <c r="X891" s="99"/>
      <c r="Y891" s="99"/>
    </row>
    <row r="892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99"/>
      <c r="U892" s="99"/>
      <c r="V892" s="99"/>
      <c r="W892" s="99"/>
      <c r="X892" s="99"/>
      <c r="Y892" s="99"/>
    </row>
    <row r="893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99"/>
      <c r="U893" s="99"/>
      <c r="V893" s="99"/>
      <c r="W893" s="99"/>
      <c r="X893" s="99"/>
      <c r="Y893" s="99"/>
    </row>
    <row r="894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99"/>
      <c r="U894" s="99"/>
      <c r="V894" s="99"/>
      <c r="W894" s="99"/>
      <c r="X894" s="99"/>
      <c r="Y894" s="99"/>
    </row>
    <row r="895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99"/>
      <c r="U895" s="99"/>
      <c r="V895" s="99"/>
      <c r="W895" s="99"/>
      <c r="X895" s="99"/>
      <c r="Y895" s="99"/>
    </row>
    <row r="896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99"/>
      <c r="U896" s="99"/>
      <c r="V896" s="99"/>
      <c r="W896" s="99"/>
      <c r="X896" s="99"/>
      <c r="Y896" s="99"/>
    </row>
    <row r="897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99"/>
      <c r="U897" s="99"/>
      <c r="V897" s="99"/>
      <c r="W897" s="99"/>
      <c r="X897" s="99"/>
      <c r="Y897" s="99"/>
    </row>
    <row r="898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99"/>
      <c r="U898" s="99"/>
      <c r="V898" s="99"/>
      <c r="W898" s="99"/>
      <c r="X898" s="99"/>
      <c r="Y898" s="99"/>
    </row>
    <row r="899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99"/>
      <c r="U899" s="99"/>
      <c r="V899" s="99"/>
      <c r="W899" s="99"/>
      <c r="X899" s="99"/>
      <c r="Y899" s="99"/>
    </row>
    <row r="900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99"/>
      <c r="U900" s="99"/>
      <c r="V900" s="99"/>
      <c r="W900" s="99"/>
      <c r="X900" s="99"/>
      <c r="Y900" s="99"/>
    </row>
    <row r="90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99"/>
      <c r="U901" s="99"/>
      <c r="V901" s="99"/>
      <c r="W901" s="99"/>
      <c r="X901" s="99"/>
      <c r="Y901" s="99"/>
    </row>
    <row r="902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99"/>
      <c r="U902" s="99"/>
      <c r="V902" s="99"/>
      <c r="W902" s="99"/>
      <c r="X902" s="99"/>
      <c r="Y902" s="99"/>
    </row>
    <row r="903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99"/>
      <c r="U903" s="99"/>
      <c r="V903" s="99"/>
      <c r="W903" s="99"/>
      <c r="X903" s="99"/>
      <c r="Y903" s="99"/>
    </row>
    <row r="904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99"/>
      <c r="U904" s="99"/>
      <c r="V904" s="99"/>
      <c r="W904" s="99"/>
      <c r="X904" s="99"/>
      <c r="Y904" s="99"/>
    </row>
    <row r="905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99"/>
      <c r="U905" s="99"/>
      <c r="V905" s="99"/>
      <c r="W905" s="99"/>
      <c r="X905" s="99"/>
      <c r="Y905" s="99"/>
    </row>
    <row r="906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99"/>
      <c r="U906" s="99"/>
      <c r="V906" s="99"/>
      <c r="W906" s="99"/>
      <c r="X906" s="99"/>
      <c r="Y906" s="99"/>
    </row>
    <row r="907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99"/>
      <c r="U907" s="99"/>
      <c r="V907" s="99"/>
      <c r="W907" s="99"/>
      <c r="X907" s="99"/>
      <c r="Y907" s="99"/>
    </row>
    <row r="908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99"/>
      <c r="U908" s="99"/>
      <c r="V908" s="99"/>
      <c r="W908" s="99"/>
      <c r="X908" s="99"/>
      <c r="Y908" s="99"/>
    </row>
    <row r="909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99"/>
      <c r="U909" s="99"/>
      <c r="V909" s="99"/>
      <c r="W909" s="99"/>
      <c r="X909" s="99"/>
      <c r="Y909" s="99"/>
    </row>
    <row r="910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99"/>
      <c r="U910" s="99"/>
      <c r="V910" s="99"/>
      <c r="W910" s="99"/>
      <c r="X910" s="99"/>
      <c r="Y910" s="99"/>
    </row>
    <row r="91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99"/>
      <c r="U911" s="99"/>
      <c r="V911" s="99"/>
      <c r="W911" s="99"/>
      <c r="X911" s="99"/>
      <c r="Y911" s="99"/>
    </row>
    <row r="912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99"/>
      <c r="U912" s="99"/>
      <c r="V912" s="99"/>
      <c r="W912" s="99"/>
      <c r="X912" s="99"/>
      <c r="Y912" s="99"/>
    </row>
    <row r="913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99"/>
      <c r="U913" s="99"/>
      <c r="V913" s="99"/>
      <c r="W913" s="99"/>
      <c r="X913" s="99"/>
      <c r="Y913" s="99"/>
    </row>
    <row r="914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99"/>
      <c r="U914" s="99"/>
      <c r="V914" s="99"/>
      <c r="W914" s="99"/>
      <c r="X914" s="99"/>
      <c r="Y914" s="99"/>
    </row>
    <row r="915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99"/>
      <c r="U915" s="99"/>
      <c r="V915" s="99"/>
      <c r="W915" s="99"/>
      <c r="X915" s="99"/>
      <c r="Y915" s="99"/>
    </row>
    <row r="916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99"/>
      <c r="U916" s="99"/>
      <c r="V916" s="99"/>
      <c r="W916" s="99"/>
      <c r="X916" s="99"/>
      <c r="Y916" s="99"/>
    </row>
    <row r="917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99"/>
      <c r="U917" s="99"/>
      <c r="V917" s="99"/>
      <c r="W917" s="99"/>
      <c r="X917" s="99"/>
      <c r="Y917" s="99"/>
    </row>
    <row r="918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99"/>
      <c r="U918" s="99"/>
      <c r="V918" s="99"/>
      <c r="W918" s="99"/>
      <c r="X918" s="99"/>
      <c r="Y918" s="99"/>
    </row>
    <row r="919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99"/>
      <c r="U919" s="99"/>
      <c r="V919" s="99"/>
      <c r="W919" s="99"/>
      <c r="X919" s="99"/>
      <c r="Y919" s="99"/>
    </row>
    <row r="920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99"/>
      <c r="U920" s="99"/>
      <c r="V920" s="99"/>
      <c r="W920" s="99"/>
      <c r="X920" s="99"/>
      <c r="Y920" s="99"/>
    </row>
    <row r="92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99"/>
      <c r="U921" s="99"/>
      <c r="V921" s="99"/>
      <c r="W921" s="99"/>
      <c r="X921" s="99"/>
      <c r="Y921" s="99"/>
    </row>
    <row r="922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99"/>
      <c r="U922" s="99"/>
      <c r="V922" s="99"/>
      <c r="W922" s="99"/>
      <c r="X922" s="99"/>
      <c r="Y922" s="99"/>
    </row>
    <row r="923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99"/>
      <c r="U923" s="99"/>
      <c r="V923" s="99"/>
      <c r="W923" s="99"/>
      <c r="X923" s="99"/>
      <c r="Y923" s="99"/>
    </row>
    <row r="924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99"/>
      <c r="U924" s="99"/>
      <c r="V924" s="99"/>
      <c r="W924" s="99"/>
      <c r="X924" s="99"/>
      <c r="Y924" s="99"/>
    </row>
    <row r="925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99"/>
      <c r="U925" s="99"/>
      <c r="V925" s="99"/>
      <c r="W925" s="99"/>
      <c r="X925" s="99"/>
      <c r="Y925" s="99"/>
    </row>
    <row r="926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99"/>
      <c r="U926" s="99"/>
      <c r="V926" s="99"/>
      <c r="W926" s="99"/>
      <c r="X926" s="99"/>
      <c r="Y926" s="99"/>
    </row>
    <row r="927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99"/>
      <c r="U927" s="99"/>
      <c r="V927" s="99"/>
      <c r="W927" s="99"/>
      <c r="X927" s="99"/>
      <c r="Y927" s="99"/>
    </row>
    <row r="928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99"/>
      <c r="U928" s="99"/>
      <c r="V928" s="99"/>
      <c r="W928" s="99"/>
      <c r="X928" s="99"/>
      <c r="Y928" s="99"/>
    </row>
    <row r="929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99"/>
      <c r="U929" s="99"/>
      <c r="V929" s="99"/>
      <c r="W929" s="99"/>
      <c r="X929" s="99"/>
      <c r="Y929" s="99"/>
    </row>
    <row r="930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99"/>
      <c r="U930" s="99"/>
      <c r="V930" s="99"/>
      <c r="W930" s="99"/>
      <c r="X930" s="99"/>
      <c r="Y930" s="99"/>
    </row>
    <row r="93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99"/>
      <c r="U931" s="99"/>
      <c r="V931" s="99"/>
      <c r="W931" s="99"/>
      <c r="X931" s="99"/>
      <c r="Y931" s="99"/>
    </row>
    <row r="932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99"/>
      <c r="U932" s="99"/>
      <c r="V932" s="99"/>
      <c r="W932" s="99"/>
      <c r="X932" s="99"/>
      <c r="Y932" s="99"/>
    </row>
    <row r="933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99"/>
      <c r="U933" s="99"/>
      <c r="V933" s="99"/>
      <c r="W933" s="99"/>
      <c r="X933" s="99"/>
      <c r="Y933" s="99"/>
    </row>
    <row r="934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99"/>
      <c r="U934" s="99"/>
      <c r="V934" s="99"/>
      <c r="W934" s="99"/>
      <c r="X934" s="99"/>
      <c r="Y934" s="99"/>
    </row>
    <row r="935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99"/>
      <c r="U935" s="99"/>
      <c r="V935" s="99"/>
      <c r="W935" s="99"/>
      <c r="X935" s="99"/>
      <c r="Y935" s="99"/>
    </row>
    <row r="936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99"/>
      <c r="U936" s="99"/>
      <c r="V936" s="99"/>
      <c r="W936" s="99"/>
      <c r="X936" s="99"/>
      <c r="Y936" s="99"/>
    </row>
    <row r="937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99"/>
      <c r="U937" s="99"/>
      <c r="V937" s="99"/>
      <c r="W937" s="99"/>
      <c r="X937" s="99"/>
      <c r="Y937" s="99"/>
    </row>
    <row r="938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99"/>
      <c r="U938" s="99"/>
      <c r="V938" s="99"/>
      <c r="W938" s="99"/>
      <c r="X938" s="99"/>
      <c r="Y938" s="99"/>
    </row>
    <row r="939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99"/>
      <c r="U939" s="99"/>
      <c r="V939" s="99"/>
      <c r="W939" s="99"/>
      <c r="X939" s="99"/>
      <c r="Y939" s="99"/>
    </row>
    <row r="940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99"/>
      <c r="U940" s="99"/>
      <c r="V940" s="99"/>
      <c r="W940" s="99"/>
      <c r="X940" s="99"/>
      <c r="Y940" s="99"/>
    </row>
    <row r="94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99"/>
      <c r="U941" s="99"/>
      <c r="V941" s="99"/>
      <c r="W941" s="99"/>
      <c r="X941" s="99"/>
      <c r="Y941" s="99"/>
    </row>
    <row r="942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99"/>
      <c r="U942" s="99"/>
      <c r="V942" s="99"/>
      <c r="W942" s="99"/>
      <c r="X942" s="99"/>
      <c r="Y942" s="99"/>
    </row>
    <row r="943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99"/>
      <c r="U943" s="99"/>
      <c r="V943" s="99"/>
      <c r="W943" s="99"/>
      <c r="X943" s="99"/>
      <c r="Y943" s="99"/>
    </row>
    <row r="944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99"/>
      <c r="U944" s="99"/>
      <c r="V944" s="99"/>
      <c r="W944" s="99"/>
      <c r="X944" s="99"/>
      <c r="Y944" s="99"/>
    </row>
    <row r="945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99"/>
      <c r="U945" s="99"/>
      <c r="V945" s="99"/>
      <c r="W945" s="99"/>
      <c r="X945" s="99"/>
      <c r="Y945" s="99"/>
    </row>
    <row r="946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99"/>
      <c r="U946" s="99"/>
      <c r="V946" s="99"/>
      <c r="W946" s="99"/>
      <c r="X946" s="99"/>
      <c r="Y946" s="99"/>
    </row>
    <row r="947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99"/>
      <c r="U947" s="99"/>
      <c r="V947" s="99"/>
      <c r="W947" s="99"/>
      <c r="X947" s="99"/>
      <c r="Y947" s="99"/>
    </row>
    <row r="948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99"/>
      <c r="U948" s="99"/>
      <c r="V948" s="99"/>
      <c r="W948" s="99"/>
      <c r="X948" s="99"/>
      <c r="Y948" s="99"/>
    </row>
    <row r="949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99"/>
      <c r="U949" s="99"/>
      <c r="V949" s="99"/>
      <c r="W949" s="99"/>
      <c r="X949" s="99"/>
      <c r="Y949" s="99"/>
    </row>
    <row r="950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99"/>
      <c r="U950" s="99"/>
      <c r="V950" s="99"/>
      <c r="W950" s="99"/>
      <c r="X950" s="99"/>
      <c r="Y950" s="99"/>
    </row>
    <row r="95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99"/>
      <c r="U951" s="99"/>
      <c r="V951" s="99"/>
      <c r="W951" s="99"/>
      <c r="X951" s="99"/>
      <c r="Y951" s="99"/>
    </row>
    <row r="952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99"/>
      <c r="U952" s="99"/>
      <c r="V952" s="99"/>
      <c r="W952" s="99"/>
      <c r="X952" s="99"/>
      <c r="Y952" s="99"/>
    </row>
    <row r="953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99"/>
      <c r="U953" s="99"/>
      <c r="V953" s="99"/>
      <c r="W953" s="99"/>
      <c r="X953" s="99"/>
      <c r="Y953" s="99"/>
    </row>
    <row r="954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99"/>
      <c r="U954" s="99"/>
      <c r="V954" s="99"/>
      <c r="W954" s="99"/>
      <c r="X954" s="99"/>
      <c r="Y954" s="99"/>
    </row>
    <row r="955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99"/>
      <c r="U955" s="99"/>
      <c r="V955" s="99"/>
      <c r="W955" s="99"/>
      <c r="X955" s="99"/>
      <c r="Y955" s="99"/>
    </row>
    <row r="956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99"/>
      <c r="U956" s="99"/>
      <c r="V956" s="99"/>
      <c r="W956" s="99"/>
      <c r="X956" s="99"/>
      <c r="Y956" s="99"/>
    </row>
    <row r="957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99"/>
      <c r="U957" s="99"/>
      <c r="V957" s="99"/>
      <c r="W957" s="99"/>
      <c r="X957" s="99"/>
      <c r="Y957" s="99"/>
    </row>
    <row r="958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99"/>
      <c r="U958" s="99"/>
      <c r="V958" s="99"/>
      <c r="W958" s="99"/>
      <c r="X958" s="99"/>
      <c r="Y958" s="99"/>
    </row>
    <row r="959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99"/>
      <c r="U959" s="99"/>
      <c r="V959" s="99"/>
      <c r="W959" s="99"/>
      <c r="X959" s="99"/>
      <c r="Y959" s="99"/>
    </row>
    <row r="960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99"/>
      <c r="U960" s="99"/>
      <c r="V960" s="99"/>
      <c r="W960" s="99"/>
      <c r="X960" s="99"/>
      <c r="Y960" s="99"/>
    </row>
    <row r="96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99"/>
      <c r="U961" s="99"/>
      <c r="V961" s="99"/>
      <c r="W961" s="99"/>
      <c r="X961" s="99"/>
      <c r="Y961" s="99"/>
    </row>
    <row r="962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99"/>
      <c r="U962" s="99"/>
      <c r="V962" s="99"/>
      <c r="W962" s="99"/>
      <c r="X962" s="99"/>
      <c r="Y962" s="99"/>
    </row>
    <row r="963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99"/>
      <c r="U963" s="99"/>
      <c r="V963" s="99"/>
      <c r="W963" s="99"/>
      <c r="X963" s="99"/>
      <c r="Y963" s="99"/>
    </row>
    <row r="964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99"/>
      <c r="U964" s="99"/>
      <c r="V964" s="99"/>
      <c r="W964" s="99"/>
      <c r="X964" s="99"/>
      <c r="Y964" s="99"/>
    </row>
    <row r="965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99"/>
      <c r="U965" s="99"/>
      <c r="V965" s="99"/>
      <c r="W965" s="99"/>
      <c r="X965" s="99"/>
      <c r="Y965" s="99"/>
    </row>
    <row r="966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99"/>
      <c r="U966" s="99"/>
      <c r="V966" s="99"/>
      <c r="W966" s="99"/>
      <c r="X966" s="99"/>
      <c r="Y966" s="99"/>
    </row>
    <row r="967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99"/>
      <c r="U967" s="99"/>
      <c r="V967" s="99"/>
      <c r="W967" s="99"/>
      <c r="X967" s="99"/>
      <c r="Y967" s="99"/>
    </row>
    <row r="968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99"/>
      <c r="U968" s="99"/>
      <c r="V968" s="99"/>
      <c r="W968" s="99"/>
      <c r="X968" s="99"/>
      <c r="Y968" s="99"/>
    </row>
    <row r="969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99"/>
      <c r="U969" s="99"/>
      <c r="V969" s="99"/>
      <c r="W969" s="99"/>
      <c r="X969" s="99"/>
      <c r="Y969" s="99"/>
    </row>
    <row r="970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99"/>
      <c r="U970" s="99"/>
      <c r="V970" s="99"/>
      <c r="W970" s="99"/>
      <c r="X970" s="99"/>
      <c r="Y970" s="99"/>
    </row>
    <row r="97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99"/>
      <c r="U971" s="99"/>
      <c r="V971" s="99"/>
      <c r="W971" s="99"/>
      <c r="X971" s="99"/>
      <c r="Y971" s="99"/>
    </row>
    <row r="972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99"/>
      <c r="U972" s="99"/>
      <c r="V972" s="99"/>
      <c r="W972" s="99"/>
      <c r="X972" s="99"/>
      <c r="Y972" s="99"/>
    </row>
    <row r="973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99"/>
      <c r="U973" s="99"/>
      <c r="V973" s="99"/>
      <c r="W973" s="99"/>
      <c r="X973" s="99"/>
      <c r="Y973" s="99"/>
    </row>
    <row r="974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99"/>
      <c r="U974" s="99"/>
      <c r="V974" s="99"/>
      <c r="W974" s="99"/>
      <c r="X974" s="99"/>
      <c r="Y974" s="99"/>
    </row>
    <row r="975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99"/>
      <c r="U975" s="99"/>
      <c r="V975" s="99"/>
      <c r="W975" s="99"/>
      <c r="X975" s="99"/>
      <c r="Y975" s="99"/>
    </row>
    <row r="976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99"/>
      <c r="U976" s="99"/>
      <c r="V976" s="99"/>
      <c r="W976" s="99"/>
      <c r="X976" s="99"/>
      <c r="Y976" s="99"/>
    </row>
    <row r="977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99"/>
      <c r="U977" s="99"/>
      <c r="V977" s="99"/>
      <c r="W977" s="99"/>
      <c r="X977" s="99"/>
      <c r="Y977" s="99"/>
    </row>
    <row r="978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99"/>
      <c r="U978" s="99"/>
      <c r="V978" s="99"/>
      <c r="W978" s="99"/>
      <c r="X978" s="99"/>
      <c r="Y978" s="99"/>
    </row>
    <row r="979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99"/>
      <c r="U979" s="99"/>
      <c r="V979" s="99"/>
      <c r="W979" s="99"/>
      <c r="X979" s="99"/>
      <c r="Y979" s="99"/>
    </row>
    <row r="980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99"/>
      <c r="U980" s="99"/>
      <c r="V980" s="99"/>
      <c r="W980" s="99"/>
      <c r="X980" s="99"/>
      <c r="Y980" s="99"/>
    </row>
    <row r="98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99"/>
      <c r="U981" s="99"/>
      <c r="V981" s="99"/>
      <c r="W981" s="99"/>
      <c r="X981" s="99"/>
      <c r="Y981" s="99"/>
    </row>
    <row r="982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99"/>
      <c r="U982" s="99"/>
      <c r="V982" s="99"/>
      <c r="W982" s="99"/>
      <c r="X982" s="99"/>
      <c r="Y982" s="99"/>
    </row>
    <row r="983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99"/>
      <c r="U983" s="99"/>
      <c r="V983" s="99"/>
      <c r="W983" s="99"/>
      <c r="X983" s="99"/>
      <c r="Y983" s="99"/>
    </row>
    <row r="984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99"/>
      <c r="U984" s="99"/>
      <c r="V984" s="99"/>
      <c r="W984" s="99"/>
      <c r="X984" s="99"/>
      <c r="Y984" s="99"/>
    </row>
    <row r="985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99"/>
      <c r="U985" s="99"/>
      <c r="V985" s="99"/>
      <c r="W985" s="99"/>
      <c r="X985" s="99"/>
      <c r="Y985" s="99"/>
    </row>
    <row r="986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99"/>
      <c r="U986" s="99"/>
      <c r="V986" s="99"/>
      <c r="W986" s="99"/>
      <c r="X986" s="99"/>
      <c r="Y986" s="99"/>
    </row>
    <row r="987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99"/>
      <c r="U987" s="99"/>
      <c r="V987" s="99"/>
      <c r="W987" s="99"/>
      <c r="X987" s="99"/>
      <c r="Y987" s="99"/>
    </row>
    <row r="988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99"/>
      <c r="U988" s="99"/>
      <c r="V988" s="99"/>
      <c r="W988" s="99"/>
      <c r="X988" s="99"/>
      <c r="Y988" s="99"/>
    </row>
    <row r="989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99"/>
      <c r="U989" s="99"/>
      <c r="V989" s="99"/>
      <c r="W989" s="99"/>
      <c r="X989" s="99"/>
      <c r="Y989" s="99"/>
    </row>
    <row r="990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99"/>
      <c r="U990" s="99"/>
      <c r="V990" s="99"/>
      <c r="W990" s="99"/>
      <c r="X990" s="99"/>
      <c r="Y990" s="99"/>
    </row>
    <row r="991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99"/>
      <c r="U991" s="99"/>
      <c r="V991" s="99"/>
      <c r="W991" s="99"/>
      <c r="X991" s="99"/>
      <c r="Y991" s="99"/>
    </row>
    <row r="992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99"/>
      <c r="U992" s="99"/>
      <c r="V992" s="99"/>
      <c r="W992" s="99"/>
      <c r="X992" s="99"/>
      <c r="Y992" s="99"/>
    </row>
    <row r="993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99"/>
      <c r="U993" s="99"/>
      <c r="V993" s="99"/>
      <c r="W993" s="99"/>
      <c r="X993" s="99"/>
      <c r="Y993" s="99"/>
    </row>
    <row r="994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99"/>
      <c r="U994" s="99"/>
      <c r="V994" s="99"/>
      <c r="W994" s="99"/>
      <c r="X994" s="99"/>
      <c r="Y994" s="99"/>
    </row>
    <row r="995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99"/>
      <c r="U995" s="99"/>
      <c r="V995" s="99"/>
      <c r="W995" s="99"/>
      <c r="X995" s="99"/>
      <c r="Y995" s="99"/>
    </row>
    <row r="996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99"/>
      <c r="U996" s="99"/>
      <c r="V996" s="99"/>
      <c r="W996" s="99"/>
      <c r="X996" s="99"/>
      <c r="Y996" s="99"/>
    </row>
    <row r="997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99"/>
      <c r="U997" s="99"/>
      <c r="V997" s="99"/>
      <c r="W997" s="99"/>
      <c r="X997" s="99"/>
      <c r="Y997" s="99"/>
    </row>
    <row r="998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99"/>
      <c r="U998" s="99"/>
      <c r="V998" s="99"/>
      <c r="W998" s="99"/>
      <c r="X998" s="99"/>
      <c r="Y998" s="99"/>
    </row>
    <row r="999">
      <c r="A999" s="105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99"/>
      <c r="U999" s="99"/>
      <c r="V999" s="99"/>
      <c r="W999" s="99"/>
      <c r="X999" s="99"/>
      <c r="Y999" s="99"/>
    </row>
    <row r="1000">
      <c r="A1000" s="105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99"/>
      <c r="U1000" s="99"/>
      <c r="V1000" s="99"/>
      <c r="W1000" s="99"/>
      <c r="X1000" s="99"/>
      <c r="Y1000" s="99"/>
    </row>
    <row r="1001">
      <c r="A1001" s="105"/>
      <c r="B1001" s="105"/>
      <c r="C1001" s="105"/>
      <c r="D1001" s="105"/>
      <c r="E1001" s="105"/>
      <c r="F1001" s="105"/>
      <c r="G1001" s="105"/>
      <c r="H1001" s="105"/>
      <c r="I1001" s="105"/>
      <c r="J1001" s="105"/>
      <c r="K1001" s="105"/>
      <c r="L1001" s="105"/>
      <c r="M1001" s="105"/>
      <c r="N1001" s="105"/>
      <c r="O1001" s="105"/>
      <c r="P1001" s="105"/>
      <c r="Q1001" s="105"/>
      <c r="R1001" s="105"/>
      <c r="S1001" s="105"/>
      <c r="T1001" s="99"/>
      <c r="U1001" s="99"/>
      <c r="V1001" s="99"/>
      <c r="W1001" s="99"/>
      <c r="X1001" s="99"/>
      <c r="Y1001" s="99"/>
    </row>
    <row r="1002">
      <c r="A1002" s="105"/>
      <c r="B1002" s="105"/>
      <c r="C1002" s="105"/>
      <c r="D1002" s="105"/>
      <c r="E1002" s="105"/>
      <c r="F1002" s="105"/>
      <c r="G1002" s="105"/>
      <c r="H1002" s="105"/>
      <c r="I1002" s="105"/>
      <c r="J1002" s="105"/>
      <c r="K1002" s="105"/>
      <c r="L1002" s="105"/>
      <c r="M1002" s="105"/>
      <c r="N1002" s="105"/>
      <c r="O1002" s="105"/>
      <c r="P1002" s="105"/>
      <c r="Q1002" s="105"/>
      <c r="R1002" s="105"/>
      <c r="S1002" s="105"/>
      <c r="T1002" s="99"/>
      <c r="U1002" s="99"/>
      <c r="V1002" s="99"/>
      <c r="W1002" s="99"/>
      <c r="X1002" s="99"/>
      <c r="Y1002" s="99"/>
    </row>
    <row r="1003">
      <c r="A1003" s="105"/>
      <c r="B1003" s="105"/>
      <c r="C1003" s="105"/>
      <c r="D1003" s="105"/>
      <c r="E1003" s="105"/>
      <c r="F1003" s="105"/>
      <c r="G1003" s="105"/>
      <c r="H1003" s="105"/>
      <c r="I1003" s="105"/>
      <c r="J1003" s="105"/>
      <c r="K1003" s="105"/>
      <c r="L1003" s="105"/>
      <c r="M1003" s="105"/>
      <c r="N1003" s="105"/>
      <c r="O1003" s="105"/>
      <c r="P1003" s="105"/>
      <c r="Q1003" s="105"/>
      <c r="R1003" s="105"/>
      <c r="S1003" s="105"/>
      <c r="T1003" s="99"/>
      <c r="U1003" s="99"/>
      <c r="V1003" s="99"/>
      <c r="W1003" s="99"/>
      <c r="X1003" s="99"/>
      <c r="Y1003" s="99"/>
    </row>
    <row r="1004">
      <c r="A1004" s="105"/>
      <c r="B1004" s="105"/>
      <c r="C1004" s="105"/>
      <c r="D1004" s="105"/>
      <c r="E1004" s="105"/>
      <c r="F1004" s="105"/>
      <c r="G1004" s="105"/>
      <c r="H1004" s="105"/>
      <c r="I1004" s="105"/>
      <c r="J1004" s="105"/>
      <c r="K1004" s="105"/>
      <c r="L1004" s="105"/>
      <c r="M1004" s="105"/>
      <c r="N1004" s="105"/>
      <c r="O1004" s="105"/>
      <c r="P1004" s="105"/>
      <c r="Q1004" s="105"/>
      <c r="R1004" s="105"/>
      <c r="S1004" s="105"/>
      <c r="T1004" s="99"/>
      <c r="U1004" s="99"/>
      <c r="V1004" s="99"/>
      <c r="W1004" s="99"/>
      <c r="X1004" s="99"/>
      <c r="Y1004" s="99"/>
    </row>
    <row r="1005">
      <c r="A1005" s="105"/>
      <c r="B1005" s="105"/>
      <c r="C1005" s="105"/>
      <c r="D1005" s="105"/>
      <c r="E1005" s="105"/>
      <c r="F1005" s="105"/>
      <c r="G1005" s="105"/>
      <c r="H1005" s="105"/>
      <c r="I1005" s="105"/>
      <c r="J1005" s="105"/>
      <c r="K1005" s="105"/>
      <c r="L1005" s="105"/>
      <c r="M1005" s="105"/>
      <c r="N1005" s="105"/>
      <c r="O1005" s="105"/>
      <c r="P1005" s="105"/>
      <c r="Q1005" s="105"/>
      <c r="R1005" s="105"/>
      <c r="S1005" s="105"/>
      <c r="T1005" s="99"/>
      <c r="U1005" s="99"/>
      <c r="V1005" s="99"/>
      <c r="W1005" s="99"/>
      <c r="X1005" s="99"/>
      <c r="Y1005" s="99"/>
    </row>
    <row r="1006">
      <c r="A1006" s="105"/>
      <c r="B1006" s="105"/>
      <c r="C1006" s="105"/>
      <c r="D1006" s="105"/>
      <c r="E1006" s="105"/>
      <c r="F1006" s="105"/>
      <c r="G1006" s="105"/>
      <c r="H1006" s="105"/>
      <c r="I1006" s="105"/>
      <c r="J1006" s="105"/>
      <c r="K1006" s="105"/>
      <c r="L1006" s="105"/>
      <c r="M1006" s="105"/>
      <c r="N1006" s="105"/>
      <c r="O1006" s="105"/>
      <c r="P1006" s="105"/>
      <c r="Q1006" s="105"/>
      <c r="R1006" s="105"/>
      <c r="S1006" s="105"/>
      <c r="T1006" s="99"/>
      <c r="U1006" s="99"/>
      <c r="V1006" s="99"/>
      <c r="W1006" s="99"/>
      <c r="X1006" s="99"/>
      <c r="Y1006" s="99"/>
    </row>
    <row r="1007">
      <c r="A1007" s="105"/>
      <c r="B1007" s="105"/>
      <c r="C1007" s="105"/>
      <c r="D1007" s="105"/>
      <c r="E1007" s="105"/>
      <c r="F1007" s="105"/>
      <c r="G1007" s="105"/>
      <c r="H1007" s="105"/>
      <c r="I1007" s="105"/>
      <c r="J1007" s="105"/>
      <c r="K1007" s="105"/>
      <c r="L1007" s="105"/>
      <c r="M1007" s="105"/>
      <c r="N1007" s="105"/>
      <c r="O1007" s="105"/>
      <c r="P1007" s="105"/>
      <c r="Q1007" s="105"/>
      <c r="R1007" s="105"/>
      <c r="S1007" s="105"/>
      <c r="T1007" s="99"/>
      <c r="U1007" s="99"/>
      <c r="V1007" s="99"/>
      <c r="W1007" s="99"/>
      <c r="X1007" s="99"/>
      <c r="Y1007" s="99"/>
    </row>
    <row r="1008">
      <c r="A1008" s="105"/>
      <c r="B1008" s="105"/>
      <c r="C1008" s="105"/>
      <c r="D1008" s="105"/>
      <c r="E1008" s="105"/>
      <c r="F1008" s="105"/>
      <c r="G1008" s="105"/>
      <c r="H1008" s="105"/>
      <c r="I1008" s="105"/>
      <c r="J1008" s="105"/>
      <c r="K1008" s="105"/>
      <c r="L1008" s="105"/>
      <c r="M1008" s="105"/>
      <c r="N1008" s="105"/>
      <c r="O1008" s="105"/>
      <c r="P1008" s="105"/>
      <c r="Q1008" s="105"/>
      <c r="R1008" s="105"/>
      <c r="S1008" s="105"/>
      <c r="T1008" s="99"/>
      <c r="U1008" s="99"/>
      <c r="V1008" s="99"/>
      <c r="W1008" s="99"/>
      <c r="X1008" s="99"/>
      <c r="Y1008" s="99"/>
    </row>
    <row r="1009">
      <c r="A1009" s="105"/>
      <c r="B1009" s="105"/>
      <c r="C1009" s="105"/>
      <c r="D1009" s="105"/>
      <c r="E1009" s="105"/>
      <c r="F1009" s="105"/>
      <c r="G1009" s="105"/>
      <c r="H1009" s="105"/>
      <c r="I1009" s="105"/>
      <c r="J1009" s="105"/>
      <c r="K1009" s="105"/>
      <c r="L1009" s="105"/>
      <c r="M1009" s="105"/>
      <c r="N1009" s="105"/>
      <c r="O1009" s="105"/>
      <c r="P1009" s="105"/>
      <c r="Q1009" s="105"/>
      <c r="R1009" s="105"/>
      <c r="S1009" s="105"/>
      <c r="T1009" s="99"/>
      <c r="U1009" s="99"/>
      <c r="V1009" s="99"/>
      <c r="W1009" s="99"/>
      <c r="X1009" s="99"/>
      <c r="Y1009" s="99"/>
    </row>
    <row r="1010">
      <c r="A1010" s="105"/>
      <c r="B1010" s="105"/>
      <c r="C1010" s="105"/>
      <c r="D1010" s="105"/>
      <c r="E1010" s="105"/>
      <c r="F1010" s="105"/>
      <c r="G1010" s="105"/>
      <c r="H1010" s="105"/>
      <c r="I1010" s="105"/>
      <c r="J1010" s="105"/>
      <c r="K1010" s="105"/>
      <c r="L1010" s="105"/>
      <c r="M1010" s="105"/>
      <c r="N1010" s="105"/>
      <c r="O1010" s="105"/>
      <c r="P1010" s="105"/>
      <c r="Q1010" s="105"/>
      <c r="R1010" s="105"/>
      <c r="S1010" s="105"/>
      <c r="T1010" s="99"/>
      <c r="U1010" s="99"/>
      <c r="V1010" s="99"/>
      <c r="W1010" s="99"/>
      <c r="X1010" s="99"/>
      <c r="Y1010" s="99"/>
    </row>
    <row r="1011">
      <c r="A1011" s="105"/>
      <c r="B1011" s="105"/>
      <c r="C1011" s="105"/>
      <c r="D1011" s="105"/>
      <c r="E1011" s="105"/>
      <c r="F1011" s="105"/>
      <c r="G1011" s="105"/>
      <c r="H1011" s="105"/>
      <c r="I1011" s="105"/>
      <c r="J1011" s="105"/>
      <c r="K1011" s="105"/>
      <c r="L1011" s="105"/>
      <c r="M1011" s="105"/>
      <c r="N1011" s="105"/>
      <c r="O1011" s="105"/>
      <c r="P1011" s="105"/>
      <c r="Q1011" s="105"/>
      <c r="R1011" s="105"/>
      <c r="S1011" s="105"/>
      <c r="T1011" s="99"/>
      <c r="U1011" s="99"/>
      <c r="V1011" s="99"/>
      <c r="W1011" s="99"/>
      <c r="X1011" s="99"/>
      <c r="Y1011" s="99"/>
    </row>
    <row r="1012">
      <c r="A1012" s="105"/>
      <c r="B1012" s="105"/>
      <c r="C1012" s="105"/>
      <c r="D1012" s="105"/>
      <c r="E1012" s="105"/>
      <c r="F1012" s="105"/>
      <c r="G1012" s="105"/>
      <c r="H1012" s="105"/>
      <c r="I1012" s="105"/>
      <c r="J1012" s="105"/>
      <c r="K1012" s="105"/>
      <c r="L1012" s="105"/>
      <c r="M1012" s="105"/>
      <c r="N1012" s="105"/>
      <c r="O1012" s="105"/>
      <c r="P1012" s="105"/>
      <c r="Q1012" s="105"/>
      <c r="R1012" s="105"/>
      <c r="S1012" s="105"/>
      <c r="T1012" s="99"/>
      <c r="U1012" s="99"/>
      <c r="V1012" s="99"/>
      <c r="W1012" s="99"/>
      <c r="X1012" s="99"/>
      <c r="Y1012" s="99"/>
    </row>
    <row r="1013">
      <c r="A1013" s="105"/>
      <c r="B1013" s="105"/>
      <c r="C1013" s="105"/>
      <c r="D1013" s="105"/>
      <c r="E1013" s="105"/>
      <c r="F1013" s="105"/>
      <c r="G1013" s="105"/>
      <c r="H1013" s="105"/>
      <c r="I1013" s="105"/>
      <c r="J1013" s="105"/>
      <c r="K1013" s="105"/>
      <c r="L1013" s="105"/>
      <c r="M1013" s="105"/>
      <c r="N1013" s="105"/>
      <c r="O1013" s="105"/>
      <c r="P1013" s="105"/>
      <c r="Q1013" s="105"/>
      <c r="R1013" s="105"/>
      <c r="S1013" s="105"/>
      <c r="T1013" s="99"/>
      <c r="U1013" s="99"/>
      <c r="V1013" s="99"/>
      <c r="W1013" s="99"/>
      <c r="X1013" s="99"/>
      <c r="Y1013" s="99"/>
    </row>
    <row r="1014">
      <c r="A1014" s="105"/>
      <c r="B1014" s="105"/>
      <c r="C1014" s="105"/>
      <c r="D1014" s="105"/>
      <c r="E1014" s="105"/>
      <c r="F1014" s="105"/>
      <c r="G1014" s="105"/>
      <c r="H1014" s="105"/>
      <c r="I1014" s="105"/>
      <c r="J1014" s="105"/>
      <c r="K1014" s="105"/>
      <c r="L1014" s="105"/>
      <c r="M1014" s="105"/>
      <c r="N1014" s="105"/>
      <c r="O1014" s="105"/>
      <c r="P1014" s="105"/>
      <c r="Q1014" s="105"/>
      <c r="R1014" s="105"/>
      <c r="S1014" s="105"/>
      <c r="T1014" s="99"/>
      <c r="U1014" s="99"/>
      <c r="V1014" s="99"/>
      <c r="W1014" s="99"/>
      <c r="X1014" s="99"/>
      <c r="Y1014" s="9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26.13"/>
    <col customWidth="1" min="2" max="2" width="16.0"/>
    <col customWidth="1" min="8" max="8" width="3.25"/>
    <col customWidth="1" min="9" max="9" width="11.13"/>
  </cols>
  <sheetData>
    <row r="1">
      <c r="A1" s="124" t="s">
        <v>97</v>
      </c>
      <c r="B1" s="124" t="s">
        <v>98</v>
      </c>
      <c r="C1" s="125">
        <v>46143.0</v>
      </c>
      <c r="D1" s="125">
        <v>46174.0</v>
      </c>
      <c r="E1" s="125">
        <v>46204.0</v>
      </c>
      <c r="F1" s="125">
        <v>46235.0</v>
      </c>
      <c r="G1" s="126" t="s">
        <v>99</v>
      </c>
      <c r="H1" s="127"/>
      <c r="I1" s="128" t="s">
        <v>11</v>
      </c>
      <c r="J1" s="125">
        <v>46143.0</v>
      </c>
      <c r="K1" s="125">
        <v>46174.0</v>
      </c>
      <c r="L1" s="125">
        <v>46204.0</v>
      </c>
      <c r="M1" s="125">
        <v>46235.0</v>
      </c>
      <c r="N1" s="126" t="s">
        <v>100</v>
      </c>
      <c r="O1" s="129">
        <v>46266.0</v>
      </c>
      <c r="P1" s="129">
        <v>46296.0</v>
      </c>
      <c r="Q1" s="129">
        <v>46327.0</v>
      </c>
      <c r="R1" s="129">
        <v>46357.0</v>
      </c>
      <c r="S1" s="127"/>
      <c r="T1" s="130" t="s">
        <v>101</v>
      </c>
      <c r="U1" s="130" t="s">
        <v>102</v>
      </c>
      <c r="V1" s="127"/>
      <c r="W1" s="127"/>
      <c r="X1" s="127"/>
      <c r="Y1" s="127"/>
    </row>
    <row r="2">
      <c r="A2" s="131" t="s">
        <v>21</v>
      </c>
      <c r="B2" s="127"/>
      <c r="C2" s="132">
        <f t="shared" ref="C2:F2" si="1">SUM(C6,C14,C22,C30,C38,C46)</f>
        <v>754220</v>
      </c>
      <c r="D2" s="132">
        <f t="shared" si="1"/>
        <v>656241</v>
      </c>
      <c r="E2" s="132">
        <f t="shared" si="1"/>
        <v>605360</v>
      </c>
      <c r="F2" s="132">
        <f t="shared" si="1"/>
        <v>562237</v>
      </c>
      <c r="G2" s="133">
        <f>F2-E2</f>
        <v>-43123</v>
      </c>
      <c r="H2" s="127"/>
      <c r="I2" s="130"/>
      <c r="J2" s="132">
        <f t="shared" ref="J2:M2" si="2">SUM(J6,J14,J22,J30,J38,J46)</f>
        <v>976664</v>
      </c>
      <c r="K2" s="132">
        <f t="shared" si="2"/>
        <v>842352</v>
      </c>
      <c r="L2" s="132">
        <f t="shared" si="2"/>
        <v>810565</v>
      </c>
      <c r="M2" s="132">
        <f t="shared" si="2"/>
        <v>562237</v>
      </c>
      <c r="N2" s="133">
        <f>M2-L2</f>
        <v>-248328</v>
      </c>
      <c r="O2" s="132">
        <f>M2*(R2/M2)^(1/4)</f>
        <v>718558.9145</v>
      </c>
      <c r="P2" s="133">
        <f>M2*(R2/M2)^(2/4)</f>
        <v>918343.8898</v>
      </c>
      <c r="Q2" s="133">
        <f>M2*(R2/M2)^(3/4)</f>
        <v>1173676.205</v>
      </c>
      <c r="R2" s="132">
        <v>1500000.0</v>
      </c>
      <c r="S2" s="130"/>
      <c r="T2" s="134">
        <f>R2/SUM(L2:M2)</f>
        <v>1.092655751</v>
      </c>
      <c r="U2" s="134">
        <f>T2^(1/4) -1</f>
        <v>0.02239999563</v>
      </c>
      <c r="V2" s="127"/>
      <c r="W2" s="127"/>
      <c r="X2" s="127"/>
      <c r="Y2" s="127"/>
    </row>
    <row r="3">
      <c r="A3" s="135" t="s">
        <v>32</v>
      </c>
      <c r="B3" s="135"/>
      <c r="C3" s="136">
        <f>C2-0</f>
        <v>754220</v>
      </c>
      <c r="D3" s="136">
        <f t="shared" ref="D3:F3" si="3">D2-C2</f>
        <v>-97979</v>
      </c>
      <c r="E3" s="136">
        <f t="shared" si="3"/>
        <v>-50881</v>
      </c>
      <c r="F3" s="136">
        <f t="shared" si="3"/>
        <v>-43123</v>
      </c>
      <c r="G3" s="137"/>
      <c r="H3" s="137"/>
      <c r="I3" s="138"/>
      <c r="J3" s="136">
        <f>J2-0</f>
        <v>976664</v>
      </c>
      <c r="K3" s="136">
        <f t="shared" ref="K3:M3" si="4">K2-J2</f>
        <v>-134312</v>
      </c>
      <c r="L3" s="136">
        <f t="shared" si="4"/>
        <v>-31787</v>
      </c>
      <c r="M3" s="136">
        <f t="shared" si="4"/>
        <v>-248328</v>
      </c>
      <c r="N3" s="137"/>
      <c r="O3" s="139">
        <f>O2-M2</f>
        <v>156321.9145</v>
      </c>
      <c r="P3" s="139">
        <f t="shared" ref="P3:R3" si="5">P2-O2</f>
        <v>199784.9753</v>
      </c>
      <c r="Q3" s="139">
        <f t="shared" si="5"/>
        <v>255332.3154</v>
      </c>
      <c r="R3" s="139">
        <f t="shared" si="5"/>
        <v>326323.7948</v>
      </c>
      <c r="S3" s="137"/>
      <c r="T3" s="137"/>
      <c r="U3" s="140"/>
      <c r="V3" s="137"/>
      <c r="W3" s="137"/>
      <c r="X3" s="137"/>
      <c r="Y3" s="137"/>
    </row>
    <row r="4">
      <c r="A4" s="135" t="s">
        <v>35</v>
      </c>
      <c r="B4" s="135"/>
      <c r="C4" s="136"/>
      <c r="D4" s="141">
        <f t="shared" ref="D4:F4" si="6">(D2/C2)-1</f>
        <v>-0.1299077192</v>
      </c>
      <c r="E4" s="141">
        <f t="shared" si="6"/>
        <v>-0.0775340157</v>
      </c>
      <c r="F4" s="141">
        <f t="shared" si="6"/>
        <v>-0.071235298</v>
      </c>
      <c r="G4" s="140">
        <f>F4-E4</f>
        <v>0.0062987177</v>
      </c>
      <c r="H4" s="137"/>
      <c r="I4" s="138"/>
      <c r="J4" s="136"/>
      <c r="K4" s="141">
        <f t="shared" ref="K4:M4" si="7">(K2/J2)-1</f>
        <v>-0.1375211946</v>
      </c>
      <c r="L4" s="141">
        <f t="shared" si="7"/>
        <v>-0.03773600585</v>
      </c>
      <c r="M4" s="141">
        <f t="shared" si="7"/>
        <v>-0.3063640794</v>
      </c>
      <c r="N4" s="140">
        <f>M4-L4</f>
        <v>-0.2686280735</v>
      </c>
      <c r="O4" s="140">
        <f>O2/M2-1</f>
        <v>0.2780356229</v>
      </c>
      <c r="P4" s="140">
        <f t="shared" ref="P4:R4" si="8">P2/O2-1</f>
        <v>0.2780356229</v>
      </c>
      <c r="Q4" s="140">
        <f t="shared" si="8"/>
        <v>0.2780356229</v>
      </c>
      <c r="R4" s="140">
        <f t="shared" si="8"/>
        <v>0.2780356229</v>
      </c>
      <c r="S4" s="138" t="s">
        <v>103</v>
      </c>
      <c r="T4" s="137"/>
      <c r="U4" s="137"/>
      <c r="V4" s="137"/>
      <c r="W4" s="137"/>
      <c r="X4" s="137"/>
      <c r="Y4" s="137"/>
    </row>
    <row r="5">
      <c r="A5" s="130"/>
      <c r="B5" s="130"/>
      <c r="C5" s="132"/>
      <c r="D5" s="132"/>
      <c r="E5" s="132"/>
      <c r="F5" s="132"/>
      <c r="G5" s="127"/>
      <c r="H5" s="127"/>
      <c r="I5" s="138"/>
      <c r="J5" s="136"/>
      <c r="K5" s="136"/>
      <c r="L5" s="136"/>
      <c r="M5" s="136"/>
      <c r="N5" s="137"/>
      <c r="O5" s="127"/>
      <c r="P5" s="127"/>
      <c r="Q5" s="127"/>
      <c r="R5" s="127"/>
      <c r="S5" s="130" t="s">
        <v>104</v>
      </c>
      <c r="T5" s="127"/>
      <c r="U5" s="127"/>
      <c r="V5" s="127"/>
      <c r="W5" s="127"/>
      <c r="X5" s="127"/>
      <c r="Y5" s="127"/>
    </row>
    <row r="6">
      <c r="A6" s="126" t="s">
        <v>105</v>
      </c>
      <c r="B6" s="126"/>
      <c r="C6" s="142">
        <v>274505.0</v>
      </c>
      <c r="D6" s="142">
        <v>314369.0</v>
      </c>
      <c r="E6" s="142">
        <v>303374.0</v>
      </c>
      <c r="F6" s="142">
        <v>290123.0</v>
      </c>
      <c r="G6" s="133">
        <f t="shared" ref="G6:G12" si="9">F6-E6</f>
        <v>-13251</v>
      </c>
      <c r="H6" s="143"/>
      <c r="I6" s="126"/>
      <c r="J6" s="142">
        <v>374701.0</v>
      </c>
      <c r="K6" s="142">
        <v>400451.0</v>
      </c>
      <c r="L6" s="142">
        <v>412039.0</v>
      </c>
      <c r="M6" s="142">
        <v>290123.0</v>
      </c>
      <c r="N6" s="133">
        <f t="shared" ref="N6:N12" si="10">M6-L6</f>
        <v>-121916</v>
      </c>
      <c r="O6" s="143"/>
      <c r="P6" s="143"/>
      <c r="Q6" s="143"/>
      <c r="R6" s="143"/>
      <c r="S6" s="130" t="s">
        <v>106</v>
      </c>
      <c r="T6" s="143"/>
      <c r="U6" s="143"/>
      <c r="V6" s="143"/>
      <c r="W6" s="143"/>
      <c r="X6" s="143"/>
      <c r="Y6" s="143"/>
    </row>
    <row r="7">
      <c r="A7" s="144" t="s">
        <v>107</v>
      </c>
      <c r="B7" s="130" t="s">
        <v>28</v>
      </c>
      <c r="C7" s="132">
        <v>257816.0</v>
      </c>
      <c r="D7" s="132">
        <v>297712.0</v>
      </c>
      <c r="E7" s="132">
        <v>288524.0</v>
      </c>
      <c r="F7" s="132">
        <v>267614.0</v>
      </c>
      <c r="G7" s="133">
        <f t="shared" si="9"/>
        <v>-20910</v>
      </c>
      <c r="H7" s="127"/>
      <c r="I7" s="130"/>
      <c r="J7" s="132">
        <v>352702.0</v>
      </c>
      <c r="K7" s="132">
        <v>379527.0</v>
      </c>
      <c r="L7" s="132">
        <v>389838.0</v>
      </c>
      <c r="M7" s="132">
        <v>267614.0</v>
      </c>
      <c r="N7" s="133">
        <f t="shared" si="10"/>
        <v>-122224</v>
      </c>
      <c r="O7" s="127"/>
      <c r="P7" s="127"/>
      <c r="Q7" s="127"/>
      <c r="R7" s="127"/>
      <c r="S7" s="130" t="s">
        <v>108</v>
      </c>
      <c r="T7" s="127"/>
      <c r="U7" s="127"/>
      <c r="V7" s="127"/>
      <c r="W7" s="127"/>
      <c r="X7" s="127"/>
      <c r="Y7" s="127"/>
    </row>
    <row r="8">
      <c r="A8" s="145">
        <f>IFERROR(__xludf.DUMMYFUNCTION("F6 / VALUE(REGEXREPLACE(A7, ""[^0-9]"", """"))"),0.0690261212584075)</f>
        <v>0.06902612126</v>
      </c>
      <c r="B8" s="130" t="s">
        <v>30</v>
      </c>
      <c r="C8" s="132">
        <v>9515.0</v>
      </c>
      <c r="D8" s="132">
        <v>10869.0</v>
      </c>
      <c r="E8" s="132">
        <v>11424.0</v>
      </c>
      <c r="F8" s="132">
        <v>10576.0</v>
      </c>
      <c r="G8" s="133">
        <f t="shared" si="9"/>
        <v>-848</v>
      </c>
      <c r="H8" s="127"/>
      <c r="I8" s="127"/>
      <c r="J8" s="132">
        <v>12886.0</v>
      </c>
      <c r="K8" s="132">
        <v>13805.0</v>
      </c>
      <c r="L8" s="132">
        <v>15061.0</v>
      </c>
      <c r="M8" s="132">
        <v>10576.0</v>
      </c>
      <c r="N8" s="133">
        <f t="shared" si="10"/>
        <v>-4485</v>
      </c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</row>
    <row r="9">
      <c r="A9" s="127"/>
      <c r="B9" s="130" t="s">
        <v>33</v>
      </c>
      <c r="C9" s="132">
        <v>2741.0</v>
      </c>
      <c r="D9" s="132">
        <v>3319.0</v>
      </c>
      <c r="E9" s="132">
        <v>2994.0</v>
      </c>
      <c r="F9" s="132">
        <v>2918.0</v>
      </c>
      <c r="G9" s="133">
        <f t="shared" si="9"/>
        <v>-76</v>
      </c>
      <c r="H9" s="127"/>
      <c r="I9" s="127"/>
      <c r="J9" s="132">
        <v>3765.0</v>
      </c>
      <c r="K9" s="132">
        <v>4136.0</v>
      </c>
      <c r="L9" s="132">
        <v>4127.0</v>
      </c>
      <c r="M9" s="132">
        <v>2918.0</v>
      </c>
      <c r="N9" s="133">
        <f t="shared" si="10"/>
        <v>-1209</v>
      </c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</row>
    <row r="10">
      <c r="A10" s="127"/>
      <c r="B10" s="130" t="s">
        <v>29</v>
      </c>
      <c r="C10" s="130">
        <v>77.0</v>
      </c>
      <c r="D10" s="130">
        <v>110.0</v>
      </c>
      <c r="E10" s="130">
        <v>38.0</v>
      </c>
      <c r="F10" s="132">
        <v>8165.0</v>
      </c>
      <c r="G10" s="133">
        <f t="shared" si="9"/>
        <v>8127</v>
      </c>
      <c r="H10" s="127"/>
      <c r="I10" s="127"/>
      <c r="J10" s="130">
        <v>118.0</v>
      </c>
      <c r="K10" s="130">
        <v>127.0</v>
      </c>
      <c r="L10" s="132">
        <v>2253.0</v>
      </c>
      <c r="M10" s="132">
        <v>8165.0</v>
      </c>
      <c r="N10" s="133">
        <f t="shared" si="10"/>
        <v>5912</v>
      </c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</row>
    <row r="11">
      <c r="A11" s="127"/>
      <c r="B11" s="130" t="s">
        <v>34</v>
      </c>
      <c r="C11" s="132">
        <v>4356.0</v>
      </c>
      <c r="D11" s="132">
        <v>2359.0</v>
      </c>
      <c r="E11" s="132">
        <v>394.0</v>
      </c>
      <c r="F11" s="132">
        <v>274.0</v>
      </c>
      <c r="G11" s="133">
        <f t="shared" si="9"/>
        <v>-120</v>
      </c>
      <c r="H11" s="127"/>
      <c r="I11" s="143"/>
      <c r="J11" s="132">
        <v>5230.0</v>
      </c>
      <c r="K11" s="132">
        <v>2856.0</v>
      </c>
      <c r="L11" s="130">
        <v>641.0</v>
      </c>
      <c r="M11" s="130">
        <v>274.0</v>
      </c>
      <c r="N11" s="127">
        <f t="shared" si="10"/>
        <v>-367</v>
      </c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</row>
    <row r="12">
      <c r="A12" s="130"/>
      <c r="B12" s="130" t="s">
        <v>31</v>
      </c>
      <c r="C12" s="132"/>
      <c r="D12" s="132"/>
      <c r="E12" s="132"/>
      <c r="F12" s="132">
        <v>576.0</v>
      </c>
      <c r="G12" s="133">
        <f t="shared" si="9"/>
        <v>576</v>
      </c>
      <c r="H12" s="127"/>
      <c r="I12" s="127"/>
      <c r="J12" s="127"/>
      <c r="K12" s="127"/>
      <c r="L12" s="130">
        <v>119.0</v>
      </c>
      <c r="M12" s="130">
        <v>576.0</v>
      </c>
      <c r="N12" s="127">
        <f t="shared" si="10"/>
        <v>457</v>
      </c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</row>
    <row r="13">
      <c r="A13" s="130"/>
      <c r="B13" s="130"/>
      <c r="C13" s="132"/>
      <c r="D13" s="132"/>
      <c r="E13" s="132"/>
      <c r="F13" s="132"/>
      <c r="G13" s="127"/>
      <c r="H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</row>
    <row r="14">
      <c r="A14" s="126" t="s">
        <v>109</v>
      </c>
      <c r="B14" s="126"/>
      <c r="C14" s="142">
        <v>411911.0</v>
      </c>
      <c r="D14" s="142">
        <v>274170.0</v>
      </c>
      <c r="E14" s="142">
        <v>236009.0</v>
      </c>
      <c r="F14" s="142">
        <v>213241.0</v>
      </c>
      <c r="G14" s="133">
        <f t="shared" ref="G14:G20" si="11">F14-E14</f>
        <v>-22768</v>
      </c>
      <c r="H14" s="143"/>
      <c r="I14" s="126"/>
      <c r="J14" s="142">
        <v>507256.0</v>
      </c>
      <c r="K14" s="142">
        <v>353136.0</v>
      </c>
      <c r="L14" s="142">
        <v>309907.0</v>
      </c>
      <c r="M14" s="142">
        <v>213241.0</v>
      </c>
      <c r="N14" s="146">
        <f t="shared" ref="N14:N20" si="12">M14-L14</f>
        <v>-96666</v>
      </c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</row>
    <row r="15">
      <c r="A15" s="144" t="s">
        <v>110</v>
      </c>
      <c r="B15" s="130" t="s">
        <v>28</v>
      </c>
      <c r="C15" s="132">
        <v>224461.0</v>
      </c>
      <c r="D15" s="132">
        <v>206660.0</v>
      </c>
      <c r="E15" s="132">
        <v>193782.0</v>
      </c>
      <c r="F15" s="132">
        <v>180270.0</v>
      </c>
      <c r="G15" s="133">
        <f t="shared" si="11"/>
        <v>-13512</v>
      </c>
      <c r="H15" s="127"/>
      <c r="I15" s="130"/>
      <c r="J15" s="132">
        <v>293345.0</v>
      </c>
      <c r="K15" s="132">
        <v>269361.0</v>
      </c>
      <c r="L15" s="132">
        <v>256968.0</v>
      </c>
      <c r="M15" s="132">
        <v>180270.0</v>
      </c>
      <c r="N15" s="133">
        <f t="shared" si="12"/>
        <v>-76698</v>
      </c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</row>
    <row r="16">
      <c r="A16" s="145">
        <f>IFERROR(__xludf.DUMMYFUNCTION("F14 / VALUE(REGEXREPLACE(A15, ""[^0-9]"", """"))"),0.12234136546184739)</f>
        <v>0.1223413655</v>
      </c>
      <c r="B16" s="130" t="s">
        <v>30</v>
      </c>
      <c r="C16" s="132">
        <v>172910.0</v>
      </c>
      <c r="D16" s="132">
        <v>30436.0</v>
      </c>
      <c r="E16" s="132">
        <v>31835.0</v>
      </c>
      <c r="F16" s="132">
        <v>22398.0</v>
      </c>
      <c r="G16" s="133">
        <f t="shared" si="11"/>
        <v>-9437</v>
      </c>
      <c r="H16" s="127"/>
      <c r="I16" s="127"/>
      <c r="J16" s="132">
        <v>195502.0</v>
      </c>
      <c r="K16" s="132">
        <v>44159.0</v>
      </c>
      <c r="L16" s="132">
        <v>39230.0</v>
      </c>
      <c r="M16" s="132">
        <v>22398.0</v>
      </c>
      <c r="N16" s="133">
        <f t="shared" si="12"/>
        <v>-16832</v>
      </c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</row>
    <row r="17">
      <c r="A17" s="127"/>
      <c r="B17" s="130" t="s">
        <v>29</v>
      </c>
      <c r="C17" s="132">
        <v>803.0</v>
      </c>
      <c r="D17" s="132">
        <v>24191.0</v>
      </c>
      <c r="E17" s="132">
        <v>2058.0</v>
      </c>
      <c r="F17" s="132">
        <v>4383.0</v>
      </c>
      <c r="G17" s="133">
        <f t="shared" si="11"/>
        <v>2325</v>
      </c>
      <c r="H17" s="127"/>
      <c r="I17" s="127"/>
      <c r="J17" s="132">
        <v>9588.0</v>
      </c>
      <c r="K17" s="132">
        <v>11405.0</v>
      </c>
      <c r="L17" s="132">
        <v>9283.0</v>
      </c>
      <c r="M17" s="132">
        <v>5457.0</v>
      </c>
      <c r="N17" s="133">
        <f t="shared" si="12"/>
        <v>-3826</v>
      </c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</row>
    <row r="18">
      <c r="A18" s="127"/>
      <c r="B18" s="130" t="s">
        <v>33</v>
      </c>
      <c r="C18" s="132">
        <v>7249.0</v>
      </c>
      <c r="D18" s="132">
        <v>9697.0</v>
      </c>
      <c r="E18" s="132">
        <v>7634.0</v>
      </c>
      <c r="F18" s="132">
        <v>5457.0</v>
      </c>
      <c r="G18" s="133">
        <f t="shared" si="11"/>
        <v>-2177</v>
      </c>
      <c r="H18" s="127"/>
      <c r="I18" s="127"/>
      <c r="J18" s="132">
        <v>1205.0</v>
      </c>
      <c r="K18" s="132">
        <v>24267.0</v>
      </c>
      <c r="L18" s="132">
        <v>3401.0</v>
      </c>
      <c r="M18" s="132">
        <v>4383.0</v>
      </c>
      <c r="N18" s="133">
        <f t="shared" si="12"/>
        <v>982</v>
      </c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</row>
    <row r="19">
      <c r="A19" s="127"/>
      <c r="B19" s="130" t="s">
        <v>34</v>
      </c>
      <c r="C19" s="132">
        <v>6488.0</v>
      </c>
      <c r="D19" s="132">
        <v>3186.0</v>
      </c>
      <c r="E19" s="132">
        <v>700.0</v>
      </c>
      <c r="F19" s="132">
        <v>506.0</v>
      </c>
      <c r="G19" s="133">
        <f t="shared" si="11"/>
        <v>-194</v>
      </c>
      <c r="H19" s="127"/>
      <c r="I19" s="127"/>
      <c r="J19" s="132">
        <v>7614.0</v>
      </c>
      <c r="K19" s="132">
        <v>3940.0</v>
      </c>
      <c r="L19" s="130">
        <v>969.0</v>
      </c>
      <c r="M19" s="130">
        <v>506.0</v>
      </c>
      <c r="N19" s="127">
        <f t="shared" si="12"/>
        <v>-463</v>
      </c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</row>
    <row r="20">
      <c r="A20" s="130"/>
      <c r="B20" s="130" t="s">
        <v>31</v>
      </c>
      <c r="C20" s="132"/>
      <c r="D20" s="132"/>
      <c r="E20" s="132"/>
      <c r="F20" s="132">
        <v>227.0</v>
      </c>
      <c r="G20" s="133">
        <f t="shared" si="11"/>
        <v>227</v>
      </c>
      <c r="H20" s="127"/>
      <c r="I20" s="143"/>
      <c r="J20" s="126">
        <v>2.0</v>
      </c>
      <c r="K20" s="126">
        <v>4.0</v>
      </c>
      <c r="L20" s="126">
        <v>56.0</v>
      </c>
      <c r="M20" s="126">
        <v>227.0</v>
      </c>
      <c r="N20" s="127">
        <f t="shared" si="12"/>
        <v>171</v>
      </c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</row>
    <row r="21">
      <c r="A21" s="130"/>
      <c r="B21" s="130"/>
      <c r="C21" s="132"/>
      <c r="D21" s="132"/>
      <c r="E21" s="132"/>
      <c r="F21" s="132"/>
      <c r="G21" s="127"/>
      <c r="H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</row>
    <row r="22">
      <c r="A22" s="126" t="s">
        <v>111</v>
      </c>
      <c r="B22" s="126"/>
      <c r="C22" s="142">
        <v>40744.0</v>
      </c>
      <c r="D22" s="142">
        <v>37560.0</v>
      </c>
      <c r="E22" s="142">
        <v>33085.0</v>
      </c>
      <c r="F22" s="142">
        <v>30620.0</v>
      </c>
      <c r="G22" s="133">
        <f t="shared" ref="G22:G28" si="13">F22-E22</f>
        <v>-2465</v>
      </c>
      <c r="H22" s="143"/>
      <c r="I22" s="126"/>
      <c r="J22" s="142">
        <v>58517.0</v>
      </c>
      <c r="K22" s="142">
        <v>49895.0</v>
      </c>
      <c r="L22" s="142">
        <v>45055.0</v>
      </c>
      <c r="M22" s="142">
        <v>30620.0</v>
      </c>
      <c r="N22" s="146">
        <f t="shared" ref="N22:N28" si="14">M22-L22</f>
        <v>-14435</v>
      </c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</row>
    <row r="23">
      <c r="A23" s="144" t="s">
        <v>112</v>
      </c>
      <c r="B23" s="130" t="s">
        <v>28</v>
      </c>
      <c r="C23" s="132">
        <v>35616.0</v>
      </c>
      <c r="D23" s="132">
        <v>32681.0</v>
      </c>
      <c r="E23" s="132">
        <v>28496.0</v>
      </c>
      <c r="F23" s="132">
        <v>25835.0</v>
      </c>
      <c r="G23" s="133">
        <f t="shared" si="13"/>
        <v>-2661</v>
      </c>
      <c r="H23" s="127"/>
      <c r="I23" s="130"/>
      <c r="J23" s="132">
        <v>51261.0</v>
      </c>
      <c r="K23" s="132">
        <v>43724.0</v>
      </c>
      <c r="L23" s="132">
        <v>38629.0</v>
      </c>
      <c r="M23" s="132">
        <v>25835.0</v>
      </c>
      <c r="N23" s="133">
        <f t="shared" si="14"/>
        <v>-12794</v>
      </c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</row>
    <row r="24">
      <c r="A24" s="145">
        <f>IFERROR(__xludf.DUMMYFUNCTION("F22 / VALUE(REGEXREPLACE(A23, ""[^0-9]"", """"))"),0.009745385105028644)</f>
        <v>0.009745385105</v>
      </c>
      <c r="B24" s="130" t="s">
        <v>33</v>
      </c>
      <c r="C24" s="132">
        <v>2500.0</v>
      </c>
      <c r="D24" s="132">
        <v>2428.0</v>
      </c>
      <c r="E24" s="132">
        <v>2408.0</v>
      </c>
      <c r="F24" s="132">
        <v>2113.0</v>
      </c>
      <c r="G24" s="133">
        <f t="shared" si="13"/>
        <v>-295</v>
      </c>
      <c r="H24" s="127"/>
      <c r="I24" s="127"/>
      <c r="J24" s="132">
        <v>3561.0</v>
      </c>
      <c r="K24" s="132">
        <v>2944.0</v>
      </c>
      <c r="L24" s="132">
        <v>3054.0</v>
      </c>
      <c r="M24" s="132">
        <v>2587.0</v>
      </c>
      <c r="N24" s="133">
        <f t="shared" si="14"/>
        <v>-467</v>
      </c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</row>
    <row r="25">
      <c r="A25" s="127"/>
      <c r="B25" s="130" t="s">
        <v>30</v>
      </c>
      <c r="C25" s="132">
        <v>2366.0</v>
      </c>
      <c r="D25" s="132">
        <v>2341.0</v>
      </c>
      <c r="E25" s="132">
        <v>2146.0</v>
      </c>
      <c r="F25" s="132">
        <v>2587.0</v>
      </c>
      <c r="G25" s="133">
        <f t="shared" si="13"/>
        <v>441</v>
      </c>
      <c r="H25" s="127"/>
      <c r="I25" s="127"/>
      <c r="J25" s="132">
        <v>3391.0</v>
      </c>
      <c r="K25" s="132">
        <v>3100.0</v>
      </c>
      <c r="L25" s="132">
        <v>3293.0</v>
      </c>
      <c r="M25" s="132">
        <v>2113.0</v>
      </c>
      <c r="N25" s="133">
        <f t="shared" si="14"/>
        <v>-1180</v>
      </c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</row>
    <row r="26">
      <c r="A26" s="127"/>
      <c r="B26" s="130" t="s">
        <v>34</v>
      </c>
      <c r="C26" s="130">
        <v>250.0</v>
      </c>
      <c r="D26" s="130">
        <v>100.0</v>
      </c>
      <c r="E26" s="130">
        <v>34.0</v>
      </c>
      <c r="F26" s="130">
        <v>52.0</v>
      </c>
      <c r="G26" s="127">
        <f t="shared" si="13"/>
        <v>18</v>
      </c>
      <c r="H26" s="127"/>
      <c r="I26" s="127"/>
      <c r="J26" s="130">
        <v>291.0</v>
      </c>
      <c r="K26" s="130">
        <v>117.0</v>
      </c>
      <c r="L26" s="130">
        <v>54.0</v>
      </c>
      <c r="M26" s="130">
        <v>52.0</v>
      </c>
      <c r="N26" s="127">
        <f t="shared" si="14"/>
        <v>-2</v>
      </c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</row>
    <row r="27">
      <c r="A27" s="130"/>
      <c r="B27" s="130" t="s">
        <v>29</v>
      </c>
      <c r="C27" s="132">
        <v>12.0</v>
      </c>
      <c r="D27" s="132">
        <v>10.0</v>
      </c>
      <c r="E27" s="132">
        <v>1.0</v>
      </c>
      <c r="F27" s="132">
        <v>32.0</v>
      </c>
      <c r="G27" s="133">
        <f t="shared" si="13"/>
        <v>31</v>
      </c>
      <c r="H27" s="127"/>
      <c r="I27" s="127"/>
      <c r="J27" s="130">
        <v>13.0</v>
      </c>
      <c r="K27" s="130">
        <v>10.0</v>
      </c>
      <c r="L27" s="130">
        <v>25.0</v>
      </c>
      <c r="M27" s="130">
        <v>32.0</v>
      </c>
      <c r="N27" s="127">
        <f t="shared" si="14"/>
        <v>7</v>
      </c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</row>
    <row r="28">
      <c r="A28" s="130"/>
      <c r="B28" s="130" t="s">
        <v>31</v>
      </c>
      <c r="C28" s="130"/>
      <c r="D28" s="130"/>
      <c r="E28" s="130"/>
      <c r="F28" s="130">
        <v>1.0</v>
      </c>
      <c r="G28" s="127">
        <f t="shared" si="13"/>
        <v>1</v>
      </c>
      <c r="H28" s="127"/>
      <c r="I28" s="127"/>
      <c r="J28" s="127"/>
      <c r="K28" s="127"/>
      <c r="L28" s="127"/>
      <c r="M28" s="130">
        <v>1.0</v>
      </c>
      <c r="N28" s="127">
        <f t="shared" si="14"/>
        <v>1</v>
      </c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</row>
    <row r="29">
      <c r="A29" s="130"/>
      <c r="B29" s="130"/>
      <c r="C29" s="132"/>
      <c r="D29" s="132"/>
      <c r="E29" s="132"/>
      <c r="F29" s="132"/>
      <c r="G29" s="127"/>
      <c r="H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</row>
    <row r="30">
      <c r="A30" s="126" t="s">
        <v>113</v>
      </c>
      <c r="B30" s="126"/>
      <c r="C30" s="142">
        <v>25100.0</v>
      </c>
      <c r="D30" s="142">
        <v>27532.0</v>
      </c>
      <c r="E30" s="142">
        <v>29611.0</v>
      </c>
      <c r="F30" s="142">
        <v>25842.0</v>
      </c>
      <c r="G30" s="133">
        <f t="shared" ref="G30:G36" si="15">F30-E30</f>
        <v>-3769</v>
      </c>
      <c r="H30" s="143"/>
      <c r="I30" s="126"/>
      <c r="J30" s="142">
        <v>33650.0</v>
      </c>
      <c r="K30" s="142">
        <v>35527.0</v>
      </c>
      <c r="L30" s="142">
        <v>38994.0</v>
      </c>
      <c r="M30" s="142">
        <v>25842.0</v>
      </c>
      <c r="N30" s="146">
        <f t="shared" ref="N30:N36" si="16">M30-L30</f>
        <v>-13152</v>
      </c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</row>
    <row r="31">
      <c r="A31" s="144" t="s">
        <v>114</v>
      </c>
      <c r="B31" s="130" t="s">
        <v>28</v>
      </c>
      <c r="C31" s="132">
        <v>20376.0</v>
      </c>
      <c r="D31" s="132">
        <v>22910.0</v>
      </c>
      <c r="E31" s="132">
        <v>25255.0</v>
      </c>
      <c r="F31" s="132">
        <v>19930.0</v>
      </c>
      <c r="G31" s="133">
        <f t="shared" si="15"/>
        <v>-5325</v>
      </c>
      <c r="H31" s="127"/>
      <c r="I31" s="130"/>
      <c r="J31" s="132">
        <v>27516.0</v>
      </c>
      <c r="K31" s="132">
        <v>29603.0</v>
      </c>
      <c r="L31" s="132">
        <v>32885.0</v>
      </c>
      <c r="M31" s="132">
        <v>19930.0</v>
      </c>
      <c r="N31" s="133">
        <f t="shared" si="16"/>
        <v>-12955</v>
      </c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</row>
    <row r="32">
      <c r="A32" s="145">
        <f>IFERROR(__xludf.DUMMYFUNCTION("F30 / VALUE(REGEXREPLACE(A31, ""[^0-9]"", """"))"),0.1615125)</f>
        <v>0.1615125</v>
      </c>
      <c r="B32" s="130" t="s">
        <v>30</v>
      </c>
      <c r="C32" s="132">
        <v>2704.0</v>
      </c>
      <c r="D32" s="132">
        <v>2851.0</v>
      </c>
      <c r="E32" s="132">
        <v>3377.0</v>
      </c>
      <c r="F32" s="132">
        <v>3472.0</v>
      </c>
      <c r="G32" s="133">
        <f t="shared" si="15"/>
        <v>95</v>
      </c>
      <c r="H32" s="127"/>
      <c r="I32" s="127"/>
      <c r="J32" s="132">
        <v>3531.0</v>
      </c>
      <c r="K32" s="132">
        <v>3726.0</v>
      </c>
      <c r="L32" s="132">
        <v>4467.0</v>
      </c>
      <c r="M32" s="132">
        <v>3472.0</v>
      </c>
      <c r="N32" s="133">
        <f t="shared" si="16"/>
        <v>-995</v>
      </c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</row>
    <row r="33">
      <c r="A33" s="130"/>
      <c r="B33" s="130" t="s">
        <v>33</v>
      </c>
      <c r="C33" s="130">
        <v>759.0</v>
      </c>
      <c r="D33" s="130">
        <v>959.0</v>
      </c>
      <c r="E33" s="130">
        <v>749.0</v>
      </c>
      <c r="F33" s="130">
        <v>686.0</v>
      </c>
      <c r="G33" s="127">
        <f t="shared" si="15"/>
        <v>-63</v>
      </c>
      <c r="H33" s="127"/>
      <c r="I33" s="127"/>
      <c r="J33" s="132">
        <v>1061.0</v>
      </c>
      <c r="K33" s="132">
        <v>1180.0</v>
      </c>
      <c r="L33" s="132">
        <v>1002.0</v>
      </c>
      <c r="M33" s="130">
        <v>686.0</v>
      </c>
      <c r="N33" s="133">
        <f t="shared" si="16"/>
        <v>-316</v>
      </c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</row>
    <row r="34">
      <c r="A34" s="130"/>
      <c r="B34" s="130" t="s">
        <v>34</v>
      </c>
      <c r="C34" s="132">
        <v>1195.0</v>
      </c>
      <c r="D34" s="130">
        <v>693.0</v>
      </c>
      <c r="E34" s="130">
        <v>207.0</v>
      </c>
      <c r="F34" s="130">
        <v>175.0</v>
      </c>
      <c r="G34" s="127">
        <f t="shared" si="15"/>
        <v>-32</v>
      </c>
      <c r="H34" s="127"/>
      <c r="I34" s="127"/>
      <c r="J34" s="132">
        <v>1453.0</v>
      </c>
      <c r="K34" s="130">
        <v>841.0</v>
      </c>
      <c r="L34" s="130">
        <v>272.0</v>
      </c>
      <c r="M34" s="130">
        <v>175.0</v>
      </c>
      <c r="N34" s="127">
        <f t="shared" si="16"/>
        <v>-97</v>
      </c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</row>
    <row r="35">
      <c r="A35" s="127"/>
      <c r="B35" s="130" t="s">
        <v>29</v>
      </c>
      <c r="C35" s="130">
        <v>66.0</v>
      </c>
      <c r="D35" s="130">
        <v>119.0</v>
      </c>
      <c r="E35" s="130">
        <v>23.0</v>
      </c>
      <c r="F35" s="132">
        <v>1559.0</v>
      </c>
      <c r="G35" s="133">
        <f t="shared" si="15"/>
        <v>1536</v>
      </c>
      <c r="H35" s="127"/>
      <c r="I35" s="127"/>
      <c r="J35" s="130">
        <v>89.0</v>
      </c>
      <c r="K35" s="130">
        <v>176.0</v>
      </c>
      <c r="L35" s="130">
        <v>360.0</v>
      </c>
      <c r="M35" s="132">
        <v>1559.0</v>
      </c>
      <c r="N35" s="133">
        <f t="shared" si="16"/>
        <v>1199</v>
      </c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</row>
    <row r="36">
      <c r="A36" s="127"/>
      <c r="B36" s="130" t="s">
        <v>31</v>
      </c>
      <c r="C36" s="132"/>
      <c r="D36" s="132"/>
      <c r="E36" s="132"/>
      <c r="F36" s="132">
        <v>20.0</v>
      </c>
      <c r="G36" s="133">
        <f t="shared" si="15"/>
        <v>20</v>
      </c>
      <c r="H36" s="127"/>
      <c r="I36" s="127"/>
      <c r="J36" s="127"/>
      <c r="K36" s="130">
        <v>1.0</v>
      </c>
      <c r="L36" s="130">
        <v>8.0</v>
      </c>
      <c r="M36" s="130">
        <v>20.0</v>
      </c>
      <c r="N36" s="127">
        <f t="shared" si="16"/>
        <v>12</v>
      </c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</row>
    <row r="37">
      <c r="A37" s="130"/>
      <c r="B37" s="130"/>
      <c r="C37" s="132"/>
      <c r="D37" s="132"/>
      <c r="E37" s="132"/>
      <c r="F37" s="132"/>
      <c r="G37" s="127"/>
      <c r="H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</row>
    <row r="38">
      <c r="A38" s="126" t="s">
        <v>115</v>
      </c>
      <c r="B38" s="126"/>
      <c r="C38" s="142">
        <v>1862.0</v>
      </c>
      <c r="D38" s="142">
        <v>2417.0</v>
      </c>
      <c r="E38" s="142">
        <v>3221.0</v>
      </c>
      <c r="F38" s="142">
        <v>2332.0</v>
      </c>
      <c r="G38" s="133">
        <f t="shared" ref="G38:G44" si="17">F38-E38</f>
        <v>-889</v>
      </c>
      <c r="H38" s="143"/>
      <c r="I38" s="126"/>
      <c r="J38" s="142">
        <v>2395.0</v>
      </c>
      <c r="K38" s="142">
        <v>3121.0</v>
      </c>
      <c r="L38" s="142">
        <v>4485.0</v>
      </c>
      <c r="M38" s="142">
        <v>2332.0</v>
      </c>
      <c r="N38" s="146">
        <f t="shared" ref="N38:N44" si="18">M38-L38</f>
        <v>-2153</v>
      </c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</row>
    <row r="39">
      <c r="A39" s="127"/>
      <c r="B39" s="130" t="s">
        <v>28</v>
      </c>
      <c r="C39" s="132">
        <v>1507.0</v>
      </c>
      <c r="D39" s="132">
        <v>2067.0</v>
      </c>
      <c r="E39" s="132">
        <v>2845.0</v>
      </c>
      <c r="F39" s="132">
        <v>2067.0</v>
      </c>
      <c r="G39" s="133">
        <f t="shared" si="17"/>
        <v>-778</v>
      </c>
      <c r="H39" s="127"/>
      <c r="I39" s="130"/>
      <c r="J39" s="132">
        <v>1969.0</v>
      </c>
      <c r="K39" s="132">
        <v>2670.0</v>
      </c>
      <c r="L39" s="132">
        <v>3941.0</v>
      </c>
      <c r="M39" s="132">
        <v>2067.0</v>
      </c>
      <c r="N39" s="133">
        <f t="shared" si="18"/>
        <v>-1874</v>
      </c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</row>
    <row r="40">
      <c r="A40" s="130"/>
      <c r="B40" s="130" t="s">
        <v>30</v>
      </c>
      <c r="C40" s="130">
        <v>146.0</v>
      </c>
      <c r="D40" s="130">
        <v>218.0</v>
      </c>
      <c r="E40" s="130">
        <v>205.0</v>
      </c>
      <c r="F40" s="130">
        <v>146.0</v>
      </c>
      <c r="G40" s="127">
        <f t="shared" si="17"/>
        <v>-59</v>
      </c>
      <c r="H40" s="127"/>
      <c r="I40" s="127"/>
      <c r="J40" s="130">
        <v>175.0</v>
      </c>
      <c r="K40" s="130">
        <v>261.0</v>
      </c>
      <c r="L40" s="130">
        <v>285.0</v>
      </c>
      <c r="M40" s="130">
        <v>146.0</v>
      </c>
      <c r="N40" s="127">
        <f t="shared" si="18"/>
        <v>-139</v>
      </c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</row>
    <row r="41">
      <c r="A41" s="127"/>
      <c r="B41" s="130" t="s">
        <v>33</v>
      </c>
      <c r="C41" s="132">
        <v>195.0</v>
      </c>
      <c r="D41" s="132">
        <v>114.0</v>
      </c>
      <c r="E41" s="132">
        <v>168.0</v>
      </c>
      <c r="F41" s="132">
        <v>80.0</v>
      </c>
      <c r="G41" s="133">
        <f t="shared" si="17"/>
        <v>-88</v>
      </c>
      <c r="H41" s="127"/>
      <c r="I41" s="127"/>
      <c r="J41" s="130">
        <v>232.0</v>
      </c>
      <c r="K41" s="130">
        <v>167.0</v>
      </c>
      <c r="L41" s="130">
        <v>239.0</v>
      </c>
      <c r="M41" s="130">
        <v>80.0</v>
      </c>
      <c r="N41" s="127">
        <f t="shared" si="18"/>
        <v>-159</v>
      </c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</row>
    <row r="42">
      <c r="A42" s="127"/>
      <c r="B42" s="130" t="s">
        <v>34</v>
      </c>
      <c r="C42" s="132">
        <v>14.0</v>
      </c>
      <c r="D42" s="132">
        <v>17.0</v>
      </c>
      <c r="E42" s="132">
        <v>3.0</v>
      </c>
      <c r="F42" s="132">
        <v>13.0</v>
      </c>
      <c r="G42" s="133">
        <f t="shared" si="17"/>
        <v>10</v>
      </c>
      <c r="H42" s="127"/>
      <c r="I42" s="127"/>
      <c r="J42" s="130">
        <v>19.0</v>
      </c>
      <c r="K42" s="130">
        <v>21.0</v>
      </c>
      <c r="L42" s="130">
        <v>3.0</v>
      </c>
      <c r="M42" s="130">
        <v>13.0</v>
      </c>
      <c r="N42" s="127">
        <f t="shared" si="18"/>
        <v>10</v>
      </c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</row>
    <row r="43">
      <c r="A43" s="127"/>
      <c r="B43" s="130" t="s">
        <v>29</v>
      </c>
      <c r="C43" s="132"/>
      <c r="D43" s="132">
        <v>1.0</v>
      </c>
      <c r="E43" s="130"/>
      <c r="F43" s="130">
        <v>23.0</v>
      </c>
      <c r="G43" s="127">
        <f t="shared" si="17"/>
        <v>23</v>
      </c>
      <c r="H43" s="127"/>
      <c r="I43" s="127"/>
      <c r="J43" s="127"/>
      <c r="K43" s="130">
        <v>2.0</v>
      </c>
      <c r="L43" s="130">
        <v>17.0</v>
      </c>
      <c r="M43" s="130">
        <v>23.0</v>
      </c>
      <c r="N43" s="127">
        <f t="shared" si="18"/>
        <v>6</v>
      </c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</row>
    <row r="44">
      <c r="A44" s="127"/>
      <c r="B44" s="130" t="s">
        <v>31</v>
      </c>
      <c r="C44" s="130"/>
      <c r="D44" s="132"/>
      <c r="E44" s="132"/>
      <c r="F44" s="132">
        <v>3.0</v>
      </c>
      <c r="G44" s="133">
        <f t="shared" si="17"/>
        <v>3</v>
      </c>
      <c r="H44" s="127"/>
      <c r="I44" s="127"/>
      <c r="J44" s="127"/>
      <c r="K44" s="127"/>
      <c r="L44" s="127"/>
      <c r="M44" s="130">
        <v>3.0</v>
      </c>
      <c r="N44" s="127">
        <f t="shared" si="18"/>
        <v>3</v>
      </c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</row>
    <row r="45">
      <c r="A45" s="130"/>
      <c r="B45" s="127"/>
      <c r="C45" s="130"/>
      <c r="D45" s="130"/>
      <c r="E45" s="130"/>
      <c r="F45" s="130"/>
      <c r="G45" s="127"/>
      <c r="H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</row>
    <row r="46">
      <c r="A46" s="126" t="s">
        <v>116</v>
      </c>
      <c r="B46" s="143"/>
      <c r="C46" s="126">
        <v>98.0</v>
      </c>
      <c r="D46" s="126">
        <v>193.0</v>
      </c>
      <c r="E46" s="126">
        <v>60.0</v>
      </c>
      <c r="F46" s="126">
        <v>79.0</v>
      </c>
      <c r="G46" s="143">
        <f t="shared" ref="G46:G50" si="19">F46-E46</f>
        <v>19</v>
      </c>
      <c r="H46" s="143"/>
      <c r="I46" s="126"/>
      <c r="J46" s="126">
        <v>145.0</v>
      </c>
      <c r="K46" s="126">
        <v>222.0</v>
      </c>
      <c r="L46" s="126">
        <v>85.0</v>
      </c>
      <c r="M46" s="126">
        <v>79.0</v>
      </c>
      <c r="N46" s="143">
        <f t="shared" ref="N46:N50" si="20">M46-L46</f>
        <v>-6</v>
      </c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</row>
    <row r="47">
      <c r="A47" s="127"/>
      <c r="B47" s="130" t="s">
        <v>28</v>
      </c>
      <c r="C47" s="130">
        <v>89.0</v>
      </c>
      <c r="D47" s="130">
        <v>171.0</v>
      </c>
      <c r="E47" s="130">
        <v>53.0</v>
      </c>
      <c r="F47" s="130">
        <v>69.0</v>
      </c>
      <c r="G47" s="127">
        <f t="shared" si="19"/>
        <v>16</v>
      </c>
      <c r="H47" s="127"/>
      <c r="I47" s="130"/>
      <c r="J47" s="130">
        <v>133.0</v>
      </c>
      <c r="K47" s="130">
        <v>200.0</v>
      </c>
      <c r="L47" s="130">
        <v>75.0</v>
      </c>
      <c r="M47" s="130">
        <v>69.0</v>
      </c>
      <c r="N47" s="127">
        <f t="shared" si="20"/>
        <v>-6</v>
      </c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</row>
    <row r="48">
      <c r="A48" s="127"/>
      <c r="B48" s="130" t="s">
        <v>30</v>
      </c>
      <c r="C48" s="130">
        <v>5.0</v>
      </c>
      <c r="D48" s="130">
        <v>15.0</v>
      </c>
      <c r="E48" s="130">
        <v>7.0</v>
      </c>
      <c r="F48" s="130">
        <v>1.0</v>
      </c>
      <c r="G48" s="127">
        <f t="shared" si="19"/>
        <v>-6</v>
      </c>
      <c r="H48" s="127"/>
      <c r="I48" s="143"/>
      <c r="J48" s="130">
        <v>7.0</v>
      </c>
      <c r="K48" s="130">
        <v>15.0</v>
      </c>
      <c r="L48" s="130">
        <v>8.0</v>
      </c>
      <c r="M48" s="130">
        <v>1.0</v>
      </c>
      <c r="N48" s="127">
        <f t="shared" si="20"/>
        <v>-7</v>
      </c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</row>
    <row r="49">
      <c r="A49" s="127"/>
      <c r="B49" s="130" t="s">
        <v>34</v>
      </c>
      <c r="C49" s="130">
        <v>2.0</v>
      </c>
      <c r="D49" s="130">
        <v>5.0</v>
      </c>
      <c r="E49" s="127"/>
      <c r="F49" s="130">
        <v>7.0</v>
      </c>
      <c r="G49" s="127">
        <f t="shared" si="19"/>
        <v>7</v>
      </c>
      <c r="H49" s="127"/>
      <c r="I49" s="127"/>
      <c r="J49" s="130">
        <v>2.0</v>
      </c>
      <c r="K49" s="130">
        <v>5.0</v>
      </c>
      <c r="L49" s="127"/>
      <c r="M49" s="130">
        <v>7.0</v>
      </c>
      <c r="N49" s="127">
        <f t="shared" si="20"/>
        <v>7</v>
      </c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</row>
    <row r="50">
      <c r="A50" s="127"/>
      <c r="B50" s="130" t="s">
        <v>33</v>
      </c>
      <c r="C50" s="130">
        <v>2.0</v>
      </c>
      <c r="D50" s="130">
        <v>2.0</v>
      </c>
      <c r="E50" s="127"/>
      <c r="F50" s="130">
        <v>2.0</v>
      </c>
      <c r="G50" s="127">
        <f t="shared" si="19"/>
        <v>2</v>
      </c>
      <c r="H50" s="127"/>
      <c r="I50" s="127"/>
      <c r="J50" s="130">
        <v>3.0</v>
      </c>
      <c r="K50" s="130">
        <v>2.0</v>
      </c>
      <c r="L50" s="130">
        <v>2.0</v>
      </c>
      <c r="M50" s="130">
        <v>2.0</v>
      </c>
      <c r="N50" s="127">
        <f t="shared" si="20"/>
        <v>0</v>
      </c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</row>
    <row r="51">
      <c r="A51" s="127"/>
      <c r="B51" s="127"/>
      <c r="C51" s="132"/>
      <c r="D51" s="132"/>
      <c r="E51" s="132"/>
      <c r="F51" s="132"/>
      <c r="G51" s="127"/>
      <c r="H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</row>
    <row r="52">
      <c r="A52" s="127"/>
      <c r="B52" s="127"/>
      <c r="C52" s="127"/>
      <c r="D52" s="127"/>
      <c r="E52" s="127"/>
      <c r="F52" s="127"/>
      <c r="G52" s="127"/>
      <c r="H52" s="127"/>
      <c r="I52" s="130"/>
      <c r="J52" s="132"/>
      <c r="K52" s="132"/>
      <c r="L52" s="132"/>
      <c r="M52" s="132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</row>
    <row r="53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</row>
    <row r="54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</row>
    <row r="55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</row>
    <row r="56">
      <c r="A56" s="127"/>
      <c r="B56" s="127"/>
      <c r="C56" s="127"/>
      <c r="D56" s="127"/>
      <c r="E56" s="127"/>
      <c r="F56" s="127"/>
      <c r="G56" s="127"/>
      <c r="H56" s="127"/>
      <c r="I56" s="143"/>
      <c r="J56" s="143"/>
      <c r="K56" s="143"/>
      <c r="L56" s="143"/>
      <c r="M56" s="143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</row>
    <row r="57">
      <c r="A57" s="127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</row>
    <row r="58">
      <c r="A58" s="127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</row>
    <row r="59">
      <c r="A59" s="127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</row>
    <row r="60">
      <c r="A60" s="127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</row>
    <row r="61">
      <c r="A61" s="127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</row>
    <row r="62">
      <c r="A62" s="127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</row>
    <row r="63">
      <c r="A63" s="127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</row>
    <row r="64">
      <c r="A64" s="127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</row>
    <row r="65">
      <c r="A65" s="127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</row>
    <row r="66">
      <c r="A66" s="127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</row>
    <row r="67">
      <c r="A67" s="127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</row>
    <row r="68">
      <c r="A68" s="127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</row>
    <row r="69">
      <c r="A69" s="127"/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</row>
    <row r="70">
      <c r="A70" s="127"/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</row>
    <row r="71">
      <c r="A71" s="127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</row>
    <row r="72">
      <c r="A72" s="127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</row>
    <row r="73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</row>
    <row r="74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</row>
    <row r="75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</row>
    <row r="76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</row>
    <row r="77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</row>
    <row r="78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</row>
    <row r="79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</row>
    <row r="80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</row>
    <row r="81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</row>
    <row r="82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</row>
    <row r="83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</row>
    <row r="84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</row>
    <row r="85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</row>
    <row r="86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</row>
    <row r="87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</row>
    <row r="88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</row>
    <row r="89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</row>
    <row r="90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</row>
    <row r="91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</row>
    <row r="92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</row>
    <row r="93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</row>
    <row r="94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</row>
    <row r="95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</row>
    <row r="96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</row>
    <row r="97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</row>
    <row r="98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</row>
    <row r="99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</row>
    <row r="100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</row>
    <row r="101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</row>
    <row r="102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</row>
    <row r="103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</row>
    <row r="104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</row>
    <row r="105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</row>
    <row r="106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</row>
    <row r="107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</row>
    <row r="108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</row>
    <row r="109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</row>
    <row r="110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</row>
    <row r="111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</row>
    <row r="112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</row>
    <row r="113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</row>
    <row r="114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</row>
    <row r="115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</row>
    <row r="116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</row>
    <row r="117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</row>
    <row r="118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</row>
    <row r="119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</row>
    <row r="120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</row>
    <row r="121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</row>
    <row r="122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</row>
    <row r="123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</row>
    <row r="124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</row>
    <row r="125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</row>
    <row r="126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</row>
    <row r="127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</row>
    <row r="128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</row>
    <row r="129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</row>
    <row r="130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</row>
    <row r="131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</row>
    <row r="132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</row>
    <row r="133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</row>
    <row r="134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</row>
    <row r="135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</row>
    <row r="136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</row>
    <row r="137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</row>
    <row r="138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</row>
    <row r="139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</row>
    <row r="140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</row>
    <row r="141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</row>
    <row r="142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</row>
    <row r="143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</row>
    <row r="144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</row>
    <row r="145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</row>
    <row r="146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</row>
    <row r="147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</row>
    <row r="148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</row>
    <row r="149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</row>
    <row r="150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</row>
    <row r="151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</row>
    <row r="152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</row>
    <row r="153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</row>
    <row r="154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</row>
    <row r="155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</row>
    <row r="156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</row>
    <row r="157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</row>
    <row r="158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</row>
    <row r="159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</row>
    <row r="160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</row>
    <row r="161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</row>
    <row r="162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</row>
    <row r="163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</row>
    <row r="164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</row>
    <row r="165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</row>
    <row r="166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</row>
    <row r="167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</row>
    <row r="168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</row>
    <row r="169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</row>
    <row r="170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</row>
    <row r="171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</row>
    <row r="172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</row>
    <row r="173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</row>
    <row r="174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</row>
    <row r="175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</row>
    <row r="176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</row>
    <row r="177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</row>
    <row r="178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</row>
    <row r="179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</row>
    <row r="180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</row>
    <row r="181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</row>
    <row r="182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</row>
    <row r="183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</row>
    <row r="184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</row>
    <row r="185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</row>
    <row r="186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</row>
    <row r="187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</row>
    <row r="188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</row>
    <row r="189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</row>
    <row r="190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</row>
    <row r="191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</row>
    <row r="192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</row>
    <row r="193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</row>
    <row r="194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</row>
    <row r="195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</row>
    <row r="196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</row>
    <row r="197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</row>
    <row r="198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</row>
    <row r="199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</row>
    <row r="200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</row>
    <row r="201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</row>
    <row r="202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</row>
    <row r="203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</row>
    <row r="204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</row>
    <row r="205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</row>
    <row r="206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</row>
    <row r="207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</row>
    <row r="208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</row>
    <row r="209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</row>
    <row r="210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</row>
    <row r="211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</row>
    <row r="212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</row>
    <row r="213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</row>
    <row r="214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</row>
    <row r="215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</row>
    <row r="216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</row>
    <row r="217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</row>
    <row r="218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</row>
    <row r="219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</row>
    <row r="220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</row>
    <row r="221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</row>
    <row r="222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</row>
    <row r="223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</row>
    <row r="224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</row>
    <row r="225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</row>
    <row r="226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</row>
    <row r="227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</row>
    <row r="228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</row>
    <row r="229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</row>
    <row r="230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</row>
    <row r="23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</row>
    <row r="232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</row>
    <row r="233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</row>
    <row r="234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</row>
    <row r="235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</row>
    <row r="236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</row>
    <row r="237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</row>
    <row r="238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</row>
    <row r="239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</row>
    <row r="240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</row>
    <row r="24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</row>
    <row r="242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</row>
    <row r="243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</row>
    <row r="244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</row>
    <row r="245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</row>
    <row r="246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</row>
    <row r="247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</row>
    <row r="248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</row>
    <row r="249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</row>
    <row r="250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</row>
    <row r="25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</row>
    <row r="252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</row>
    <row r="253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</row>
    <row r="254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</row>
    <row r="255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</row>
    <row r="256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</row>
    <row r="257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</row>
    <row r="258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</row>
    <row r="259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</row>
    <row r="260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</row>
    <row r="26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</row>
    <row r="262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</row>
    <row r="263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</row>
    <row r="264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</row>
    <row r="265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</row>
    <row r="266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</row>
    <row r="267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</row>
    <row r="268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</row>
    <row r="269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</row>
    <row r="270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</row>
    <row r="27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</row>
    <row r="272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</row>
    <row r="273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</row>
    <row r="274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</row>
    <row r="275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</row>
    <row r="276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</row>
    <row r="277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</row>
    <row r="278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</row>
    <row r="279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</row>
    <row r="280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</row>
    <row r="28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</row>
    <row r="282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</row>
    <row r="283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</row>
    <row r="284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</row>
    <row r="285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</row>
    <row r="286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</row>
    <row r="287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</row>
    <row r="288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</row>
    <row r="289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</row>
    <row r="290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</row>
    <row r="29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</row>
    <row r="292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</row>
    <row r="293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</row>
    <row r="294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</row>
    <row r="295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</row>
    <row r="296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</row>
    <row r="297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</row>
    <row r="298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</row>
    <row r="299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</row>
    <row r="300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</row>
    <row r="30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</row>
    <row r="302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</row>
    <row r="303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</row>
    <row r="304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</row>
    <row r="305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</row>
    <row r="306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</row>
    <row r="307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</row>
    <row r="308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</row>
    <row r="309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</row>
    <row r="310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</row>
    <row r="31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</row>
    <row r="312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</row>
    <row r="313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</row>
    <row r="314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</row>
    <row r="315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</row>
    <row r="316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</row>
    <row r="317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</row>
    <row r="318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</row>
    <row r="319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</row>
    <row r="320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</row>
    <row r="32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</row>
    <row r="322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</row>
    <row r="323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</row>
    <row r="324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</row>
    <row r="325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</row>
    <row r="326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</row>
    <row r="327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</row>
    <row r="328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</row>
    <row r="329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</row>
    <row r="330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</row>
    <row r="33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</row>
    <row r="332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</row>
    <row r="333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</row>
    <row r="334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</row>
    <row r="335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</row>
    <row r="336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</row>
    <row r="337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</row>
    <row r="338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</row>
    <row r="339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</row>
    <row r="340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</row>
    <row r="34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</row>
    <row r="342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</row>
    <row r="343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</row>
    <row r="344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</row>
    <row r="345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</row>
    <row r="346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</row>
    <row r="347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</row>
    <row r="348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</row>
    <row r="349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</row>
    <row r="350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</row>
    <row r="35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</row>
    <row r="352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</row>
    <row r="353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</row>
    <row r="354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</row>
    <row r="355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</row>
    <row r="356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</row>
    <row r="357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</row>
    <row r="358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</row>
    <row r="359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</row>
    <row r="360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</row>
    <row r="36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</row>
    <row r="362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</row>
    <row r="363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</row>
    <row r="364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</row>
    <row r="365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</row>
    <row r="366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</row>
    <row r="367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</row>
    <row r="368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</row>
    <row r="369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</row>
    <row r="370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</row>
    <row r="37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</row>
    <row r="372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</row>
    <row r="373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</row>
    <row r="374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</row>
    <row r="375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</row>
    <row r="376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</row>
    <row r="377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</row>
    <row r="378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</row>
    <row r="379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</row>
    <row r="380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</row>
    <row r="38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</row>
    <row r="382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</row>
    <row r="383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</row>
    <row r="384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</row>
    <row r="385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</row>
    <row r="386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</row>
    <row r="387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</row>
    <row r="388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</row>
    <row r="389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</row>
    <row r="390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</row>
    <row r="39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</row>
    <row r="392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</row>
    <row r="393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</row>
    <row r="394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</row>
    <row r="395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</row>
    <row r="396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</row>
    <row r="397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</row>
    <row r="398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</row>
    <row r="399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</row>
    <row r="400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</row>
    <row r="40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</row>
    <row r="402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</row>
    <row r="403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</row>
    <row r="404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</row>
    <row r="405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</row>
    <row r="406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</row>
    <row r="407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</row>
    <row r="408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</row>
    <row r="409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</row>
    <row r="410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</row>
    <row r="41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</row>
    <row r="412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</row>
    <row r="413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</row>
    <row r="414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</row>
    <row r="415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</row>
    <row r="416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</row>
    <row r="417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</row>
    <row r="418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</row>
    <row r="419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</row>
    <row r="420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</row>
    <row r="42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</row>
    <row r="422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</row>
    <row r="423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</row>
    <row r="424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</row>
    <row r="425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</row>
    <row r="426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</row>
    <row r="427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</row>
    <row r="428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</row>
    <row r="429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</row>
    <row r="430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</row>
    <row r="43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</row>
    <row r="432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</row>
    <row r="433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</row>
    <row r="434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</row>
    <row r="435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</row>
    <row r="436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</row>
    <row r="437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</row>
    <row r="438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</row>
    <row r="439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</row>
    <row r="440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</row>
    <row r="44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</row>
    <row r="442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</row>
    <row r="443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</row>
    <row r="444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</row>
    <row r="445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</row>
    <row r="446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</row>
    <row r="447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</row>
    <row r="448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</row>
    <row r="449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</row>
    <row r="450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</row>
    <row r="45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</row>
    <row r="452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</row>
    <row r="453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</row>
    <row r="454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</row>
    <row r="455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</row>
    <row r="456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</row>
    <row r="457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</row>
    <row r="458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</row>
    <row r="459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</row>
    <row r="460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</row>
    <row r="46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</row>
    <row r="462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</row>
    <row r="463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</row>
    <row r="464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</row>
    <row r="465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</row>
    <row r="466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</row>
    <row r="467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</row>
    <row r="468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</row>
    <row r="469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</row>
    <row r="470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</row>
    <row r="47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</row>
    <row r="472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</row>
    <row r="473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</row>
    <row r="474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</row>
    <row r="475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</row>
    <row r="476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</row>
    <row r="477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</row>
    <row r="478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</row>
    <row r="479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</row>
    <row r="480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</row>
    <row r="48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</row>
    <row r="482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</row>
    <row r="483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</row>
    <row r="484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</row>
    <row r="485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</row>
    <row r="486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</row>
    <row r="487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</row>
    <row r="488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</row>
    <row r="489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</row>
    <row r="490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</row>
    <row r="49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</row>
    <row r="492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</row>
    <row r="493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</row>
    <row r="494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</row>
    <row r="495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</row>
    <row r="496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</row>
    <row r="497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</row>
    <row r="498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</row>
    <row r="499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</row>
    <row r="500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</row>
    <row r="50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</row>
    <row r="502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</row>
    <row r="503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</row>
    <row r="504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</row>
    <row r="505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</row>
    <row r="506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</row>
    <row r="507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</row>
    <row r="508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</row>
    <row r="509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</row>
    <row r="510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</row>
    <row r="51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</row>
    <row r="512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</row>
    <row r="513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</row>
    <row r="514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</row>
    <row r="515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</row>
    <row r="516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</row>
    <row r="517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</row>
    <row r="518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</row>
    <row r="519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</row>
    <row r="520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</row>
    <row r="52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</row>
    <row r="522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</row>
    <row r="523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</row>
    <row r="524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</row>
    <row r="525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</row>
    <row r="526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</row>
    <row r="527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</row>
    <row r="528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</row>
    <row r="529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</row>
    <row r="530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</row>
    <row r="53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</row>
    <row r="532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</row>
    <row r="533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</row>
    <row r="534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</row>
    <row r="535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</row>
    <row r="536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</row>
    <row r="537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</row>
    <row r="538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</row>
    <row r="539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</row>
    <row r="540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</row>
    <row r="54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</row>
    <row r="542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</row>
    <row r="543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</row>
    <row r="544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</row>
    <row r="545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</row>
    <row r="546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</row>
    <row r="547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</row>
    <row r="548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</row>
    <row r="549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</row>
    <row r="550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</row>
    <row r="55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</row>
    <row r="552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</row>
    <row r="553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</row>
    <row r="554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</row>
    <row r="555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</row>
    <row r="556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</row>
    <row r="557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</row>
    <row r="558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</row>
    <row r="559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</row>
    <row r="560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</row>
    <row r="56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</row>
    <row r="562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</row>
    <row r="563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</row>
    <row r="564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</row>
    <row r="565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</row>
    <row r="566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</row>
    <row r="567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</row>
    <row r="568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</row>
    <row r="569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</row>
    <row r="570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</row>
    <row r="57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</row>
    <row r="572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</row>
    <row r="573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</row>
    <row r="574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</row>
    <row r="575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</row>
    <row r="576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</row>
    <row r="577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</row>
    <row r="578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</row>
    <row r="579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</row>
    <row r="580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</row>
    <row r="58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</row>
    <row r="582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</row>
    <row r="583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</row>
    <row r="584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</row>
    <row r="585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</row>
    <row r="586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</row>
    <row r="587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</row>
    <row r="588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</row>
    <row r="589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</row>
    <row r="590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</row>
    <row r="59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</row>
    <row r="592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</row>
    <row r="593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</row>
    <row r="594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</row>
    <row r="595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</row>
    <row r="596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</row>
    <row r="597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</row>
    <row r="598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</row>
    <row r="599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</row>
    <row r="600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</row>
    <row r="60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</row>
    <row r="602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</row>
    <row r="603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</row>
    <row r="604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</row>
    <row r="605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</row>
    <row r="606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</row>
    <row r="607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</row>
    <row r="608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</row>
    <row r="609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</row>
    <row r="610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</row>
    <row r="61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</row>
    <row r="612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</row>
    <row r="613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</row>
    <row r="614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</row>
    <row r="615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</row>
    <row r="616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</row>
    <row r="617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</row>
    <row r="618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</row>
    <row r="619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</row>
    <row r="620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</row>
    <row r="62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</row>
    <row r="622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</row>
    <row r="623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</row>
    <row r="624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</row>
    <row r="625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</row>
    <row r="626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</row>
    <row r="627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</row>
    <row r="628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</row>
    <row r="629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</row>
    <row r="630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</row>
    <row r="63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</row>
    <row r="632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</row>
    <row r="633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</row>
    <row r="634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</row>
    <row r="635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</row>
    <row r="636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</row>
    <row r="637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</row>
    <row r="638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</row>
    <row r="639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</row>
    <row r="640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</row>
    <row r="64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</row>
    <row r="642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</row>
    <row r="643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</row>
    <row r="644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</row>
    <row r="645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</row>
    <row r="646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</row>
    <row r="647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</row>
    <row r="648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</row>
    <row r="649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</row>
    <row r="650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</row>
    <row r="65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</row>
    <row r="652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</row>
    <row r="653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</row>
    <row r="654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</row>
    <row r="655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</row>
    <row r="656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</row>
    <row r="657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</row>
    <row r="658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</row>
    <row r="659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</row>
    <row r="660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</row>
    <row r="66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</row>
    <row r="662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</row>
    <row r="663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</row>
    <row r="664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</row>
    <row r="665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</row>
    <row r="666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</row>
    <row r="667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</row>
    <row r="668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</row>
    <row r="669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</row>
    <row r="670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</row>
    <row r="67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</row>
    <row r="672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</row>
    <row r="673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</row>
    <row r="674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</row>
    <row r="675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</row>
    <row r="676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</row>
    <row r="677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</row>
    <row r="678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</row>
    <row r="679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</row>
    <row r="680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</row>
    <row r="68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</row>
    <row r="682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</row>
    <row r="683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</row>
    <row r="684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</row>
    <row r="685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</row>
    <row r="686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</row>
    <row r="687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</row>
    <row r="688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</row>
    <row r="689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</row>
    <row r="690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</row>
    <row r="69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</row>
    <row r="692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</row>
    <row r="693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</row>
    <row r="694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</row>
    <row r="695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</row>
    <row r="696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</row>
    <row r="697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</row>
    <row r="698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</row>
    <row r="699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</row>
    <row r="700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</row>
    <row r="70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</row>
    <row r="702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</row>
    <row r="703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</row>
    <row r="704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</row>
    <row r="705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</row>
    <row r="706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</row>
    <row r="707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</row>
    <row r="708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</row>
    <row r="709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</row>
    <row r="710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</row>
    <row r="71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</row>
    <row r="712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</row>
    <row r="713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</row>
    <row r="714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</row>
    <row r="715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</row>
    <row r="716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</row>
    <row r="717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</row>
    <row r="718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</row>
    <row r="719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</row>
    <row r="720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</row>
    <row r="72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</row>
    <row r="722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</row>
    <row r="723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</row>
    <row r="724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</row>
    <row r="725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</row>
    <row r="726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</row>
    <row r="727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</row>
    <row r="728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</row>
    <row r="729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</row>
    <row r="730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</row>
    <row r="73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</row>
    <row r="732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</row>
    <row r="733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</row>
    <row r="734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</row>
    <row r="735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</row>
    <row r="736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</row>
    <row r="737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</row>
    <row r="738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</row>
    <row r="739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</row>
    <row r="740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</row>
    <row r="74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</row>
    <row r="742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</row>
    <row r="743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</row>
    <row r="744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</row>
    <row r="745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</row>
    <row r="746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</row>
    <row r="747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</row>
    <row r="748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</row>
    <row r="749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</row>
    <row r="750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</row>
    <row r="75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</row>
    <row r="752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</row>
    <row r="753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</row>
    <row r="754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</row>
    <row r="755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</row>
    <row r="756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</row>
    <row r="757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</row>
    <row r="758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</row>
    <row r="759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</row>
    <row r="760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</row>
    <row r="76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</row>
    <row r="762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</row>
    <row r="763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</row>
    <row r="764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</row>
    <row r="765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</row>
    <row r="766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</row>
    <row r="767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</row>
    <row r="768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</row>
    <row r="769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</row>
    <row r="770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</row>
    <row r="77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</row>
    <row r="772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</row>
    <row r="773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</row>
    <row r="774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</row>
    <row r="775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</row>
    <row r="776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</row>
    <row r="777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</row>
    <row r="778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</row>
    <row r="779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</row>
    <row r="780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</row>
    <row r="78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</row>
    <row r="782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</row>
    <row r="783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</row>
    <row r="784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</row>
    <row r="785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</row>
    <row r="786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</row>
    <row r="787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</row>
    <row r="788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</row>
    <row r="789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</row>
    <row r="790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</row>
    <row r="79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</row>
    <row r="792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</row>
    <row r="793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</row>
    <row r="794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</row>
    <row r="795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</row>
    <row r="796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</row>
    <row r="797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</row>
    <row r="798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</row>
    <row r="799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</row>
    <row r="800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</row>
    <row r="80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</row>
    <row r="802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</row>
    <row r="803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</row>
    <row r="804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</row>
    <row r="805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</row>
    <row r="806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</row>
    <row r="807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</row>
    <row r="808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</row>
    <row r="809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</row>
    <row r="810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</row>
    <row r="81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</row>
    <row r="812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</row>
    <row r="813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</row>
    <row r="814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</row>
    <row r="815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</row>
    <row r="816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</row>
    <row r="817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</row>
    <row r="818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</row>
    <row r="819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</row>
    <row r="820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</row>
    <row r="82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</row>
    <row r="822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</row>
    <row r="823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</row>
    <row r="824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</row>
    <row r="825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</row>
    <row r="826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</row>
    <row r="827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</row>
    <row r="828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</row>
    <row r="829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</row>
    <row r="830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</row>
    <row r="83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</row>
    <row r="832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</row>
    <row r="833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</row>
    <row r="834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</row>
    <row r="835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</row>
    <row r="836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</row>
    <row r="837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</row>
    <row r="838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</row>
    <row r="839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</row>
    <row r="840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</row>
    <row r="84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</row>
    <row r="842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</row>
    <row r="843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</row>
    <row r="844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</row>
    <row r="845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</row>
    <row r="846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</row>
    <row r="847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</row>
    <row r="848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</row>
    <row r="849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</row>
    <row r="850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</row>
    <row r="85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</row>
    <row r="852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</row>
    <row r="853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</row>
    <row r="854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</row>
    <row r="855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</row>
    <row r="856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</row>
    <row r="857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</row>
    <row r="858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</row>
    <row r="859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</row>
    <row r="860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</row>
    <row r="86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</row>
    <row r="862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</row>
    <row r="863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</row>
    <row r="864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</row>
    <row r="865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</row>
    <row r="866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</row>
    <row r="867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</row>
    <row r="868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</row>
    <row r="869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</row>
    <row r="870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</row>
    <row r="87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</row>
    <row r="872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</row>
    <row r="873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</row>
    <row r="874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</row>
    <row r="875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</row>
    <row r="876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</row>
    <row r="877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</row>
    <row r="878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</row>
    <row r="879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</row>
    <row r="880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</row>
    <row r="88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</row>
    <row r="882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</row>
    <row r="883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</row>
    <row r="884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</row>
    <row r="885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</row>
    <row r="886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</row>
    <row r="887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</row>
    <row r="888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</row>
    <row r="889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</row>
    <row r="890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</row>
    <row r="89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</row>
    <row r="892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</row>
    <row r="893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</row>
    <row r="894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</row>
    <row r="895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</row>
    <row r="896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</row>
    <row r="897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</row>
    <row r="898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</row>
    <row r="899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</row>
    <row r="900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</row>
    <row r="90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</row>
    <row r="902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</row>
    <row r="903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</row>
    <row r="904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</row>
    <row r="905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</row>
    <row r="906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</row>
    <row r="907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</row>
    <row r="908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</row>
    <row r="909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</row>
    <row r="910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</row>
    <row r="91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</row>
    <row r="912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</row>
    <row r="913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</row>
    <row r="914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</row>
    <row r="915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</row>
    <row r="916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</row>
    <row r="917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</row>
    <row r="918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</row>
    <row r="919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</row>
    <row r="920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</row>
    <row r="92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</row>
    <row r="922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</row>
    <row r="923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</row>
    <row r="924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</row>
    <row r="925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</row>
    <row r="926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</row>
    <row r="927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</row>
    <row r="928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</row>
    <row r="929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</row>
    <row r="930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</row>
    <row r="93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</row>
    <row r="932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</row>
    <row r="933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</row>
    <row r="934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</row>
    <row r="935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</row>
    <row r="936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</row>
    <row r="937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</row>
    <row r="938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</row>
    <row r="939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</row>
    <row r="940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</row>
    <row r="94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</row>
    <row r="942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</row>
    <row r="943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</row>
    <row r="944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</row>
    <row r="945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</row>
    <row r="946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</row>
    <row r="947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</row>
    <row r="948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</row>
    <row r="949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</row>
    <row r="950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</row>
    <row r="95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</row>
    <row r="952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</row>
    <row r="953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</row>
    <row r="954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</row>
    <row r="955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</row>
    <row r="956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</row>
    <row r="957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</row>
    <row r="958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</row>
    <row r="959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</row>
    <row r="960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</row>
    <row r="96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</row>
    <row r="962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</row>
    <row r="963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</row>
    <row r="964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</row>
    <row r="965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</row>
    <row r="966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</row>
    <row r="967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</row>
    <row r="968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</row>
    <row r="969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</row>
    <row r="970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</row>
    <row r="97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</row>
    <row r="972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</row>
    <row r="973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</row>
    <row r="974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</row>
    <row r="975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</row>
    <row r="976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</row>
    <row r="977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</row>
    <row r="978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</row>
    <row r="979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</row>
    <row r="980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</row>
    <row r="98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</row>
    <row r="982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</row>
    <row r="983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</row>
    <row r="984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</row>
    <row r="985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</row>
    <row r="986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</row>
    <row r="987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</row>
    <row r="988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</row>
    <row r="989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</row>
    <row r="990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</row>
    <row r="99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</row>
    <row r="992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</row>
    <row r="993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</row>
    <row r="994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</row>
    <row r="995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</row>
    <row r="996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</row>
    <row r="997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</row>
    <row r="998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</row>
    <row r="999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</row>
    <row r="1000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</row>
    <row r="1001">
      <c r="A1001" s="127"/>
      <c r="B1001" s="127"/>
      <c r="C1001" s="127"/>
      <c r="D1001" s="127"/>
      <c r="E1001" s="127"/>
      <c r="F1001" s="127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127"/>
      <c r="V1001" s="127"/>
      <c r="W1001" s="127"/>
      <c r="X1001" s="127"/>
      <c r="Y1001" s="127"/>
    </row>
    <row r="1002">
      <c r="A1002" s="127"/>
      <c r="B1002" s="127"/>
      <c r="C1002" s="127"/>
      <c r="D1002" s="127"/>
      <c r="E1002" s="127"/>
      <c r="F1002" s="127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127"/>
      <c r="V1002" s="127"/>
      <c r="W1002" s="127"/>
      <c r="X1002" s="127"/>
      <c r="Y1002" s="127"/>
    </row>
    <row r="1003">
      <c r="A1003" s="127"/>
      <c r="B1003" s="127"/>
      <c r="C1003" s="127"/>
      <c r="D1003" s="127"/>
      <c r="E1003" s="127"/>
      <c r="F1003" s="127"/>
      <c r="G1003" s="127"/>
      <c r="H1003" s="127"/>
      <c r="N1003" s="127"/>
      <c r="O1003" s="127"/>
      <c r="P1003" s="127"/>
      <c r="Q1003" s="127"/>
      <c r="R1003" s="127"/>
      <c r="S1003" s="127"/>
      <c r="T1003" s="127"/>
      <c r="U1003" s="127"/>
      <c r="V1003" s="127"/>
      <c r="W1003" s="127"/>
      <c r="X1003" s="127"/>
      <c r="Y1003" s="127"/>
    </row>
  </sheetData>
  <conditionalFormatting sqref="G2:G50 N2:N50">
    <cfRule type="cellIs" dxfId="0" priority="1" operator="greaterThanOrEqual">
      <formula>0</formula>
    </cfRule>
  </conditionalFormatting>
  <conditionalFormatting sqref="G2:G50 N2:N50">
    <cfRule type="cellIs" dxfId="1" priority="2" operator="less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32.13"/>
    <col customWidth="1" min="8" max="8" width="2.63"/>
  </cols>
  <sheetData>
    <row r="1">
      <c r="A1" s="147" t="s">
        <v>97</v>
      </c>
      <c r="B1" s="147"/>
      <c r="C1" s="148">
        <v>46143.0</v>
      </c>
      <c r="D1" s="148">
        <v>46174.0</v>
      </c>
      <c r="E1" s="148">
        <v>46204.0</v>
      </c>
      <c r="F1" s="148">
        <v>46235.0</v>
      </c>
      <c r="G1" s="88" t="s">
        <v>99</v>
      </c>
      <c r="H1" s="149"/>
      <c r="I1" s="147" t="s">
        <v>97</v>
      </c>
      <c r="J1" s="148">
        <v>46143.0</v>
      </c>
      <c r="K1" s="148">
        <v>46174.0</v>
      </c>
      <c r="L1" s="148">
        <v>46204.0</v>
      </c>
      <c r="M1" s="148">
        <v>46235.0</v>
      </c>
      <c r="N1" s="126" t="s">
        <v>100</v>
      </c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</row>
    <row r="2">
      <c r="A2" s="150" t="s">
        <v>21</v>
      </c>
      <c r="B2" s="149"/>
      <c r="C2" s="151">
        <f t="shared" ref="C2:F2" si="1">SUM(C6,C14,C22,C30,C38,C45,C52,C60,C67,C74,C81)</f>
        <v>112968</v>
      </c>
      <c r="D2" s="151">
        <f t="shared" si="1"/>
        <v>96671</v>
      </c>
      <c r="E2" s="151">
        <f t="shared" si="1"/>
        <v>75685</v>
      </c>
      <c r="F2" s="151">
        <f t="shared" si="1"/>
        <v>159646</v>
      </c>
      <c r="G2" s="133">
        <f>F2-E2</f>
        <v>83961</v>
      </c>
      <c r="H2" s="149"/>
      <c r="I2" s="151"/>
      <c r="J2" s="151">
        <f t="shared" ref="J2:M2" si="2">SUM(J6,J14,J22,J30,J38,J45,J52,J60,J67,J74,J81)</f>
        <v>150769</v>
      </c>
      <c r="K2" s="151">
        <f t="shared" si="2"/>
        <v>126976</v>
      </c>
      <c r="L2" s="151">
        <f t="shared" si="2"/>
        <v>125336</v>
      </c>
      <c r="M2" s="151">
        <f t="shared" si="2"/>
        <v>159027</v>
      </c>
      <c r="N2" s="133">
        <f>M2-L2</f>
        <v>33691</v>
      </c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</row>
    <row r="3">
      <c r="A3" s="37" t="s">
        <v>32</v>
      </c>
      <c r="B3" s="150"/>
      <c r="C3" s="152">
        <f>C2-0</f>
        <v>112968</v>
      </c>
      <c r="D3" s="152">
        <f t="shared" ref="D3:F3" si="3">D2-C2</f>
        <v>-16297</v>
      </c>
      <c r="E3" s="152">
        <f t="shared" si="3"/>
        <v>-20986</v>
      </c>
      <c r="F3" s="152">
        <f t="shared" si="3"/>
        <v>83961</v>
      </c>
      <c r="G3" s="137"/>
      <c r="H3" s="149"/>
      <c r="I3" s="151"/>
      <c r="J3" s="151">
        <f>J2-0</f>
        <v>150769</v>
      </c>
      <c r="K3" s="151">
        <f t="shared" ref="K3:M3" si="4">K2-J2</f>
        <v>-23793</v>
      </c>
      <c r="L3" s="151">
        <f t="shared" si="4"/>
        <v>-1640</v>
      </c>
      <c r="M3" s="151">
        <f t="shared" si="4"/>
        <v>33691</v>
      </c>
      <c r="N3" s="137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</row>
    <row r="4">
      <c r="A4" s="153" t="s">
        <v>117</v>
      </c>
      <c r="B4" s="150"/>
      <c r="C4" s="152"/>
      <c r="D4" s="154">
        <f t="shared" ref="D4:F4" si="5">(D2/C2)-1</f>
        <v>-0.1442620919</v>
      </c>
      <c r="E4" s="154">
        <f t="shared" si="5"/>
        <v>-0.2170868202</v>
      </c>
      <c r="F4" s="154">
        <f t="shared" si="5"/>
        <v>1.109347955</v>
      </c>
      <c r="G4" s="140">
        <f>F4-E4</f>
        <v>1.326434776</v>
      </c>
      <c r="H4" s="149"/>
      <c r="I4" s="151"/>
      <c r="J4" s="151"/>
      <c r="K4" s="50">
        <f t="shared" ref="K4:M4" si="6">K2/J2</f>
        <v>0.8421890442</v>
      </c>
      <c r="L4" s="50">
        <f t="shared" si="6"/>
        <v>0.9870841734</v>
      </c>
      <c r="M4" s="50">
        <f t="shared" si="6"/>
        <v>1.268805451</v>
      </c>
      <c r="N4" s="155">
        <f>M4-L4</f>
        <v>0.2817212776</v>
      </c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</row>
    <row r="5">
      <c r="A5" s="150"/>
      <c r="B5" s="150"/>
      <c r="C5" s="152"/>
      <c r="D5" s="152"/>
      <c r="E5" s="152"/>
      <c r="F5" s="152"/>
      <c r="G5" s="149"/>
      <c r="H5" s="149"/>
      <c r="I5" s="151"/>
      <c r="J5" s="151"/>
      <c r="K5" s="151"/>
      <c r="L5" s="151"/>
      <c r="M5" s="151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>
      <c r="A6" s="88" t="s">
        <v>75</v>
      </c>
      <c r="B6" s="156"/>
      <c r="C6" s="157">
        <v>95156.0</v>
      </c>
      <c r="D6" s="157">
        <v>56053.0</v>
      </c>
      <c r="E6" s="157">
        <v>38969.0</v>
      </c>
      <c r="F6" s="157">
        <v>84745.0</v>
      </c>
      <c r="G6" s="133">
        <f t="shared" ref="G6:G12" si="8">F6-E6</f>
        <v>45776</v>
      </c>
      <c r="H6" s="156"/>
      <c r="I6" s="158"/>
      <c r="J6" s="159">
        <f t="shared" ref="J6:M6" si="7">sum(J7:J12)</f>
        <v>127284</v>
      </c>
      <c r="K6" s="159">
        <f t="shared" si="7"/>
        <v>76228</v>
      </c>
      <c r="L6" s="159">
        <f t="shared" si="7"/>
        <v>65899</v>
      </c>
      <c r="M6" s="159">
        <f t="shared" si="7"/>
        <v>84745</v>
      </c>
      <c r="N6" s="133">
        <f t="shared" ref="N6:N12" si="9">M6-L6</f>
        <v>18846</v>
      </c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</row>
    <row r="7">
      <c r="A7" s="144" t="s">
        <v>118</v>
      </c>
      <c r="B7" s="160" t="s">
        <v>28</v>
      </c>
      <c r="C7" s="152">
        <v>21355.0</v>
      </c>
      <c r="D7" s="152">
        <v>20370.0</v>
      </c>
      <c r="E7" s="152">
        <v>32285.0</v>
      </c>
      <c r="F7" s="152">
        <v>30442.0</v>
      </c>
      <c r="G7" s="133">
        <f t="shared" si="8"/>
        <v>-1843</v>
      </c>
      <c r="H7" s="149"/>
      <c r="I7" s="151"/>
      <c r="J7" s="152">
        <v>28291.0</v>
      </c>
      <c r="K7" s="152">
        <v>27672.0</v>
      </c>
      <c r="L7" s="152">
        <v>42141.0</v>
      </c>
      <c r="M7" s="152">
        <v>30442.0</v>
      </c>
      <c r="N7" s="133">
        <f t="shared" si="9"/>
        <v>-11699</v>
      </c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</row>
    <row r="8">
      <c r="A8" s="161">
        <f>IFERROR(__xludf.DUMMYFUNCTION("F6 / VALUE(REGEXREPLACE(A7, ""[^0-9]"", """"))"),0.039740673872775446)</f>
        <v>0.03974067387</v>
      </c>
      <c r="B8" s="160" t="s">
        <v>29</v>
      </c>
      <c r="C8" s="152">
        <v>67175.0</v>
      </c>
      <c r="D8" s="152">
        <v>30238.0</v>
      </c>
      <c r="E8" s="160">
        <v>567.0</v>
      </c>
      <c r="F8" s="152">
        <v>1164.0</v>
      </c>
      <c r="G8" s="133">
        <f t="shared" si="8"/>
        <v>597</v>
      </c>
      <c r="H8" s="149"/>
      <c r="I8" s="151"/>
      <c r="J8" s="152">
        <v>90449.0</v>
      </c>
      <c r="K8" s="152">
        <v>41503.0</v>
      </c>
      <c r="L8" s="152">
        <v>898.0</v>
      </c>
      <c r="M8" s="152">
        <v>1164.0</v>
      </c>
      <c r="N8" s="133">
        <f t="shared" si="9"/>
        <v>266</v>
      </c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</row>
    <row r="9">
      <c r="A9" s="149"/>
      <c r="B9" s="160" t="s">
        <v>33</v>
      </c>
      <c r="C9" s="152">
        <v>2829.0</v>
      </c>
      <c r="D9" s="152">
        <v>2929.0</v>
      </c>
      <c r="E9" s="152">
        <v>4071.0</v>
      </c>
      <c r="F9" s="152">
        <v>48526.0</v>
      </c>
      <c r="G9" s="133">
        <f t="shared" si="8"/>
        <v>44455</v>
      </c>
      <c r="H9" s="149"/>
      <c r="I9" s="151"/>
      <c r="J9" s="152">
        <v>3718.0</v>
      </c>
      <c r="K9" s="152">
        <v>3715.0</v>
      </c>
      <c r="L9" s="152">
        <v>19282.0</v>
      </c>
      <c r="M9" s="152">
        <v>48526.0</v>
      </c>
      <c r="N9" s="133">
        <f t="shared" si="9"/>
        <v>29244</v>
      </c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</row>
    <row r="10">
      <c r="A10" s="149"/>
      <c r="B10" s="160" t="s">
        <v>30</v>
      </c>
      <c r="C10" s="152">
        <v>1661.0</v>
      </c>
      <c r="D10" s="152">
        <v>1693.0</v>
      </c>
      <c r="E10" s="152">
        <v>1615.0</v>
      </c>
      <c r="F10" s="152">
        <v>3113.0</v>
      </c>
      <c r="G10" s="133">
        <f t="shared" si="8"/>
        <v>1498</v>
      </c>
      <c r="H10" s="149"/>
      <c r="I10" s="151"/>
      <c r="J10" s="152">
        <v>2177.0</v>
      </c>
      <c r="K10" s="152">
        <v>2224.0</v>
      </c>
      <c r="L10" s="152">
        <v>2646.0</v>
      </c>
      <c r="M10" s="152">
        <v>3113.0</v>
      </c>
      <c r="N10" s="133">
        <f t="shared" si="9"/>
        <v>467</v>
      </c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</row>
    <row r="11">
      <c r="A11" s="149"/>
      <c r="B11" s="160" t="s">
        <v>34</v>
      </c>
      <c r="C11" s="160">
        <v>998.0</v>
      </c>
      <c r="D11" s="160">
        <v>362.0</v>
      </c>
      <c r="E11" s="160">
        <v>425.0</v>
      </c>
      <c r="F11" s="152">
        <v>1471.0</v>
      </c>
      <c r="G11" s="133">
        <f t="shared" si="8"/>
        <v>1046</v>
      </c>
      <c r="H11" s="149"/>
      <c r="I11" s="151"/>
      <c r="J11" s="152">
        <v>1169.0</v>
      </c>
      <c r="K11" s="152">
        <v>451.0</v>
      </c>
      <c r="L11" s="152">
        <v>920.0</v>
      </c>
      <c r="M11" s="152">
        <v>1471.0</v>
      </c>
      <c r="N11" s="133">
        <f t="shared" si="9"/>
        <v>551</v>
      </c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</row>
    <row r="12">
      <c r="A12" s="149"/>
      <c r="B12" s="160" t="s">
        <v>31</v>
      </c>
      <c r="C12" s="152">
        <v>1138.0</v>
      </c>
      <c r="D12" s="160">
        <v>461.0</v>
      </c>
      <c r="E12" s="160">
        <v>6.0</v>
      </c>
      <c r="F12" s="160">
        <v>29.0</v>
      </c>
      <c r="G12" s="127">
        <f t="shared" si="8"/>
        <v>23</v>
      </c>
      <c r="H12" s="149"/>
      <c r="I12" s="151"/>
      <c r="J12" s="152">
        <v>1480.0</v>
      </c>
      <c r="K12" s="152">
        <v>663.0</v>
      </c>
      <c r="L12" s="152">
        <v>12.0</v>
      </c>
      <c r="M12" s="152">
        <v>29.0</v>
      </c>
      <c r="N12" s="133">
        <f t="shared" si="9"/>
        <v>17</v>
      </c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</row>
    <row r="13">
      <c r="A13" s="160"/>
      <c r="B13" s="149"/>
      <c r="C13" s="152"/>
      <c r="D13" s="152"/>
      <c r="E13" s="152"/>
      <c r="F13" s="152"/>
      <c r="G13" s="149"/>
      <c r="H13" s="149"/>
      <c r="I13" s="151"/>
      <c r="J13" s="158"/>
      <c r="K13" s="158"/>
      <c r="L13" s="158"/>
      <c r="M13" s="158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</row>
    <row r="14">
      <c r="A14" s="88" t="s">
        <v>76</v>
      </c>
      <c r="B14" s="156"/>
      <c r="C14" s="157">
        <v>6106.0</v>
      </c>
      <c r="D14" s="157">
        <v>6491.0</v>
      </c>
      <c r="E14" s="157">
        <v>12623.0</v>
      </c>
      <c r="F14" s="157">
        <v>55306.0</v>
      </c>
      <c r="G14" s="133">
        <f t="shared" ref="G14:G20" si="11">F14-E14</f>
        <v>42683</v>
      </c>
      <c r="H14" s="156"/>
      <c r="I14" s="158"/>
      <c r="J14" s="158">
        <f t="shared" ref="J14:M14" si="10">sum(J15:J18)</f>
        <v>7894</v>
      </c>
      <c r="K14" s="158">
        <f t="shared" si="10"/>
        <v>8565</v>
      </c>
      <c r="L14" s="158">
        <f t="shared" si="10"/>
        <v>29368</v>
      </c>
      <c r="M14" s="158">
        <f t="shared" si="10"/>
        <v>55110</v>
      </c>
      <c r="N14" s="133">
        <f t="shared" ref="N14:N20" si="12">M14-L14</f>
        <v>25742</v>
      </c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</row>
    <row r="15">
      <c r="A15" s="144" t="s">
        <v>119</v>
      </c>
      <c r="B15" s="160" t="s">
        <v>29</v>
      </c>
      <c r="C15" s="160">
        <v>19.0</v>
      </c>
      <c r="D15" s="160">
        <v>24.0</v>
      </c>
      <c r="E15" s="152">
        <v>5062.0</v>
      </c>
      <c r="F15" s="152">
        <v>50615.0</v>
      </c>
      <c r="G15" s="133">
        <f t="shared" si="11"/>
        <v>45553</v>
      </c>
      <c r="H15" s="149"/>
      <c r="I15" s="151"/>
      <c r="J15" s="152">
        <v>23.0</v>
      </c>
      <c r="K15" s="152">
        <v>29.0</v>
      </c>
      <c r="L15" s="152">
        <v>20462.0</v>
      </c>
      <c r="M15" s="152">
        <v>50615.0</v>
      </c>
      <c r="N15" s="133">
        <f t="shared" si="12"/>
        <v>30153</v>
      </c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</row>
    <row r="16">
      <c r="A16" s="161">
        <f>IFERROR(__xludf.DUMMYFUNCTION("F14 / VALUE(REGEXREPLACE(A15, ""[^0-9]"", """"))"),0.16314454277286136)</f>
        <v>0.1631445428</v>
      </c>
      <c r="B16" s="160" t="s">
        <v>28</v>
      </c>
      <c r="C16" s="152">
        <v>5790.0</v>
      </c>
      <c r="D16" s="152">
        <v>6018.0</v>
      </c>
      <c r="E16" s="152">
        <v>6958.0</v>
      </c>
      <c r="F16" s="152">
        <v>3075.0</v>
      </c>
      <c r="G16" s="133">
        <f t="shared" si="11"/>
        <v>-3883</v>
      </c>
      <c r="H16" s="149"/>
      <c r="I16" s="151"/>
      <c r="J16" s="152">
        <v>7669.0</v>
      </c>
      <c r="K16" s="152">
        <v>8144.0</v>
      </c>
      <c r="L16" s="152">
        <v>8049.0</v>
      </c>
      <c r="M16" s="152">
        <v>3075.0</v>
      </c>
      <c r="N16" s="133">
        <f t="shared" si="12"/>
        <v>-4974</v>
      </c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>
      <c r="A17" s="149"/>
      <c r="B17" s="160" t="s">
        <v>31</v>
      </c>
      <c r="C17" s="149"/>
      <c r="D17" s="160">
        <v>1.0</v>
      </c>
      <c r="E17" s="160">
        <v>132.0</v>
      </c>
      <c r="F17" s="152">
        <v>1149.0</v>
      </c>
      <c r="G17" s="133">
        <f t="shared" si="11"/>
        <v>1017</v>
      </c>
      <c r="H17" s="149"/>
      <c r="I17" s="151"/>
      <c r="J17" s="151"/>
      <c r="K17" s="152">
        <v>1.0</v>
      </c>
      <c r="L17" s="152">
        <v>503.0</v>
      </c>
      <c r="M17" s="152">
        <v>1149.0</v>
      </c>
      <c r="N17" s="133">
        <f t="shared" si="12"/>
        <v>646</v>
      </c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</row>
    <row r="18">
      <c r="A18" s="149"/>
      <c r="B18" s="160" t="s">
        <v>30</v>
      </c>
      <c r="C18" s="160">
        <v>160.0</v>
      </c>
      <c r="D18" s="160">
        <v>321.0</v>
      </c>
      <c r="E18" s="160">
        <v>238.0</v>
      </c>
      <c r="F18" s="160">
        <v>271.0</v>
      </c>
      <c r="G18" s="127">
        <f t="shared" si="11"/>
        <v>33</v>
      </c>
      <c r="H18" s="149"/>
      <c r="I18" s="151"/>
      <c r="J18" s="152">
        <v>202.0</v>
      </c>
      <c r="K18" s="152">
        <v>391.0</v>
      </c>
      <c r="L18" s="152">
        <v>354.0</v>
      </c>
      <c r="M18" s="152">
        <v>271.0</v>
      </c>
      <c r="N18" s="133">
        <f t="shared" si="12"/>
        <v>-83</v>
      </c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</row>
    <row r="19">
      <c r="A19" s="149"/>
      <c r="B19" s="160" t="s">
        <v>33</v>
      </c>
      <c r="C19" s="160">
        <v>77.0</v>
      </c>
      <c r="D19" s="160">
        <v>112.0</v>
      </c>
      <c r="E19" s="160">
        <v>147.0</v>
      </c>
      <c r="F19" s="160">
        <v>143.0</v>
      </c>
      <c r="G19" s="127">
        <f t="shared" si="11"/>
        <v>-4</v>
      </c>
      <c r="H19" s="149"/>
      <c r="I19" s="151"/>
      <c r="J19" s="152">
        <v>111.0</v>
      </c>
      <c r="K19" s="152">
        <v>142.0</v>
      </c>
      <c r="L19" s="152">
        <v>210.0</v>
      </c>
      <c r="M19" s="152">
        <v>143.0</v>
      </c>
      <c r="N19" s="133">
        <f t="shared" si="12"/>
        <v>-67</v>
      </c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</row>
    <row r="20">
      <c r="A20" s="149"/>
      <c r="B20" s="160" t="s">
        <v>34</v>
      </c>
      <c r="C20" s="160">
        <v>60.0</v>
      </c>
      <c r="D20" s="160">
        <v>15.0</v>
      </c>
      <c r="E20" s="160">
        <v>86.0</v>
      </c>
      <c r="F20" s="160">
        <v>53.0</v>
      </c>
      <c r="G20" s="127">
        <f t="shared" si="11"/>
        <v>-33</v>
      </c>
      <c r="H20" s="149"/>
      <c r="I20" s="151"/>
      <c r="J20" s="152">
        <v>65.0</v>
      </c>
      <c r="K20" s="152">
        <v>15.0</v>
      </c>
      <c r="L20" s="152">
        <v>127.0</v>
      </c>
      <c r="M20" s="152">
        <v>53.0</v>
      </c>
      <c r="N20" s="133">
        <f t="shared" si="12"/>
        <v>-74</v>
      </c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</row>
    <row r="21">
      <c r="A21" s="160"/>
      <c r="B21" s="149"/>
      <c r="C21" s="152"/>
      <c r="D21" s="152"/>
      <c r="E21" s="152"/>
      <c r="F21" s="152"/>
      <c r="G21" s="149"/>
      <c r="H21" s="149"/>
      <c r="I21" s="151"/>
      <c r="J21" s="158"/>
      <c r="K21" s="158"/>
      <c r="L21" s="158"/>
      <c r="M21" s="158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</row>
    <row r="22">
      <c r="A22" s="88" t="s">
        <v>77</v>
      </c>
      <c r="B22" s="156"/>
      <c r="C22" s="157">
        <v>7455.0</v>
      </c>
      <c r="D22" s="157">
        <v>30319.0</v>
      </c>
      <c r="E22" s="157">
        <v>18617.0</v>
      </c>
      <c r="F22" s="157">
        <v>14601.0</v>
      </c>
      <c r="G22" s="133">
        <f t="shared" ref="G22:G28" si="14">F22-E22</f>
        <v>-4016</v>
      </c>
      <c r="H22" s="156"/>
      <c r="I22" s="158"/>
      <c r="J22" s="158">
        <f t="shared" ref="J22:M22" si="13">sum(J23:J26)</f>
        <v>10134</v>
      </c>
      <c r="K22" s="158">
        <f t="shared" si="13"/>
        <v>37232</v>
      </c>
      <c r="L22" s="158">
        <f t="shared" si="13"/>
        <v>22949</v>
      </c>
      <c r="M22" s="158">
        <f t="shared" si="13"/>
        <v>14206</v>
      </c>
      <c r="N22" s="133">
        <f t="shared" ref="N22:N28" si="15">M22-L22</f>
        <v>-8743</v>
      </c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</row>
    <row r="23">
      <c r="A23" s="144" t="s">
        <v>120</v>
      </c>
      <c r="B23" s="160" t="s">
        <v>29</v>
      </c>
      <c r="C23" s="160">
        <v>577.0</v>
      </c>
      <c r="D23" s="152">
        <v>22382.0</v>
      </c>
      <c r="E23" s="152">
        <v>9034.0</v>
      </c>
      <c r="F23" s="152">
        <v>5262.0</v>
      </c>
      <c r="G23" s="133">
        <f t="shared" si="14"/>
        <v>-3772</v>
      </c>
      <c r="H23" s="149"/>
      <c r="I23" s="151"/>
      <c r="J23" s="152">
        <v>725.0</v>
      </c>
      <c r="K23" s="152">
        <v>27365.0</v>
      </c>
      <c r="L23" s="152">
        <v>10418.0</v>
      </c>
      <c r="M23" s="152">
        <v>5262.0</v>
      </c>
      <c r="N23" s="133">
        <f t="shared" si="15"/>
        <v>-5156</v>
      </c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</row>
    <row r="24">
      <c r="A24" s="161">
        <f>IFERROR(__xludf.DUMMYFUNCTION("F22 / VALUE(REGEXREPLACE(A23, ""[^0-9]"", """"))"),0.023936457974720896)</f>
        <v>0.02393645797</v>
      </c>
      <c r="B24" s="160" t="s">
        <v>28</v>
      </c>
      <c r="C24" s="152">
        <v>4807.0</v>
      </c>
      <c r="D24" s="152">
        <v>4996.0</v>
      </c>
      <c r="E24" s="152">
        <v>6063.0</v>
      </c>
      <c r="F24" s="152">
        <v>5869.0</v>
      </c>
      <c r="G24" s="133">
        <f t="shared" si="14"/>
        <v>-194</v>
      </c>
      <c r="H24" s="149"/>
      <c r="I24" s="151"/>
      <c r="J24" s="152">
        <v>6736.0</v>
      </c>
      <c r="K24" s="152">
        <v>6770.0</v>
      </c>
      <c r="L24" s="152">
        <v>8317.0</v>
      </c>
      <c r="M24" s="152">
        <v>5869.0</v>
      </c>
      <c r="N24" s="133">
        <f t="shared" si="15"/>
        <v>-2448</v>
      </c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</row>
    <row r="25">
      <c r="A25" s="149"/>
      <c r="B25" s="160" t="s">
        <v>33</v>
      </c>
      <c r="C25" s="152">
        <v>1084.0</v>
      </c>
      <c r="D25" s="152">
        <v>1395.0</v>
      </c>
      <c r="E25" s="152">
        <v>2104.0</v>
      </c>
      <c r="F25" s="152">
        <v>1979.0</v>
      </c>
      <c r="G25" s="133">
        <f t="shared" si="14"/>
        <v>-125</v>
      </c>
      <c r="H25" s="149"/>
      <c r="I25" s="151"/>
      <c r="J25" s="152">
        <v>1634.0</v>
      </c>
      <c r="K25" s="152">
        <v>1904.0</v>
      </c>
      <c r="L25" s="152">
        <v>3012.0</v>
      </c>
      <c r="M25" s="152">
        <v>1979.0</v>
      </c>
      <c r="N25" s="133">
        <f t="shared" si="15"/>
        <v>-1033</v>
      </c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</row>
    <row r="26">
      <c r="A26" s="149"/>
      <c r="B26" s="160" t="s">
        <v>30</v>
      </c>
      <c r="C26" s="160">
        <v>775.0</v>
      </c>
      <c r="D26" s="160">
        <v>907.0</v>
      </c>
      <c r="E26" s="160">
        <v>927.0</v>
      </c>
      <c r="F26" s="152">
        <v>1096.0</v>
      </c>
      <c r="G26" s="133">
        <f t="shared" si="14"/>
        <v>169</v>
      </c>
      <c r="H26" s="149"/>
      <c r="I26" s="151"/>
      <c r="J26" s="152">
        <v>1039.0</v>
      </c>
      <c r="K26" s="152">
        <v>1193.0</v>
      </c>
      <c r="L26" s="152">
        <v>1202.0</v>
      </c>
      <c r="M26" s="152">
        <v>1096.0</v>
      </c>
      <c r="N26" s="133">
        <f t="shared" si="15"/>
        <v>-106</v>
      </c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</row>
    <row r="27">
      <c r="A27" s="149"/>
      <c r="B27" s="160" t="s">
        <v>31</v>
      </c>
      <c r="C27" s="160">
        <v>48.0</v>
      </c>
      <c r="D27" s="160">
        <v>406.0</v>
      </c>
      <c r="E27" s="160">
        <v>299.0</v>
      </c>
      <c r="F27" s="160">
        <v>135.0</v>
      </c>
      <c r="G27" s="127">
        <f t="shared" si="14"/>
        <v>-164</v>
      </c>
      <c r="H27" s="149"/>
      <c r="I27" s="151"/>
      <c r="J27" s="152">
        <v>247.0</v>
      </c>
      <c r="K27" s="152">
        <v>292.0</v>
      </c>
      <c r="L27" s="152">
        <v>297.0</v>
      </c>
      <c r="M27" s="152">
        <v>260.0</v>
      </c>
      <c r="N27" s="133">
        <f t="shared" si="15"/>
        <v>-37</v>
      </c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</row>
    <row r="28">
      <c r="A28" s="149"/>
      <c r="B28" s="160" t="s">
        <v>34</v>
      </c>
      <c r="C28" s="160">
        <v>164.0</v>
      </c>
      <c r="D28" s="160">
        <v>233.0</v>
      </c>
      <c r="E28" s="160">
        <v>190.0</v>
      </c>
      <c r="F28" s="160">
        <v>260.0</v>
      </c>
      <c r="G28" s="127">
        <f t="shared" si="14"/>
        <v>70</v>
      </c>
      <c r="H28" s="149"/>
      <c r="I28" s="151"/>
      <c r="J28" s="152">
        <v>59.0</v>
      </c>
      <c r="K28" s="152">
        <v>529.0</v>
      </c>
      <c r="L28" s="152">
        <v>336.0</v>
      </c>
      <c r="M28" s="152">
        <v>135.0</v>
      </c>
      <c r="N28" s="133">
        <f t="shared" si="15"/>
        <v>-201</v>
      </c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</row>
    <row r="29">
      <c r="A29" s="160"/>
      <c r="B29" s="149"/>
      <c r="C29" s="160"/>
      <c r="D29" s="160"/>
      <c r="E29" s="152"/>
      <c r="F29" s="152"/>
      <c r="G29" s="149"/>
      <c r="H29" s="149"/>
      <c r="I29" s="151"/>
      <c r="J29" s="158"/>
      <c r="K29" s="158"/>
      <c r="L29" s="158"/>
      <c r="M29" s="158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</row>
    <row r="30">
      <c r="A30" s="88" t="s">
        <v>78</v>
      </c>
      <c r="B30" s="156"/>
      <c r="C30" s="88">
        <v>864.0</v>
      </c>
      <c r="D30" s="88">
        <v>795.0</v>
      </c>
      <c r="E30" s="157">
        <v>1786.0</v>
      </c>
      <c r="F30" s="157">
        <v>1809.0</v>
      </c>
      <c r="G30" s="133">
        <f t="shared" ref="G30:G36" si="17">F30-E30</f>
        <v>23</v>
      </c>
      <c r="H30" s="156"/>
      <c r="I30" s="158"/>
      <c r="J30" s="158">
        <f t="shared" ref="J30:M30" si="16">sum(J31:J34)</f>
        <v>1131</v>
      </c>
      <c r="K30" s="158">
        <f t="shared" si="16"/>
        <v>1029</v>
      </c>
      <c r="L30" s="158">
        <f t="shared" si="16"/>
        <v>2339</v>
      </c>
      <c r="M30" s="158">
        <f t="shared" si="16"/>
        <v>1808</v>
      </c>
      <c r="N30" s="133">
        <f t="shared" ref="N30:N36" si="18">M30-L30</f>
        <v>-531</v>
      </c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</row>
    <row r="31">
      <c r="A31" s="144" t="s">
        <v>121</v>
      </c>
      <c r="B31" s="160" t="s">
        <v>28</v>
      </c>
      <c r="C31" s="160">
        <v>720.0</v>
      </c>
      <c r="D31" s="160">
        <v>663.0</v>
      </c>
      <c r="E31" s="152">
        <v>1556.0</v>
      </c>
      <c r="F31" s="152">
        <v>1505.0</v>
      </c>
      <c r="G31" s="133">
        <f t="shared" si="17"/>
        <v>-51</v>
      </c>
      <c r="H31" s="149"/>
      <c r="I31" s="151"/>
      <c r="J31" s="152">
        <v>958.0</v>
      </c>
      <c r="K31" s="152">
        <v>864.0</v>
      </c>
      <c r="L31" s="152">
        <v>2022.0</v>
      </c>
      <c r="M31" s="152">
        <v>1505.0</v>
      </c>
      <c r="N31" s="133">
        <f t="shared" si="18"/>
        <v>-517</v>
      </c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</row>
    <row r="32">
      <c r="A32" s="149"/>
      <c r="B32" s="160" t="s">
        <v>33</v>
      </c>
      <c r="C32" s="160">
        <v>82.0</v>
      </c>
      <c r="D32" s="160">
        <v>65.0</v>
      </c>
      <c r="E32" s="160">
        <v>131.0</v>
      </c>
      <c r="F32" s="160">
        <v>175.0</v>
      </c>
      <c r="G32" s="127">
        <f t="shared" si="17"/>
        <v>44</v>
      </c>
      <c r="H32" s="149"/>
      <c r="I32" s="151"/>
      <c r="J32" s="152">
        <v>98.0</v>
      </c>
      <c r="K32" s="152">
        <v>74.0</v>
      </c>
      <c r="L32" s="152">
        <v>170.0</v>
      </c>
      <c r="M32" s="152">
        <v>175.0</v>
      </c>
      <c r="N32" s="133">
        <f t="shared" si="18"/>
        <v>5</v>
      </c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</row>
    <row r="33">
      <c r="A33" s="149"/>
      <c r="B33" s="160" t="s">
        <v>30</v>
      </c>
      <c r="C33" s="160">
        <v>50.0</v>
      </c>
      <c r="D33" s="160">
        <v>52.0</v>
      </c>
      <c r="E33" s="160">
        <v>95.0</v>
      </c>
      <c r="F33" s="160">
        <v>118.0</v>
      </c>
      <c r="G33" s="127">
        <f t="shared" si="17"/>
        <v>23</v>
      </c>
      <c r="H33" s="149"/>
      <c r="I33" s="151"/>
      <c r="J33" s="152">
        <v>68.0</v>
      </c>
      <c r="K33" s="152">
        <v>76.0</v>
      </c>
      <c r="L33" s="152">
        <v>139.0</v>
      </c>
      <c r="M33" s="152">
        <v>118.0</v>
      </c>
      <c r="N33" s="133">
        <f t="shared" si="18"/>
        <v>-21</v>
      </c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</row>
    <row r="34">
      <c r="A34" s="149"/>
      <c r="B34" s="160" t="s">
        <v>34</v>
      </c>
      <c r="C34" s="160">
        <v>6.0</v>
      </c>
      <c r="D34" s="160">
        <v>11.0</v>
      </c>
      <c r="E34" s="160">
        <v>3.0</v>
      </c>
      <c r="F34" s="160">
        <v>10.0</v>
      </c>
      <c r="G34" s="127">
        <f t="shared" si="17"/>
        <v>7</v>
      </c>
      <c r="H34" s="149"/>
      <c r="I34" s="151"/>
      <c r="J34" s="152">
        <v>7.0</v>
      </c>
      <c r="K34" s="152">
        <v>15.0</v>
      </c>
      <c r="L34" s="152">
        <v>8.0</v>
      </c>
      <c r="M34" s="152">
        <v>10.0</v>
      </c>
      <c r="N34" s="133">
        <f t="shared" si="18"/>
        <v>2</v>
      </c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</row>
    <row r="35">
      <c r="A35" s="149"/>
      <c r="B35" s="160" t="s">
        <v>29</v>
      </c>
      <c r="C35" s="160">
        <v>6.0</v>
      </c>
      <c r="D35" s="160">
        <v>4.0</v>
      </c>
      <c r="E35" s="160">
        <v>1.0</v>
      </c>
      <c r="F35" s="149"/>
      <c r="G35" s="127">
        <f t="shared" si="17"/>
        <v>-1</v>
      </c>
      <c r="H35" s="149"/>
      <c r="I35" s="151"/>
      <c r="J35" s="152">
        <v>6.0</v>
      </c>
      <c r="K35" s="152">
        <v>5.0</v>
      </c>
      <c r="L35" s="152">
        <v>1.0</v>
      </c>
      <c r="M35" s="151"/>
      <c r="N35" s="133">
        <f t="shared" si="18"/>
        <v>-1</v>
      </c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</row>
    <row r="36">
      <c r="A36" s="149"/>
      <c r="B36" s="160" t="s">
        <v>31</v>
      </c>
      <c r="C36" s="149"/>
      <c r="D36" s="149"/>
      <c r="E36" s="149"/>
      <c r="F36" s="160">
        <v>1.0</v>
      </c>
      <c r="G36" s="127">
        <f t="shared" si="17"/>
        <v>1</v>
      </c>
      <c r="H36" s="149"/>
      <c r="I36" s="151"/>
      <c r="J36" s="151"/>
      <c r="K36" s="151"/>
      <c r="L36" s="151"/>
      <c r="M36" s="152">
        <v>1.0</v>
      </c>
      <c r="N36" s="133">
        <f t="shared" si="18"/>
        <v>1</v>
      </c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</row>
    <row r="37">
      <c r="A37" s="160"/>
      <c r="B37" s="149"/>
      <c r="C37" s="152"/>
      <c r="D37" s="152"/>
      <c r="E37" s="152"/>
      <c r="F37" s="152"/>
      <c r="G37" s="149"/>
      <c r="H37" s="149"/>
      <c r="I37" s="151"/>
      <c r="J37" s="158"/>
      <c r="K37" s="158"/>
      <c r="L37" s="158"/>
      <c r="M37" s="158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</row>
    <row r="38">
      <c r="A38" s="88" t="s">
        <v>79</v>
      </c>
      <c r="B38" s="156"/>
      <c r="C38" s="157">
        <v>1248.0</v>
      </c>
      <c r="D38" s="157">
        <v>1085.0</v>
      </c>
      <c r="E38" s="157">
        <v>1254.0</v>
      </c>
      <c r="F38" s="157">
        <v>1064.0</v>
      </c>
      <c r="G38" s="133">
        <f t="shared" ref="G38:G43" si="20">F38-E38</f>
        <v>-190</v>
      </c>
      <c r="H38" s="156"/>
      <c r="I38" s="158"/>
      <c r="J38" s="158">
        <f t="shared" ref="J38:M38" si="19">sum(J39:J42)</f>
        <v>1634</v>
      </c>
      <c r="K38" s="158">
        <f t="shared" si="19"/>
        <v>1422</v>
      </c>
      <c r="L38" s="158">
        <f t="shared" si="19"/>
        <v>1629</v>
      </c>
      <c r="M38" s="158">
        <f t="shared" si="19"/>
        <v>1061</v>
      </c>
      <c r="N38" s="133">
        <f t="shared" ref="N38:N43" si="21">M38-L38</f>
        <v>-568</v>
      </c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</row>
    <row r="39">
      <c r="A39" s="144" t="s">
        <v>122</v>
      </c>
      <c r="B39" s="160" t="s">
        <v>28</v>
      </c>
      <c r="C39" s="152">
        <v>1130.0</v>
      </c>
      <c r="D39" s="160">
        <v>970.0</v>
      </c>
      <c r="E39" s="152">
        <v>1127.0</v>
      </c>
      <c r="F39" s="160">
        <v>918.0</v>
      </c>
      <c r="G39" s="133">
        <f t="shared" si="20"/>
        <v>-209</v>
      </c>
      <c r="H39" s="149"/>
      <c r="I39" s="151"/>
      <c r="J39" s="152">
        <v>1493.0</v>
      </c>
      <c r="K39" s="152">
        <v>1273.0</v>
      </c>
      <c r="L39" s="152">
        <v>1467.0</v>
      </c>
      <c r="M39" s="152">
        <v>918.0</v>
      </c>
      <c r="N39" s="133">
        <f t="shared" si="21"/>
        <v>-549</v>
      </c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</row>
    <row r="40">
      <c r="A40" s="149"/>
      <c r="B40" s="160" t="s">
        <v>33</v>
      </c>
      <c r="C40" s="160">
        <v>64.0</v>
      </c>
      <c r="D40" s="160">
        <v>30.0</v>
      </c>
      <c r="E40" s="160">
        <v>52.0</v>
      </c>
      <c r="F40" s="160">
        <v>41.0</v>
      </c>
      <c r="G40" s="127">
        <f t="shared" si="20"/>
        <v>-11</v>
      </c>
      <c r="H40" s="149"/>
      <c r="I40" s="151"/>
      <c r="J40" s="152">
        <v>85.0</v>
      </c>
      <c r="K40" s="152">
        <v>44.0</v>
      </c>
      <c r="L40" s="152">
        <v>72.0</v>
      </c>
      <c r="M40" s="152">
        <v>41.0</v>
      </c>
      <c r="N40" s="133">
        <f t="shared" si="21"/>
        <v>-31</v>
      </c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</row>
    <row r="41">
      <c r="A41" s="149"/>
      <c r="B41" s="160" t="s">
        <v>30</v>
      </c>
      <c r="C41" s="160">
        <v>48.0</v>
      </c>
      <c r="D41" s="160">
        <v>42.0</v>
      </c>
      <c r="E41" s="160">
        <v>36.0</v>
      </c>
      <c r="F41" s="160">
        <v>48.0</v>
      </c>
      <c r="G41" s="127">
        <f t="shared" si="20"/>
        <v>12</v>
      </c>
      <c r="H41" s="149"/>
      <c r="I41" s="151"/>
      <c r="J41" s="152">
        <v>52.0</v>
      </c>
      <c r="K41" s="152">
        <v>53.0</v>
      </c>
      <c r="L41" s="152">
        <v>54.0</v>
      </c>
      <c r="M41" s="152">
        <v>48.0</v>
      </c>
      <c r="N41" s="133">
        <f t="shared" si="21"/>
        <v>-6</v>
      </c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</row>
    <row r="42">
      <c r="A42" s="149"/>
      <c r="B42" s="160" t="s">
        <v>29</v>
      </c>
      <c r="C42" s="160">
        <v>3.0</v>
      </c>
      <c r="D42" s="160">
        <v>36.0</v>
      </c>
      <c r="E42" s="160">
        <v>25.0</v>
      </c>
      <c r="F42" s="160">
        <v>54.0</v>
      </c>
      <c r="G42" s="127">
        <f t="shared" si="20"/>
        <v>29</v>
      </c>
      <c r="H42" s="149"/>
      <c r="I42" s="151"/>
      <c r="J42" s="152">
        <v>4.0</v>
      </c>
      <c r="K42" s="152">
        <v>52.0</v>
      </c>
      <c r="L42" s="152">
        <v>36.0</v>
      </c>
      <c r="M42" s="152">
        <v>54.0</v>
      </c>
      <c r="N42" s="133">
        <f t="shared" si="21"/>
        <v>18</v>
      </c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</row>
    <row r="43">
      <c r="A43" s="149"/>
      <c r="B43" s="160" t="s">
        <v>34</v>
      </c>
      <c r="C43" s="160">
        <v>3.0</v>
      </c>
      <c r="D43" s="160">
        <v>7.0</v>
      </c>
      <c r="E43" s="160">
        <v>14.0</v>
      </c>
      <c r="F43" s="160">
        <v>3.0</v>
      </c>
      <c r="G43" s="127">
        <f t="shared" si="20"/>
        <v>-11</v>
      </c>
      <c r="H43" s="149"/>
      <c r="I43" s="151"/>
      <c r="J43" s="152">
        <v>3.0</v>
      </c>
      <c r="K43" s="152">
        <v>7.0</v>
      </c>
      <c r="L43" s="152">
        <v>17.0</v>
      </c>
      <c r="M43" s="152">
        <v>3.0</v>
      </c>
      <c r="N43" s="133">
        <f t="shared" si="21"/>
        <v>-14</v>
      </c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</row>
    <row r="44">
      <c r="A44" s="160"/>
      <c r="B44" s="149"/>
      <c r="C44" s="160"/>
      <c r="D44" s="160"/>
      <c r="E44" s="160"/>
      <c r="F44" s="160"/>
      <c r="G44" s="127"/>
      <c r="H44" s="149"/>
      <c r="I44" s="151"/>
      <c r="J44" s="158"/>
      <c r="K44" s="158"/>
      <c r="L44" s="158"/>
      <c r="M44" s="158"/>
      <c r="N44" s="127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</row>
    <row r="45">
      <c r="A45" s="88" t="s">
        <v>80</v>
      </c>
      <c r="B45" s="156"/>
      <c r="C45" s="88">
        <v>650.0</v>
      </c>
      <c r="D45" s="88">
        <v>580.0</v>
      </c>
      <c r="E45" s="88">
        <v>852.0</v>
      </c>
      <c r="F45" s="88">
        <v>800.0</v>
      </c>
      <c r="G45" s="127">
        <f t="shared" ref="G45:G50" si="23">F45-E45</f>
        <v>-52</v>
      </c>
      <c r="H45" s="156"/>
      <c r="I45" s="158"/>
      <c r="J45" s="158">
        <f t="shared" ref="J45:M45" si="22">sum(J46:J49)</f>
        <v>807</v>
      </c>
      <c r="K45" s="158">
        <f t="shared" si="22"/>
        <v>771</v>
      </c>
      <c r="L45" s="158">
        <f t="shared" si="22"/>
        <v>1167</v>
      </c>
      <c r="M45" s="158">
        <f t="shared" si="22"/>
        <v>794</v>
      </c>
      <c r="N45" s="133">
        <f t="shared" ref="N45:N50" si="24">M45-L45</f>
        <v>-373</v>
      </c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</row>
    <row r="46">
      <c r="A46" s="160"/>
      <c r="B46" s="160" t="s">
        <v>28</v>
      </c>
      <c r="C46" s="160">
        <v>592.0</v>
      </c>
      <c r="D46" s="160">
        <v>476.0</v>
      </c>
      <c r="E46" s="160">
        <v>762.0</v>
      </c>
      <c r="F46" s="160">
        <v>667.0</v>
      </c>
      <c r="G46" s="127">
        <f t="shared" si="23"/>
        <v>-95</v>
      </c>
      <c r="H46" s="149"/>
      <c r="I46" s="151"/>
      <c r="J46" s="152">
        <v>741.0</v>
      </c>
      <c r="K46" s="152">
        <v>656.0</v>
      </c>
      <c r="L46" s="152">
        <v>1063.0</v>
      </c>
      <c r="M46" s="152">
        <v>667.0</v>
      </c>
      <c r="N46" s="133">
        <f t="shared" si="24"/>
        <v>-396</v>
      </c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</row>
    <row r="47">
      <c r="A47" s="149"/>
      <c r="B47" s="160" t="s">
        <v>30</v>
      </c>
      <c r="C47" s="160">
        <v>33.0</v>
      </c>
      <c r="D47" s="160">
        <v>39.0</v>
      </c>
      <c r="E47" s="160">
        <v>38.0</v>
      </c>
      <c r="F47" s="160">
        <v>69.0</v>
      </c>
      <c r="G47" s="127">
        <f t="shared" si="23"/>
        <v>31</v>
      </c>
      <c r="H47" s="149"/>
      <c r="I47" s="151"/>
      <c r="J47" s="152">
        <v>44.0</v>
      </c>
      <c r="K47" s="152">
        <v>43.0</v>
      </c>
      <c r="L47" s="152">
        <v>56.0</v>
      </c>
      <c r="M47" s="152">
        <v>69.0</v>
      </c>
      <c r="N47" s="133">
        <f t="shared" si="24"/>
        <v>13</v>
      </c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</row>
    <row r="48">
      <c r="A48" s="149"/>
      <c r="B48" s="160" t="s">
        <v>33</v>
      </c>
      <c r="C48" s="160">
        <v>16.0</v>
      </c>
      <c r="D48" s="160">
        <v>30.0</v>
      </c>
      <c r="E48" s="160">
        <v>37.0</v>
      </c>
      <c r="F48" s="160">
        <v>53.0</v>
      </c>
      <c r="G48" s="127">
        <f t="shared" si="23"/>
        <v>16</v>
      </c>
      <c r="H48" s="149"/>
      <c r="I48" s="151"/>
      <c r="J48" s="152">
        <v>20.0</v>
      </c>
      <c r="K48" s="152">
        <v>32.0</v>
      </c>
      <c r="L48" s="152">
        <v>46.0</v>
      </c>
      <c r="M48" s="152">
        <v>53.0</v>
      </c>
      <c r="N48" s="133">
        <f t="shared" si="24"/>
        <v>7</v>
      </c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</row>
    <row r="49">
      <c r="A49" s="149"/>
      <c r="B49" s="160" t="s">
        <v>29</v>
      </c>
      <c r="C49" s="160">
        <v>1.0</v>
      </c>
      <c r="D49" s="160">
        <v>34.0</v>
      </c>
      <c r="E49" s="160">
        <v>1.0</v>
      </c>
      <c r="F49" s="160">
        <v>5.0</v>
      </c>
      <c r="G49" s="127">
        <f t="shared" si="23"/>
        <v>4</v>
      </c>
      <c r="H49" s="149"/>
      <c r="I49" s="151"/>
      <c r="J49" s="152">
        <v>2.0</v>
      </c>
      <c r="K49" s="152">
        <v>40.0</v>
      </c>
      <c r="L49" s="152">
        <v>2.0</v>
      </c>
      <c r="M49" s="152">
        <v>5.0</v>
      </c>
      <c r="N49" s="133">
        <f t="shared" si="24"/>
        <v>3</v>
      </c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</row>
    <row r="50">
      <c r="A50" s="149"/>
      <c r="B50" s="160" t="s">
        <v>34</v>
      </c>
      <c r="C50" s="160">
        <v>8.0</v>
      </c>
      <c r="D50" s="160">
        <v>1.0</v>
      </c>
      <c r="E50" s="160">
        <v>14.0</v>
      </c>
      <c r="F50" s="160">
        <v>6.0</v>
      </c>
      <c r="G50" s="127">
        <f t="shared" si="23"/>
        <v>-8</v>
      </c>
      <c r="H50" s="149"/>
      <c r="I50" s="151"/>
      <c r="J50" s="152">
        <v>12.0</v>
      </c>
      <c r="K50" s="152">
        <v>1.0</v>
      </c>
      <c r="L50" s="152">
        <v>16.0</v>
      </c>
      <c r="M50" s="152">
        <v>6.0</v>
      </c>
      <c r="N50" s="133">
        <f t="shared" si="24"/>
        <v>-10</v>
      </c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</row>
    <row r="51">
      <c r="A51" s="160"/>
      <c r="B51" s="149"/>
      <c r="C51" s="160"/>
      <c r="D51" s="160"/>
      <c r="E51" s="160"/>
      <c r="F51" s="160"/>
      <c r="G51" s="127"/>
      <c r="H51" s="149"/>
      <c r="I51" s="151"/>
      <c r="J51" s="158"/>
      <c r="K51" s="158"/>
      <c r="L51" s="158"/>
      <c r="M51" s="158"/>
      <c r="N51" s="127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</row>
    <row r="52">
      <c r="A52" s="88" t="s">
        <v>81</v>
      </c>
      <c r="B52" s="156"/>
      <c r="C52" s="88">
        <v>536.0</v>
      </c>
      <c r="D52" s="88">
        <v>499.0</v>
      </c>
      <c r="E52" s="88">
        <v>553.0</v>
      </c>
      <c r="F52" s="88">
        <v>470.0</v>
      </c>
      <c r="G52" s="127">
        <f t="shared" ref="G52:G58" si="26">F52-E52</f>
        <v>-83</v>
      </c>
      <c r="H52" s="156"/>
      <c r="I52" s="158"/>
      <c r="J52" s="158">
        <f t="shared" ref="J52:M52" si="25">sum(J53:J56)</f>
        <v>689</v>
      </c>
      <c r="K52" s="158">
        <f t="shared" si="25"/>
        <v>666</v>
      </c>
      <c r="L52" s="158">
        <f t="shared" si="25"/>
        <v>702</v>
      </c>
      <c r="M52" s="158">
        <f t="shared" si="25"/>
        <v>463</v>
      </c>
      <c r="N52" s="133">
        <f t="shared" ref="N52:N58" si="27">M52-L52</f>
        <v>-239</v>
      </c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</row>
    <row r="53">
      <c r="A53" s="144" t="s">
        <v>123</v>
      </c>
      <c r="B53" s="160" t="s">
        <v>28</v>
      </c>
      <c r="C53" s="160">
        <v>476.0</v>
      </c>
      <c r="D53" s="160">
        <v>412.0</v>
      </c>
      <c r="E53" s="160">
        <v>462.0</v>
      </c>
      <c r="F53" s="160">
        <v>386.0</v>
      </c>
      <c r="G53" s="127">
        <f t="shared" si="26"/>
        <v>-76</v>
      </c>
      <c r="H53" s="149"/>
      <c r="I53" s="151"/>
      <c r="J53" s="152">
        <v>606.0</v>
      </c>
      <c r="K53" s="152">
        <v>553.0</v>
      </c>
      <c r="L53" s="152">
        <v>590.0</v>
      </c>
      <c r="M53" s="152">
        <v>386.0</v>
      </c>
      <c r="N53" s="133">
        <f t="shared" si="27"/>
        <v>-204</v>
      </c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</row>
    <row r="54">
      <c r="A54" s="161">
        <f>IFERROR(__xludf.DUMMYFUNCTION("F52 / VALUE(REGEXREPLACE(A53, ""[^0-9]"", """"))"),1.6206896551724137E-4)</f>
        <v>0.0001620689655</v>
      </c>
      <c r="B54" s="160" t="s">
        <v>33</v>
      </c>
      <c r="C54" s="160">
        <v>22.0</v>
      </c>
      <c r="D54" s="160">
        <v>38.0</v>
      </c>
      <c r="E54" s="160">
        <v>52.0</v>
      </c>
      <c r="F54" s="160">
        <v>49.0</v>
      </c>
      <c r="G54" s="127">
        <f t="shared" si="26"/>
        <v>-3</v>
      </c>
      <c r="H54" s="149"/>
      <c r="I54" s="151"/>
      <c r="J54" s="152">
        <v>38.0</v>
      </c>
      <c r="K54" s="152">
        <v>57.0</v>
      </c>
      <c r="L54" s="152">
        <v>67.0</v>
      </c>
      <c r="M54" s="152">
        <v>49.0</v>
      </c>
      <c r="N54" s="133">
        <f t="shared" si="27"/>
        <v>-18</v>
      </c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</row>
    <row r="55">
      <c r="A55" s="149"/>
      <c r="B55" s="160" t="s">
        <v>30</v>
      </c>
      <c r="C55" s="160">
        <v>30.0</v>
      </c>
      <c r="D55" s="160">
        <v>38.0</v>
      </c>
      <c r="E55" s="160">
        <v>35.0</v>
      </c>
      <c r="F55" s="160">
        <v>24.0</v>
      </c>
      <c r="G55" s="127">
        <f t="shared" si="26"/>
        <v>-11</v>
      </c>
      <c r="H55" s="149"/>
      <c r="I55" s="151"/>
      <c r="J55" s="152">
        <v>39.0</v>
      </c>
      <c r="K55" s="152">
        <v>51.0</v>
      </c>
      <c r="L55" s="152">
        <v>41.0</v>
      </c>
      <c r="M55" s="152">
        <v>24.0</v>
      </c>
      <c r="N55" s="133">
        <f t="shared" si="27"/>
        <v>-17</v>
      </c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</row>
    <row r="56">
      <c r="A56" s="149"/>
      <c r="B56" s="160" t="s">
        <v>34</v>
      </c>
      <c r="C56" s="160">
        <v>6.0</v>
      </c>
      <c r="D56" s="160">
        <v>5.0</v>
      </c>
      <c r="E56" s="160">
        <v>4.0</v>
      </c>
      <c r="F56" s="160">
        <v>4.0</v>
      </c>
      <c r="G56" s="127">
        <f t="shared" si="26"/>
        <v>0</v>
      </c>
      <c r="H56" s="149"/>
      <c r="I56" s="151"/>
      <c r="J56" s="152">
        <v>6.0</v>
      </c>
      <c r="K56" s="152">
        <v>5.0</v>
      </c>
      <c r="L56" s="152">
        <v>4.0</v>
      </c>
      <c r="M56" s="152">
        <v>4.0</v>
      </c>
      <c r="N56" s="133">
        <f t="shared" si="27"/>
        <v>0</v>
      </c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</row>
    <row r="57">
      <c r="A57" s="149"/>
      <c r="B57" s="160" t="s">
        <v>29</v>
      </c>
      <c r="C57" s="160">
        <v>2.0</v>
      </c>
      <c r="D57" s="160">
        <v>6.0</v>
      </c>
      <c r="E57" s="149"/>
      <c r="F57" s="160">
        <v>6.0</v>
      </c>
      <c r="G57" s="127">
        <f t="shared" si="26"/>
        <v>6</v>
      </c>
      <c r="H57" s="149"/>
      <c r="I57" s="151"/>
      <c r="J57" s="152">
        <v>4.0</v>
      </c>
      <c r="K57" s="152">
        <v>6.0</v>
      </c>
      <c r="L57" s="152">
        <v>3.0</v>
      </c>
      <c r="M57" s="152">
        <v>6.0</v>
      </c>
      <c r="N57" s="133">
        <f t="shared" si="27"/>
        <v>3</v>
      </c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</row>
    <row r="58">
      <c r="A58" s="149"/>
      <c r="B58" s="160" t="s">
        <v>31</v>
      </c>
      <c r="C58" s="149"/>
      <c r="D58" s="149"/>
      <c r="E58" s="149"/>
      <c r="F58" s="160">
        <v>1.0</v>
      </c>
      <c r="G58" s="127">
        <f t="shared" si="26"/>
        <v>1</v>
      </c>
      <c r="H58" s="149"/>
      <c r="I58" s="151"/>
      <c r="J58" s="151"/>
      <c r="K58" s="151"/>
      <c r="L58" s="151"/>
      <c r="M58" s="152">
        <v>1.0</v>
      </c>
      <c r="N58" s="133">
        <f t="shared" si="27"/>
        <v>1</v>
      </c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</row>
    <row r="59">
      <c r="A59" s="160"/>
      <c r="B59" s="149"/>
      <c r="C59" s="160"/>
      <c r="D59" s="160"/>
      <c r="E59" s="160"/>
      <c r="F59" s="160"/>
      <c r="G59" s="149"/>
      <c r="H59" s="149"/>
      <c r="I59" s="151"/>
      <c r="J59" s="162"/>
      <c r="K59" s="162"/>
      <c r="L59" s="162"/>
      <c r="M59" s="162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</row>
    <row r="60">
      <c r="A60" s="88" t="s">
        <v>82</v>
      </c>
      <c r="B60" s="156"/>
      <c r="C60" s="88">
        <v>335.0</v>
      </c>
      <c r="D60" s="88">
        <v>335.0</v>
      </c>
      <c r="E60" s="88">
        <v>440.0</v>
      </c>
      <c r="F60" s="88">
        <v>389.0</v>
      </c>
      <c r="G60" s="127">
        <f t="shared" ref="G60:G65" si="29">F60-E60</f>
        <v>-51</v>
      </c>
      <c r="H60" s="156"/>
      <c r="I60" s="158"/>
      <c r="J60" s="158">
        <f t="shared" ref="J60:M60" si="28">sum(J61:J64)</f>
        <v>430</v>
      </c>
      <c r="K60" s="158">
        <f t="shared" si="28"/>
        <v>408</v>
      </c>
      <c r="L60" s="158">
        <f t="shared" si="28"/>
        <v>550</v>
      </c>
      <c r="M60" s="158">
        <f t="shared" si="28"/>
        <v>386</v>
      </c>
      <c r="N60" s="133">
        <f t="shared" ref="N60:N65" si="30">M60-L60</f>
        <v>-164</v>
      </c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</row>
    <row r="61">
      <c r="A61" s="144" t="s">
        <v>124</v>
      </c>
      <c r="B61" s="160" t="s">
        <v>28</v>
      </c>
      <c r="C61" s="160">
        <v>291.0</v>
      </c>
      <c r="D61" s="160">
        <v>292.0</v>
      </c>
      <c r="E61" s="160">
        <v>388.0</v>
      </c>
      <c r="F61" s="160">
        <v>345.0</v>
      </c>
      <c r="G61" s="127">
        <f t="shared" si="29"/>
        <v>-43</v>
      </c>
      <c r="H61" s="149"/>
      <c r="I61" s="151"/>
      <c r="J61" s="152">
        <v>382.0</v>
      </c>
      <c r="K61" s="152">
        <v>359.0</v>
      </c>
      <c r="L61" s="152">
        <v>485.0</v>
      </c>
      <c r="M61" s="152">
        <v>345.0</v>
      </c>
      <c r="N61" s="133">
        <f t="shared" si="30"/>
        <v>-140</v>
      </c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</row>
    <row r="62">
      <c r="A62" s="161">
        <f>IFERROR(__xludf.DUMMYFUNCTION("F60 / VALUE(REGEXREPLACE(A61, ""[^0-9]"", """"))"),0.001916256157635468)</f>
        <v>0.001916256158</v>
      </c>
      <c r="B62" s="160" t="s">
        <v>33</v>
      </c>
      <c r="C62" s="160">
        <v>28.0</v>
      </c>
      <c r="D62" s="160">
        <v>28.0</v>
      </c>
      <c r="E62" s="160">
        <v>28.0</v>
      </c>
      <c r="F62" s="160">
        <v>25.0</v>
      </c>
      <c r="G62" s="127">
        <f t="shared" si="29"/>
        <v>-3</v>
      </c>
      <c r="H62" s="149"/>
      <c r="I62" s="151"/>
      <c r="J62" s="152">
        <v>28.0</v>
      </c>
      <c r="K62" s="152">
        <v>30.0</v>
      </c>
      <c r="L62" s="152">
        <v>39.0</v>
      </c>
      <c r="M62" s="152">
        <v>25.0</v>
      </c>
      <c r="N62" s="133">
        <f t="shared" si="30"/>
        <v>-14</v>
      </c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</row>
    <row r="63">
      <c r="A63" s="149"/>
      <c r="B63" s="160" t="s">
        <v>30</v>
      </c>
      <c r="C63" s="160">
        <v>11.0</v>
      </c>
      <c r="D63" s="160">
        <v>14.0</v>
      </c>
      <c r="E63" s="160">
        <v>21.0</v>
      </c>
      <c r="F63" s="160">
        <v>15.0</v>
      </c>
      <c r="G63" s="127">
        <f t="shared" si="29"/>
        <v>-6</v>
      </c>
      <c r="H63" s="149"/>
      <c r="I63" s="151"/>
      <c r="J63" s="152">
        <v>14.0</v>
      </c>
      <c r="K63" s="152">
        <v>18.0</v>
      </c>
      <c r="L63" s="152">
        <v>23.0</v>
      </c>
      <c r="M63" s="152">
        <v>15.0</v>
      </c>
      <c r="N63" s="133">
        <f t="shared" si="30"/>
        <v>-8</v>
      </c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</row>
    <row r="64">
      <c r="A64" s="149"/>
      <c r="B64" s="160" t="s">
        <v>34</v>
      </c>
      <c r="C64" s="160">
        <v>4.0</v>
      </c>
      <c r="D64" s="160">
        <v>1.0</v>
      </c>
      <c r="E64" s="160">
        <v>3.0</v>
      </c>
      <c r="F64" s="160">
        <v>1.0</v>
      </c>
      <c r="G64" s="127">
        <f t="shared" si="29"/>
        <v>-2</v>
      </c>
      <c r="H64" s="149"/>
      <c r="I64" s="151"/>
      <c r="J64" s="152">
        <v>6.0</v>
      </c>
      <c r="K64" s="152">
        <v>1.0</v>
      </c>
      <c r="L64" s="152">
        <v>3.0</v>
      </c>
      <c r="M64" s="152">
        <v>1.0</v>
      </c>
      <c r="N64" s="133">
        <f t="shared" si="30"/>
        <v>-2</v>
      </c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</row>
    <row r="65">
      <c r="A65" s="149"/>
      <c r="B65" s="160" t="s">
        <v>29</v>
      </c>
      <c r="C65" s="160">
        <v>1.0</v>
      </c>
      <c r="D65" s="149"/>
      <c r="E65" s="149"/>
      <c r="F65" s="160">
        <v>3.0</v>
      </c>
      <c r="G65" s="127">
        <f t="shared" si="29"/>
        <v>3</v>
      </c>
      <c r="H65" s="149"/>
      <c r="I65" s="151"/>
      <c r="J65" s="152">
        <v>1.0</v>
      </c>
      <c r="K65" s="151"/>
      <c r="L65" s="151"/>
      <c r="M65" s="152">
        <v>3.0</v>
      </c>
      <c r="N65" s="133">
        <f t="shared" si="30"/>
        <v>3</v>
      </c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</row>
    <row r="66">
      <c r="A66" s="160"/>
      <c r="B66" s="149"/>
      <c r="C66" s="160"/>
      <c r="D66" s="160"/>
      <c r="E66" s="160"/>
      <c r="F66" s="160"/>
      <c r="G66" s="127"/>
      <c r="H66" s="149"/>
      <c r="I66" s="151"/>
      <c r="J66" s="158"/>
      <c r="K66" s="158"/>
      <c r="L66" s="158"/>
      <c r="M66" s="158"/>
      <c r="N66" s="127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</row>
    <row r="67">
      <c r="A67" s="88" t="s">
        <v>83</v>
      </c>
      <c r="B67" s="156"/>
      <c r="C67" s="88">
        <v>385.0</v>
      </c>
      <c r="D67" s="88">
        <v>338.0</v>
      </c>
      <c r="E67" s="88">
        <v>370.0</v>
      </c>
      <c r="F67" s="88">
        <v>305.0</v>
      </c>
      <c r="G67" s="127">
        <f t="shared" ref="G67:G72" si="32">F67-E67</f>
        <v>-65</v>
      </c>
      <c r="H67" s="156"/>
      <c r="I67" s="158"/>
      <c r="J67" s="158">
        <f t="shared" ref="J67:M67" si="31">sum(J68:J71)</f>
        <v>482</v>
      </c>
      <c r="K67" s="158">
        <f t="shared" si="31"/>
        <v>427</v>
      </c>
      <c r="L67" s="158">
        <f t="shared" si="31"/>
        <v>468</v>
      </c>
      <c r="M67" s="158">
        <f t="shared" si="31"/>
        <v>300</v>
      </c>
      <c r="N67" s="133">
        <f t="shared" ref="N67:N72" si="33">M67-L67</f>
        <v>-168</v>
      </c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</row>
    <row r="68">
      <c r="A68" s="160"/>
      <c r="B68" s="160" t="s">
        <v>28</v>
      </c>
      <c r="C68" s="160">
        <v>316.0</v>
      </c>
      <c r="D68" s="160">
        <v>290.0</v>
      </c>
      <c r="E68" s="160">
        <v>299.0</v>
      </c>
      <c r="F68" s="160">
        <v>246.0</v>
      </c>
      <c r="G68" s="127">
        <f t="shared" si="32"/>
        <v>-53</v>
      </c>
      <c r="H68" s="149"/>
      <c r="I68" s="151"/>
      <c r="J68" s="152">
        <v>396.0</v>
      </c>
      <c r="K68" s="152">
        <v>359.0</v>
      </c>
      <c r="L68" s="152">
        <v>387.0</v>
      </c>
      <c r="M68" s="152">
        <v>246.0</v>
      </c>
      <c r="N68" s="133">
        <f t="shared" si="33"/>
        <v>-141</v>
      </c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</row>
    <row r="69">
      <c r="A69" s="149"/>
      <c r="B69" s="160" t="s">
        <v>30</v>
      </c>
      <c r="C69" s="160">
        <v>48.0</v>
      </c>
      <c r="D69" s="160">
        <v>20.0</v>
      </c>
      <c r="E69" s="160">
        <v>42.0</v>
      </c>
      <c r="F69" s="160">
        <v>37.0</v>
      </c>
      <c r="G69" s="127">
        <f t="shared" si="32"/>
        <v>-5</v>
      </c>
      <c r="H69" s="149"/>
      <c r="I69" s="151"/>
      <c r="J69" s="152">
        <v>60.0</v>
      </c>
      <c r="K69" s="152">
        <v>34.0</v>
      </c>
      <c r="L69" s="152">
        <v>50.0</v>
      </c>
      <c r="M69" s="152">
        <v>37.0</v>
      </c>
      <c r="N69" s="133">
        <f t="shared" si="33"/>
        <v>-13</v>
      </c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</row>
    <row r="70">
      <c r="A70" s="149"/>
      <c r="B70" s="160" t="s">
        <v>33</v>
      </c>
      <c r="C70" s="160">
        <v>15.0</v>
      </c>
      <c r="D70" s="160">
        <v>20.0</v>
      </c>
      <c r="E70" s="160">
        <v>28.0</v>
      </c>
      <c r="F70" s="160">
        <v>12.0</v>
      </c>
      <c r="G70" s="127">
        <f t="shared" si="32"/>
        <v>-16</v>
      </c>
      <c r="H70" s="149"/>
      <c r="I70" s="151"/>
      <c r="J70" s="152">
        <v>23.0</v>
      </c>
      <c r="K70" s="152">
        <v>27.0</v>
      </c>
      <c r="L70" s="152">
        <v>30.0</v>
      </c>
      <c r="M70" s="152">
        <v>12.0</v>
      </c>
      <c r="N70" s="133">
        <f t="shared" si="33"/>
        <v>-18</v>
      </c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</row>
    <row r="71">
      <c r="A71" s="149"/>
      <c r="B71" s="160" t="s">
        <v>29</v>
      </c>
      <c r="C71" s="160">
        <v>3.0</v>
      </c>
      <c r="D71" s="160">
        <v>4.0</v>
      </c>
      <c r="E71" s="160">
        <v>1.0</v>
      </c>
      <c r="F71" s="160">
        <v>5.0</v>
      </c>
      <c r="G71" s="127">
        <f t="shared" si="32"/>
        <v>4</v>
      </c>
      <c r="H71" s="149"/>
      <c r="I71" s="151"/>
      <c r="J71" s="152">
        <v>3.0</v>
      </c>
      <c r="K71" s="152">
        <v>7.0</v>
      </c>
      <c r="L71" s="152">
        <v>1.0</v>
      </c>
      <c r="M71" s="152">
        <v>5.0</v>
      </c>
      <c r="N71" s="133">
        <f t="shared" si="33"/>
        <v>4</v>
      </c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</row>
    <row r="72">
      <c r="A72" s="149"/>
      <c r="B72" s="160" t="s">
        <v>34</v>
      </c>
      <c r="C72" s="160">
        <v>3.0</v>
      </c>
      <c r="D72" s="160">
        <v>4.0</v>
      </c>
      <c r="E72" s="149"/>
      <c r="F72" s="160">
        <v>5.0</v>
      </c>
      <c r="G72" s="127">
        <f t="shared" si="32"/>
        <v>5</v>
      </c>
      <c r="H72" s="149"/>
      <c r="I72" s="151"/>
      <c r="J72" s="152">
        <v>4.0</v>
      </c>
      <c r="K72" s="152">
        <v>5.0</v>
      </c>
      <c r="L72" s="151"/>
      <c r="M72" s="152">
        <v>5.0</v>
      </c>
      <c r="N72" s="133">
        <f t="shared" si="33"/>
        <v>5</v>
      </c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</row>
    <row r="73">
      <c r="A73" s="160"/>
      <c r="B73" s="149"/>
      <c r="C73" s="160"/>
      <c r="D73" s="160"/>
      <c r="E73" s="160"/>
      <c r="F73" s="160"/>
      <c r="G73" s="127"/>
      <c r="H73" s="149"/>
      <c r="I73" s="151"/>
      <c r="J73" s="158"/>
      <c r="K73" s="158"/>
      <c r="L73" s="158"/>
      <c r="M73" s="158"/>
      <c r="N73" s="127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</row>
    <row r="74">
      <c r="A74" s="88" t="s">
        <v>84</v>
      </c>
      <c r="B74" s="156"/>
      <c r="C74" s="88">
        <v>211.0</v>
      </c>
      <c r="D74" s="88">
        <v>156.0</v>
      </c>
      <c r="E74" s="88">
        <v>202.0</v>
      </c>
      <c r="F74" s="88">
        <v>140.0</v>
      </c>
      <c r="G74" s="127">
        <f t="shared" ref="G74:G79" si="35">F74-E74</f>
        <v>-62</v>
      </c>
      <c r="H74" s="156"/>
      <c r="I74" s="158"/>
      <c r="J74" s="158">
        <f t="shared" ref="J74:M74" si="34">sum(J75:J78)</f>
        <v>256</v>
      </c>
      <c r="K74" s="158">
        <f t="shared" si="34"/>
        <v>206</v>
      </c>
      <c r="L74" s="158">
        <f t="shared" si="34"/>
        <v>237</v>
      </c>
      <c r="M74" s="158">
        <f t="shared" si="34"/>
        <v>137</v>
      </c>
      <c r="N74" s="133">
        <f t="shared" ref="N74:N79" si="36">M74-L74</f>
        <v>-100</v>
      </c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</row>
    <row r="75">
      <c r="A75" s="144" t="s">
        <v>125</v>
      </c>
      <c r="B75" s="160" t="s">
        <v>28</v>
      </c>
      <c r="C75" s="160">
        <v>186.0</v>
      </c>
      <c r="D75" s="160">
        <v>113.0</v>
      </c>
      <c r="E75" s="160">
        <v>160.0</v>
      </c>
      <c r="F75" s="160">
        <v>118.0</v>
      </c>
      <c r="G75" s="127">
        <f t="shared" si="35"/>
        <v>-42</v>
      </c>
      <c r="H75" s="149"/>
      <c r="I75" s="151"/>
      <c r="J75" s="152">
        <v>223.0</v>
      </c>
      <c r="K75" s="152">
        <v>158.0</v>
      </c>
      <c r="L75" s="152">
        <v>190.0</v>
      </c>
      <c r="M75" s="152">
        <v>118.0</v>
      </c>
      <c r="N75" s="133">
        <f t="shared" si="36"/>
        <v>-72</v>
      </c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</row>
    <row r="76">
      <c r="A76" s="161">
        <f>IFERROR(__xludf.DUMMYFUNCTION("F74 / VALUE(REGEXREPLACE(A75, ""[^0-9]"", """"))"),0.006603773584905661)</f>
        <v>0.006603773585</v>
      </c>
      <c r="B76" s="160" t="s">
        <v>30</v>
      </c>
      <c r="C76" s="160">
        <v>15.0</v>
      </c>
      <c r="D76" s="160">
        <v>30.0</v>
      </c>
      <c r="E76" s="160">
        <v>16.0</v>
      </c>
      <c r="F76" s="160">
        <v>3.0</v>
      </c>
      <c r="G76" s="127">
        <f t="shared" si="35"/>
        <v>-13</v>
      </c>
      <c r="H76" s="149"/>
      <c r="I76" s="151"/>
      <c r="J76" s="152">
        <v>16.0</v>
      </c>
      <c r="K76" s="152">
        <v>33.0</v>
      </c>
      <c r="L76" s="152">
        <v>18.0</v>
      </c>
      <c r="M76" s="152">
        <v>3.0</v>
      </c>
      <c r="N76" s="133">
        <f t="shared" si="36"/>
        <v>-15</v>
      </c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</row>
    <row r="77">
      <c r="A77" s="149"/>
      <c r="B77" s="160" t="s">
        <v>33</v>
      </c>
      <c r="C77" s="160">
        <v>8.0</v>
      </c>
      <c r="D77" s="160">
        <v>5.0</v>
      </c>
      <c r="E77" s="160">
        <v>18.0</v>
      </c>
      <c r="F77" s="160">
        <v>13.0</v>
      </c>
      <c r="G77" s="127">
        <f t="shared" si="35"/>
        <v>-5</v>
      </c>
      <c r="H77" s="149"/>
      <c r="I77" s="151"/>
      <c r="J77" s="152">
        <v>11.0</v>
      </c>
      <c r="K77" s="152">
        <v>8.0</v>
      </c>
      <c r="L77" s="152">
        <v>21.0</v>
      </c>
      <c r="M77" s="152">
        <v>13.0</v>
      </c>
      <c r="N77" s="133">
        <f t="shared" si="36"/>
        <v>-8</v>
      </c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</row>
    <row r="78">
      <c r="A78" s="149"/>
      <c r="B78" s="160" t="s">
        <v>34</v>
      </c>
      <c r="C78" s="160">
        <v>2.0</v>
      </c>
      <c r="D78" s="160">
        <v>7.0</v>
      </c>
      <c r="E78" s="160">
        <v>8.0</v>
      </c>
      <c r="F78" s="160">
        <v>3.0</v>
      </c>
      <c r="G78" s="127">
        <f t="shared" si="35"/>
        <v>-5</v>
      </c>
      <c r="H78" s="149"/>
      <c r="I78" s="151"/>
      <c r="J78" s="152">
        <v>6.0</v>
      </c>
      <c r="K78" s="152">
        <v>7.0</v>
      </c>
      <c r="L78" s="152">
        <v>8.0</v>
      </c>
      <c r="M78" s="152">
        <v>3.0</v>
      </c>
      <c r="N78" s="133">
        <f t="shared" si="36"/>
        <v>-5</v>
      </c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</row>
    <row r="79">
      <c r="A79" s="149"/>
      <c r="B79" s="160" t="s">
        <v>29</v>
      </c>
      <c r="C79" s="149"/>
      <c r="D79" s="160">
        <v>1.0</v>
      </c>
      <c r="E79" s="149"/>
      <c r="F79" s="160">
        <v>3.0</v>
      </c>
      <c r="G79" s="127">
        <f t="shared" si="35"/>
        <v>3</v>
      </c>
      <c r="H79" s="149"/>
      <c r="I79" s="151"/>
      <c r="J79" s="151"/>
      <c r="K79" s="152">
        <v>1.0</v>
      </c>
      <c r="L79" s="151"/>
      <c r="M79" s="152">
        <v>3.0</v>
      </c>
      <c r="N79" s="133">
        <f t="shared" si="36"/>
        <v>3</v>
      </c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</row>
    <row r="80">
      <c r="B80" s="149"/>
      <c r="C80" s="152"/>
      <c r="D80" s="152"/>
      <c r="E80" s="152"/>
      <c r="F80" s="152"/>
      <c r="G80" s="127"/>
      <c r="H80" s="149"/>
      <c r="I80" s="151"/>
      <c r="J80" s="151"/>
      <c r="K80" s="151"/>
      <c r="L80" s="151"/>
      <c r="M80" s="151"/>
      <c r="N80" s="127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</row>
    <row r="81">
      <c r="A81" s="88" t="s">
        <v>85</v>
      </c>
      <c r="B81" s="156"/>
      <c r="C81" s="88">
        <v>22.0</v>
      </c>
      <c r="D81" s="88">
        <v>20.0</v>
      </c>
      <c r="E81" s="88">
        <v>19.0</v>
      </c>
      <c r="F81" s="88">
        <v>17.0</v>
      </c>
      <c r="G81" s="127">
        <f t="shared" ref="G81:G85" si="38">F81-E81</f>
        <v>-2</v>
      </c>
      <c r="H81" s="156"/>
      <c r="I81" s="158"/>
      <c r="J81" s="158">
        <f t="shared" ref="J81:M81" si="37">sum(J82:J85)</f>
        <v>28</v>
      </c>
      <c r="K81" s="158">
        <f t="shared" si="37"/>
        <v>22</v>
      </c>
      <c r="L81" s="158">
        <f t="shared" si="37"/>
        <v>28</v>
      </c>
      <c r="M81" s="158">
        <f t="shared" si="37"/>
        <v>17</v>
      </c>
      <c r="N81" s="133">
        <f t="shared" ref="N81:N85" si="39">M81-L81</f>
        <v>-11</v>
      </c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</row>
    <row r="82">
      <c r="A82" s="160"/>
      <c r="B82" s="160" t="s">
        <v>28</v>
      </c>
      <c r="C82" s="160">
        <v>21.0</v>
      </c>
      <c r="D82" s="160">
        <v>17.0</v>
      </c>
      <c r="E82" s="160">
        <v>15.0</v>
      </c>
      <c r="F82" s="160">
        <v>11.0</v>
      </c>
      <c r="G82" s="127">
        <f t="shared" si="38"/>
        <v>-4</v>
      </c>
      <c r="H82" s="149"/>
      <c r="I82" s="151"/>
      <c r="J82" s="152">
        <v>26.0</v>
      </c>
      <c r="K82" s="152">
        <v>19.0</v>
      </c>
      <c r="L82" s="152">
        <v>22.0</v>
      </c>
      <c r="M82" s="152">
        <v>11.0</v>
      </c>
      <c r="N82" s="133">
        <f t="shared" si="39"/>
        <v>-11</v>
      </c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</row>
    <row r="83">
      <c r="A83" s="149"/>
      <c r="B83" s="160" t="s">
        <v>30</v>
      </c>
      <c r="C83" s="149"/>
      <c r="D83" s="160">
        <v>3.0</v>
      </c>
      <c r="E83" s="160">
        <v>2.0</v>
      </c>
      <c r="F83" s="160">
        <v>4.0</v>
      </c>
      <c r="G83" s="127">
        <f t="shared" si="38"/>
        <v>2</v>
      </c>
      <c r="H83" s="149"/>
      <c r="I83" s="151"/>
      <c r="J83" s="152">
        <v>1.0</v>
      </c>
      <c r="K83" s="152">
        <v>3.0</v>
      </c>
      <c r="L83" s="152">
        <v>3.0</v>
      </c>
      <c r="M83" s="152">
        <v>4.0</v>
      </c>
      <c r="N83" s="133">
        <f t="shared" si="39"/>
        <v>1</v>
      </c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</row>
    <row r="84">
      <c r="A84" s="149"/>
      <c r="B84" s="160" t="s">
        <v>33</v>
      </c>
      <c r="C84" s="149"/>
      <c r="D84" s="149"/>
      <c r="E84" s="160">
        <v>2.0</v>
      </c>
      <c r="F84" s="160">
        <v>2.0</v>
      </c>
      <c r="G84" s="127">
        <f t="shared" si="38"/>
        <v>0</v>
      </c>
      <c r="H84" s="149"/>
      <c r="I84" s="151"/>
      <c r="J84" s="151"/>
      <c r="K84" s="151"/>
      <c r="L84" s="152">
        <v>3.0</v>
      </c>
      <c r="M84" s="152">
        <v>2.0</v>
      </c>
      <c r="N84" s="133">
        <f t="shared" si="39"/>
        <v>-1</v>
      </c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</row>
    <row r="85">
      <c r="A85" s="149"/>
      <c r="B85" s="160" t="s">
        <v>34</v>
      </c>
      <c r="C85" s="160">
        <v>1.0</v>
      </c>
      <c r="D85" s="149"/>
      <c r="E85" s="149"/>
      <c r="F85" s="149"/>
      <c r="G85" s="127">
        <f t="shared" si="38"/>
        <v>0</v>
      </c>
      <c r="H85" s="149"/>
      <c r="I85" s="151"/>
      <c r="J85" s="152">
        <v>1.0</v>
      </c>
      <c r="K85" s="151"/>
      <c r="L85" s="151"/>
      <c r="M85" s="151"/>
      <c r="N85" s="133">
        <f t="shared" si="39"/>
        <v>0</v>
      </c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</row>
    <row r="86">
      <c r="G86" s="127"/>
      <c r="N86" s="127"/>
    </row>
    <row r="87">
      <c r="A87" s="163" t="s">
        <v>126</v>
      </c>
      <c r="G87" s="127"/>
      <c r="N87" s="127"/>
    </row>
    <row r="88">
      <c r="A88" s="144" t="s">
        <v>127</v>
      </c>
      <c r="B88" s="14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</row>
    <row r="89">
      <c r="A89" s="144" t="s">
        <v>128</v>
      </c>
      <c r="B89" s="14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</row>
    <row r="90">
      <c r="A90" s="144" t="s">
        <v>129</v>
      </c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</row>
    <row r="91">
      <c r="A91" s="144" t="s">
        <v>130</v>
      </c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</row>
    <row r="92">
      <c r="A92" s="144" t="s">
        <v>131</v>
      </c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</row>
    <row r="93">
      <c r="A93" s="144" t="s">
        <v>132</v>
      </c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</row>
    <row r="94">
      <c r="A94" s="164" t="s">
        <v>133</v>
      </c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</row>
    <row r="95">
      <c r="A95" s="149"/>
      <c r="B95" s="149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</row>
    <row r="96">
      <c r="A96" s="149"/>
      <c r="B96" s="149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</row>
    <row r="97">
      <c r="A97" s="149"/>
      <c r="B97" s="149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</row>
    <row r="98">
      <c r="A98" s="149"/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</row>
    <row r="99">
      <c r="A99" s="149"/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</row>
    <row r="100">
      <c r="A100" s="149"/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</row>
    <row r="101">
      <c r="A101" s="149"/>
      <c r="B101" s="149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</row>
    <row r="102">
      <c r="A102" s="149"/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</row>
    <row r="103">
      <c r="A103" s="149"/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</row>
    <row r="104">
      <c r="A104" s="149"/>
      <c r="B104" s="149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</row>
    <row r="105">
      <c r="A105" s="149"/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</row>
    <row r="106">
      <c r="A106" s="149"/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</row>
    <row r="107">
      <c r="A107" s="149"/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</row>
    <row r="108">
      <c r="A108" s="149"/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</row>
    <row r="109">
      <c r="A109" s="149"/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</row>
    <row r="110">
      <c r="A110" s="149"/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</row>
    <row r="111">
      <c r="A111" s="149"/>
      <c r="B111" s="149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</row>
    <row r="112">
      <c r="A112" s="149"/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</row>
    <row r="113">
      <c r="A113" s="149"/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</row>
    <row r="114">
      <c r="A114" s="149"/>
      <c r="B114" s="149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</row>
    <row r="115">
      <c r="A115" s="149"/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</row>
    <row r="116">
      <c r="A116" s="149"/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</row>
    <row r="117">
      <c r="A117" s="149"/>
      <c r="B117" s="14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</row>
    <row r="118">
      <c r="A118" s="149"/>
      <c r="B118" s="14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</row>
    <row r="119">
      <c r="A119" s="149"/>
      <c r="B119" s="149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</row>
    <row r="120">
      <c r="A120" s="149"/>
      <c r="B120" s="149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</row>
    <row r="121">
      <c r="A121" s="149"/>
      <c r="B121" s="149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</row>
    <row r="122">
      <c r="A122" s="149"/>
      <c r="B122" s="149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</row>
    <row r="123">
      <c r="A123" s="149"/>
      <c r="B123" s="149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</row>
    <row r="124">
      <c r="A124" s="149"/>
      <c r="B124" s="149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</row>
    <row r="125">
      <c r="A125" s="149"/>
      <c r="B125" s="149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</row>
    <row r="126">
      <c r="A126" s="149"/>
      <c r="B126" s="149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</row>
    <row r="127">
      <c r="A127" s="149"/>
      <c r="B127" s="149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</row>
    <row r="128">
      <c r="A128" s="149"/>
      <c r="B128" s="149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</row>
    <row r="129">
      <c r="A129" s="149"/>
      <c r="B129" s="149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</row>
    <row r="130">
      <c r="A130" s="149"/>
      <c r="B130" s="149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</row>
    <row r="131">
      <c r="A131" s="149"/>
      <c r="B131" s="149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</row>
    <row r="132">
      <c r="A132" s="149"/>
      <c r="B132" s="149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</row>
    <row r="133">
      <c r="A133" s="149"/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</row>
    <row r="134">
      <c r="A134" s="149"/>
      <c r="B134" s="14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</row>
    <row r="135">
      <c r="A135" s="149"/>
      <c r="B135" s="149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</row>
    <row r="136">
      <c r="A136" s="149"/>
      <c r="B136" s="149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</row>
    <row r="137">
      <c r="A137" s="149"/>
      <c r="B137" s="149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</row>
    <row r="138">
      <c r="A138" s="149"/>
      <c r="B138" s="149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</row>
    <row r="139">
      <c r="A139" s="149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</row>
    <row r="140">
      <c r="A140" s="149"/>
      <c r="B140" s="149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</row>
    <row r="141">
      <c r="A141" s="149"/>
      <c r="B141" s="149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</row>
    <row r="142">
      <c r="A142" s="149"/>
      <c r="B142" s="149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</row>
    <row r="143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</row>
    <row r="144">
      <c r="A144" s="149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</row>
    <row r="145">
      <c r="A145" s="149"/>
      <c r="B145" s="14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</row>
    <row r="146">
      <c r="A146" s="149"/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</row>
    <row r="147">
      <c r="A147" s="149"/>
      <c r="B147" s="149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</row>
    <row r="148">
      <c r="A148" s="149"/>
      <c r="B148" s="149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</row>
    <row r="149">
      <c r="A149" s="149"/>
      <c r="B149" s="149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</row>
    <row r="150">
      <c r="A150" s="149"/>
      <c r="B150" s="149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</row>
    <row r="151">
      <c r="A151" s="149"/>
      <c r="B151" s="149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</row>
    <row r="152">
      <c r="A152" s="149"/>
      <c r="B152" s="149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</row>
    <row r="153">
      <c r="A153" s="149"/>
      <c r="B153" s="149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</row>
    <row r="154">
      <c r="A154" s="149"/>
      <c r="B154" s="149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</row>
    <row r="155">
      <c r="A155" s="149"/>
      <c r="B155" s="149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</row>
    <row r="156">
      <c r="A156" s="149"/>
      <c r="B156" s="149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</row>
    <row r="157">
      <c r="A157" s="149"/>
      <c r="B157" s="149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</row>
    <row r="158">
      <c r="A158" s="149"/>
      <c r="B158" s="149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</row>
    <row r="159">
      <c r="A159" s="149"/>
      <c r="B159" s="149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</row>
    <row r="160">
      <c r="A160" s="149"/>
      <c r="B160" s="149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</row>
    <row r="161">
      <c r="A161" s="149"/>
      <c r="B161" s="149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</row>
    <row r="162">
      <c r="A162" s="149"/>
      <c r="B162" s="149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</row>
    <row r="163">
      <c r="A163" s="149"/>
      <c r="B163" s="149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</row>
    <row r="164">
      <c r="A164" s="149"/>
      <c r="B164" s="149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</row>
    <row r="165">
      <c r="A165" s="149"/>
      <c r="B165" s="149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</row>
    <row r="166">
      <c r="A166" s="149"/>
      <c r="B166" s="149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</row>
    <row r="167">
      <c r="A167" s="149"/>
      <c r="B167" s="149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</row>
    <row r="168">
      <c r="A168" s="149"/>
      <c r="B168" s="149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</row>
    <row r="169">
      <c r="A169" s="149"/>
      <c r="B169" s="149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</row>
    <row r="170">
      <c r="A170" s="149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</row>
    <row r="171">
      <c r="A171" s="149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</row>
    <row r="172">
      <c r="A172" s="149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</row>
    <row r="173">
      <c r="A173" s="149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</row>
    <row r="174">
      <c r="A174" s="149"/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</row>
    <row r="175">
      <c r="A175" s="149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</row>
    <row r="176">
      <c r="A176" s="149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</row>
    <row r="177">
      <c r="A177" s="149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</row>
    <row r="178">
      <c r="A178" s="149"/>
      <c r="B178" s="149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</row>
    <row r="179">
      <c r="A179" s="149"/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</row>
    <row r="180">
      <c r="A180" s="149"/>
      <c r="B180" s="149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</row>
    <row r="181">
      <c r="A181" s="149"/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</row>
    <row r="182">
      <c r="A182" s="149"/>
      <c r="B182" s="149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</row>
    <row r="183">
      <c r="A183" s="149"/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</row>
    <row r="184">
      <c r="A184" s="149"/>
      <c r="B184" s="149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</row>
    <row r="185">
      <c r="A185" s="149"/>
      <c r="B185" s="149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</row>
    <row r="186">
      <c r="A186" s="149"/>
      <c r="B186" s="149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</row>
    <row r="187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</row>
    <row r="188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</row>
    <row r="189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</row>
    <row r="190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</row>
    <row r="191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</row>
    <row r="192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</row>
    <row r="19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</row>
    <row r="194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</row>
    <row r="195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</row>
    <row r="196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</row>
    <row r="197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</row>
    <row r="198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</row>
    <row r="199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</row>
    <row r="200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</row>
    <row r="201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</row>
    <row r="202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</row>
    <row r="20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</row>
    <row r="204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</row>
    <row r="205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</row>
    <row r="206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</row>
    <row r="207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</row>
    <row r="208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</row>
    <row r="209">
      <c r="A209" s="149"/>
      <c r="B209" s="149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</row>
    <row r="210">
      <c r="A210" s="149"/>
      <c r="B210" s="149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</row>
    <row r="211">
      <c r="A211" s="149"/>
      <c r="B211" s="149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</row>
    <row r="212">
      <c r="A212" s="149"/>
      <c r="B212" s="149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</row>
    <row r="213">
      <c r="A213" s="149"/>
      <c r="B213" s="149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</row>
    <row r="214">
      <c r="A214" s="149"/>
      <c r="B214" s="149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</row>
    <row r="215">
      <c r="A215" s="149"/>
      <c r="B215" s="149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</row>
    <row r="216">
      <c r="A216" s="149"/>
      <c r="B216" s="149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</row>
    <row r="217">
      <c r="A217" s="149"/>
      <c r="B217" s="149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</row>
    <row r="218">
      <c r="A218" s="149"/>
      <c r="B218" s="149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</row>
    <row r="219">
      <c r="A219" s="149"/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</row>
    <row r="220">
      <c r="A220" s="149"/>
      <c r="B220" s="149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</row>
    <row r="221">
      <c r="A221" s="149"/>
      <c r="B221" s="149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</row>
    <row r="222">
      <c r="A222" s="149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</row>
    <row r="223">
      <c r="A223" s="149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</row>
    <row r="224">
      <c r="A224" s="149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</row>
    <row r="225">
      <c r="A225" s="149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</row>
    <row r="226">
      <c r="A226" s="149"/>
      <c r="B226" s="149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</row>
    <row r="227">
      <c r="A227" s="149"/>
      <c r="B227" s="149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</row>
    <row r="228">
      <c r="A228" s="149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</row>
    <row r="229">
      <c r="A229" s="149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</row>
    <row r="230">
      <c r="A230" s="149"/>
      <c r="B230" s="149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</row>
    <row r="231">
      <c r="A231" s="149"/>
      <c r="B231" s="149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</row>
    <row r="232">
      <c r="A232" s="149"/>
      <c r="B232" s="149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</row>
    <row r="233">
      <c r="A233" s="149"/>
      <c r="B233" s="149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</row>
    <row r="234">
      <c r="A234" s="149"/>
      <c r="B234" s="149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</row>
    <row r="235">
      <c r="A235" s="149"/>
      <c r="B235" s="149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</row>
    <row r="236">
      <c r="A236" s="149"/>
      <c r="B236" s="149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</row>
    <row r="237">
      <c r="A237" s="149"/>
      <c r="B237" s="149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</row>
    <row r="238">
      <c r="A238" s="149"/>
      <c r="B238" s="149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</row>
    <row r="239">
      <c r="A239" s="149"/>
      <c r="B239" s="149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</row>
    <row r="240">
      <c r="A240" s="149"/>
      <c r="B240" s="149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</row>
    <row r="241">
      <c r="A241" s="149"/>
      <c r="B241" s="149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</row>
    <row r="242">
      <c r="A242" s="149"/>
      <c r="B242" s="149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</row>
    <row r="243">
      <c r="A243" s="149"/>
      <c r="B243" s="149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</row>
    <row r="244">
      <c r="A244" s="149"/>
      <c r="B244" s="149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</row>
    <row r="245">
      <c r="A245" s="149"/>
      <c r="B245" s="149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</row>
    <row r="246">
      <c r="A246" s="149"/>
      <c r="B246" s="149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</row>
    <row r="247">
      <c r="A247" s="149"/>
      <c r="B247" s="149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</row>
    <row r="248">
      <c r="A248" s="149"/>
      <c r="B248" s="149"/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</row>
    <row r="249">
      <c r="A249" s="149"/>
      <c r="B249" s="149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</row>
    <row r="250">
      <c r="A250" s="149"/>
      <c r="B250" s="149"/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</row>
    <row r="251">
      <c r="A251" s="149"/>
      <c r="B251" s="149"/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</row>
    <row r="252">
      <c r="A252" s="149"/>
      <c r="B252" s="149"/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</row>
    <row r="253">
      <c r="A253" s="149"/>
      <c r="B253" s="149"/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</row>
    <row r="254">
      <c r="A254" s="149"/>
      <c r="B254" s="149"/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</row>
    <row r="255">
      <c r="A255" s="149"/>
      <c r="B255" s="149"/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</row>
    <row r="256">
      <c r="A256" s="149"/>
      <c r="B256" s="149"/>
      <c r="C256" s="149"/>
      <c r="D256" s="149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</row>
    <row r="257">
      <c r="A257" s="149"/>
      <c r="B257" s="149"/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</row>
    <row r="258">
      <c r="A258" s="149"/>
      <c r="B258" s="149"/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</row>
    <row r="259">
      <c r="A259" s="149"/>
      <c r="B259" s="149"/>
      <c r="C259" s="149"/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</row>
    <row r="260">
      <c r="A260" s="149"/>
      <c r="B260" s="149"/>
      <c r="C260" s="149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</row>
    <row r="261">
      <c r="A261" s="149"/>
      <c r="B261" s="149"/>
      <c r="C261" s="149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</row>
    <row r="262">
      <c r="A262" s="149"/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</row>
    <row r="263">
      <c r="A263" s="149"/>
      <c r="B263" s="149"/>
      <c r="C263" s="149"/>
      <c r="D263" s="149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</row>
    <row r="264">
      <c r="A264" s="149"/>
      <c r="B264" s="149"/>
      <c r="C264" s="149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</row>
    <row r="265">
      <c r="A265" s="149"/>
      <c r="B265" s="149"/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</row>
    <row r="266">
      <c r="A266" s="149"/>
      <c r="B266" s="149"/>
      <c r="C266" s="149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</row>
    <row r="267">
      <c r="A267" s="149"/>
      <c r="B267" s="149"/>
      <c r="C267" s="149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</row>
    <row r="268">
      <c r="A268" s="149"/>
      <c r="B268" s="149"/>
      <c r="C268" s="149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</row>
    <row r="269">
      <c r="A269" s="149"/>
      <c r="B269" s="149"/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</row>
    <row r="270">
      <c r="A270" s="149"/>
      <c r="B270" s="149"/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</row>
    <row r="271">
      <c r="A271" s="149"/>
      <c r="B271" s="149"/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</row>
    <row r="272">
      <c r="A272" s="149"/>
      <c r="B272" s="149"/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</row>
    <row r="273">
      <c r="A273" s="149"/>
      <c r="B273" s="149"/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</row>
    <row r="274">
      <c r="A274" s="149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</row>
    <row r="275">
      <c r="A275" s="149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</row>
    <row r="276">
      <c r="A276" s="149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</row>
    <row r="277">
      <c r="A277" s="149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</row>
    <row r="278">
      <c r="A278" s="149"/>
      <c r="B278" s="149"/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</row>
    <row r="279">
      <c r="A279" s="149"/>
      <c r="B279" s="149"/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</row>
    <row r="280">
      <c r="A280" s="149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</row>
    <row r="281">
      <c r="A281" s="149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</row>
    <row r="282">
      <c r="A282" s="149"/>
      <c r="B282" s="149"/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</row>
    <row r="283">
      <c r="A283" s="149"/>
      <c r="B283" s="149"/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</row>
    <row r="284">
      <c r="A284" s="149"/>
      <c r="B284" s="149"/>
      <c r="C284" s="149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</row>
    <row r="285">
      <c r="A285" s="149"/>
      <c r="B285" s="149"/>
      <c r="C285" s="149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</row>
    <row r="286">
      <c r="A286" s="149"/>
      <c r="B286" s="149"/>
      <c r="C286" s="149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</row>
    <row r="287">
      <c r="A287" s="149"/>
      <c r="B287" s="149"/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</row>
    <row r="288">
      <c r="A288" s="149"/>
      <c r="B288" s="149"/>
      <c r="C288" s="149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</row>
    <row r="289">
      <c r="A289" s="149"/>
      <c r="B289" s="149"/>
      <c r="C289" s="149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</row>
    <row r="290">
      <c r="A290" s="149"/>
      <c r="B290" s="149"/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</row>
    <row r="291">
      <c r="A291" s="149"/>
      <c r="B291" s="149"/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</row>
    <row r="292">
      <c r="A292" s="149"/>
      <c r="B292" s="149"/>
      <c r="C292" s="149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</row>
    <row r="293">
      <c r="A293" s="149"/>
      <c r="B293" s="149"/>
      <c r="C293" s="149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</row>
    <row r="294">
      <c r="A294" s="149"/>
      <c r="B294" s="149"/>
      <c r="C294" s="149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</row>
    <row r="295">
      <c r="A295" s="149"/>
      <c r="B295" s="149"/>
      <c r="C295" s="149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</row>
    <row r="296">
      <c r="A296" s="149"/>
      <c r="B296" s="149"/>
      <c r="C296" s="149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</row>
    <row r="297">
      <c r="A297" s="149"/>
      <c r="B297" s="149"/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</row>
    <row r="298">
      <c r="A298" s="149"/>
      <c r="B298" s="149"/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</row>
    <row r="299">
      <c r="A299" s="149"/>
      <c r="B299" s="149"/>
      <c r="C299" s="149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</row>
    <row r="300">
      <c r="A300" s="149"/>
      <c r="B300" s="149"/>
      <c r="C300" s="149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</row>
    <row r="301">
      <c r="A301" s="149"/>
      <c r="B301" s="149"/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</row>
    <row r="302">
      <c r="A302" s="149"/>
      <c r="B302" s="149"/>
      <c r="C302" s="149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</row>
    <row r="303">
      <c r="A303" s="149"/>
      <c r="B303" s="149"/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</row>
    <row r="304">
      <c r="A304" s="149"/>
      <c r="B304" s="149"/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</row>
    <row r="305">
      <c r="A305" s="149"/>
      <c r="B305" s="149"/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</row>
    <row r="306">
      <c r="A306" s="149"/>
      <c r="B306" s="149"/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</row>
    <row r="307">
      <c r="A307" s="149"/>
      <c r="B307" s="149"/>
      <c r="C307" s="149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</row>
    <row r="308">
      <c r="A308" s="149"/>
      <c r="B308" s="149"/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</row>
    <row r="309">
      <c r="A309" s="149"/>
      <c r="B309" s="149"/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</row>
    <row r="310">
      <c r="A310" s="149"/>
      <c r="B310" s="149"/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</row>
    <row r="311">
      <c r="A311" s="149"/>
      <c r="B311" s="149"/>
      <c r="C311" s="149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</row>
    <row r="312">
      <c r="A312" s="149"/>
      <c r="B312" s="149"/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</row>
    <row r="313">
      <c r="A313" s="149"/>
      <c r="B313" s="149"/>
      <c r="C313" s="149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</row>
    <row r="314">
      <c r="A314" s="149"/>
      <c r="B314" s="149"/>
      <c r="C314" s="149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</row>
    <row r="315">
      <c r="A315" s="149"/>
      <c r="B315" s="149"/>
      <c r="C315" s="149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</row>
    <row r="316">
      <c r="A316" s="149"/>
      <c r="B316" s="149"/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</row>
    <row r="317">
      <c r="A317" s="149"/>
      <c r="B317" s="149"/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</row>
    <row r="318">
      <c r="A318" s="149"/>
      <c r="B318" s="149"/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</row>
    <row r="319">
      <c r="A319" s="149"/>
      <c r="B319" s="149"/>
      <c r="C319" s="149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</row>
    <row r="320">
      <c r="A320" s="149"/>
      <c r="B320" s="149"/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</row>
    <row r="321">
      <c r="A321" s="149"/>
      <c r="B321" s="149"/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</row>
    <row r="322">
      <c r="A322" s="149"/>
      <c r="B322" s="149"/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</row>
    <row r="323">
      <c r="A323" s="149"/>
      <c r="B323" s="149"/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</row>
    <row r="324">
      <c r="A324" s="149"/>
      <c r="B324" s="149"/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</row>
    <row r="325">
      <c r="A325" s="149"/>
      <c r="B325" s="149"/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</row>
    <row r="326">
      <c r="A326" s="149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</row>
    <row r="327">
      <c r="A327" s="149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</row>
    <row r="328">
      <c r="A328" s="149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</row>
    <row r="329">
      <c r="A329" s="149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</row>
    <row r="330">
      <c r="A330" s="149"/>
      <c r="B330" s="149"/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</row>
    <row r="331">
      <c r="A331" s="149"/>
      <c r="B331" s="149"/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</row>
    <row r="332">
      <c r="A332" s="149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</row>
    <row r="333">
      <c r="A333" s="149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</row>
    <row r="334">
      <c r="A334" s="149"/>
      <c r="B334" s="149"/>
      <c r="C334" s="149"/>
      <c r="D334" s="149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</row>
    <row r="335">
      <c r="A335" s="149"/>
      <c r="B335" s="149"/>
      <c r="C335" s="149"/>
      <c r="D335" s="149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</row>
    <row r="336">
      <c r="A336" s="149"/>
      <c r="B336" s="149"/>
      <c r="C336" s="149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</row>
    <row r="337">
      <c r="A337" s="149"/>
      <c r="B337" s="149"/>
      <c r="C337" s="149"/>
      <c r="D337" s="149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</row>
    <row r="338">
      <c r="A338" s="149"/>
      <c r="B338" s="149"/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</row>
    <row r="339">
      <c r="A339" s="149"/>
      <c r="B339" s="149"/>
      <c r="C339" s="149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</row>
    <row r="340">
      <c r="A340" s="149"/>
      <c r="B340" s="149"/>
      <c r="C340" s="149"/>
      <c r="D340" s="149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</row>
    <row r="341">
      <c r="A341" s="149"/>
      <c r="B341" s="149"/>
      <c r="C341" s="149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</row>
    <row r="342">
      <c r="A342" s="149"/>
      <c r="B342" s="149"/>
      <c r="C342" s="149"/>
      <c r="D342" s="149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</row>
    <row r="343">
      <c r="A343" s="149"/>
      <c r="B343" s="149"/>
      <c r="C343" s="149"/>
      <c r="D343" s="149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</row>
    <row r="344">
      <c r="A344" s="149"/>
      <c r="B344" s="149"/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</row>
    <row r="345">
      <c r="A345" s="149"/>
      <c r="B345" s="149"/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</row>
    <row r="346">
      <c r="A346" s="149"/>
      <c r="B346" s="149"/>
      <c r="C346" s="149"/>
      <c r="D346" s="149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</row>
    <row r="347">
      <c r="A347" s="149"/>
      <c r="B347" s="149"/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</row>
    <row r="348">
      <c r="A348" s="149"/>
      <c r="B348" s="149"/>
      <c r="C348" s="149"/>
      <c r="D348" s="149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</row>
    <row r="349">
      <c r="A349" s="149"/>
      <c r="B349" s="149"/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</row>
    <row r="350">
      <c r="A350" s="149"/>
      <c r="B350" s="149"/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</row>
    <row r="351">
      <c r="A351" s="149"/>
      <c r="B351" s="149"/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</row>
    <row r="352">
      <c r="A352" s="149"/>
      <c r="B352" s="149"/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</row>
    <row r="353">
      <c r="A353" s="149"/>
      <c r="B353" s="149"/>
      <c r="C353" s="149"/>
      <c r="D353" s="149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</row>
    <row r="354">
      <c r="A354" s="149"/>
      <c r="B354" s="149"/>
      <c r="C354" s="149"/>
      <c r="D354" s="149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</row>
    <row r="355">
      <c r="A355" s="149"/>
      <c r="B355" s="149"/>
      <c r="C355" s="149"/>
      <c r="D355" s="149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</row>
    <row r="356">
      <c r="A356" s="149"/>
      <c r="B356" s="149"/>
      <c r="C356" s="149"/>
      <c r="D356" s="149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</row>
    <row r="357">
      <c r="A357" s="149"/>
      <c r="B357" s="149"/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</row>
    <row r="358">
      <c r="A358" s="149"/>
      <c r="B358" s="149"/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</row>
    <row r="359">
      <c r="A359" s="149"/>
      <c r="B359" s="149"/>
      <c r="C359" s="149"/>
      <c r="D359" s="149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</row>
    <row r="360">
      <c r="A360" s="149"/>
      <c r="B360" s="149"/>
      <c r="C360" s="149"/>
      <c r="D360" s="149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</row>
    <row r="361">
      <c r="A361" s="149"/>
      <c r="B361" s="149"/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</row>
    <row r="362">
      <c r="A362" s="149"/>
      <c r="B362" s="149"/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</row>
    <row r="363">
      <c r="A363" s="149"/>
      <c r="B363" s="149"/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</row>
    <row r="364">
      <c r="A364" s="149"/>
      <c r="B364" s="149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</row>
    <row r="365">
      <c r="A365" s="149"/>
      <c r="B365" s="149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</row>
    <row r="366">
      <c r="A366" s="149"/>
      <c r="B366" s="149"/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</row>
    <row r="367">
      <c r="A367" s="149"/>
      <c r="B367" s="149"/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</row>
    <row r="368">
      <c r="A368" s="149"/>
      <c r="B368" s="149"/>
      <c r="C368" s="149"/>
      <c r="D368" s="149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</row>
    <row r="369">
      <c r="A369" s="149"/>
      <c r="B369" s="149"/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</row>
    <row r="370">
      <c r="A370" s="149"/>
      <c r="B370" s="149"/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</row>
    <row r="371">
      <c r="A371" s="149"/>
      <c r="B371" s="149"/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</row>
    <row r="372">
      <c r="A372" s="149"/>
      <c r="B372" s="149"/>
      <c r="C372" s="149"/>
      <c r="D372" s="149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</row>
    <row r="373">
      <c r="A373" s="149"/>
      <c r="B373" s="149"/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</row>
    <row r="374">
      <c r="A374" s="149"/>
      <c r="B374" s="149"/>
      <c r="C374" s="149"/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</row>
    <row r="375">
      <c r="A375" s="149"/>
      <c r="B375" s="149"/>
      <c r="C375" s="149"/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</row>
    <row r="376">
      <c r="A376" s="149"/>
      <c r="B376" s="149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</row>
    <row r="377">
      <c r="A377" s="149"/>
      <c r="B377" s="149"/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</row>
    <row r="378">
      <c r="A378" s="149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</row>
    <row r="379">
      <c r="A379" s="149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</row>
    <row r="380">
      <c r="A380" s="149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</row>
    <row r="381">
      <c r="A381" s="149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</row>
    <row r="382">
      <c r="A382" s="149"/>
      <c r="B382" s="149"/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</row>
    <row r="383">
      <c r="A383" s="149"/>
      <c r="B383" s="149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</row>
    <row r="384">
      <c r="A384" s="149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</row>
    <row r="385">
      <c r="A385" s="149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</row>
    <row r="386">
      <c r="A386" s="149"/>
      <c r="B386" s="149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</row>
    <row r="387">
      <c r="A387" s="149"/>
      <c r="B387" s="149"/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</row>
    <row r="388">
      <c r="A388" s="149"/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</row>
    <row r="389">
      <c r="A389" s="149"/>
      <c r="B389" s="149"/>
      <c r="C389" s="149"/>
      <c r="D389" s="149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</row>
    <row r="390">
      <c r="A390" s="149"/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</row>
    <row r="391">
      <c r="A391" s="149"/>
      <c r="B391" s="149"/>
      <c r="C391" s="149"/>
      <c r="D391" s="149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</row>
    <row r="392">
      <c r="A392" s="149"/>
      <c r="B392" s="149"/>
      <c r="C392" s="149"/>
      <c r="D392" s="149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</row>
    <row r="393">
      <c r="A393" s="149"/>
      <c r="B393" s="149"/>
      <c r="C393" s="149"/>
      <c r="D393" s="149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</row>
    <row r="394">
      <c r="A394" s="149"/>
      <c r="B394" s="149"/>
      <c r="C394" s="149"/>
      <c r="D394" s="149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</row>
    <row r="395">
      <c r="A395" s="149"/>
      <c r="B395" s="149"/>
      <c r="C395" s="149"/>
      <c r="D395" s="149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</row>
    <row r="396">
      <c r="A396" s="149"/>
      <c r="B396" s="149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</row>
    <row r="397">
      <c r="A397" s="149"/>
      <c r="B397" s="149"/>
      <c r="C397" s="149"/>
      <c r="D397" s="149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</row>
    <row r="398">
      <c r="A398" s="149"/>
      <c r="B398" s="149"/>
      <c r="C398" s="149"/>
      <c r="D398" s="149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</row>
    <row r="399">
      <c r="A399" s="149"/>
      <c r="B399" s="149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</row>
    <row r="400">
      <c r="A400" s="149"/>
      <c r="B400" s="149"/>
      <c r="C400" s="149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</row>
    <row r="401">
      <c r="A401" s="149"/>
      <c r="B401" s="149"/>
      <c r="C401" s="149"/>
      <c r="D401" s="149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</row>
    <row r="402">
      <c r="A402" s="149"/>
      <c r="B402" s="149"/>
      <c r="C402" s="149"/>
      <c r="D402" s="149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</row>
    <row r="403">
      <c r="A403" s="149"/>
      <c r="B403" s="149"/>
      <c r="C403" s="149"/>
      <c r="D403" s="149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</row>
    <row r="404">
      <c r="A404" s="149"/>
      <c r="B404" s="149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</row>
    <row r="405">
      <c r="A405" s="149"/>
      <c r="B405" s="149"/>
      <c r="C405" s="149"/>
      <c r="D405" s="149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</row>
    <row r="406">
      <c r="A406" s="149"/>
      <c r="B406" s="149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</row>
    <row r="407">
      <c r="A407" s="149"/>
      <c r="B407" s="149"/>
      <c r="C407" s="149"/>
      <c r="D407" s="149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</row>
    <row r="408">
      <c r="A408" s="149"/>
      <c r="B408" s="149"/>
      <c r="C408" s="149"/>
      <c r="D408" s="149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</row>
    <row r="409">
      <c r="A409" s="149"/>
      <c r="B409" s="149"/>
      <c r="C409" s="149"/>
      <c r="D409" s="149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</row>
    <row r="410">
      <c r="A410" s="149"/>
      <c r="B410" s="149"/>
      <c r="C410" s="149"/>
      <c r="D410" s="149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</row>
    <row r="411">
      <c r="A411" s="149"/>
      <c r="B411" s="149"/>
      <c r="C411" s="149"/>
      <c r="D411" s="149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</row>
    <row r="412">
      <c r="A412" s="149"/>
      <c r="B412" s="149"/>
      <c r="C412" s="149"/>
      <c r="D412" s="149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</row>
    <row r="413">
      <c r="A413" s="149"/>
      <c r="B413" s="149"/>
      <c r="C413" s="149"/>
      <c r="D413" s="149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</row>
    <row r="414">
      <c r="A414" s="149"/>
      <c r="B414" s="149"/>
      <c r="C414" s="149"/>
      <c r="D414" s="149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</row>
    <row r="415">
      <c r="A415" s="149"/>
      <c r="B415" s="149"/>
      <c r="C415" s="149"/>
      <c r="D415" s="149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</row>
    <row r="416">
      <c r="A416" s="149"/>
      <c r="B416" s="149"/>
      <c r="C416" s="149"/>
      <c r="D416" s="149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</row>
    <row r="417">
      <c r="A417" s="149"/>
      <c r="B417" s="14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</row>
    <row r="418">
      <c r="A418" s="149"/>
      <c r="B418" s="149"/>
      <c r="C418" s="149"/>
      <c r="D418" s="149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</row>
    <row r="419">
      <c r="A419" s="149"/>
      <c r="B419" s="149"/>
      <c r="C419" s="149"/>
      <c r="D419" s="149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</row>
    <row r="420">
      <c r="A420" s="149"/>
      <c r="B420" s="149"/>
      <c r="C420" s="149"/>
      <c r="D420" s="149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</row>
    <row r="421">
      <c r="A421" s="149"/>
      <c r="B421" s="149"/>
      <c r="C421" s="149"/>
      <c r="D421" s="149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</row>
    <row r="422">
      <c r="A422" s="149"/>
      <c r="B422" s="149"/>
      <c r="C422" s="149"/>
      <c r="D422" s="149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</row>
    <row r="423">
      <c r="A423" s="149"/>
      <c r="B423" s="149"/>
      <c r="C423" s="149"/>
      <c r="D423" s="149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</row>
    <row r="424">
      <c r="A424" s="149"/>
      <c r="B424" s="149"/>
      <c r="C424" s="149"/>
      <c r="D424" s="149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</row>
    <row r="425">
      <c r="A425" s="149"/>
      <c r="B425" s="149"/>
      <c r="C425" s="149"/>
      <c r="D425" s="149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</row>
    <row r="426">
      <c r="A426" s="149"/>
      <c r="B426" s="149"/>
      <c r="C426" s="149"/>
      <c r="D426" s="149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</row>
    <row r="427">
      <c r="A427" s="149"/>
      <c r="B427" s="149"/>
      <c r="C427" s="149"/>
      <c r="D427" s="149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</row>
    <row r="428">
      <c r="A428" s="149"/>
      <c r="B428" s="149"/>
      <c r="C428" s="149"/>
      <c r="D428" s="149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</row>
    <row r="429">
      <c r="A429" s="149"/>
      <c r="B429" s="149"/>
      <c r="C429" s="149"/>
      <c r="D429" s="149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</row>
    <row r="430">
      <c r="A430" s="149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</row>
    <row r="431">
      <c r="A431" s="149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</row>
    <row r="432">
      <c r="A432" s="149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</row>
    <row r="433">
      <c r="A433" s="149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</row>
    <row r="434">
      <c r="A434" s="149"/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</row>
    <row r="435">
      <c r="A435" s="149"/>
      <c r="B435" s="149"/>
      <c r="C435" s="149"/>
      <c r="D435" s="149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</row>
    <row r="436">
      <c r="A436" s="149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</row>
    <row r="437">
      <c r="A437" s="149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</row>
    <row r="438">
      <c r="A438" s="149"/>
      <c r="B438" s="149"/>
      <c r="C438" s="149"/>
      <c r="D438" s="149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</row>
    <row r="439">
      <c r="A439" s="149"/>
      <c r="B439" s="149"/>
      <c r="C439" s="149"/>
      <c r="D439" s="149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</row>
    <row r="440">
      <c r="A440" s="149"/>
      <c r="B440" s="149"/>
      <c r="C440" s="149"/>
      <c r="D440" s="149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</row>
    <row r="441">
      <c r="A441" s="149"/>
      <c r="B441" s="149"/>
      <c r="C441" s="149"/>
      <c r="D441" s="149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</row>
    <row r="442">
      <c r="A442" s="149"/>
      <c r="B442" s="149"/>
      <c r="C442" s="149"/>
      <c r="D442" s="149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</row>
    <row r="443">
      <c r="A443" s="149"/>
      <c r="B443" s="149"/>
      <c r="C443" s="149"/>
      <c r="D443" s="149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</row>
    <row r="444">
      <c r="A444" s="149"/>
      <c r="B444" s="149"/>
      <c r="C444" s="149"/>
      <c r="D444" s="149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</row>
    <row r="445">
      <c r="A445" s="149"/>
      <c r="B445" s="149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</row>
    <row r="446">
      <c r="A446" s="149"/>
      <c r="B446" s="149"/>
      <c r="C446" s="149"/>
      <c r="D446" s="149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</row>
    <row r="447">
      <c r="A447" s="149"/>
      <c r="B447" s="149"/>
      <c r="C447" s="149"/>
      <c r="D447" s="149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</row>
    <row r="448">
      <c r="A448" s="149"/>
      <c r="B448" s="149"/>
      <c r="C448" s="149"/>
      <c r="D448" s="149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</row>
    <row r="449">
      <c r="A449" s="149"/>
      <c r="B449" s="149"/>
      <c r="C449" s="149"/>
      <c r="D449" s="149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</row>
    <row r="450">
      <c r="A450" s="149"/>
      <c r="B450" s="149"/>
      <c r="C450" s="149"/>
      <c r="D450" s="149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</row>
    <row r="451">
      <c r="A451" s="149"/>
      <c r="B451" s="149"/>
      <c r="C451" s="149"/>
      <c r="D451" s="149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</row>
    <row r="452">
      <c r="A452" s="149"/>
      <c r="B452" s="149"/>
      <c r="C452" s="149"/>
      <c r="D452" s="149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</row>
    <row r="453">
      <c r="A453" s="149"/>
      <c r="B453" s="149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</row>
    <row r="454">
      <c r="A454" s="149"/>
      <c r="B454" s="149"/>
      <c r="C454" s="149"/>
      <c r="D454" s="149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</row>
    <row r="455">
      <c r="A455" s="149"/>
      <c r="B455" s="149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</row>
    <row r="456">
      <c r="A456" s="149"/>
      <c r="B456" s="149"/>
      <c r="C456" s="149"/>
      <c r="D456" s="149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</row>
    <row r="457">
      <c r="A457" s="149"/>
      <c r="B457" s="149"/>
      <c r="C457" s="149"/>
      <c r="D457" s="149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</row>
    <row r="458">
      <c r="A458" s="149"/>
      <c r="B458" s="149"/>
      <c r="C458" s="149"/>
      <c r="D458" s="149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</row>
    <row r="459">
      <c r="A459" s="149"/>
      <c r="B459" s="149"/>
      <c r="C459" s="149"/>
      <c r="D459" s="149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</row>
    <row r="460">
      <c r="A460" s="149"/>
      <c r="B460" s="149"/>
      <c r="C460" s="149"/>
      <c r="D460" s="149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</row>
    <row r="461">
      <c r="A461" s="149"/>
      <c r="B461" s="149"/>
      <c r="C461" s="149"/>
      <c r="D461" s="149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</row>
    <row r="462">
      <c r="A462" s="149"/>
      <c r="B462" s="149"/>
      <c r="C462" s="149"/>
      <c r="D462" s="149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</row>
    <row r="463">
      <c r="A463" s="149"/>
      <c r="B463" s="149"/>
      <c r="C463" s="149"/>
      <c r="D463" s="149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</row>
    <row r="464">
      <c r="A464" s="149"/>
      <c r="B464" s="149"/>
      <c r="C464" s="149"/>
      <c r="D464" s="149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</row>
    <row r="465">
      <c r="A465" s="149"/>
      <c r="B465" s="149"/>
      <c r="C465" s="149"/>
      <c r="D465" s="149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</row>
    <row r="466">
      <c r="A466" s="149"/>
      <c r="B466" s="149"/>
      <c r="C466" s="149"/>
      <c r="D466" s="149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</row>
    <row r="467">
      <c r="A467" s="149"/>
      <c r="B467" s="149"/>
      <c r="C467" s="149"/>
      <c r="D467" s="149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</row>
    <row r="468">
      <c r="A468" s="149"/>
      <c r="B468" s="149"/>
      <c r="C468" s="149"/>
      <c r="D468" s="149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</row>
    <row r="469">
      <c r="A469" s="149"/>
      <c r="B469" s="149"/>
      <c r="C469" s="149"/>
      <c r="D469" s="149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</row>
    <row r="470">
      <c r="A470" s="149"/>
      <c r="B470" s="149"/>
      <c r="C470" s="149"/>
      <c r="D470" s="149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</row>
    <row r="471">
      <c r="A471" s="149"/>
      <c r="B471" s="149"/>
      <c r="C471" s="149"/>
      <c r="D471" s="149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</row>
    <row r="472">
      <c r="A472" s="149"/>
      <c r="B472" s="149"/>
      <c r="C472" s="149"/>
      <c r="D472" s="149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</row>
    <row r="473">
      <c r="A473" s="149"/>
      <c r="B473" s="149"/>
      <c r="C473" s="149"/>
      <c r="D473" s="149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</row>
    <row r="474">
      <c r="A474" s="149"/>
      <c r="B474" s="149"/>
      <c r="C474" s="149"/>
      <c r="D474" s="149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</row>
    <row r="475">
      <c r="A475" s="149"/>
      <c r="B475" s="149"/>
      <c r="C475" s="149"/>
      <c r="D475" s="149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</row>
    <row r="476">
      <c r="A476" s="149"/>
      <c r="B476" s="149"/>
      <c r="C476" s="149"/>
      <c r="D476" s="149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</row>
    <row r="477">
      <c r="A477" s="149"/>
      <c r="B477" s="149"/>
      <c r="C477" s="149"/>
      <c r="D477" s="149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</row>
    <row r="478">
      <c r="A478" s="149"/>
      <c r="B478" s="149"/>
      <c r="C478" s="149"/>
      <c r="D478" s="149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</row>
    <row r="479">
      <c r="A479" s="149"/>
      <c r="B479" s="149"/>
      <c r="C479" s="149"/>
      <c r="D479" s="149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</row>
    <row r="480">
      <c r="A480" s="149"/>
      <c r="B480" s="149"/>
      <c r="C480" s="149"/>
      <c r="D480" s="149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</row>
    <row r="481">
      <c r="A481" s="149"/>
      <c r="B481" s="149"/>
      <c r="C481" s="149"/>
      <c r="D481" s="149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</row>
    <row r="482">
      <c r="A482" s="149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</row>
    <row r="483">
      <c r="A483" s="149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</row>
    <row r="484">
      <c r="A484" s="149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</row>
    <row r="485">
      <c r="A485" s="149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</row>
    <row r="486">
      <c r="A486" s="149"/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</row>
    <row r="487">
      <c r="A487" s="149"/>
      <c r="B487" s="149"/>
      <c r="C487" s="149"/>
      <c r="D487" s="149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</row>
    <row r="488">
      <c r="A488" s="149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</row>
    <row r="489">
      <c r="A489" s="149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</row>
    <row r="490">
      <c r="A490" s="149"/>
      <c r="B490" s="149"/>
      <c r="C490" s="149"/>
      <c r="D490" s="149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</row>
    <row r="491">
      <c r="A491" s="149"/>
      <c r="B491" s="149"/>
      <c r="C491" s="149"/>
      <c r="D491" s="149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</row>
    <row r="492">
      <c r="A492" s="149"/>
      <c r="B492" s="149"/>
      <c r="C492" s="149"/>
      <c r="D492" s="149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</row>
    <row r="493">
      <c r="A493" s="149"/>
      <c r="B493" s="149"/>
      <c r="C493" s="149"/>
      <c r="D493" s="149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</row>
    <row r="494">
      <c r="A494" s="149"/>
      <c r="B494" s="149"/>
      <c r="C494" s="149"/>
      <c r="D494" s="149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</row>
    <row r="495">
      <c r="A495" s="149"/>
      <c r="B495" s="149"/>
      <c r="C495" s="149"/>
      <c r="D495" s="149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</row>
    <row r="496">
      <c r="A496" s="149"/>
      <c r="B496" s="149"/>
      <c r="C496" s="149"/>
      <c r="D496" s="149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</row>
    <row r="497">
      <c r="A497" s="149"/>
      <c r="B497" s="149"/>
      <c r="C497" s="149"/>
      <c r="D497" s="149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</row>
    <row r="498">
      <c r="A498" s="149"/>
      <c r="B498" s="149"/>
      <c r="C498" s="149"/>
      <c r="D498" s="149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</row>
    <row r="499">
      <c r="A499" s="149"/>
      <c r="B499" s="149"/>
      <c r="C499" s="149"/>
      <c r="D499" s="149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</row>
    <row r="500">
      <c r="A500" s="149"/>
      <c r="B500" s="149"/>
      <c r="C500" s="149"/>
      <c r="D500" s="149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</row>
    <row r="501">
      <c r="A501" s="149"/>
      <c r="B501" s="149"/>
      <c r="C501" s="149"/>
      <c r="D501" s="149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</row>
    <row r="502">
      <c r="A502" s="149"/>
      <c r="B502" s="149"/>
      <c r="C502" s="149"/>
      <c r="D502" s="149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</row>
    <row r="503">
      <c r="A503" s="149"/>
      <c r="B503" s="149"/>
      <c r="C503" s="149"/>
      <c r="D503" s="149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</row>
    <row r="504">
      <c r="A504" s="149"/>
      <c r="B504" s="149"/>
      <c r="C504" s="149"/>
      <c r="D504" s="149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</row>
    <row r="505">
      <c r="A505" s="149"/>
      <c r="B505" s="149"/>
      <c r="C505" s="149"/>
      <c r="D505" s="149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</row>
    <row r="506">
      <c r="A506" s="149"/>
      <c r="B506" s="149"/>
      <c r="C506" s="149"/>
      <c r="D506" s="149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</row>
    <row r="507">
      <c r="A507" s="149"/>
      <c r="B507" s="149"/>
      <c r="C507" s="149"/>
      <c r="D507" s="149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</row>
    <row r="508">
      <c r="A508" s="149"/>
      <c r="B508" s="149"/>
      <c r="C508" s="149"/>
      <c r="D508" s="149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</row>
    <row r="509">
      <c r="A509" s="149"/>
      <c r="B509" s="149"/>
      <c r="C509" s="149"/>
      <c r="D509" s="149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</row>
    <row r="510">
      <c r="A510" s="149"/>
      <c r="B510" s="149"/>
      <c r="C510" s="149"/>
      <c r="D510" s="149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</row>
    <row r="511">
      <c r="A511" s="149"/>
      <c r="B511" s="149"/>
      <c r="C511" s="149"/>
      <c r="D511" s="149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</row>
    <row r="512">
      <c r="A512" s="149"/>
      <c r="B512" s="149"/>
      <c r="C512" s="149"/>
      <c r="D512" s="149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</row>
    <row r="513">
      <c r="A513" s="149"/>
      <c r="B513" s="149"/>
      <c r="C513" s="149"/>
      <c r="D513" s="149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</row>
    <row r="514">
      <c r="A514" s="149"/>
      <c r="B514" s="149"/>
      <c r="C514" s="149"/>
      <c r="D514" s="149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</row>
    <row r="515">
      <c r="A515" s="149"/>
      <c r="B515" s="149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</row>
    <row r="516">
      <c r="A516" s="149"/>
      <c r="B516" s="149"/>
      <c r="C516" s="149"/>
      <c r="D516" s="149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</row>
    <row r="517">
      <c r="A517" s="149"/>
      <c r="B517" s="149"/>
      <c r="C517" s="149"/>
      <c r="D517" s="149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</row>
    <row r="518">
      <c r="A518" s="149"/>
      <c r="B518" s="149"/>
      <c r="C518" s="149"/>
      <c r="D518" s="149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</row>
    <row r="519">
      <c r="A519" s="149"/>
      <c r="B519" s="149"/>
      <c r="C519" s="149"/>
      <c r="D519" s="149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</row>
    <row r="520">
      <c r="A520" s="149"/>
      <c r="B520" s="149"/>
      <c r="C520" s="149"/>
      <c r="D520" s="149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</row>
    <row r="521">
      <c r="A521" s="149"/>
      <c r="B521" s="149"/>
      <c r="C521" s="149"/>
      <c r="D521" s="149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</row>
    <row r="522">
      <c r="A522" s="149"/>
      <c r="B522" s="149"/>
      <c r="C522" s="149"/>
      <c r="D522" s="149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</row>
    <row r="523">
      <c r="A523" s="149"/>
      <c r="B523" s="149"/>
      <c r="C523" s="149"/>
      <c r="D523" s="149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</row>
    <row r="524">
      <c r="A524" s="149"/>
      <c r="B524" s="149"/>
      <c r="C524" s="149"/>
      <c r="D524" s="149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</row>
    <row r="525">
      <c r="A525" s="149"/>
      <c r="B525" s="149"/>
      <c r="C525" s="149"/>
      <c r="D525" s="149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</row>
    <row r="526">
      <c r="A526" s="149"/>
      <c r="B526" s="149"/>
      <c r="C526" s="149"/>
      <c r="D526" s="149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</row>
    <row r="527">
      <c r="A527" s="149"/>
      <c r="B527" s="149"/>
      <c r="C527" s="149"/>
      <c r="D527" s="149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</row>
    <row r="528">
      <c r="A528" s="149"/>
      <c r="B528" s="149"/>
      <c r="C528" s="149"/>
      <c r="D528" s="149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</row>
    <row r="529">
      <c r="A529" s="149"/>
      <c r="B529" s="149"/>
      <c r="C529" s="149"/>
      <c r="D529" s="149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</row>
    <row r="530">
      <c r="A530" s="149"/>
      <c r="B530" s="149"/>
      <c r="C530" s="149"/>
      <c r="D530" s="149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</row>
    <row r="531">
      <c r="A531" s="149"/>
      <c r="B531" s="149"/>
      <c r="C531" s="149"/>
      <c r="D531" s="149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</row>
    <row r="532">
      <c r="A532" s="149"/>
      <c r="B532" s="149"/>
      <c r="C532" s="149"/>
      <c r="D532" s="149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</row>
    <row r="533">
      <c r="A533" s="149"/>
      <c r="B533" s="149"/>
      <c r="C533" s="149"/>
      <c r="D533" s="149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</row>
    <row r="534">
      <c r="A534" s="149"/>
      <c r="B534" s="149"/>
      <c r="C534" s="149"/>
      <c r="D534" s="149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</row>
    <row r="535">
      <c r="A535" s="149"/>
      <c r="B535" s="149"/>
      <c r="C535" s="149"/>
      <c r="D535" s="149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</row>
    <row r="536">
      <c r="A536" s="149"/>
      <c r="B536" s="149"/>
      <c r="C536" s="149"/>
      <c r="D536" s="149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</row>
    <row r="537">
      <c r="A537" s="149"/>
      <c r="B537" s="149"/>
      <c r="C537" s="149"/>
      <c r="D537" s="149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</row>
    <row r="538">
      <c r="A538" s="149"/>
      <c r="B538" s="149"/>
      <c r="C538" s="149"/>
      <c r="D538" s="149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</row>
    <row r="539">
      <c r="A539" s="149"/>
      <c r="B539" s="149"/>
      <c r="C539" s="149"/>
      <c r="D539" s="149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</row>
    <row r="540">
      <c r="A540" s="149"/>
      <c r="B540" s="149"/>
      <c r="C540" s="149"/>
      <c r="D540" s="149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</row>
    <row r="541">
      <c r="A541" s="149"/>
      <c r="B541" s="149"/>
      <c r="C541" s="149"/>
      <c r="D541" s="149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</row>
    <row r="542">
      <c r="A542" s="149"/>
      <c r="B542" s="149"/>
      <c r="C542" s="149"/>
      <c r="D542" s="149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</row>
    <row r="543">
      <c r="A543" s="149"/>
      <c r="B543" s="149"/>
      <c r="C543" s="149"/>
      <c r="D543" s="149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</row>
    <row r="544">
      <c r="A544" s="149"/>
      <c r="B544" s="149"/>
      <c r="C544" s="149"/>
      <c r="D544" s="149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</row>
    <row r="545">
      <c r="A545" s="149"/>
      <c r="B545" s="149"/>
      <c r="C545" s="149"/>
      <c r="D545" s="149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</row>
    <row r="546">
      <c r="A546" s="149"/>
      <c r="B546" s="149"/>
      <c r="C546" s="149"/>
      <c r="D546" s="149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</row>
    <row r="547">
      <c r="A547" s="149"/>
      <c r="B547" s="149"/>
      <c r="C547" s="149"/>
      <c r="D547" s="149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</row>
    <row r="548">
      <c r="A548" s="149"/>
      <c r="B548" s="149"/>
      <c r="C548" s="149"/>
      <c r="D548" s="149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</row>
    <row r="549">
      <c r="A549" s="149"/>
      <c r="B549" s="149"/>
      <c r="C549" s="149"/>
      <c r="D549" s="149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</row>
    <row r="550">
      <c r="A550" s="149"/>
      <c r="B550" s="149"/>
      <c r="C550" s="149"/>
      <c r="D550" s="149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</row>
    <row r="551">
      <c r="A551" s="149"/>
      <c r="B551" s="149"/>
      <c r="C551" s="149"/>
      <c r="D551" s="149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</row>
    <row r="552">
      <c r="A552" s="149"/>
      <c r="B552" s="149"/>
      <c r="C552" s="149"/>
      <c r="D552" s="149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</row>
    <row r="553">
      <c r="A553" s="149"/>
      <c r="B553" s="149"/>
      <c r="C553" s="149"/>
      <c r="D553" s="149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</row>
    <row r="554">
      <c r="A554" s="149"/>
      <c r="B554" s="149"/>
      <c r="C554" s="149"/>
      <c r="D554" s="149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</row>
    <row r="555">
      <c r="A555" s="149"/>
      <c r="B555" s="149"/>
      <c r="C555" s="149"/>
      <c r="D555" s="149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</row>
    <row r="556">
      <c r="A556" s="149"/>
      <c r="B556" s="149"/>
      <c r="C556" s="149"/>
      <c r="D556" s="149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</row>
    <row r="557">
      <c r="A557" s="149"/>
      <c r="B557" s="149"/>
      <c r="C557" s="149"/>
      <c r="D557" s="149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</row>
    <row r="558">
      <c r="A558" s="149"/>
      <c r="B558" s="149"/>
      <c r="C558" s="149"/>
      <c r="D558" s="149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</row>
    <row r="559">
      <c r="A559" s="149"/>
      <c r="B559" s="149"/>
      <c r="C559" s="149"/>
      <c r="D559" s="149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</row>
    <row r="560">
      <c r="A560" s="149"/>
      <c r="B560" s="149"/>
      <c r="C560" s="149"/>
      <c r="D560" s="149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</row>
    <row r="561">
      <c r="A561" s="149"/>
      <c r="B561" s="149"/>
      <c r="C561" s="149"/>
      <c r="D561" s="149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</row>
    <row r="562">
      <c r="A562" s="149"/>
      <c r="B562" s="149"/>
      <c r="C562" s="149"/>
      <c r="D562" s="149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</row>
    <row r="563">
      <c r="A563" s="149"/>
      <c r="B563" s="149"/>
      <c r="C563" s="149"/>
      <c r="D563" s="149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</row>
    <row r="564">
      <c r="A564" s="149"/>
      <c r="B564" s="149"/>
      <c r="C564" s="149"/>
      <c r="D564" s="149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</row>
    <row r="565">
      <c r="A565" s="149"/>
      <c r="B565" s="149"/>
      <c r="C565" s="149"/>
      <c r="D565" s="149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</row>
    <row r="566">
      <c r="A566" s="149"/>
      <c r="B566" s="149"/>
      <c r="C566" s="149"/>
      <c r="D566" s="149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</row>
    <row r="567">
      <c r="A567" s="149"/>
      <c r="B567" s="149"/>
      <c r="C567" s="149"/>
      <c r="D567" s="149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</row>
    <row r="568">
      <c r="A568" s="149"/>
      <c r="B568" s="149"/>
      <c r="C568" s="149"/>
      <c r="D568" s="149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</row>
    <row r="569">
      <c r="A569" s="149"/>
      <c r="B569" s="149"/>
      <c r="C569" s="149"/>
      <c r="D569" s="149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</row>
    <row r="570">
      <c r="A570" s="149"/>
      <c r="B570" s="149"/>
      <c r="C570" s="149"/>
      <c r="D570" s="149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</row>
    <row r="571">
      <c r="A571" s="149"/>
      <c r="B571" s="149"/>
      <c r="C571" s="149"/>
      <c r="D571" s="149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</row>
    <row r="572">
      <c r="A572" s="149"/>
      <c r="B572" s="149"/>
      <c r="C572" s="149"/>
      <c r="D572" s="149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</row>
    <row r="573">
      <c r="A573" s="149"/>
      <c r="B573" s="149"/>
      <c r="C573" s="149"/>
      <c r="D573" s="149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</row>
    <row r="574">
      <c r="A574" s="149"/>
      <c r="B574" s="149"/>
      <c r="C574" s="149"/>
      <c r="D574" s="149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</row>
    <row r="575">
      <c r="A575" s="149"/>
      <c r="B575" s="149"/>
      <c r="C575" s="149"/>
      <c r="D575" s="149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</row>
    <row r="576">
      <c r="A576" s="149"/>
      <c r="B576" s="149"/>
      <c r="C576" s="149"/>
      <c r="D576" s="149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</row>
    <row r="577">
      <c r="A577" s="149"/>
      <c r="B577" s="149"/>
      <c r="C577" s="149"/>
      <c r="D577" s="149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</row>
    <row r="578">
      <c r="A578" s="149"/>
      <c r="B578" s="149"/>
      <c r="C578" s="149"/>
      <c r="D578" s="149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</row>
    <row r="579">
      <c r="A579" s="149"/>
      <c r="B579" s="149"/>
      <c r="C579" s="149"/>
      <c r="D579" s="149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</row>
    <row r="580">
      <c r="A580" s="149"/>
      <c r="B580" s="149"/>
      <c r="C580" s="149"/>
      <c r="D580" s="149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</row>
    <row r="581">
      <c r="A581" s="149"/>
      <c r="B581" s="149"/>
      <c r="C581" s="149"/>
      <c r="D581" s="149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</row>
    <row r="582">
      <c r="A582" s="149"/>
      <c r="B582" s="149"/>
      <c r="C582" s="149"/>
      <c r="D582" s="149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</row>
    <row r="583">
      <c r="A583" s="149"/>
      <c r="B583" s="149"/>
      <c r="C583" s="149"/>
      <c r="D583" s="149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</row>
    <row r="584">
      <c r="A584" s="149"/>
      <c r="B584" s="149"/>
      <c r="C584" s="149"/>
      <c r="D584" s="149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</row>
    <row r="585">
      <c r="A585" s="149"/>
      <c r="B585" s="149"/>
      <c r="C585" s="149"/>
      <c r="D585" s="149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</row>
    <row r="586">
      <c r="A586" s="149"/>
      <c r="B586" s="149"/>
      <c r="C586" s="149"/>
      <c r="D586" s="149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</row>
    <row r="587">
      <c r="A587" s="149"/>
      <c r="B587" s="149"/>
      <c r="C587" s="149"/>
      <c r="D587" s="149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</row>
    <row r="588">
      <c r="A588" s="149"/>
      <c r="B588" s="149"/>
      <c r="C588" s="149"/>
      <c r="D588" s="149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</row>
    <row r="589">
      <c r="A589" s="149"/>
      <c r="B589" s="149"/>
      <c r="C589" s="149"/>
      <c r="D589" s="149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</row>
    <row r="590">
      <c r="A590" s="149"/>
      <c r="B590" s="149"/>
      <c r="C590" s="149"/>
      <c r="D590" s="149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</row>
    <row r="591">
      <c r="A591" s="149"/>
      <c r="B591" s="149"/>
      <c r="C591" s="149"/>
      <c r="D591" s="149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</row>
    <row r="592">
      <c r="A592" s="149"/>
      <c r="B592" s="149"/>
      <c r="C592" s="149"/>
      <c r="D592" s="149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</row>
    <row r="593">
      <c r="A593" s="149"/>
      <c r="B593" s="149"/>
      <c r="C593" s="149"/>
      <c r="D593" s="149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</row>
    <row r="594">
      <c r="A594" s="149"/>
      <c r="B594" s="149"/>
      <c r="C594" s="149"/>
      <c r="D594" s="149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</row>
    <row r="595">
      <c r="A595" s="149"/>
      <c r="B595" s="149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</row>
    <row r="596">
      <c r="A596" s="149"/>
      <c r="B596" s="149"/>
      <c r="C596" s="149"/>
      <c r="D596" s="149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</row>
    <row r="597">
      <c r="A597" s="149"/>
      <c r="B597" s="149"/>
      <c r="C597" s="149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</row>
    <row r="598">
      <c r="A598" s="149"/>
      <c r="B598" s="149"/>
      <c r="C598" s="149"/>
      <c r="D598" s="149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</row>
    <row r="599">
      <c r="A599" s="149"/>
      <c r="B599" s="149"/>
      <c r="C599" s="149"/>
      <c r="D599" s="149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</row>
    <row r="600">
      <c r="A600" s="149"/>
      <c r="B600" s="149"/>
      <c r="C600" s="149"/>
      <c r="D600" s="149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</row>
    <row r="601">
      <c r="A601" s="149"/>
      <c r="B601" s="149"/>
      <c r="C601" s="149"/>
      <c r="D601" s="149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</row>
    <row r="602">
      <c r="A602" s="149"/>
      <c r="B602" s="149"/>
      <c r="C602" s="149"/>
      <c r="D602" s="149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</row>
    <row r="603">
      <c r="A603" s="149"/>
      <c r="B603" s="149"/>
      <c r="C603" s="149"/>
      <c r="D603" s="149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</row>
    <row r="604">
      <c r="A604" s="149"/>
      <c r="B604" s="149"/>
      <c r="C604" s="149"/>
      <c r="D604" s="149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</row>
    <row r="605">
      <c r="A605" s="149"/>
      <c r="B605" s="149"/>
      <c r="C605" s="149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</row>
    <row r="606">
      <c r="A606" s="149"/>
      <c r="B606" s="149"/>
      <c r="C606" s="149"/>
      <c r="D606" s="149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</row>
    <row r="607">
      <c r="A607" s="149"/>
      <c r="B607" s="149"/>
      <c r="C607" s="149"/>
      <c r="D607" s="149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</row>
    <row r="608">
      <c r="A608" s="149"/>
      <c r="B608" s="149"/>
      <c r="C608" s="149"/>
      <c r="D608" s="149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</row>
    <row r="609">
      <c r="A609" s="149"/>
      <c r="B609" s="149"/>
      <c r="C609" s="149"/>
      <c r="D609" s="149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</row>
    <row r="610">
      <c r="A610" s="149"/>
      <c r="B610" s="149"/>
      <c r="C610" s="149"/>
      <c r="D610" s="149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</row>
    <row r="611">
      <c r="A611" s="149"/>
      <c r="B611" s="149"/>
      <c r="C611" s="149"/>
      <c r="D611" s="149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</row>
    <row r="612">
      <c r="A612" s="149"/>
      <c r="B612" s="149"/>
      <c r="C612" s="149"/>
      <c r="D612" s="149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</row>
    <row r="613">
      <c r="A613" s="149"/>
      <c r="B613" s="149"/>
      <c r="C613" s="149"/>
      <c r="D613" s="149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</row>
    <row r="614">
      <c r="A614" s="149"/>
      <c r="B614" s="149"/>
      <c r="C614" s="149"/>
      <c r="D614" s="149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</row>
    <row r="615">
      <c r="A615" s="149"/>
      <c r="B615" s="149"/>
      <c r="C615" s="149"/>
      <c r="D615" s="149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</row>
    <row r="616">
      <c r="A616" s="149"/>
      <c r="B616" s="149"/>
      <c r="C616" s="149"/>
      <c r="D616" s="149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</row>
    <row r="617">
      <c r="A617" s="149"/>
      <c r="B617" s="149"/>
      <c r="C617" s="149"/>
      <c r="D617" s="149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</row>
    <row r="618">
      <c r="A618" s="149"/>
      <c r="B618" s="149"/>
      <c r="C618" s="149"/>
      <c r="D618" s="149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</row>
    <row r="619">
      <c r="A619" s="149"/>
      <c r="B619" s="149"/>
      <c r="C619" s="149"/>
      <c r="D619" s="149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</row>
    <row r="620">
      <c r="A620" s="149"/>
      <c r="B620" s="149"/>
      <c r="C620" s="149"/>
      <c r="D620" s="149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</row>
    <row r="621">
      <c r="A621" s="149"/>
      <c r="B621" s="149"/>
      <c r="C621" s="149"/>
      <c r="D621" s="149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</row>
    <row r="622">
      <c r="A622" s="149"/>
      <c r="B622" s="149"/>
      <c r="C622" s="149"/>
      <c r="D622" s="149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</row>
    <row r="623">
      <c r="A623" s="149"/>
      <c r="B623" s="149"/>
      <c r="C623" s="149"/>
      <c r="D623" s="149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</row>
    <row r="624">
      <c r="A624" s="149"/>
      <c r="B624" s="149"/>
      <c r="C624" s="149"/>
      <c r="D624" s="149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</row>
    <row r="625">
      <c r="A625" s="149"/>
      <c r="B625" s="149"/>
      <c r="C625" s="149"/>
      <c r="D625" s="149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</row>
    <row r="626">
      <c r="A626" s="149"/>
      <c r="B626" s="149"/>
      <c r="C626" s="149"/>
      <c r="D626" s="149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</row>
    <row r="627">
      <c r="A627" s="149"/>
      <c r="B627" s="149"/>
      <c r="C627" s="149"/>
      <c r="D627" s="149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</row>
    <row r="628">
      <c r="A628" s="149"/>
      <c r="B628" s="149"/>
      <c r="C628" s="149"/>
      <c r="D628" s="149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</row>
    <row r="629">
      <c r="A629" s="149"/>
      <c r="B629" s="149"/>
      <c r="C629" s="149"/>
      <c r="D629" s="149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</row>
    <row r="630">
      <c r="A630" s="149"/>
      <c r="B630" s="149"/>
      <c r="C630" s="149"/>
      <c r="D630" s="149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</row>
    <row r="631">
      <c r="A631" s="149"/>
      <c r="B631" s="149"/>
      <c r="C631" s="149"/>
      <c r="D631" s="149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</row>
    <row r="632">
      <c r="A632" s="149"/>
      <c r="B632" s="149"/>
      <c r="C632" s="149"/>
      <c r="D632" s="149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</row>
    <row r="633">
      <c r="A633" s="149"/>
      <c r="B633" s="149"/>
      <c r="C633" s="149"/>
      <c r="D633" s="149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</row>
    <row r="634">
      <c r="A634" s="149"/>
      <c r="B634" s="149"/>
      <c r="C634" s="149"/>
      <c r="D634" s="149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</row>
    <row r="635">
      <c r="A635" s="149"/>
      <c r="B635" s="149"/>
      <c r="C635" s="149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</row>
    <row r="636">
      <c r="A636" s="149"/>
      <c r="B636" s="149"/>
      <c r="C636" s="149"/>
      <c r="D636" s="149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</row>
    <row r="637">
      <c r="A637" s="149"/>
      <c r="B637" s="149"/>
      <c r="C637" s="149"/>
      <c r="D637" s="149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</row>
    <row r="638">
      <c r="A638" s="149"/>
      <c r="B638" s="149"/>
      <c r="C638" s="149"/>
      <c r="D638" s="149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</row>
    <row r="639">
      <c r="A639" s="149"/>
      <c r="B639" s="149"/>
      <c r="C639" s="149"/>
      <c r="D639" s="149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</row>
    <row r="640">
      <c r="A640" s="149"/>
      <c r="B640" s="149"/>
      <c r="C640" s="149"/>
      <c r="D640" s="149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</row>
    <row r="641">
      <c r="A641" s="149"/>
      <c r="B641" s="149"/>
      <c r="C641" s="149"/>
      <c r="D641" s="149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</row>
    <row r="642">
      <c r="A642" s="149"/>
      <c r="B642" s="149"/>
      <c r="C642" s="149"/>
      <c r="D642" s="149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</row>
    <row r="643">
      <c r="A643" s="149"/>
      <c r="B643" s="149"/>
      <c r="C643" s="149"/>
      <c r="D643" s="149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</row>
    <row r="644">
      <c r="A644" s="149"/>
      <c r="B644" s="149"/>
      <c r="C644" s="149"/>
      <c r="D644" s="149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</row>
    <row r="645">
      <c r="A645" s="149"/>
      <c r="B645" s="149"/>
      <c r="C645" s="149"/>
      <c r="D645" s="149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</row>
    <row r="646">
      <c r="A646" s="149"/>
      <c r="B646" s="149"/>
      <c r="C646" s="149"/>
      <c r="D646" s="149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</row>
    <row r="647">
      <c r="A647" s="149"/>
      <c r="B647" s="149"/>
      <c r="C647" s="149"/>
      <c r="D647" s="149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</row>
    <row r="648">
      <c r="A648" s="149"/>
      <c r="B648" s="149"/>
      <c r="C648" s="149"/>
      <c r="D648" s="149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</row>
    <row r="649">
      <c r="A649" s="149"/>
      <c r="B649" s="149"/>
      <c r="C649" s="149"/>
      <c r="D649" s="149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</row>
    <row r="650">
      <c r="A650" s="149"/>
      <c r="B650" s="149"/>
      <c r="C650" s="149"/>
      <c r="D650" s="149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</row>
    <row r="651">
      <c r="A651" s="149"/>
      <c r="B651" s="149"/>
      <c r="C651" s="149"/>
      <c r="D651" s="149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</row>
    <row r="652">
      <c r="A652" s="149"/>
      <c r="B652" s="149"/>
      <c r="C652" s="149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</row>
    <row r="653">
      <c r="A653" s="149"/>
      <c r="B653" s="149"/>
      <c r="C653" s="149"/>
      <c r="D653" s="149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</row>
    <row r="654">
      <c r="A654" s="149"/>
      <c r="B654" s="149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</row>
    <row r="655">
      <c r="A655" s="149"/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</row>
    <row r="656">
      <c r="A656" s="149"/>
      <c r="B656" s="149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</row>
    <row r="657">
      <c r="A657" s="149"/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</row>
    <row r="658">
      <c r="A658" s="149"/>
      <c r="B658" s="149"/>
      <c r="C658" s="149"/>
      <c r="D658" s="149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</row>
    <row r="659">
      <c r="A659" s="149"/>
      <c r="B659" s="149"/>
      <c r="C659" s="149"/>
      <c r="D659" s="149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</row>
    <row r="660">
      <c r="A660" s="149"/>
      <c r="B660" s="149"/>
      <c r="C660" s="149"/>
      <c r="D660" s="149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</row>
    <row r="661">
      <c r="A661" s="149"/>
      <c r="B661" s="149"/>
      <c r="C661" s="149"/>
      <c r="D661" s="149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</row>
    <row r="662">
      <c r="A662" s="149"/>
      <c r="B662" s="149"/>
      <c r="C662" s="149"/>
      <c r="D662" s="149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</row>
    <row r="663">
      <c r="A663" s="149"/>
      <c r="B663" s="149"/>
      <c r="C663" s="149"/>
      <c r="D663" s="149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</row>
    <row r="664">
      <c r="A664" s="149"/>
      <c r="B664" s="149"/>
      <c r="C664" s="149"/>
      <c r="D664" s="149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</row>
    <row r="665">
      <c r="A665" s="149"/>
      <c r="B665" s="149"/>
      <c r="C665" s="149"/>
      <c r="D665" s="149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</row>
    <row r="666">
      <c r="A666" s="149"/>
      <c r="B666" s="149"/>
      <c r="C666" s="149"/>
      <c r="D666" s="149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</row>
    <row r="667">
      <c r="A667" s="149"/>
      <c r="B667" s="149"/>
      <c r="C667" s="149"/>
      <c r="D667" s="149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</row>
    <row r="668">
      <c r="A668" s="149"/>
      <c r="B668" s="149"/>
      <c r="C668" s="149"/>
      <c r="D668" s="149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</row>
    <row r="669">
      <c r="A669" s="149"/>
      <c r="B669" s="149"/>
      <c r="C669" s="149"/>
      <c r="D669" s="149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</row>
    <row r="670">
      <c r="A670" s="149"/>
      <c r="B670" s="149"/>
      <c r="C670" s="149"/>
      <c r="D670" s="149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</row>
    <row r="671">
      <c r="A671" s="149"/>
      <c r="B671" s="149"/>
      <c r="C671" s="149"/>
      <c r="D671" s="149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</row>
    <row r="672">
      <c r="A672" s="149"/>
      <c r="B672" s="149"/>
      <c r="C672" s="149"/>
      <c r="D672" s="149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</row>
    <row r="673">
      <c r="A673" s="149"/>
      <c r="B673" s="149"/>
      <c r="C673" s="149"/>
      <c r="D673" s="149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</row>
    <row r="674">
      <c r="A674" s="149"/>
      <c r="B674" s="149"/>
      <c r="C674" s="149"/>
      <c r="D674" s="149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</row>
    <row r="675">
      <c r="A675" s="149"/>
      <c r="B675" s="149"/>
      <c r="C675" s="149"/>
      <c r="D675" s="149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</row>
    <row r="676">
      <c r="A676" s="149"/>
      <c r="B676" s="149"/>
      <c r="C676" s="149"/>
      <c r="D676" s="149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</row>
    <row r="677">
      <c r="A677" s="149"/>
      <c r="B677" s="149"/>
      <c r="C677" s="149"/>
      <c r="D677" s="149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</row>
    <row r="678">
      <c r="A678" s="149"/>
      <c r="B678" s="149"/>
      <c r="C678" s="149"/>
      <c r="D678" s="149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</row>
    <row r="679">
      <c r="A679" s="149"/>
      <c r="B679" s="149"/>
      <c r="C679" s="149"/>
      <c r="D679" s="149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</row>
    <row r="680">
      <c r="A680" s="149"/>
      <c r="B680" s="149"/>
      <c r="C680" s="149"/>
      <c r="D680" s="149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</row>
    <row r="681">
      <c r="A681" s="149"/>
      <c r="B681" s="149"/>
      <c r="C681" s="149"/>
      <c r="D681" s="149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</row>
    <row r="682">
      <c r="A682" s="149"/>
      <c r="B682" s="149"/>
      <c r="C682" s="149"/>
      <c r="D682" s="149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</row>
    <row r="683">
      <c r="A683" s="149"/>
      <c r="B683" s="149"/>
      <c r="C683" s="149"/>
      <c r="D683" s="149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</row>
    <row r="684">
      <c r="A684" s="149"/>
      <c r="B684" s="149"/>
      <c r="C684" s="149"/>
      <c r="D684" s="149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</row>
    <row r="685">
      <c r="A685" s="149"/>
      <c r="B685" s="149"/>
      <c r="C685" s="149"/>
      <c r="D685" s="149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</row>
    <row r="686">
      <c r="A686" s="149"/>
      <c r="B686" s="149"/>
      <c r="C686" s="149"/>
      <c r="D686" s="149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</row>
    <row r="687">
      <c r="A687" s="149"/>
      <c r="B687" s="149"/>
      <c r="C687" s="149"/>
      <c r="D687" s="149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</row>
    <row r="688">
      <c r="A688" s="149"/>
      <c r="B688" s="149"/>
      <c r="C688" s="149"/>
      <c r="D688" s="149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</row>
    <row r="689">
      <c r="A689" s="149"/>
      <c r="B689" s="149"/>
      <c r="C689" s="149"/>
      <c r="D689" s="149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</row>
    <row r="690">
      <c r="A690" s="149"/>
      <c r="B690" s="149"/>
      <c r="C690" s="149"/>
      <c r="D690" s="149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</row>
    <row r="691">
      <c r="A691" s="149"/>
      <c r="B691" s="149"/>
      <c r="C691" s="149"/>
      <c r="D691" s="149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</row>
    <row r="692">
      <c r="A692" s="149"/>
      <c r="B692" s="149"/>
      <c r="C692" s="149"/>
      <c r="D692" s="149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</row>
    <row r="693">
      <c r="A693" s="149"/>
      <c r="B693" s="149"/>
      <c r="C693" s="149"/>
      <c r="D693" s="149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</row>
    <row r="694">
      <c r="A694" s="149"/>
      <c r="B694" s="149"/>
      <c r="C694" s="149"/>
      <c r="D694" s="149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</row>
    <row r="695">
      <c r="A695" s="149"/>
      <c r="B695" s="149"/>
      <c r="C695" s="149"/>
      <c r="D695" s="149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</row>
    <row r="696">
      <c r="A696" s="149"/>
      <c r="B696" s="149"/>
      <c r="C696" s="149"/>
      <c r="D696" s="149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</row>
    <row r="697">
      <c r="A697" s="149"/>
      <c r="B697" s="149"/>
      <c r="C697" s="149"/>
      <c r="D697" s="149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</row>
    <row r="698">
      <c r="A698" s="149"/>
      <c r="B698" s="149"/>
      <c r="C698" s="149"/>
      <c r="D698" s="149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</row>
    <row r="699">
      <c r="A699" s="149"/>
      <c r="B699" s="149"/>
      <c r="C699" s="149"/>
      <c r="D699" s="149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</row>
    <row r="700">
      <c r="A700" s="149"/>
      <c r="B700" s="149"/>
      <c r="C700" s="149"/>
      <c r="D700" s="149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</row>
    <row r="701">
      <c r="A701" s="149"/>
      <c r="B701" s="149"/>
      <c r="C701" s="149"/>
      <c r="D701" s="149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</row>
    <row r="702">
      <c r="A702" s="149"/>
      <c r="B702" s="149"/>
      <c r="C702" s="149"/>
      <c r="D702" s="149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</row>
    <row r="703">
      <c r="A703" s="149"/>
      <c r="B703" s="149"/>
      <c r="C703" s="149"/>
      <c r="D703" s="149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</row>
    <row r="704">
      <c r="A704" s="149"/>
      <c r="B704" s="149"/>
      <c r="C704" s="149"/>
      <c r="D704" s="149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</row>
    <row r="705">
      <c r="A705" s="149"/>
      <c r="B705" s="149"/>
      <c r="C705" s="149"/>
      <c r="D705" s="149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</row>
    <row r="706">
      <c r="A706" s="149"/>
      <c r="B706" s="149"/>
      <c r="C706" s="149"/>
      <c r="D706" s="149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</row>
    <row r="707">
      <c r="A707" s="149"/>
      <c r="B707" s="149"/>
      <c r="C707" s="149"/>
      <c r="D707" s="149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</row>
    <row r="708">
      <c r="A708" s="149"/>
      <c r="B708" s="149"/>
      <c r="C708" s="149"/>
      <c r="D708" s="149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</row>
    <row r="709">
      <c r="A709" s="149"/>
      <c r="B709" s="149"/>
      <c r="C709" s="149"/>
      <c r="D709" s="149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</row>
    <row r="710">
      <c r="A710" s="149"/>
      <c r="B710" s="149"/>
      <c r="C710" s="149"/>
      <c r="D710" s="149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</row>
    <row r="711">
      <c r="A711" s="149"/>
      <c r="B711" s="149"/>
      <c r="C711" s="149"/>
      <c r="D711" s="149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</row>
    <row r="712">
      <c r="A712" s="149"/>
      <c r="B712" s="149"/>
      <c r="C712" s="149"/>
      <c r="D712" s="149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</row>
    <row r="713">
      <c r="A713" s="149"/>
      <c r="B713" s="149"/>
      <c r="C713" s="149"/>
      <c r="D713" s="149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</row>
    <row r="714">
      <c r="A714" s="149"/>
      <c r="B714" s="149"/>
      <c r="C714" s="149"/>
      <c r="D714" s="149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</row>
    <row r="715">
      <c r="A715" s="149"/>
      <c r="B715" s="149"/>
      <c r="C715" s="149"/>
      <c r="D715" s="149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</row>
    <row r="716">
      <c r="A716" s="149"/>
      <c r="B716" s="149"/>
      <c r="C716" s="149"/>
      <c r="D716" s="149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</row>
    <row r="717">
      <c r="A717" s="149"/>
      <c r="B717" s="149"/>
      <c r="C717" s="149"/>
      <c r="D717" s="149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</row>
    <row r="718">
      <c r="A718" s="149"/>
      <c r="B718" s="149"/>
      <c r="C718" s="149"/>
      <c r="D718" s="149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</row>
    <row r="719">
      <c r="A719" s="149"/>
      <c r="B719" s="149"/>
      <c r="C719" s="149"/>
      <c r="D719" s="149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</row>
    <row r="720">
      <c r="A720" s="149"/>
      <c r="B720" s="149"/>
      <c r="C720" s="149"/>
      <c r="D720" s="149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</row>
    <row r="721">
      <c r="A721" s="149"/>
      <c r="B721" s="149"/>
      <c r="C721" s="149"/>
      <c r="D721" s="149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</row>
    <row r="722">
      <c r="A722" s="149"/>
      <c r="B722" s="149"/>
      <c r="C722" s="149"/>
      <c r="D722" s="149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</row>
    <row r="723">
      <c r="A723" s="149"/>
      <c r="B723" s="149"/>
      <c r="C723" s="149"/>
      <c r="D723" s="149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</row>
    <row r="724">
      <c r="A724" s="149"/>
      <c r="B724" s="149"/>
      <c r="C724" s="149"/>
      <c r="D724" s="149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</row>
    <row r="725">
      <c r="A725" s="149"/>
      <c r="B725" s="149"/>
      <c r="C725" s="149"/>
      <c r="D725" s="149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</row>
    <row r="726">
      <c r="A726" s="149"/>
      <c r="B726" s="149"/>
      <c r="C726" s="149"/>
      <c r="D726" s="149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</row>
    <row r="727">
      <c r="A727" s="149"/>
      <c r="B727" s="149"/>
      <c r="C727" s="149"/>
      <c r="D727" s="149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</row>
    <row r="728">
      <c r="A728" s="149"/>
      <c r="B728" s="149"/>
      <c r="C728" s="149"/>
      <c r="D728" s="149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</row>
    <row r="729">
      <c r="A729" s="149"/>
      <c r="B729" s="149"/>
      <c r="C729" s="149"/>
      <c r="D729" s="149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</row>
    <row r="730">
      <c r="A730" s="149"/>
      <c r="B730" s="149"/>
      <c r="C730" s="149"/>
      <c r="D730" s="149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</row>
    <row r="731">
      <c r="A731" s="149"/>
      <c r="B731" s="149"/>
      <c r="C731" s="149"/>
      <c r="D731" s="149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</row>
    <row r="732">
      <c r="A732" s="149"/>
      <c r="B732" s="149"/>
      <c r="C732" s="149"/>
      <c r="D732" s="149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</row>
    <row r="733">
      <c r="A733" s="149"/>
      <c r="B733" s="149"/>
      <c r="C733" s="149"/>
      <c r="D733" s="149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</row>
    <row r="734">
      <c r="A734" s="149"/>
      <c r="B734" s="149"/>
      <c r="C734" s="149"/>
      <c r="D734" s="149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</row>
    <row r="735">
      <c r="A735" s="149"/>
      <c r="B735" s="149"/>
      <c r="C735" s="149"/>
      <c r="D735" s="149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</row>
    <row r="736">
      <c r="A736" s="149"/>
      <c r="B736" s="149"/>
      <c r="C736" s="149"/>
      <c r="D736" s="149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</row>
    <row r="737">
      <c r="A737" s="149"/>
      <c r="B737" s="149"/>
      <c r="C737" s="149"/>
      <c r="D737" s="149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</row>
    <row r="738">
      <c r="A738" s="149"/>
      <c r="B738" s="149"/>
      <c r="C738" s="149"/>
      <c r="D738" s="149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</row>
    <row r="739">
      <c r="A739" s="149"/>
      <c r="B739" s="149"/>
      <c r="C739" s="149"/>
      <c r="D739" s="149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</row>
    <row r="740">
      <c r="A740" s="149"/>
      <c r="B740" s="149"/>
      <c r="C740" s="149"/>
      <c r="D740" s="149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</row>
    <row r="741">
      <c r="A741" s="149"/>
      <c r="B741" s="149"/>
      <c r="C741" s="149"/>
      <c r="D741" s="149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</row>
    <row r="742">
      <c r="A742" s="149"/>
      <c r="B742" s="149"/>
      <c r="C742" s="149"/>
      <c r="D742" s="149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</row>
    <row r="743">
      <c r="A743" s="149"/>
      <c r="B743" s="149"/>
      <c r="C743" s="149"/>
      <c r="D743" s="149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</row>
    <row r="744">
      <c r="A744" s="149"/>
      <c r="B744" s="149"/>
      <c r="C744" s="149"/>
      <c r="D744" s="149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</row>
    <row r="745">
      <c r="A745" s="149"/>
      <c r="B745" s="149"/>
      <c r="C745" s="149"/>
      <c r="D745" s="149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</row>
    <row r="746">
      <c r="A746" s="149"/>
      <c r="B746" s="149"/>
      <c r="C746" s="149"/>
      <c r="D746" s="149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</row>
    <row r="747">
      <c r="A747" s="149"/>
      <c r="B747" s="149"/>
      <c r="C747" s="149"/>
      <c r="D747" s="149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</row>
    <row r="748">
      <c r="A748" s="149"/>
      <c r="B748" s="149"/>
      <c r="C748" s="149"/>
      <c r="D748" s="149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</row>
    <row r="749">
      <c r="A749" s="149"/>
      <c r="B749" s="149"/>
      <c r="C749" s="149"/>
      <c r="D749" s="149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</row>
    <row r="750">
      <c r="A750" s="149"/>
      <c r="B750" s="149"/>
      <c r="C750" s="149"/>
      <c r="D750" s="149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</row>
    <row r="751">
      <c r="A751" s="149"/>
      <c r="B751" s="149"/>
      <c r="C751" s="149"/>
      <c r="D751" s="149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</row>
    <row r="752">
      <c r="A752" s="149"/>
      <c r="B752" s="149"/>
      <c r="C752" s="149"/>
      <c r="D752" s="149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</row>
    <row r="753">
      <c r="A753" s="149"/>
      <c r="B753" s="149"/>
      <c r="C753" s="149"/>
      <c r="D753" s="149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</row>
    <row r="754">
      <c r="A754" s="149"/>
      <c r="B754" s="149"/>
      <c r="C754" s="149"/>
      <c r="D754" s="149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</row>
    <row r="755">
      <c r="A755" s="149"/>
      <c r="B755" s="149"/>
      <c r="C755" s="149"/>
      <c r="D755" s="149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</row>
    <row r="756">
      <c r="A756" s="149"/>
      <c r="B756" s="149"/>
      <c r="C756" s="149"/>
      <c r="D756" s="149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</row>
    <row r="757">
      <c r="A757" s="149"/>
      <c r="B757" s="149"/>
      <c r="C757" s="149"/>
      <c r="D757" s="149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</row>
    <row r="758">
      <c r="A758" s="149"/>
      <c r="B758" s="149"/>
      <c r="C758" s="149"/>
      <c r="D758" s="149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</row>
    <row r="759">
      <c r="A759" s="149"/>
      <c r="B759" s="149"/>
      <c r="C759" s="149"/>
      <c r="D759" s="149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</row>
    <row r="760">
      <c r="A760" s="149"/>
      <c r="B760" s="149"/>
      <c r="C760" s="149"/>
      <c r="D760" s="149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</row>
    <row r="761">
      <c r="A761" s="149"/>
      <c r="B761" s="149"/>
      <c r="C761" s="149"/>
      <c r="D761" s="149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</row>
    <row r="762">
      <c r="A762" s="149"/>
      <c r="B762" s="149"/>
      <c r="C762" s="149"/>
      <c r="D762" s="149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</row>
    <row r="763">
      <c r="A763" s="149"/>
      <c r="B763" s="149"/>
      <c r="C763" s="149"/>
      <c r="D763" s="149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</row>
    <row r="764">
      <c r="A764" s="149"/>
      <c r="B764" s="149"/>
      <c r="C764" s="149"/>
      <c r="D764" s="149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</row>
    <row r="765">
      <c r="A765" s="149"/>
      <c r="B765" s="149"/>
      <c r="C765" s="149"/>
      <c r="D765" s="149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</row>
    <row r="766">
      <c r="A766" s="149"/>
      <c r="B766" s="149"/>
      <c r="C766" s="149"/>
      <c r="D766" s="149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</row>
    <row r="767">
      <c r="A767" s="149"/>
      <c r="B767" s="149"/>
      <c r="C767" s="149"/>
      <c r="D767" s="149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</row>
    <row r="768">
      <c r="A768" s="149"/>
      <c r="B768" s="149"/>
      <c r="C768" s="149"/>
      <c r="D768" s="149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</row>
    <row r="769">
      <c r="A769" s="149"/>
      <c r="B769" s="149"/>
      <c r="C769" s="149"/>
      <c r="D769" s="149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</row>
    <row r="770">
      <c r="A770" s="149"/>
      <c r="B770" s="149"/>
      <c r="C770" s="149"/>
      <c r="D770" s="149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</row>
    <row r="771">
      <c r="A771" s="149"/>
      <c r="B771" s="149"/>
      <c r="C771" s="149"/>
      <c r="D771" s="149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</row>
    <row r="772">
      <c r="A772" s="149"/>
      <c r="B772" s="149"/>
      <c r="C772" s="149"/>
      <c r="D772" s="149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</row>
    <row r="773">
      <c r="A773" s="149"/>
      <c r="B773" s="149"/>
      <c r="C773" s="149"/>
      <c r="D773" s="149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</row>
    <row r="774">
      <c r="A774" s="149"/>
      <c r="B774" s="149"/>
      <c r="C774" s="149"/>
      <c r="D774" s="149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</row>
    <row r="775">
      <c r="A775" s="149"/>
      <c r="B775" s="149"/>
      <c r="C775" s="149"/>
      <c r="D775" s="149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</row>
    <row r="776">
      <c r="A776" s="149"/>
      <c r="B776" s="149"/>
      <c r="C776" s="149"/>
      <c r="D776" s="149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</row>
    <row r="777">
      <c r="A777" s="149"/>
      <c r="B777" s="149"/>
      <c r="C777" s="149"/>
      <c r="D777" s="149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</row>
    <row r="778">
      <c r="A778" s="149"/>
      <c r="B778" s="149"/>
      <c r="C778" s="149"/>
      <c r="D778" s="149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</row>
    <row r="779">
      <c r="A779" s="149"/>
      <c r="B779" s="149"/>
      <c r="C779" s="149"/>
      <c r="D779" s="149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</row>
    <row r="780">
      <c r="A780" s="149"/>
      <c r="B780" s="149"/>
      <c r="C780" s="149"/>
      <c r="D780" s="149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</row>
    <row r="781">
      <c r="A781" s="149"/>
      <c r="B781" s="149"/>
      <c r="C781" s="149"/>
      <c r="D781" s="149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</row>
    <row r="782">
      <c r="A782" s="149"/>
      <c r="B782" s="149"/>
      <c r="C782" s="149"/>
      <c r="D782" s="149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</row>
    <row r="783">
      <c r="A783" s="149"/>
      <c r="B783" s="149"/>
      <c r="C783" s="149"/>
      <c r="D783" s="149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</row>
    <row r="784">
      <c r="A784" s="149"/>
      <c r="B784" s="149"/>
      <c r="C784" s="149"/>
      <c r="D784" s="149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</row>
    <row r="785">
      <c r="A785" s="149"/>
      <c r="B785" s="149"/>
      <c r="C785" s="149"/>
      <c r="D785" s="149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</row>
    <row r="786">
      <c r="A786" s="149"/>
      <c r="B786" s="149"/>
      <c r="C786" s="149"/>
      <c r="D786" s="149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</row>
    <row r="787">
      <c r="A787" s="149"/>
      <c r="B787" s="149"/>
      <c r="C787" s="149"/>
      <c r="D787" s="149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</row>
    <row r="788">
      <c r="A788" s="149"/>
      <c r="B788" s="149"/>
      <c r="C788" s="149"/>
      <c r="D788" s="149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</row>
    <row r="789">
      <c r="A789" s="149"/>
      <c r="B789" s="149"/>
      <c r="C789" s="149"/>
      <c r="D789" s="149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</row>
    <row r="790">
      <c r="A790" s="149"/>
      <c r="B790" s="149"/>
      <c r="C790" s="149"/>
      <c r="D790" s="149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</row>
    <row r="791">
      <c r="A791" s="149"/>
      <c r="B791" s="149"/>
      <c r="C791" s="149"/>
      <c r="D791" s="149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</row>
    <row r="792">
      <c r="A792" s="149"/>
      <c r="B792" s="149"/>
      <c r="C792" s="149"/>
      <c r="D792" s="149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</row>
    <row r="793">
      <c r="A793" s="149"/>
      <c r="B793" s="149"/>
      <c r="C793" s="149"/>
      <c r="D793" s="149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</row>
    <row r="794">
      <c r="A794" s="149"/>
      <c r="B794" s="149"/>
      <c r="C794" s="149"/>
      <c r="D794" s="149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</row>
    <row r="795">
      <c r="A795" s="149"/>
      <c r="B795" s="149"/>
      <c r="C795" s="149"/>
      <c r="D795" s="149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</row>
    <row r="796">
      <c r="A796" s="149"/>
      <c r="B796" s="149"/>
      <c r="C796" s="149"/>
      <c r="D796" s="149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</row>
    <row r="797">
      <c r="A797" s="149"/>
      <c r="B797" s="149"/>
      <c r="C797" s="149"/>
      <c r="D797" s="149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</row>
    <row r="798">
      <c r="A798" s="149"/>
      <c r="B798" s="149"/>
      <c r="C798" s="149"/>
      <c r="D798" s="149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</row>
    <row r="799">
      <c r="A799" s="149"/>
      <c r="B799" s="149"/>
      <c r="C799" s="149"/>
      <c r="D799" s="149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</row>
    <row r="800">
      <c r="A800" s="149"/>
      <c r="B800" s="149"/>
      <c r="C800" s="149"/>
      <c r="D800" s="149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</row>
    <row r="801">
      <c r="A801" s="149"/>
      <c r="B801" s="149"/>
      <c r="C801" s="149"/>
      <c r="D801" s="149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</row>
    <row r="802">
      <c r="A802" s="149"/>
      <c r="B802" s="149"/>
      <c r="C802" s="149"/>
      <c r="D802" s="149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</row>
    <row r="803">
      <c r="A803" s="149"/>
      <c r="B803" s="149"/>
      <c r="C803" s="149"/>
      <c r="D803" s="149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</row>
    <row r="804">
      <c r="A804" s="149"/>
      <c r="B804" s="149"/>
      <c r="C804" s="149"/>
      <c r="D804" s="149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</row>
    <row r="805">
      <c r="A805" s="149"/>
      <c r="B805" s="149"/>
      <c r="C805" s="149"/>
      <c r="D805" s="149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</row>
    <row r="806">
      <c r="A806" s="149"/>
      <c r="B806" s="149"/>
      <c r="C806" s="149"/>
      <c r="D806" s="149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</row>
    <row r="807">
      <c r="A807" s="149"/>
      <c r="B807" s="149"/>
      <c r="C807" s="149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</row>
    <row r="808">
      <c r="A808" s="149"/>
      <c r="B808" s="149"/>
      <c r="C808" s="149"/>
      <c r="D808" s="149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</row>
    <row r="809">
      <c r="A809" s="149"/>
      <c r="B809" s="149"/>
      <c r="C809" s="149"/>
      <c r="D809" s="149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</row>
    <row r="810">
      <c r="A810" s="149"/>
      <c r="B810" s="149"/>
      <c r="C810" s="149"/>
      <c r="D810" s="149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</row>
    <row r="811">
      <c r="A811" s="149"/>
      <c r="B811" s="149"/>
      <c r="C811" s="149"/>
      <c r="D811" s="149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</row>
    <row r="812">
      <c r="A812" s="149"/>
      <c r="B812" s="149"/>
      <c r="C812" s="149"/>
      <c r="D812" s="149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</row>
    <row r="813">
      <c r="A813" s="149"/>
      <c r="B813" s="149"/>
      <c r="C813" s="149"/>
      <c r="D813" s="149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</row>
    <row r="814">
      <c r="A814" s="149"/>
      <c r="B814" s="149"/>
      <c r="C814" s="149"/>
      <c r="D814" s="149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</row>
    <row r="815">
      <c r="A815" s="149"/>
      <c r="B815" s="149"/>
      <c r="C815" s="149"/>
      <c r="D815" s="149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</row>
    <row r="816">
      <c r="A816" s="149"/>
      <c r="B816" s="149"/>
      <c r="C816" s="149"/>
      <c r="D816" s="149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</row>
    <row r="817">
      <c r="A817" s="149"/>
      <c r="B817" s="149"/>
      <c r="C817" s="149"/>
      <c r="D817" s="149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</row>
    <row r="818">
      <c r="A818" s="149"/>
      <c r="B818" s="149"/>
      <c r="C818" s="149"/>
      <c r="D818" s="149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</row>
    <row r="819">
      <c r="A819" s="149"/>
      <c r="B819" s="149"/>
      <c r="C819" s="149"/>
      <c r="D819" s="149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</row>
    <row r="820">
      <c r="A820" s="149"/>
      <c r="B820" s="149"/>
      <c r="C820" s="149"/>
      <c r="D820" s="149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</row>
    <row r="821">
      <c r="A821" s="149"/>
      <c r="B821" s="149"/>
      <c r="C821" s="149"/>
      <c r="D821" s="149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</row>
    <row r="822">
      <c r="A822" s="149"/>
      <c r="B822" s="149"/>
      <c r="C822" s="149"/>
      <c r="D822" s="149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</row>
    <row r="823">
      <c r="A823" s="149"/>
      <c r="B823" s="149"/>
      <c r="C823" s="149"/>
      <c r="D823" s="149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</row>
    <row r="824">
      <c r="A824" s="149"/>
      <c r="B824" s="149"/>
      <c r="C824" s="149"/>
      <c r="D824" s="149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</row>
    <row r="825">
      <c r="A825" s="149"/>
      <c r="B825" s="149"/>
      <c r="C825" s="149"/>
      <c r="D825" s="149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</row>
    <row r="826">
      <c r="A826" s="149"/>
      <c r="B826" s="149"/>
      <c r="C826" s="149"/>
      <c r="D826" s="149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</row>
    <row r="827">
      <c r="A827" s="149"/>
      <c r="B827" s="149"/>
      <c r="C827" s="149"/>
      <c r="D827" s="149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</row>
    <row r="828">
      <c r="A828" s="149"/>
      <c r="B828" s="149"/>
      <c r="C828" s="149"/>
      <c r="D828" s="149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</row>
    <row r="829">
      <c r="A829" s="149"/>
      <c r="B829" s="149"/>
      <c r="C829" s="149"/>
      <c r="D829" s="149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</row>
    <row r="830">
      <c r="A830" s="149"/>
      <c r="B830" s="149"/>
      <c r="C830" s="149"/>
      <c r="D830" s="149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</row>
    <row r="831">
      <c r="A831" s="149"/>
      <c r="B831" s="149"/>
      <c r="C831" s="149"/>
      <c r="D831" s="149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</row>
    <row r="832">
      <c r="A832" s="149"/>
      <c r="B832" s="149"/>
      <c r="C832" s="149"/>
      <c r="D832" s="149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</row>
    <row r="833">
      <c r="A833" s="149"/>
      <c r="B833" s="149"/>
      <c r="C833" s="149"/>
      <c r="D833" s="149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</row>
    <row r="834">
      <c r="A834" s="149"/>
      <c r="B834" s="149"/>
      <c r="C834" s="149"/>
      <c r="D834" s="149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</row>
    <row r="835">
      <c r="A835" s="149"/>
      <c r="B835" s="149"/>
      <c r="C835" s="149"/>
      <c r="D835" s="149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</row>
    <row r="836">
      <c r="A836" s="149"/>
      <c r="B836" s="149"/>
      <c r="C836" s="149"/>
      <c r="D836" s="149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</row>
    <row r="837">
      <c r="A837" s="149"/>
      <c r="B837" s="149"/>
      <c r="C837" s="149"/>
      <c r="D837" s="149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</row>
    <row r="838">
      <c r="A838" s="149"/>
      <c r="B838" s="149"/>
      <c r="C838" s="149"/>
      <c r="D838" s="149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</row>
    <row r="839">
      <c r="A839" s="149"/>
      <c r="B839" s="149"/>
      <c r="C839" s="149"/>
      <c r="D839" s="149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</row>
    <row r="840">
      <c r="A840" s="149"/>
      <c r="B840" s="149"/>
      <c r="C840" s="149"/>
      <c r="D840" s="149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</row>
    <row r="841">
      <c r="A841" s="149"/>
      <c r="B841" s="149"/>
      <c r="C841" s="149"/>
      <c r="D841" s="149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</row>
    <row r="842">
      <c r="A842" s="149"/>
      <c r="B842" s="149"/>
      <c r="C842" s="149"/>
      <c r="D842" s="149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</row>
    <row r="843">
      <c r="A843" s="149"/>
      <c r="B843" s="149"/>
      <c r="C843" s="149"/>
      <c r="D843" s="149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</row>
    <row r="844">
      <c r="A844" s="149"/>
      <c r="B844" s="149"/>
      <c r="C844" s="149"/>
      <c r="D844" s="149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</row>
    <row r="845">
      <c r="A845" s="149"/>
      <c r="B845" s="149"/>
      <c r="C845" s="149"/>
      <c r="D845" s="149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</row>
    <row r="846">
      <c r="A846" s="149"/>
      <c r="B846" s="149"/>
      <c r="C846" s="149"/>
      <c r="D846" s="149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</row>
    <row r="847">
      <c r="A847" s="149"/>
      <c r="B847" s="149"/>
      <c r="C847" s="149"/>
      <c r="D847" s="149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</row>
    <row r="848">
      <c r="A848" s="149"/>
      <c r="B848" s="149"/>
      <c r="C848" s="149"/>
      <c r="D848" s="149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</row>
    <row r="849">
      <c r="A849" s="149"/>
      <c r="B849" s="149"/>
      <c r="C849" s="149"/>
      <c r="D849" s="149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</row>
    <row r="850">
      <c r="A850" s="149"/>
      <c r="B850" s="149"/>
      <c r="C850" s="149"/>
      <c r="D850" s="149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</row>
    <row r="851">
      <c r="A851" s="149"/>
      <c r="B851" s="149"/>
      <c r="C851" s="149"/>
      <c r="D851" s="149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</row>
    <row r="852">
      <c r="A852" s="149"/>
      <c r="B852" s="149"/>
      <c r="C852" s="149"/>
      <c r="D852" s="149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</row>
    <row r="853">
      <c r="A853" s="149"/>
      <c r="B853" s="149"/>
      <c r="C853" s="149"/>
      <c r="D853" s="149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</row>
    <row r="854">
      <c r="A854" s="149"/>
      <c r="B854" s="149"/>
      <c r="C854" s="149"/>
      <c r="D854" s="149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</row>
    <row r="855">
      <c r="A855" s="149"/>
      <c r="B855" s="149"/>
      <c r="C855" s="149"/>
      <c r="D855" s="149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</row>
    <row r="856">
      <c r="A856" s="149"/>
      <c r="B856" s="149"/>
      <c r="C856" s="149"/>
      <c r="D856" s="149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</row>
    <row r="857">
      <c r="A857" s="149"/>
      <c r="B857" s="149"/>
      <c r="C857" s="149"/>
      <c r="D857" s="149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</row>
    <row r="858">
      <c r="A858" s="149"/>
      <c r="B858" s="149"/>
      <c r="C858" s="149"/>
      <c r="D858" s="149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</row>
    <row r="859">
      <c r="A859" s="149"/>
      <c r="B859" s="149"/>
      <c r="C859" s="149"/>
      <c r="D859" s="149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</row>
    <row r="860">
      <c r="A860" s="149"/>
      <c r="B860" s="149"/>
      <c r="C860" s="149"/>
      <c r="D860" s="149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</row>
    <row r="861">
      <c r="A861" s="149"/>
      <c r="B861" s="149"/>
      <c r="C861" s="149"/>
      <c r="D861" s="149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</row>
    <row r="862">
      <c r="A862" s="149"/>
      <c r="B862" s="149"/>
      <c r="C862" s="149"/>
      <c r="D862" s="149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</row>
    <row r="863">
      <c r="A863" s="149"/>
      <c r="B863" s="149"/>
      <c r="C863" s="149"/>
      <c r="D863" s="149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</row>
    <row r="864">
      <c r="A864" s="149"/>
      <c r="B864" s="149"/>
      <c r="C864" s="149"/>
      <c r="D864" s="149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</row>
    <row r="865">
      <c r="A865" s="149"/>
      <c r="B865" s="149"/>
      <c r="C865" s="149"/>
      <c r="D865" s="149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</row>
    <row r="866">
      <c r="A866" s="149"/>
      <c r="B866" s="149"/>
      <c r="C866" s="149"/>
      <c r="D866" s="149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</row>
    <row r="867">
      <c r="A867" s="149"/>
      <c r="B867" s="149"/>
      <c r="C867" s="149"/>
      <c r="D867" s="149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</row>
    <row r="868">
      <c r="A868" s="149"/>
      <c r="B868" s="149"/>
      <c r="C868" s="149"/>
      <c r="D868" s="149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</row>
    <row r="869">
      <c r="A869" s="149"/>
      <c r="B869" s="149"/>
      <c r="C869" s="149"/>
      <c r="D869" s="149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</row>
    <row r="870">
      <c r="A870" s="149"/>
      <c r="B870" s="149"/>
      <c r="C870" s="149"/>
      <c r="D870" s="149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</row>
    <row r="871">
      <c r="A871" s="149"/>
      <c r="B871" s="149"/>
      <c r="C871" s="149"/>
      <c r="D871" s="149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</row>
    <row r="872">
      <c r="A872" s="149"/>
      <c r="B872" s="149"/>
      <c r="C872" s="149"/>
      <c r="D872" s="149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</row>
    <row r="873">
      <c r="A873" s="149"/>
      <c r="B873" s="149"/>
      <c r="C873" s="149"/>
      <c r="D873" s="149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</row>
    <row r="874">
      <c r="A874" s="149"/>
      <c r="B874" s="149"/>
      <c r="C874" s="149"/>
      <c r="D874" s="149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</row>
    <row r="875">
      <c r="A875" s="149"/>
      <c r="B875" s="149"/>
      <c r="C875" s="149"/>
      <c r="D875" s="149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</row>
    <row r="876">
      <c r="A876" s="149"/>
      <c r="B876" s="149"/>
      <c r="C876" s="149"/>
      <c r="D876" s="149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</row>
    <row r="877">
      <c r="A877" s="149"/>
      <c r="B877" s="149"/>
      <c r="C877" s="149"/>
      <c r="D877" s="149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</row>
    <row r="878">
      <c r="A878" s="149"/>
      <c r="B878" s="149"/>
      <c r="C878" s="149"/>
      <c r="D878" s="149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</row>
    <row r="879">
      <c r="A879" s="149"/>
      <c r="B879" s="149"/>
      <c r="C879" s="149"/>
      <c r="D879" s="149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</row>
    <row r="880">
      <c r="A880" s="149"/>
      <c r="B880" s="149"/>
      <c r="C880" s="149"/>
      <c r="D880" s="149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</row>
    <row r="881">
      <c r="A881" s="149"/>
      <c r="B881" s="149"/>
      <c r="C881" s="149"/>
      <c r="D881" s="149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</row>
    <row r="882">
      <c r="A882" s="149"/>
      <c r="B882" s="149"/>
      <c r="C882" s="149"/>
      <c r="D882" s="149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</row>
    <row r="883">
      <c r="A883" s="149"/>
      <c r="B883" s="149"/>
      <c r="C883" s="149"/>
      <c r="D883" s="149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</row>
    <row r="884">
      <c r="A884" s="149"/>
      <c r="B884" s="149"/>
      <c r="C884" s="149"/>
      <c r="D884" s="149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</row>
    <row r="885">
      <c r="A885" s="149"/>
      <c r="B885" s="149"/>
      <c r="C885" s="149"/>
      <c r="D885" s="149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</row>
    <row r="886">
      <c r="A886" s="149"/>
      <c r="B886" s="149"/>
      <c r="C886" s="149"/>
      <c r="D886" s="149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</row>
    <row r="887">
      <c r="A887" s="149"/>
      <c r="B887" s="149"/>
      <c r="C887" s="149"/>
      <c r="D887" s="149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</row>
    <row r="888">
      <c r="A888" s="149"/>
      <c r="B888" s="149"/>
      <c r="C888" s="149"/>
      <c r="D888" s="149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</row>
    <row r="889">
      <c r="A889" s="149"/>
      <c r="B889" s="149"/>
      <c r="C889" s="149"/>
      <c r="D889" s="149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</row>
    <row r="890">
      <c r="A890" s="149"/>
      <c r="B890" s="149"/>
      <c r="C890" s="149"/>
      <c r="D890" s="149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</row>
    <row r="891">
      <c r="A891" s="149"/>
      <c r="B891" s="149"/>
      <c r="C891" s="149"/>
      <c r="D891" s="149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</row>
    <row r="892">
      <c r="A892" s="149"/>
      <c r="B892" s="149"/>
      <c r="C892" s="149"/>
      <c r="D892" s="149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</row>
    <row r="893">
      <c r="A893" s="149"/>
      <c r="B893" s="149"/>
      <c r="C893" s="149"/>
      <c r="D893" s="149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</row>
    <row r="894">
      <c r="A894" s="149"/>
      <c r="B894" s="149"/>
      <c r="C894" s="149"/>
      <c r="D894" s="149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</row>
    <row r="895">
      <c r="A895" s="149"/>
      <c r="B895" s="149"/>
      <c r="C895" s="149"/>
      <c r="D895" s="149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</row>
    <row r="896">
      <c r="A896" s="149"/>
      <c r="B896" s="149"/>
      <c r="C896" s="149"/>
      <c r="D896" s="149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</row>
    <row r="897">
      <c r="A897" s="149"/>
      <c r="B897" s="149"/>
      <c r="C897" s="149"/>
      <c r="D897" s="149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</row>
    <row r="898">
      <c r="A898" s="149"/>
      <c r="B898" s="149"/>
      <c r="C898" s="149"/>
      <c r="D898" s="149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</row>
    <row r="899">
      <c r="A899" s="149"/>
      <c r="B899" s="149"/>
      <c r="C899" s="149"/>
      <c r="D899" s="149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</row>
    <row r="900">
      <c r="A900" s="149"/>
      <c r="B900" s="149"/>
      <c r="C900" s="149"/>
      <c r="D900" s="149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</row>
    <row r="901">
      <c r="A901" s="149"/>
      <c r="B901" s="149"/>
      <c r="C901" s="149"/>
      <c r="D901" s="149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</row>
    <row r="902">
      <c r="A902" s="149"/>
      <c r="B902" s="149"/>
      <c r="C902" s="149"/>
      <c r="D902" s="149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</row>
    <row r="903">
      <c r="A903" s="149"/>
      <c r="B903" s="149"/>
      <c r="C903" s="149"/>
      <c r="D903" s="149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</row>
    <row r="904">
      <c r="A904" s="149"/>
      <c r="B904" s="149"/>
      <c r="C904" s="149"/>
      <c r="D904" s="149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</row>
    <row r="905">
      <c r="A905" s="149"/>
      <c r="B905" s="149"/>
      <c r="C905" s="149"/>
      <c r="D905" s="149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</row>
    <row r="906">
      <c r="A906" s="149"/>
      <c r="B906" s="149"/>
      <c r="C906" s="149"/>
      <c r="D906" s="149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</row>
    <row r="907">
      <c r="A907" s="149"/>
      <c r="B907" s="149"/>
      <c r="C907" s="149"/>
      <c r="D907" s="149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</row>
    <row r="908">
      <c r="A908" s="149"/>
      <c r="B908" s="149"/>
      <c r="C908" s="149"/>
      <c r="D908" s="149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</row>
    <row r="909">
      <c r="A909" s="149"/>
      <c r="B909" s="149"/>
      <c r="C909" s="149"/>
      <c r="D909" s="149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</row>
    <row r="910">
      <c r="A910" s="149"/>
      <c r="B910" s="149"/>
      <c r="C910" s="149"/>
      <c r="D910" s="149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</row>
    <row r="911">
      <c r="A911" s="149"/>
      <c r="B911" s="149"/>
      <c r="C911" s="149"/>
      <c r="D911" s="149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</row>
    <row r="912">
      <c r="A912" s="149"/>
      <c r="B912" s="149"/>
      <c r="C912" s="149"/>
      <c r="D912" s="149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</row>
    <row r="913">
      <c r="A913" s="149"/>
      <c r="B913" s="149"/>
      <c r="C913" s="149"/>
      <c r="D913" s="149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</row>
    <row r="914">
      <c r="A914" s="149"/>
      <c r="B914" s="149"/>
      <c r="C914" s="149"/>
      <c r="D914" s="149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</row>
    <row r="915">
      <c r="A915" s="149"/>
      <c r="B915" s="149"/>
      <c r="C915" s="149"/>
      <c r="D915" s="149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</row>
    <row r="916">
      <c r="A916" s="149"/>
      <c r="B916" s="149"/>
      <c r="C916" s="149"/>
      <c r="D916" s="149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</row>
    <row r="917">
      <c r="A917" s="149"/>
      <c r="B917" s="149"/>
      <c r="C917" s="149"/>
      <c r="D917" s="149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</row>
    <row r="918">
      <c r="A918" s="149"/>
      <c r="B918" s="149"/>
      <c r="C918" s="149"/>
      <c r="D918" s="149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</row>
    <row r="919">
      <c r="A919" s="149"/>
      <c r="B919" s="149"/>
      <c r="C919" s="149"/>
      <c r="D919" s="149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</row>
    <row r="920">
      <c r="A920" s="149"/>
      <c r="B920" s="149"/>
      <c r="C920" s="149"/>
      <c r="D920" s="149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</row>
    <row r="921">
      <c r="A921" s="149"/>
      <c r="B921" s="149"/>
      <c r="C921" s="149"/>
      <c r="D921" s="149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</row>
    <row r="922">
      <c r="A922" s="149"/>
      <c r="B922" s="149"/>
      <c r="C922" s="149"/>
      <c r="D922" s="149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</row>
    <row r="923">
      <c r="A923" s="149"/>
      <c r="B923" s="149"/>
      <c r="C923" s="149"/>
      <c r="D923" s="149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</row>
    <row r="924">
      <c r="A924" s="149"/>
      <c r="B924" s="149"/>
      <c r="C924" s="149"/>
      <c r="D924" s="149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</row>
    <row r="925">
      <c r="A925" s="149"/>
      <c r="B925" s="149"/>
      <c r="C925" s="149"/>
      <c r="D925" s="149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</row>
    <row r="926">
      <c r="A926" s="149"/>
      <c r="B926" s="149"/>
      <c r="C926" s="149"/>
      <c r="D926" s="149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</row>
    <row r="927">
      <c r="A927" s="149"/>
      <c r="B927" s="149"/>
      <c r="C927" s="149"/>
      <c r="D927" s="149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</row>
    <row r="928">
      <c r="A928" s="149"/>
      <c r="B928" s="149"/>
      <c r="C928" s="149"/>
      <c r="D928" s="149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</row>
    <row r="929">
      <c r="A929" s="149"/>
      <c r="B929" s="149"/>
      <c r="C929" s="149"/>
      <c r="D929" s="149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</row>
    <row r="930">
      <c r="A930" s="149"/>
      <c r="B930" s="149"/>
      <c r="C930" s="149"/>
      <c r="D930" s="149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</row>
    <row r="931">
      <c r="A931" s="149"/>
      <c r="B931" s="149"/>
      <c r="C931" s="149"/>
      <c r="D931" s="149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</row>
    <row r="932">
      <c r="A932" s="149"/>
      <c r="B932" s="149"/>
      <c r="C932" s="149"/>
      <c r="D932" s="149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</row>
    <row r="933">
      <c r="A933" s="149"/>
      <c r="B933" s="149"/>
      <c r="C933" s="149"/>
      <c r="D933" s="149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</row>
    <row r="934">
      <c r="A934" s="149"/>
      <c r="B934" s="149"/>
      <c r="C934" s="149"/>
      <c r="D934" s="149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</row>
    <row r="935">
      <c r="A935" s="149"/>
      <c r="B935" s="149"/>
      <c r="C935" s="149"/>
      <c r="D935" s="149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</row>
    <row r="936">
      <c r="A936" s="149"/>
      <c r="B936" s="149"/>
      <c r="C936" s="149"/>
      <c r="D936" s="149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</row>
    <row r="937">
      <c r="A937" s="149"/>
      <c r="B937" s="149"/>
      <c r="C937" s="149"/>
      <c r="D937" s="149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</row>
    <row r="938">
      <c r="A938" s="149"/>
      <c r="B938" s="149"/>
      <c r="C938" s="149"/>
      <c r="D938" s="149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</row>
    <row r="939">
      <c r="A939" s="149"/>
      <c r="B939" s="149"/>
      <c r="C939" s="149"/>
      <c r="D939" s="149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</row>
    <row r="940">
      <c r="A940" s="149"/>
      <c r="B940" s="149"/>
      <c r="C940" s="149"/>
      <c r="D940" s="149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</row>
    <row r="941">
      <c r="A941" s="149"/>
      <c r="B941" s="149"/>
      <c r="C941" s="149"/>
      <c r="D941" s="149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</row>
    <row r="942">
      <c r="A942" s="149"/>
      <c r="B942" s="149"/>
      <c r="C942" s="149"/>
      <c r="D942" s="149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</row>
    <row r="943">
      <c r="A943" s="149"/>
      <c r="B943" s="149"/>
      <c r="C943" s="149"/>
      <c r="D943" s="149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</row>
    <row r="944">
      <c r="A944" s="149"/>
      <c r="B944" s="149"/>
      <c r="C944" s="149"/>
      <c r="D944" s="149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</row>
    <row r="945">
      <c r="A945" s="149"/>
      <c r="B945" s="149"/>
      <c r="C945" s="149"/>
      <c r="D945" s="149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</row>
    <row r="946">
      <c r="A946" s="149"/>
      <c r="B946" s="149"/>
      <c r="C946" s="149"/>
      <c r="D946" s="149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</row>
    <row r="947">
      <c r="A947" s="149"/>
      <c r="B947" s="149"/>
      <c r="C947" s="149"/>
      <c r="D947" s="149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</row>
    <row r="948">
      <c r="A948" s="149"/>
      <c r="B948" s="149"/>
      <c r="C948" s="149"/>
      <c r="D948" s="149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</row>
    <row r="949">
      <c r="A949" s="149"/>
      <c r="B949" s="149"/>
      <c r="C949" s="149"/>
      <c r="D949" s="149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</row>
    <row r="950">
      <c r="A950" s="149"/>
      <c r="B950" s="149"/>
      <c r="C950" s="149"/>
      <c r="D950" s="149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</row>
    <row r="951">
      <c r="A951" s="149"/>
      <c r="B951" s="149"/>
      <c r="C951" s="149"/>
      <c r="D951" s="149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</row>
    <row r="952">
      <c r="A952" s="149"/>
      <c r="B952" s="149"/>
      <c r="C952" s="149"/>
      <c r="D952" s="149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</row>
    <row r="953">
      <c r="A953" s="149"/>
      <c r="B953" s="149"/>
      <c r="C953" s="149"/>
      <c r="D953" s="149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</row>
    <row r="954">
      <c r="A954" s="149"/>
      <c r="B954" s="149"/>
      <c r="C954" s="149"/>
      <c r="D954" s="149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</row>
    <row r="955">
      <c r="A955" s="149"/>
      <c r="B955" s="149"/>
      <c r="C955" s="149"/>
      <c r="D955" s="149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</row>
    <row r="956">
      <c r="A956" s="149"/>
      <c r="B956" s="149"/>
      <c r="C956" s="149"/>
      <c r="D956" s="149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</row>
    <row r="957">
      <c r="A957" s="149"/>
      <c r="B957" s="149"/>
      <c r="C957" s="149"/>
      <c r="D957" s="149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</row>
    <row r="958">
      <c r="A958" s="149"/>
      <c r="B958" s="149"/>
      <c r="C958" s="149"/>
      <c r="D958" s="149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</row>
    <row r="959">
      <c r="A959" s="149"/>
      <c r="B959" s="149"/>
      <c r="C959" s="149"/>
      <c r="D959" s="149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</row>
    <row r="960">
      <c r="A960" s="149"/>
      <c r="B960" s="149"/>
      <c r="C960" s="149"/>
      <c r="D960" s="149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</row>
    <row r="961">
      <c r="A961" s="149"/>
      <c r="B961" s="149"/>
      <c r="C961" s="149"/>
      <c r="D961" s="149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</row>
    <row r="962">
      <c r="A962" s="149"/>
      <c r="B962" s="149"/>
      <c r="C962" s="149"/>
      <c r="D962" s="149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</row>
    <row r="963">
      <c r="A963" s="149"/>
      <c r="B963" s="149"/>
      <c r="C963" s="149"/>
      <c r="D963" s="149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</row>
    <row r="964">
      <c r="A964" s="149"/>
      <c r="B964" s="149"/>
      <c r="C964" s="149"/>
      <c r="D964" s="149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</row>
    <row r="965">
      <c r="A965" s="149"/>
      <c r="B965" s="149"/>
      <c r="C965" s="149"/>
      <c r="D965" s="149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</row>
    <row r="966">
      <c r="A966" s="149"/>
      <c r="B966" s="149"/>
      <c r="C966" s="149"/>
      <c r="D966" s="149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</row>
    <row r="967">
      <c r="A967" s="149"/>
      <c r="B967" s="149"/>
      <c r="C967" s="149"/>
      <c r="D967" s="149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</row>
    <row r="968">
      <c r="A968" s="149"/>
      <c r="B968" s="149"/>
      <c r="C968" s="149"/>
      <c r="D968" s="149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</row>
    <row r="969">
      <c r="A969" s="149"/>
      <c r="B969" s="149"/>
      <c r="C969" s="149"/>
      <c r="D969" s="149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</row>
    <row r="970">
      <c r="A970" s="149"/>
      <c r="B970" s="149"/>
      <c r="C970" s="149"/>
      <c r="D970" s="149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</row>
    <row r="971">
      <c r="A971" s="149"/>
      <c r="B971" s="149"/>
      <c r="C971" s="149"/>
      <c r="D971" s="149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</row>
    <row r="972">
      <c r="A972" s="149"/>
      <c r="B972" s="149"/>
      <c r="C972" s="149"/>
      <c r="D972" s="149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</row>
    <row r="973">
      <c r="A973" s="149"/>
      <c r="B973" s="149"/>
      <c r="C973" s="149"/>
      <c r="D973" s="149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</row>
    <row r="974">
      <c r="A974" s="149"/>
      <c r="B974" s="149"/>
      <c r="C974" s="149"/>
      <c r="D974" s="149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</row>
    <row r="975">
      <c r="A975" s="149"/>
      <c r="B975" s="149"/>
      <c r="C975" s="149"/>
      <c r="D975" s="149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</row>
    <row r="976">
      <c r="A976" s="149"/>
      <c r="B976" s="149"/>
      <c r="C976" s="149"/>
      <c r="D976" s="149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</row>
    <row r="977">
      <c r="A977" s="149"/>
      <c r="B977" s="149"/>
      <c r="C977" s="149"/>
      <c r="D977" s="149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</row>
    <row r="978">
      <c r="A978" s="149"/>
      <c r="B978" s="149"/>
      <c r="C978" s="149"/>
      <c r="D978" s="149"/>
      <c r="E978" s="149"/>
      <c r="F978" s="149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</row>
    <row r="979">
      <c r="A979" s="149"/>
      <c r="B979" s="149"/>
      <c r="C979" s="149"/>
      <c r="D979" s="149"/>
      <c r="E979" s="149"/>
      <c r="F979" s="149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</row>
    <row r="980">
      <c r="A980" s="149"/>
      <c r="B980" s="149"/>
      <c r="C980" s="149"/>
      <c r="D980" s="149"/>
      <c r="E980" s="149"/>
      <c r="F980" s="149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</row>
    <row r="981">
      <c r="A981" s="149"/>
      <c r="B981" s="149"/>
      <c r="C981" s="149"/>
      <c r="D981" s="149"/>
      <c r="E981" s="149"/>
      <c r="F981" s="149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</row>
    <row r="982">
      <c r="A982" s="149"/>
      <c r="B982" s="149"/>
      <c r="C982" s="149"/>
      <c r="D982" s="149"/>
      <c r="E982" s="149"/>
      <c r="F982" s="149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</row>
    <row r="983">
      <c r="A983" s="149"/>
      <c r="B983" s="149"/>
      <c r="C983" s="149"/>
      <c r="D983" s="149"/>
      <c r="E983" s="149"/>
      <c r="F983" s="149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</row>
    <row r="984">
      <c r="A984" s="149"/>
      <c r="B984" s="149"/>
      <c r="C984" s="149"/>
      <c r="D984" s="149"/>
      <c r="E984" s="149"/>
      <c r="F984" s="149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</row>
    <row r="985">
      <c r="A985" s="149"/>
      <c r="B985" s="149"/>
      <c r="C985" s="149"/>
      <c r="D985" s="149"/>
      <c r="E985" s="149"/>
      <c r="F985" s="149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</row>
    <row r="986">
      <c r="A986" s="149"/>
      <c r="B986" s="149"/>
      <c r="C986" s="149"/>
      <c r="D986" s="149"/>
      <c r="E986" s="149"/>
      <c r="F986" s="149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</row>
    <row r="987">
      <c r="A987" s="149"/>
      <c r="B987" s="149"/>
      <c r="C987" s="149"/>
      <c r="D987" s="149"/>
      <c r="E987" s="149"/>
      <c r="F987" s="149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</row>
    <row r="988">
      <c r="A988" s="149"/>
      <c r="B988" s="149"/>
      <c r="C988" s="149"/>
      <c r="D988" s="149"/>
      <c r="E988" s="149"/>
      <c r="F988" s="149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</row>
    <row r="989">
      <c r="A989" s="149"/>
      <c r="B989" s="149"/>
      <c r="C989" s="149"/>
      <c r="D989" s="149"/>
      <c r="E989" s="149"/>
      <c r="F989" s="149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</row>
    <row r="990">
      <c r="A990" s="149"/>
      <c r="B990" s="149"/>
      <c r="C990" s="149"/>
      <c r="D990" s="149"/>
      <c r="E990" s="149"/>
      <c r="F990" s="149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</row>
    <row r="991">
      <c r="A991" s="149"/>
      <c r="B991" s="149"/>
      <c r="C991" s="149"/>
      <c r="D991" s="149"/>
      <c r="E991" s="149"/>
      <c r="F991" s="149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</row>
    <row r="992">
      <c r="A992" s="149"/>
      <c r="B992" s="149"/>
      <c r="C992" s="149"/>
      <c r="D992" s="149"/>
      <c r="E992" s="149"/>
      <c r="F992" s="149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</row>
    <row r="993">
      <c r="A993" s="149"/>
      <c r="B993" s="149"/>
      <c r="C993" s="149"/>
      <c r="D993" s="149"/>
      <c r="E993" s="149"/>
      <c r="F993" s="149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</row>
    <row r="994">
      <c r="A994" s="149"/>
      <c r="B994" s="149"/>
      <c r="C994" s="149"/>
      <c r="D994" s="149"/>
      <c r="E994" s="149"/>
      <c r="F994" s="149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</row>
    <row r="995">
      <c r="A995" s="149"/>
      <c r="B995" s="149"/>
      <c r="C995" s="149"/>
      <c r="D995" s="149"/>
      <c r="E995" s="149"/>
      <c r="F995" s="149"/>
      <c r="G995" s="149"/>
      <c r="H995" s="149"/>
      <c r="I995" s="149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  <c r="X995" s="149"/>
      <c r="Y995" s="149"/>
    </row>
  </sheetData>
  <conditionalFormatting sqref="G2:G4 N2:N4 G6:G12 N6:N12 G14:G20 N14:N20 G22:G28 N22:N28 G30:G36 N30:N36 G38:G58 N38:N58 G60:G87 N60:N87">
    <cfRule type="cellIs" dxfId="0" priority="1" operator="greaterThanOrEqual">
      <formula>0</formula>
    </cfRule>
  </conditionalFormatting>
  <conditionalFormatting sqref="G2:G4 N2:N4 G6:G12 N6:N12 G14:G20 N14:N20 G22:G28 N22:N28 G30:G36 N30:N36 G38:G58 N38:N58 G60:G87 N60:N87">
    <cfRule type="cellIs" dxfId="1" priority="2" operator="lessThan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5" width="16.88"/>
    <col customWidth="1" min="6" max="6" width="14.88"/>
    <col customWidth="1" min="7" max="7" width="22.63"/>
    <col customWidth="1" min="8" max="8" width="81.63"/>
    <col customWidth="1" min="9" max="26" width="8.63"/>
  </cols>
  <sheetData>
    <row r="1">
      <c r="G1" s="165" t="s">
        <v>134</v>
      </c>
      <c r="I1" s="166"/>
      <c r="J1" s="166"/>
      <c r="K1" s="166"/>
      <c r="L1" s="166"/>
      <c r="M1" s="166"/>
    </row>
    <row r="2">
      <c r="I2" s="166"/>
      <c r="J2" s="166"/>
      <c r="K2" s="166"/>
      <c r="L2" s="166"/>
      <c r="M2" s="166"/>
    </row>
    <row r="4" ht="12.0" customHeight="1"/>
    <row r="5" ht="12.0" customHeight="1">
      <c r="G5" s="167" t="s">
        <v>135</v>
      </c>
      <c r="H5" s="168" t="s">
        <v>136</v>
      </c>
    </row>
    <row r="6" ht="28.5" customHeight="1">
      <c r="G6" s="169" t="s">
        <v>137</v>
      </c>
      <c r="H6" s="170" t="s">
        <v>138</v>
      </c>
    </row>
    <row r="7" ht="28.5" customHeight="1">
      <c r="G7" s="169" t="s">
        <v>139</v>
      </c>
      <c r="H7" s="170" t="s">
        <v>140</v>
      </c>
    </row>
    <row r="8" ht="28.5" customHeight="1">
      <c r="G8" s="169" t="s">
        <v>141</v>
      </c>
      <c r="H8" s="171" t="s">
        <v>142</v>
      </c>
    </row>
    <row r="9" ht="28.5" customHeight="1">
      <c r="G9" s="169" t="s">
        <v>143</v>
      </c>
      <c r="H9" s="171" t="s">
        <v>144</v>
      </c>
    </row>
    <row r="10" ht="28.5" customHeight="1">
      <c r="G10" s="169" t="s">
        <v>145</v>
      </c>
      <c r="H10" s="170" t="s">
        <v>146</v>
      </c>
    </row>
    <row r="11" ht="31.5" customHeight="1">
      <c r="G11" s="169" t="s">
        <v>147</v>
      </c>
      <c r="H11" s="172" t="s">
        <v>148</v>
      </c>
    </row>
    <row r="12" ht="12.0" customHeight="1">
      <c r="G12" s="173"/>
      <c r="H12" s="173"/>
    </row>
    <row r="13" ht="20.25" customHeight="1">
      <c r="A13" s="18"/>
      <c r="B13" s="18"/>
      <c r="C13" s="18"/>
      <c r="D13" s="18"/>
      <c r="E13" s="18"/>
      <c r="F13" s="18"/>
      <c r="G13" s="174" t="s">
        <v>149</v>
      </c>
      <c r="H13" s="175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20.25" customHeight="1">
      <c r="A14" s="18"/>
      <c r="B14" s="18"/>
      <c r="C14" s="18"/>
      <c r="D14" s="18"/>
      <c r="E14" s="18"/>
      <c r="F14" s="18"/>
      <c r="G14" s="176" t="s">
        <v>150</v>
      </c>
      <c r="H14" s="177" t="s">
        <v>151</v>
      </c>
      <c r="I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20.25" customHeight="1">
      <c r="A15" s="18"/>
      <c r="B15" s="18"/>
      <c r="C15" s="18"/>
      <c r="D15" s="18"/>
      <c r="E15" s="18"/>
      <c r="F15" s="18"/>
      <c r="G15" s="176" t="s">
        <v>152</v>
      </c>
      <c r="H15" s="177" t="s">
        <v>153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20.25" customHeight="1">
      <c r="A16" s="18"/>
      <c r="B16" s="18"/>
      <c r="C16" s="18"/>
      <c r="D16" s="18"/>
      <c r="E16" s="18"/>
      <c r="F16" s="18"/>
      <c r="G16" s="178" t="s">
        <v>154</v>
      </c>
      <c r="H16" s="179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20.25" customHeight="1">
      <c r="A17" s="18"/>
      <c r="B17" s="18"/>
      <c r="C17" s="18"/>
      <c r="D17" s="18"/>
      <c r="E17" s="18"/>
      <c r="F17" s="18"/>
      <c r="G17" s="180" t="s">
        <v>155</v>
      </c>
      <c r="H17" s="177" t="s">
        <v>156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27.0" customHeight="1">
      <c r="A18" s="18"/>
      <c r="B18" s="18"/>
      <c r="C18" s="18"/>
      <c r="D18" s="18"/>
      <c r="E18" s="18"/>
      <c r="F18" s="18"/>
      <c r="G18" s="181" t="s">
        <v>69</v>
      </c>
      <c r="H18" s="182" t="s">
        <v>157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3">
    <mergeCell ref="G1:H3"/>
    <mergeCell ref="G13:H13"/>
    <mergeCell ref="G16:H1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