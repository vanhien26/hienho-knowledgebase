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23d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2735276</v>
      </c>
      <c r="L6" s="7" t="n">
        <v>3665607</v>
      </c>
      <c r="M6" s="8">
        <f>K6/L6</f>
        <v/>
      </c>
      <c r="N6" s="7">
        <f>(K6/23)*31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1366847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709997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114546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237777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306109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1353431</v>
      </c>
      <c r="N20" s="31">
        <f>(K20/23)*31</f>
        <v/>
      </c>
    </row>
    <row r="21">
      <c r="A21" s="9" t="inlineStr">
        <is>
          <t xml:space="preserve">  Total Sessions (Phiên truy cập)</t>
        </is>
      </c>
      <c r="K21" s="31" t="n">
        <v>1838201</v>
      </c>
      <c r="N21" s="31">
        <f>(K21/23)*31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23 ngày (01/10 - 23/10/2026)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23d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889399</v>
      </c>
      <c r="D5" s="21" t="n">
        <v>1117378</v>
      </c>
      <c r="E5" s="33">
        <f>IF(D5&gt;0, C5/D5, "-")</f>
        <v/>
      </c>
      <c r="F5" s="21">
        <f>C5/23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163850</v>
      </c>
      <c r="D6" s="21" t="n">
        <v>450000</v>
      </c>
      <c r="E6" s="33">
        <f>IF(D6&gt;0, C6/D6, "-")</f>
        <v/>
      </c>
      <c r="F6" s="21">
        <f>C6/23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92150</v>
      </c>
      <c r="D7" s="21" t="n">
        <v>300000</v>
      </c>
      <c r="E7" s="33">
        <f>IF(D7&gt;0, C7/D7, "-")</f>
        <v/>
      </c>
      <c r="F7" s="21">
        <f>C7/23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29740</v>
      </c>
      <c r="D8" s="21" t="n">
        <v>100000</v>
      </c>
      <c r="E8" s="33">
        <f>IF(D8&gt;0, C8/D8, "-")</f>
        <v/>
      </c>
      <c r="F8" s="21">
        <f>C8/23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1892</v>
      </c>
      <c r="D9" s="21" t="n">
        <v>100000</v>
      </c>
      <c r="E9" s="33">
        <f>IF(D9&gt;0, C9/D9, "-")</f>
        <v/>
      </c>
      <c r="F9" s="21">
        <f>C9/23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1558245</v>
      </c>
      <c r="D10" s="10" t="inlineStr">
        <is>
          <t>-</t>
        </is>
      </c>
      <c r="E10" s="10">
        <f>IF(D10&gt;0, C10/D10, "-")</f>
        <v/>
      </c>
      <c r="F10" s="21">
        <f>C10/23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C11/23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74.6% sau 74.2% thời gian, dự kiến về đích 100.6%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6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23D)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(/rap-chieu-phim)</t>
        </is>
      </c>
      <c r="C5" s="7" t="n">
        <v>545468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(/dat-ve-xem-phim)</t>
        </is>
      </c>
      <c r="C6" s="7" t="n">
        <v>297746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26978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15002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</t>
        </is>
      </c>
      <c r="C9" s="7" t="n">
        <v>2598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</t>
        </is>
      </c>
      <c r="C10" s="7" t="n">
        <v>1607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2000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23D)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New User Hub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New User Hub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Khác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New User Hub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New User Hub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2026-10-24T02:20:05Z</dcterms:created>
  <dcterms:modified xmlns:dcterms="http://purl.org/dc/terms/" xmlns:xsi="http://www.w3.org/2001/XMLSchema-instance" xsi:type="dcterms:W3CDTF">2026-10-24T02:20:06Z</dcterms:modified>
</cp:coreProperties>
</file>