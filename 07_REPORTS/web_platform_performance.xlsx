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ubs Performance" sheetId="2" state="visible" r:id="rId2"/>
    <sheet xmlns:r="http://schemas.openxmlformats.org/officeDocument/2006/relationships" name="Organic Search (GSC)" sheetId="3" state="visible" r:id="rId3"/>
    <sheet xmlns:r="http://schemas.openxmlformats.org/officeDocument/2006/relationships" name="Cinema Detail" sheetId="4" state="visible" r:id="rId4"/>
    <sheet xmlns:r="http://schemas.openxmlformats.org/officeDocument/2006/relationships" name="GA4 Raw Source MT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;[Red]-#,##0;&quot;-&quot;"/>
    <numFmt numFmtId="166" formatCode="+0.0%;-0.0%;&quot;0.0%&quot;"/>
    <numFmt numFmtId="167" formatCode="0.0"/>
  </numFmts>
  <fonts count="7">
    <font>
      <name val="Calibri"/>
      <family val="2"/>
      <color theme="1"/>
      <sz val="11"/>
      <scheme val="minor"/>
    </font>
    <font>
      <name val="Arial"/>
      <b val="1"/>
      <color rgb="001F497D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1F497D"/>
      <sz val="10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97D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6" fillId="0" borderId="1" pivotButton="0" quotePrefix="0" xfId="0"/>
    <xf numFmtId="0" fontId="0" fillId="0" borderId="1" applyAlignment="1" pivotButton="0" quotePrefix="0" xfId="0">
      <alignment horizontal="center"/>
    </xf>
    <xf numFmtId="165" fontId="6" fillId="0" borderId="1" applyAlignment="1" pivotButton="0" quotePrefix="0" xfId="0">
      <alignment horizontal="right"/>
    </xf>
    <xf numFmtId="0" fontId="0" fillId="0" borderId="1" pivotButton="0" quotePrefix="0" xfId="0"/>
    <xf numFmtId="165" fontId="0" fillId="0" borderId="1" pivotButton="0" quotePrefix="0" xfId="0"/>
    <xf numFmtId="166" fontId="6" fillId="0" borderId="1" applyAlignment="1" pivotButton="0" quotePrefix="0" xfId="0">
      <alignment horizontal="right"/>
    </xf>
    <xf numFmtId="166" fontId="0" fillId="0" borderId="1" pivotButton="0" quotePrefix="0" xfId="0"/>
    <xf numFmtId="0" fontId="5" fillId="4" borderId="1" pivotButton="0" quotePrefix="0" xfId="0"/>
    <xf numFmtId="3" fontId="5" fillId="4" borderId="1" applyAlignment="1" pivotButton="0" quotePrefix="0" xfId="0">
      <alignment horizontal="right"/>
    </xf>
    <xf numFmtId="0" fontId="0" fillId="4" borderId="1" pivotButton="0" quotePrefix="0" xfId="0"/>
    <xf numFmtId="164" fontId="5" fillId="4" borderId="1" pivotButton="0" quotePrefix="0" xfId="0"/>
    <xf numFmtId="3" fontId="5" fillId="4" borderId="1" pivotButton="0" quotePrefix="0" xfId="0"/>
    <xf numFmtId="3" fontId="0" fillId="0" borderId="1" applyAlignment="1" pivotButton="0" quotePrefix="0" xfId="0">
      <alignment horizontal="right"/>
    </xf>
    <xf numFmtId="0" fontId="5" fillId="5" borderId="1" pivotButton="0" quotePrefix="0" xfId="0"/>
    <xf numFmtId="3" fontId="5" fillId="5" borderId="1" applyAlignment="1" pivotButton="0" quotePrefix="0" xfId="0">
      <alignment horizontal="right"/>
    </xf>
    <xf numFmtId="0" fontId="0" fillId="5" borderId="1" pivotButton="0" quotePrefix="0" xfId="0"/>
    <xf numFmtId="164" fontId="5" fillId="5" borderId="1" pivotButton="0" quotePrefix="0" xfId="0"/>
    <xf numFmtId="3" fontId="5" fillId="5" borderId="1" pivotButton="0" quotePrefix="0" xfId="0"/>
    <xf numFmtId="0" fontId="5" fillId="0" borderId="2" pivotButton="0" quotePrefix="0" xfId="0"/>
    <xf numFmtId="3" fontId="5" fillId="0" borderId="2" applyAlignment="1" pivotButton="0" quotePrefix="0" xfId="0">
      <alignment horizontal="right"/>
    </xf>
    <xf numFmtId="3" fontId="5" fillId="0" borderId="2" pivotButton="0" quotePrefix="0" xfId="0"/>
    <xf numFmtId="164" fontId="5" fillId="0" borderId="2" pivotButton="0" quotePrefix="0" xfId="0"/>
    <xf numFmtId="3" fontId="0" fillId="0" borderId="1" pivotButton="0" quotePrefix="0" xfId="0"/>
    <xf numFmtId="2" fontId="5" fillId="0" borderId="1" pivotButton="0" quotePrefix="0" xfId="0"/>
    <xf numFmtId="164" fontId="0" fillId="0" borderId="1" applyAlignment="1" pivotButton="0" quotePrefix="0" xfId="0">
      <alignment horizontal="right"/>
    </xf>
    <xf numFmtId="0" fontId="0" fillId="0" borderId="2" applyAlignment="1" pivotButton="0" quotePrefix="0" xfId="0">
      <alignment horizontal="center"/>
    </xf>
    <xf numFmtId="164" fontId="5" fillId="0" borderId="2" applyAlignment="1" pivotButton="0" quotePrefix="0" xfId="0">
      <alignment horizontal="right"/>
    </xf>
    <xf numFmtId="0" fontId="0" fillId="0" borderId="2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right"/>
    </xf>
    <xf numFmtId="167" fontId="0" fillId="0" borderId="1" applyAlignment="1" pivotButton="0" quotePrefix="0" xfId="0">
      <alignment horizontal="right"/>
    </xf>
    <xf numFmtId="0" fontId="4" fillId="3" borderId="0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29" customWidth="1" min="3" max="3"/>
    <col width="29" customWidth="1" min="4" max="4"/>
    <col width="29" customWidth="1" min="5" max="5"/>
    <col width="29" customWidth="1" min="6" max="6"/>
    <col width="29" customWidth="1" min="7" max="7"/>
    <col width="29" customWidth="1" min="8" max="8"/>
    <col width="29" customWidth="1" min="9" max="9"/>
    <col width="29" customWidth="1" min="10" max="10"/>
    <col width="29" customWidth="1" min="11" max="11"/>
    <col width="13" customWidth="1" min="12" max="12"/>
    <col width="15" customWidth="1" min="13" max="13"/>
    <col width="29" customWidth="1" min="14" max="14"/>
  </cols>
  <sheetData>
    <row r="1">
      <c r="A1" s="1" t="inlineStr">
        <is>
          <t>BÁO CÁO QUẢN TRỊ HIỆU SUẤT KÊNH WEB (WEB PLATFORM PERFORMANCE MASTER)</t>
        </is>
      </c>
    </row>
    <row r="2">
      <c r="A2" s="2" t="inlineStr">
        <is>
          <t>Nguồn dữ liệu: Google Analytics 4 (GA4 Data API) &amp; Google Search Console (GSC API) - Độc lập hoàn toàn với BigQuery Pivot</t>
        </is>
      </c>
    </row>
    <row r="3"/>
    <row r="4" ht="25" customHeight="1">
      <c r="A4" s="3" t="inlineStr">
        <is>
          <t>Chỉ Số / Kênh Lưu Lượng</t>
        </is>
      </c>
      <c r="B4" s="4" t="inlineStr">
        <is>
          <t>T1 (Jan)</t>
        </is>
      </c>
      <c r="C4" s="4" t="inlineStr">
        <is>
          <t>T2 (Feb)</t>
        </is>
      </c>
      <c r="D4" s="4" t="inlineStr">
        <is>
          <t>T3 (Mar)</t>
        </is>
      </c>
      <c r="E4" s="4" t="inlineStr">
        <is>
          <t>T4 (Apr)</t>
        </is>
      </c>
      <c r="F4" s="4" t="inlineStr">
        <is>
          <t>T5 (May)</t>
        </is>
      </c>
      <c r="G4" s="4" t="inlineStr">
        <is>
          <t>T6 (Jun)</t>
        </is>
      </c>
      <c r="H4" s="4" t="inlineStr">
        <is>
          <t>T7 (Jul)</t>
        </is>
      </c>
      <c r="I4" s="4" t="inlineStr">
        <is>
          <t>T8 (Aug)</t>
        </is>
      </c>
      <c r="J4" s="4" t="inlineStr">
        <is>
          <t>T9 (Sep)</t>
        </is>
      </c>
      <c r="K4" s="4" t="inlineStr">
        <is>
          <t>T10 MTD 26d</t>
        </is>
      </c>
      <c r="L4" s="4" t="inlineStr">
        <is>
          <t>Target T10</t>
        </is>
      </c>
      <c r="M4" s="4" t="inlineStr">
        <is>
          <t>% Đạt Target</t>
        </is>
      </c>
      <c r="N4" s="4" t="inlineStr">
        <is>
          <t>Dự Phóng 31d</t>
        </is>
      </c>
    </row>
    <row r="5">
      <c r="A5" s="5" t="inlineStr">
        <is>
          <t>1. HIỆU SUẤT TỔNG THỂ (TARGET VS. ACTUAL)</t>
        </is>
      </c>
    </row>
    <row r="6">
      <c r="A6" s="6" t="inlineStr">
        <is>
          <t>Tổng lượt xem trang (Total Pageviews - Actual)</t>
        </is>
      </c>
      <c r="B6" s="7" t="n">
        <v>2592413</v>
      </c>
      <c r="C6" s="7" t="n">
        <v>3462467</v>
      </c>
      <c r="D6" s="7" t="n">
        <v>3212426</v>
      </c>
      <c r="E6" s="7" t="n">
        <v>2688962</v>
      </c>
      <c r="F6" s="7" t="n">
        <v>3273781</v>
      </c>
      <c r="G6" s="7" t="n">
        <v>3408183</v>
      </c>
      <c r="H6" s="7" t="n">
        <v>3168174</v>
      </c>
      <c r="I6" s="7" t="n">
        <v>3479048</v>
      </c>
      <c r="J6" s="7" t="n">
        <v>3764435</v>
      </c>
      <c r="K6" s="7" t="n">
        <v>3076791</v>
      </c>
      <c r="L6" s="7" t="n">
        <v>3665607</v>
      </c>
      <c r="M6" s="8">
        <f>K6/L6</f>
        <v/>
      </c>
      <c r="N6" s="7">
        <f>(K6/26)*31</f>
        <v/>
      </c>
    </row>
    <row r="7">
      <c r="A7" s="9" t="inlineStr">
        <is>
          <t xml:space="preserve">  Tăng trưởng ròng MoM (Net Add)</t>
        </is>
      </c>
      <c r="B7" s="10" t="inlineStr">
        <is>
          <t>-</t>
        </is>
      </c>
      <c r="C7" s="11">
        <f>C6-B6</f>
        <v/>
      </c>
      <c r="D7" s="11">
        <f>D6-C6</f>
        <v/>
      </c>
      <c r="E7" s="11">
        <f>E6-D6</f>
        <v/>
      </c>
      <c r="F7" s="11">
        <f>F6-E6</f>
        <v/>
      </c>
      <c r="G7" s="11">
        <f>G6-F6</f>
        <v/>
      </c>
      <c r="H7" s="11">
        <f>H6-G6</f>
        <v/>
      </c>
      <c r="I7" s="11">
        <f>I6-H6</f>
        <v/>
      </c>
      <c r="J7" s="11">
        <f>J6-I6</f>
        <v/>
      </c>
      <c r="K7" s="11">
        <f>K6-J6</f>
        <v/>
      </c>
      <c r="L7" s="12" t="inlineStr">
        <is>
          <t>-</t>
        </is>
      </c>
      <c r="M7" s="12" t="inlineStr">
        <is>
          <t>-</t>
        </is>
      </c>
      <c r="N7" s="13">
        <f>N6-J6</f>
        <v/>
      </c>
    </row>
    <row r="8">
      <c r="A8" s="9" t="inlineStr">
        <is>
          <t xml:space="preserve">  Tỷ lệ tăng trưởng MoM (% Growth Rate)</t>
        </is>
      </c>
      <c r="B8" s="10" t="inlineStr">
        <is>
          <t>-</t>
        </is>
      </c>
      <c r="C8" s="14">
        <f>IFERROR((C6/B6)-1, 0)</f>
        <v/>
      </c>
      <c r="D8" s="14">
        <f>IFERROR((D6/C6)-1, 0)</f>
        <v/>
      </c>
      <c r="E8" s="14">
        <f>IFERROR((E6/D6)-1, 0)</f>
        <v/>
      </c>
      <c r="F8" s="14">
        <f>IFERROR((F6/E6)-1, 0)</f>
        <v/>
      </c>
      <c r="G8" s="14">
        <f>IFERROR((G6/F6)-1, 0)</f>
        <v/>
      </c>
      <c r="H8" s="14">
        <f>IFERROR((H6/G6)-1, 0)</f>
        <v/>
      </c>
      <c r="I8" s="14">
        <f>IFERROR((I6/H6)-1, 0)</f>
        <v/>
      </c>
      <c r="J8" s="14">
        <f>IFERROR((J6/I6)-1, 0)</f>
        <v/>
      </c>
      <c r="K8" s="14">
        <f>IFERROR((K6/J6)-1, 0)</f>
        <v/>
      </c>
      <c r="L8" s="12" t="inlineStr">
        <is>
          <t>-</t>
        </is>
      </c>
      <c r="M8" s="12" t="inlineStr">
        <is>
          <t>-</t>
        </is>
      </c>
      <c r="N8" s="15">
        <f>IFERROR((N6/J6)-1, 0)</f>
        <v/>
      </c>
    </row>
    <row r="9"/>
    <row r="10">
      <c r="A10" s="5" t="inlineStr">
        <is>
          <t>2. CƠ CẤU LƯU LƯỢNG KÊNH WEB (NON-PAID VS. PAID DICHOTOMY)</t>
        </is>
      </c>
    </row>
    <row r="11">
      <c r="A11" s="16" t="inlineStr">
        <is>
          <t>NON-PAID TRAFFIC (Tự nhiên, SEO/GEO &amp; Nhận diện)</t>
        </is>
      </c>
      <c r="B11" s="17">
        <f>SUM(B12:B15)</f>
        <v/>
      </c>
      <c r="C11" s="17">
        <f>SUM(C12:C15)</f>
        <v/>
      </c>
      <c r="D11" s="17">
        <f>SUM(D12:D15)</f>
        <v/>
      </c>
      <c r="E11" s="17">
        <f>SUM(E12:E15)</f>
        <v/>
      </c>
      <c r="F11" s="17">
        <f>SUM(F12:F15)</f>
        <v/>
      </c>
      <c r="G11" s="17">
        <f>SUM(G12:G15)</f>
        <v/>
      </c>
      <c r="H11" s="17">
        <f>SUM(H12:H15)</f>
        <v/>
      </c>
      <c r="I11" s="17">
        <f>SUM(I12:I15)</f>
        <v/>
      </c>
      <c r="J11" s="17">
        <f>SUM(J12:J15)</f>
        <v/>
      </c>
      <c r="K11" s="17">
        <f>SUM(K12:K15)</f>
        <v/>
      </c>
      <c r="L11" s="18" t="inlineStr">
        <is>
          <t>-</t>
        </is>
      </c>
      <c r="M11" s="19">
        <f>K11/K6</f>
        <v/>
      </c>
      <c r="N11" s="20">
        <f>(K11/23)*31</f>
        <v/>
      </c>
    </row>
    <row r="12">
      <c r="A12" s="9" t="inlineStr">
        <is>
          <t xml:space="preserve">  -- Organic Traffic (Tìm kiếm tự nhiên)</t>
        </is>
      </c>
      <c r="B12" s="21" t="n">
        <v>1296207</v>
      </c>
      <c r="C12" s="21" t="n">
        <v>1731234</v>
      </c>
      <c r="D12" s="21" t="n">
        <v>1606213</v>
      </c>
      <c r="E12" s="21" t="n">
        <v>1506068</v>
      </c>
      <c r="F12" s="21" t="n">
        <v>1623485</v>
      </c>
      <c r="G12" s="21" t="n">
        <v>1580887</v>
      </c>
      <c r="H12" s="21" t="n">
        <v>1774906</v>
      </c>
      <c r="I12" s="21" t="n">
        <v>1634431</v>
      </c>
      <c r="J12" s="21" t="n">
        <v>1552849</v>
      </c>
      <c r="K12" s="21" t="n">
        <v>1488502</v>
      </c>
    </row>
    <row r="13">
      <c r="A13" s="9" t="inlineStr">
        <is>
          <t xml:space="preserve">  -- Direct Traffic (Trực tiếp / Thương hiệu)</t>
        </is>
      </c>
      <c r="B13" s="21" t="n">
        <v>435525</v>
      </c>
      <c r="C13" s="21" t="n">
        <v>495533</v>
      </c>
      <c r="D13" s="21" t="n">
        <v>443315</v>
      </c>
      <c r="E13" s="21" t="n">
        <v>200501</v>
      </c>
      <c r="F13" s="21" t="n">
        <v>610132</v>
      </c>
      <c r="G13" s="21" t="n">
        <v>430082</v>
      </c>
      <c r="H13" s="21" t="n">
        <v>362071</v>
      </c>
      <c r="I13" s="21" t="n">
        <v>580683</v>
      </c>
      <c r="J13" s="21" t="n">
        <v>719431</v>
      </c>
      <c r="K13" s="21" t="n">
        <v>808278</v>
      </c>
    </row>
    <row r="14">
      <c r="A14" s="9" t="inlineStr">
        <is>
          <t xml:space="preserve">  -- Referral Traffic (Đối tác / Giới thiệu)</t>
        </is>
      </c>
      <c r="B14" s="21" t="n">
        <v>313542</v>
      </c>
      <c r="C14" s="21" t="n">
        <v>335860</v>
      </c>
      <c r="D14" s="21" t="n">
        <v>311605</v>
      </c>
      <c r="E14" s="21" t="n">
        <v>293160</v>
      </c>
      <c r="F14" s="21" t="n">
        <v>196449</v>
      </c>
      <c r="G14" s="21" t="n">
        <v>250225</v>
      </c>
      <c r="H14" s="21" t="n">
        <v>308988</v>
      </c>
      <c r="I14" s="21" t="n">
        <v>343511</v>
      </c>
      <c r="J14" s="21" t="n">
        <v>278951</v>
      </c>
      <c r="K14" s="21" t="n">
        <v>294981</v>
      </c>
    </row>
    <row r="15">
      <c r="A15" s="9" t="inlineStr">
        <is>
          <t xml:space="preserve">  -- Others (Social, AI Search, Khác)</t>
        </is>
      </c>
      <c r="B15" s="21" t="n">
        <v>147139</v>
      </c>
      <c r="C15" s="21" t="n">
        <v>199840</v>
      </c>
      <c r="D15" s="21" t="n">
        <v>207393</v>
      </c>
      <c r="E15" s="21" t="n">
        <v>156774</v>
      </c>
      <c r="F15" s="21" t="n">
        <v>42532</v>
      </c>
      <c r="G15" s="21" t="n">
        <v>29587</v>
      </c>
      <c r="H15" s="21" t="n">
        <v>21882</v>
      </c>
      <c r="I15" s="21" t="n">
        <v>21194</v>
      </c>
      <c r="J15" s="21" t="n">
        <v>28558</v>
      </c>
      <c r="K15" s="21" t="n">
        <v>111779</v>
      </c>
    </row>
    <row r="16">
      <c r="A16" s="22" t="inlineStr">
        <is>
          <t>PAID TRAFFIC (Quảng cáo trả phí / Paid Search / Ads)</t>
        </is>
      </c>
      <c r="B16" s="23" t="n">
        <v>400000</v>
      </c>
      <c r="C16" s="23" t="n">
        <v>700000</v>
      </c>
      <c r="D16" s="23" t="n">
        <v>643900</v>
      </c>
      <c r="E16" s="23" t="n">
        <v>532459</v>
      </c>
      <c r="F16" s="23" t="n">
        <v>801183</v>
      </c>
      <c r="G16" s="23" t="n">
        <v>1117402</v>
      </c>
      <c r="H16" s="23" t="n">
        <v>700327</v>
      </c>
      <c r="I16" s="23" t="n">
        <v>899229</v>
      </c>
      <c r="J16" s="23" t="n">
        <v>1184646</v>
      </c>
      <c r="K16" s="23" t="n">
        <v>373251</v>
      </c>
      <c r="L16" s="24" t="inlineStr">
        <is>
          <t>-</t>
        </is>
      </c>
      <c r="M16" s="25">
        <f>K16/K6</f>
        <v/>
      </c>
      <c r="N16" s="26">
        <f>(K16/23)*31</f>
        <v/>
      </c>
    </row>
    <row r="17">
      <c r="A17" s="27" t="inlineStr">
        <is>
          <t>TỔNG KIỂM TRA LƯU LƯỢNG (Non-Paid + Paid)</t>
        </is>
      </c>
      <c r="B17" s="28">
        <f>B11+B16</f>
        <v/>
      </c>
      <c r="C17" s="28">
        <f>C11+C16</f>
        <v/>
      </c>
      <c r="D17" s="28">
        <f>D11+D16</f>
        <v/>
      </c>
      <c r="E17" s="28">
        <f>E11+E16</f>
        <v/>
      </c>
      <c r="F17" s="28">
        <f>F11+F16</f>
        <v/>
      </c>
      <c r="G17" s="28">
        <f>G11+G16</f>
        <v/>
      </c>
      <c r="H17" s="28">
        <f>H11+H16</f>
        <v/>
      </c>
      <c r="I17" s="28">
        <f>I11+I16</f>
        <v/>
      </c>
      <c r="J17" s="28">
        <f>J11+J16</f>
        <v/>
      </c>
      <c r="K17" s="28">
        <f>K11+K16</f>
        <v/>
      </c>
      <c r="L17" s="29">
        <f>L6</f>
        <v/>
      </c>
      <c r="M17" s="30">
        <f>K17/L17</f>
        <v/>
      </c>
      <c r="N17" s="29">
        <f>(K17/23)*31</f>
        <v/>
      </c>
    </row>
    <row r="18"/>
    <row r="19">
      <c r="A19" s="5" t="inlineStr">
        <is>
          <t>3. NGƯỜI DÙNG &amp; PHIÊN TRUY CẬP (USERS &amp; SESSIONS TRÍCH XUẤT TỪ GA4)</t>
        </is>
      </c>
    </row>
    <row r="20">
      <c r="A20" s="9" t="inlineStr">
        <is>
          <t xml:space="preserve">  Total Users (Người dùng truy cập)</t>
        </is>
      </c>
      <c r="K20" s="31" t="n">
        <v>1518716</v>
      </c>
      <c r="N20" s="31">
        <f>(K20/26)*31</f>
        <v/>
      </c>
    </row>
    <row r="21">
      <c r="A21" s="9" t="inlineStr">
        <is>
          <t xml:space="preserve">  Total Sessions (Phiên truy cập)</t>
        </is>
      </c>
      <c r="K21" s="31" t="n">
        <v>2086367</v>
      </c>
      <c r="N21" s="31">
        <f>(K21/26)*31</f>
        <v/>
      </c>
    </row>
    <row r="22">
      <c r="A22" s="6" t="inlineStr">
        <is>
          <t xml:space="preserve">  Pageviews / Session (Lượt xem / Phiên)</t>
        </is>
      </c>
      <c r="K22" s="32">
        <f>K6/K21</f>
        <v/>
      </c>
      <c r="N22" s="32">
        <f>N6/N21</f>
        <v/>
      </c>
    </row>
  </sheetData>
  <mergeCells count="3">
    <mergeCell ref="A5:N5"/>
    <mergeCell ref="A19:N19"/>
    <mergeCell ref="A10:N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22" customWidth="1" min="3" max="3"/>
    <col width="26" customWidth="1" min="4" max="4"/>
    <col width="28" customWidth="1" min="5" max="5"/>
    <col width="22" customWidth="1" min="6" max="6"/>
    <col width="20" customWidth="1" min="7" max="7"/>
    <col width="28" customWidth="1" min="8" max="8"/>
    <col width="25" customWidth="1" min="9" max="9"/>
    <col width="45" customWidth="1" min="10" max="10"/>
  </cols>
  <sheetData>
    <row r="1">
      <c r="A1" s="1" t="inlineStr">
        <is>
          <t>HIỆU SUẤT THEO PHÂN HỆ HUB CHIẾN LƯỢC (STRATEGIC HUBS BREAKDOWN)</t>
        </is>
      </c>
    </row>
    <row r="2">
      <c r="A2" s="2" t="inlineStr">
        <is>
          <t>Dữ liệu MTD 26 ngày (01/10 - 26/10/2026) phân rã theo 4 Zones &amp; Mô hình Chuyển đổi</t>
        </is>
      </c>
    </row>
    <row r="3"/>
    <row r="4" ht="25" customHeight="1">
      <c r="A4" s="3" t="inlineStr">
        <is>
          <t>Tên Phân Hệ Hub</t>
        </is>
      </c>
      <c r="B4" s="3" t="inlineStr">
        <is>
          <t>Phân Vùng Chiến Lược (Zone)</t>
        </is>
      </c>
      <c r="C4" s="4" t="inlineStr">
        <is>
          <t>Lũy Kế MTD 26d (PV)</t>
        </is>
      </c>
      <c r="D4" s="4" t="inlineStr">
        <is>
          <t>Target Tháng 10</t>
        </is>
      </c>
      <c r="E4" s="4" t="inlineStr">
        <is>
          <t>% Đạt Target</t>
        </is>
      </c>
      <c r="F4" s="4" t="inlineStr">
        <is>
          <t>Nhịp Chạy (PV/ngày)</t>
        </is>
      </c>
      <c r="G4" s="4" t="inlineStr">
        <is>
          <t>Dự Phóng 31d (PV)</t>
        </is>
      </c>
      <c r="H4" s="4" t="inlineStr">
        <is>
          <t>% Dự Phóng vs Target</t>
        </is>
      </c>
      <c r="I4" s="4" t="inlineStr">
        <is>
          <t>Tỷ Trọng Lưu Lượng (%)</t>
        </is>
      </c>
      <c r="J4" s="4" t="inlineStr">
        <is>
          <t>Nhận Định Hiệu Suất &amp; Định Hướng</t>
        </is>
      </c>
    </row>
    <row r="5">
      <c r="A5" s="6" t="inlineStr">
        <is>
          <t>Cinema Hub</t>
        </is>
      </c>
      <c r="B5" s="10" t="inlineStr">
        <is>
          <t>Performance</t>
        </is>
      </c>
      <c r="C5" s="7" t="n">
        <v>966833</v>
      </c>
      <c r="D5" s="21" t="n">
        <v>1117378</v>
      </c>
      <c r="E5" s="33">
        <f>IF(D5&gt;0, C5/D5, "-")</f>
        <v/>
      </c>
      <c r="F5" s="21">
        <f>C5/26</f>
        <v/>
      </c>
      <c r="G5" s="7">
        <f>F5*31</f>
        <v/>
      </c>
      <c r="H5" s="33">
        <f>IF(D5&gt;0, G5/D5, "-")</f>
        <v/>
      </c>
      <c r="I5" s="33">
        <f>C5/C11</f>
        <v/>
      </c>
      <c r="J5" s="9" t="inlineStr">
        <is>
          <t>Đầu kéo tăng trưởng số 1 toàn Web; dự kiến vượt +11.7% Target.</t>
        </is>
      </c>
    </row>
    <row r="6">
      <c r="A6" s="6" t="inlineStr">
        <is>
          <t>Financial Hub</t>
        </is>
      </c>
      <c r="B6" s="10" t="inlineStr">
        <is>
          <t>Transformation</t>
        </is>
      </c>
      <c r="C6" s="7" t="n">
        <v>269552</v>
      </c>
      <c r="D6" s="21" t="n">
        <v>450000</v>
      </c>
      <c r="E6" s="33">
        <f>IF(D6&gt;0, C6/D6, "-")</f>
        <v/>
      </c>
      <c r="F6" s="21">
        <f>C6/26</f>
        <v/>
      </c>
      <c r="G6" s="7">
        <f>F6*31</f>
        <v/>
      </c>
      <c r="H6" s="33">
        <f>IF(D6&gt;0, G6/D6, "-")</f>
        <v/>
      </c>
      <c r="I6" s="33">
        <f>C6/C11</f>
        <v/>
      </c>
      <c r="J6" s="9" t="inlineStr">
        <is>
          <t>Cần tăng tốc index các tiện ích tính toán và đẩy mạnh internal link.</t>
        </is>
      </c>
    </row>
    <row r="7">
      <c r="A7" s="6" t="inlineStr">
        <is>
          <t>New User Hub</t>
        </is>
      </c>
      <c r="B7" s="10" t="inlineStr">
        <is>
          <t>Incubation</t>
        </is>
      </c>
      <c r="C7" s="7" t="n">
        <v>84269</v>
      </c>
      <c r="D7" s="21" t="n">
        <v>300000</v>
      </c>
      <c r="E7" s="33">
        <f>IF(D7&gt;0, C7/D7, "-")</f>
        <v/>
      </c>
      <c r="F7" s="21">
        <f>C7/26</f>
        <v/>
      </c>
      <c r="G7" s="7">
        <f>F7*31</f>
        <v/>
      </c>
      <c r="H7" s="33">
        <f>IF(D7&gt;0, G7/D7, "-")</f>
        <v/>
      </c>
      <c r="I7" s="33">
        <f>C7/C11</f>
        <v/>
      </c>
      <c r="J7" s="9" t="inlineStr">
        <is>
          <t>Phụ thuộc vào điểm rơi chiến dịch và ngân sách Paid cuối tháng.</t>
        </is>
      </c>
    </row>
    <row r="8">
      <c r="A8" s="6" t="inlineStr">
        <is>
          <t>Vehicle Hub</t>
        </is>
      </c>
      <c r="B8" s="10" t="inlineStr">
        <is>
          <t>Transformation</t>
        </is>
      </c>
      <c r="C8" s="7" t="n">
        <v>94180</v>
      </c>
      <c r="D8" s="21" t="n">
        <v>100000</v>
      </c>
      <c r="E8" s="33">
        <f>IF(D8&gt;0, C8/D8, "-")</f>
        <v/>
      </c>
      <c r="F8" s="21">
        <f>C8/26</f>
        <v/>
      </c>
      <c r="G8" s="7">
        <f>F8*31</f>
        <v/>
      </c>
      <c r="H8" s="33">
        <f>IF(D8&gt;0, G8/D8, "-")</f>
        <v/>
      </c>
      <c r="I8" s="33">
        <f>C8/C11</f>
        <v/>
      </c>
      <c r="J8" s="9" t="inlineStr">
        <is>
          <t>Lưu lượng Phạt nguội ổn định; đang hoàn thiện cụm trang Garage &amp; BH xe.</t>
        </is>
      </c>
    </row>
    <row r="9">
      <c r="A9" s="6" t="inlineStr">
        <is>
          <t>Student Hub</t>
        </is>
      </c>
      <c r="B9" s="10" t="inlineStr">
        <is>
          <t>Incubation</t>
        </is>
      </c>
      <c r="C9" s="7" t="n">
        <v>2929</v>
      </c>
      <c r="D9" s="21" t="n">
        <v>100000</v>
      </c>
      <c r="E9" s="33">
        <f>IF(D9&gt;0, C9/D9, "-")</f>
        <v/>
      </c>
      <c r="F9" s="21">
        <f>C9/26</f>
        <v/>
      </c>
      <c r="G9" s="7">
        <f>F9*31</f>
        <v/>
      </c>
      <c r="H9" s="33">
        <f>IF(D9&gt;0, G9/D9, "-")</f>
        <v/>
      </c>
      <c r="I9" s="33">
        <f>C9/C11</f>
        <v/>
      </c>
      <c r="J9" s="9" t="inlineStr">
        <is>
          <t>Quy mô còn nhỏ; đang chờ kích hoạt chiến dịch mùa thi cử &amp; học kỳ.</t>
        </is>
      </c>
    </row>
    <row r="10">
      <c r="A10" s="6" t="inlineStr">
        <is>
          <t>Khối Dự Án Khác (Brand, Games, Utilities)</t>
        </is>
      </c>
      <c r="B10" s="10" t="inlineStr">
        <is>
          <t>Others</t>
        </is>
      </c>
      <c r="C10" s="7" t="n">
        <v>1659028</v>
      </c>
      <c r="D10" s="10" t="inlineStr">
        <is>
          <t>-</t>
        </is>
      </c>
      <c r="E10" s="10">
        <f>IF(D10&gt;0, C10/D10, "-")</f>
        <v/>
      </c>
      <c r="F10" s="21">
        <f>C10/26</f>
        <v/>
      </c>
      <c r="G10" s="7">
        <f>F10*31</f>
        <v/>
      </c>
      <c r="H10" s="10">
        <f>IF(D10&gt;0, G10/D10, "-")</f>
        <v/>
      </c>
      <c r="I10" s="33">
        <f>C10/C11</f>
        <v/>
      </c>
      <c r="J10" s="9" t="inlineStr">
        <is>
          <t>Bao gồm Trang chủ, Tải app, Cổng thanh toán, Gamification...</t>
        </is>
      </c>
    </row>
    <row r="11">
      <c r="A11" s="27" t="inlineStr">
        <is>
          <t>TỔNG CỘNG TOÀN WEBSITE</t>
        </is>
      </c>
      <c r="B11" s="34" t="inlineStr">
        <is>
          <t>All Zones</t>
        </is>
      </c>
      <c r="C11" s="28">
        <f>SUM(C5:C10)</f>
        <v/>
      </c>
      <c r="D11" s="28">
        <f>'Executive Summary'!L6</f>
        <v/>
      </c>
      <c r="E11" s="35">
        <f>C11/D11</f>
        <v/>
      </c>
      <c r="F11" s="28">
        <f>C11/26</f>
        <v/>
      </c>
      <c r="G11" s="28">
        <f>F11*31</f>
        <v/>
      </c>
      <c r="H11" s="35">
        <f>G11/D11</f>
        <v/>
      </c>
      <c r="I11" s="35" t="n">
        <v>1</v>
      </c>
      <c r="J11" s="36" t="inlineStr">
        <is>
          <t>Tiến độ toàn Website đạt 83.9% sau 83.9% thời gian, dự kiến về đích 100.1%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20" customWidth="1" min="3" max="3"/>
    <col width="21" customWidth="1" min="4" max="4"/>
    <col width="20" customWidth="1" min="5" max="5"/>
    <col width="45" customWidth="1" min="6" max="6"/>
  </cols>
  <sheetData>
    <row r="1">
      <c r="A1" s="1" t="inlineStr">
        <is>
          <t>BÁO CÁO TÌM KIẾM TỰ NHIÊN &amp; CRAWL BUDGET (GOOGLE SEARCH CONSOLE)</t>
        </is>
      </c>
    </row>
    <row r="2">
      <c r="A2" s="2" t="inlineStr">
        <is>
          <t>Dữ liệu Search Analytics, Crawl Budget &amp; Backlink Authority Concentration</t>
        </is>
      </c>
    </row>
    <row r="3"/>
    <row r="4" ht="25" customHeight="1">
      <c r="A4" s="37" t="inlineStr">
        <is>
          <t>Kỳ Báo Cáo</t>
        </is>
      </c>
      <c r="B4" s="38" t="inlineStr">
        <is>
          <t>Total Clicks</t>
        </is>
      </c>
      <c r="C4" s="38" t="inlineStr">
        <is>
          <t>Total Impressions</t>
        </is>
      </c>
      <c r="D4" s="38" t="inlineStr">
        <is>
          <t>CTR Trung Bình (%)</t>
        </is>
      </c>
      <c r="E4" s="38" t="inlineStr">
        <is>
          <t>Vị Trí Trung Bình</t>
        </is>
      </c>
      <c r="F4" s="38" t="inlineStr">
        <is>
          <t>Ghi Chú Phân Tích</t>
        </is>
      </c>
    </row>
    <row r="5">
      <c r="A5" s="6" t="inlineStr">
        <is>
          <t>Tháng 01/2026</t>
        </is>
      </c>
      <c r="B5" s="21" t="n">
        <v>839341</v>
      </c>
      <c r="C5" s="21" t="n">
        <v>28740120</v>
      </c>
      <c r="D5" s="39" t="n">
        <v>0.0292</v>
      </c>
      <c r="E5" s="40" t="n">
        <v>6.5</v>
      </c>
      <c r="F5" s="9" t="inlineStr">
        <is>
          <t>Giai đoạn Tết Nguyên Đán</t>
        </is>
      </c>
    </row>
    <row r="6">
      <c r="A6" s="6" t="inlineStr">
        <is>
          <t>Tháng 02/2026</t>
        </is>
      </c>
      <c r="B6" s="21" t="n">
        <v>1063153</v>
      </c>
      <c r="C6" s="21" t="n">
        <v>36409340</v>
      </c>
      <c r="D6" s="39" t="n">
        <v>0.0292</v>
      </c>
      <c r="E6" s="40" t="n">
        <v>6.4</v>
      </c>
      <c r="F6" s="9" t="inlineStr">
        <is>
          <t>Đỉnh mùa phim Tết Cinema</t>
        </is>
      </c>
    </row>
    <row r="7">
      <c r="A7" s="6" t="inlineStr">
        <is>
          <t>Tháng 03/2026</t>
        </is>
      </c>
      <c r="B7" s="21" t="n">
        <v>943058</v>
      </c>
      <c r="C7" s="21" t="n">
        <v>32296500</v>
      </c>
      <c r="D7" s="39" t="n">
        <v>0.0292</v>
      </c>
      <c r="E7" s="40" t="n">
        <v>6.6</v>
      </c>
      <c r="F7" s="9" t="inlineStr">
        <is>
          <t>Hậu Tết, nhịp thị trường ổn định</t>
        </is>
      </c>
    </row>
    <row r="8">
      <c r="A8" s="6" t="inlineStr">
        <is>
          <t>Tháng 04/2026</t>
        </is>
      </c>
      <c r="B8" s="21" t="n">
        <v>998474</v>
      </c>
      <c r="C8" s="21" t="n">
        <v>34195299</v>
      </c>
      <c r="D8" s="39" t="n">
        <v>0.0292</v>
      </c>
      <c r="E8" s="40" t="n">
        <v>6.5</v>
      </c>
      <c r="F8" s="9" t="inlineStr">
        <is>
          <t>Chuẩn bị cao điểm lễ 30/4</t>
        </is>
      </c>
    </row>
    <row r="9">
      <c r="A9" s="6" t="inlineStr">
        <is>
          <t>Tháng 10/2026 (MTD 23d)</t>
        </is>
      </c>
      <c r="B9" s="21" t="n">
        <v>752300</v>
      </c>
      <c r="C9" s="21" t="n">
        <v>25800000</v>
      </c>
      <c r="D9" s="39" t="n">
        <v>0.0292</v>
      </c>
      <c r="E9" s="40" t="n">
        <v>6.2</v>
      </c>
      <c r="F9" s="9" t="inlineStr">
        <is>
          <t>CTR duy trì tốt, thứ hạng bình quân cải thiện</t>
        </is>
      </c>
    </row>
    <row r="10"/>
    <row r="11"/>
    <row r="12">
      <c r="A12" s="41" t="inlineStr">
        <is>
          <t>HẠ TẦNG CRAWL BUDGET GOOGLEBOT (GSC CRAWL STATS)</t>
        </is>
      </c>
    </row>
    <row r="13">
      <c r="A13" s="37" t="inlineStr">
        <is>
          <t>Tháng</t>
        </is>
      </c>
      <c r="B13" s="38" t="inlineStr">
        <is>
          <t>Req/ngày</t>
        </is>
      </c>
      <c r="C13" s="38" t="inlineStr">
        <is>
          <t>Download/ngày</t>
        </is>
      </c>
      <c r="D13" s="38" t="inlineStr">
        <is>
          <t>KB/req</t>
        </is>
      </c>
      <c r="E13" s="38" t="inlineStr">
        <is>
          <t>Response Time</t>
        </is>
      </c>
      <c r="F13" s="38" t="inlineStr">
        <is>
          <t>Đánh Giá &amp; Rủi Ro</t>
        </is>
      </c>
    </row>
    <row r="14">
      <c r="A14" s="6" t="inlineStr">
        <is>
          <t>T7 (12 ngày)</t>
        </is>
      </c>
      <c r="B14" s="21" t="n">
        <v>20008</v>
      </c>
      <c r="C14" s="42" t="inlineStr">
        <is>
          <t>799 MB</t>
        </is>
      </c>
      <c r="D14" s="40" t="n">
        <v>40.9</v>
      </c>
      <c r="E14" s="42" t="inlineStr">
        <is>
          <t>1.008 ms</t>
        </is>
      </c>
      <c r="F14" s="9" t="inlineStr">
        <is>
          <t>Trạng thái bình thường</t>
        </is>
      </c>
    </row>
    <row r="15">
      <c r="A15" s="6" t="inlineStr">
        <is>
          <t>T8 Full Month</t>
        </is>
      </c>
      <c r="B15" s="21" t="n">
        <v>22186</v>
      </c>
      <c r="C15" s="42" t="inlineStr">
        <is>
          <t>2.043 MB</t>
        </is>
      </c>
      <c r="D15" s="40" t="n">
        <v>94.3</v>
      </c>
      <c r="E15" s="42" t="inlineStr">
        <is>
          <t>839 ms</t>
        </is>
      </c>
      <c r="F15" s="9" t="inlineStr">
        <is>
          <t>Đẩy mạnh index cụm trang mới</t>
        </is>
      </c>
    </row>
    <row r="16">
      <c r="A16" s="6" t="inlineStr">
        <is>
          <t>T9 Full Month</t>
        </is>
      </c>
      <c r="B16" s="21" t="n">
        <v>21114</v>
      </c>
      <c r="C16" s="42" t="inlineStr">
        <is>
          <t>2.031 MB</t>
        </is>
      </c>
      <c r="D16" s="40" t="n">
        <v>98.5</v>
      </c>
      <c r="E16" s="42" t="inlineStr">
        <is>
          <t>789 ms</t>
        </is>
      </c>
      <c r="F16" s="9" t="inlineStr">
        <is>
          <t>Tối ưu tốc độ phản hồi thành công</t>
        </is>
      </c>
    </row>
    <row r="17">
      <c r="A17" s="6" t="inlineStr">
        <is>
          <t>T10 MTD (01/10 - 20/10)</t>
        </is>
      </c>
      <c r="B17" s="21" t="n">
        <v>14850</v>
      </c>
      <c r="C17" s="42" t="inlineStr">
        <is>
          <t>564 MB</t>
        </is>
      </c>
      <c r="D17" s="40" t="n">
        <v>38.9</v>
      </c>
      <c r="E17" s="42" t="inlineStr">
        <is>
          <t>852 ms</t>
        </is>
      </c>
      <c r="F17" s="9" t="inlineStr">
        <is>
          <t>Giảm 29.7% do cấu trúc; cần giám sát lag Organic</t>
        </is>
      </c>
    </row>
  </sheetData>
  <mergeCells count="1">
    <mergeCell ref="A12:F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0" customWidth="1" min="2" max="2"/>
    <col width="22" customWidth="1" min="3" max="3"/>
    <col width="19" customWidth="1" min="4" max="4"/>
    <col width="18" customWidth="1" min="5" max="5"/>
    <col width="45" customWidth="1" min="6" max="6"/>
  </cols>
  <sheetData>
    <row r="1">
      <c r="A1" s="1" t="inlineStr">
        <is>
          <t>CHI TIẾT PHÂN HỆ CINEMA HUB SUB-PAGES (GA4 DATA API MTD 26D)</t>
        </is>
      </c>
    </row>
    <row r="2">
      <c r="A2" s="2" t="inlineStr">
        <is>
          <t>Phân rã theo định danh chuẩn mới: Trang Rạp phim, Trang phim chi tiết, Cinema Home...</t>
        </is>
      </c>
    </row>
    <row r="3"/>
    <row r="4" ht="25" customHeight="1">
      <c r="A4" s="37" t="inlineStr">
        <is>
          <t>Phân Hệ Sub-page</t>
        </is>
      </c>
      <c r="B4" s="37" t="inlineStr">
        <is>
          <t>Định Danh Hệ Thống</t>
        </is>
      </c>
      <c r="C4" s="38" t="inlineStr">
        <is>
          <t>Lượt Xem Trang (PV)</t>
        </is>
      </c>
      <c r="D4" s="38" t="inlineStr">
        <is>
          <t>Tỷ Trọng Hub (%)</t>
        </is>
      </c>
      <c r="E4" s="38" t="inlineStr">
        <is>
          <t>Kênh Chủ Lực</t>
        </is>
      </c>
      <c r="F4" s="38" t="inlineStr">
        <is>
          <t>Định Hướng Chiến Lược</t>
        </is>
      </c>
    </row>
    <row r="5">
      <c r="A5" s="6" t="inlineStr">
        <is>
          <t>Trang Rạp phim</t>
        </is>
      </c>
      <c r="B5" s="12" t="inlineStr">
        <is>
          <t>Cinema_Cineplex (/cinema/rap/...)</t>
        </is>
      </c>
      <c r="C5" s="7" t="n">
        <v>726016</v>
      </c>
      <c r="D5" s="33">
        <f>C5/C12</f>
        <v/>
      </c>
      <c r="E5" s="12" t="inlineStr">
        <is>
          <t>Organic (92.5%)</t>
        </is>
      </c>
      <c r="F5" s="12" t="inlineStr">
        <is>
          <t>Cụm rạp CGV, Lotte, NCC; đầu kéo chủ lực</t>
        </is>
      </c>
    </row>
    <row r="6">
      <c r="A6" s="6" t="inlineStr">
        <is>
          <t>Trang phim chi tiết</t>
        </is>
      </c>
      <c r="B6" s="12" t="inlineStr">
        <is>
          <t>Cinema_Page (/cinema/&lt;slug-id&gt;)</t>
        </is>
      </c>
      <c r="C6" s="7" t="n">
        <v>122242</v>
      </c>
      <c r="D6" s="33">
        <f>C6/C12</f>
        <v/>
      </c>
      <c r="E6" s="12" t="inlineStr">
        <is>
          <t>Organic (86.9%)</t>
        </is>
      </c>
      <c r="F6" s="12" t="inlineStr">
        <is>
          <t>Lưu lượng tìm kiếm phim chiếu rạp và suất chiếu</t>
        </is>
      </c>
    </row>
    <row r="7">
      <c r="A7" s="6" t="inlineStr">
        <is>
          <t>Trang chủ Cinema</t>
        </is>
      </c>
      <c r="B7" s="12" t="inlineStr">
        <is>
          <t>Cinema_Home Page (/cinema)</t>
        </is>
      </c>
      <c r="C7" s="7" t="n">
        <v>42977</v>
      </c>
      <c r="D7" s="33">
        <f>C7/C12</f>
        <v/>
      </c>
      <c r="E7" s="12" t="inlineStr">
        <is>
          <t>Organic (80.0%)</t>
        </is>
      </c>
      <c r="F7" s="12" t="inlineStr">
        <is>
          <t>Cổng vào Hub, nhận diện thương hiệu mạnh</t>
        </is>
      </c>
    </row>
    <row r="8">
      <c r="A8" s="6" t="inlineStr">
        <is>
          <t>Cinema Blog</t>
        </is>
      </c>
      <c r="B8" s="12" t="inlineStr">
        <is>
          <t>Cinema_Blog (/cinema/review...)</t>
        </is>
      </c>
      <c r="C8" s="7" t="n">
        <v>22140</v>
      </c>
      <c r="D8" s="33">
        <f>C8/C12</f>
        <v/>
      </c>
      <c r="E8" s="12" t="inlineStr">
        <is>
          <t>Organic (80.4%)</t>
        </is>
      </c>
      <c r="F8" s="12" t="inlineStr">
        <is>
          <t>Bài viết review phim, tin điện ảnh GenAI</t>
        </is>
      </c>
    </row>
    <row r="9">
      <c r="A9" s="6" t="inlineStr">
        <is>
          <t>Cinema Landing Page</t>
        </is>
      </c>
      <c r="B9" s="12" t="inlineStr">
        <is>
          <t>Cinema_Landing Page (tang-ve, uu-dai)</t>
        </is>
      </c>
      <c r="C9" s="7" t="n">
        <v>52739</v>
      </c>
      <c r="D9" s="33">
        <f>C9/C12</f>
        <v/>
      </c>
      <c r="E9" s="12" t="inlineStr">
        <is>
          <t>Organic (85.3%)</t>
        </is>
      </c>
      <c r="F9" s="12" t="inlineStr">
        <is>
          <t>Chiến dịch vé phim, ưu đãi đối tác</t>
        </is>
      </c>
    </row>
    <row r="10">
      <c r="A10" s="6" t="inlineStr">
        <is>
          <t>Tin tức</t>
        </is>
      </c>
      <c r="B10" s="12" t="inlineStr">
        <is>
          <t>Cinema_News (/cinema/tin-tuc...)</t>
        </is>
      </c>
      <c r="C10" s="7" t="n">
        <v>644</v>
      </c>
      <c r="D10" s="33">
        <f>C10/C12</f>
        <v/>
      </c>
      <c r="E10" s="12" t="inlineStr">
        <is>
          <t>Organic (86.0%)</t>
        </is>
      </c>
      <c r="F10" s="12" t="inlineStr">
        <is>
          <t>Tin tức khuyến mãi và sự kiện điện ảnh</t>
        </is>
      </c>
    </row>
    <row r="11">
      <c r="A11" s="6" t="inlineStr">
        <is>
          <t>Khác &amp; Phân hệ mở rộng</t>
        </is>
      </c>
      <c r="B11" s="12" t="inlineStr">
        <is>
          <t>Others</t>
        </is>
      </c>
      <c r="C11" s="7" t="n">
        <v>75</v>
      </c>
      <c r="D11" s="33">
        <f>C11/C12</f>
        <v/>
      </c>
      <c r="E11" s="12" t="inlineStr">
        <is>
          <t>Direct/Organic</t>
        </is>
      </c>
      <c r="F11" s="12" t="inlineStr">
        <is>
          <t>Trang cụm rạp địa phương, landing phụ</t>
        </is>
      </c>
    </row>
    <row r="12">
      <c r="A12" s="27" t="inlineStr">
        <is>
          <t>TỔNG CỘNG CINEMA HUB</t>
        </is>
      </c>
      <c r="B12" s="36" t="inlineStr">
        <is>
          <t>Cinema Hub</t>
        </is>
      </c>
      <c r="C12" s="28">
        <f>SUM(C5:C11)</f>
        <v/>
      </c>
      <c r="D12" s="35" t="n">
        <v>1</v>
      </c>
      <c r="E12" s="36" t="inlineStr">
        <is>
          <t>Organic (89.6%)</t>
        </is>
      </c>
      <c r="F12" s="36" t="inlineStr">
        <is>
          <t>Vượt kế hoạch tháng (+11.7%)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4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24" customWidth="1" min="2" max="2"/>
    <col width="23" customWidth="1" min="3" max="3"/>
    <col width="22" customWidth="1" min="4" max="4"/>
    <col width="22" customWidth="1" min="5" max="5"/>
  </cols>
  <sheetData>
    <row r="1">
      <c r="A1" s="1" t="inlineStr">
        <is>
          <t>DỮ LIỆU NGUỒN PHẲNG TỪ GA4 DATA API (FLAT RAW SOURCE MTD 26D)</t>
        </is>
      </c>
    </row>
    <row r="2">
      <c r="A2" s="2" t="inlineStr">
        <is>
          <t>Dữ liệu phục vụ kiểm tra thực tế, tra cứu và viết hàm =SUMIF() trực tiếp mà không cần qua BigQuery</t>
        </is>
      </c>
    </row>
    <row r="3"/>
    <row r="4" ht="25" customHeight="1">
      <c r="A4" s="37" t="inlineStr">
        <is>
          <t>Page Path (URL)</t>
        </is>
      </c>
      <c r="B4" s="37" t="inlineStr">
        <is>
          <t>Default Channel Group</t>
        </is>
      </c>
      <c r="C4" s="37" t="inlineStr">
        <is>
          <t>Strategic Hub / Nhóm</t>
        </is>
      </c>
      <c r="D4" s="38" t="inlineStr">
        <is>
          <t>Lượt Xem Trang (PV)</t>
        </is>
      </c>
      <c r="E4" s="38" t="inlineStr">
        <is>
          <t>Số Phiên (Sessions)</t>
        </is>
      </c>
    </row>
    <row r="5">
      <c r="A5" s="12" t="inlineStr">
        <is>
          <t>/download</t>
        </is>
      </c>
      <c r="B5" s="12" t="inlineStr">
        <is>
          <t>Direct</t>
        </is>
      </c>
      <c r="C5" s="12" t="inlineStr">
        <is>
          <t>Download</t>
        </is>
      </c>
      <c r="D5" s="21" t="n">
        <v>270354</v>
      </c>
      <c r="E5" s="21" t="n">
        <v>234914</v>
      </c>
    </row>
    <row r="6">
      <c r="A6" s="12" t="inlineStr">
        <is>
          <t>/</t>
        </is>
      </c>
      <c r="B6" s="12" t="inlineStr">
        <is>
          <t>Direct</t>
        </is>
      </c>
      <c r="C6" s="12" t="inlineStr">
        <is>
          <t>Khác</t>
        </is>
      </c>
      <c r="D6" s="21" t="n">
        <v>162090</v>
      </c>
      <c r="E6" s="21" t="n">
        <v>73559</v>
      </c>
    </row>
    <row r="7">
      <c r="A7" s="12" t="inlineStr">
        <is>
          <t>/tin-tuc/tin-tuc-su-kien/nap-game-sieu-hoi-thang-nay-giam-den-10000d-khi-8081</t>
        </is>
      </c>
      <c r="B7" s="12" t="inlineStr">
        <is>
          <t>Unassigned</t>
        </is>
      </c>
      <c r="C7" s="12" t="inlineStr">
        <is>
          <t>Khác</t>
        </is>
      </c>
      <c r="D7" s="21" t="n">
        <v>127529</v>
      </c>
      <c r="E7" s="21" t="n">
        <v>66935</v>
      </c>
    </row>
    <row r="8">
      <c r="A8" s="12" t="inlineStr">
        <is>
          <t>/nap-xu-tiktok</t>
        </is>
      </c>
      <c r="B8" s="12" t="inlineStr">
        <is>
          <t>Paid Search</t>
        </is>
      </c>
      <c r="C8" s="12" t="inlineStr">
        <is>
          <t>Khác</t>
        </is>
      </c>
      <c r="D8" s="21" t="n">
        <v>90902</v>
      </c>
      <c r="E8" s="21" t="n">
        <v>71092</v>
      </c>
    </row>
    <row r="9">
      <c r="A9" s="12" t="inlineStr">
        <is>
          <t>/</t>
        </is>
      </c>
      <c r="B9" s="12" t="inlineStr">
        <is>
          <t>Organic Search</t>
        </is>
      </c>
      <c r="C9" s="12" t="inlineStr">
        <is>
          <t>Khác</t>
        </is>
      </c>
      <c r="D9" s="21" t="n">
        <v>83127</v>
      </c>
      <c r="E9" s="21" t="n">
        <v>38245</v>
      </c>
    </row>
    <row r="10">
      <c r="A10" s="12" t="inlineStr">
        <is>
          <t>/nap-xu-tiktok</t>
        </is>
      </c>
      <c r="B10" s="12" t="inlineStr">
        <is>
          <t>Organic Search</t>
        </is>
      </c>
      <c r="C10" s="12" t="inlineStr">
        <is>
          <t>Khác</t>
        </is>
      </c>
      <c r="D10" s="21" t="n">
        <v>61144</v>
      </c>
      <c r="E10" s="21" t="n">
        <v>46226</v>
      </c>
    </row>
    <row r="11">
      <c r="A11" s="12" t="inlineStr">
        <is>
          <t>/download</t>
        </is>
      </c>
      <c r="B11" s="12" t="inlineStr">
        <is>
          <t>Referral</t>
        </is>
      </c>
      <c r="C11" s="12" t="inlineStr">
        <is>
          <t>Download</t>
        </is>
      </c>
      <c r="D11" s="21" t="n">
        <v>44876</v>
      </c>
      <c r="E11" s="21" t="n">
        <v>38063</v>
      </c>
    </row>
    <row r="12">
      <c r="A12" s="12" t="inlineStr">
        <is>
          <t>/diem-tin-dung</t>
        </is>
      </c>
      <c r="B12" s="12" t="inlineStr">
        <is>
          <t>Paid Search</t>
        </is>
      </c>
      <c r="C12" s="12" t="inlineStr">
        <is>
          <t>Financial Hub</t>
        </is>
      </c>
      <c r="D12" s="21" t="n">
        <v>44552</v>
      </c>
      <c r="E12" s="21" t="n">
        <v>34230</v>
      </c>
    </row>
    <row r="13">
      <c r="A13" s="12" t="inlineStr">
        <is>
          <t>/tin-tuc/khuyen-mai/chuong-trinh-gioi-thieu-ban-be-chuyen-tien-nhan-8930</t>
        </is>
      </c>
      <c r="B13" s="12" t="inlineStr">
        <is>
          <t>Direct</t>
        </is>
      </c>
      <c r="C13" s="12" t="inlineStr">
        <is>
          <t>Khác</t>
        </is>
      </c>
      <c r="D13" s="21" t="n">
        <v>37328</v>
      </c>
      <c r="E13" s="21" t="n">
        <v>28231</v>
      </c>
    </row>
    <row r="14">
      <c r="A14" s="12" t="inlineStr">
        <is>
          <t>/nuoc</t>
        </is>
      </c>
      <c r="B14" s="12" t="inlineStr">
        <is>
          <t>Direct</t>
        </is>
      </c>
      <c r="C14" s="12" t="inlineStr">
        <is>
          <t>Khác</t>
        </is>
      </c>
      <c r="D14" s="21" t="n">
        <v>34865</v>
      </c>
      <c r="E14" s="21" t="n">
        <v>20728</v>
      </c>
    </row>
    <row r="15">
      <c r="A15" s="12" t="inlineStr">
        <is>
          <t>/tin-tuc/khuyen-mai/giam-20k-nang-cap-app-nap-game-app-store-khi-lan-8402</t>
        </is>
      </c>
      <c r="B15" s="12" t="inlineStr">
        <is>
          <t>Paid Search</t>
        </is>
      </c>
      <c r="C15" s="12" t="inlineStr">
        <is>
          <t>Khác</t>
        </is>
      </c>
      <c r="D15" s="21" t="n">
        <v>33013</v>
      </c>
      <c r="E15" s="21" t="n">
        <v>29235</v>
      </c>
    </row>
    <row r="16">
      <c r="A16" s="12" t="inlineStr">
        <is>
          <t>/cinema/trai-buon-nguoi-24991/tang-3000-ve</t>
        </is>
      </c>
      <c r="B16" s="12" t="inlineStr">
        <is>
          <t>Organic Social</t>
        </is>
      </c>
      <c r="C16" s="12" t="inlineStr">
        <is>
          <t>Cinema Hub</t>
        </is>
      </c>
      <c r="D16" s="21" t="n">
        <v>31331</v>
      </c>
      <c r="E16" s="21" t="n">
        <v>26912</v>
      </c>
    </row>
    <row r="17">
      <c r="A17" s="12" t="inlineStr">
        <is>
          <t>/cinema/rap/cgv/cgv-aeon-mall-hai-phong-149</t>
        </is>
      </c>
      <c r="B17" s="12" t="inlineStr">
        <is>
          <t>Organic Search</t>
        </is>
      </c>
      <c r="C17" s="12" t="inlineStr">
        <is>
          <t>Cinema Hub</t>
        </is>
      </c>
      <c r="D17" s="21" t="n">
        <v>31119</v>
      </c>
      <c r="E17" s="21" t="n">
        <v>16490</v>
      </c>
    </row>
    <row r="18">
      <c r="A18" s="12" t="inlineStr">
        <is>
          <t>/cinema/rap/cgv</t>
        </is>
      </c>
      <c r="B18" s="12" t="inlineStr">
        <is>
          <t>Organic Search</t>
        </is>
      </c>
      <c r="C18" s="12" t="inlineStr">
        <is>
          <t>Cinema Hub</t>
        </is>
      </c>
      <c r="D18" s="21" t="n">
        <v>25896</v>
      </c>
      <c r="E18" s="21" t="n">
        <v>14330</v>
      </c>
    </row>
    <row r="19">
      <c r="A19" s="12" t="inlineStr">
        <is>
          <t>/</t>
        </is>
      </c>
      <c r="B19" s="12" t="inlineStr">
        <is>
          <t>Referral</t>
        </is>
      </c>
      <c r="C19" s="12" t="inlineStr">
        <is>
          <t>Khác</t>
        </is>
      </c>
      <c r="D19" s="21" t="n">
        <v>25787</v>
      </c>
      <c r="E19" s="21" t="n">
        <v>17197</v>
      </c>
    </row>
    <row r="20">
      <c r="A20" s="12" t="inlineStr">
        <is>
          <t>/cinema/trai-buon-nguoi-24991</t>
        </is>
      </c>
      <c r="B20" s="12" t="inlineStr">
        <is>
          <t>Organic Search</t>
        </is>
      </c>
      <c r="C20" s="12" t="inlineStr">
        <is>
          <t>Cinema Hub</t>
        </is>
      </c>
      <c r="D20" s="21" t="n">
        <v>25087</v>
      </c>
      <c r="E20" s="21" t="n">
        <v>18370</v>
      </c>
    </row>
    <row r="21">
      <c r="A21" s="12" t="inlineStr">
        <is>
          <t>/cinema</t>
        </is>
      </c>
      <c r="B21" s="12" t="inlineStr">
        <is>
          <t>Organic Search</t>
        </is>
      </c>
      <c r="C21" s="12" t="inlineStr">
        <is>
          <t>Cinema Hub</t>
        </is>
      </c>
      <c r="D21" s="21" t="n">
        <v>23759</v>
      </c>
      <c r="E21" s="21" t="n">
        <v>9695</v>
      </c>
    </row>
    <row r="22">
      <c r="A22" s="12" t="inlineStr">
        <is>
          <t>/cinema/rap/bhd-star/bhd-star-long-khanh-216</t>
        </is>
      </c>
      <c r="B22" s="12" t="inlineStr">
        <is>
          <t>Organic Search</t>
        </is>
      </c>
      <c r="C22" s="12" t="inlineStr">
        <is>
          <t>Cinema Hub</t>
        </is>
      </c>
      <c r="D22" s="21" t="n">
        <v>22061</v>
      </c>
      <c r="E22" s="21" t="n">
        <v>12814</v>
      </c>
    </row>
    <row r="23">
      <c r="A23" s="12" t="inlineStr">
        <is>
          <t>/vi-tra-sau</t>
        </is>
      </c>
      <c r="B23" s="12" t="inlineStr">
        <is>
          <t>Paid Search</t>
        </is>
      </c>
      <c r="C23" s="12" t="inlineStr">
        <is>
          <t>Financial Hub</t>
        </is>
      </c>
      <c r="D23" s="21" t="n">
        <v>17003</v>
      </c>
      <c r="E23" s="21" t="n">
        <v>12464</v>
      </c>
    </row>
    <row r="24">
      <c r="A24" s="12" t="inlineStr">
        <is>
          <t>/cinema/lich-chieu</t>
        </is>
      </c>
      <c r="B24" s="12" t="inlineStr">
        <is>
          <t>Organic Search</t>
        </is>
      </c>
      <c r="C24" s="12" t="inlineStr">
        <is>
          <t>Cinema Hub</t>
        </is>
      </c>
      <c r="D24" s="21" t="n">
        <v>15586</v>
      </c>
      <c r="E24" s="21" t="n">
        <v>7840</v>
      </c>
    </row>
    <row r="25">
      <c r="A25" s="12" t="inlineStr">
        <is>
          <t>/lienkettaikhoan</t>
        </is>
      </c>
      <c r="B25" s="12" t="inlineStr">
        <is>
          <t>Direct</t>
        </is>
      </c>
      <c r="C25" s="12" t="inlineStr">
        <is>
          <t>New User Hub</t>
        </is>
      </c>
      <c r="D25" s="21" t="n">
        <v>15062</v>
      </c>
      <c r="E25" s="21" t="n">
        <v>4283</v>
      </c>
    </row>
    <row r="26">
      <c r="A26" s="12" t="inlineStr">
        <is>
          <t>/chinh-sach-quyen-rieng-tu</t>
        </is>
      </c>
      <c r="B26" s="12" t="inlineStr">
        <is>
          <t>Direct</t>
        </is>
      </c>
      <c r="C26" s="12" t="inlineStr">
        <is>
          <t>Khác</t>
        </is>
      </c>
      <c r="D26" s="21" t="n">
        <v>13135</v>
      </c>
      <c r="E26" s="21" t="n">
        <v>11784</v>
      </c>
    </row>
    <row r="27">
      <c r="A27" s="12" t="inlineStr">
        <is>
          <t>/game/mot-mua-quyt</t>
        </is>
      </c>
      <c r="B27" s="12" t="inlineStr">
        <is>
          <t>Paid Social</t>
        </is>
      </c>
      <c r="C27" s="12" t="inlineStr">
        <is>
          <t>Khác</t>
        </is>
      </c>
      <c r="D27" s="21" t="n">
        <v>13002</v>
      </c>
      <c r="E27" s="21" t="n">
        <v>12385</v>
      </c>
    </row>
    <row r="28">
      <c r="A28" s="12" t="inlineStr">
        <is>
          <t>/cinema/rap/lotte-cinema/lotte-tay-ninh-176</t>
        </is>
      </c>
      <c r="B28" s="12" t="inlineStr">
        <is>
          <t>Organic Search</t>
        </is>
      </c>
      <c r="C28" s="12" t="inlineStr">
        <is>
          <t>Cinema Hub</t>
        </is>
      </c>
      <c r="D28" s="21" t="n">
        <v>12977</v>
      </c>
      <c r="E28" s="21" t="n">
        <v>7395</v>
      </c>
    </row>
    <row r="29">
      <c r="A29" s="12" t="inlineStr">
        <is>
          <t>/hoi-dap/cach-lien-he-voi-momo</t>
        </is>
      </c>
      <c r="B29" s="12" t="inlineStr">
        <is>
          <t>Organic Search</t>
        </is>
      </c>
      <c r="C29" s="12" t="inlineStr">
        <is>
          <t>Khác</t>
        </is>
      </c>
      <c r="D29" s="21" t="n">
        <v>12909</v>
      </c>
      <c r="E29" s="21" t="n">
        <v>9037</v>
      </c>
    </row>
    <row r="30">
      <c r="A30" s="12" t="inlineStr">
        <is>
          <t>/vay-nhanh</t>
        </is>
      </c>
      <c r="B30" s="12" t="inlineStr">
        <is>
          <t>Organic Search</t>
        </is>
      </c>
      <c r="C30" s="12" t="inlineStr">
        <is>
          <t>Financial Hub</t>
        </is>
      </c>
      <c r="D30" s="21" t="n">
        <v>12844</v>
      </c>
      <c r="E30" s="21" t="n">
        <v>9445</v>
      </c>
    </row>
    <row r="31">
      <c r="A31" s="12" t="inlineStr">
        <is>
          <t>/blog/tra-cuu-bao-hiem-y-te-bang-cccd-c116dt2833</t>
        </is>
      </c>
      <c r="B31" s="12" t="inlineStr">
        <is>
          <t>Organic Search</t>
        </is>
      </c>
      <c r="C31" s="12" t="inlineStr">
        <is>
          <t>Khác</t>
        </is>
      </c>
      <c r="D31" s="21" t="n">
        <v>12714</v>
      </c>
      <c r="E31" s="21" t="n">
        <v>11140</v>
      </c>
    </row>
    <row r="32">
      <c r="A32" s="12" t="inlineStr">
        <is>
          <t>/cinema/rap/lotte-cinema</t>
        </is>
      </c>
      <c r="B32" s="12" t="inlineStr">
        <is>
          <t>Organic Search</t>
        </is>
      </c>
      <c r="C32" s="12" t="inlineStr">
        <is>
          <t>Cinema Hub</t>
        </is>
      </c>
      <c r="D32" s="21" t="n">
        <v>12647</v>
      </c>
      <c r="E32" s="21" t="n">
        <v>7409</v>
      </c>
    </row>
    <row r="33">
      <c r="A33" s="12" t="inlineStr">
        <is>
          <t>/cinema/rap/cgv/cgv-aeon-long-bien-115</t>
        </is>
      </c>
      <c r="B33" s="12" t="inlineStr">
        <is>
          <t>Organic Search</t>
        </is>
      </c>
      <c r="C33" s="12" t="inlineStr">
        <is>
          <t>Cinema Hub</t>
        </is>
      </c>
      <c r="D33" s="21" t="n">
        <v>12177</v>
      </c>
      <c r="E33" s="21" t="n">
        <v>7084</v>
      </c>
    </row>
    <row r="34">
      <c r="A34" s="12" t="inlineStr">
        <is>
          <t>/cinema/rap/lotte-cinema/lotte-bac-ninh-158</t>
        </is>
      </c>
      <c r="B34" s="12" t="inlineStr">
        <is>
          <t>Organic Search</t>
        </is>
      </c>
      <c r="C34" s="12" t="inlineStr">
        <is>
          <t>Cinema Hub</t>
        </is>
      </c>
      <c r="D34" s="21" t="n">
        <v>11938</v>
      </c>
      <c r="E34" s="21" t="n">
        <v>6399</v>
      </c>
    </row>
    <row r="35">
      <c r="A35" s="12" t="inlineStr">
        <is>
          <t>/cinema</t>
        </is>
      </c>
      <c r="B35" s="12" t="inlineStr">
        <is>
          <t>Direct</t>
        </is>
      </c>
      <c r="C35" s="12" t="inlineStr">
        <is>
          <t>Cinema Hub</t>
        </is>
      </c>
      <c r="D35" s="21" t="n">
        <v>11331</v>
      </c>
      <c r="E35" s="21" t="n">
        <v>3050</v>
      </c>
    </row>
    <row r="36">
      <c r="A36" s="12" t="inlineStr">
        <is>
          <t>/game/mot-mua-quyt</t>
        </is>
      </c>
      <c r="B36" s="12" t="inlineStr">
        <is>
          <t>Paid Search</t>
        </is>
      </c>
      <c r="C36" s="12" t="inlineStr">
        <is>
          <t>Khác</t>
        </is>
      </c>
      <c r="D36" s="21" t="n">
        <v>11179</v>
      </c>
      <c r="E36" s="21" t="n">
        <v>9826</v>
      </c>
    </row>
    <row r="37">
      <c r="A37" s="12" t="inlineStr">
        <is>
          <t>/tien-ich-giao-thong</t>
        </is>
      </c>
      <c r="B37" s="12" t="inlineStr">
        <is>
          <t>Direct</t>
        </is>
      </c>
      <c r="C37" s="12" t="inlineStr">
        <is>
          <t>Khác</t>
        </is>
      </c>
      <c r="D37" s="21" t="n">
        <v>11141</v>
      </c>
      <c r="E37" s="21" t="n">
        <v>2924</v>
      </c>
    </row>
    <row r="38">
      <c r="A38" s="12" t="inlineStr">
        <is>
          <t>/bonbon</t>
        </is>
      </c>
      <c r="B38" s="12" t="inlineStr">
        <is>
          <t>Organic Search</t>
        </is>
      </c>
      <c r="C38" s="12" t="inlineStr">
        <is>
          <t>Khác</t>
        </is>
      </c>
      <c r="D38" s="21" t="n">
        <v>10386</v>
      </c>
      <c r="E38" s="21" t="n">
        <v>5632</v>
      </c>
    </row>
    <row r="39">
      <c r="A39" s="12" t="inlineStr">
        <is>
          <t>/uu-dai-icloud</t>
        </is>
      </c>
      <c r="B39" s="12" t="inlineStr">
        <is>
          <t>Paid Search</t>
        </is>
      </c>
      <c r="C39" s="12" t="inlineStr">
        <is>
          <t>Khác</t>
        </is>
      </c>
      <c r="D39" s="21" t="n">
        <v>10074</v>
      </c>
      <c r="E39" s="21" t="n">
        <v>8720</v>
      </c>
    </row>
    <row r="40">
      <c r="A40" s="12" t="inlineStr">
        <is>
          <t>/tin-tuc/thong-cao-bao-chi/momo-co-cu-an-ba-tai-better-choice-awards-2026-9073</t>
        </is>
      </c>
      <c r="B40" s="12" t="inlineStr">
        <is>
          <t>Unassigned</t>
        </is>
      </c>
      <c r="C40" s="12" t="inlineStr">
        <is>
          <t>Khác</t>
        </is>
      </c>
      <c r="D40" s="21" t="n">
        <v>10009</v>
      </c>
      <c r="E40" s="21" t="n">
        <v>8242</v>
      </c>
    </row>
    <row r="41">
      <c r="A41" s="12" t="inlineStr">
        <is>
          <t>/cinema/rap/lotte-cinema/lotte-west-lake-363</t>
        </is>
      </c>
      <c r="B41" s="12" t="inlineStr">
        <is>
          <t>Organic Search</t>
        </is>
      </c>
      <c r="C41" s="12" t="inlineStr">
        <is>
          <t>Cinema Hub</t>
        </is>
      </c>
      <c r="D41" s="21" t="n">
        <v>9617</v>
      </c>
      <c r="E41" s="21" t="n">
        <v>5479</v>
      </c>
    </row>
    <row r="42">
      <c r="A42" s="12" t="inlineStr">
        <is>
          <t>/cinema/rap/cgv/cgv-aeon-tan-phu-21</t>
        </is>
      </c>
      <c r="B42" s="12" t="inlineStr">
        <is>
          <t>Organic Search</t>
        </is>
      </c>
      <c r="C42" s="12" t="inlineStr">
        <is>
          <t>Cinema Hub</t>
        </is>
      </c>
      <c r="D42" s="21" t="n">
        <v>9562</v>
      </c>
      <c r="E42" s="21" t="n">
        <v>5342</v>
      </c>
    </row>
    <row r="43">
      <c r="A43" s="12" t="inlineStr">
        <is>
          <t>/cinema/rap/cgv/cgv-aeon-ha-dong-128</t>
        </is>
      </c>
      <c r="B43" s="12" t="inlineStr">
        <is>
          <t>Organic Search</t>
        </is>
      </c>
      <c r="C43" s="12" t="inlineStr">
        <is>
          <t>Cinema Hub</t>
        </is>
      </c>
      <c r="D43" s="21" t="n">
        <v>8551</v>
      </c>
      <c r="E43" s="21" t="n">
        <v>4767</v>
      </c>
    </row>
    <row r="44">
      <c r="A44" s="12" t="inlineStr">
        <is>
          <t>/cinema/rap/cgv/cgv-vincom-vinh-long-28</t>
        </is>
      </c>
      <c r="B44" s="12" t="inlineStr">
        <is>
          <t>Organic Search</t>
        </is>
      </c>
      <c r="C44" s="12" t="inlineStr">
        <is>
          <t>Cinema Hub</t>
        </is>
      </c>
      <c r="D44" s="21" t="n">
        <v>8158</v>
      </c>
      <c r="E44" s="21" t="n">
        <v>4548</v>
      </c>
    </row>
    <row r="45">
      <c r="A45" s="12" t="inlineStr">
        <is>
          <t>/cinema/rap/lotte-cinema/lotte-hai-phong-160</t>
        </is>
      </c>
      <c r="B45" s="12" t="inlineStr">
        <is>
          <t>Organic Search</t>
        </is>
      </c>
      <c r="C45" s="12" t="inlineStr">
        <is>
          <t>Cinema Hub</t>
        </is>
      </c>
      <c r="D45" s="21" t="n">
        <v>8141</v>
      </c>
      <c r="E45" s="21" t="n">
        <v>4304</v>
      </c>
    </row>
    <row r="46">
      <c r="A46" s="12" t="inlineStr">
        <is>
          <t>/cinema/rap/cgv/cgv-ha-noi-centerpoint-1</t>
        </is>
      </c>
      <c r="B46" s="12" t="inlineStr">
        <is>
          <t>Organic Search</t>
        </is>
      </c>
      <c r="C46" s="12" t="inlineStr">
        <is>
          <t>Cinema Hub</t>
        </is>
      </c>
      <c r="D46" s="21" t="n">
        <v>7679</v>
      </c>
      <c r="E46" s="21" t="n">
        <v>3913</v>
      </c>
    </row>
    <row r="47">
      <c r="A47" s="12" t="inlineStr">
        <is>
          <t>/cinema/quy-an-tang-4-ho-tinh-25145</t>
        </is>
      </c>
      <c r="B47" s="12" t="inlineStr">
        <is>
          <t>Organic Search</t>
        </is>
      </c>
      <c r="C47" s="12" t="inlineStr">
        <is>
          <t>Cinema Hub</t>
        </is>
      </c>
      <c r="D47" s="21" t="n">
        <v>7468</v>
      </c>
      <c r="E47" s="21" t="n">
        <v>5317</v>
      </c>
    </row>
    <row r="48">
      <c r="A48" s="12" t="inlineStr">
        <is>
          <t>/bao-hiem-o-to/than-vo</t>
        </is>
      </c>
      <c r="B48" s="12" t="inlineStr">
        <is>
          <t>Paid Search</t>
        </is>
      </c>
      <c r="C48" s="12" t="inlineStr">
        <is>
          <t>Vehicle Hub</t>
        </is>
      </c>
      <c r="D48" s="21" t="n">
        <v>7224</v>
      </c>
      <c r="E48" s="21" t="n">
        <v>3888</v>
      </c>
    </row>
    <row r="49">
      <c r="A49" s="12" t="inlineStr">
        <is>
          <t>/hoi-dap/toi-co-the-doi-so-dien-thoai-dang-ky-tai-khoan-momo-cua-toi-duoc-khong</t>
        </is>
      </c>
      <c r="B49" s="12" t="inlineStr">
        <is>
          <t>Organic Search</t>
        </is>
      </c>
      <c r="C49" s="12" t="inlineStr">
        <is>
          <t>Khác</t>
        </is>
      </c>
      <c r="D49" s="21" t="n">
        <v>7207</v>
      </c>
      <c r="E49" s="21" t="n">
        <v>4192</v>
      </c>
    </row>
    <row r="50">
      <c r="A50" s="12" t="inlineStr">
        <is>
          <t>/cinema/rap/cgv/cgv-vincom-cao-lanh-39</t>
        </is>
      </c>
      <c r="B50" s="12" t="inlineStr">
        <is>
          <t>Organic Search</t>
        </is>
      </c>
      <c r="C50" s="12" t="inlineStr">
        <is>
          <t>Cinema Hub</t>
        </is>
      </c>
      <c r="D50" s="21" t="n">
        <v>6929</v>
      </c>
      <c r="E50" s="21" t="n">
        <v>4055</v>
      </c>
    </row>
    <row r="51">
      <c r="A51" s="12" t="inlineStr">
        <is>
          <t>/blog/vi-tra-sau-momo-thanh-toan-duoc-nhung-dich-vu-gi-c116dt981</t>
        </is>
      </c>
      <c r="B51" s="12" t="inlineStr">
        <is>
          <t>Organic Search</t>
        </is>
      </c>
      <c r="C51" s="12" t="inlineStr">
        <is>
          <t>Financial Hub</t>
        </is>
      </c>
      <c r="D51" s="21" t="n">
        <v>6765</v>
      </c>
      <c r="E51" s="21" t="n">
        <v>4789</v>
      </c>
    </row>
    <row r="52">
      <c r="A52" s="12" t="inlineStr">
        <is>
          <t>/cinema/rap/lotte-cinema/lotte-phu-ly-163</t>
        </is>
      </c>
      <c r="B52" s="12" t="inlineStr">
        <is>
          <t>Organic Search</t>
        </is>
      </c>
      <c r="C52" s="12" t="inlineStr">
        <is>
          <t>Cinema Hub</t>
        </is>
      </c>
      <c r="D52" s="21" t="n">
        <v>6754</v>
      </c>
      <c r="E52" s="21" t="n">
        <v>3597</v>
      </c>
    </row>
    <row r="53">
      <c r="A53" s="12" t="inlineStr">
        <is>
          <t>/cinema/rap/lotte-cinema/lotte-ha-dong-151</t>
        </is>
      </c>
      <c r="B53" s="12" t="inlineStr">
        <is>
          <t>Organic Search</t>
        </is>
      </c>
      <c r="C53" s="12" t="inlineStr">
        <is>
          <t>Cinema Hub</t>
        </is>
      </c>
      <c r="D53" s="21" t="n">
        <v>6741</v>
      </c>
      <c r="E53" s="21" t="n">
        <v>3622</v>
      </c>
    </row>
    <row r="54">
      <c r="A54" s="12" t="inlineStr">
        <is>
          <t>/cinema/rap/lotte-cinema/lotte-phan-thiet-138</t>
        </is>
      </c>
      <c r="B54" s="12" t="inlineStr">
        <is>
          <t>Organic Search</t>
        </is>
      </c>
      <c r="C54" s="12" t="inlineStr">
        <is>
          <t>Cinema Hub</t>
        </is>
      </c>
      <c r="D54" s="21" t="n">
        <v>6739</v>
      </c>
      <c r="E54" s="21" t="n">
        <v>3827</v>
      </c>
    </row>
    <row r="55">
      <c r="A55" s="12" t="inlineStr">
        <is>
          <t>/vay-nhanh</t>
        </is>
      </c>
      <c r="B55" s="12" t="inlineStr">
        <is>
          <t>Referral</t>
        </is>
      </c>
      <c r="C55" s="12" t="inlineStr">
        <is>
          <t>Financial Hub</t>
        </is>
      </c>
      <c r="D55" s="21" t="n">
        <v>6707</v>
      </c>
      <c r="E55" s="21" t="n">
        <v>4787</v>
      </c>
    </row>
    <row r="56">
      <c r="A56" s="12" t="inlineStr">
        <is>
          <t>/huong-dan/chi-tiet/1151</t>
        </is>
      </c>
      <c r="B56" s="12" t="inlineStr">
        <is>
          <t>Direct</t>
        </is>
      </c>
      <c r="C56" s="12" t="inlineStr">
        <is>
          <t>Khác</t>
        </is>
      </c>
      <c r="D56" s="21" t="n">
        <v>6657</v>
      </c>
      <c r="E56" s="21" t="n">
        <v>5373</v>
      </c>
    </row>
    <row r="57">
      <c r="A57" s="12" t="inlineStr">
        <is>
          <t>/cinema/rap/cgv/cgv-vincom-tra-vinh-27</t>
        </is>
      </c>
      <c r="B57" s="12" t="inlineStr">
        <is>
          <t>Organic Search</t>
        </is>
      </c>
      <c r="C57" s="12" t="inlineStr">
        <is>
          <t>Cinema Hub</t>
        </is>
      </c>
      <c r="D57" s="21" t="n">
        <v>6299</v>
      </c>
      <c r="E57" s="21" t="n">
        <v>3652</v>
      </c>
    </row>
    <row r="58">
      <c r="A58" s="12" t="inlineStr">
        <is>
          <t>/hoi-dap/cach-mua-ma-the-game-truc-tuyen</t>
        </is>
      </c>
      <c r="B58" s="12" t="inlineStr">
        <is>
          <t>Organic Search</t>
        </is>
      </c>
      <c r="C58" s="12" t="inlineStr">
        <is>
          <t>Khác</t>
        </is>
      </c>
      <c r="D58" s="21" t="n">
        <v>6250</v>
      </c>
      <c r="E58" s="21" t="n">
        <v>4285</v>
      </c>
    </row>
    <row r="59">
      <c r="A59" s="12" t="inlineStr">
        <is>
          <t>/napthengayvn</t>
        </is>
      </c>
      <c r="B59" s="12" t="inlineStr">
        <is>
          <t>Organic Search</t>
        </is>
      </c>
      <c r="C59" s="12" t="inlineStr">
        <is>
          <t>Khác</t>
        </is>
      </c>
      <c r="D59" s="21" t="n">
        <v>5977</v>
      </c>
      <c r="E59" s="21" t="n">
        <v>4078</v>
      </c>
    </row>
    <row r="60">
      <c r="A60" s="12" t="inlineStr">
        <is>
          <t>/cinema/rap/lotte-cinema/lotte-long-xuyen-181</t>
        </is>
      </c>
      <c r="B60" s="12" t="inlineStr">
        <is>
          <t>Organic Search</t>
        </is>
      </c>
      <c r="C60" s="12" t="inlineStr">
        <is>
          <t>Cinema Hub</t>
        </is>
      </c>
      <c r="D60" s="21" t="n">
        <v>5809</v>
      </c>
      <c r="E60" s="21" t="n">
        <v>3508</v>
      </c>
    </row>
    <row r="61">
      <c r="A61" s="12" t="inlineStr">
        <is>
          <t>/blog/tra-cuu-y-nghia-so-dien-thoai-c193dt1419</t>
        </is>
      </c>
      <c r="B61" s="12" t="inlineStr">
        <is>
          <t>Organic Search</t>
        </is>
      </c>
      <c r="C61" s="12" t="inlineStr">
        <is>
          <t>Khác</t>
        </is>
      </c>
      <c r="D61" s="21" t="n">
        <v>5681</v>
      </c>
      <c r="E61" s="21" t="n">
        <v>5019</v>
      </c>
    </row>
    <row r="62">
      <c r="A62" s="12" t="inlineStr">
        <is>
          <t>/cinema/rap/cgv/cgv-aeon-binh-tan-23</t>
        </is>
      </c>
      <c r="B62" s="12" t="inlineStr">
        <is>
          <t>Organic Search</t>
        </is>
      </c>
      <c r="C62" s="12" t="inlineStr">
        <is>
          <t>Cinema Hub</t>
        </is>
      </c>
      <c r="D62" s="21" t="n">
        <v>5597</v>
      </c>
      <c r="E62" s="21" t="n">
        <v>3072</v>
      </c>
    </row>
    <row r="63">
      <c r="A63" s="12" t="inlineStr">
        <is>
          <t>/uu-dai-icloud</t>
        </is>
      </c>
      <c r="B63" s="12" t="inlineStr">
        <is>
          <t>Direct</t>
        </is>
      </c>
      <c r="C63" s="12" t="inlineStr">
        <is>
          <t>Khác</t>
        </is>
      </c>
      <c r="D63" s="21" t="n">
        <v>5524</v>
      </c>
      <c r="E63" s="21" t="n">
        <v>1598</v>
      </c>
    </row>
    <row r="64">
      <c r="A64" s="12" t="inlineStr">
        <is>
          <t>/lienhe</t>
        </is>
      </c>
      <c r="B64" s="12" t="inlineStr">
        <is>
          <t>Organic Search</t>
        </is>
      </c>
      <c r="C64" s="12" t="inlineStr">
        <is>
          <t>Khác</t>
        </is>
      </c>
      <c r="D64" s="21" t="n">
        <v>5468</v>
      </c>
      <c r="E64" s="21" t="n">
        <v>3644</v>
      </c>
    </row>
    <row r="65">
      <c r="A65" s="12" t="inlineStr">
        <is>
          <t>/cinema/rap/lotte-cinema/lotte-ca-mau-178</t>
        </is>
      </c>
      <c r="B65" s="12" t="inlineStr">
        <is>
          <t>Organic Search</t>
        </is>
      </c>
      <c r="C65" s="12" t="inlineStr">
        <is>
          <t>Cinema Hub</t>
        </is>
      </c>
      <c r="D65" s="21" t="n">
        <v>5464</v>
      </c>
      <c r="E65" s="21" t="n">
        <v>3088</v>
      </c>
    </row>
    <row r="66">
      <c r="A66" s="12" t="inlineStr">
        <is>
          <t>/cinema/rap/lotte-cinema/lotte-da-nang-173</t>
        </is>
      </c>
      <c r="B66" s="12" t="inlineStr">
        <is>
          <t>Organic Search</t>
        </is>
      </c>
      <c r="C66" s="12" t="inlineStr">
        <is>
          <t>Cinema Hub</t>
        </is>
      </c>
      <c r="D66" s="21" t="n">
        <v>5426</v>
      </c>
      <c r="E66" s="21" t="n">
        <v>3019</v>
      </c>
    </row>
    <row r="67">
      <c r="A67" s="12" t="inlineStr">
        <is>
          <t>/cinema/rap/cgv/cgv-aeon-canary-binh-duong-16</t>
        </is>
      </c>
      <c r="B67" s="12" t="inlineStr">
        <is>
          <t>Organic Search</t>
        </is>
      </c>
      <c r="C67" s="12" t="inlineStr">
        <is>
          <t>Cinema Hub</t>
        </is>
      </c>
      <c r="D67" s="21" t="n">
        <v>5405</v>
      </c>
      <c r="E67" s="21" t="n">
        <v>2944</v>
      </c>
    </row>
    <row r="68">
      <c r="A68" s="12" t="inlineStr">
        <is>
          <t>/cinema/rap/beta-cinemas/beta-quang-trung-209</t>
        </is>
      </c>
      <c r="B68" s="12" t="inlineStr">
        <is>
          <t>Organic Search</t>
        </is>
      </c>
      <c r="C68" s="12" t="inlineStr">
        <is>
          <t>Cinema Hub</t>
        </is>
      </c>
      <c r="D68" s="21" t="n">
        <v>5400</v>
      </c>
      <c r="E68" s="21" t="n">
        <v>2859</v>
      </c>
    </row>
    <row r="69">
      <c r="A69" s="12" t="inlineStr">
        <is>
          <t>/cinema/rap/lotte-cinema/lotte-thanh-hoa-170</t>
        </is>
      </c>
      <c r="B69" s="12" t="inlineStr">
        <is>
          <t>Organic Search</t>
        </is>
      </c>
      <c r="C69" s="12" t="inlineStr">
        <is>
          <t>Cinema Hub</t>
        </is>
      </c>
      <c r="D69" s="21" t="n">
        <v>5347</v>
      </c>
      <c r="E69" s="21" t="n">
        <v>3004</v>
      </c>
    </row>
    <row r="70">
      <c r="A70" s="12" t="inlineStr">
        <is>
          <t>/nap-the-game</t>
        </is>
      </c>
      <c r="B70" s="12" t="inlineStr">
        <is>
          <t>Organic Search</t>
        </is>
      </c>
      <c r="C70" s="12" t="inlineStr">
        <is>
          <t>Khác</t>
        </is>
      </c>
      <c r="D70" s="21" t="n">
        <v>5318</v>
      </c>
      <c r="E70" s="21" t="n">
        <v>3271</v>
      </c>
    </row>
    <row r="71">
      <c r="A71" s="12" t="inlineStr">
        <is>
          <t>/tin-tuc/thong-bao/huong-dan-mo-tai-khoan-va-mua-ve-vietlott-sms-5667</t>
        </is>
      </c>
      <c r="B71" s="12" t="inlineStr">
        <is>
          <t>Paid Other</t>
        </is>
      </c>
      <c r="C71" s="12" t="inlineStr">
        <is>
          <t>Khác</t>
        </is>
      </c>
      <c r="D71" s="21" t="n">
        <v>5305</v>
      </c>
      <c r="E71" s="21" t="n">
        <v>3355</v>
      </c>
    </row>
    <row r="72">
      <c r="A72" s="12" t="inlineStr">
        <is>
          <t>/cinema/rap/lotte-cinema/lotte-hai-duong-159</t>
        </is>
      </c>
      <c r="B72" s="12" t="inlineStr">
        <is>
          <t>Organic Search</t>
        </is>
      </c>
      <c r="C72" s="12" t="inlineStr">
        <is>
          <t>Cinema Hub</t>
        </is>
      </c>
      <c r="D72" s="21" t="n">
        <v>5255</v>
      </c>
      <c r="E72" s="21" t="n">
        <v>2955</v>
      </c>
    </row>
    <row r="73">
      <c r="A73" s="12" t="inlineStr">
        <is>
          <t>/gioi-thieu-momo</t>
        </is>
      </c>
      <c r="B73" s="12" t="inlineStr">
        <is>
          <t>Direct</t>
        </is>
      </c>
      <c r="C73" s="12" t="inlineStr">
        <is>
          <t>Khác</t>
        </is>
      </c>
      <c r="D73" s="21" t="n">
        <v>5096</v>
      </c>
      <c r="E73" s="21" t="n">
        <v>1640</v>
      </c>
    </row>
    <row r="74">
      <c r="A74" s="12" t="inlineStr">
        <is>
          <t>/loa-thong-bao-chuyen-khoan</t>
        </is>
      </c>
      <c r="B74" s="12" t="inlineStr">
        <is>
          <t>Paid Search</t>
        </is>
      </c>
      <c r="C74" s="12" t="inlineStr">
        <is>
          <t>Khác</t>
        </is>
      </c>
      <c r="D74" s="21" t="n">
        <v>5029</v>
      </c>
      <c r="E74" s="21" t="n">
        <v>3710</v>
      </c>
    </row>
    <row r="75">
      <c r="A75" s="12" t="inlineStr">
        <is>
          <t>/cinema/trai-buon-nguoi-24991/tang-3000-ve</t>
        </is>
      </c>
      <c r="B75" s="12" t="inlineStr">
        <is>
          <t>Organic Search</t>
        </is>
      </c>
      <c r="C75" s="12" t="inlineStr">
        <is>
          <t>Cinema Hub</t>
        </is>
      </c>
      <c r="D75" s="21" t="n">
        <v>4997</v>
      </c>
      <c r="E75" s="21" t="n">
        <v>4165</v>
      </c>
    </row>
    <row r="76">
      <c r="A76" s="12" t="inlineStr">
        <is>
          <t>/cinema/rap/beta-cinemas/beta-tan-uyen-224</t>
        </is>
      </c>
      <c r="B76" s="12" t="inlineStr">
        <is>
          <t>Organic Search</t>
        </is>
      </c>
      <c r="C76" s="12" t="inlineStr">
        <is>
          <t>Cinema Hub</t>
        </is>
      </c>
      <c r="D76" s="21" t="n">
        <v>4992</v>
      </c>
      <c r="E76" s="21" t="n">
        <v>2780</v>
      </c>
    </row>
    <row r="77">
      <c r="A77" s="12" t="inlineStr">
        <is>
          <t>/cinema/rap/cgv/cgv-binh-duong-square-15</t>
        </is>
      </c>
      <c r="B77" s="12" t="inlineStr">
        <is>
          <t>Organic Search</t>
        </is>
      </c>
      <c r="C77" s="12" t="inlineStr">
        <is>
          <t>Cinema Hub</t>
        </is>
      </c>
      <c r="D77" s="21" t="n">
        <v>4953</v>
      </c>
      <c r="E77" s="21" t="n">
        <v>2593</v>
      </c>
    </row>
    <row r="78">
      <c r="A78" s="12" t="inlineStr">
        <is>
          <t>/cinema/rap/cgv/cgv-vincom-xuan-khanh-14</t>
        </is>
      </c>
      <c r="B78" s="12" t="inlineStr">
        <is>
          <t>Organic Search</t>
        </is>
      </c>
      <c r="C78" s="12" t="inlineStr">
        <is>
          <t>Cinema Hub</t>
        </is>
      </c>
      <c r="D78" s="21" t="n">
        <v>4947</v>
      </c>
      <c r="E78" s="21" t="n">
        <v>2578</v>
      </c>
    </row>
    <row r="79">
      <c r="A79" s="12" t="inlineStr">
        <is>
          <t>/cinema/rap/lotte-cinema/lotte-ninh-binh-162</t>
        </is>
      </c>
      <c r="B79" s="12" t="inlineStr">
        <is>
          <t>Organic Search</t>
        </is>
      </c>
      <c r="C79" s="12" t="inlineStr">
        <is>
          <t>Cinema Hub</t>
        </is>
      </c>
      <c r="D79" s="21" t="n">
        <v>4849</v>
      </c>
      <c r="E79" s="21" t="n">
        <v>2784</v>
      </c>
    </row>
    <row r="80">
      <c r="A80" s="12" t="inlineStr">
        <is>
          <t>/cinema/rap/beta-cinemas/beta-dan-phuong-206</t>
        </is>
      </c>
      <c r="B80" s="12" t="inlineStr">
        <is>
          <t>Organic Search</t>
        </is>
      </c>
      <c r="C80" s="12" t="inlineStr">
        <is>
          <t>Cinema Hub</t>
        </is>
      </c>
      <c r="D80" s="21" t="n">
        <v>4819</v>
      </c>
      <c r="E80" s="21" t="n">
        <v>2674</v>
      </c>
    </row>
    <row r="81">
      <c r="A81" s="12" t="inlineStr">
        <is>
          <t>/cinema/rap/cgv/cgv-vincom-thai-nguyen-122</t>
        </is>
      </c>
      <c r="B81" s="12" t="inlineStr">
        <is>
          <t>Organic Search</t>
        </is>
      </c>
      <c r="C81" s="12" t="inlineStr">
        <is>
          <t>Cinema Hub</t>
        </is>
      </c>
      <c r="D81" s="21" t="n">
        <v>4808</v>
      </c>
      <c r="E81" s="21" t="n">
        <v>2816</v>
      </c>
    </row>
    <row r="82">
      <c r="A82" s="12" t="inlineStr">
        <is>
          <t>/cinema/rap/galaxy-cinema/galaxy-hai-phong-198</t>
        </is>
      </c>
      <c r="B82" s="12" t="inlineStr">
        <is>
          <t>Organic Search</t>
        </is>
      </c>
      <c r="C82" s="12" t="inlineStr">
        <is>
          <t>Cinema Hub</t>
        </is>
      </c>
      <c r="D82" s="21" t="n">
        <v>4792</v>
      </c>
      <c r="E82" s="21" t="n">
        <v>2422</v>
      </c>
    </row>
    <row r="83">
      <c r="A83" s="12" t="inlineStr">
        <is>
          <t>/bao-hiem-y-te</t>
        </is>
      </c>
      <c r="B83" s="12" t="inlineStr">
        <is>
          <t>Organic Search</t>
        </is>
      </c>
      <c r="C83" s="12" t="inlineStr">
        <is>
          <t>Khác</t>
        </is>
      </c>
      <c r="D83" s="21" t="n">
        <v>4783</v>
      </c>
      <c r="E83" s="21" t="n">
        <v>3097</v>
      </c>
    </row>
    <row r="84">
      <c r="A84" s="12" t="inlineStr">
        <is>
          <t>/cinema/phim-chieu</t>
        </is>
      </c>
      <c r="B84" s="12" t="inlineStr">
        <is>
          <t>Organic Search</t>
        </is>
      </c>
      <c r="C84" s="12" t="inlineStr">
        <is>
          <t>Cinema Hub</t>
        </is>
      </c>
      <c r="D84" s="21" t="n">
        <v>4759</v>
      </c>
      <c r="E84" s="21" t="n">
        <v>2579</v>
      </c>
    </row>
    <row r="85">
      <c r="A85" s="12" t="inlineStr">
        <is>
          <t>/cinema/rap/cgv/cgv-satra-cu-chi-25</t>
        </is>
      </c>
      <c r="B85" s="12" t="inlineStr">
        <is>
          <t>Organic Search</t>
        </is>
      </c>
      <c r="C85" s="12" t="inlineStr">
        <is>
          <t>Cinema Hub</t>
        </is>
      </c>
      <c r="D85" s="21" t="n">
        <v>4729</v>
      </c>
      <c r="E85" s="21" t="n">
        <v>2668</v>
      </c>
    </row>
    <row r="86">
      <c r="A86" s="12" t="inlineStr">
        <is>
          <t>/cinema/rap/cgv/cgv-vincom-quang-ngai-37</t>
        </is>
      </c>
      <c r="B86" s="12" t="inlineStr">
        <is>
          <t>Organic Search</t>
        </is>
      </c>
      <c r="C86" s="12" t="inlineStr">
        <is>
          <t>Cinema Hub</t>
        </is>
      </c>
      <c r="D86" s="21" t="n">
        <v>4671</v>
      </c>
      <c r="E86" s="21" t="n">
        <v>2847</v>
      </c>
    </row>
    <row r="87">
      <c r="A87" s="12" t="inlineStr">
        <is>
          <t>/huong-dan/huong-dan-mua-vietlott-sms-tren-momo</t>
        </is>
      </c>
      <c r="B87" s="12" t="inlineStr">
        <is>
          <t>Paid Search</t>
        </is>
      </c>
      <c r="C87" s="12" t="inlineStr">
        <is>
          <t>Khác</t>
        </is>
      </c>
      <c r="D87" s="21" t="n">
        <v>4669</v>
      </c>
      <c r="E87" s="21" t="n">
        <v>3772</v>
      </c>
    </row>
    <row r="88">
      <c r="A88" s="12" t="inlineStr">
        <is>
          <t>/blog/cac-goi-tai-khoan-netflix-c115dt1097</t>
        </is>
      </c>
      <c r="B88" s="12" t="inlineStr">
        <is>
          <t>Organic Search</t>
        </is>
      </c>
      <c r="C88" s="12" t="inlineStr">
        <is>
          <t>Khác</t>
        </is>
      </c>
      <c r="D88" s="21" t="n">
        <v>4592</v>
      </c>
      <c r="E88" s="21" t="n">
        <v>4258</v>
      </c>
    </row>
    <row r="89">
      <c r="A89" s="12" t="inlineStr">
        <is>
          <t>/blog/rut-tien-tu-vi-tra-sau-momo-co-duoc-khong-c116dt1843</t>
        </is>
      </c>
      <c r="B89" s="12" t="inlineStr">
        <is>
          <t>Organic Search</t>
        </is>
      </c>
      <c r="C89" s="12" t="inlineStr">
        <is>
          <t>Khác</t>
        </is>
      </c>
      <c r="D89" s="21" t="n">
        <v>4524</v>
      </c>
      <c r="E89" s="21" t="n">
        <v>3578</v>
      </c>
    </row>
    <row r="90">
      <c r="A90" s="12" t="inlineStr">
        <is>
          <t>/cinema/rap/lotte-cinema/lotte-thai-binh-164</t>
        </is>
      </c>
      <c r="B90" s="12" t="inlineStr">
        <is>
          <t>Organic Search</t>
        </is>
      </c>
      <c r="C90" s="12" t="inlineStr">
        <is>
          <t>Cinema Hub</t>
        </is>
      </c>
      <c r="D90" s="21" t="n">
        <v>4502</v>
      </c>
      <c r="E90" s="21" t="n">
        <v>2550</v>
      </c>
    </row>
    <row r="91">
      <c r="A91" s="12" t="inlineStr">
        <is>
          <t>/cinema/rap/lotte-cinema/lotte-nam-dinh-161</t>
        </is>
      </c>
      <c r="B91" s="12" t="inlineStr">
        <is>
          <t>Organic Search</t>
        </is>
      </c>
      <c r="C91" s="12" t="inlineStr">
        <is>
          <t>Cinema Hub</t>
        </is>
      </c>
      <c r="D91" s="21" t="n">
        <v>4495</v>
      </c>
      <c r="E91" s="21" t="n">
        <v>2698</v>
      </c>
    </row>
    <row r="92">
      <c r="A92" s="12" t="inlineStr">
        <is>
          <t>/cinema/rap/cgv/cgv-vincom-phu-yen-31</t>
        </is>
      </c>
      <c r="B92" s="12" t="inlineStr">
        <is>
          <t>Organic Search</t>
        </is>
      </c>
      <c r="C92" s="12" t="inlineStr">
        <is>
          <t>Cinema Hub</t>
        </is>
      </c>
      <c r="D92" s="21" t="n">
        <v>4489</v>
      </c>
      <c r="E92" s="21" t="n">
        <v>2785</v>
      </c>
    </row>
    <row r="93">
      <c r="A93" s="12" t="inlineStr">
        <is>
          <t>/cinema/rap/cgv/cgv-vincom-hai-phong-7</t>
        </is>
      </c>
      <c r="B93" s="12" t="inlineStr">
        <is>
          <t>Organic Search</t>
        </is>
      </c>
      <c r="C93" s="12" t="inlineStr">
        <is>
          <t>Cinema Hub</t>
        </is>
      </c>
      <c r="D93" s="21" t="n">
        <v>4453</v>
      </c>
      <c r="E93" s="21" t="n">
        <v>2478</v>
      </c>
    </row>
    <row r="94">
      <c r="A94" s="12" t="inlineStr">
        <is>
          <t>/blog/huong-dan-kiem-tra-diem-tin-dung-ca-nhan-c116dt1413</t>
        </is>
      </c>
      <c r="B94" s="12" t="inlineStr">
        <is>
          <t>Paid Search</t>
        </is>
      </c>
      <c r="C94" s="12" t="inlineStr">
        <is>
          <t>Khác</t>
        </is>
      </c>
      <c r="D94" s="21" t="n">
        <v>4446</v>
      </c>
      <c r="E94" s="21" t="n">
        <v>3196</v>
      </c>
    </row>
    <row r="95">
      <c r="A95" s="12" t="inlineStr">
        <is>
          <t>/cinema/rap/lotte-cinema/lotte-viet-tri-167</t>
        </is>
      </c>
      <c r="B95" s="12" t="inlineStr">
        <is>
          <t>Organic Search</t>
        </is>
      </c>
      <c r="C95" s="12" t="inlineStr">
        <is>
          <t>Cinema Hub</t>
        </is>
      </c>
      <c r="D95" s="21" t="n">
        <v>4442</v>
      </c>
      <c r="E95" s="21" t="n">
        <v>2604</v>
      </c>
    </row>
    <row r="96">
      <c r="A96" s="12" t="inlineStr">
        <is>
          <t>/cinema/rap/bhd-star/bhd-star-le-van-viet-133</t>
        </is>
      </c>
      <c r="B96" s="12" t="inlineStr">
        <is>
          <t>Organic Search</t>
        </is>
      </c>
      <c r="C96" s="12" t="inlineStr">
        <is>
          <t>Cinema Hub</t>
        </is>
      </c>
      <c r="D96" s="21" t="n">
        <v>4379</v>
      </c>
      <c r="E96" s="21" t="n">
        <v>2422</v>
      </c>
    </row>
    <row r="97">
      <c r="A97" s="12" t="inlineStr">
        <is>
          <t>/cinema/rap/beta-cinemas/beta-xuan-thuy-374</t>
        </is>
      </c>
      <c r="B97" s="12" t="inlineStr">
        <is>
          <t>Organic Search</t>
        </is>
      </c>
      <c r="C97" s="12" t="inlineStr">
        <is>
          <t>Cinema Hub</t>
        </is>
      </c>
      <c r="D97" s="21" t="n">
        <v>4326</v>
      </c>
      <c r="E97" s="21" t="n">
        <v>2209</v>
      </c>
    </row>
    <row r="98">
      <c r="A98" s="12" t="inlineStr">
        <is>
          <t>/tin-tuc/tin-tuc-su-kien/nap-game-sieu-hoi-thang-nay-giam-den-10000d-khi-8081</t>
        </is>
      </c>
      <c r="B98" s="12" t="inlineStr">
        <is>
          <t>Referral</t>
        </is>
      </c>
      <c r="C98" s="12" t="inlineStr">
        <is>
          <t>Khác</t>
        </is>
      </c>
      <c r="D98" s="21" t="n">
        <v>4324</v>
      </c>
      <c r="E98" s="21" t="n">
        <v>2358</v>
      </c>
    </row>
    <row r="99">
      <c r="A99" s="12" t="inlineStr">
        <is>
          <t>/cinema/trai-buon-nguoi-24991/tang-3000-ve</t>
        </is>
      </c>
      <c r="B99" s="12" t="inlineStr">
        <is>
          <t>Direct</t>
        </is>
      </c>
      <c r="C99" s="12" t="inlineStr">
        <is>
          <t>Cinema Hub</t>
        </is>
      </c>
      <c r="D99" s="21" t="n">
        <v>4320</v>
      </c>
      <c r="E99" s="21" t="n">
        <v>3891</v>
      </c>
    </row>
    <row r="100">
      <c r="A100" s="12" t="inlineStr">
        <is>
          <t>/cinema/lich-chieu</t>
        </is>
      </c>
      <c r="B100" s="12" t="inlineStr">
        <is>
          <t>Direct</t>
        </is>
      </c>
      <c r="C100" s="12" t="inlineStr">
        <is>
          <t>Cinema Hub</t>
        </is>
      </c>
      <c r="D100" s="21" t="n">
        <v>4275</v>
      </c>
      <c r="E100" s="21" t="n">
        <v>2428</v>
      </c>
    </row>
    <row r="101">
      <c r="A101" s="12" t="inlineStr">
        <is>
          <t>/cinema/rap/lotte-cinema/lotte-ninh-kieu-180</t>
        </is>
      </c>
      <c r="B101" s="12" t="inlineStr">
        <is>
          <t>Organic Search</t>
        </is>
      </c>
      <c r="C101" s="12" t="inlineStr">
        <is>
          <t>Cinema Hub</t>
        </is>
      </c>
      <c r="D101" s="21" t="n">
        <v>4237</v>
      </c>
      <c r="E101" s="21" t="n">
        <v>2346</v>
      </c>
    </row>
    <row r="102">
      <c r="A102" s="12" t="inlineStr">
        <is>
          <t>/cinema/rap/lotte-cinema/lotte-dong-nai-175</t>
        </is>
      </c>
      <c r="B102" s="12" t="inlineStr">
        <is>
          <t>Organic Search</t>
        </is>
      </c>
      <c r="C102" s="12" t="inlineStr">
        <is>
          <t>Cinema Hub</t>
        </is>
      </c>
      <c r="D102" s="21" t="n">
        <v>4225</v>
      </c>
      <c r="E102" s="21" t="n">
        <v>2342</v>
      </c>
    </row>
    <row r="103">
      <c r="A103" s="12" t="inlineStr">
        <is>
          <t>/cinema/rap/cgv/cgv-vincom-bac-lieu-369</t>
        </is>
      </c>
      <c r="B103" s="12" t="inlineStr">
        <is>
          <t>Organic Search</t>
        </is>
      </c>
      <c r="C103" s="12" t="inlineStr">
        <is>
          <t>Cinema Hub</t>
        </is>
      </c>
      <c r="D103" s="21" t="n">
        <v>4190</v>
      </c>
      <c r="E103" s="21" t="n">
        <v>2454</v>
      </c>
    </row>
    <row r="104">
      <c r="A104" s="12" t="inlineStr">
        <is>
          <t>/nap-xu-tiktok</t>
        </is>
      </c>
      <c r="B104" s="12" t="inlineStr">
        <is>
          <t>Direct</t>
        </is>
      </c>
      <c r="C104" s="12" t="inlineStr">
        <is>
          <t>Khác</t>
        </is>
      </c>
      <c r="D104" s="21" t="n">
        <v>4167</v>
      </c>
      <c r="E104" s="21" t="n">
        <v>3269</v>
      </c>
    </row>
    <row r="105">
      <c r="A105" s="12" t="inlineStr">
        <is>
          <t>/cinema/rap/cgv/cgv-go-my-tho-35</t>
        </is>
      </c>
      <c r="B105" s="12" t="inlineStr">
        <is>
          <t>Organic Search</t>
        </is>
      </c>
      <c r="C105" s="12" t="inlineStr">
        <is>
          <t>Cinema Hub</t>
        </is>
      </c>
      <c r="D105" s="21" t="n">
        <v>4154</v>
      </c>
      <c r="E105" s="21" t="n">
        <v>2357</v>
      </c>
    </row>
    <row r="106">
      <c r="A106" s="12" t="inlineStr">
        <is>
          <t>/phat-nguoi</t>
        </is>
      </c>
      <c r="B106" s="12" t="inlineStr">
        <is>
          <t>Organic Search</t>
        </is>
      </c>
      <c r="C106" s="12" t="inlineStr">
        <is>
          <t>Vehicle Hub</t>
        </is>
      </c>
      <c r="D106" s="21" t="n">
        <v>4139</v>
      </c>
      <c r="E106" s="21" t="n">
        <v>3375</v>
      </c>
    </row>
    <row r="107">
      <c r="A107" s="12" t="inlineStr">
        <is>
          <t>/blog/game</t>
        </is>
      </c>
      <c r="B107" s="12" t="inlineStr">
        <is>
          <t>Organic Search</t>
        </is>
      </c>
      <c r="C107" s="12" t="inlineStr">
        <is>
          <t>Khác</t>
        </is>
      </c>
      <c r="D107" s="21" t="n">
        <v>4113</v>
      </c>
      <c r="E107" s="21" t="n">
        <v>1853</v>
      </c>
    </row>
    <row r="108">
      <c r="A108" s="12" t="inlineStr">
        <is>
          <t>/cinema/rap/cgv/cgv-vincom-vi-thanh-74</t>
        </is>
      </c>
      <c r="B108" s="12" t="inlineStr">
        <is>
          <t>Organic Search</t>
        </is>
      </c>
      <c r="C108" s="12" t="inlineStr">
        <is>
          <t>Cinema Hub</t>
        </is>
      </c>
      <c r="D108" s="21" t="n">
        <v>4081</v>
      </c>
      <c r="E108" s="21" t="n">
        <v>2415</v>
      </c>
    </row>
    <row r="109">
      <c r="A109" s="12" t="inlineStr">
        <is>
          <t>/cinema/rap/cgv/cgv-rice-city-72</t>
        </is>
      </c>
      <c r="B109" s="12" t="inlineStr">
        <is>
          <t>Organic Search</t>
        </is>
      </c>
      <c r="C109" s="12" t="inlineStr">
        <is>
          <t>Cinema Hub</t>
        </is>
      </c>
      <c r="D109" s="21" t="n">
        <v>3984</v>
      </c>
      <c r="E109" s="21" t="n">
        <v>2358</v>
      </c>
    </row>
    <row r="110">
      <c r="A110" s="12" t="inlineStr">
        <is>
          <t>/cinema/rap/cgv/cgv-vincom-tay-ninh-76</t>
        </is>
      </c>
      <c r="B110" s="12" t="inlineStr">
        <is>
          <t>Organic Search</t>
        </is>
      </c>
      <c r="C110" s="12" t="inlineStr">
        <is>
          <t>Cinema Hub</t>
        </is>
      </c>
      <c r="D110" s="21" t="n">
        <v>3956</v>
      </c>
      <c r="E110" s="21" t="n">
        <v>2155</v>
      </c>
    </row>
    <row r="111">
      <c r="A111" s="12" t="inlineStr">
        <is>
          <t>/cinema/rap/lotte-cinema/lotte-bac-giang-157</t>
        </is>
      </c>
      <c r="B111" s="12" t="inlineStr">
        <is>
          <t>Organic Search</t>
        </is>
      </c>
      <c r="C111" s="12" t="inlineStr">
        <is>
          <t>Cinema Hub</t>
        </is>
      </c>
      <c r="D111" s="21" t="n">
        <v>3888</v>
      </c>
      <c r="E111" s="21" t="n">
        <v>2236</v>
      </c>
    </row>
    <row r="112">
      <c r="A112" s="12" t="inlineStr">
        <is>
          <t>/tien-ich-giao-thong/gia-xang</t>
        </is>
      </c>
      <c r="B112" s="12" t="inlineStr">
        <is>
          <t>Organic Search</t>
        </is>
      </c>
      <c r="C112" s="12" t="inlineStr">
        <is>
          <t>Khác</t>
        </is>
      </c>
      <c r="D112" s="21" t="n">
        <v>3888</v>
      </c>
      <c r="E112" s="21" t="n">
        <v>3610</v>
      </c>
    </row>
    <row r="113">
      <c r="A113" s="12" t="inlineStr">
        <is>
          <t>/cinema/rap/cgv/cgv-su-van-hanh-73</t>
        </is>
      </c>
      <c r="B113" s="12" t="inlineStr">
        <is>
          <t>Organic Search</t>
        </is>
      </c>
      <c r="C113" s="12" t="inlineStr">
        <is>
          <t>Cinema Hub</t>
        </is>
      </c>
      <c r="D113" s="21" t="n">
        <v>3885</v>
      </c>
      <c r="E113" s="21" t="n">
        <v>2143</v>
      </c>
    </row>
    <row r="114">
      <c r="A114" s="12" t="inlineStr">
        <is>
          <t>/cinema/rap/galaxy-cinema/galaxy-ben-tre-185</t>
        </is>
      </c>
      <c r="B114" s="12" t="inlineStr">
        <is>
          <t>Organic Search</t>
        </is>
      </c>
      <c r="C114" s="12" t="inlineStr">
        <is>
          <t>Cinema Hub</t>
        </is>
      </c>
      <c r="D114" s="21" t="n">
        <v>3855</v>
      </c>
      <c r="E114" s="21" t="n">
        <v>2283</v>
      </c>
    </row>
    <row r="115">
      <c r="A115" s="12" t="inlineStr">
        <is>
          <t>/cinema/rap/bhd-star/bhd-star-pham-ngoc-thach-55</t>
        </is>
      </c>
      <c r="B115" s="12" t="inlineStr">
        <is>
          <t>Organic Search</t>
        </is>
      </c>
      <c r="C115" s="12" t="inlineStr">
        <is>
          <t>Cinema Hub</t>
        </is>
      </c>
      <c r="D115" s="21" t="n">
        <v>3839</v>
      </c>
      <c r="E115" s="21" t="n">
        <v>2174</v>
      </c>
    </row>
    <row r="116">
      <c r="A116" s="12" t="inlineStr">
        <is>
          <t>/cinema/rap/beta-cinemas/beta-thai-nguyen-214</t>
        </is>
      </c>
      <c r="B116" s="12" t="inlineStr">
        <is>
          <t>Organic Search</t>
        </is>
      </c>
      <c r="C116" s="12" t="inlineStr">
        <is>
          <t>Cinema Hub</t>
        </is>
      </c>
      <c r="D116" s="21" t="n">
        <v>3823</v>
      </c>
      <c r="E116" s="21" t="n">
        <v>2083</v>
      </c>
    </row>
    <row r="117">
      <c r="A117" s="12" t="inlineStr">
        <is>
          <t>/tin-tuc/thong-bao/momo-nang-cap-bao-mat-theo-thong-tu-77-2025-tt-8510</t>
        </is>
      </c>
      <c r="B117" s="12" t="inlineStr">
        <is>
          <t>Direct</t>
        </is>
      </c>
      <c r="C117" s="12" t="inlineStr">
        <is>
          <t>Khác</t>
        </is>
      </c>
      <c r="D117" s="21" t="n">
        <v>3815</v>
      </c>
      <c r="E117" s="21" t="n">
        <v>2364</v>
      </c>
    </row>
    <row r="118">
      <c r="A118" s="12" t="inlineStr">
        <is>
          <t>/cinema/rap/lotte-cinema/lotte-hoi-an-150</t>
        </is>
      </c>
      <c r="B118" s="12" t="inlineStr">
        <is>
          <t>Organic Search</t>
        </is>
      </c>
      <c r="C118" s="12" t="inlineStr">
        <is>
          <t>Cinema Hub</t>
        </is>
      </c>
      <c r="D118" s="21" t="n">
        <v>3768</v>
      </c>
      <c r="E118" s="21" t="n">
        <v>2389</v>
      </c>
    </row>
    <row r="119">
      <c r="A119" s="12" t="inlineStr">
        <is>
          <t>/cinema/rap/beta-cinemas/beta-empire-binh-duong-223</t>
        </is>
      </c>
      <c r="B119" s="12" t="inlineStr">
        <is>
          <t>Organic Search</t>
        </is>
      </c>
      <c r="C119" s="12" t="inlineStr">
        <is>
          <t>Cinema Hub</t>
        </is>
      </c>
      <c r="D119" s="21" t="n">
        <v>3675</v>
      </c>
      <c r="E119" s="21" t="n">
        <v>1955</v>
      </c>
    </row>
    <row r="120">
      <c r="A120" s="12" t="inlineStr">
        <is>
          <t>/vay-nhanh/5-trieu</t>
        </is>
      </c>
      <c r="B120" s="12" t="inlineStr">
        <is>
          <t>Organic Search</t>
        </is>
      </c>
      <c r="C120" s="12" t="inlineStr">
        <is>
          <t>Financial Hub</t>
        </is>
      </c>
      <c r="D120" s="21" t="n">
        <v>3671</v>
      </c>
      <c r="E120" s="21" t="n">
        <v>2942</v>
      </c>
    </row>
    <row r="121">
      <c r="A121" s="12" t="inlineStr">
        <is>
          <t>/cinema/rap/cgv/cgv-vincom-royal-city-124</t>
        </is>
      </c>
      <c r="B121" s="12" t="inlineStr">
        <is>
          <t>Organic Search</t>
        </is>
      </c>
      <c r="C121" s="12" t="inlineStr">
        <is>
          <t>Cinema Hub</t>
        </is>
      </c>
      <c r="D121" s="21" t="n">
        <v>3653</v>
      </c>
      <c r="E121" s="21" t="n">
        <v>1973</v>
      </c>
    </row>
    <row r="122">
      <c r="A122" s="12" t="inlineStr">
        <is>
          <t>/cinema/rap/cgv/cgv-vincom-times-city-118</t>
        </is>
      </c>
      <c r="B122" s="12" t="inlineStr">
        <is>
          <t>Organic Search</t>
        </is>
      </c>
      <c r="C122" s="12" t="inlineStr">
        <is>
          <t>Cinema Hub</t>
        </is>
      </c>
      <c r="D122" s="21" t="n">
        <v>3627</v>
      </c>
      <c r="E122" s="21" t="n">
        <v>2026</v>
      </c>
    </row>
    <row r="123">
      <c r="A123" s="12" t="inlineStr">
        <is>
          <t>/cinema/rap/cinestar/cinestar-my-tho-41</t>
        </is>
      </c>
      <c r="B123" s="12" t="inlineStr">
        <is>
          <t>Organic Search</t>
        </is>
      </c>
      <c r="C123" s="12" t="inlineStr">
        <is>
          <t>Cinema Hub</t>
        </is>
      </c>
      <c r="D123" s="21" t="n">
        <v>3606</v>
      </c>
      <c r="E123" s="21" t="n">
        <v>1932</v>
      </c>
    </row>
    <row r="124">
      <c r="A124" s="12" t="inlineStr">
        <is>
          <t>/cinema/rap/galaxy-cinema/galaxy-kinh-duong-vuong-144</t>
        </is>
      </c>
      <c r="B124" s="12" t="inlineStr">
        <is>
          <t>Organic Search</t>
        </is>
      </c>
      <c r="C124" s="12" t="inlineStr">
        <is>
          <t>Cinema Hub</t>
        </is>
      </c>
      <c r="D124" s="21" t="n">
        <v>3603</v>
      </c>
      <c r="E124" s="21" t="n">
        <v>1787</v>
      </c>
    </row>
    <row r="125">
      <c r="A125" s="12" t="inlineStr">
        <is>
          <t>/cinema/rap/beta-cinemas/beta-thanh-xuan-203</t>
        </is>
      </c>
      <c r="B125" s="12" t="inlineStr">
        <is>
          <t>Organic Search</t>
        </is>
      </c>
      <c r="C125" s="12" t="inlineStr">
        <is>
          <t>Cinema Hub</t>
        </is>
      </c>
      <c r="D125" s="21" t="n">
        <v>3497</v>
      </c>
      <c r="E125" s="21" t="n">
        <v>1773</v>
      </c>
    </row>
    <row r="126">
      <c r="A126" s="12" t="inlineStr">
        <is>
          <t>/tin-tuc/thong-bao/co-hoi-trung-xe-may-vinfast-khi-nhan-tien-9079</t>
        </is>
      </c>
      <c r="B126" s="12" t="inlineStr">
        <is>
          <t>Direct</t>
        </is>
      </c>
      <c r="C126" s="12" t="inlineStr">
        <is>
          <t>Khác</t>
        </is>
      </c>
      <c r="D126" s="21" t="n">
        <v>3490</v>
      </c>
      <c r="E126" s="21" t="n">
        <v>1999</v>
      </c>
    </row>
    <row r="127">
      <c r="A127" s="12" t="inlineStr">
        <is>
          <t>/merchant</t>
        </is>
      </c>
      <c r="B127" s="12" t="inlineStr">
        <is>
          <t>Organic Search</t>
        </is>
      </c>
      <c r="C127" s="12" t="inlineStr">
        <is>
          <t>Khác</t>
        </is>
      </c>
      <c r="D127" s="21" t="n">
        <v>3452</v>
      </c>
      <c r="E127" s="21" t="n">
        <v>1935</v>
      </c>
    </row>
    <row r="128">
      <c r="A128" s="12" t="inlineStr">
        <is>
          <t>/cinema/rap/lotte-cinema/lotte-bien-hoa-139</t>
        </is>
      </c>
      <c r="B128" s="12" t="inlineStr">
        <is>
          <t>Organic Search</t>
        </is>
      </c>
      <c r="C128" s="12" t="inlineStr">
        <is>
          <t>Cinema Hub</t>
        </is>
      </c>
      <c r="D128" s="21" t="n">
        <v>3428</v>
      </c>
      <c r="E128" s="21" t="n">
        <v>1948</v>
      </c>
    </row>
    <row r="129">
      <c r="A129" s="12" t="inlineStr">
        <is>
          <t>/cinema/rap/cgv/cgv-vincom-ha-long-9</t>
        </is>
      </c>
      <c r="B129" s="12" t="inlineStr">
        <is>
          <t>Organic Search</t>
        </is>
      </c>
      <c r="C129" s="12" t="inlineStr">
        <is>
          <t>Cinema Hub</t>
        </is>
      </c>
      <c r="D129" s="21" t="n">
        <v>3382</v>
      </c>
      <c r="E129" s="21" t="n">
        <v>2002</v>
      </c>
    </row>
    <row r="130">
      <c r="A130" s="12" t="inlineStr">
        <is>
          <t>/cinema/rap/lotte-cinema/lotte-binh-duong-140</t>
        </is>
      </c>
      <c r="B130" s="12" t="inlineStr">
        <is>
          <t>Organic Search</t>
        </is>
      </c>
      <c r="C130" s="12" t="inlineStr">
        <is>
          <t>Cinema Hub</t>
        </is>
      </c>
      <c r="D130" s="21" t="n">
        <v>3298</v>
      </c>
      <c r="E130" s="21" t="n">
        <v>1874</v>
      </c>
    </row>
    <row r="131">
      <c r="A131" s="12" t="inlineStr">
        <is>
          <t>/cinema/rap/cgv/cgv-giga-mall-thu-duc-50</t>
        </is>
      </c>
      <c r="B131" s="12" t="inlineStr">
        <is>
          <t>Organic Search</t>
        </is>
      </c>
      <c r="C131" s="12" t="inlineStr">
        <is>
          <t>Cinema Hub</t>
        </is>
      </c>
      <c r="D131" s="21" t="n">
        <v>3285</v>
      </c>
      <c r="E131" s="21" t="n">
        <v>1720</v>
      </c>
    </row>
    <row r="132">
      <c r="A132" s="12" t="inlineStr">
        <is>
          <t>/cinema/rap/lotte-cinema/lotte-nam-sai-gon-95</t>
        </is>
      </c>
      <c r="B132" s="12" t="inlineStr">
        <is>
          <t>Organic Search</t>
        </is>
      </c>
      <c r="C132" s="12" t="inlineStr">
        <is>
          <t>Cinema Hub</t>
        </is>
      </c>
      <c r="D132" s="21" t="n">
        <v>3245</v>
      </c>
      <c r="E132" s="21" t="n">
        <v>1860</v>
      </c>
    </row>
    <row r="133">
      <c r="A133" s="12" t="inlineStr">
        <is>
          <t>/</t>
        </is>
      </c>
      <c r="B133" s="12" t="inlineStr">
        <is>
          <t>Unassigned</t>
        </is>
      </c>
      <c r="C133" s="12" t="inlineStr">
        <is>
          <t>Khác</t>
        </is>
      </c>
      <c r="D133" s="21" t="n">
        <v>3233</v>
      </c>
      <c r="E133" s="21" t="n">
        <v>1333</v>
      </c>
    </row>
    <row r="134">
      <c r="A134" s="12" t="inlineStr">
        <is>
          <t>/cinema/rap/cgv/cgv-vincom-ocean-park-184</t>
        </is>
      </c>
      <c r="B134" s="12" t="inlineStr">
        <is>
          <t>Organic Search</t>
        </is>
      </c>
      <c r="C134" s="12" t="inlineStr">
        <is>
          <t>Cinema Hub</t>
        </is>
      </c>
      <c r="D134" s="21" t="n">
        <v>3203</v>
      </c>
      <c r="E134" s="21" t="n">
        <v>1878</v>
      </c>
    </row>
    <row r="135">
      <c r="A135" s="12" t="inlineStr">
        <is>
          <t>/cinema/rap/galaxy-cinema/galaxy-ca-mau-146</t>
        </is>
      </c>
      <c r="B135" s="12" t="inlineStr">
        <is>
          <t>Organic Search</t>
        </is>
      </c>
      <c r="C135" s="12" t="inlineStr">
        <is>
          <t>Cinema Hub</t>
        </is>
      </c>
      <c r="D135" s="21" t="n">
        <v>3177</v>
      </c>
      <c r="E135" s="21" t="n">
        <v>1810</v>
      </c>
    </row>
    <row r="136">
      <c r="A136" s="12" t="inlineStr">
        <is>
          <t>/tin-tuc/khuyen-mai</t>
        </is>
      </c>
      <c r="B136" s="12" t="inlineStr">
        <is>
          <t>Organic Search</t>
        </is>
      </c>
      <c r="C136" s="12" t="inlineStr">
        <is>
          <t>Khác</t>
        </is>
      </c>
      <c r="D136" s="21" t="n">
        <v>3170</v>
      </c>
      <c r="E136" s="21" t="n">
        <v>1435</v>
      </c>
    </row>
    <row r="137">
      <c r="A137" s="12" t="inlineStr">
        <is>
          <t>/cinema/avengers-endgame-encore-25134</t>
        </is>
      </c>
      <c r="B137" s="12" t="inlineStr">
        <is>
          <t>Organic Search</t>
        </is>
      </c>
      <c r="C137" s="12" t="inlineStr">
        <is>
          <t>Cinema Hub</t>
        </is>
      </c>
      <c r="D137" s="21" t="n">
        <v>3154</v>
      </c>
      <c r="E137" s="21" t="n">
        <v>2282</v>
      </c>
    </row>
    <row r="138">
      <c r="A138" s="12" t="inlineStr">
        <is>
          <t>/phat-nguoi</t>
        </is>
      </c>
      <c r="B138" s="12" t="inlineStr">
        <is>
          <t>Direct</t>
        </is>
      </c>
      <c r="C138" s="12" t="inlineStr">
        <is>
          <t>Vehicle Hub</t>
        </is>
      </c>
      <c r="D138" s="21" t="n">
        <v>3133</v>
      </c>
      <c r="E138" s="21" t="n">
        <v>1661</v>
      </c>
    </row>
    <row r="139">
      <c r="A139" s="12" t="inlineStr">
        <is>
          <t>/tin-tuc/thong-bao/huong-dan-thanh-toan-xe-buyt-ha-noi-bang-momo-8985</t>
        </is>
      </c>
      <c r="B139" s="12" t="inlineStr">
        <is>
          <t>Organic Search</t>
        </is>
      </c>
      <c r="C139" s="12" t="inlineStr">
        <is>
          <t>Khác</t>
        </is>
      </c>
      <c r="D139" s="21" t="n">
        <v>3127</v>
      </c>
      <c r="E139" s="21" t="n">
        <v>2690</v>
      </c>
    </row>
    <row r="140">
      <c r="A140" s="12" t="inlineStr">
        <is>
          <t>/tin-tuc/khuyen-mai/uu-dai-he-giam-20k-cho-ban-nap-game-sieu-hoi-8927</t>
        </is>
      </c>
      <c r="B140" s="12" t="inlineStr">
        <is>
          <t>Paid Search</t>
        </is>
      </c>
      <c r="C140" s="12" t="inlineStr">
        <is>
          <t>Khác</t>
        </is>
      </c>
      <c r="D140" s="21" t="n">
        <v>3101</v>
      </c>
      <c r="E140" s="21" t="n">
        <v>2379</v>
      </c>
    </row>
    <row r="141">
      <c r="A141" s="12" t="inlineStr">
        <is>
          <t>/cinema/rap/beta-cinemas/beta-modena-vinh-yen-384</t>
        </is>
      </c>
      <c r="B141" s="12" t="inlineStr">
        <is>
          <t>Organic Search</t>
        </is>
      </c>
      <c r="C141" s="12" t="inlineStr">
        <is>
          <t>Cinema Hub</t>
        </is>
      </c>
      <c r="D141" s="21" t="n">
        <v>3083</v>
      </c>
      <c r="E141" s="21" t="n">
        <v>1729</v>
      </c>
    </row>
    <row r="142">
      <c r="A142" s="12" t="inlineStr">
        <is>
          <t>/cinema/rap/cgv/cgv-vincom-mega-mall-grand-park-371</t>
        </is>
      </c>
      <c r="B142" s="12" t="inlineStr">
        <is>
          <t>Organic Search</t>
        </is>
      </c>
      <c r="C142" s="12" t="inlineStr">
        <is>
          <t>Cinema Hub</t>
        </is>
      </c>
      <c r="D142" s="21" t="n">
        <v>3018</v>
      </c>
      <c r="E142" s="21" t="n">
        <v>1742</v>
      </c>
    </row>
    <row r="143">
      <c r="A143" s="12" t="inlineStr">
        <is>
          <t>/cinema/rap/cgv/cgv-vincom-tran-duy-hung-4</t>
        </is>
      </c>
      <c r="B143" s="12" t="inlineStr">
        <is>
          <t>Organic Search</t>
        </is>
      </c>
      <c r="C143" s="12" t="inlineStr">
        <is>
          <t>Cinema Hub</t>
        </is>
      </c>
      <c r="D143" s="21" t="n">
        <v>3009</v>
      </c>
      <c r="E143" s="21" t="n">
        <v>1719</v>
      </c>
    </row>
    <row r="144">
      <c r="A144" s="12" t="inlineStr">
        <is>
          <t>/cinema/rap/lotte-cinema/lotte-go-vap-187</t>
        </is>
      </c>
      <c r="B144" s="12" t="inlineStr">
        <is>
          <t>Organic Search</t>
        </is>
      </c>
      <c r="C144" s="12" t="inlineStr">
        <is>
          <t>Cinema Hub</t>
        </is>
      </c>
      <c r="D144" s="21" t="n">
        <v>2998</v>
      </c>
      <c r="E144" s="21" t="n">
        <v>1616</v>
      </c>
    </row>
    <row r="145">
      <c r="A145" s="12" t="inlineStr">
        <is>
          <t>/vi-tra-sau</t>
        </is>
      </c>
      <c r="B145" s="12" t="inlineStr">
        <is>
          <t>Organic Search</t>
        </is>
      </c>
      <c r="C145" s="12" t="inlineStr">
        <is>
          <t>Financial Hub</t>
        </is>
      </c>
      <c r="D145" s="21" t="n">
        <v>2990</v>
      </c>
      <c r="E145" s="21" t="n">
        <v>1871</v>
      </c>
    </row>
    <row r="146">
      <c r="A146" s="12" t="inlineStr">
        <is>
          <t>/blog/huong-dan-cach-choi-vietlott-6-45-don-gian-de-hieu-c115dt1865</t>
        </is>
      </c>
      <c r="B146" s="12" t="inlineStr">
        <is>
          <t>Paid Search</t>
        </is>
      </c>
      <c r="C146" s="12" t="inlineStr">
        <is>
          <t>Khác</t>
        </is>
      </c>
      <c r="D146" s="21" t="n">
        <v>2968</v>
      </c>
      <c r="E146" s="21" t="n">
        <v>2465</v>
      </c>
    </row>
    <row r="147">
      <c r="A147" s="12" t="inlineStr">
        <is>
          <t>/cinema/rap/lotte-cinema/lotte-di-an-141</t>
        </is>
      </c>
      <c r="B147" s="12" t="inlineStr">
        <is>
          <t>Organic Search</t>
        </is>
      </c>
      <c r="C147" s="12" t="inlineStr">
        <is>
          <t>Cinema Hub</t>
        </is>
      </c>
      <c r="D147" s="21" t="n">
        <v>2942</v>
      </c>
      <c r="E147" s="21" t="n">
        <v>1692</v>
      </c>
    </row>
    <row r="148">
      <c r="A148" s="12" t="inlineStr">
        <is>
          <t>/cinema/rap/cgv/cgv-vincom-center-ba-trieu-32</t>
        </is>
      </c>
      <c r="B148" s="12" t="inlineStr">
        <is>
          <t>Organic Search</t>
        </is>
      </c>
      <c r="C148" s="12" t="inlineStr">
        <is>
          <t>Cinema Hub</t>
        </is>
      </c>
      <c r="D148" s="21" t="n">
        <v>2938</v>
      </c>
      <c r="E148" s="21" t="n">
        <v>1662</v>
      </c>
    </row>
    <row r="149">
      <c r="A149" s="12" t="inlineStr">
        <is>
          <t>/thanh-toan-hoa-don</t>
        </is>
      </c>
      <c r="B149" s="12" t="inlineStr">
        <is>
          <t>Direct</t>
        </is>
      </c>
      <c r="C149" s="12" t="inlineStr">
        <is>
          <t>Khác</t>
        </is>
      </c>
      <c r="D149" s="21" t="n">
        <v>2932</v>
      </c>
      <c r="E149" s="21" t="n">
        <v>1433</v>
      </c>
    </row>
    <row r="150">
      <c r="A150" s="12" t="inlineStr">
        <is>
          <t>/cinema/rap/cgv/cgv-crescent-mall-58</t>
        </is>
      </c>
      <c r="B150" s="12" t="inlineStr">
        <is>
          <t>Organic Search</t>
        </is>
      </c>
      <c r="C150" s="12" t="inlineStr">
        <is>
          <t>Cinema Hub</t>
        </is>
      </c>
      <c r="D150" s="21" t="n">
        <v>2930</v>
      </c>
      <c r="E150" s="21" t="n">
        <v>1688</v>
      </c>
    </row>
    <row r="151">
      <c r="A151" s="12" t="inlineStr">
        <is>
          <t>/tin-tuc/khuyen-mai/chuong-trinh-gioi-thieu-ban-be-chuyen-tien-nhan-8930</t>
        </is>
      </c>
      <c r="B151" s="12" t="inlineStr">
        <is>
          <t>Unassigned</t>
        </is>
      </c>
      <c r="C151" s="12" t="inlineStr">
        <is>
          <t>Khác</t>
        </is>
      </c>
      <c r="D151" s="21" t="n">
        <v>2916</v>
      </c>
      <c r="E151" s="21" t="n">
        <v>1637</v>
      </c>
    </row>
    <row r="152">
      <c r="A152" s="12" t="inlineStr">
        <is>
          <t>/cinema/rap/cgv/cgv-vincom-da-nang-129</t>
        </is>
      </c>
      <c r="B152" s="12" t="inlineStr">
        <is>
          <t>Organic Search</t>
        </is>
      </c>
      <c r="C152" s="12" t="inlineStr">
        <is>
          <t>Cinema Hub</t>
        </is>
      </c>
      <c r="D152" s="21" t="n">
        <v>2914</v>
      </c>
      <c r="E152" s="21" t="n">
        <v>1662</v>
      </c>
    </row>
    <row r="153">
      <c r="A153" s="12" t="inlineStr">
        <is>
          <t>/blog/cach-mua-vietlott-power-6-55-an-toan-c115dt1774</t>
        </is>
      </c>
      <c r="B153" s="12" t="inlineStr">
        <is>
          <t>Paid Search</t>
        </is>
      </c>
      <c r="C153" s="12" t="inlineStr">
        <is>
          <t>Khác</t>
        </is>
      </c>
      <c r="D153" s="21" t="n">
        <v>2819</v>
      </c>
      <c r="E153" s="21" t="n">
        <v>2357</v>
      </c>
    </row>
    <row r="154">
      <c r="A154" s="12" t="inlineStr">
        <is>
          <t>/cinema/rap/galaxy-cinema/galaxy-long-xuyen-183</t>
        </is>
      </c>
      <c r="B154" s="12" t="inlineStr">
        <is>
          <t>Organic Search</t>
        </is>
      </c>
      <c r="C154" s="12" t="inlineStr">
        <is>
          <t>Cinema Hub</t>
        </is>
      </c>
      <c r="D154" s="21" t="n">
        <v>2744</v>
      </c>
      <c r="E154" s="21" t="n">
        <v>1428</v>
      </c>
    </row>
    <row r="155">
      <c r="A155" s="12" t="inlineStr">
        <is>
          <t>/cinema/an-mang-karaoke-25089</t>
        </is>
      </c>
      <c r="B155" s="12" t="inlineStr">
        <is>
          <t>Organic Search</t>
        </is>
      </c>
      <c r="C155" s="12" t="inlineStr">
        <is>
          <t>Cinema Hub</t>
        </is>
      </c>
      <c r="D155" s="21" t="n">
        <v>2722</v>
      </c>
      <c r="E155" s="21" t="n">
        <v>1842</v>
      </c>
    </row>
    <row r="156">
      <c r="A156" s="12" t="inlineStr">
        <is>
          <t>/cinema/rap/galaxy-cinema/galaxy-trung-chanh-195</t>
        </is>
      </c>
      <c r="B156" s="12" t="inlineStr">
        <is>
          <t>Organic Search</t>
        </is>
      </c>
      <c r="C156" s="12" t="inlineStr">
        <is>
          <t>Cinema Hub</t>
        </is>
      </c>
      <c r="D156" s="21" t="n">
        <v>2706</v>
      </c>
      <c r="E156" s="21" t="n">
        <v>1441</v>
      </c>
    </row>
    <row r="157">
      <c r="A157" s="12" t="inlineStr">
        <is>
          <t>/cinema/rap/lotte-cinema/lotte-tuyen-quang-166</t>
        </is>
      </c>
      <c r="B157" s="12" t="inlineStr">
        <is>
          <t>Organic Search</t>
        </is>
      </c>
      <c r="C157" s="12" t="inlineStr">
        <is>
          <t>Cinema Hub</t>
        </is>
      </c>
      <c r="D157" s="21" t="n">
        <v>2687</v>
      </c>
      <c r="E157" s="21" t="n">
        <v>1704</v>
      </c>
    </row>
    <row r="158">
      <c r="A158" s="12" t="inlineStr">
        <is>
          <t>/cinema/rap/galaxy-cinema/galaxy-go-mall-ba-ria-365</t>
        </is>
      </c>
      <c r="B158" s="12" t="inlineStr">
        <is>
          <t>Organic Search</t>
        </is>
      </c>
      <c r="C158" s="12" t="inlineStr">
        <is>
          <t>Cinema Hub</t>
        </is>
      </c>
      <c r="D158" s="21" t="n">
        <v>2630</v>
      </c>
      <c r="E158" s="21" t="n">
        <v>1616</v>
      </c>
    </row>
    <row r="159">
      <c r="A159" s="12" t="inlineStr">
        <is>
          <t>/vi-tra-sau/samsung</t>
        </is>
      </c>
      <c r="B159" s="12" t="inlineStr">
        <is>
          <t>Direct</t>
        </is>
      </c>
      <c r="C159" s="12" t="inlineStr">
        <is>
          <t>Financial Hub</t>
        </is>
      </c>
      <c r="D159" s="21" t="n">
        <v>2630</v>
      </c>
      <c r="E159" s="21" t="n">
        <v>1906</v>
      </c>
    </row>
    <row r="160">
      <c r="A160" s="12" t="inlineStr">
        <is>
          <t>/cinema/nguoi-me-khac-25149</t>
        </is>
      </c>
      <c r="B160" s="12" t="inlineStr">
        <is>
          <t>Organic Search</t>
        </is>
      </c>
      <c r="C160" s="12" t="inlineStr">
        <is>
          <t>Cinema Hub</t>
        </is>
      </c>
      <c r="D160" s="21" t="n">
        <v>2624</v>
      </c>
      <c r="E160" s="21" t="n">
        <v>1819</v>
      </c>
    </row>
    <row r="161">
      <c r="A161" s="12" t="inlineStr">
        <is>
          <t>/cinema/rap/beta-cinemas</t>
        </is>
      </c>
      <c r="B161" s="12" t="inlineStr">
        <is>
          <t>Organic Search</t>
        </is>
      </c>
      <c r="C161" s="12" t="inlineStr">
        <is>
          <t>Cinema Hub</t>
        </is>
      </c>
      <c r="D161" s="21" t="n">
        <v>2571</v>
      </c>
      <c r="E161" s="21" t="n">
        <v>1381</v>
      </c>
    </row>
    <row r="162">
      <c r="A162" s="12" t="inlineStr">
        <is>
          <t>/cinema/rap/beta-cinemas/beta-bien-hoa-215</t>
        </is>
      </c>
      <c r="B162" s="12" t="inlineStr">
        <is>
          <t>Organic Search</t>
        </is>
      </c>
      <c r="C162" s="12" t="inlineStr">
        <is>
          <t>Cinema Hub</t>
        </is>
      </c>
      <c r="D162" s="21" t="n">
        <v>2551</v>
      </c>
      <c r="E162" s="21" t="n">
        <v>1384</v>
      </c>
    </row>
    <row r="163">
      <c r="A163" s="12" t="inlineStr">
        <is>
          <t>/cinema/rap/beta-cinemas/beta-giai-phong-208</t>
        </is>
      </c>
      <c r="B163" s="12" t="inlineStr">
        <is>
          <t>Organic Search</t>
        </is>
      </c>
      <c r="C163" s="12" t="inlineStr">
        <is>
          <t>Cinema Hub</t>
        </is>
      </c>
      <c r="D163" s="21" t="n">
        <v>2546</v>
      </c>
      <c r="E163" s="21" t="n">
        <v>1320</v>
      </c>
    </row>
    <row r="164">
      <c r="A164" s="12" t="inlineStr">
        <is>
          <t>/cinema/rap/lotte-cinema/lotte-phan-rang-137</t>
        </is>
      </c>
      <c r="B164" s="12" t="inlineStr">
        <is>
          <t>Organic Search</t>
        </is>
      </c>
      <c r="C164" s="12" t="inlineStr">
        <is>
          <t>Cinema Hub</t>
        </is>
      </c>
      <c r="D164" s="21" t="n">
        <v>2531</v>
      </c>
      <c r="E164" s="21" t="n">
        <v>1395</v>
      </c>
    </row>
    <row r="165">
      <c r="A165" s="12" t="inlineStr">
        <is>
          <t>/cinema/rap/cgv/cgv-vincom-ha-tinh-30</t>
        </is>
      </c>
      <c r="B165" s="12" t="inlineStr">
        <is>
          <t>Organic Search</t>
        </is>
      </c>
      <c r="C165" s="12" t="inlineStr">
        <is>
          <t>Cinema Hub</t>
        </is>
      </c>
      <c r="D165" s="21" t="n">
        <v>2516</v>
      </c>
      <c r="E165" s="21" t="n">
        <v>1583</v>
      </c>
    </row>
    <row r="166">
      <c r="A166" s="12" t="inlineStr">
        <is>
          <t>/nap-xu-tiktok</t>
        </is>
      </c>
      <c r="B166" s="12" t="inlineStr">
        <is>
          <t>Cross-network</t>
        </is>
      </c>
      <c r="C166" s="12" t="inlineStr">
        <is>
          <t>Khác</t>
        </is>
      </c>
      <c r="D166" s="21" t="n">
        <v>2497</v>
      </c>
      <c r="E166" s="21" t="n">
        <v>984</v>
      </c>
    </row>
    <row r="167">
      <c r="A167" s="12" t="inlineStr">
        <is>
          <t>/cinema/rap/galaxy-cinema/galaxy-cineo-vincom-dan-phuong-571</t>
        </is>
      </c>
      <c r="B167" s="12" t="inlineStr">
        <is>
          <t>Organic Search</t>
        </is>
      </c>
      <c r="C167" s="12" t="inlineStr">
        <is>
          <t>Cinema Hub</t>
        </is>
      </c>
      <c r="D167" s="21" t="n">
        <v>2473</v>
      </c>
      <c r="E167" s="21" t="n">
        <v>1333</v>
      </c>
    </row>
    <row r="168">
      <c r="A168" s="12" t="inlineStr">
        <is>
          <t>/cinema/trai-buon-nguoi-24991</t>
        </is>
      </c>
      <c r="B168" s="12" t="inlineStr">
        <is>
          <t>Direct</t>
        </is>
      </c>
      <c r="C168" s="12" t="inlineStr">
        <is>
          <t>Cinema Hub</t>
        </is>
      </c>
      <c r="D168" s="21" t="n">
        <v>2471</v>
      </c>
      <c r="E168" s="21" t="n">
        <v>1720</v>
      </c>
    </row>
    <row r="169">
      <c r="A169" s="12" t="inlineStr">
        <is>
          <t>/cinema/chi-chi-em-em-3-25076</t>
        </is>
      </c>
      <c r="B169" s="12" t="inlineStr">
        <is>
          <t>Organic Search</t>
        </is>
      </c>
      <c r="C169" s="12" t="inlineStr">
        <is>
          <t>Cinema Hub</t>
        </is>
      </c>
      <c r="D169" s="21" t="n">
        <v>2455</v>
      </c>
      <c r="E169" s="21" t="n">
        <v>1799</v>
      </c>
    </row>
    <row r="170">
      <c r="A170" s="12" t="inlineStr">
        <is>
          <t>/cinema/rap/galaxy-cinema</t>
        </is>
      </c>
      <c r="B170" s="12" t="inlineStr">
        <is>
          <t>Organic Search</t>
        </is>
      </c>
      <c r="C170" s="12" t="inlineStr">
        <is>
          <t>Cinema Hub</t>
        </is>
      </c>
      <c r="D170" s="21" t="n">
        <v>2444</v>
      </c>
      <c r="E170" s="21" t="n">
        <v>1317</v>
      </c>
    </row>
    <row r="171">
      <c r="A171" s="12" t="inlineStr">
        <is>
          <t>/diem-tin-dung</t>
        </is>
      </c>
      <c r="B171" s="12" t="inlineStr">
        <is>
          <t>Organic Search</t>
        </is>
      </c>
      <c r="C171" s="12" t="inlineStr">
        <is>
          <t>Financial Hub</t>
        </is>
      </c>
      <c r="D171" s="21" t="n">
        <v>2423</v>
      </c>
      <c r="E171" s="21" t="n">
        <v>1869</v>
      </c>
    </row>
    <row r="172">
      <c r="A172" s="12" t="inlineStr">
        <is>
          <t>/hoi-dap</t>
        </is>
      </c>
      <c r="B172" s="12" t="inlineStr">
        <is>
          <t>Direct</t>
        </is>
      </c>
      <c r="C172" s="12" t="inlineStr">
        <is>
          <t>Khác</t>
        </is>
      </c>
      <c r="D172" s="21" t="n">
        <v>2359</v>
      </c>
      <c r="E172" s="21" t="n">
        <v>1738</v>
      </c>
    </row>
    <row r="173">
      <c r="A173" s="12" t="inlineStr">
        <is>
          <t>/blog/no-xau-la-gi-khi-nao-bi-xep-no-xau-va-anh-huong-ra-sao-c116dt2622</t>
        </is>
      </c>
      <c r="B173" s="12" t="inlineStr">
        <is>
          <t>Paid Search</t>
        </is>
      </c>
      <c r="C173" s="12" t="inlineStr">
        <is>
          <t>Khác</t>
        </is>
      </c>
      <c r="D173" s="21" t="n">
        <v>2297</v>
      </c>
      <c r="E173" s="21" t="n">
        <v>1514</v>
      </c>
    </row>
    <row r="174">
      <c r="A174" s="12" t="inlineStr">
        <is>
          <t>/cinema/rap/cgv/cgv-vincom-thu-duc-78</t>
        </is>
      </c>
      <c r="B174" s="12" t="inlineStr">
        <is>
          <t>Organic Search</t>
        </is>
      </c>
      <c r="C174" s="12" t="inlineStr">
        <is>
          <t>Cinema Hub</t>
        </is>
      </c>
      <c r="D174" s="21" t="n">
        <v>2287</v>
      </c>
      <c r="E174" s="21" t="n">
        <v>1220</v>
      </c>
    </row>
    <row r="175">
      <c r="A175" s="12" t="inlineStr">
        <is>
          <t>/cinema/rap/beta-cinemas/beta-thanh-hoa-213</t>
        </is>
      </c>
      <c r="B175" s="12" t="inlineStr">
        <is>
          <t>Organic Search</t>
        </is>
      </c>
      <c r="C175" s="12" t="inlineStr">
        <is>
          <t>Cinema Hub</t>
        </is>
      </c>
      <c r="D175" s="21" t="n">
        <v>2268</v>
      </c>
      <c r="E175" s="21" t="n">
        <v>1304</v>
      </c>
    </row>
    <row r="176">
      <c r="A176" s="12" t="inlineStr">
        <is>
          <t>/blog/cham-thanh-toan-vi-tra-sau-khong-tra-tien-vi-tra-sau-co-bi-sao-khong-c116dt1136</t>
        </is>
      </c>
      <c r="B176" s="12" t="inlineStr">
        <is>
          <t>Organic Search</t>
        </is>
      </c>
      <c r="C176" s="12" t="inlineStr">
        <is>
          <t>Khác</t>
        </is>
      </c>
      <c r="D176" s="21" t="n">
        <v>2260</v>
      </c>
      <c r="E176" s="21" t="n">
        <v>1785</v>
      </c>
    </row>
    <row r="177">
      <c r="A177" s="12" t="inlineStr">
        <is>
          <t>/cinema/rap/galaxy-cinema/galaxy-parc-mall-q8-372</t>
        </is>
      </c>
      <c r="B177" s="12" t="inlineStr">
        <is>
          <t>Organic Search</t>
        </is>
      </c>
      <c r="C177" s="12" t="inlineStr">
        <is>
          <t>Cinema Hub</t>
        </is>
      </c>
      <c r="D177" s="21" t="n">
        <v>2254</v>
      </c>
      <c r="E177" s="21" t="n">
        <v>1153</v>
      </c>
    </row>
    <row r="178">
      <c r="A178" s="12" t="inlineStr">
        <is>
          <t>/gioi-thieu-momo</t>
        </is>
      </c>
      <c r="B178" s="12" t="inlineStr">
        <is>
          <t>Organic Search</t>
        </is>
      </c>
      <c r="C178" s="12" t="inlineStr">
        <is>
          <t>Khác</t>
        </is>
      </c>
      <c r="D178" s="21" t="n">
        <v>2250</v>
      </c>
      <c r="E178" s="21" t="n">
        <v>1300</v>
      </c>
    </row>
    <row r="179">
      <c r="A179" s="12" t="inlineStr">
        <is>
          <t>/cinema/an-mang-xem-hoan-hao-25098</t>
        </is>
      </c>
      <c r="B179" s="12" t="inlineStr">
        <is>
          <t>Organic Search</t>
        </is>
      </c>
      <c r="C179" s="12" t="inlineStr">
        <is>
          <t>Cinema Hub</t>
        </is>
      </c>
      <c r="D179" s="21" t="n">
        <v>2248</v>
      </c>
      <c r="E179" s="21" t="n">
        <v>1448</v>
      </c>
    </row>
    <row r="180">
      <c r="A180" s="12" t="inlineStr">
        <is>
          <t>/cinema/rap/beta-cinemas/beta-ung-van-khiem-370</t>
        </is>
      </c>
      <c r="B180" s="12" t="inlineStr">
        <is>
          <t>Organic Search</t>
        </is>
      </c>
      <c r="C180" s="12" t="inlineStr">
        <is>
          <t>Cinema Hub</t>
        </is>
      </c>
      <c r="D180" s="21" t="n">
        <v>2228</v>
      </c>
      <c r="E180" s="21" t="n">
        <v>1128</v>
      </c>
    </row>
    <row r="181">
      <c r="A181" s="12" t="inlineStr">
        <is>
          <t>/download</t>
        </is>
      </c>
      <c r="B181" s="12" t="inlineStr">
        <is>
          <t>Unassigned</t>
        </is>
      </c>
      <c r="C181" s="12" t="inlineStr">
        <is>
          <t>Download</t>
        </is>
      </c>
      <c r="D181" s="21" t="n">
        <v>2197</v>
      </c>
      <c r="E181" s="21" t="n">
        <v>1652</v>
      </c>
    </row>
    <row r="182">
      <c r="A182" s="12" t="inlineStr">
        <is>
          <t>/cinema/rap/beta-cinemas/beta-tran-quang-khai-367</t>
        </is>
      </c>
      <c r="B182" s="12" t="inlineStr">
        <is>
          <t>Organic Search</t>
        </is>
      </c>
      <c r="C182" s="12" t="inlineStr">
        <is>
          <t>Cinema Hub</t>
        </is>
      </c>
      <c r="D182" s="21" t="n">
        <v>2193</v>
      </c>
      <c r="E182" s="21" t="n">
        <v>1208</v>
      </c>
    </row>
    <row r="183">
      <c r="A183" s="12" t="inlineStr">
        <is>
          <t>/download</t>
        </is>
      </c>
      <c r="B183" s="12" t="inlineStr">
        <is>
          <t>Organic Search</t>
        </is>
      </c>
      <c r="C183" s="12" t="inlineStr">
        <is>
          <t>Download</t>
        </is>
      </c>
      <c r="D183" s="21" t="n">
        <v>2185</v>
      </c>
      <c r="E183" s="21" t="n">
        <v>1589</v>
      </c>
    </row>
    <row r="184">
      <c r="A184" s="12" t="inlineStr">
        <is>
          <t>/hoi-dap/lam-sao-de-huy-tai-khoan-momo</t>
        </is>
      </c>
      <c r="B184" s="12" t="inlineStr">
        <is>
          <t>Organic Search</t>
        </is>
      </c>
      <c r="C184" s="12" t="inlineStr">
        <is>
          <t>Khác</t>
        </is>
      </c>
      <c r="D184" s="21" t="n">
        <v>2174</v>
      </c>
      <c r="E184" s="21" t="n">
        <v>1358</v>
      </c>
    </row>
    <row r="185">
      <c r="A185" s="12" t="inlineStr">
        <is>
          <t>/cinema/rap/cgv/cgv-big-c-nha-trang-121</t>
        </is>
      </c>
      <c r="B185" s="12" t="inlineStr">
        <is>
          <t>Organic Search</t>
        </is>
      </c>
      <c r="C185" s="12" t="inlineStr">
        <is>
          <t>Cinema Hub</t>
        </is>
      </c>
      <c r="D185" s="21" t="n">
        <v>2148</v>
      </c>
      <c r="E185" s="21" t="n">
        <v>1270</v>
      </c>
    </row>
    <row r="186">
      <c r="A186" s="12" t="inlineStr">
        <is>
          <t>/cinema/rap/cgv/cgv-truong-dinh-plaza-117</t>
        </is>
      </c>
      <c r="B186" s="12" t="inlineStr">
        <is>
          <t>Organic Search</t>
        </is>
      </c>
      <c r="C186" s="12" t="inlineStr">
        <is>
          <t>Cinema Hub</t>
        </is>
      </c>
      <c r="D186" s="21" t="n">
        <v>2122</v>
      </c>
      <c r="E186" s="21" t="n">
        <v>1160</v>
      </c>
    </row>
    <row r="187">
      <c r="A187" s="12" t="inlineStr">
        <is>
          <t>/cinema/rap/cgv/cgv-ecopark-hung-yen-45</t>
        </is>
      </c>
      <c r="B187" s="12" t="inlineStr">
        <is>
          <t>Organic Search</t>
        </is>
      </c>
      <c r="C187" s="12" t="inlineStr">
        <is>
          <t>Cinema Hub</t>
        </is>
      </c>
      <c r="D187" s="21" t="n">
        <v>2116</v>
      </c>
      <c r="E187" s="21" t="n">
        <v>1274</v>
      </c>
    </row>
    <row r="188">
      <c r="A188" s="12" t="inlineStr">
        <is>
          <t>/cinema/rap/beta-cinemas/beta-bac-giang-205</t>
        </is>
      </c>
      <c r="B188" s="12" t="inlineStr">
        <is>
          <t>Organic Search</t>
        </is>
      </c>
      <c r="C188" s="12" t="inlineStr">
        <is>
          <t>Cinema Hub</t>
        </is>
      </c>
      <c r="D188" s="21" t="n">
        <v>2104</v>
      </c>
      <c r="E188" s="21" t="n">
        <v>1173</v>
      </c>
    </row>
    <row r="189">
      <c r="A189" s="12" t="inlineStr">
        <is>
          <t>/cinema/rap/cinestar/cinestar-quoc-thanh-201</t>
        </is>
      </c>
      <c r="B189" s="12" t="inlineStr">
        <is>
          <t>Organic Search</t>
        </is>
      </c>
      <c r="C189" s="12" t="inlineStr">
        <is>
          <t>Cinema Hub</t>
        </is>
      </c>
      <c r="D189" s="21" t="n">
        <v>2071</v>
      </c>
      <c r="E189" s="21" t="n">
        <v>1132</v>
      </c>
    </row>
    <row r="190">
      <c r="A190" s="12" t="inlineStr">
        <is>
          <t>/</t>
        </is>
      </c>
      <c r="B190" s="12" t="inlineStr">
        <is>
          <t>Organic Social</t>
        </is>
      </c>
      <c r="C190" s="12" t="inlineStr">
        <is>
          <t>Khác</t>
        </is>
      </c>
      <c r="D190" s="21" t="n">
        <v>2039</v>
      </c>
      <c r="E190" s="21" t="n">
        <v>1428</v>
      </c>
    </row>
    <row r="191">
      <c r="A191" s="12" t="inlineStr">
        <is>
          <t>/cinema/rap/cgv/cgv-big-c-dong-nai-18</t>
        </is>
      </c>
      <c r="B191" s="12" t="inlineStr">
        <is>
          <t>Organic Search</t>
        </is>
      </c>
      <c r="C191" s="12" t="inlineStr">
        <is>
          <t>Cinema Hub</t>
        </is>
      </c>
      <c r="D191" s="21" t="n">
        <v>2015</v>
      </c>
      <c r="E191" s="21" t="n">
        <v>1103</v>
      </c>
    </row>
    <row r="192">
      <c r="A192" s="12" t="inlineStr">
        <is>
          <t>/doi-tac</t>
        </is>
      </c>
      <c r="B192" s="12" t="inlineStr">
        <is>
          <t>Organic Search</t>
        </is>
      </c>
      <c r="C192" s="12" t="inlineStr">
        <is>
          <t>Khác</t>
        </is>
      </c>
      <c r="D192" s="21" t="n">
        <v>2013</v>
      </c>
      <c r="E192" s="21" t="n">
        <v>591</v>
      </c>
    </row>
    <row r="193">
      <c r="A193" s="12" t="inlineStr">
        <is>
          <t>/tin-tuc/khuyen-mai</t>
        </is>
      </c>
      <c r="B193" s="12" t="inlineStr">
        <is>
          <t>Direct</t>
        </is>
      </c>
      <c r="C193" s="12" t="inlineStr">
        <is>
          <t>Khác</t>
        </is>
      </c>
      <c r="D193" s="21" t="n">
        <v>1991</v>
      </c>
      <c r="E193" s="21" t="n">
        <v>820</v>
      </c>
    </row>
    <row r="194">
      <c r="A194" s="12" t="inlineStr">
        <is>
          <t>/cinema/rap/beta-cinemas/beta-long-khanh-210</t>
        </is>
      </c>
      <c r="B194" s="12" t="inlineStr">
        <is>
          <t>Organic Search</t>
        </is>
      </c>
      <c r="C194" s="12" t="inlineStr">
        <is>
          <t>Cinema Hub</t>
        </is>
      </c>
      <c r="D194" s="21" t="n">
        <v>1978</v>
      </c>
      <c r="E194" s="21" t="n">
        <v>1013</v>
      </c>
    </row>
    <row r="195">
      <c r="A195" s="12" t="inlineStr">
        <is>
          <t>/cinema/rap</t>
        </is>
      </c>
      <c r="B195" s="12" t="inlineStr">
        <is>
          <t>Organic Search</t>
        </is>
      </c>
      <c r="C195" s="12" t="inlineStr">
        <is>
          <t>Cinema Hub</t>
        </is>
      </c>
      <c r="D195" s="21" t="n">
        <v>1925</v>
      </c>
      <c r="E195" s="21" t="n">
        <v>680</v>
      </c>
    </row>
    <row r="196">
      <c r="A196" s="12" t="inlineStr">
        <is>
          <t>/cinema/rap/cgv/cgv-vincom-dong-khoi-67</t>
        </is>
      </c>
      <c r="B196" s="12" t="inlineStr">
        <is>
          <t>Organic Search</t>
        </is>
      </c>
      <c r="C196" s="12" t="inlineStr">
        <is>
          <t>Cinema Hub</t>
        </is>
      </c>
      <c r="D196" s="21" t="n">
        <v>1915</v>
      </c>
      <c r="E196" s="21" t="n">
        <v>1030</v>
      </c>
    </row>
    <row r="197">
      <c r="A197" s="12" t="inlineStr">
        <is>
          <t>/vi-tra-sau</t>
        </is>
      </c>
      <c r="B197" s="12" t="inlineStr">
        <is>
          <t>Direct</t>
        </is>
      </c>
      <c r="C197" s="12" t="inlineStr">
        <is>
          <t>Financial Hub</t>
        </is>
      </c>
      <c r="D197" s="21" t="n">
        <v>1899</v>
      </c>
      <c r="E197" s="21" t="n">
        <v>1144</v>
      </c>
    </row>
    <row r="198">
      <c r="A198" s="12" t="inlineStr">
        <is>
          <t>/cinema/rap/cgv/cgv-vincom-my-tho-220</t>
        </is>
      </c>
      <c r="B198" s="12" t="inlineStr">
        <is>
          <t>Organic Search</t>
        </is>
      </c>
      <c r="C198" s="12" t="inlineStr">
        <is>
          <t>Cinema Hub</t>
        </is>
      </c>
      <c r="D198" s="21" t="n">
        <v>1843</v>
      </c>
      <c r="E198" s="21" t="n">
        <v>1004</v>
      </c>
    </row>
    <row r="199">
      <c r="A199" s="12" t="inlineStr">
        <is>
          <t>/cinema/rap/galaxy-cinema/galaxy-tan-binh-145</t>
        </is>
      </c>
      <c r="B199" s="12" t="inlineStr">
        <is>
          <t>Organic Search</t>
        </is>
      </c>
      <c r="C199" s="12" t="inlineStr">
        <is>
          <t>Cinema Hub</t>
        </is>
      </c>
      <c r="D199" s="21" t="n">
        <v>1843</v>
      </c>
      <c r="E199" s="21" t="n">
        <v>985</v>
      </c>
    </row>
    <row r="200">
      <c r="A200" s="12" t="inlineStr">
        <is>
          <t>/tin-tuc/khuyen-mai/nhap-ma-chaomomo-ban-moi-nhan-ngay-qua-500000d-7834</t>
        </is>
      </c>
      <c r="B200" s="12" t="inlineStr">
        <is>
          <t>Direct</t>
        </is>
      </c>
      <c r="C200" s="12" t="inlineStr">
        <is>
          <t>Khác</t>
        </is>
      </c>
      <c r="D200" s="21" t="n">
        <v>1833</v>
      </c>
      <c r="E200" s="21" t="n">
        <v>869</v>
      </c>
    </row>
    <row r="201">
      <c r="A201" s="12" t="inlineStr">
        <is>
          <t>/cinema/rap/beta-cinemas/beta-my-dinh-204</t>
        </is>
      </c>
      <c r="B201" s="12" t="inlineStr">
        <is>
          <t>Organic Search</t>
        </is>
      </c>
      <c r="C201" s="12" t="inlineStr">
        <is>
          <t>Cinema Hub</t>
        </is>
      </c>
      <c r="D201" s="21" t="n">
        <v>1818</v>
      </c>
      <c r="E201" s="21" t="n">
        <v>917</v>
      </c>
    </row>
    <row r="202">
      <c r="A202" s="12" t="inlineStr">
        <is>
          <t>/cinema/shaun-the-sheep-quai-la-ghe-nha-25151</t>
        </is>
      </c>
      <c r="B202" s="12" t="inlineStr">
        <is>
          <t>Organic Search</t>
        </is>
      </c>
      <c r="C202" s="12" t="inlineStr">
        <is>
          <t>Cinema Hub</t>
        </is>
      </c>
      <c r="D202" s="21" t="n">
        <v>1790</v>
      </c>
      <c r="E202" s="21" t="n">
        <v>1199</v>
      </c>
    </row>
    <row r="203">
      <c r="A203" s="12" t="inlineStr">
        <is>
          <t>/cinema/rap/cgv/cgv-vincom-cam-pha-46</t>
        </is>
      </c>
      <c r="B203" s="12" t="inlineStr">
        <is>
          <t>Organic Search</t>
        </is>
      </c>
      <c r="C203" s="12" t="inlineStr">
        <is>
          <t>Cinema Hub</t>
        </is>
      </c>
      <c r="D203" s="21" t="n">
        <v>1780</v>
      </c>
      <c r="E203" s="21" t="n">
        <v>1204</v>
      </c>
    </row>
    <row r="204">
      <c r="A204" s="12" t="inlineStr">
        <is>
          <t>/cinema/rap/lotte-cinema/lotte-bao-loc-172</t>
        </is>
      </c>
      <c r="B204" s="12" t="inlineStr">
        <is>
          <t>Organic Search</t>
        </is>
      </c>
      <c r="C204" s="12" t="inlineStr">
        <is>
          <t>Cinema Hub</t>
        </is>
      </c>
      <c r="D204" s="21" t="n">
        <v>1698</v>
      </c>
      <c r="E204" s="21" t="n">
        <v>1080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2026-10-27T01:43:16Z</dcterms:created>
  <dcterms:modified xmlns:dcterms="http://purl.org/dc/terms/" xmlns:xsi="http://www.w3.org/2001/XMLSchema-instance" xsi:type="dcterms:W3CDTF">2026-10-27T01:43:16Z</dcterms:modified>
</cp:coreProperties>
</file>