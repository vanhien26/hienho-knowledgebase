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96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b val="1"/>
      <color rgb="00FFFFFF"/>
      <sz val="10"/>
    </font>
    <font>
      <name val="Arial"/>
      <b val="1"/>
      <color rgb="001E293B"/>
      <sz val="9"/>
    </font>
    <font>
      <name val="Arial"/>
      <b val="1"/>
      <color rgb="001E40AF"/>
      <sz val="9"/>
    </font>
    <font>
      <name val="Arial"/>
      <b val="1"/>
      <color rgb="001E3A8A"/>
      <sz val="10"/>
    </font>
    <font>
      <name val="Arial"/>
      <b val="1"/>
      <color rgb="000F172A"/>
      <sz val="10"/>
    </font>
    <font>
      <name val="Arial"/>
      <i val="1"/>
      <color rgb="00475569"/>
      <sz val="9"/>
    </font>
    <font>
      <name val="Arial"/>
      <b val="1"/>
      <color rgb="0015803D"/>
      <sz val="9"/>
    </font>
    <font>
      <name val="Arial"/>
      <color rgb="00334155"/>
      <sz val="9"/>
    </font>
    <font>
      <name val="Arial"/>
      <b val="1"/>
      <color rgb="001E3A8A"/>
      <sz val="9"/>
    </font>
    <font>
      <name val="Arial"/>
      <b val="1"/>
      <color rgb="009D174D"/>
      <sz val="9"/>
    </font>
    <font>
      <name val="Arial"/>
      <b val="1"/>
      <color rgb="0015803D"/>
      <sz val="10"/>
    </font>
    <font>
      <name val="Arial"/>
      <color rgb="001E293B"/>
      <sz val="9"/>
    </font>
    <font>
      <name val="Arial"/>
      <i val="1"/>
      <color rgb="00BE185D"/>
      <sz val="9"/>
    </font>
  </fonts>
  <fills count="5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0D9488"/>
        <bgColor rgb="000D9488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93C5FD"/>
        <bgColor rgb="0093C5FD"/>
      </patternFill>
    </fill>
    <fill>
      <patternFill patternType="solid">
        <fgColor rgb="00BFDBFE"/>
        <bgColor rgb="00BFDBFE"/>
      </patternFill>
    </fill>
    <fill>
      <patternFill patternType="solid">
        <fgColor rgb="00FCE7F3"/>
        <bgColor rgb="00FCE7F3"/>
      </patternFill>
    </fill>
    <fill>
      <patternFill patternType="solid">
        <fgColor rgb="00FBCFE8"/>
        <bgColor rgb="00FBCFE8"/>
      </patternFill>
    </fill>
    <fill>
      <patternFill patternType="solid">
        <fgColor rgb="00DCFCE7"/>
        <bgColor rgb="00DCFCE7"/>
      </patternFill>
    </fill>
    <fill>
      <patternFill patternType="solid">
        <fgColor rgb="00FDF2F8"/>
        <bgColor rgb="00FDF2F8"/>
      </patternFill>
    </fill>
  </fills>
  <borders count="24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00BFDBFE"/>
      </top>
      <bottom style="thin">
        <color rgb="00BFDBFE"/>
      </bottom>
    </border>
    <border>
      <top style="medium">
        <color rgb="00717784"/>
      </top>
      <bottom style="thin">
        <color rgb="00E2E8F0"/>
      </bottom>
    </border>
    <border>
      <bottom style="thin">
        <color rgb="00E2E8F0"/>
      </bottom>
    </border>
    <border>
      <top style="thin">
        <color rgb="003B82F6"/>
      </top>
      <bottom style="thin">
        <color rgb="003B82F6"/>
      </bottom>
    </border>
    <border>
      <top style="medium">
        <color rgb="003B82F6"/>
      </top>
      <bottom style="thin">
        <color rgb="0093C5FD"/>
      </bottom>
    </border>
    <border>
      <bottom style="thin">
        <color rgb="00F472B6"/>
      </bottom>
    </border>
    <border>
      <bottom style="thin">
        <color rgb="00EEF2F6"/>
      </bottom>
    </border>
  </borders>
  <cellStyleXfs count="1">
    <xf numFmtId="0" fontId="0" fillId="0" borderId="0"/>
  </cellStyleXfs>
  <cellXfs count="43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83" fillId="34" borderId="0" applyAlignment="1" pivotButton="0" quotePrefix="0" xfId="0">
      <alignment horizontal="left" vertical="center"/>
    </xf>
    <xf numFmtId="0" fontId="83" fillId="34" borderId="0" applyAlignment="1" pivotButton="0" quotePrefix="0" xfId="0">
      <alignment horizontal="center" vertical="center"/>
    </xf>
    <xf numFmtId="0" fontId="83" fillId="35" borderId="0" applyAlignment="1" pivotButton="0" quotePrefix="0" xfId="0">
      <alignment horizontal="center" vertical="center"/>
    </xf>
    <xf numFmtId="0" fontId="83" fillId="36" borderId="0" applyAlignment="1" pivotButton="0" quotePrefix="0" xfId="0">
      <alignment horizontal="center" vertical="center"/>
    </xf>
    <xf numFmtId="0" fontId="83" fillId="37" borderId="0" applyAlignment="1" pivotButton="0" quotePrefix="0" xfId="0">
      <alignment horizontal="center" vertical="center"/>
    </xf>
    <xf numFmtId="0" fontId="83" fillId="38" borderId="0" applyAlignment="1" pivotButton="0" quotePrefix="0" xfId="0">
      <alignment horizontal="center" vertical="center"/>
    </xf>
    <xf numFmtId="49" fontId="84" fillId="39" borderId="0" applyAlignment="1" pivotButton="0" quotePrefix="0" xfId="0">
      <alignment horizontal="left" vertical="center"/>
    </xf>
    <xf numFmtId="167" fontId="84" fillId="39" borderId="0" applyAlignment="1" pivotButton="0" quotePrefix="0" xfId="0">
      <alignment horizontal="center" vertical="center"/>
    </xf>
    <xf numFmtId="167" fontId="85" fillId="4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center" vertical="center"/>
    </xf>
    <xf numFmtId="3" fontId="86" fillId="41" borderId="17" applyAlignment="1" pivotButton="0" quotePrefix="0" xfId="0">
      <alignment horizontal="left" vertical="center"/>
    </xf>
    <xf numFmtId="3" fontId="86" fillId="41" borderId="17" applyAlignment="1" pivotButton="0" quotePrefix="0" xfId="0">
      <alignment horizontal="right" vertical="center"/>
    </xf>
    <xf numFmtId="169" fontId="86" fillId="41" borderId="17" applyAlignment="1" pivotButton="0" quotePrefix="0" xfId="0">
      <alignment horizontal="right" vertical="center"/>
    </xf>
    <xf numFmtId="166" fontId="86" fillId="41" borderId="17" applyAlignment="1" pivotButton="0" quotePrefix="0" xfId="0">
      <alignment horizontal="right" vertical="center"/>
    </xf>
    <xf numFmtId="3" fontId="50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right" vertical="center"/>
    </xf>
    <xf numFmtId="169" fontId="51" fillId="0" borderId="0" applyAlignment="1" pivotButton="0" quotePrefix="0" xfId="0">
      <alignment horizontal="right" vertical="center"/>
    </xf>
    <xf numFmtId="166" fontId="51" fillId="0" borderId="0" applyAlignment="1" pivotButton="0" quotePrefix="0" xfId="0">
      <alignment horizontal="right" vertical="center"/>
    </xf>
    <xf numFmtId="166" fontId="52" fillId="0" borderId="0" applyAlignment="1" pivotButton="0" quotePrefix="0" xfId="0">
      <alignment horizontal="left" vertical="center"/>
    </xf>
    <xf numFmtId="166" fontId="52" fillId="0" borderId="0" applyAlignment="1" pivotButton="0" quotePrefix="0" xfId="0">
      <alignment horizontal="right" vertical="center"/>
    </xf>
    <xf numFmtId="169" fontId="52" fillId="0" borderId="0" applyAlignment="1" pivotButton="0" quotePrefix="0" xfId="0">
      <alignment horizontal="right" vertical="center"/>
    </xf>
    <xf numFmtId="3" fontId="52" fillId="0" borderId="0" applyAlignment="1" pivotButton="0" quotePrefix="0" xfId="0">
      <alignment horizontal="right" vertical="center"/>
    </xf>
    <xf numFmtId="3" fontId="53" fillId="0" borderId="0" applyAlignment="1" pivotButton="0" quotePrefix="0" xfId="0">
      <alignment horizontal="left" vertical="center"/>
    </xf>
    <xf numFmtId="169" fontId="53" fillId="0" borderId="0" applyAlignment="1" pivotButton="0" quotePrefix="0" xfId="0">
      <alignment horizontal="right" vertical="center"/>
    </xf>
    <xf numFmtId="168" fontId="53" fillId="0" borderId="0" applyAlignment="1" pivotButton="0" quotePrefix="0" xfId="0">
      <alignment horizontal="right" vertical="center"/>
    </xf>
    <xf numFmtId="3" fontId="87" fillId="39" borderId="18" applyAlignment="1" pivotButton="0" quotePrefix="0" xfId="0">
      <alignment horizontal="left" vertical="center"/>
    </xf>
    <xf numFmtId="3" fontId="87" fillId="39" borderId="18" applyAlignment="1" pivotButton="0" quotePrefix="0" xfId="0">
      <alignment horizontal="right" vertical="center"/>
    </xf>
    <xf numFmtId="169" fontId="87" fillId="39" borderId="18" applyAlignment="1" pivotButton="0" quotePrefix="0" xfId="0">
      <alignment horizontal="right" vertical="center"/>
    </xf>
    <xf numFmtId="166" fontId="87" fillId="39" borderId="18" applyAlignment="1" pivotButton="0" quotePrefix="0" xfId="0">
      <alignment horizontal="right" vertical="center"/>
    </xf>
    <xf numFmtId="166" fontId="55" fillId="0" borderId="0" applyAlignment="1" pivotButton="0" quotePrefix="0" xfId="0">
      <alignment horizontal="right" vertical="center"/>
    </xf>
    <xf numFmtId="3" fontId="88" fillId="42" borderId="19" applyAlignment="1" pivotButton="0" quotePrefix="0" xfId="0">
      <alignment horizontal="left" vertical="center"/>
    </xf>
    <xf numFmtId="3" fontId="88" fillId="42" borderId="19" applyAlignment="1" pivotButton="0" quotePrefix="0" xfId="0">
      <alignment horizontal="right" vertical="center"/>
    </xf>
    <xf numFmtId="169" fontId="88" fillId="42" borderId="19" applyAlignment="1" pivotButton="0" quotePrefix="0" xfId="0">
      <alignment horizontal="right" vertical="center"/>
    </xf>
    <xf numFmtId="166" fontId="89" fillId="43" borderId="19" applyAlignment="1" pivotButton="0" quotePrefix="0" xfId="0">
      <alignment horizontal="right" vertical="center"/>
    </xf>
    <xf numFmtId="3" fontId="55" fillId="0" borderId="0" applyAlignment="1" pivotButton="0" quotePrefix="0" xfId="0">
      <alignment horizontal="right" vertical="center"/>
    </xf>
    <xf numFmtId="3" fontId="90" fillId="44" borderId="0" applyAlignment="1" pivotButton="0" quotePrefix="0" xfId="0">
      <alignment horizontal="left" vertical="center"/>
    </xf>
    <xf numFmtId="3" fontId="90" fillId="44" borderId="0" applyAlignment="1" pivotButton="0" quotePrefix="0" xfId="0">
      <alignment horizontal="right" vertical="center"/>
    </xf>
    <xf numFmtId="169" fontId="90" fillId="44" borderId="0" applyAlignment="1" pivotButton="0" quotePrefix="0" xfId="0">
      <alignment horizontal="right" vertical="center"/>
    </xf>
    <xf numFmtId="166" fontId="90" fillId="44" borderId="0" applyAlignment="1" pivotButton="0" quotePrefix="0" xfId="0">
      <alignment horizontal="right" vertical="center"/>
    </xf>
    <xf numFmtId="3" fontId="88" fillId="42" borderId="0" applyAlignment="1" pivotButton="0" quotePrefix="0" xfId="0">
      <alignment horizontal="left" vertical="center"/>
    </xf>
    <xf numFmtId="3" fontId="88" fillId="42" borderId="0" applyAlignment="1" pivotButton="0" quotePrefix="0" xfId="0">
      <alignment horizontal="right" vertical="center"/>
    </xf>
    <xf numFmtId="169" fontId="88" fillId="42" borderId="0" applyAlignment="1" pivotButton="0" quotePrefix="0" xfId="0">
      <alignment horizontal="right" vertical="center"/>
    </xf>
    <xf numFmtId="166" fontId="88" fillId="42" borderId="0" applyAlignment="1" pivotButton="0" quotePrefix="0" xfId="0">
      <alignment horizontal="right" vertical="center"/>
    </xf>
    <xf numFmtId="3" fontId="54" fillId="0" borderId="0" applyAlignment="1" pivotButton="0" quotePrefix="0" xfId="0">
      <alignment horizontal="right" vertical="center"/>
    </xf>
    <xf numFmtId="3" fontId="87" fillId="39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right" vertical="center"/>
    </xf>
    <xf numFmtId="169" fontId="90" fillId="0" borderId="0" applyAlignment="1" pivotButton="0" quotePrefix="0" xfId="0">
      <alignment horizontal="right" vertical="center"/>
    </xf>
    <xf numFmtId="168" fontId="55" fillId="0" borderId="0" applyAlignment="1" pivotButton="0" quotePrefix="0" xfId="0">
      <alignment horizontal="right" vertical="center"/>
    </xf>
    <xf numFmtId="168" fontId="51" fillId="0" borderId="0" applyAlignment="1" pivotButton="0" quotePrefix="0" xfId="0">
      <alignment horizontal="right" vertical="center"/>
    </xf>
    <xf numFmtId="168" fontId="52" fillId="0" borderId="0" applyAlignment="1" pivotButton="0" quotePrefix="0" xfId="0">
      <alignment horizontal="right" vertical="center"/>
    </xf>
    <xf numFmtId="167" fontId="91" fillId="45" borderId="0" applyAlignment="1" pivotButton="0" quotePrefix="0" xfId="0">
      <alignment horizontal="center" vertical="center"/>
    </xf>
    <xf numFmtId="3" fontId="86" fillId="46" borderId="20" applyAlignment="1" pivotButton="0" quotePrefix="0" xfId="0">
      <alignment horizontal="left" vertical="center"/>
    </xf>
    <xf numFmtId="3" fontId="86" fillId="46" borderId="20" applyAlignment="1" pivotButton="0" quotePrefix="0" xfId="0">
      <alignment horizontal="right" vertical="center"/>
    </xf>
    <xf numFmtId="169" fontId="86" fillId="46" borderId="20" applyAlignment="1" pivotButton="0" quotePrefix="0" xfId="0">
      <alignment horizontal="right" vertical="center"/>
    </xf>
    <xf numFmtId="166" fontId="86" fillId="46" borderId="20" applyAlignment="1" pivotButton="0" quotePrefix="0" xfId="0">
      <alignment horizontal="right" vertical="center"/>
    </xf>
    <xf numFmtId="3" fontId="86" fillId="40" borderId="21" applyAlignment="1" pivotButton="0" quotePrefix="0" xfId="0">
      <alignment horizontal="left" vertical="center"/>
    </xf>
    <xf numFmtId="3" fontId="86" fillId="40" borderId="21" applyAlignment="1" pivotButton="0" quotePrefix="0" xfId="0">
      <alignment horizontal="right" vertical="center"/>
    </xf>
    <xf numFmtId="3" fontId="86" fillId="46" borderId="21" applyAlignment="1" pivotButton="0" quotePrefix="0" xfId="0">
      <alignment horizontal="right" vertical="center"/>
    </xf>
    <xf numFmtId="169" fontId="86" fillId="40" borderId="21" applyAlignment="1" pivotButton="0" quotePrefix="0" xfId="0">
      <alignment horizontal="right" vertical="center"/>
    </xf>
    <xf numFmtId="166" fontId="86" fillId="40" borderId="21" applyAlignment="1" pivotButton="0" quotePrefix="0" xfId="0">
      <alignment horizontal="right" vertical="center"/>
    </xf>
    <xf numFmtId="3" fontId="92" fillId="47" borderId="22" applyAlignment="1" pivotButton="0" quotePrefix="0" xfId="0">
      <alignment horizontal="left" vertical="center"/>
    </xf>
    <xf numFmtId="3" fontId="92" fillId="47" borderId="22" applyAlignment="1" pivotButton="0" quotePrefix="0" xfId="0">
      <alignment horizontal="right" vertical="center"/>
    </xf>
    <xf numFmtId="3" fontId="92" fillId="48" borderId="22" applyAlignment="1" pivotButton="0" quotePrefix="0" xfId="0">
      <alignment horizontal="right" vertical="center"/>
    </xf>
    <xf numFmtId="169" fontId="92" fillId="47" borderId="22" applyAlignment="1" pivotButton="0" quotePrefix="0" xfId="0">
      <alignment horizontal="right" vertical="center"/>
    </xf>
    <xf numFmtId="166" fontId="93" fillId="49" borderId="22" applyAlignment="1" pivotButton="0" quotePrefix="0" xfId="0">
      <alignment horizontal="right" vertical="center"/>
    </xf>
    <xf numFmtId="3" fontId="94" fillId="44" borderId="23" applyAlignment="1" pivotButton="0" quotePrefix="0" xfId="0">
      <alignment horizontal="left" vertical="center"/>
    </xf>
    <xf numFmtId="3" fontId="94" fillId="44" borderId="23" applyAlignment="1" pivotButton="0" quotePrefix="0" xfId="0">
      <alignment horizontal="right" vertical="center"/>
    </xf>
    <xf numFmtId="3" fontId="94" fillId="40" borderId="23" applyAlignment="1" pivotButton="0" quotePrefix="0" xfId="0">
      <alignment horizontal="right" vertical="center"/>
    </xf>
    <xf numFmtId="169" fontId="94" fillId="44" borderId="23" applyAlignment="1" pivotButton="0" quotePrefix="0" xfId="0">
      <alignment horizontal="right" vertical="center"/>
    </xf>
    <xf numFmtId="166" fontId="94" fillId="44" borderId="23" applyAlignment="1" pivotButton="0" quotePrefix="0" xfId="0">
      <alignment horizontal="right" vertical="center"/>
    </xf>
    <xf numFmtId="3" fontId="95" fillId="50" borderId="22" applyAlignment="1" pivotButton="0" quotePrefix="0" xfId="0">
      <alignment horizontal="left" vertical="center"/>
    </xf>
    <xf numFmtId="3" fontId="95" fillId="50" borderId="22" applyAlignment="1" pivotButton="0" quotePrefix="0" xfId="0">
      <alignment horizontal="right" vertical="center"/>
    </xf>
    <xf numFmtId="3" fontId="95" fillId="48" borderId="22" applyAlignment="1" pivotButton="0" quotePrefix="0" xfId="0">
      <alignment horizontal="right" vertical="center"/>
    </xf>
    <xf numFmtId="169" fontId="95" fillId="50" borderId="22" applyAlignment="1" pivotButton="0" quotePrefix="0" xfId="0">
      <alignment horizontal="right" vertical="center"/>
    </xf>
    <xf numFmtId="3" fontId="84" fillId="39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right" vertical="center"/>
    </xf>
    <xf numFmtId="169" fontId="94" fillId="0" borderId="0" applyAlignment="1" pivotButton="0" quotePrefix="0" xfId="0">
      <alignment horizontal="right" vertical="center"/>
    </xf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>
        <f>SUM(I16:I20)</f>
        <v/>
      </c>
      <c r="J13" s="22">
        <f>SUM(J16:J20)</f>
        <v/>
      </c>
      <c r="K13" s="22">
        <f>SUM(K16:K20)</f>
        <v/>
      </c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>
        <f>I13-H13</f>
        <v/>
      </c>
      <c r="J14" s="22">
        <f>J13-I13</f>
        <v/>
      </c>
      <c r="K14" s="22">
        <f>K13-J13</f>
        <v/>
      </c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>
        <f>IFERROR((C13/B13)-1, 0)</f>
        <v/>
      </c>
      <c r="D15" s="22">
        <f>IFERROR((D13/C13)-1, 0)</f>
        <v/>
      </c>
      <c r="E15" s="22">
        <f>IFERROR((E13/D13)-1, 0)</f>
        <v/>
      </c>
      <c r="F15" s="22">
        <f>IFERROR((F13/E13)-1, 0)</f>
        <v/>
      </c>
      <c r="G15" s="22">
        <f>IFERROR((G13/F13)-1, 0)</f>
        <v/>
      </c>
      <c r="H15" s="22">
        <f>IFERROR((H13/G13)-1, 0)</f>
        <v/>
      </c>
      <c r="I15" s="22">
        <f>IFERROR((I13/H13)-1, 0)</f>
        <v/>
      </c>
      <c r="J15" s="22">
        <f>IFERROR((J13/I13)-1, 0)</f>
        <v/>
      </c>
      <c r="K15" s="22">
        <f>IFERROR((K13/J13)-1, 0)</f>
        <v/>
      </c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>
        <v>1341520</v>
      </c>
      <c r="C16" s="22" t="n">
        <v>1778048</v>
      </c>
      <c r="D16" s="22" t="n">
        <v>1506731</v>
      </c>
      <c r="E16" s="22" t="n">
        <v>1513423</v>
      </c>
      <c r="F16" s="22" t="n">
        <v>1669709</v>
      </c>
      <c r="G16" s="22" t="n">
        <v>1648740</v>
      </c>
      <c r="H16" s="22" t="n">
        <v>1875191</v>
      </c>
      <c r="I16" s="22" t="n">
        <v>1729694</v>
      </c>
      <c r="J16" s="22" t="n">
        <v>1623796</v>
      </c>
      <c r="K16" s="22" t="n">
        <v>1665199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>
        <v>542134</v>
      </c>
      <c r="C17" s="22" t="n">
        <v>713478</v>
      </c>
      <c r="D17" s="22" t="n">
        <v>845345</v>
      </c>
      <c r="E17" s="22" t="n">
        <v>175402</v>
      </c>
      <c r="F17" s="22" t="n">
        <v>720891</v>
      </c>
      <c r="G17" s="22" t="n">
        <v>982492</v>
      </c>
      <c r="H17" s="22" t="n">
        <v>497958</v>
      </c>
      <c r="I17" s="22" t="n">
        <v>644539</v>
      </c>
      <c r="J17" s="22" t="n">
        <v>1197093</v>
      </c>
      <c r="K17" s="22" t="n">
        <v>456338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>
        <v>325968</v>
      </c>
      <c r="C18" s="22" t="n">
        <v>363331</v>
      </c>
      <c r="D18" s="22" t="n">
        <v>325975</v>
      </c>
      <c r="E18" s="22" t="n">
        <v>559600</v>
      </c>
      <c r="F18" s="22" t="n">
        <v>637057</v>
      </c>
      <c r="G18" s="22" t="n">
        <v>488592</v>
      </c>
      <c r="H18" s="22" t="n">
        <v>440855</v>
      </c>
      <c r="I18" s="22" t="n">
        <v>656271</v>
      </c>
      <c r="J18" s="22" t="n">
        <v>755896</v>
      </c>
      <c r="K18" s="22" t="n">
        <v>907813</v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>
        <v>222703</v>
      </c>
      <c r="C19" s="22" t="n">
        <v>454540</v>
      </c>
      <c r="D19" s="22" t="n">
        <v>293426</v>
      </c>
      <c r="E19" s="22" t="n">
        <v>283498</v>
      </c>
      <c r="F19" s="22" t="n">
        <v>201216</v>
      </c>
      <c r="G19" s="22" t="n">
        <v>255134</v>
      </c>
      <c r="H19" s="22" t="n">
        <v>329659</v>
      </c>
      <c r="I19" s="22" t="n">
        <v>410305</v>
      </c>
      <c r="J19" s="22" t="n">
        <v>345132</v>
      </c>
      <c r="K19" s="22" t="n">
        <v>340229</v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>
        <v>160088</v>
      </c>
      <c r="C20" s="22" t="n">
        <v>153070</v>
      </c>
      <c r="D20" s="22" t="n">
        <v>240949</v>
      </c>
      <c r="E20" s="22" t="n">
        <v>157039</v>
      </c>
      <c r="F20" s="22" t="n">
        <v>44750</v>
      </c>
      <c r="G20" s="22" t="n">
        <v>33224</v>
      </c>
      <c r="H20" s="22" t="n">
        <v>24158</v>
      </c>
      <c r="I20" s="22" t="n">
        <v>24554</v>
      </c>
      <c r="J20" s="22" t="n">
        <v>30942</v>
      </c>
      <c r="K20" s="22" t="n">
        <v>127285</v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>
        <f>"Update to: " &amp; DAY(NOW())</f>
        <v/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/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/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/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/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/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/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>
        <v>1665199</v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>
        <v>1665199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 t="n">
        <v>456338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 t="n">
        <v>456338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>
        <v>907813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 t="n">
        <v>907813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 t="n">
        <v>340229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 t="n">
        <v>340229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>
        <v>127285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 t="n">
        <v>127285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/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/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/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/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/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/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/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/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/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/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/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>
        <v>2601280</v>
      </c>
      <c r="C3" s="310" t="n">
        <v>3470470</v>
      </c>
      <c r="D3" s="310" t="n">
        <v>3221705</v>
      </c>
      <c r="E3" s="310" t="n">
        <v>2699883</v>
      </c>
      <c r="F3" s="310" t="n">
        <v>3272867</v>
      </c>
      <c r="G3" s="310" t="n">
        <v>3407958</v>
      </c>
      <c r="H3" s="310" t="n">
        <v>3167821</v>
      </c>
      <c r="I3" s="310" t="n">
        <v>3465363</v>
      </c>
      <c r="J3" s="310" t="n">
        <v>3509044</v>
      </c>
      <c r="K3" s="33" t="n">
        <v>3665607</v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>
        <f>C3/B3-1</f>
        <v/>
      </c>
      <c r="D4" s="310">
        <f>D3/C3-1</f>
        <v/>
      </c>
      <c r="E4" s="310">
        <f>E3/D3-1</f>
        <v/>
      </c>
      <c r="F4" s="310">
        <f>F3/E3-1</f>
        <v/>
      </c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 t="n">
        <v>3273623</v>
      </c>
      <c r="G5" s="44" t="n">
        <v>3408182</v>
      </c>
      <c r="H5" s="44" t="n">
        <v>3167821</v>
      </c>
      <c r="I5" s="44" t="n">
        <v>3465363</v>
      </c>
      <c r="J5" s="44" t="n">
        <v>3952859</v>
      </c>
      <c r="K5" s="44" t="n"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>
        <f>IFERROR((F5/E5)-1, 0)</f>
        <v/>
      </c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>
        <v>1341520</v>
      </c>
      <c r="C9" s="310" t="n">
        <v>1778048</v>
      </c>
      <c r="D9" s="310" t="n">
        <v>1506731</v>
      </c>
      <c r="E9" s="310" t="n">
        <v>1513423</v>
      </c>
      <c r="F9" s="310" t="n">
        <v>1669709</v>
      </c>
      <c r="G9" s="310" t="n">
        <v>1648740</v>
      </c>
      <c r="H9" s="310" t="n">
        <v>1875191</v>
      </c>
      <c r="I9" s="310" t="n">
        <v>1729694</v>
      </c>
      <c r="J9" s="310" t="n">
        <v>1623796</v>
      </c>
      <c r="K9" s="310" t="n">
        <v>1665199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>
        <v>542134</v>
      </c>
      <c r="C10" s="310" t="n">
        <v>713478</v>
      </c>
      <c r="D10" s="310" t="n">
        <v>845345</v>
      </c>
      <c r="E10" s="310" t="n">
        <v>175402</v>
      </c>
      <c r="F10" s="310" t="n">
        <v>720891</v>
      </c>
      <c r="G10" s="310" t="n">
        <v>982492</v>
      </c>
      <c r="H10" s="310" t="n">
        <v>497958</v>
      </c>
      <c r="I10" s="310" t="n">
        <v>644539</v>
      </c>
      <c r="J10" s="310" t="n">
        <v>1197093</v>
      </c>
      <c r="K10" s="310" t="n">
        <v>456338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>
        <v>325968</v>
      </c>
      <c r="C11" s="310" t="n">
        <v>363331</v>
      </c>
      <c r="D11" s="310" t="n">
        <v>325975</v>
      </c>
      <c r="E11" s="310" t="n">
        <v>559600</v>
      </c>
      <c r="F11" s="310" t="n">
        <v>637057</v>
      </c>
      <c r="G11" s="310" t="n">
        <v>488592</v>
      </c>
      <c r="H11" s="310" t="n">
        <v>440855</v>
      </c>
      <c r="I11" s="310" t="n">
        <v>656271</v>
      </c>
      <c r="J11" s="310" t="n">
        <v>755896</v>
      </c>
      <c r="K11" s="310" t="n">
        <v>907813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>
        <v>222703</v>
      </c>
      <c r="C12" s="310" t="n">
        <v>454540</v>
      </c>
      <c r="D12" s="310" t="n">
        <v>293426</v>
      </c>
      <c r="E12" s="310" t="n">
        <v>283498</v>
      </c>
      <c r="F12" s="310" t="n">
        <v>201216</v>
      </c>
      <c r="G12" s="310" t="n">
        <v>255134</v>
      </c>
      <c r="H12" s="310" t="n">
        <v>329659</v>
      </c>
      <c r="I12" s="310" t="n">
        <v>410305</v>
      </c>
      <c r="J12" s="310" t="n">
        <v>345132</v>
      </c>
      <c r="K12" s="310" t="n">
        <v>340229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>
        <v>160088</v>
      </c>
      <c r="C13" s="310" t="n">
        <v>153070</v>
      </c>
      <c r="D13" s="310" t="n">
        <v>240949</v>
      </c>
      <c r="E13" s="310" t="n">
        <v>157039</v>
      </c>
      <c r="F13" s="310" t="n">
        <v>44750</v>
      </c>
      <c r="G13" s="310" t="n">
        <v>33224</v>
      </c>
      <c r="H13" s="310" t="n">
        <v>24158</v>
      </c>
      <c r="I13" s="310" t="n">
        <v>24554</v>
      </c>
      <c r="J13" s="310" t="n">
        <v>30942</v>
      </c>
      <c r="K13" s="310" t="n">
        <v>127285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>
        <f>B9/$B$5</f>
        <v/>
      </c>
      <c r="C15" s="71">
        <f>C9/$C$5</f>
        <v/>
      </c>
      <c r="D15" s="71">
        <f>D9/$D$5</f>
        <v/>
      </c>
      <c r="E15" s="71">
        <f>E9/$E$5</f>
        <v/>
      </c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>
        <f>B10/$B$5</f>
        <v/>
      </c>
      <c r="C16" s="71">
        <f>C10/$C$5</f>
        <v/>
      </c>
      <c r="D16" s="71">
        <f>D10/$D$5</f>
        <v/>
      </c>
      <c r="E16" s="71">
        <f>E10/$E$5</f>
        <v/>
      </c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>
        <f>B11/$B$5</f>
        <v/>
      </c>
      <c r="C17" s="71">
        <f>C11/$C$5</f>
        <v/>
      </c>
      <c r="D17" s="71">
        <f>D11/$D$5</f>
        <v/>
      </c>
      <c r="E17" s="71">
        <f>E11/$E$5</f>
        <v/>
      </c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>
        <f>B12/$B$5</f>
        <v/>
      </c>
      <c r="C18" s="71">
        <f>C12/$C$5</f>
        <v/>
      </c>
      <c r="D18" s="71">
        <f>D12/$D$5</f>
        <v/>
      </c>
      <c r="E18" s="71">
        <f>E12/$E$5</f>
        <v/>
      </c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>
        <f>B13/$B$5</f>
        <v/>
      </c>
      <c r="C19" s="71">
        <f>C13/$C$5</f>
        <v/>
      </c>
      <c r="D19" s="71">
        <f>D13/$D$5</f>
        <v/>
      </c>
      <c r="E19" s="71">
        <f>E13/$E$5</f>
        <v/>
      </c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>
        <f>B15+B17+B18+B19</f>
        <v/>
      </c>
      <c r="C20" s="71">
        <f>C15+C17+C18+C19</f>
        <v/>
      </c>
      <c r="D20" s="71">
        <f>D15+D17+D18+D19</f>
        <v/>
      </c>
      <c r="E20" s="71">
        <f>E15+E17+E18+E19</f>
        <v/>
      </c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>
        <f>"Update to: " &amp; DAY(NOW())</f>
        <v/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/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/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/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>
        <f>IFERROR(REPT("█", ROUND(K6/K3*4,0)) &amp; " " &amp; TEXT(K6/K3,"0%"), "")</f>
        <v/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 t="n">
        <v>1665199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 t="n">
        <v>456338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 t="n">
        <v>907813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 t="n">
        <v>340229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>
        <v>127285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36" customWidth="1" style="346" min="1" max="1"/>
    <col hidden="1" outlineLevel="1" width="12" customWidth="1" style="346" min="2" max="7"/>
    <col width="12" customWidth="1" style="346" min="3" max="3"/>
    <col width="12" customWidth="1" style="346" min="4" max="4"/>
    <col width="12" customWidth="1" style="346" min="5" max="5"/>
    <col width="12" customWidth="1" style="346" min="6" max="6"/>
    <col width="12" customWidth="1" style="346" min="7" max="7"/>
    <col width="12" customWidth="1" style="346" min="8" max="13"/>
    <col width="12" customWidth="1" style="346" min="9" max="9"/>
    <col width="12" customWidth="1" style="346" min="10" max="10"/>
    <col width="12" customWidth="1" style="346" min="11" max="11"/>
    <col width="12" customWidth="1" style="346" min="12" max="12"/>
    <col width="12" customWidth="1" style="346" min="13" max="13"/>
    <col collapsed="1" width="12" customWidth="1" style="346" min="14" max="14"/>
    <col hidden="1" outlineLevel="1" width="12" customWidth="1" style="346" min="15" max="20"/>
    <col width="12" customWidth="1" style="346" min="16" max="16"/>
    <col width="12" customWidth="1" style="346" min="17" max="17"/>
    <col width="12" customWidth="1" style="346" min="18" max="18"/>
    <col width="12" customWidth="1" style="346" min="19" max="19"/>
    <col width="12" customWidth="1" style="346" min="20" max="20"/>
    <col width="10.75" customWidth="1" style="346" min="21" max="26"/>
    <col width="12.63" customWidth="1" style="346" min="27" max="27"/>
  </cols>
  <sheetData>
    <row r="1">
      <c r="A1" s="351" t="inlineStr">
        <is>
          <t>Cấu trúc Phân khối &amp; Dự án Web</t>
        </is>
      </c>
      <c r="B1" s="352" t="inlineStr">
        <is>
          <t>LŨY KẾ MTD (Month to Date - Cập nhật ngày 30)</t>
        </is>
      </c>
      <c r="J1" s="353" t="inlineStr">
        <is>
          <t>MoM Net Add</t>
        </is>
      </c>
      <c r="K1" s="354" t="inlineStr">
        <is>
          <t>W2A CVR</t>
        </is>
      </c>
      <c r="L1" s="355" t="inlineStr">
        <is>
          <t>TOÀN BỘ TRỌN THÁNG (Full Month)</t>
        </is>
      </c>
      <c r="T1" s="356" t="inlineStr">
        <is>
          <t>MoM Net Add</t>
        </is>
      </c>
      <c r="AA1" s="139" t="inlineStr">
        <is>
          <t>Vs. SPLM</t>
        </is>
      </c>
      <c r="AB1" s="140" t="n"/>
      <c r="AC1" s="140" t="n"/>
      <c r="AD1" s="140" t="n"/>
    </row>
    <row r="2">
      <c r="A2" s="357" t="inlineStr">
        <is>
          <t>Chỉ số / Tên Dự Án</t>
        </is>
      </c>
      <c r="B2" s="358" t="n">
        <v>46143</v>
      </c>
      <c r="C2" s="358" t="n">
        <v>46174</v>
      </c>
      <c r="D2" s="358" t="n">
        <v>46204</v>
      </c>
      <c r="E2" s="358" t="n">
        <v>46235</v>
      </c>
      <c r="F2" s="358" t="n">
        <v>46266</v>
      </c>
      <c r="G2" s="403" t="n">
        <v>46296</v>
      </c>
      <c r="H2" s="358" t="n">
        <v>46327</v>
      </c>
      <c r="I2" s="358" t="n">
        <v>46357</v>
      </c>
      <c r="J2" s="358" t="inlineStr">
        <is>
          <t>T10 vs T9</t>
        </is>
      </c>
      <c r="K2" s="358" t="inlineStr">
        <is>
          <t>Tỷ lệ CVR</t>
        </is>
      </c>
      <c r="L2" s="358" t="n">
        <v>46143</v>
      </c>
      <c r="M2" s="358" t="n">
        <v>46174</v>
      </c>
      <c r="N2" s="358" t="n">
        <v>46204</v>
      </c>
      <c r="O2" s="358" t="n">
        <v>46235</v>
      </c>
      <c r="P2" s="358" t="n">
        <v>46266</v>
      </c>
      <c r="Q2" s="403" t="n">
        <v>46296</v>
      </c>
      <c r="R2" s="358" t="n">
        <v>46327</v>
      </c>
      <c r="S2" s="358" t="n">
        <v>46357</v>
      </c>
      <c r="T2" s="358" t="inlineStr">
        <is>
          <t>T10 vs T9</t>
        </is>
      </c>
      <c r="U2" s="360" t="n"/>
      <c r="V2" s="360" t="n"/>
      <c r="W2" s="360" t="n"/>
      <c r="X2" s="360" t="n"/>
      <c r="Y2" s="360" t="n"/>
      <c r="Z2" s="360" t="n"/>
      <c r="AA2" s="143" t="inlineStr">
        <is>
          <t>Full vs. cùng kỳ</t>
        </is>
      </c>
      <c r="AB2" s="140" t="n"/>
      <c r="AC2" s="140" t="n"/>
      <c r="AD2" s="140" t="n"/>
    </row>
    <row r="3">
      <c r="A3" s="404" t="inlineStr">
        <is>
          <t>Page views (Actual)</t>
        </is>
      </c>
      <c r="B3" s="405">
        <f>SUM(B8, B22, B24, B26, B28, B58, B66, B68, B70, B72, B74, B80, B82, B84, B86, B88, B90, B92, B94, B96, B98, B100, B102, B104, B106, B108, B110, B112, B114, B116, B118, B124, B126, B128, B130, B132, B134, B136)</f>
        <v/>
      </c>
      <c r="C3" s="405">
        <f>SUM(C8, C22, C24, C26, C28, C58, C66, C68, C70, C72, C74, C80, C82, C84, C86, C88, C90, C92, C94, C96, C98, C100, C102, C104, C106, C108, C110, C112, C114, C116, C118, C124, C126, C128, C130, C132, C134, C136)</f>
        <v/>
      </c>
      <c r="D3" s="405">
        <f>SUM(D8, D22, D24, D26, D28, D58, D66, D68, D70, D72, D74, D80, D82, D84, D86, D88, D90, D92, D94, D96, D98, D100, D102, D104, D106, D108, D110, D112, D114, D116, D118, D124, D126, D128, D130, D132, D134, D136)</f>
        <v/>
      </c>
      <c r="E3" s="405">
        <f>SUM(E8, E22, E24, E26, E28, E58, E66, E68, E70, E72, E74, E80, E82, E84, E86, E88, E90, E92, E94, E96, E98, E100, E102, E104, E106, E108, E110, E112, E114, E116, E118, E124, E126, E128, E130, E132, E134, E136)</f>
        <v/>
      </c>
      <c r="F3" s="405">
        <f>SUM(F8, F22, F24, F26, F28, F58, F66, F68, F70, F72, F74, F80, F82, F84, F86, F88, F90, F92, F94, F96, F98, F100, F102, F104, F106, F108, F110, F112, F114, F116, F118, F124, F126, F128, F130, F132, F134, F136)</f>
        <v/>
      </c>
      <c r="G3" s="405">
        <f>ARRAY_CONSTRAIN(ARRAYFORMULA(INDEX('MTD Pivot'!$D$3:$K$400, MATCH("Grand Total", 'MTD Pivot'!$A$3:$A$400, 0), MATCH(G$2, 'MTD Pivot'!$D$2:$K$2, 0))), 1, 1)</f>
        <v/>
      </c>
      <c r="H3" s="405">
        <f>SUM(H8, H22, H24, H26, H28, H58, H66, H68, H70, H72, H74, H80, H82, H84, H86, H88, H90, H92, H94, H96, H98, H100, H102, H104, H106, H108, H110, H112, H114, H116, H118, H124, H126, H128, H130, H132, H134, H136)</f>
        <v/>
      </c>
      <c r="I3" s="405">
        <f>SUM(I8, I22, I24, I26, I28, I58, I66, I68, I70, I72, I74, I80, I82, I84, I86, I88, I90, I92, I94, I96, I98, I100, I102, I104, I106, I108, I110, I112, I114, I116, I118, I124, I126, I128, I130, I132, I134, I136)</f>
        <v/>
      </c>
      <c r="J3" s="406">
        <f>G3-F3</f>
        <v/>
      </c>
      <c r="K3" s="407">
        <f>SUM(G9, G23, G25, G27, G29, G59, G67, G69, G71, G73, G75, G81, G83, G85, G87, G89, G91, G93, G95, G97, G99, G101, G103, G105, G107, G109, G111, G113, G115, G117, G119, G125, G127, G129, G131, G133, G135, G137)/G3</f>
        <v/>
      </c>
      <c r="L3" s="405">
        <f>SUM(L8, L22, L24, L26, L28, L58, L66, L68, L70, L72, L74, L80, L82, L84, L86, L88, L90, L92, L94, L96, L98, L100, L102, L104, L106, L108, L110, L112, L114, L116, L118, L124, L126, L128, L130, L132, L134, L136)</f>
        <v/>
      </c>
      <c r="M3" s="405">
        <f>SUM(M8, M22, M24, M26, M28, M58, M66, M68, M70, M72, M74, M80, M82, M84, M86, M88, M90, M92, M94, M96, M98, M100, M102, M104, M106, M108, M110, M112, M114, M116, M118, M124, M126, M128, M130, M132, M134, M136)</f>
        <v/>
      </c>
      <c r="N3" s="405">
        <f>SUM(N8, N22, N24, N26, N28, N58, N66, N68, N70, N72, N74, N80, N82, N84, N86, N88, N90, N92, N94, N96, N98, N100, N102, N104, N106, N108, N110, N112, N114, N116, N118, N124, N126, N128, N130, N132, N134, N136)</f>
        <v/>
      </c>
      <c r="O3" s="405">
        <f>SUM(O8, O22, O24, O26, O28, O58, O66, O68, O70, O72, O74, O80, O82, O84, O86, O88, O90, O92, O94, O96, O98, O100, O102, O104, O106, O108, O110, O112, O114, O116, O118, O124, O126, O128, O130, O132, O134, O136)</f>
        <v/>
      </c>
      <c r="P3" s="405">
        <f>SUM(P8, P22, P24, P26, P28, P58, P66, P68, P70, P72, P74, P80, P82, P84, P86, P88, P90, P92, P94, P96, P98, P100, P102, P104, P106, P108, P110, P112, P114, P116, P118, P124, P126, P128, P130, P132, P134, P136)</f>
        <v/>
      </c>
      <c r="Q3" s="405">
        <f>ARRAY_CONSTRAIN(ARRAYFORMULA(INDEX('Full month Pivot'!$D$3:$K$400, MATCH("Grand Total", 'Full month Pivot'!$A$3:$A$400, 0), MATCH(Q$2, 'Full month Pivot'!$D$2:$K$2, 0))), 1, 1)</f>
        <v/>
      </c>
      <c r="R3" s="405">
        <f>SUM(R8, R22, R24, R26, R28, R58, R66, R68, R70, R72, R74, R80, R82, R84, R86, R88, R90, R92, R94, R96, R98, R100, R102, R104, R106, R108, R110, R112, R114, R116, R118, R124, R126, R128, R130, R132, R134, R136)</f>
        <v/>
      </c>
      <c r="S3" s="405">
        <f>SUM(S8, S22, S24, S26, S28, S58, S66, S68, S70, S72, S74, S80, S82, S84, S86, S88, S90, S92, S94, S96, S98, S100, S102, S104, S106, S108, S110, S112, S114, S116, S118, S124, S126, S128, S130, S132, S134, S136)</f>
        <v/>
      </c>
      <c r="T3" s="406">
        <f>G3-F3</f>
        <v/>
      </c>
      <c r="U3" s="365" t="n"/>
      <c r="V3" s="365" t="n"/>
      <c r="W3" s="365" t="n"/>
      <c r="X3" s="365" t="n"/>
      <c r="Y3" s="365" t="n"/>
      <c r="Z3" s="365" t="n"/>
      <c r="AA3" s="145" t="n"/>
      <c r="AB3" s="140" t="n"/>
      <c r="AC3" s="140" t="n"/>
      <c r="AD3" s="140" t="n"/>
    </row>
    <row r="4">
      <c r="A4" s="366" t="inlineStr">
        <is>
          <t xml:space="preserve">   Net change</t>
        </is>
      </c>
      <c r="B4" s="367" t="n"/>
      <c r="C4" s="367">
        <f>C3-B3</f>
        <v/>
      </c>
      <c r="D4" s="367">
        <f>D3-C3</f>
        <v/>
      </c>
      <c r="E4" s="367">
        <f>E3-D3</f>
        <v/>
      </c>
      <c r="F4" s="367">
        <f>F3-E3</f>
        <v/>
      </c>
      <c r="G4" s="367">
        <f>G3-F3</f>
        <v/>
      </c>
      <c r="H4" s="367" t="n"/>
      <c r="I4" s="367" t="n"/>
      <c r="J4" s="368" t="n"/>
      <c r="K4" s="369" t="n"/>
      <c r="L4" s="367" t="n"/>
      <c r="M4" s="367">
        <f>M3-L3</f>
        <v/>
      </c>
      <c r="N4" s="367">
        <f>N3-M3</f>
        <v/>
      </c>
      <c r="O4" s="367">
        <f>O3-N3</f>
        <v/>
      </c>
      <c r="P4" s="367">
        <f>P3-O3</f>
        <v/>
      </c>
      <c r="Q4" s="367">
        <f>Q3-P3</f>
        <v/>
      </c>
      <c r="R4" s="367" t="n"/>
      <c r="S4" s="367" t="n"/>
      <c r="T4" s="367" t="n"/>
      <c r="U4" s="367" t="n"/>
      <c r="V4" s="367" t="n"/>
      <c r="W4" s="367" t="n"/>
      <c r="X4" s="367" t="n"/>
      <c r="Y4" s="367" t="n"/>
      <c r="Z4" s="367" t="n"/>
      <c r="AA4" s="148">
        <f>IFERROR((X4-W4)/W4, "")</f>
        <v/>
      </c>
      <c r="AB4" s="140" t="n"/>
      <c r="AC4" s="140" t="n"/>
      <c r="AD4" s="140" t="n"/>
    </row>
    <row r="5">
      <c r="A5" s="370" t="inlineStr">
        <is>
          <t xml:space="preserve">  Growth Rate (%)</t>
        </is>
      </c>
      <c r="B5" s="371" t="n"/>
      <c r="C5" s="371">
        <f>C3/B3-1</f>
        <v/>
      </c>
      <c r="D5" s="371">
        <f>D3/C3-1</f>
        <v/>
      </c>
      <c r="E5" s="371">
        <f>E3/D3-1</f>
        <v/>
      </c>
      <c r="F5" s="371">
        <f>F3/E3-1</f>
        <v/>
      </c>
      <c r="G5" s="371">
        <f>G3/F3-1</f>
        <v/>
      </c>
      <c r="H5" s="371" t="n"/>
      <c r="I5" s="371" t="n"/>
      <c r="J5" s="372" t="n"/>
      <c r="K5" s="371" t="n"/>
      <c r="L5" s="371" t="n"/>
      <c r="M5" s="371">
        <f>M3/L3-1</f>
        <v/>
      </c>
      <c r="N5" s="371">
        <f>N3/M3-1</f>
        <v/>
      </c>
      <c r="O5" s="371">
        <f>O3/N3-1</f>
        <v/>
      </c>
      <c r="P5" s="371">
        <f>P3/O3-1</f>
        <v/>
      </c>
      <c r="Q5" s="371">
        <f>Q3/P3-1</f>
        <v/>
      </c>
      <c r="R5" s="373" t="n"/>
      <c r="S5" s="373" t="n"/>
      <c r="T5" s="373" t="n"/>
      <c r="U5" s="373" t="n"/>
      <c r="V5" s="373" t="n"/>
      <c r="W5" s="373" t="n"/>
      <c r="X5" s="373" t="n"/>
      <c r="Y5" s="373" t="n"/>
      <c r="Z5" s="373" t="n"/>
      <c r="AA5" s="151">
        <f>IFERROR((X5-W5)/W5, "")</f>
        <v/>
      </c>
      <c r="AB5" s="140" t="n"/>
      <c r="AC5" s="140" t="n"/>
      <c r="AD5" s="140" t="n"/>
    </row>
    <row r="6">
      <c r="A6" s="374" t="n"/>
      <c r="B6" s="375" t="n"/>
      <c r="C6" s="375" t="n"/>
      <c r="D6" s="375" t="n"/>
      <c r="E6" s="375" t="n"/>
      <c r="F6" s="375" t="n"/>
      <c r="G6" s="375" t="n"/>
      <c r="H6" s="375" t="n"/>
      <c r="I6" s="375" t="n"/>
      <c r="J6" s="375" t="n"/>
      <c r="K6" s="375" t="n"/>
      <c r="L6" s="375" t="n"/>
      <c r="M6" s="375" t="n"/>
      <c r="N6" s="375" t="n"/>
      <c r="O6" s="375" t="n"/>
      <c r="P6" s="375" t="n"/>
      <c r="Q6" s="375" t="n"/>
      <c r="R6" s="375" t="n"/>
      <c r="S6" s="375" t="n"/>
      <c r="T6" s="375" t="n"/>
      <c r="U6" s="375" t="n"/>
      <c r="V6" s="375" t="n"/>
      <c r="W6" s="375" t="n"/>
      <c r="X6" s="375" t="n"/>
      <c r="Y6" s="375" t="n"/>
      <c r="Z6" s="375" t="n"/>
      <c r="AA6" s="153" t="n"/>
      <c r="AB6" s="140" t="n"/>
      <c r="AC6" s="140" t="n"/>
      <c r="AD6" s="140" t="n"/>
    </row>
    <row r="7">
      <c r="A7" s="374" t="inlineStr">
        <is>
          <t>Page view by Project</t>
        </is>
      </c>
      <c r="B7" s="376" t="n"/>
      <c r="C7" s="376" t="n"/>
      <c r="D7" s="376" t="n"/>
      <c r="E7" s="376" t="n"/>
      <c r="F7" s="376" t="n"/>
      <c r="G7" s="376" t="n"/>
      <c r="H7" s="376" t="n"/>
      <c r="I7" s="376" t="n"/>
      <c r="J7" s="376" t="n"/>
      <c r="K7" s="376" t="n"/>
      <c r="L7" s="376" t="n"/>
      <c r="M7" s="376" t="n"/>
      <c r="N7" s="376" t="n"/>
      <c r="O7" s="376" t="n"/>
      <c r="P7" s="376" t="n"/>
      <c r="Q7" s="376" t="n"/>
      <c r="R7" s="376" t="n"/>
      <c r="S7" s="376" t="n"/>
      <c r="T7" s="376" t="n"/>
      <c r="U7" s="376" t="n"/>
      <c r="V7" s="376" t="n"/>
      <c r="W7" s="376" t="n"/>
      <c r="X7" s="376" t="n"/>
      <c r="Y7" s="376" t="n"/>
      <c r="Z7" s="376" t="n"/>
      <c r="AA7" s="203" t="n"/>
      <c r="AB7" s="140" t="n"/>
      <c r="AC7" s="140" t="n"/>
      <c r="AD7" s="140" t="n"/>
    </row>
    <row r="8">
      <c r="A8" s="408" t="inlineStr">
        <is>
          <t>Cinema Hub</t>
        </is>
      </c>
      <c r="B8" s="409">
        <f>SUM(B10, B12, B14, B16, B18, B20)</f>
        <v/>
      </c>
      <c r="C8" s="409">
        <f>SUM(C10, C12, C14, C16, C18, C20)</f>
        <v/>
      </c>
      <c r="D8" s="409">
        <f>SUM(D10, D12, D14, D16, D18, D20)</f>
        <v/>
      </c>
      <c r="E8" s="409">
        <f>SUM(E10, E12, E14, E16, E18, E20)</f>
        <v/>
      </c>
      <c r="F8" s="409">
        <f>SUM(F10, F12, F14, F16, F18, F20)</f>
        <v/>
      </c>
      <c r="G8" s="410">
        <f>SUM(G10, G12, G14, G16, G18, G20)</f>
        <v/>
      </c>
      <c r="H8" s="409">
        <f>SUM(H10, H12, H14, H16, H18, H20)</f>
        <v/>
      </c>
      <c r="I8" s="409">
        <f>SUM(I10, I12, I14, I16, I18, I20)</f>
        <v/>
      </c>
      <c r="J8" s="411">
        <f>G8-F8</f>
        <v/>
      </c>
      <c r="K8" s="412" t="n"/>
      <c r="L8" s="409">
        <f>SUM(L10, L12, L14, L16, L18, L20)</f>
        <v/>
      </c>
      <c r="M8" s="409">
        <f>SUM(M10, M12, M14, M16, M18, M20)</f>
        <v/>
      </c>
      <c r="N8" s="409">
        <f>SUM(N10, N12, N14, N16, N18, N20)</f>
        <v/>
      </c>
      <c r="O8" s="409">
        <f>SUM(O10, O12, O14, O16, O18, O20)</f>
        <v/>
      </c>
      <c r="P8" s="409">
        <f>SUM(P10, P12, P14, P16, P18, P20)</f>
        <v/>
      </c>
      <c r="Q8" s="410">
        <f>SUM(Q10, Q12, Q14, Q16, Q18, Q20)</f>
        <v/>
      </c>
      <c r="R8" s="409">
        <f>SUM(R10, R12, R14, R16, R18, R20)</f>
        <v/>
      </c>
      <c r="S8" s="409">
        <f>SUM(S10, S12, S14, S16, S18, S20)</f>
        <v/>
      </c>
      <c r="T8" s="411">
        <f>G8-F8</f>
        <v/>
      </c>
      <c r="U8" s="381" t="n"/>
      <c r="V8" s="381" t="n"/>
      <c r="W8" s="381" t="n"/>
      <c r="X8" s="381" t="n"/>
      <c r="Y8" s="381" t="n"/>
      <c r="Z8" s="381" t="n"/>
      <c r="AA8" s="157">
        <f>IF(AND(ISNUMBER(X8), ISNUMBER(W8)), X8-W8, "")</f>
        <v/>
      </c>
      <c r="AB8" s="140" t="n"/>
      <c r="AC8" s="140" t="n"/>
      <c r="AD8" s="140" t="n"/>
    </row>
    <row r="9">
      <c r="A9" s="413" t="inlineStr">
        <is>
          <t xml:space="preserve">  ↳ Click to app: Cinema Hub</t>
        </is>
      </c>
      <c r="B9" s="414" t="n"/>
      <c r="C9" s="414" t="n"/>
      <c r="D9" s="414" t="n"/>
      <c r="E9" s="414" t="n"/>
      <c r="F9" s="414">
        <f>SUM(F11, F13, F15, F17, F19, F21)</f>
        <v/>
      </c>
      <c r="G9" s="415">
        <f>SUM(G11, G13, G15, G17, G19, G21)</f>
        <v/>
      </c>
      <c r="H9" s="414" t="n"/>
      <c r="I9" s="414" t="n"/>
      <c r="J9" s="416">
        <f>G9-F9</f>
        <v/>
      </c>
      <c r="K9" s="417">
        <f>IF(G8&gt;0, G9/G8, 0)</f>
        <v/>
      </c>
      <c r="L9" s="414" t="n"/>
      <c r="M9" s="414" t="n"/>
      <c r="N9" s="414" t="n"/>
      <c r="O9" s="414" t="n"/>
      <c r="P9" s="414">
        <f>SUM(P11, P13, P15, P17, P19, P21)</f>
        <v/>
      </c>
      <c r="Q9" s="415">
        <f>G9</f>
        <v/>
      </c>
      <c r="R9" s="414" t="n"/>
      <c r="S9" s="414" t="n"/>
      <c r="T9" s="416">
        <f>G9-F9</f>
        <v/>
      </c>
      <c r="U9" s="386" t="n"/>
      <c r="V9" s="386" t="n"/>
      <c r="W9" s="386" t="n"/>
      <c r="X9" s="386" t="n"/>
      <c r="Y9" s="386" t="n"/>
      <c r="Z9" s="386" t="n"/>
      <c r="AA9" s="157">
        <f>IF(AND(ISNUMBER(X9), ISNUMBER(W9), W9&gt;0), (X9-W9)/W9, "")</f>
        <v/>
      </c>
      <c r="AB9" s="140" t="n"/>
      <c r="AC9" s="140" t="n"/>
      <c r="AD9" s="140" t="n"/>
    </row>
    <row r="10" outlineLevel="1" s="346">
      <c r="A10" s="418" t="inlineStr">
        <is>
          <t xml:space="preserve">    Cinema_Cineplex Page</t>
        </is>
      </c>
      <c r="B10" s="419">
        <f>SUMPRODUCT(('MTD Pivot'!$A$3:$A$400=TRIM($A$10))*('MTD Pivot'!$D$2:$K$2=B$2)*'MTD Pivot'!$D$3:$K$400)</f>
        <v/>
      </c>
      <c r="C10" s="419">
        <f>SUMPRODUCT(('MTD Pivot'!$A$3:$A$400=TRIM($A$10))*('MTD Pivot'!$D$2:$K$2=C$2)*'MTD Pivot'!$D$3:$K$400)</f>
        <v/>
      </c>
      <c r="D10" s="419">
        <f>SUMPRODUCT(('MTD Pivot'!$A$3:$A$400=TRIM($A$10))*('MTD Pivot'!$D$2:$K$2=D$2)*'MTD Pivot'!$D$3:$K$400)</f>
        <v/>
      </c>
      <c r="E10" s="419">
        <f>SUMPRODUCT(('MTD Pivot'!$A$3:$A$400=TRIM($A$10))*('MTD Pivot'!$D$2:$K$2=E$2)*'MTD Pivot'!$D$3:$K$400)</f>
        <v/>
      </c>
      <c r="F10" s="419">
        <f>SUMPRODUCT(('MTD Pivot'!$A$3:$A$400=TRIM($A$10))*('MTD Pivot'!$D$2:$K$2=F$2)*'MTD Pivot'!$D$3:$K$400)</f>
        <v/>
      </c>
      <c r="G10" s="420">
        <f>SUMPRODUCT(('MTD Pivot'!$A$3:$A$400=TRIM($A$10))*('MTD Pivot'!$D$2:$K$2=G$2)*'MTD Pivot'!$D$3:$K$400)</f>
        <v/>
      </c>
      <c r="H10" s="419">
        <f>SUMPRODUCT(('MTD Pivot'!$A$3:$A$400=TRIM($A$10))*('MTD Pivot'!$D$2:$K$2=H$2)*'MTD Pivot'!$D$3:$K$400)</f>
        <v/>
      </c>
      <c r="I10" s="419">
        <f>SUMPRODUCT(('MTD Pivot'!$A$3:$A$400=TRIM($A$10))*('MTD Pivot'!$D$2:$K$2=I$2)*'MTD Pivot'!$D$3:$K$400)</f>
        <v/>
      </c>
      <c r="J10" s="421">
        <f>G10-F10</f>
        <v/>
      </c>
      <c r="K10" s="422" t="n"/>
      <c r="L10" s="419">
        <f>SUMPRODUCT(('Full month Pivot'!$A$3:$A$400=TRIM($A$10))*('Full month Pivot'!$D$2:$K$2=L$2)*'Full month Pivot'!$D$3:$K$400)</f>
        <v/>
      </c>
      <c r="M10" s="419">
        <f>SUMPRODUCT(('Full month Pivot'!$A$3:$A$400=TRIM($A$10))*('Full month Pivot'!$D$2:$K$2=M$2)*'Full month Pivot'!$D$3:$K$400)</f>
        <v/>
      </c>
      <c r="N10" s="419">
        <f>SUMPRODUCT(('Full month Pivot'!$A$3:$A$400=TRIM($A$10))*('Full month Pivot'!$D$2:$K$2=N$2)*'Full month Pivot'!$D$3:$K$400)</f>
        <v/>
      </c>
      <c r="O10" s="419">
        <f>SUMPRODUCT(('Full month Pivot'!$A$3:$A$400=TRIM($A$10))*('Full month Pivot'!$D$2:$K$2=O$2)*'Full month Pivot'!$D$3:$K$400)</f>
        <v/>
      </c>
      <c r="P10" s="419">
        <f>SUMPRODUCT(('Full month Pivot'!$A$3:$A$400=TRIM($A$10))*('Full month Pivot'!$D$2:$K$2=P$2)*'Full month Pivot'!$D$3:$K$400)</f>
        <v/>
      </c>
      <c r="Q10" s="420">
        <f>SUMPRODUCT(('Full month Pivot'!$A$3:$A$400=TRIM($A$10))*('Full month Pivot'!$D$2:$K$2=Q$2)*'Full month Pivot'!$D$3:$K$400)</f>
        <v/>
      </c>
      <c r="R10" s="419">
        <f>SUMPRODUCT(('Full month Pivot'!$A$3:$A$400=TRIM($A$10))*('Full month Pivot'!$D$2:$K$2=R$2)*'Full month Pivot'!$D$3:$K$400)</f>
        <v/>
      </c>
      <c r="S10" s="419">
        <f>SUMPRODUCT(('Full month Pivot'!$A$3:$A$400=TRIM($A$10))*('Full month Pivot'!$D$2:$K$2=S$2)*'Full month Pivot'!$D$3:$K$400)</f>
        <v/>
      </c>
      <c r="T10" s="421">
        <f>G10-F10</f>
        <v/>
      </c>
      <c r="U10" s="386" t="n"/>
      <c r="V10" s="386" t="n"/>
      <c r="W10" s="386" t="n"/>
      <c r="X10" s="386" t="n"/>
      <c r="Y10" s="386" t="n"/>
      <c r="Z10" s="386" t="n"/>
      <c r="AA10" s="157">
        <f>IF(AND(ISNUMBER(X10), ISNUMBER(W10), W10&gt;0), (X10-W10)/W10, "")</f>
        <v/>
      </c>
      <c r="AB10" s="140" t="n"/>
      <c r="AC10" s="140" t="n"/>
      <c r="AD10" s="140" t="n"/>
    </row>
    <row r="11" outlineLevel="1" s="346">
      <c r="A11" s="423" t="inlineStr">
        <is>
          <t xml:space="preserve">        ↳ Click: Cinema_Cineplex Page</t>
        </is>
      </c>
      <c r="B11" s="424" t="n"/>
      <c r="C11" s="424" t="n"/>
      <c r="D11" s="424" t="n"/>
      <c r="E11" s="424" t="n"/>
      <c r="F11" s="424" t="n">
        <v>4531</v>
      </c>
      <c r="G11" s="425" t="n">
        <v>7527</v>
      </c>
      <c r="H11" s="424" t="n"/>
      <c r="I11" s="424" t="n"/>
      <c r="J11" s="426">
        <f>G11-F11</f>
        <v/>
      </c>
      <c r="K11" s="417">
        <f>IF(G10&gt;0, G11/G10, 0)</f>
        <v/>
      </c>
      <c r="L11" s="424" t="n"/>
      <c r="M11" s="424" t="n"/>
      <c r="N11" s="424" t="n"/>
      <c r="O11" s="424" t="n"/>
      <c r="P11" s="424" t="n">
        <v>6250</v>
      </c>
      <c r="Q11" s="425">
        <f>G11</f>
        <v/>
      </c>
      <c r="R11" s="424" t="n"/>
      <c r="S11" s="424" t="n"/>
      <c r="T11" s="426">
        <f>G11-F11</f>
        <v/>
      </c>
      <c r="U11" s="386" t="n"/>
      <c r="V11" s="386" t="n"/>
      <c r="W11" s="386" t="n"/>
      <c r="X11" s="386" t="n"/>
      <c r="Y11" s="386" t="n"/>
      <c r="Z11" s="386" t="n"/>
      <c r="AA11" s="157">
        <f>IF(AND(ISNUMBER(X11), ISNUMBER(W11), W11&gt;0), (X11-W11)/W11, "")</f>
        <v/>
      </c>
      <c r="AB11" s="140" t="n"/>
      <c r="AC11" s="140" t="n"/>
      <c r="AD11" s="140" t="n"/>
    </row>
    <row r="12" outlineLevel="1" s="346">
      <c r="A12" s="418" t="inlineStr">
        <is>
          <t xml:space="preserve">    Cinema_Page</t>
        </is>
      </c>
      <c r="B12" s="419">
        <f>SUMPRODUCT(('MTD Pivot'!$A$3:$A$400=TRIM($A$12))*('MTD Pivot'!$D$2:$K$2=B$2)*'MTD Pivot'!$D$3:$K$400)</f>
        <v/>
      </c>
      <c r="C12" s="419">
        <f>SUMPRODUCT(('MTD Pivot'!$A$3:$A$400=TRIM($A$12))*('MTD Pivot'!$D$2:$K$2=C$2)*'MTD Pivot'!$D$3:$K$400)</f>
        <v/>
      </c>
      <c r="D12" s="419">
        <f>SUMPRODUCT(('MTD Pivot'!$A$3:$A$400=TRIM($A$12))*('MTD Pivot'!$D$2:$K$2=D$2)*'MTD Pivot'!$D$3:$K$400)</f>
        <v/>
      </c>
      <c r="E12" s="419">
        <f>SUMPRODUCT(('MTD Pivot'!$A$3:$A$400=TRIM($A$12))*('MTD Pivot'!$D$2:$K$2=E$2)*'MTD Pivot'!$D$3:$K$400)</f>
        <v/>
      </c>
      <c r="F12" s="419">
        <f>SUMPRODUCT(('MTD Pivot'!$A$3:$A$400=TRIM($A$12))*('MTD Pivot'!$D$2:$K$2=F$2)*'MTD Pivot'!$D$3:$K$400)</f>
        <v/>
      </c>
      <c r="G12" s="420">
        <f>SUMPRODUCT(('MTD Pivot'!$A$3:$A$400=TRIM($A$12))*('MTD Pivot'!$D$2:$K$2=G$2)*'MTD Pivot'!$D$3:$K$400)</f>
        <v/>
      </c>
      <c r="H12" s="419">
        <f>SUMPRODUCT(('MTD Pivot'!$A$3:$A$400=TRIM($A$12))*('MTD Pivot'!$D$2:$K$2=H$2)*'MTD Pivot'!$D$3:$K$400)</f>
        <v/>
      </c>
      <c r="I12" s="419">
        <f>SUMPRODUCT(('MTD Pivot'!$A$3:$A$400=TRIM($A$12))*('MTD Pivot'!$D$2:$K$2=I$2)*'MTD Pivot'!$D$3:$K$400)</f>
        <v/>
      </c>
      <c r="J12" s="421">
        <f>G12-F12</f>
        <v/>
      </c>
      <c r="K12" s="422" t="n"/>
      <c r="L12" s="419">
        <f>SUMPRODUCT(('Full month Pivot'!$A$3:$A$400=TRIM($A$12))*('Full month Pivot'!$D$2:$K$2=L$2)*'Full month Pivot'!$D$3:$K$400)</f>
        <v/>
      </c>
      <c r="M12" s="419">
        <f>SUMPRODUCT(('Full month Pivot'!$A$3:$A$400=TRIM($A$12))*('Full month Pivot'!$D$2:$K$2=M$2)*'Full month Pivot'!$D$3:$K$400)</f>
        <v/>
      </c>
      <c r="N12" s="419">
        <f>SUMPRODUCT(('Full month Pivot'!$A$3:$A$400=TRIM($A$12))*('Full month Pivot'!$D$2:$K$2=N$2)*'Full month Pivot'!$D$3:$K$400)</f>
        <v/>
      </c>
      <c r="O12" s="419">
        <f>SUMPRODUCT(('Full month Pivot'!$A$3:$A$400=TRIM($A$12))*('Full month Pivot'!$D$2:$K$2=O$2)*'Full month Pivot'!$D$3:$K$400)</f>
        <v/>
      </c>
      <c r="P12" s="419">
        <f>SUMPRODUCT(('Full month Pivot'!$A$3:$A$400=TRIM($A$12))*('Full month Pivot'!$D$2:$K$2=P$2)*'Full month Pivot'!$D$3:$K$400)</f>
        <v/>
      </c>
      <c r="Q12" s="420">
        <f>SUMPRODUCT(('Full month Pivot'!$A$3:$A$400=TRIM($A$12))*('Full month Pivot'!$D$2:$K$2=Q$2)*'Full month Pivot'!$D$3:$K$400)</f>
        <v/>
      </c>
      <c r="R12" s="419">
        <f>SUMPRODUCT(('Full month Pivot'!$A$3:$A$400=TRIM($A$12))*('Full month Pivot'!$D$2:$K$2=R$2)*'Full month Pivot'!$D$3:$K$400)</f>
        <v/>
      </c>
      <c r="S12" s="419">
        <f>SUMPRODUCT(('Full month Pivot'!$A$3:$A$400=TRIM($A$12))*('Full month Pivot'!$D$2:$K$2=S$2)*'Full month Pivot'!$D$3:$K$400)</f>
        <v/>
      </c>
      <c r="T12" s="421">
        <f>G12-F12</f>
        <v/>
      </c>
      <c r="U12" s="386" t="n"/>
      <c r="V12" s="386" t="n"/>
      <c r="W12" s="386" t="n"/>
      <c r="X12" s="386" t="n"/>
      <c r="Y12" s="386" t="n"/>
      <c r="Z12" s="386" t="n"/>
      <c r="AA12" s="157">
        <f>IF(AND(ISNUMBER(X12), ISNUMBER(W12), W12&gt;0), (X12-W12)/W12, "")</f>
        <v/>
      </c>
      <c r="AB12" s="140" t="n"/>
      <c r="AC12" s="140" t="n"/>
      <c r="AD12" s="140" t="n"/>
    </row>
    <row r="13" outlineLevel="1" s="346">
      <c r="A13" s="423" t="inlineStr">
        <is>
          <t xml:space="preserve">        ↳ Click: Cinema_Page</t>
        </is>
      </c>
      <c r="B13" s="424" t="n"/>
      <c r="C13" s="424" t="n"/>
      <c r="D13" s="424" t="n"/>
      <c r="E13" s="424" t="n"/>
      <c r="F13" s="424" t="n">
        <v>1321</v>
      </c>
      <c r="G13" s="425" t="n">
        <v>2312</v>
      </c>
      <c r="H13" s="424" t="n"/>
      <c r="I13" s="424" t="n"/>
      <c r="J13" s="426">
        <f>G13-F13</f>
        <v/>
      </c>
      <c r="K13" s="417">
        <f>IF(G12&gt;0, G13/G12, 0)</f>
        <v/>
      </c>
      <c r="L13" s="424" t="n"/>
      <c r="M13" s="424" t="n"/>
      <c r="N13" s="424" t="n"/>
      <c r="O13" s="424" t="n"/>
      <c r="P13" s="424" t="n">
        <v>1562</v>
      </c>
      <c r="Q13" s="425">
        <f>G13</f>
        <v/>
      </c>
      <c r="R13" s="424" t="n"/>
      <c r="S13" s="424" t="n"/>
      <c r="T13" s="426">
        <f>G13-F13</f>
        <v/>
      </c>
      <c r="U13" s="386" t="n"/>
      <c r="V13" s="386" t="n"/>
      <c r="W13" s="386" t="n"/>
      <c r="X13" s="386" t="n"/>
      <c r="Y13" s="386" t="n"/>
      <c r="Z13" s="386" t="n"/>
      <c r="AA13" s="157">
        <f>IF(AND(ISNUMBER(X13), ISNUMBER(W13), W13&gt;0), (X13-W13)/W13, "")</f>
        <v/>
      </c>
      <c r="AB13" s="140" t="n"/>
      <c r="AC13" s="140" t="n"/>
      <c r="AD13" s="140" t="n"/>
    </row>
    <row r="14" outlineLevel="1" s="346">
      <c r="A14" s="418" t="inlineStr">
        <is>
          <t xml:space="preserve">    Cinema_Blog</t>
        </is>
      </c>
      <c r="B14" s="419">
        <f>SUMPRODUCT(('MTD Pivot'!$A$3:$A$400=TRIM($A$14))*('MTD Pivot'!$D$2:$K$2=B$2)*'MTD Pivot'!$D$3:$K$400)</f>
        <v/>
      </c>
      <c r="C14" s="419">
        <f>SUMPRODUCT(('MTD Pivot'!$A$3:$A$400=TRIM($A$14))*('MTD Pivot'!$D$2:$K$2=C$2)*'MTD Pivot'!$D$3:$K$400)</f>
        <v/>
      </c>
      <c r="D14" s="419">
        <f>SUMPRODUCT(('MTD Pivot'!$A$3:$A$400=TRIM($A$14))*('MTD Pivot'!$D$2:$K$2=D$2)*'MTD Pivot'!$D$3:$K$400)</f>
        <v/>
      </c>
      <c r="E14" s="419">
        <f>SUMPRODUCT(('MTD Pivot'!$A$3:$A$400=TRIM($A$14))*('MTD Pivot'!$D$2:$K$2=E$2)*'MTD Pivot'!$D$3:$K$400)</f>
        <v/>
      </c>
      <c r="F14" s="419">
        <f>SUMPRODUCT(('MTD Pivot'!$A$3:$A$400=TRIM($A$14))*('MTD Pivot'!$D$2:$K$2=F$2)*'MTD Pivot'!$D$3:$K$400)</f>
        <v/>
      </c>
      <c r="G14" s="420">
        <f>SUMPRODUCT(('MTD Pivot'!$A$3:$A$400=TRIM($A$14))*('MTD Pivot'!$D$2:$K$2=G$2)*'MTD Pivot'!$D$3:$K$400)</f>
        <v/>
      </c>
      <c r="H14" s="419">
        <f>SUMPRODUCT(('MTD Pivot'!$A$3:$A$400=TRIM($A$14))*('MTD Pivot'!$D$2:$K$2=H$2)*'MTD Pivot'!$D$3:$K$400)</f>
        <v/>
      </c>
      <c r="I14" s="419">
        <f>SUMPRODUCT(('MTD Pivot'!$A$3:$A$400=TRIM($A$14))*('MTD Pivot'!$D$2:$K$2=I$2)*'MTD Pivot'!$D$3:$K$400)</f>
        <v/>
      </c>
      <c r="J14" s="421">
        <f>G14-F14</f>
        <v/>
      </c>
      <c r="K14" s="422" t="n"/>
      <c r="L14" s="419">
        <f>SUMPRODUCT(('Full month Pivot'!$A$3:$A$400=TRIM($A$14))*('Full month Pivot'!$D$2:$K$2=L$2)*'Full month Pivot'!$D$3:$K$400)</f>
        <v/>
      </c>
      <c r="M14" s="419">
        <f>SUMPRODUCT(('Full month Pivot'!$A$3:$A$400=TRIM($A$14))*('Full month Pivot'!$D$2:$K$2=M$2)*'Full month Pivot'!$D$3:$K$400)</f>
        <v/>
      </c>
      <c r="N14" s="419">
        <f>SUMPRODUCT(('Full month Pivot'!$A$3:$A$400=TRIM($A$14))*('Full month Pivot'!$D$2:$K$2=N$2)*'Full month Pivot'!$D$3:$K$400)</f>
        <v/>
      </c>
      <c r="O14" s="419">
        <f>SUMPRODUCT(('Full month Pivot'!$A$3:$A$400=TRIM($A$14))*('Full month Pivot'!$D$2:$K$2=O$2)*'Full month Pivot'!$D$3:$K$400)</f>
        <v/>
      </c>
      <c r="P14" s="419">
        <f>SUMPRODUCT(('Full month Pivot'!$A$3:$A$400=TRIM($A$14))*('Full month Pivot'!$D$2:$K$2=P$2)*'Full month Pivot'!$D$3:$K$400)</f>
        <v/>
      </c>
      <c r="Q14" s="420">
        <f>SUMPRODUCT(('Full month Pivot'!$A$3:$A$400=TRIM($A$14))*('Full month Pivot'!$D$2:$K$2=Q$2)*'Full month Pivot'!$D$3:$K$400)</f>
        <v/>
      </c>
      <c r="R14" s="419">
        <f>SUMPRODUCT(('Full month Pivot'!$A$3:$A$400=TRIM($A$14))*('Full month Pivot'!$D$2:$K$2=R$2)*'Full month Pivot'!$D$3:$K$400)</f>
        <v/>
      </c>
      <c r="S14" s="419">
        <f>SUMPRODUCT(('Full month Pivot'!$A$3:$A$400=TRIM($A$14))*('Full month Pivot'!$D$2:$K$2=S$2)*'Full month Pivot'!$D$3:$K$400)</f>
        <v/>
      </c>
      <c r="T14" s="421">
        <f>G14-F14</f>
        <v/>
      </c>
      <c r="U14" s="395" t="n"/>
      <c r="V14" s="395" t="n"/>
      <c r="W14" s="395" t="n"/>
      <c r="X14" s="395" t="n"/>
      <c r="Y14" s="395" t="n"/>
      <c r="Z14" s="395" t="n"/>
      <c r="AA14" s="202" t="n"/>
      <c r="AB14" s="140" t="n"/>
      <c r="AC14" s="140" t="n"/>
      <c r="AD14" s="140" t="n"/>
    </row>
    <row r="15" outlineLevel="1" s="346">
      <c r="A15" s="423" t="inlineStr">
        <is>
          <t xml:space="preserve">        ↳ Click: Cinema_Blog</t>
        </is>
      </c>
      <c r="B15" s="424" t="n"/>
      <c r="C15" s="424" t="n"/>
      <c r="D15" s="424" t="n"/>
      <c r="E15" s="424" t="n"/>
      <c r="F15" s="424" t="n">
        <v>281</v>
      </c>
      <c r="G15" s="425" t="n">
        <v>110</v>
      </c>
      <c r="H15" s="424" t="n"/>
      <c r="I15" s="424" t="n"/>
      <c r="J15" s="426">
        <f>G15-F15</f>
        <v/>
      </c>
      <c r="K15" s="417">
        <f>IF(G14&gt;0, G15/G14, 0)</f>
        <v/>
      </c>
      <c r="L15" s="424" t="n"/>
      <c r="M15" s="424" t="n"/>
      <c r="N15" s="424" t="n"/>
      <c r="O15" s="424" t="n"/>
      <c r="P15" s="424" t="n">
        <v>295</v>
      </c>
      <c r="Q15" s="425">
        <f>G15</f>
        <v/>
      </c>
      <c r="R15" s="424" t="n"/>
      <c r="S15" s="424" t="n"/>
      <c r="T15" s="426">
        <f>G15-F15</f>
        <v/>
      </c>
      <c r="U15" s="365" t="n"/>
      <c r="V15" s="365" t="n"/>
      <c r="W15" s="365" t="n"/>
      <c r="X15" s="365" t="n"/>
      <c r="Y15" s="365" t="n"/>
      <c r="Z15" s="365" t="n"/>
      <c r="AA15" s="145" t="n"/>
      <c r="AB15" s="140" t="n"/>
      <c r="AC15" s="140" t="n"/>
      <c r="AD15" s="140" t="n"/>
    </row>
    <row r="16" outlineLevel="1" s="346">
      <c r="A16" s="418" t="inlineStr">
        <is>
          <t xml:space="preserve">    Cinema_Home Page</t>
        </is>
      </c>
      <c r="B16" s="419">
        <f>SUMPRODUCT(('MTD Pivot'!$A$3:$A$400=TRIM($A$16))*('MTD Pivot'!$D$2:$K$2=B$2)*'MTD Pivot'!$D$3:$K$400)</f>
        <v/>
      </c>
      <c r="C16" s="419">
        <f>SUMPRODUCT(('MTD Pivot'!$A$3:$A$400=TRIM($A$16))*('MTD Pivot'!$D$2:$K$2=C$2)*'MTD Pivot'!$D$3:$K$400)</f>
        <v/>
      </c>
      <c r="D16" s="419">
        <f>SUMPRODUCT(('MTD Pivot'!$A$3:$A$400=TRIM($A$16))*('MTD Pivot'!$D$2:$K$2=D$2)*'MTD Pivot'!$D$3:$K$400)</f>
        <v/>
      </c>
      <c r="E16" s="419">
        <f>SUMPRODUCT(('MTD Pivot'!$A$3:$A$400=TRIM($A$16))*('MTD Pivot'!$D$2:$K$2=E$2)*'MTD Pivot'!$D$3:$K$400)</f>
        <v/>
      </c>
      <c r="F16" s="419">
        <f>SUMPRODUCT(('MTD Pivot'!$A$3:$A$400=TRIM($A$16))*('MTD Pivot'!$D$2:$K$2=F$2)*'MTD Pivot'!$D$3:$K$400)</f>
        <v/>
      </c>
      <c r="G16" s="420">
        <f>SUMPRODUCT(('MTD Pivot'!$A$3:$A$400=TRIM($A$16))*('MTD Pivot'!$D$2:$K$2=G$2)*'MTD Pivot'!$D$3:$K$400)</f>
        <v/>
      </c>
      <c r="H16" s="419">
        <f>SUMPRODUCT(('MTD Pivot'!$A$3:$A$400=TRIM($A$16))*('MTD Pivot'!$D$2:$K$2=H$2)*'MTD Pivot'!$D$3:$K$400)</f>
        <v/>
      </c>
      <c r="I16" s="419">
        <f>SUMPRODUCT(('MTD Pivot'!$A$3:$A$400=TRIM($A$16))*('MTD Pivot'!$D$2:$K$2=I$2)*'MTD Pivot'!$D$3:$K$400)</f>
        <v/>
      </c>
      <c r="J16" s="421">
        <f>G16-F16</f>
        <v/>
      </c>
      <c r="K16" s="422" t="n"/>
      <c r="L16" s="419">
        <f>SUMPRODUCT(('Full month Pivot'!$A$3:$A$400=TRIM($A$16))*('Full month Pivot'!$D$2:$K$2=L$2)*'Full month Pivot'!$D$3:$K$400)</f>
        <v/>
      </c>
      <c r="M16" s="419">
        <f>SUMPRODUCT(('Full month Pivot'!$A$3:$A$400=TRIM($A$16))*('Full month Pivot'!$D$2:$K$2=M$2)*'Full month Pivot'!$D$3:$K$400)</f>
        <v/>
      </c>
      <c r="N16" s="419">
        <f>SUMPRODUCT(('Full month Pivot'!$A$3:$A$400=TRIM($A$16))*('Full month Pivot'!$D$2:$K$2=N$2)*'Full month Pivot'!$D$3:$K$400)</f>
        <v/>
      </c>
      <c r="O16" s="419">
        <f>SUMPRODUCT(('Full month Pivot'!$A$3:$A$400=TRIM($A$16))*('Full month Pivot'!$D$2:$K$2=O$2)*'Full month Pivot'!$D$3:$K$400)</f>
        <v/>
      </c>
      <c r="P16" s="419">
        <f>SUMPRODUCT(('Full month Pivot'!$A$3:$A$400=TRIM($A$16))*('Full month Pivot'!$D$2:$K$2=P$2)*'Full month Pivot'!$D$3:$K$400)</f>
        <v/>
      </c>
      <c r="Q16" s="420">
        <f>SUMPRODUCT(('Full month Pivot'!$A$3:$A$400=TRIM($A$16))*('Full month Pivot'!$D$2:$K$2=Q$2)*'Full month Pivot'!$D$3:$K$400)</f>
        <v/>
      </c>
      <c r="R16" s="419">
        <f>SUMPRODUCT(('Full month Pivot'!$A$3:$A$400=TRIM($A$16))*('Full month Pivot'!$D$2:$K$2=R$2)*'Full month Pivot'!$D$3:$K$400)</f>
        <v/>
      </c>
      <c r="S16" s="419">
        <f>SUMPRODUCT(('Full month Pivot'!$A$3:$A$400=TRIM($A$16))*('Full month Pivot'!$D$2:$K$2=S$2)*'Full month Pivot'!$D$3:$K$400)</f>
        <v/>
      </c>
      <c r="T16" s="421">
        <f>G16-F16</f>
        <v/>
      </c>
      <c r="U16" s="367" t="n"/>
      <c r="V16" s="367" t="n"/>
      <c r="W16" s="367" t="n"/>
      <c r="X16" s="367" t="n"/>
      <c r="Y16" s="367" t="n"/>
      <c r="Z16" s="367" t="n"/>
      <c r="AA16" s="148">
        <f>IFERROR((X16-W16)/W16, "")</f>
        <v/>
      </c>
      <c r="AB16" s="140" t="n"/>
      <c r="AC16" s="140" t="n"/>
      <c r="AD16" s="140" t="n"/>
    </row>
    <row r="17" outlineLevel="1" s="346">
      <c r="A17" s="423" t="inlineStr">
        <is>
          <t xml:space="preserve">        ↳ Click: Cinema_Home Page</t>
        </is>
      </c>
      <c r="B17" s="424" t="n"/>
      <c r="C17" s="424" t="n"/>
      <c r="D17" s="424" t="n"/>
      <c r="E17" s="424" t="n"/>
      <c r="F17" s="424" t="n">
        <v>156</v>
      </c>
      <c r="G17" s="425" t="n">
        <v>255</v>
      </c>
      <c r="H17" s="424" t="n"/>
      <c r="I17" s="424" t="n"/>
      <c r="J17" s="426">
        <f>G17-F17</f>
        <v/>
      </c>
      <c r="K17" s="417">
        <f>IF(G16&gt;0, G17/G16, 0)</f>
        <v/>
      </c>
      <c r="L17" s="424" t="n"/>
      <c r="M17" s="424" t="n"/>
      <c r="N17" s="424" t="n"/>
      <c r="O17" s="424" t="n"/>
      <c r="P17" s="424" t="n">
        <v>225</v>
      </c>
      <c r="Q17" s="425">
        <f>G17</f>
        <v/>
      </c>
      <c r="R17" s="424" t="n"/>
      <c r="S17" s="424" t="n"/>
      <c r="T17" s="426">
        <f>G17-F17</f>
        <v/>
      </c>
      <c r="U17" s="373" t="n"/>
      <c r="V17" s="373" t="n"/>
      <c r="W17" s="373" t="n"/>
      <c r="X17" s="373" t="n"/>
      <c r="Y17" s="373" t="n"/>
      <c r="Z17" s="373" t="n"/>
      <c r="AA17" s="151">
        <f>IFERROR((X17-W17)/W17, "")</f>
        <v/>
      </c>
      <c r="AB17" s="140" t="n"/>
      <c r="AC17" s="140" t="n"/>
      <c r="AD17" s="140" t="n"/>
    </row>
    <row r="18" outlineLevel="1" s="346">
      <c r="A18" s="418" t="inlineStr">
        <is>
          <t xml:space="preserve">    Cinema_News</t>
        </is>
      </c>
      <c r="B18" s="419">
        <f>SUMPRODUCT(('MTD Pivot'!$A$3:$A$400=TRIM($A$18))*('MTD Pivot'!$D$2:$K$2=B$2)*'MTD Pivot'!$D$3:$K$400)</f>
        <v/>
      </c>
      <c r="C18" s="419">
        <f>SUMPRODUCT(('MTD Pivot'!$A$3:$A$400=TRIM($A$18))*('MTD Pivot'!$D$2:$K$2=C$2)*'MTD Pivot'!$D$3:$K$400)</f>
        <v/>
      </c>
      <c r="D18" s="419">
        <f>SUMPRODUCT(('MTD Pivot'!$A$3:$A$400=TRIM($A$18))*('MTD Pivot'!$D$2:$K$2=D$2)*'MTD Pivot'!$D$3:$K$400)</f>
        <v/>
      </c>
      <c r="E18" s="419">
        <f>SUMPRODUCT(('MTD Pivot'!$A$3:$A$400=TRIM($A$18))*('MTD Pivot'!$D$2:$K$2=E$2)*'MTD Pivot'!$D$3:$K$400)</f>
        <v/>
      </c>
      <c r="F18" s="419">
        <f>SUMPRODUCT(('MTD Pivot'!$A$3:$A$400=TRIM($A$18))*('MTD Pivot'!$D$2:$K$2=F$2)*'MTD Pivot'!$D$3:$K$400)</f>
        <v/>
      </c>
      <c r="G18" s="420">
        <f>SUMPRODUCT(('MTD Pivot'!$A$3:$A$400=TRIM($A$18))*('MTD Pivot'!$D$2:$K$2=G$2)*'MTD Pivot'!$D$3:$K$400)</f>
        <v/>
      </c>
      <c r="H18" s="419">
        <f>SUMPRODUCT(('MTD Pivot'!$A$3:$A$400=TRIM($A$18))*('MTD Pivot'!$D$2:$K$2=H$2)*'MTD Pivot'!$D$3:$K$400)</f>
        <v/>
      </c>
      <c r="I18" s="419">
        <f>SUMPRODUCT(('MTD Pivot'!$A$3:$A$400=TRIM($A$18))*('MTD Pivot'!$D$2:$K$2=I$2)*'MTD Pivot'!$D$3:$K$400)</f>
        <v/>
      </c>
      <c r="J18" s="421">
        <f>G18-F18</f>
        <v/>
      </c>
      <c r="K18" s="422" t="n"/>
      <c r="L18" s="419">
        <f>SUMPRODUCT(('Full month Pivot'!$A$3:$A$400=TRIM($A$18))*('Full month Pivot'!$D$2:$K$2=L$2)*'Full month Pivot'!$D$3:$K$400)</f>
        <v/>
      </c>
      <c r="M18" s="419">
        <f>SUMPRODUCT(('Full month Pivot'!$A$3:$A$400=TRIM($A$18))*('Full month Pivot'!$D$2:$K$2=M$2)*'Full month Pivot'!$D$3:$K$400)</f>
        <v/>
      </c>
      <c r="N18" s="419">
        <f>SUMPRODUCT(('Full month Pivot'!$A$3:$A$400=TRIM($A$18))*('Full month Pivot'!$D$2:$K$2=N$2)*'Full month Pivot'!$D$3:$K$400)</f>
        <v/>
      </c>
      <c r="O18" s="419">
        <f>SUMPRODUCT(('Full month Pivot'!$A$3:$A$400=TRIM($A$18))*('Full month Pivot'!$D$2:$K$2=O$2)*'Full month Pivot'!$D$3:$K$400)</f>
        <v/>
      </c>
      <c r="P18" s="419">
        <f>SUMPRODUCT(('Full month Pivot'!$A$3:$A$400=TRIM($A$18))*('Full month Pivot'!$D$2:$K$2=P$2)*'Full month Pivot'!$D$3:$K$400)</f>
        <v/>
      </c>
      <c r="Q18" s="420">
        <f>SUMPRODUCT(('Full month Pivot'!$A$3:$A$400=TRIM($A$18))*('Full month Pivot'!$D$2:$K$2=Q$2)*'Full month Pivot'!$D$3:$K$400)</f>
        <v/>
      </c>
      <c r="R18" s="419">
        <f>SUMPRODUCT(('Full month Pivot'!$A$3:$A$400=TRIM($A$18))*('Full month Pivot'!$D$2:$K$2=R$2)*'Full month Pivot'!$D$3:$K$400)</f>
        <v/>
      </c>
      <c r="S18" s="419">
        <f>SUMPRODUCT(('Full month Pivot'!$A$3:$A$400=TRIM($A$18))*('Full month Pivot'!$D$2:$K$2=S$2)*'Full month Pivot'!$D$3:$K$400)</f>
        <v/>
      </c>
      <c r="T18" s="421">
        <f>G18-F18</f>
        <v/>
      </c>
      <c r="U18" s="375" t="n"/>
      <c r="V18" s="375" t="n"/>
      <c r="W18" s="375" t="n"/>
      <c r="X18" s="375" t="n"/>
      <c r="Y18" s="375" t="n"/>
      <c r="Z18" s="375" t="n"/>
      <c r="AA18" s="153" t="n"/>
      <c r="AB18" s="140" t="n"/>
      <c r="AC18" s="140" t="n"/>
      <c r="AD18" s="140" t="n"/>
    </row>
    <row r="19" outlineLevel="1" s="346">
      <c r="A19" s="423" t="inlineStr">
        <is>
          <t xml:space="preserve">        ↳ Click: Cinema_News</t>
        </is>
      </c>
      <c r="B19" s="424" t="n"/>
      <c r="C19" s="424" t="n"/>
      <c r="D19" s="424" t="n"/>
      <c r="E19" s="424" t="n"/>
      <c r="F19" s="424" t="n">
        <v>165</v>
      </c>
      <c r="G19" s="425" t="n">
        <v>172</v>
      </c>
      <c r="H19" s="424" t="n"/>
      <c r="I19" s="424" t="n"/>
      <c r="J19" s="426">
        <f>G19-F19</f>
        <v/>
      </c>
      <c r="K19" s="417">
        <f>IF(G18&gt;0, G19/G18, 0)</f>
        <v/>
      </c>
      <c r="L19" s="424" t="n"/>
      <c r="M19" s="424" t="n"/>
      <c r="N19" s="424" t="n"/>
      <c r="O19" s="424" t="n"/>
      <c r="P19" s="424" t="n">
        <v>200</v>
      </c>
      <c r="Q19" s="425">
        <f>G19</f>
        <v/>
      </c>
      <c r="R19" s="424" t="n"/>
      <c r="S19" s="424" t="n"/>
      <c r="T19" s="426">
        <f>G19-F19</f>
        <v/>
      </c>
      <c r="U19" s="376" t="n"/>
      <c r="V19" s="376" t="n"/>
      <c r="W19" s="376" t="n"/>
      <c r="X19" s="376" t="n"/>
      <c r="Y19" s="376" t="n"/>
      <c r="Z19" s="376" t="n"/>
      <c r="AA19" s="203" t="n"/>
      <c r="AB19" s="140" t="n"/>
      <c r="AC19" s="140" t="n"/>
      <c r="AD19" s="140" t="n"/>
    </row>
    <row r="20" outlineLevel="1" s="346">
      <c r="A20" s="418" t="inlineStr">
        <is>
          <t xml:space="preserve">    Cinema_Landing Page</t>
        </is>
      </c>
      <c r="B20" s="419">
        <f>SUMPRODUCT(('MTD Pivot'!$A$3:$A$400=TRIM($A$20))*('MTD Pivot'!$D$2:$K$2=B$2)*'MTD Pivot'!$D$3:$K$400)</f>
        <v/>
      </c>
      <c r="C20" s="419">
        <f>SUMPRODUCT(('MTD Pivot'!$A$3:$A$400=TRIM($A$20))*('MTD Pivot'!$D$2:$K$2=C$2)*'MTD Pivot'!$D$3:$K$400)</f>
        <v/>
      </c>
      <c r="D20" s="419">
        <f>SUMPRODUCT(('MTD Pivot'!$A$3:$A$400=TRIM($A$20))*('MTD Pivot'!$D$2:$K$2=D$2)*'MTD Pivot'!$D$3:$K$400)</f>
        <v/>
      </c>
      <c r="E20" s="419">
        <f>SUMPRODUCT(('MTD Pivot'!$A$3:$A$400=TRIM($A$20))*('MTD Pivot'!$D$2:$K$2=E$2)*'MTD Pivot'!$D$3:$K$400)</f>
        <v/>
      </c>
      <c r="F20" s="419">
        <f>SUMPRODUCT(('MTD Pivot'!$A$3:$A$400=TRIM($A$20))*('MTD Pivot'!$D$2:$K$2=F$2)*'MTD Pivot'!$D$3:$K$400)</f>
        <v/>
      </c>
      <c r="G20" s="420">
        <f>SUMPRODUCT(('MTD Pivot'!$A$3:$A$400=TRIM($A$20))*('MTD Pivot'!$D$2:$K$2=G$2)*'MTD Pivot'!$D$3:$K$400)</f>
        <v/>
      </c>
      <c r="H20" s="419">
        <f>SUMPRODUCT(('MTD Pivot'!$A$3:$A$400=TRIM($A$20))*('MTD Pivot'!$D$2:$K$2=H$2)*'MTD Pivot'!$D$3:$K$400)</f>
        <v/>
      </c>
      <c r="I20" s="419">
        <f>SUMPRODUCT(('MTD Pivot'!$A$3:$A$400=TRIM($A$20))*('MTD Pivot'!$D$2:$K$2=I$2)*'MTD Pivot'!$D$3:$K$400)</f>
        <v/>
      </c>
      <c r="J20" s="421">
        <f>G20-F20</f>
        <v/>
      </c>
      <c r="K20" s="422" t="n"/>
      <c r="L20" s="419">
        <f>SUMPRODUCT(('Full month Pivot'!$A$3:$A$400=TRIM($A$20))*('Full month Pivot'!$D$2:$K$2=L$2)*'Full month Pivot'!$D$3:$K$400)</f>
        <v/>
      </c>
      <c r="M20" s="419">
        <f>SUMPRODUCT(('Full month Pivot'!$A$3:$A$400=TRIM($A$20))*('Full month Pivot'!$D$2:$K$2=M$2)*'Full month Pivot'!$D$3:$K$400)</f>
        <v/>
      </c>
      <c r="N20" s="419">
        <f>SUMPRODUCT(('Full month Pivot'!$A$3:$A$400=TRIM($A$20))*('Full month Pivot'!$D$2:$K$2=N$2)*'Full month Pivot'!$D$3:$K$400)</f>
        <v/>
      </c>
      <c r="O20" s="419">
        <f>SUMPRODUCT(('Full month Pivot'!$A$3:$A$400=TRIM($A$20))*('Full month Pivot'!$D$2:$K$2=O$2)*'Full month Pivot'!$D$3:$K$400)</f>
        <v/>
      </c>
      <c r="P20" s="419">
        <f>SUMPRODUCT(('Full month Pivot'!$A$3:$A$400=TRIM($A$20))*('Full month Pivot'!$D$2:$K$2=P$2)*'Full month Pivot'!$D$3:$K$400)</f>
        <v/>
      </c>
      <c r="Q20" s="420">
        <f>SUMPRODUCT(('Full month Pivot'!$A$3:$A$400=TRIM($A$20))*('Full month Pivot'!$D$2:$K$2=Q$2)*'Full month Pivot'!$D$3:$K$400)</f>
        <v/>
      </c>
      <c r="R20" s="419">
        <f>SUMPRODUCT(('Full month Pivot'!$A$3:$A$400=TRIM($A$20))*('Full month Pivot'!$D$2:$K$2=R$2)*'Full month Pivot'!$D$3:$K$400)</f>
        <v/>
      </c>
      <c r="S20" s="419">
        <f>SUMPRODUCT(('Full month Pivot'!$A$3:$A$400=TRIM($A$20))*('Full month Pivot'!$D$2:$K$2=S$2)*'Full month Pivot'!$D$3:$K$400)</f>
        <v/>
      </c>
      <c r="T20" s="421">
        <f>G20-F20</f>
        <v/>
      </c>
      <c r="U20" s="381" t="n"/>
      <c r="V20" s="381" t="n"/>
      <c r="W20" s="381" t="n"/>
      <c r="X20" s="381" t="n"/>
      <c r="Y20" s="381" t="n"/>
      <c r="Z20" s="381" t="n"/>
      <c r="AA20" s="157">
        <f>IF(AND(ISNUMBER(X20), ISNUMBER(W20)), X20-W20, "")</f>
        <v/>
      </c>
      <c r="AB20" s="140" t="n"/>
      <c r="AC20" s="140" t="n"/>
      <c r="AD20" s="140" t="n"/>
    </row>
    <row r="21" outlineLevel="1" ht="15.75" customHeight="1" s="346">
      <c r="A21" s="423" t="inlineStr">
        <is>
          <t xml:space="preserve">        ↳ Click: Cinema_Landing Page</t>
        </is>
      </c>
      <c r="B21" s="424" t="n"/>
      <c r="C21" s="424" t="n"/>
      <c r="D21" s="424" t="n"/>
      <c r="E21" s="424" t="n"/>
      <c r="F21" s="424" t="n">
        <v>54</v>
      </c>
      <c r="G21" s="425" t="n">
        <v>50</v>
      </c>
      <c r="H21" s="424" t="n"/>
      <c r="I21" s="424" t="n"/>
      <c r="J21" s="426">
        <f>G21-F21</f>
        <v/>
      </c>
      <c r="K21" s="417">
        <f>IF(G20&gt;0, G21/G20, 0)</f>
        <v/>
      </c>
      <c r="L21" s="424" t="n"/>
      <c r="M21" s="424" t="n"/>
      <c r="N21" s="424" t="n"/>
      <c r="O21" s="424" t="n"/>
      <c r="P21" s="424" t="n">
        <v>58</v>
      </c>
      <c r="Q21" s="425">
        <f>G21</f>
        <v/>
      </c>
      <c r="R21" s="424" t="n"/>
      <c r="S21" s="424" t="n"/>
      <c r="T21" s="426">
        <f>G21-F21</f>
        <v/>
      </c>
      <c r="U21" s="386" t="n"/>
      <c r="V21" s="386" t="n"/>
      <c r="W21" s="386" t="n"/>
      <c r="X21" s="386" t="n"/>
      <c r="Y21" s="386" t="n"/>
      <c r="Z21" s="386" t="n"/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408" t="inlineStr">
        <is>
          <t>Home MoMo</t>
        </is>
      </c>
      <c r="B22" s="409">
        <f>SUMPRODUCT(('MTD Pivot'!$A$3:$A$400=TRIM($A$22))*('MTD Pivot'!$D$2:$K$2=B$2)*'MTD Pivot'!$D$3:$K$400)</f>
        <v/>
      </c>
      <c r="C22" s="409">
        <f>SUMPRODUCT(('MTD Pivot'!$A$3:$A$400=TRIM($A$22))*('MTD Pivot'!$D$2:$K$2=C$2)*'MTD Pivot'!$D$3:$K$400)</f>
        <v/>
      </c>
      <c r="D22" s="409">
        <f>SUMPRODUCT(('MTD Pivot'!$A$3:$A$400=TRIM($A$22))*('MTD Pivot'!$D$2:$K$2=D$2)*'MTD Pivot'!$D$3:$K$400)</f>
        <v/>
      </c>
      <c r="E22" s="409">
        <f>SUMPRODUCT(('MTD Pivot'!$A$3:$A$400=TRIM($A$22))*('MTD Pivot'!$D$2:$K$2=E$2)*'MTD Pivot'!$D$3:$K$400)</f>
        <v/>
      </c>
      <c r="F22" s="409">
        <f>SUMPRODUCT(('MTD Pivot'!$A$3:$A$400=TRIM($A$22))*('MTD Pivot'!$D$2:$K$2=F$2)*'MTD Pivot'!$D$3:$K$400)</f>
        <v/>
      </c>
      <c r="G22" s="410">
        <f>SUMPRODUCT(('MTD Pivot'!$A$3:$A$400=TRIM($A$22))*('MTD Pivot'!$D$2:$K$2=G$2)*'MTD Pivot'!$D$3:$K$400)</f>
        <v/>
      </c>
      <c r="H22" s="409">
        <f>SUMPRODUCT(('MTD Pivot'!$A$3:$A$400=TRIM($A$22))*('MTD Pivot'!$D$2:$K$2=H$2)*'MTD Pivot'!$D$3:$K$400)</f>
        <v/>
      </c>
      <c r="I22" s="409">
        <f>SUMPRODUCT(('MTD Pivot'!$A$3:$A$400=TRIM($A$22))*('MTD Pivot'!$D$2:$K$2=I$2)*'MTD Pivot'!$D$3:$K$400)</f>
        <v/>
      </c>
      <c r="J22" s="411">
        <f>G22-F22</f>
        <v/>
      </c>
      <c r="K22" s="412" t="n"/>
      <c r="L22" s="409">
        <f>SUMPRODUCT(('Full month Pivot'!$A$3:$A$400=TRIM($A$22))*('Full month Pivot'!$D$2:$K$2=L$2)*'Full month Pivot'!$D$3:$K$400)</f>
        <v/>
      </c>
      <c r="M22" s="409">
        <f>SUMPRODUCT(('Full month Pivot'!$A$3:$A$400=TRIM($A$22))*('Full month Pivot'!$D$2:$K$2=M$2)*'Full month Pivot'!$D$3:$K$400)</f>
        <v/>
      </c>
      <c r="N22" s="409">
        <f>SUMPRODUCT(('Full month Pivot'!$A$3:$A$400=TRIM($A$22))*('Full month Pivot'!$D$2:$K$2=N$2)*'Full month Pivot'!$D$3:$K$400)</f>
        <v/>
      </c>
      <c r="O22" s="409">
        <f>SUMPRODUCT(('Full month Pivot'!$A$3:$A$400=TRIM($A$22))*('Full month Pivot'!$D$2:$K$2=O$2)*'Full month Pivot'!$D$3:$K$400)</f>
        <v/>
      </c>
      <c r="P22" s="409">
        <f>SUMPRODUCT(('Full month Pivot'!$A$3:$A$400=TRIM($A$22))*('Full month Pivot'!$D$2:$K$2=P$2)*'Full month Pivot'!$D$3:$K$400)</f>
        <v/>
      </c>
      <c r="Q22" s="410">
        <f>SUMPRODUCT(('Full month Pivot'!$A$3:$A$400=TRIM($A$22))*('Full month Pivot'!$D$2:$K$2=Q$2)*'Full month Pivot'!$D$3:$K$400)</f>
        <v/>
      </c>
      <c r="R22" s="409">
        <f>SUMPRODUCT(('Full month Pivot'!$A$3:$A$400=TRIM($A$22))*('Full month Pivot'!$D$2:$K$2=R$2)*'Full month Pivot'!$D$3:$K$400)</f>
        <v/>
      </c>
      <c r="S22" s="409">
        <f>SUMPRODUCT(('Full month Pivot'!$A$3:$A$400=TRIM($A$22))*('Full month Pivot'!$D$2:$K$2=S$2)*'Full month Pivot'!$D$3:$K$400)</f>
        <v/>
      </c>
      <c r="T22" s="411">
        <f>G22-F22</f>
        <v/>
      </c>
      <c r="U22" s="386" t="n"/>
      <c r="V22" s="386" t="n"/>
      <c r="W22" s="386" t="n"/>
      <c r="X22" s="386" t="n"/>
      <c r="Y22" s="386" t="n"/>
      <c r="Z22" s="386" t="n"/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413" t="inlineStr">
        <is>
          <t xml:space="preserve">  ↳ Click to app: Home MoMo</t>
        </is>
      </c>
      <c r="B23" s="414" t="n"/>
      <c r="C23" s="414" t="n"/>
      <c r="D23" s="414" t="n"/>
      <c r="E23" s="414" t="n"/>
      <c r="F23" s="414" t="n">
        <v>18307</v>
      </c>
      <c r="G23" s="415" t="n">
        <v>25643</v>
      </c>
      <c r="H23" s="414" t="n"/>
      <c r="I23" s="414" t="n"/>
      <c r="J23" s="416">
        <f>G23-F23</f>
        <v/>
      </c>
      <c r="K23" s="417">
        <f>IF(G22&gt;0, G23/G22, 0)</f>
        <v/>
      </c>
      <c r="L23" s="414" t="n"/>
      <c r="M23" s="414" t="n"/>
      <c r="N23" s="414" t="n"/>
      <c r="O23" s="414" t="n"/>
      <c r="P23" s="414" t="n">
        <v>21343</v>
      </c>
      <c r="Q23" s="415">
        <f>G23</f>
        <v/>
      </c>
      <c r="R23" s="414" t="n"/>
      <c r="S23" s="414" t="n"/>
      <c r="T23" s="416">
        <f>G23-F23</f>
        <v/>
      </c>
      <c r="U23" s="386" t="n"/>
      <c r="V23" s="386" t="n"/>
      <c r="W23" s="386" t="n"/>
      <c r="X23" s="386" t="n"/>
      <c r="Y23" s="386" t="n"/>
      <c r="Z23" s="386" t="n"/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408" t="inlineStr">
        <is>
          <t>Tìm Kiếm</t>
        </is>
      </c>
      <c r="B24" s="409">
        <f>SUMPRODUCT(('MTD Pivot'!$A$3:$A$400=TRIM($A$24))*('MTD Pivot'!$D$2:$K$2=B$2)*'MTD Pivot'!$D$3:$K$400)</f>
        <v/>
      </c>
      <c r="C24" s="409">
        <f>SUMPRODUCT(('MTD Pivot'!$A$3:$A$400=TRIM($A$24))*('MTD Pivot'!$D$2:$K$2=C$2)*'MTD Pivot'!$D$3:$K$400)</f>
        <v/>
      </c>
      <c r="D24" s="409">
        <f>SUMPRODUCT(('MTD Pivot'!$A$3:$A$400=TRIM($A$24))*('MTD Pivot'!$D$2:$K$2=D$2)*'MTD Pivot'!$D$3:$K$400)</f>
        <v/>
      </c>
      <c r="E24" s="409">
        <f>SUMPRODUCT(('MTD Pivot'!$A$3:$A$400=TRIM($A$24))*('MTD Pivot'!$D$2:$K$2=E$2)*'MTD Pivot'!$D$3:$K$400)</f>
        <v/>
      </c>
      <c r="F24" s="409">
        <f>SUMPRODUCT(('MTD Pivot'!$A$3:$A$400=TRIM($A$24))*('MTD Pivot'!$D$2:$K$2=F$2)*'MTD Pivot'!$D$3:$K$400)</f>
        <v/>
      </c>
      <c r="G24" s="410">
        <f>SUMPRODUCT(('MTD Pivot'!$A$3:$A$400=TRIM($A$24))*('MTD Pivot'!$D$2:$K$2=G$2)*'MTD Pivot'!$D$3:$K$400)</f>
        <v/>
      </c>
      <c r="H24" s="409">
        <f>SUMPRODUCT(('MTD Pivot'!$A$3:$A$400=TRIM($A$24))*('MTD Pivot'!$D$2:$K$2=H$2)*'MTD Pivot'!$D$3:$K$400)</f>
        <v/>
      </c>
      <c r="I24" s="409">
        <f>SUMPRODUCT(('MTD Pivot'!$A$3:$A$400=TRIM($A$24))*('MTD Pivot'!$D$2:$K$2=I$2)*'MTD Pivot'!$D$3:$K$400)</f>
        <v/>
      </c>
      <c r="J24" s="411">
        <f>G24-F24</f>
        <v/>
      </c>
      <c r="K24" s="412" t="n"/>
      <c r="L24" s="409">
        <f>SUMPRODUCT(('Full month Pivot'!$A$3:$A$400=TRIM($A$24))*('Full month Pivot'!$D$2:$K$2=L$2)*'Full month Pivot'!$D$3:$K$400)</f>
        <v/>
      </c>
      <c r="M24" s="409">
        <f>SUMPRODUCT(('Full month Pivot'!$A$3:$A$400=TRIM($A$24))*('Full month Pivot'!$D$2:$K$2=M$2)*'Full month Pivot'!$D$3:$K$400)</f>
        <v/>
      </c>
      <c r="N24" s="409">
        <f>SUMPRODUCT(('Full month Pivot'!$A$3:$A$400=TRIM($A$24))*('Full month Pivot'!$D$2:$K$2=N$2)*'Full month Pivot'!$D$3:$K$400)</f>
        <v/>
      </c>
      <c r="O24" s="409">
        <f>SUMPRODUCT(('Full month Pivot'!$A$3:$A$400=TRIM($A$24))*('Full month Pivot'!$D$2:$K$2=O$2)*'Full month Pivot'!$D$3:$K$400)</f>
        <v/>
      </c>
      <c r="P24" s="409">
        <f>SUMPRODUCT(('Full month Pivot'!$A$3:$A$400=TRIM($A$24))*('Full month Pivot'!$D$2:$K$2=P$2)*'Full month Pivot'!$D$3:$K$400)</f>
        <v/>
      </c>
      <c r="Q24" s="410">
        <f>SUMPRODUCT(('Full month Pivot'!$A$3:$A$400=TRIM($A$24))*('Full month Pivot'!$D$2:$K$2=Q$2)*'Full month Pivot'!$D$3:$K$400)</f>
        <v/>
      </c>
      <c r="R24" s="409">
        <f>SUMPRODUCT(('Full month Pivot'!$A$3:$A$400=TRIM($A$24))*('Full month Pivot'!$D$2:$K$2=R$2)*'Full month Pivot'!$D$3:$K$400)</f>
        <v/>
      </c>
      <c r="S24" s="409">
        <f>SUMPRODUCT(('Full month Pivot'!$A$3:$A$400=TRIM($A$24))*('Full month Pivot'!$D$2:$K$2=S$2)*'Full month Pivot'!$D$3:$K$400)</f>
        <v/>
      </c>
      <c r="T24" s="411">
        <f>G24-F24</f>
        <v/>
      </c>
      <c r="U24" s="386" t="n"/>
      <c r="V24" s="386" t="n"/>
      <c r="W24" s="386" t="n"/>
      <c r="X24" s="386" t="n"/>
      <c r="Y24" s="386" t="n"/>
      <c r="Z24" s="386" t="n"/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413" t="inlineStr">
        <is>
          <t xml:space="preserve">  ↳ Click to app: Tìm Kiếm</t>
        </is>
      </c>
      <c r="B25" s="414" t="n"/>
      <c r="C25" s="414" t="n"/>
      <c r="D25" s="414" t="n"/>
      <c r="E25" s="414" t="n"/>
      <c r="F25" s="414" t="n">
        <v>65</v>
      </c>
      <c r="G25" s="415" t="n">
        <v>99</v>
      </c>
      <c r="H25" s="414" t="n"/>
      <c r="I25" s="414" t="n"/>
      <c r="J25" s="416">
        <f>G25-F25</f>
        <v/>
      </c>
      <c r="K25" s="417">
        <f>IF(G24&gt;0, G25/G24, 0)</f>
        <v/>
      </c>
      <c r="L25" s="414" t="n"/>
      <c r="M25" s="414" t="n"/>
      <c r="N25" s="414" t="n"/>
      <c r="O25" s="414" t="n"/>
      <c r="P25" s="414" t="n">
        <v>86</v>
      </c>
      <c r="Q25" s="415">
        <f>G25</f>
        <v/>
      </c>
      <c r="R25" s="414" t="n"/>
      <c r="S25" s="414" t="n"/>
      <c r="T25" s="416">
        <f>G25-F25</f>
        <v/>
      </c>
      <c r="U25" s="386" t="n"/>
      <c r="V25" s="386" t="n"/>
      <c r="W25" s="386" t="n"/>
      <c r="X25" s="386" t="n"/>
      <c r="Y25" s="386" t="n"/>
      <c r="Z25" s="386" t="n"/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408" t="inlineStr">
        <is>
          <t>Tiktok</t>
        </is>
      </c>
      <c r="B26" s="409">
        <f>SUMPRODUCT(('MTD Pivot'!$A$3:$A$400=TRIM($A$26))*('MTD Pivot'!$D$2:$K$2=B$2)*'MTD Pivot'!$D$3:$K$400)</f>
        <v/>
      </c>
      <c r="C26" s="409">
        <f>SUMPRODUCT(('MTD Pivot'!$A$3:$A$400=TRIM($A$26))*('MTD Pivot'!$D$2:$K$2=C$2)*'MTD Pivot'!$D$3:$K$400)</f>
        <v/>
      </c>
      <c r="D26" s="409">
        <f>SUMPRODUCT(('MTD Pivot'!$A$3:$A$400=TRIM($A$26))*('MTD Pivot'!$D$2:$K$2=D$2)*'MTD Pivot'!$D$3:$K$400)</f>
        <v/>
      </c>
      <c r="E26" s="409">
        <f>SUMPRODUCT(('MTD Pivot'!$A$3:$A$400=TRIM($A$26))*('MTD Pivot'!$D$2:$K$2=E$2)*'MTD Pivot'!$D$3:$K$400)</f>
        <v/>
      </c>
      <c r="F26" s="409">
        <f>SUMPRODUCT(('MTD Pivot'!$A$3:$A$400=TRIM($A$26))*('MTD Pivot'!$D$2:$K$2=F$2)*'MTD Pivot'!$D$3:$K$400)</f>
        <v/>
      </c>
      <c r="G26" s="410">
        <f>SUMPRODUCT(('MTD Pivot'!$A$3:$A$400=TRIM($A$26))*('MTD Pivot'!$D$2:$K$2=G$2)*'MTD Pivot'!$D$3:$K$400)</f>
        <v/>
      </c>
      <c r="H26" s="409">
        <f>SUMPRODUCT(('MTD Pivot'!$A$3:$A$400=TRIM($A$26))*('MTD Pivot'!$D$2:$K$2=H$2)*'MTD Pivot'!$D$3:$K$400)</f>
        <v/>
      </c>
      <c r="I26" s="409">
        <f>SUMPRODUCT(('MTD Pivot'!$A$3:$A$400=TRIM($A$26))*('MTD Pivot'!$D$2:$K$2=I$2)*'MTD Pivot'!$D$3:$K$400)</f>
        <v/>
      </c>
      <c r="J26" s="411">
        <f>G26-F26</f>
        <v/>
      </c>
      <c r="K26" s="412" t="n"/>
      <c r="L26" s="409">
        <f>SUMPRODUCT(('Full month Pivot'!$A$3:$A$400=TRIM($A$26))*('Full month Pivot'!$D$2:$K$2=L$2)*'Full month Pivot'!$D$3:$K$400)</f>
        <v/>
      </c>
      <c r="M26" s="409">
        <f>SUMPRODUCT(('Full month Pivot'!$A$3:$A$400=TRIM($A$26))*('Full month Pivot'!$D$2:$K$2=M$2)*'Full month Pivot'!$D$3:$K$400)</f>
        <v/>
      </c>
      <c r="N26" s="409">
        <f>SUMPRODUCT(('Full month Pivot'!$A$3:$A$400=TRIM($A$26))*('Full month Pivot'!$D$2:$K$2=N$2)*'Full month Pivot'!$D$3:$K$400)</f>
        <v/>
      </c>
      <c r="O26" s="409">
        <f>SUMPRODUCT(('Full month Pivot'!$A$3:$A$400=TRIM($A$26))*('Full month Pivot'!$D$2:$K$2=O$2)*'Full month Pivot'!$D$3:$K$400)</f>
        <v/>
      </c>
      <c r="P26" s="409">
        <f>SUMPRODUCT(('Full month Pivot'!$A$3:$A$400=TRIM($A$26))*('Full month Pivot'!$D$2:$K$2=P$2)*'Full month Pivot'!$D$3:$K$400)</f>
        <v/>
      </c>
      <c r="Q26" s="410">
        <f>SUMPRODUCT(('Full month Pivot'!$A$3:$A$400=TRIM($A$26))*('Full month Pivot'!$D$2:$K$2=Q$2)*'Full month Pivot'!$D$3:$K$400)</f>
        <v/>
      </c>
      <c r="R26" s="409">
        <f>SUMPRODUCT(('Full month Pivot'!$A$3:$A$400=TRIM($A$26))*('Full month Pivot'!$D$2:$K$2=R$2)*'Full month Pivot'!$D$3:$K$400)</f>
        <v/>
      </c>
      <c r="S26" s="409">
        <f>SUMPRODUCT(('Full month Pivot'!$A$3:$A$400=TRIM($A$26))*('Full month Pivot'!$D$2:$K$2=S$2)*'Full month Pivot'!$D$3:$K$400)</f>
        <v/>
      </c>
      <c r="T26" s="411">
        <f>G26-F26</f>
        <v/>
      </c>
      <c r="U26" s="395" t="n"/>
      <c r="V26" s="395" t="n"/>
      <c r="W26" s="395" t="n"/>
      <c r="X26" s="395" t="n"/>
      <c r="Y26" s="395" t="n"/>
      <c r="Z26" s="395" t="n"/>
      <c r="AA26" s="202" t="n"/>
      <c r="AB26" s="140" t="n"/>
      <c r="AC26" s="140" t="n"/>
      <c r="AD26" s="140" t="n"/>
    </row>
    <row r="27" ht="15.75" customHeight="1" s="346">
      <c r="A27" s="413" t="inlineStr">
        <is>
          <t xml:space="preserve">  ↳ Click to app: Tiktok</t>
        </is>
      </c>
      <c r="B27" s="414" t="n"/>
      <c r="C27" s="414" t="n"/>
      <c r="D27" s="414" t="n"/>
      <c r="E27" s="414" t="n"/>
      <c r="F27" s="414" t="n">
        <v>6463</v>
      </c>
      <c r="G27" s="415" t="n">
        <v>5366</v>
      </c>
      <c r="H27" s="414" t="n"/>
      <c r="I27" s="414" t="n"/>
      <c r="J27" s="416">
        <f>G27-F27</f>
        <v/>
      </c>
      <c r="K27" s="417">
        <f>IF(G26&gt;0, G27/G26, 0)</f>
        <v/>
      </c>
      <c r="L27" s="414" t="n"/>
      <c r="M27" s="414" t="n"/>
      <c r="N27" s="414" t="n"/>
      <c r="O27" s="414" t="n"/>
      <c r="P27" s="414" t="n">
        <v>7237</v>
      </c>
      <c r="Q27" s="415">
        <f>G27</f>
        <v/>
      </c>
      <c r="R27" s="414" t="n"/>
      <c r="S27" s="414" t="n"/>
      <c r="T27" s="416">
        <f>G27-F27</f>
        <v/>
      </c>
      <c r="U27" s="365" t="n"/>
      <c r="V27" s="365" t="n"/>
      <c r="W27" s="365" t="n"/>
      <c r="X27" s="365" t="n"/>
      <c r="Y27" s="365" t="n"/>
      <c r="Z27" s="365" t="n"/>
      <c r="AA27" s="145" t="n"/>
      <c r="AB27" s="140" t="n"/>
      <c r="AC27" s="140" t="n"/>
      <c r="AD27" s="140" t="n"/>
    </row>
    <row r="28" ht="15.75" customHeight="1" s="346">
      <c r="A28" s="408" t="inlineStr">
        <is>
          <t>Financial Hub</t>
        </is>
      </c>
      <c r="B28" s="409">
        <f>SUM(B30, B32, B34, B36, B38, B40, B42, B44, B46, B48, B50, B52, B54, B56)</f>
        <v/>
      </c>
      <c r="C28" s="409">
        <f>SUM(C30, C32, C34, C36, C38, C40, C42, C44, C46, C48, C50, C52, C54, C56)</f>
        <v/>
      </c>
      <c r="D28" s="409">
        <f>SUM(D30, D32, D34, D36, D38, D40, D42, D44, D46, D48, D50, D52, D54, D56)</f>
        <v/>
      </c>
      <c r="E28" s="409">
        <f>SUM(E30, E32, E34, E36, E38, E40, E42, E44, E46, E48, E50, E52, E54, E56)</f>
        <v/>
      </c>
      <c r="F28" s="409">
        <f>SUM(F30, F32, F34, F36, F38, F40, F42, F44, F46, F48, F50, F52, F54, F56)</f>
        <v/>
      </c>
      <c r="G28" s="410">
        <f>SUM(G30, G32, G34, G36, G38, G40, G42, G44, G46, G48, G50, G52, G54, G56)</f>
        <v/>
      </c>
      <c r="H28" s="409">
        <f>SUM(H30, H32, H34, H36, H38, H40, H42, H44, H46, H48, H50, H52, H54, H56)</f>
        <v/>
      </c>
      <c r="I28" s="409">
        <f>SUM(I30, I32, I34, I36, I38, I40, I42, I44, I46, I48, I50, I52, I54, I56)</f>
        <v/>
      </c>
      <c r="J28" s="411">
        <f>G28-F28</f>
        <v/>
      </c>
      <c r="K28" s="412" t="n"/>
      <c r="L28" s="409">
        <f>SUM(L30, L32, L34, L36, L38, L40, L42, L44, L46, L48, L50, L52, L54, L56)</f>
        <v/>
      </c>
      <c r="M28" s="409">
        <f>SUM(M30, M32, M34, M36, M38, M40, M42, M44, M46, M48, M50, M52, M54, M56)</f>
        <v/>
      </c>
      <c r="N28" s="409">
        <f>SUM(N30, N32, N34, N36, N38, N40, N42, N44, N46, N48, N50, N52, N54, N56)</f>
        <v/>
      </c>
      <c r="O28" s="409">
        <f>SUM(O30, O32, O34, O36, O38, O40, O42, O44, O46, O48, O50, O52, O54, O56)</f>
        <v/>
      </c>
      <c r="P28" s="409">
        <f>SUM(P30, P32, P34, P36, P38, P40, P42, P44, P46, P48, P50, P52, P54, P56)</f>
        <v/>
      </c>
      <c r="Q28" s="410">
        <f>SUM(Q30, Q32, Q34, Q36, Q38, Q40, Q42, Q44, Q46, Q48, Q50, Q52, Q54, Q56)</f>
        <v/>
      </c>
      <c r="R28" s="409">
        <f>SUM(R30, R32, R34, R36, R38, R40, R42, R44, R46, R48, R50, R52, R54, R56)</f>
        <v/>
      </c>
      <c r="S28" s="409">
        <f>SUM(S30, S32, S34, S36, S38, S40, S42, S44, S46, S48, S50, S52, S54, S56)</f>
        <v/>
      </c>
      <c r="T28" s="411">
        <f>G28-F28</f>
        <v/>
      </c>
      <c r="U28" s="367" t="n"/>
      <c r="V28" s="367" t="n"/>
      <c r="W28" s="367" t="n"/>
      <c r="X28" s="367" t="n"/>
      <c r="Y28" s="367" t="n"/>
      <c r="Z28" s="367" t="n"/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413" t="inlineStr">
        <is>
          <t xml:space="preserve">  ↳ Click to app: Financial Hub</t>
        </is>
      </c>
      <c r="B29" s="414" t="n"/>
      <c r="C29" s="414" t="n"/>
      <c r="D29" s="414" t="n"/>
      <c r="E29" s="414" t="n"/>
      <c r="F29" s="414">
        <f>SUM(F31, F33, F35, F37, F39, F41, F43, F45, F47, F49, F51, F53, F55, F57)</f>
        <v/>
      </c>
      <c r="G29" s="415">
        <f>SUM(G31, G33, G35, G37, G39, G41, G43, G45, G47, G49, G51, G53, G55, G57)</f>
        <v/>
      </c>
      <c r="H29" s="414" t="n"/>
      <c r="I29" s="414" t="n"/>
      <c r="J29" s="416">
        <f>G29-F29</f>
        <v/>
      </c>
      <c r="K29" s="417">
        <f>IF(G28&gt;0, G29/G28, 0)</f>
        <v/>
      </c>
      <c r="L29" s="414" t="n"/>
      <c r="M29" s="414" t="n"/>
      <c r="N29" s="414" t="n"/>
      <c r="O29" s="414" t="n"/>
      <c r="P29" s="414">
        <f>SUM(P31, P33, P35, P37, P39, P41, P43, P45, P47, P49, P51, P53, P55, P57)</f>
        <v/>
      </c>
      <c r="Q29" s="415">
        <f>G29</f>
        <v/>
      </c>
      <c r="R29" s="414" t="n"/>
      <c r="S29" s="414" t="n"/>
      <c r="T29" s="416">
        <f>G29-F29</f>
        <v/>
      </c>
      <c r="U29" s="373" t="n"/>
      <c r="V29" s="373" t="n"/>
      <c r="W29" s="373" t="n"/>
      <c r="X29" s="373" t="n"/>
      <c r="Y29" s="373" t="n"/>
      <c r="Z29" s="373" t="n"/>
      <c r="AA29" s="151">
        <f>IFERROR((X29-W29)/W29, "")</f>
        <v/>
      </c>
      <c r="AB29" s="140" t="n"/>
      <c r="AC29" s="140" t="n"/>
      <c r="AD29" s="140" t="n"/>
    </row>
    <row r="30" outlineLevel="1" ht="15.75" customHeight="1" s="346">
      <c r="A30" s="418" t="inlineStr">
        <is>
          <t xml:space="preserve">    Vay Nhanh</t>
        </is>
      </c>
      <c r="B30" s="419">
        <f>SUMPRODUCT(('MTD Pivot'!$A$3:$A$400=TRIM($A$30))*('MTD Pivot'!$D$2:$K$2=B$2)*'MTD Pivot'!$D$3:$K$400)</f>
        <v/>
      </c>
      <c r="C30" s="419">
        <f>SUMPRODUCT(('MTD Pivot'!$A$3:$A$400=TRIM($A$30))*('MTD Pivot'!$D$2:$K$2=C$2)*'MTD Pivot'!$D$3:$K$400)</f>
        <v/>
      </c>
      <c r="D30" s="419">
        <f>SUMPRODUCT(('MTD Pivot'!$A$3:$A$400=TRIM($A$30))*('MTD Pivot'!$D$2:$K$2=D$2)*'MTD Pivot'!$D$3:$K$400)</f>
        <v/>
      </c>
      <c r="E30" s="419">
        <f>SUMPRODUCT(('MTD Pivot'!$A$3:$A$400=TRIM($A$30))*('MTD Pivot'!$D$2:$K$2=E$2)*'MTD Pivot'!$D$3:$K$400)</f>
        <v/>
      </c>
      <c r="F30" s="419">
        <f>SUMPRODUCT(('MTD Pivot'!$A$3:$A$400=TRIM($A$30))*('MTD Pivot'!$D$2:$K$2=F$2)*'MTD Pivot'!$D$3:$K$400)</f>
        <v/>
      </c>
      <c r="G30" s="420">
        <f>SUMPRODUCT(('MTD Pivot'!$A$3:$A$400=TRIM($A$30))*('MTD Pivot'!$D$2:$K$2=G$2)*'MTD Pivot'!$D$3:$K$400)</f>
        <v/>
      </c>
      <c r="H30" s="419">
        <f>SUMPRODUCT(('MTD Pivot'!$A$3:$A$400=TRIM($A$30))*('MTD Pivot'!$D$2:$K$2=H$2)*'MTD Pivot'!$D$3:$K$400)</f>
        <v/>
      </c>
      <c r="I30" s="419">
        <f>SUMPRODUCT(('MTD Pivot'!$A$3:$A$400=TRIM($A$30))*('MTD Pivot'!$D$2:$K$2=I$2)*'MTD Pivot'!$D$3:$K$400)</f>
        <v/>
      </c>
      <c r="J30" s="421">
        <f>G30-F30</f>
        <v/>
      </c>
      <c r="K30" s="422" t="n"/>
      <c r="L30" s="419">
        <f>SUMPRODUCT(('Full month Pivot'!$A$3:$A$400=TRIM($A$30))*('Full month Pivot'!$D$2:$K$2=L$2)*'Full month Pivot'!$D$3:$K$400)</f>
        <v/>
      </c>
      <c r="M30" s="419">
        <f>SUMPRODUCT(('Full month Pivot'!$A$3:$A$400=TRIM($A$30))*('Full month Pivot'!$D$2:$K$2=M$2)*'Full month Pivot'!$D$3:$K$400)</f>
        <v/>
      </c>
      <c r="N30" s="419">
        <f>SUMPRODUCT(('Full month Pivot'!$A$3:$A$400=TRIM($A$30))*('Full month Pivot'!$D$2:$K$2=N$2)*'Full month Pivot'!$D$3:$K$400)</f>
        <v/>
      </c>
      <c r="O30" s="419">
        <f>SUMPRODUCT(('Full month Pivot'!$A$3:$A$400=TRIM($A$30))*('Full month Pivot'!$D$2:$K$2=O$2)*'Full month Pivot'!$D$3:$K$400)</f>
        <v/>
      </c>
      <c r="P30" s="419">
        <f>SUMPRODUCT(('Full month Pivot'!$A$3:$A$400=TRIM($A$30))*('Full month Pivot'!$D$2:$K$2=P$2)*'Full month Pivot'!$D$3:$K$400)</f>
        <v/>
      </c>
      <c r="Q30" s="420">
        <f>SUMPRODUCT(('Full month Pivot'!$A$3:$A$400=TRIM($A$30))*('Full month Pivot'!$D$2:$K$2=Q$2)*'Full month Pivot'!$D$3:$K$400)</f>
        <v/>
      </c>
      <c r="R30" s="419">
        <f>SUMPRODUCT(('Full month Pivot'!$A$3:$A$400=TRIM($A$30))*('Full month Pivot'!$D$2:$K$2=R$2)*'Full month Pivot'!$D$3:$K$400)</f>
        <v/>
      </c>
      <c r="S30" s="419">
        <f>SUMPRODUCT(('Full month Pivot'!$A$3:$A$400=TRIM($A$30))*('Full month Pivot'!$D$2:$K$2=S$2)*'Full month Pivot'!$D$3:$K$400)</f>
        <v/>
      </c>
      <c r="T30" s="421">
        <f>G30-F30</f>
        <v/>
      </c>
      <c r="U30" s="375" t="n"/>
      <c r="V30" s="375" t="n"/>
      <c r="W30" s="375" t="n"/>
      <c r="X30" s="375" t="n"/>
      <c r="Y30" s="375" t="n"/>
      <c r="Z30" s="375" t="n"/>
      <c r="AA30" s="153" t="n"/>
      <c r="AB30" s="140" t="n"/>
      <c r="AC30" s="140" t="n"/>
      <c r="AD30" s="140" t="n"/>
    </row>
    <row r="31" outlineLevel="1" ht="15.75" customHeight="1" s="346">
      <c r="A31" s="423" t="inlineStr">
        <is>
          <t xml:space="preserve">        ↳ Click: Vay Nhanh</t>
        </is>
      </c>
      <c r="B31" s="424" t="n"/>
      <c r="C31" s="424" t="n"/>
      <c r="D31" s="424" t="n"/>
      <c r="E31" s="424" t="n"/>
      <c r="F31" s="424" t="n">
        <v>3736</v>
      </c>
      <c r="G31" s="425" t="n">
        <v>1111</v>
      </c>
      <c r="H31" s="424" t="n"/>
      <c r="I31" s="424" t="n"/>
      <c r="J31" s="426">
        <f>G31-F31</f>
        <v/>
      </c>
      <c r="K31" s="417">
        <f>IF(G30&gt;0, G31/G30, 0)</f>
        <v/>
      </c>
      <c r="L31" s="424" t="n"/>
      <c r="M31" s="424" t="n"/>
      <c r="N31" s="424" t="n"/>
      <c r="O31" s="424" t="n"/>
      <c r="P31" s="424" t="n">
        <v>4375</v>
      </c>
      <c r="Q31" s="425">
        <f>G31</f>
        <v/>
      </c>
      <c r="R31" s="424" t="n"/>
      <c r="S31" s="424" t="n"/>
      <c r="T31" s="426">
        <f>G31-F31</f>
        <v/>
      </c>
      <c r="U31" s="376" t="n"/>
      <c r="V31" s="376" t="n"/>
      <c r="W31" s="376" t="n"/>
      <c r="X31" s="376" t="n"/>
      <c r="Y31" s="376" t="n"/>
      <c r="Z31" s="376" t="n"/>
      <c r="AA31" s="203" t="n"/>
      <c r="AB31" s="140" t="n"/>
      <c r="AC31" s="140" t="n"/>
      <c r="AD31" s="140" t="n"/>
    </row>
    <row r="32" outlineLevel="1" ht="15.75" customHeight="1" s="346">
      <c r="A32" s="418" t="inlineStr">
        <is>
          <t xml:space="preserve">    Điểm Tín Dụng</t>
        </is>
      </c>
      <c r="B32" s="419">
        <f>SUMPRODUCT(('MTD Pivot'!$A$3:$A$400=TRIM($A$32))*('MTD Pivot'!$D$2:$K$2=B$2)*'MTD Pivot'!$D$3:$K$400)</f>
        <v/>
      </c>
      <c r="C32" s="419">
        <f>SUMPRODUCT(('MTD Pivot'!$A$3:$A$400=TRIM($A$32))*('MTD Pivot'!$D$2:$K$2=C$2)*'MTD Pivot'!$D$3:$K$400)</f>
        <v/>
      </c>
      <c r="D32" s="419">
        <f>SUMPRODUCT(('MTD Pivot'!$A$3:$A$400=TRIM($A$32))*('MTD Pivot'!$D$2:$K$2=D$2)*'MTD Pivot'!$D$3:$K$400)</f>
        <v/>
      </c>
      <c r="E32" s="419">
        <f>SUMPRODUCT(('MTD Pivot'!$A$3:$A$400=TRIM($A$32))*('MTD Pivot'!$D$2:$K$2=E$2)*'MTD Pivot'!$D$3:$K$400)</f>
        <v/>
      </c>
      <c r="F32" s="419">
        <f>SUMPRODUCT(('MTD Pivot'!$A$3:$A$400=TRIM($A$32))*('MTD Pivot'!$D$2:$K$2=F$2)*'MTD Pivot'!$D$3:$K$400)</f>
        <v/>
      </c>
      <c r="G32" s="420">
        <f>SUMPRODUCT(('MTD Pivot'!$A$3:$A$400=TRIM($A$32))*('MTD Pivot'!$D$2:$K$2=G$2)*'MTD Pivot'!$D$3:$K$400)</f>
        <v/>
      </c>
      <c r="H32" s="419">
        <f>SUMPRODUCT(('MTD Pivot'!$A$3:$A$400=TRIM($A$32))*('MTD Pivot'!$D$2:$K$2=H$2)*'MTD Pivot'!$D$3:$K$400)</f>
        <v/>
      </c>
      <c r="I32" s="419">
        <f>SUMPRODUCT(('MTD Pivot'!$A$3:$A$400=TRIM($A$32))*('MTD Pivot'!$D$2:$K$2=I$2)*'MTD Pivot'!$D$3:$K$400)</f>
        <v/>
      </c>
      <c r="J32" s="421">
        <f>G32-F32</f>
        <v/>
      </c>
      <c r="K32" s="422" t="n"/>
      <c r="L32" s="419">
        <f>SUMPRODUCT(('Full month Pivot'!$A$3:$A$400=TRIM($A$32))*('Full month Pivot'!$D$2:$K$2=L$2)*'Full month Pivot'!$D$3:$K$400)</f>
        <v/>
      </c>
      <c r="M32" s="419">
        <f>SUMPRODUCT(('Full month Pivot'!$A$3:$A$400=TRIM($A$32))*('Full month Pivot'!$D$2:$K$2=M$2)*'Full month Pivot'!$D$3:$K$400)</f>
        <v/>
      </c>
      <c r="N32" s="419">
        <f>SUMPRODUCT(('Full month Pivot'!$A$3:$A$400=TRIM($A$32))*('Full month Pivot'!$D$2:$K$2=N$2)*'Full month Pivot'!$D$3:$K$400)</f>
        <v/>
      </c>
      <c r="O32" s="419">
        <f>SUMPRODUCT(('Full month Pivot'!$A$3:$A$400=TRIM($A$32))*('Full month Pivot'!$D$2:$K$2=O$2)*'Full month Pivot'!$D$3:$K$400)</f>
        <v/>
      </c>
      <c r="P32" s="419">
        <f>SUMPRODUCT(('Full month Pivot'!$A$3:$A$400=TRIM($A$32))*('Full month Pivot'!$D$2:$K$2=P$2)*'Full month Pivot'!$D$3:$K$400)</f>
        <v/>
      </c>
      <c r="Q32" s="420">
        <f>SUMPRODUCT(('Full month Pivot'!$A$3:$A$400=TRIM($A$32))*('Full month Pivot'!$D$2:$K$2=Q$2)*'Full month Pivot'!$D$3:$K$400)</f>
        <v/>
      </c>
      <c r="R32" s="419">
        <f>SUMPRODUCT(('Full month Pivot'!$A$3:$A$400=TRIM($A$32))*('Full month Pivot'!$D$2:$K$2=R$2)*'Full month Pivot'!$D$3:$K$400)</f>
        <v/>
      </c>
      <c r="S32" s="419">
        <f>SUMPRODUCT(('Full month Pivot'!$A$3:$A$400=TRIM($A$32))*('Full month Pivot'!$D$2:$K$2=S$2)*'Full month Pivot'!$D$3:$K$400)</f>
        <v/>
      </c>
      <c r="T32" s="421">
        <f>G32-F32</f>
        <v/>
      </c>
      <c r="U32" s="381" t="n"/>
      <c r="V32" s="381" t="n"/>
      <c r="W32" s="381" t="n"/>
      <c r="X32" s="381" t="n"/>
      <c r="Y32" s="381" t="n"/>
      <c r="Z32" s="381" t="n"/>
      <c r="AA32" s="157">
        <f>IF(AND(ISNUMBER(X32), ISNUMBER(W32)), X32-W32, "")</f>
        <v/>
      </c>
      <c r="AB32" s="140" t="n"/>
      <c r="AC32" s="140" t="n"/>
      <c r="AD32" s="140" t="n"/>
    </row>
    <row r="33" outlineLevel="1" ht="15.75" customHeight="1" s="346">
      <c r="A33" s="423" t="inlineStr">
        <is>
          <t xml:space="preserve">        ↳ Click: Điểm Tín Dụng</t>
        </is>
      </c>
      <c r="B33" s="424" t="n"/>
      <c r="C33" s="424" t="n"/>
      <c r="D33" s="424" t="n"/>
      <c r="E33" s="424" t="n"/>
      <c r="F33" s="424" t="n">
        <v>554</v>
      </c>
      <c r="G33" s="425" t="n">
        <v>742</v>
      </c>
      <c r="H33" s="424" t="n"/>
      <c r="I33" s="424" t="n"/>
      <c r="J33" s="426">
        <f>G33-F33</f>
        <v/>
      </c>
      <c r="K33" s="417">
        <f>IF(G32&gt;0, G33/G32, 0)</f>
        <v/>
      </c>
      <c r="L33" s="424" t="n"/>
      <c r="M33" s="424" t="n"/>
      <c r="N33" s="424" t="n"/>
      <c r="O33" s="424" t="n"/>
      <c r="P33" s="424" t="n">
        <v>674</v>
      </c>
      <c r="Q33" s="425">
        <f>G33</f>
        <v/>
      </c>
      <c r="R33" s="424" t="n"/>
      <c r="S33" s="424" t="n"/>
      <c r="T33" s="426">
        <f>G33-F33</f>
        <v/>
      </c>
      <c r="U33" s="386" t="n"/>
      <c r="V33" s="386" t="n"/>
      <c r="W33" s="386" t="n"/>
      <c r="X33" s="386" t="n"/>
      <c r="Y33" s="386" t="n"/>
      <c r="Z33" s="386" t="n"/>
      <c r="AA33" s="157">
        <f>IF(AND(ISNUMBER(X33), ISNUMBER(W33), W33&gt;0), (X33-W33)/W33, "")</f>
        <v/>
      </c>
      <c r="AB33" s="140" t="n"/>
      <c r="AC33" s="140" t="n"/>
      <c r="AD33" s="140" t="n"/>
    </row>
    <row r="34" outlineLevel="1" ht="15.75" customHeight="1" s="346">
      <c r="A34" s="418" t="inlineStr">
        <is>
          <t xml:space="preserve">    Ví Trả Sau</t>
        </is>
      </c>
      <c r="B34" s="419">
        <f>SUMPRODUCT(('MTD Pivot'!$A$3:$A$400=TRIM($A$34))*('MTD Pivot'!$D$2:$K$2=B$2)*'MTD Pivot'!$D$3:$K$400)</f>
        <v/>
      </c>
      <c r="C34" s="419">
        <f>SUMPRODUCT(('MTD Pivot'!$A$3:$A$400=TRIM($A$34))*('MTD Pivot'!$D$2:$K$2=C$2)*'MTD Pivot'!$D$3:$K$400)</f>
        <v/>
      </c>
      <c r="D34" s="419">
        <f>SUMPRODUCT(('MTD Pivot'!$A$3:$A$400=TRIM($A$34))*('MTD Pivot'!$D$2:$K$2=D$2)*'MTD Pivot'!$D$3:$K$400)</f>
        <v/>
      </c>
      <c r="E34" s="419">
        <f>SUMPRODUCT(('MTD Pivot'!$A$3:$A$400=TRIM($A$34))*('MTD Pivot'!$D$2:$K$2=E$2)*'MTD Pivot'!$D$3:$K$400)</f>
        <v/>
      </c>
      <c r="F34" s="419">
        <f>SUMPRODUCT(('MTD Pivot'!$A$3:$A$400=TRIM($A$34))*('MTD Pivot'!$D$2:$K$2=F$2)*'MTD Pivot'!$D$3:$K$400)</f>
        <v/>
      </c>
      <c r="G34" s="420">
        <f>SUMPRODUCT(('MTD Pivot'!$A$3:$A$400=TRIM($A$34))*('MTD Pivot'!$D$2:$K$2=G$2)*'MTD Pivot'!$D$3:$K$400)</f>
        <v/>
      </c>
      <c r="H34" s="419">
        <f>SUMPRODUCT(('MTD Pivot'!$A$3:$A$400=TRIM($A$34))*('MTD Pivot'!$D$2:$K$2=H$2)*'MTD Pivot'!$D$3:$K$400)</f>
        <v/>
      </c>
      <c r="I34" s="419">
        <f>SUMPRODUCT(('MTD Pivot'!$A$3:$A$400=TRIM($A$34))*('MTD Pivot'!$D$2:$K$2=I$2)*'MTD Pivot'!$D$3:$K$400)</f>
        <v/>
      </c>
      <c r="J34" s="421">
        <f>G34-F34</f>
        <v/>
      </c>
      <c r="K34" s="422" t="n"/>
      <c r="L34" s="419">
        <f>SUMPRODUCT(('Full month Pivot'!$A$3:$A$400=TRIM($A$34))*('Full month Pivot'!$D$2:$K$2=L$2)*'Full month Pivot'!$D$3:$K$400)</f>
        <v/>
      </c>
      <c r="M34" s="419">
        <f>SUMPRODUCT(('Full month Pivot'!$A$3:$A$400=TRIM($A$34))*('Full month Pivot'!$D$2:$K$2=M$2)*'Full month Pivot'!$D$3:$K$400)</f>
        <v/>
      </c>
      <c r="N34" s="419">
        <f>SUMPRODUCT(('Full month Pivot'!$A$3:$A$400=TRIM($A$34))*('Full month Pivot'!$D$2:$K$2=N$2)*'Full month Pivot'!$D$3:$K$400)</f>
        <v/>
      </c>
      <c r="O34" s="419">
        <f>SUMPRODUCT(('Full month Pivot'!$A$3:$A$400=TRIM($A$34))*('Full month Pivot'!$D$2:$K$2=O$2)*'Full month Pivot'!$D$3:$K$400)</f>
        <v/>
      </c>
      <c r="P34" s="419">
        <f>SUMPRODUCT(('Full month Pivot'!$A$3:$A$400=TRIM($A$34))*('Full month Pivot'!$D$2:$K$2=P$2)*'Full month Pivot'!$D$3:$K$400)</f>
        <v/>
      </c>
      <c r="Q34" s="420">
        <f>SUMPRODUCT(('Full month Pivot'!$A$3:$A$400=TRIM($A$34))*('Full month Pivot'!$D$2:$K$2=Q$2)*'Full month Pivot'!$D$3:$K$400)</f>
        <v/>
      </c>
      <c r="R34" s="419">
        <f>SUMPRODUCT(('Full month Pivot'!$A$3:$A$400=TRIM($A$34))*('Full month Pivot'!$D$2:$K$2=R$2)*'Full month Pivot'!$D$3:$K$400)</f>
        <v/>
      </c>
      <c r="S34" s="419">
        <f>SUMPRODUCT(('Full month Pivot'!$A$3:$A$400=TRIM($A$34))*('Full month Pivot'!$D$2:$K$2=S$2)*'Full month Pivot'!$D$3:$K$400)</f>
        <v/>
      </c>
      <c r="T34" s="421">
        <f>G34-F34</f>
        <v/>
      </c>
      <c r="U34" s="386" t="n"/>
      <c r="V34" s="386" t="n"/>
      <c r="W34" s="386" t="n"/>
      <c r="X34" s="386" t="n"/>
      <c r="Y34" s="386" t="n"/>
      <c r="Z34" s="386" t="n"/>
      <c r="AA34" s="157">
        <f>IF(AND(ISNUMBER(X34), ISNUMBER(W34), W34&gt;0), (X34-W34)/W34, "")</f>
        <v/>
      </c>
      <c r="AB34" s="140" t="n"/>
      <c r="AC34" s="140" t="n"/>
      <c r="AD34" s="140" t="n"/>
    </row>
    <row r="35" outlineLevel="1" ht="15.75" customHeight="1" s="346">
      <c r="A35" s="423" t="inlineStr">
        <is>
          <t xml:space="preserve">        ↳ Click: Ví Trả Sau</t>
        </is>
      </c>
      <c r="B35" s="424" t="n"/>
      <c r="C35" s="424" t="n"/>
      <c r="D35" s="424" t="n"/>
      <c r="E35" s="424" t="n"/>
      <c r="F35" s="424" t="n">
        <v>5834</v>
      </c>
      <c r="G35" s="425" t="n">
        <v>3113</v>
      </c>
      <c r="H35" s="424" t="n"/>
      <c r="I35" s="424" t="n"/>
      <c r="J35" s="426">
        <f>G35-F35</f>
        <v/>
      </c>
      <c r="K35" s="417">
        <f>IF(G34&gt;0, G35/G34, 0)</f>
        <v/>
      </c>
      <c r="L35" s="424" t="n"/>
      <c r="M35" s="424" t="n"/>
      <c r="N35" s="424" t="n"/>
      <c r="O35" s="424" t="n"/>
      <c r="P35" s="424" t="n">
        <v>6450</v>
      </c>
      <c r="Q35" s="425">
        <f>G35</f>
        <v/>
      </c>
      <c r="R35" s="424" t="n"/>
      <c r="S35" s="424" t="n"/>
      <c r="T35" s="426">
        <f>G35-F35</f>
        <v/>
      </c>
      <c r="U35" s="386" t="n"/>
      <c r="V35" s="386" t="n"/>
      <c r="W35" s="386" t="n"/>
      <c r="X35" s="386" t="n"/>
      <c r="Y35" s="386" t="n"/>
      <c r="Z35" s="386" t="n"/>
      <c r="AA35" s="157">
        <f>IF(AND(ISNUMBER(X35), ISNUMBER(W35), W35&gt;0), (X35-W35)/W35, "")</f>
        <v/>
      </c>
      <c r="AB35" s="140" t="n"/>
      <c r="AC35" s="140" t="n"/>
      <c r="AD35" s="140" t="n"/>
    </row>
    <row r="36" outlineLevel="1" ht="15.75" customHeight="1" s="346">
      <c r="A36" s="418" t="inlineStr">
        <is>
          <t xml:space="preserve">    Túi Thần Tài</t>
        </is>
      </c>
      <c r="B36" s="419">
        <f>SUMPRODUCT(('MTD Pivot'!$A$3:$A$400=TRIM($A$36))*('MTD Pivot'!$D$2:$K$2=B$2)*'MTD Pivot'!$D$3:$K$400)</f>
        <v/>
      </c>
      <c r="C36" s="419">
        <f>SUMPRODUCT(('MTD Pivot'!$A$3:$A$400=TRIM($A$36))*('MTD Pivot'!$D$2:$K$2=C$2)*'MTD Pivot'!$D$3:$K$400)</f>
        <v/>
      </c>
      <c r="D36" s="419">
        <f>SUMPRODUCT(('MTD Pivot'!$A$3:$A$400=TRIM($A$36))*('MTD Pivot'!$D$2:$K$2=D$2)*'MTD Pivot'!$D$3:$K$400)</f>
        <v/>
      </c>
      <c r="E36" s="419">
        <f>SUMPRODUCT(('MTD Pivot'!$A$3:$A$400=TRIM($A$36))*('MTD Pivot'!$D$2:$K$2=E$2)*'MTD Pivot'!$D$3:$K$400)</f>
        <v/>
      </c>
      <c r="F36" s="419">
        <f>SUMPRODUCT(('MTD Pivot'!$A$3:$A$400=TRIM($A$36))*('MTD Pivot'!$D$2:$K$2=F$2)*'MTD Pivot'!$D$3:$K$400)</f>
        <v/>
      </c>
      <c r="G36" s="420">
        <f>SUMPRODUCT(('MTD Pivot'!$A$3:$A$400=TRIM($A$36))*('MTD Pivot'!$D$2:$K$2=G$2)*'MTD Pivot'!$D$3:$K$400)</f>
        <v/>
      </c>
      <c r="H36" s="419">
        <f>SUMPRODUCT(('MTD Pivot'!$A$3:$A$400=TRIM($A$36))*('MTD Pivot'!$D$2:$K$2=H$2)*'MTD Pivot'!$D$3:$K$400)</f>
        <v/>
      </c>
      <c r="I36" s="419">
        <f>SUMPRODUCT(('MTD Pivot'!$A$3:$A$400=TRIM($A$36))*('MTD Pivot'!$D$2:$K$2=I$2)*'MTD Pivot'!$D$3:$K$400)</f>
        <v/>
      </c>
      <c r="J36" s="421">
        <f>G36-F36</f>
        <v/>
      </c>
      <c r="K36" s="422" t="n"/>
      <c r="L36" s="419">
        <f>SUMPRODUCT(('Full month Pivot'!$A$3:$A$400=TRIM($A$36))*('Full month Pivot'!$D$2:$K$2=L$2)*'Full month Pivot'!$D$3:$K$400)</f>
        <v/>
      </c>
      <c r="M36" s="419">
        <f>SUMPRODUCT(('Full month Pivot'!$A$3:$A$400=TRIM($A$36))*('Full month Pivot'!$D$2:$K$2=M$2)*'Full month Pivot'!$D$3:$K$400)</f>
        <v/>
      </c>
      <c r="N36" s="419">
        <f>SUMPRODUCT(('Full month Pivot'!$A$3:$A$400=TRIM($A$36))*('Full month Pivot'!$D$2:$K$2=N$2)*'Full month Pivot'!$D$3:$K$400)</f>
        <v/>
      </c>
      <c r="O36" s="419">
        <f>SUMPRODUCT(('Full month Pivot'!$A$3:$A$400=TRIM($A$36))*('Full month Pivot'!$D$2:$K$2=O$2)*'Full month Pivot'!$D$3:$K$400)</f>
        <v/>
      </c>
      <c r="P36" s="419">
        <f>SUMPRODUCT(('Full month Pivot'!$A$3:$A$400=TRIM($A$36))*('Full month Pivot'!$D$2:$K$2=P$2)*'Full month Pivot'!$D$3:$K$400)</f>
        <v/>
      </c>
      <c r="Q36" s="420">
        <f>SUMPRODUCT(('Full month Pivot'!$A$3:$A$400=TRIM($A$36))*('Full month Pivot'!$D$2:$K$2=Q$2)*'Full month Pivot'!$D$3:$K$400)</f>
        <v/>
      </c>
      <c r="R36" s="419">
        <f>SUMPRODUCT(('Full month Pivot'!$A$3:$A$400=TRIM($A$36))*('Full month Pivot'!$D$2:$K$2=R$2)*'Full month Pivot'!$D$3:$K$400)</f>
        <v/>
      </c>
      <c r="S36" s="419">
        <f>SUMPRODUCT(('Full month Pivot'!$A$3:$A$400=TRIM($A$36))*('Full month Pivot'!$D$2:$K$2=S$2)*'Full month Pivot'!$D$3:$K$400)</f>
        <v/>
      </c>
      <c r="T36" s="421">
        <f>G36-F36</f>
        <v/>
      </c>
      <c r="U36" s="386" t="n"/>
      <c r="V36" s="386" t="n"/>
      <c r="W36" s="386" t="n"/>
      <c r="X36" s="386" t="n"/>
      <c r="Y36" s="386" t="n"/>
      <c r="Z36" s="386" t="n"/>
      <c r="AA36" s="157">
        <f>IF(AND(ISNUMBER(X36), ISNUMBER(W36), W36&gt;0), (X36-W36)/W36, "")</f>
        <v/>
      </c>
      <c r="AB36" s="140" t="n"/>
      <c r="AC36" s="140" t="n"/>
      <c r="AD36" s="140" t="n"/>
    </row>
    <row r="37" outlineLevel="1" ht="15.75" customHeight="1" s="346">
      <c r="A37" s="423" t="inlineStr">
        <is>
          <t xml:space="preserve">        ↳ Click: Túi Thần Tài</t>
        </is>
      </c>
      <c r="B37" s="424" t="n"/>
      <c r="C37" s="424" t="n"/>
      <c r="D37" s="424" t="n"/>
      <c r="E37" s="424" t="n"/>
      <c r="F37" s="424" t="n">
        <v>39</v>
      </c>
      <c r="G37" s="425" t="n">
        <v>25</v>
      </c>
      <c r="H37" s="424" t="n"/>
      <c r="I37" s="424" t="n"/>
      <c r="J37" s="426">
        <f>G37-F37</f>
        <v/>
      </c>
      <c r="K37" s="417">
        <f>IF(G36&gt;0, G37/G36, 0)</f>
        <v/>
      </c>
      <c r="L37" s="424" t="n"/>
      <c r="M37" s="424" t="n"/>
      <c r="N37" s="424" t="n"/>
      <c r="O37" s="424" t="n"/>
      <c r="P37" s="424" t="n">
        <v>40</v>
      </c>
      <c r="Q37" s="425">
        <f>G37</f>
        <v/>
      </c>
      <c r="R37" s="424" t="n"/>
      <c r="S37" s="424" t="n"/>
      <c r="T37" s="426">
        <f>G37-F37</f>
        <v/>
      </c>
      <c r="U37" s="386" t="n"/>
      <c r="V37" s="386" t="n"/>
      <c r="W37" s="386" t="n"/>
      <c r="X37" s="386" t="n"/>
      <c r="Y37" s="386" t="n"/>
      <c r="Z37" s="386" t="n"/>
      <c r="AA37" s="157">
        <f>IF(AND(ISNUMBER(X37), ISNUMBER(W37), W37&gt;0), (X37-W37)/W37, "")</f>
        <v/>
      </c>
      <c r="AB37" s="140" t="n"/>
      <c r="AC37" s="140" t="n"/>
      <c r="AD37" s="140" t="n"/>
    </row>
    <row r="38" outlineLevel="1" ht="15.75" customHeight="1" s="346">
      <c r="A38" s="418" t="inlineStr">
        <is>
          <t xml:space="preserve">    Mở Thẻ Tín Dụng</t>
        </is>
      </c>
      <c r="B38" s="419">
        <f>SUMPRODUCT(('MTD Pivot'!$A$3:$A$400=TRIM($A$38))*('MTD Pivot'!$D$2:$K$2=B$2)*'MTD Pivot'!$D$3:$K$400)</f>
        <v/>
      </c>
      <c r="C38" s="419">
        <f>SUMPRODUCT(('MTD Pivot'!$A$3:$A$400=TRIM($A$38))*('MTD Pivot'!$D$2:$K$2=C$2)*'MTD Pivot'!$D$3:$K$400)</f>
        <v/>
      </c>
      <c r="D38" s="419">
        <f>SUMPRODUCT(('MTD Pivot'!$A$3:$A$400=TRIM($A$38))*('MTD Pivot'!$D$2:$K$2=D$2)*'MTD Pivot'!$D$3:$K$400)</f>
        <v/>
      </c>
      <c r="E38" s="419">
        <f>SUMPRODUCT(('MTD Pivot'!$A$3:$A$400=TRIM($A$38))*('MTD Pivot'!$D$2:$K$2=E$2)*'MTD Pivot'!$D$3:$K$400)</f>
        <v/>
      </c>
      <c r="F38" s="419">
        <f>SUMPRODUCT(('MTD Pivot'!$A$3:$A$400=TRIM($A$38))*('MTD Pivot'!$D$2:$K$2=F$2)*'MTD Pivot'!$D$3:$K$400)</f>
        <v/>
      </c>
      <c r="G38" s="420">
        <f>SUMPRODUCT(('MTD Pivot'!$A$3:$A$400=TRIM($A$38))*('MTD Pivot'!$D$2:$K$2=G$2)*'MTD Pivot'!$D$3:$K$400)</f>
        <v/>
      </c>
      <c r="H38" s="419">
        <f>SUMPRODUCT(('MTD Pivot'!$A$3:$A$400=TRIM($A$38))*('MTD Pivot'!$D$2:$K$2=H$2)*'MTD Pivot'!$D$3:$K$400)</f>
        <v/>
      </c>
      <c r="I38" s="419">
        <f>SUMPRODUCT(('MTD Pivot'!$A$3:$A$400=TRIM($A$38))*('MTD Pivot'!$D$2:$K$2=I$2)*'MTD Pivot'!$D$3:$K$400)</f>
        <v/>
      </c>
      <c r="J38" s="421">
        <f>G38-F38</f>
        <v/>
      </c>
      <c r="K38" s="422" t="n"/>
      <c r="L38" s="419">
        <f>SUMPRODUCT(('Full month Pivot'!$A$3:$A$400=TRIM($A$38))*('Full month Pivot'!$D$2:$K$2=L$2)*'Full month Pivot'!$D$3:$K$400)</f>
        <v/>
      </c>
      <c r="M38" s="419">
        <f>SUMPRODUCT(('Full month Pivot'!$A$3:$A$400=TRIM($A$38))*('Full month Pivot'!$D$2:$K$2=M$2)*'Full month Pivot'!$D$3:$K$400)</f>
        <v/>
      </c>
      <c r="N38" s="419">
        <f>SUMPRODUCT(('Full month Pivot'!$A$3:$A$400=TRIM($A$38))*('Full month Pivot'!$D$2:$K$2=N$2)*'Full month Pivot'!$D$3:$K$400)</f>
        <v/>
      </c>
      <c r="O38" s="419">
        <f>SUMPRODUCT(('Full month Pivot'!$A$3:$A$400=TRIM($A$38))*('Full month Pivot'!$D$2:$K$2=O$2)*'Full month Pivot'!$D$3:$K$400)</f>
        <v/>
      </c>
      <c r="P38" s="419">
        <f>SUMPRODUCT(('Full month Pivot'!$A$3:$A$400=TRIM($A$38))*('Full month Pivot'!$D$2:$K$2=P$2)*'Full month Pivot'!$D$3:$K$400)</f>
        <v/>
      </c>
      <c r="Q38" s="420">
        <f>SUMPRODUCT(('Full month Pivot'!$A$3:$A$400=TRIM($A$38))*('Full month Pivot'!$D$2:$K$2=Q$2)*'Full month Pivot'!$D$3:$K$400)</f>
        <v/>
      </c>
      <c r="R38" s="419">
        <f>SUMPRODUCT(('Full month Pivot'!$A$3:$A$400=TRIM($A$38))*('Full month Pivot'!$D$2:$K$2=R$2)*'Full month Pivot'!$D$3:$K$400)</f>
        <v/>
      </c>
      <c r="S38" s="419">
        <f>SUMPRODUCT(('Full month Pivot'!$A$3:$A$400=TRIM($A$38))*('Full month Pivot'!$D$2:$K$2=S$2)*'Full month Pivot'!$D$3:$K$400)</f>
        <v/>
      </c>
      <c r="T38" s="421">
        <f>G38-F38</f>
        <v/>
      </c>
      <c r="U38" s="395" t="n"/>
      <c r="V38" s="395" t="n"/>
      <c r="W38" s="395" t="n"/>
      <c r="X38" s="395" t="n"/>
      <c r="Y38" s="395" t="n"/>
      <c r="Z38" s="395" t="n"/>
      <c r="AA38" s="202" t="n"/>
      <c r="AB38" s="140" t="n"/>
      <c r="AC38" s="140" t="n"/>
      <c r="AD38" s="140" t="n"/>
    </row>
    <row r="39" outlineLevel="1" ht="15.75" customHeight="1" s="346">
      <c r="A39" s="423" t="inlineStr">
        <is>
          <t xml:space="preserve">        ↳ Click: Mở Thẻ Tín Dụng</t>
        </is>
      </c>
      <c r="B39" s="424" t="n"/>
      <c r="C39" s="424" t="n"/>
      <c r="D39" s="424" t="n"/>
      <c r="E39" s="424" t="n"/>
      <c r="F39" s="424" t="n">
        <v>19</v>
      </c>
      <c r="G39" s="425" t="n">
        <v>14</v>
      </c>
      <c r="H39" s="424" t="n"/>
      <c r="I39" s="424" t="n"/>
      <c r="J39" s="426">
        <f>G39-F39</f>
        <v/>
      </c>
      <c r="K39" s="417">
        <f>IF(G38&gt;0, G39/G38, 0)</f>
        <v/>
      </c>
      <c r="L39" s="424" t="n"/>
      <c r="M39" s="424" t="n"/>
      <c r="N39" s="424" t="n"/>
      <c r="O39" s="424" t="n"/>
      <c r="P39" s="424" t="n">
        <v>20</v>
      </c>
      <c r="Q39" s="425">
        <f>G39</f>
        <v/>
      </c>
      <c r="R39" s="424" t="n"/>
      <c r="S39" s="424" t="n"/>
      <c r="T39" s="426">
        <f>G39-F39</f>
        <v/>
      </c>
      <c r="U39" s="365" t="n"/>
      <c r="V39" s="365" t="n"/>
      <c r="W39" s="365" t="n"/>
      <c r="X39" s="365" t="n"/>
      <c r="Y39" s="365" t="n"/>
      <c r="Z39" s="365" t="n"/>
      <c r="AA39" s="145" t="n"/>
      <c r="AB39" s="140" t="n"/>
      <c r="AC39" s="140" t="n"/>
      <c r="AD39" s="140" t="n"/>
    </row>
    <row r="40" outlineLevel="1" ht="15.75" customHeight="1" s="346">
      <c r="A40" s="418" t="inlineStr">
        <is>
          <t xml:space="preserve">    Quản Lý Chi Tiêu</t>
        </is>
      </c>
      <c r="B40" s="419">
        <f>SUMPRODUCT(('MTD Pivot'!$A$3:$A$400=TRIM($A$40))*('MTD Pivot'!$D$2:$K$2=B$2)*'MTD Pivot'!$D$3:$K$400)</f>
        <v/>
      </c>
      <c r="C40" s="419">
        <f>SUMPRODUCT(('MTD Pivot'!$A$3:$A$400=TRIM($A$40))*('MTD Pivot'!$D$2:$K$2=C$2)*'MTD Pivot'!$D$3:$K$400)</f>
        <v/>
      </c>
      <c r="D40" s="419">
        <f>SUMPRODUCT(('MTD Pivot'!$A$3:$A$400=TRIM($A$40))*('MTD Pivot'!$D$2:$K$2=D$2)*'MTD Pivot'!$D$3:$K$400)</f>
        <v/>
      </c>
      <c r="E40" s="419">
        <f>SUMPRODUCT(('MTD Pivot'!$A$3:$A$400=TRIM($A$40))*('MTD Pivot'!$D$2:$K$2=E$2)*'MTD Pivot'!$D$3:$K$400)</f>
        <v/>
      </c>
      <c r="F40" s="419">
        <f>SUMPRODUCT(('MTD Pivot'!$A$3:$A$400=TRIM($A$40))*('MTD Pivot'!$D$2:$K$2=F$2)*'MTD Pivot'!$D$3:$K$400)</f>
        <v/>
      </c>
      <c r="G40" s="420">
        <f>SUMPRODUCT(('MTD Pivot'!$A$3:$A$400=TRIM($A$40))*('MTD Pivot'!$D$2:$K$2=G$2)*'MTD Pivot'!$D$3:$K$400)</f>
        <v/>
      </c>
      <c r="H40" s="419">
        <f>SUMPRODUCT(('MTD Pivot'!$A$3:$A$400=TRIM($A$40))*('MTD Pivot'!$D$2:$K$2=H$2)*'MTD Pivot'!$D$3:$K$400)</f>
        <v/>
      </c>
      <c r="I40" s="419">
        <f>SUMPRODUCT(('MTD Pivot'!$A$3:$A$400=TRIM($A$40))*('MTD Pivot'!$D$2:$K$2=I$2)*'MTD Pivot'!$D$3:$K$400)</f>
        <v/>
      </c>
      <c r="J40" s="421">
        <f>G40-F40</f>
        <v/>
      </c>
      <c r="K40" s="422" t="n"/>
      <c r="L40" s="419">
        <f>SUMPRODUCT(('Full month Pivot'!$A$3:$A$400=TRIM($A$40))*('Full month Pivot'!$D$2:$K$2=L$2)*'Full month Pivot'!$D$3:$K$400)</f>
        <v/>
      </c>
      <c r="M40" s="419">
        <f>SUMPRODUCT(('Full month Pivot'!$A$3:$A$400=TRIM($A$40))*('Full month Pivot'!$D$2:$K$2=M$2)*'Full month Pivot'!$D$3:$K$400)</f>
        <v/>
      </c>
      <c r="N40" s="419">
        <f>SUMPRODUCT(('Full month Pivot'!$A$3:$A$400=TRIM($A$40))*('Full month Pivot'!$D$2:$K$2=N$2)*'Full month Pivot'!$D$3:$K$400)</f>
        <v/>
      </c>
      <c r="O40" s="419">
        <f>SUMPRODUCT(('Full month Pivot'!$A$3:$A$400=TRIM($A$40))*('Full month Pivot'!$D$2:$K$2=O$2)*'Full month Pivot'!$D$3:$K$400)</f>
        <v/>
      </c>
      <c r="P40" s="419">
        <f>SUMPRODUCT(('Full month Pivot'!$A$3:$A$400=TRIM($A$40))*('Full month Pivot'!$D$2:$K$2=P$2)*'Full month Pivot'!$D$3:$K$400)</f>
        <v/>
      </c>
      <c r="Q40" s="420">
        <f>SUMPRODUCT(('Full month Pivot'!$A$3:$A$400=TRIM($A$40))*('Full month Pivot'!$D$2:$K$2=Q$2)*'Full month Pivot'!$D$3:$K$400)</f>
        <v/>
      </c>
      <c r="R40" s="419">
        <f>SUMPRODUCT(('Full month Pivot'!$A$3:$A$400=TRIM($A$40))*('Full month Pivot'!$D$2:$K$2=R$2)*'Full month Pivot'!$D$3:$K$400)</f>
        <v/>
      </c>
      <c r="S40" s="419">
        <f>SUMPRODUCT(('Full month Pivot'!$A$3:$A$400=TRIM($A$40))*('Full month Pivot'!$D$2:$K$2=S$2)*'Full month Pivot'!$D$3:$K$400)</f>
        <v/>
      </c>
      <c r="T40" s="421">
        <f>G40-F40</f>
        <v/>
      </c>
      <c r="U40" s="367" t="n"/>
      <c r="V40" s="367" t="n"/>
      <c r="W40" s="367" t="n"/>
      <c r="X40" s="367" t="n"/>
      <c r="Y40" s="367" t="n"/>
      <c r="Z40" s="367" t="n"/>
      <c r="AA40" s="148">
        <f>IFERROR((X40-W40)/W40, "")</f>
        <v/>
      </c>
      <c r="AB40" s="140" t="n"/>
      <c r="AC40" s="140" t="n"/>
      <c r="AD40" s="140" t="n"/>
    </row>
    <row r="41" outlineLevel="1" ht="15.75" customHeight="1" s="346">
      <c r="A41" s="423" t="inlineStr">
        <is>
          <t xml:space="preserve">        ↳ Click: Quản Lý Chi Tiêu</t>
        </is>
      </c>
      <c r="B41" s="424" t="n"/>
      <c r="C41" s="424" t="n"/>
      <c r="D41" s="424" t="n"/>
      <c r="E41" s="424" t="n"/>
      <c r="F41" s="424" t="n">
        <v>336</v>
      </c>
      <c r="G41" s="425" t="n">
        <v>160</v>
      </c>
      <c r="H41" s="424" t="n"/>
      <c r="I41" s="424" t="n"/>
      <c r="J41" s="426">
        <f>G41-F41</f>
        <v/>
      </c>
      <c r="K41" s="417">
        <f>IF(G40&gt;0, G41/G40, 0)</f>
        <v/>
      </c>
      <c r="L41" s="424" t="n"/>
      <c r="M41" s="424" t="n"/>
      <c r="N41" s="424" t="n"/>
      <c r="O41" s="424" t="n"/>
      <c r="P41" s="424" t="n">
        <v>380</v>
      </c>
      <c r="Q41" s="425">
        <f>G41</f>
        <v/>
      </c>
      <c r="R41" s="424" t="n"/>
      <c r="S41" s="424" t="n"/>
      <c r="T41" s="426">
        <f>G41-F41</f>
        <v/>
      </c>
      <c r="U41" s="373" t="n"/>
      <c r="V41" s="373" t="n"/>
      <c r="W41" s="373" t="n"/>
      <c r="X41" s="373" t="n"/>
      <c r="Y41" s="373" t="n"/>
      <c r="Z41" s="373" t="n"/>
      <c r="AA41" s="151">
        <f>IFERROR((X41-W41)/W41, "")</f>
        <v/>
      </c>
      <c r="AB41" s="140" t="n"/>
      <c r="AC41" s="140" t="n"/>
      <c r="AD41" s="140" t="n"/>
    </row>
    <row r="42" outlineLevel="1" ht="15.75" customHeight="1" s="346">
      <c r="A42" s="418" t="inlineStr">
        <is>
          <t xml:space="preserve">    Trả Góp Apple</t>
        </is>
      </c>
      <c r="B42" s="419">
        <f>SUMPRODUCT(('MTD Pivot'!$A$3:$A$400=TRIM($A$42))*('MTD Pivot'!$D$2:$K$2=B$2)*'MTD Pivot'!$D$3:$K$400)</f>
        <v/>
      </c>
      <c r="C42" s="419">
        <f>SUMPRODUCT(('MTD Pivot'!$A$3:$A$400=TRIM($A$42))*('MTD Pivot'!$D$2:$K$2=C$2)*'MTD Pivot'!$D$3:$K$400)</f>
        <v/>
      </c>
      <c r="D42" s="419">
        <f>SUMPRODUCT(('MTD Pivot'!$A$3:$A$400=TRIM($A$42))*('MTD Pivot'!$D$2:$K$2=D$2)*'MTD Pivot'!$D$3:$K$400)</f>
        <v/>
      </c>
      <c r="E42" s="419">
        <f>SUMPRODUCT(('MTD Pivot'!$A$3:$A$400=TRIM($A$42))*('MTD Pivot'!$D$2:$K$2=E$2)*'MTD Pivot'!$D$3:$K$400)</f>
        <v/>
      </c>
      <c r="F42" s="419">
        <f>SUMPRODUCT(('MTD Pivot'!$A$3:$A$400=TRIM($A$42))*('MTD Pivot'!$D$2:$K$2=F$2)*'MTD Pivot'!$D$3:$K$400)</f>
        <v/>
      </c>
      <c r="G42" s="420">
        <f>SUMPRODUCT(('MTD Pivot'!$A$3:$A$400=TRIM($A$42))*('MTD Pivot'!$D$2:$K$2=G$2)*'MTD Pivot'!$D$3:$K$400)</f>
        <v/>
      </c>
      <c r="H42" s="419">
        <f>SUMPRODUCT(('MTD Pivot'!$A$3:$A$400=TRIM($A$42))*('MTD Pivot'!$D$2:$K$2=H$2)*'MTD Pivot'!$D$3:$K$400)</f>
        <v/>
      </c>
      <c r="I42" s="419">
        <f>SUMPRODUCT(('MTD Pivot'!$A$3:$A$400=TRIM($A$42))*('MTD Pivot'!$D$2:$K$2=I$2)*'MTD Pivot'!$D$3:$K$400)</f>
        <v/>
      </c>
      <c r="J42" s="421">
        <f>G42-F42</f>
        <v/>
      </c>
      <c r="K42" s="422" t="n"/>
      <c r="L42" s="419">
        <f>SUMPRODUCT(('Full month Pivot'!$A$3:$A$400=TRIM($A$42))*('Full month Pivot'!$D$2:$K$2=L$2)*'Full month Pivot'!$D$3:$K$400)</f>
        <v/>
      </c>
      <c r="M42" s="419">
        <f>SUMPRODUCT(('Full month Pivot'!$A$3:$A$400=TRIM($A$42))*('Full month Pivot'!$D$2:$K$2=M$2)*'Full month Pivot'!$D$3:$K$400)</f>
        <v/>
      </c>
      <c r="N42" s="419">
        <f>SUMPRODUCT(('Full month Pivot'!$A$3:$A$400=TRIM($A$42))*('Full month Pivot'!$D$2:$K$2=N$2)*'Full month Pivot'!$D$3:$K$400)</f>
        <v/>
      </c>
      <c r="O42" s="419">
        <f>SUMPRODUCT(('Full month Pivot'!$A$3:$A$400=TRIM($A$42))*('Full month Pivot'!$D$2:$K$2=O$2)*'Full month Pivot'!$D$3:$K$400)</f>
        <v/>
      </c>
      <c r="P42" s="419">
        <f>SUMPRODUCT(('Full month Pivot'!$A$3:$A$400=TRIM($A$42))*('Full month Pivot'!$D$2:$K$2=P$2)*'Full month Pivot'!$D$3:$K$400)</f>
        <v/>
      </c>
      <c r="Q42" s="420">
        <f>SUMPRODUCT(('Full month Pivot'!$A$3:$A$400=TRIM($A$42))*('Full month Pivot'!$D$2:$K$2=Q$2)*'Full month Pivot'!$D$3:$K$400)</f>
        <v/>
      </c>
      <c r="R42" s="419">
        <f>SUMPRODUCT(('Full month Pivot'!$A$3:$A$400=TRIM($A$42))*('Full month Pivot'!$D$2:$K$2=R$2)*'Full month Pivot'!$D$3:$K$400)</f>
        <v/>
      </c>
      <c r="S42" s="419">
        <f>SUMPRODUCT(('Full month Pivot'!$A$3:$A$400=TRIM($A$42))*('Full month Pivot'!$D$2:$K$2=S$2)*'Full month Pivot'!$D$3:$K$400)</f>
        <v/>
      </c>
      <c r="T42" s="421">
        <f>G42-F42</f>
        <v/>
      </c>
      <c r="U42" s="375" t="n"/>
      <c r="V42" s="375" t="n"/>
      <c r="W42" s="375" t="n"/>
      <c r="X42" s="375" t="n"/>
      <c r="Y42" s="375" t="n"/>
      <c r="Z42" s="375" t="n"/>
      <c r="AA42" s="153" t="n"/>
      <c r="AB42" s="140" t="n"/>
      <c r="AC42" s="140" t="n"/>
      <c r="AD42" s="140" t="n"/>
    </row>
    <row r="43" outlineLevel="1" ht="15.75" customHeight="1" s="346">
      <c r="A43" s="423" t="inlineStr">
        <is>
          <t xml:space="preserve">        ↳ Click: Trả Góp Apple</t>
        </is>
      </c>
      <c r="B43" s="424" t="n"/>
      <c r="C43" s="424" t="n"/>
      <c r="D43" s="424" t="n"/>
      <c r="E43" s="424" t="n"/>
      <c r="F43" s="424" t="n">
        <v>8</v>
      </c>
      <c r="G43" s="425" t="n">
        <v>2</v>
      </c>
      <c r="H43" s="424" t="n"/>
      <c r="I43" s="424" t="n"/>
      <c r="J43" s="426">
        <f>G43-F43</f>
        <v/>
      </c>
      <c r="K43" s="417">
        <f>IF(G42&gt;0, G43/G42, 0)</f>
        <v/>
      </c>
      <c r="L43" s="424" t="n"/>
      <c r="M43" s="424" t="n"/>
      <c r="N43" s="424" t="n"/>
      <c r="O43" s="424" t="n"/>
      <c r="P43" s="424" t="n">
        <v>8</v>
      </c>
      <c r="Q43" s="425">
        <f>G43</f>
        <v/>
      </c>
      <c r="R43" s="424" t="n"/>
      <c r="S43" s="424" t="n"/>
      <c r="T43" s="426">
        <f>G43-F43</f>
        <v/>
      </c>
      <c r="U43" s="376" t="n"/>
      <c r="V43" s="376" t="n"/>
      <c r="W43" s="376" t="n"/>
      <c r="X43" s="376" t="n"/>
      <c r="Y43" s="376" t="n"/>
      <c r="Z43" s="376" t="n"/>
      <c r="AA43" s="203" t="n"/>
      <c r="AB43" s="140" t="n"/>
      <c r="AC43" s="140" t="n"/>
      <c r="AD43" s="140" t="n"/>
    </row>
    <row r="44" outlineLevel="1" ht="15.75" customHeight="1" s="346">
      <c r="A44" s="418" t="inlineStr">
        <is>
          <t xml:space="preserve">    Thanh Toán Khoản Vay</t>
        </is>
      </c>
      <c r="B44" s="419">
        <f>SUMPRODUCT(('MTD Pivot'!$A$3:$A$400=TRIM($A$44))*('MTD Pivot'!$D$2:$K$2=B$2)*'MTD Pivot'!$D$3:$K$400)</f>
        <v/>
      </c>
      <c r="C44" s="419">
        <f>SUMPRODUCT(('MTD Pivot'!$A$3:$A$400=TRIM($A$44))*('MTD Pivot'!$D$2:$K$2=C$2)*'MTD Pivot'!$D$3:$K$400)</f>
        <v/>
      </c>
      <c r="D44" s="419">
        <f>SUMPRODUCT(('MTD Pivot'!$A$3:$A$400=TRIM($A$44))*('MTD Pivot'!$D$2:$K$2=D$2)*'MTD Pivot'!$D$3:$K$400)</f>
        <v/>
      </c>
      <c r="E44" s="419">
        <f>SUMPRODUCT(('MTD Pivot'!$A$3:$A$400=TRIM($A$44))*('MTD Pivot'!$D$2:$K$2=E$2)*'MTD Pivot'!$D$3:$K$400)</f>
        <v/>
      </c>
      <c r="F44" s="419">
        <f>SUMPRODUCT(('MTD Pivot'!$A$3:$A$400=TRIM($A$44))*('MTD Pivot'!$D$2:$K$2=F$2)*'MTD Pivot'!$D$3:$K$400)</f>
        <v/>
      </c>
      <c r="G44" s="420">
        <f>SUMPRODUCT(('MTD Pivot'!$A$3:$A$400=TRIM($A$44))*('MTD Pivot'!$D$2:$K$2=G$2)*'MTD Pivot'!$D$3:$K$400)</f>
        <v/>
      </c>
      <c r="H44" s="419">
        <f>SUMPRODUCT(('MTD Pivot'!$A$3:$A$400=TRIM($A$44))*('MTD Pivot'!$D$2:$K$2=H$2)*'MTD Pivot'!$D$3:$K$400)</f>
        <v/>
      </c>
      <c r="I44" s="419">
        <f>SUMPRODUCT(('MTD Pivot'!$A$3:$A$400=TRIM($A$44))*('MTD Pivot'!$D$2:$K$2=I$2)*'MTD Pivot'!$D$3:$K$400)</f>
        <v/>
      </c>
      <c r="J44" s="421">
        <f>G44-F44</f>
        <v/>
      </c>
      <c r="K44" s="422" t="n"/>
      <c r="L44" s="419">
        <f>SUMPRODUCT(('Full month Pivot'!$A$3:$A$400=TRIM($A$44))*('Full month Pivot'!$D$2:$K$2=L$2)*'Full month Pivot'!$D$3:$K$400)</f>
        <v/>
      </c>
      <c r="M44" s="419">
        <f>SUMPRODUCT(('Full month Pivot'!$A$3:$A$400=TRIM($A$44))*('Full month Pivot'!$D$2:$K$2=M$2)*'Full month Pivot'!$D$3:$K$400)</f>
        <v/>
      </c>
      <c r="N44" s="419">
        <f>SUMPRODUCT(('Full month Pivot'!$A$3:$A$400=TRIM($A$44))*('Full month Pivot'!$D$2:$K$2=N$2)*'Full month Pivot'!$D$3:$K$400)</f>
        <v/>
      </c>
      <c r="O44" s="419">
        <f>SUMPRODUCT(('Full month Pivot'!$A$3:$A$400=TRIM($A$44))*('Full month Pivot'!$D$2:$K$2=O$2)*'Full month Pivot'!$D$3:$K$400)</f>
        <v/>
      </c>
      <c r="P44" s="419">
        <f>SUMPRODUCT(('Full month Pivot'!$A$3:$A$400=TRIM($A$44))*('Full month Pivot'!$D$2:$K$2=P$2)*'Full month Pivot'!$D$3:$K$400)</f>
        <v/>
      </c>
      <c r="Q44" s="420">
        <f>SUMPRODUCT(('Full month Pivot'!$A$3:$A$400=TRIM($A$44))*('Full month Pivot'!$D$2:$K$2=Q$2)*'Full month Pivot'!$D$3:$K$400)</f>
        <v/>
      </c>
      <c r="R44" s="419">
        <f>SUMPRODUCT(('Full month Pivot'!$A$3:$A$400=TRIM($A$44))*('Full month Pivot'!$D$2:$K$2=R$2)*'Full month Pivot'!$D$3:$K$400)</f>
        <v/>
      </c>
      <c r="S44" s="419">
        <f>SUMPRODUCT(('Full month Pivot'!$A$3:$A$400=TRIM($A$44))*('Full month Pivot'!$D$2:$K$2=S$2)*'Full month Pivot'!$D$3:$K$400)</f>
        <v/>
      </c>
      <c r="T44" s="421">
        <f>G44-F44</f>
        <v/>
      </c>
      <c r="U44" s="381" t="n"/>
      <c r="V44" s="381" t="n"/>
      <c r="W44" s="381" t="n"/>
      <c r="X44" s="381" t="n"/>
      <c r="Y44" s="381" t="n"/>
      <c r="Z44" s="381" t="n"/>
      <c r="AA44" s="157">
        <f>IF(AND(ISNUMBER(X44), ISNUMBER(W44)), X44-W44, "")</f>
        <v/>
      </c>
      <c r="AB44" s="140" t="n"/>
      <c r="AC44" s="140" t="n"/>
      <c r="AD44" s="140" t="n"/>
    </row>
    <row r="45" outlineLevel="1" ht="15.75" customHeight="1" s="346">
      <c r="A45" s="423" t="inlineStr">
        <is>
          <t xml:space="preserve">        ↳ Click: Thanh Toán Khoản Vay</t>
        </is>
      </c>
      <c r="B45" s="424" t="n"/>
      <c r="C45" s="424" t="n"/>
      <c r="D45" s="424" t="n"/>
      <c r="E45" s="424" t="n"/>
      <c r="F45" s="424" t="n">
        <v>1</v>
      </c>
      <c r="G45" s="425" t="n">
        <v>1</v>
      </c>
      <c r="H45" s="424" t="n"/>
      <c r="I45" s="424" t="n"/>
      <c r="J45" s="426">
        <f>G45-F45</f>
        <v/>
      </c>
      <c r="K45" s="417">
        <f>IF(G44&gt;0, G45/G44, 0)</f>
        <v/>
      </c>
      <c r="L45" s="424" t="n"/>
      <c r="M45" s="424" t="n"/>
      <c r="N45" s="424" t="n"/>
      <c r="O45" s="424" t="n"/>
      <c r="P45" s="424" t="n">
        <v>1</v>
      </c>
      <c r="Q45" s="425">
        <f>G45</f>
        <v/>
      </c>
      <c r="R45" s="424" t="n"/>
      <c r="S45" s="424" t="n"/>
      <c r="T45" s="426">
        <f>G45-F45</f>
        <v/>
      </c>
      <c r="U45" s="386" t="n"/>
      <c r="V45" s="386" t="n"/>
      <c r="W45" s="386" t="n"/>
      <c r="X45" s="386" t="n"/>
      <c r="Y45" s="386" t="n"/>
      <c r="Z45" s="386" t="n"/>
      <c r="AA45" s="157">
        <f>IF(AND(ISNUMBER(X45), ISNUMBER(W45), W45&gt;0), (X45-W45)/W45, "")</f>
        <v/>
      </c>
      <c r="AB45" s="140" t="n"/>
      <c r="AC45" s="140" t="n"/>
      <c r="AD45" s="140" t="n"/>
    </row>
    <row r="46" outlineLevel="1" ht="15.75" customHeight="1" s="346">
      <c r="A46" s="418" t="inlineStr">
        <is>
          <t xml:space="preserve">    Chứng Khoán</t>
        </is>
      </c>
      <c r="B46" s="419">
        <f>SUMPRODUCT(('MTD Pivot'!$A$3:$A$400=TRIM($A$46))*('MTD Pivot'!$D$2:$K$2=B$2)*'MTD Pivot'!$D$3:$K$400)</f>
        <v/>
      </c>
      <c r="C46" s="419">
        <f>SUMPRODUCT(('MTD Pivot'!$A$3:$A$400=TRIM($A$46))*('MTD Pivot'!$D$2:$K$2=C$2)*'MTD Pivot'!$D$3:$K$400)</f>
        <v/>
      </c>
      <c r="D46" s="419">
        <f>SUMPRODUCT(('MTD Pivot'!$A$3:$A$400=TRIM($A$46))*('MTD Pivot'!$D$2:$K$2=D$2)*'MTD Pivot'!$D$3:$K$400)</f>
        <v/>
      </c>
      <c r="E46" s="419">
        <f>SUMPRODUCT(('MTD Pivot'!$A$3:$A$400=TRIM($A$46))*('MTD Pivot'!$D$2:$K$2=E$2)*'MTD Pivot'!$D$3:$K$400)</f>
        <v/>
      </c>
      <c r="F46" s="419">
        <f>SUMPRODUCT(('MTD Pivot'!$A$3:$A$400=TRIM($A$46))*('MTD Pivot'!$D$2:$K$2=F$2)*'MTD Pivot'!$D$3:$K$400)</f>
        <v/>
      </c>
      <c r="G46" s="420">
        <f>SUMPRODUCT(('MTD Pivot'!$A$3:$A$400=TRIM($A$46))*('MTD Pivot'!$D$2:$K$2=G$2)*'MTD Pivot'!$D$3:$K$400)</f>
        <v/>
      </c>
      <c r="H46" s="419">
        <f>SUMPRODUCT(('MTD Pivot'!$A$3:$A$400=TRIM($A$46))*('MTD Pivot'!$D$2:$K$2=H$2)*'MTD Pivot'!$D$3:$K$400)</f>
        <v/>
      </c>
      <c r="I46" s="419">
        <f>SUMPRODUCT(('MTD Pivot'!$A$3:$A$400=TRIM($A$46))*('MTD Pivot'!$D$2:$K$2=I$2)*'MTD Pivot'!$D$3:$K$400)</f>
        <v/>
      </c>
      <c r="J46" s="421">
        <f>G46-F46</f>
        <v/>
      </c>
      <c r="K46" s="422" t="n"/>
      <c r="L46" s="419">
        <f>SUMPRODUCT(('Full month Pivot'!$A$3:$A$400=TRIM($A$46))*('Full month Pivot'!$D$2:$K$2=L$2)*'Full month Pivot'!$D$3:$K$400)</f>
        <v/>
      </c>
      <c r="M46" s="419">
        <f>SUMPRODUCT(('Full month Pivot'!$A$3:$A$400=TRIM($A$46))*('Full month Pivot'!$D$2:$K$2=M$2)*'Full month Pivot'!$D$3:$K$400)</f>
        <v/>
      </c>
      <c r="N46" s="419">
        <f>SUMPRODUCT(('Full month Pivot'!$A$3:$A$400=TRIM($A$46))*('Full month Pivot'!$D$2:$K$2=N$2)*'Full month Pivot'!$D$3:$K$400)</f>
        <v/>
      </c>
      <c r="O46" s="419">
        <f>SUMPRODUCT(('Full month Pivot'!$A$3:$A$400=TRIM($A$46))*('Full month Pivot'!$D$2:$K$2=O$2)*'Full month Pivot'!$D$3:$K$400)</f>
        <v/>
      </c>
      <c r="P46" s="419">
        <f>SUMPRODUCT(('Full month Pivot'!$A$3:$A$400=TRIM($A$46))*('Full month Pivot'!$D$2:$K$2=P$2)*'Full month Pivot'!$D$3:$K$400)</f>
        <v/>
      </c>
      <c r="Q46" s="420">
        <f>SUMPRODUCT(('Full month Pivot'!$A$3:$A$400=TRIM($A$46))*('Full month Pivot'!$D$2:$K$2=Q$2)*'Full month Pivot'!$D$3:$K$400)</f>
        <v/>
      </c>
      <c r="R46" s="419">
        <f>SUMPRODUCT(('Full month Pivot'!$A$3:$A$400=TRIM($A$46))*('Full month Pivot'!$D$2:$K$2=R$2)*'Full month Pivot'!$D$3:$K$400)</f>
        <v/>
      </c>
      <c r="S46" s="419">
        <f>SUMPRODUCT(('Full month Pivot'!$A$3:$A$400=TRIM($A$46))*('Full month Pivot'!$D$2:$K$2=S$2)*'Full month Pivot'!$D$3:$K$400)</f>
        <v/>
      </c>
      <c r="T46" s="421">
        <f>G46-F46</f>
        <v/>
      </c>
      <c r="U46" s="386" t="n"/>
      <c r="V46" s="386" t="n"/>
      <c r="W46" s="386" t="n"/>
      <c r="X46" s="386" t="n"/>
      <c r="Y46" s="386" t="n"/>
      <c r="Z46" s="386" t="n"/>
      <c r="AA46" s="157">
        <f>IF(AND(ISNUMBER(X46), ISNUMBER(W46), W46&gt;0), (X46-W46)/W46, "")</f>
        <v/>
      </c>
      <c r="AB46" s="140" t="n"/>
      <c r="AC46" s="140" t="n"/>
      <c r="AD46" s="140" t="n"/>
    </row>
    <row r="47" outlineLevel="1" ht="15.75" customHeight="1" s="346">
      <c r="A47" s="423" t="inlineStr">
        <is>
          <t xml:space="preserve">        ↳ Click: Chứng Khoán</t>
        </is>
      </c>
      <c r="B47" s="424" t="n"/>
      <c r="C47" s="424" t="n"/>
      <c r="D47" s="424" t="n"/>
      <c r="E47" s="424" t="n"/>
      <c r="F47" s="424" t="n">
        <v>6</v>
      </c>
      <c r="G47" s="425" t="n">
        <v>6</v>
      </c>
      <c r="H47" s="424" t="n"/>
      <c r="I47" s="424" t="n"/>
      <c r="J47" s="426">
        <f>G47-F47</f>
        <v/>
      </c>
      <c r="K47" s="417">
        <f>IF(G46&gt;0, G47/G46, 0)</f>
        <v/>
      </c>
      <c r="L47" s="424" t="n"/>
      <c r="M47" s="424" t="n"/>
      <c r="N47" s="424" t="n"/>
      <c r="O47" s="424" t="n"/>
      <c r="P47" s="424" t="n">
        <v>6</v>
      </c>
      <c r="Q47" s="425">
        <f>G47</f>
        <v/>
      </c>
      <c r="R47" s="424" t="n"/>
      <c r="S47" s="424" t="n"/>
      <c r="T47" s="426">
        <f>G47-F47</f>
        <v/>
      </c>
      <c r="U47" s="386" t="n"/>
      <c r="V47" s="386" t="n"/>
      <c r="W47" s="386" t="n"/>
      <c r="X47" s="386" t="n"/>
      <c r="Y47" s="386" t="n"/>
      <c r="Z47" s="386" t="n"/>
      <c r="AA47" s="157">
        <f>IF(AND(ISNUMBER(X47), ISNUMBER(W47), W47&gt;0), (X47-W47)/W47, "")</f>
        <v/>
      </c>
      <c r="AB47" s="140" t="n"/>
      <c r="AC47" s="140" t="n"/>
      <c r="AD47" s="140" t="n"/>
    </row>
    <row r="48" outlineLevel="1" ht="15.75" customHeight="1" s="346">
      <c r="A48" s="418" t="inlineStr">
        <is>
          <t xml:space="preserve">    Tiết Kiệm Online</t>
        </is>
      </c>
      <c r="B48" s="419">
        <f>SUMPRODUCT(('MTD Pivot'!$A$3:$A$400=TRIM($A$48))*('MTD Pivot'!$D$2:$K$2=B$2)*'MTD Pivot'!$D$3:$K$400)</f>
        <v/>
      </c>
      <c r="C48" s="419">
        <f>SUMPRODUCT(('MTD Pivot'!$A$3:$A$400=TRIM($A$48))*('MTD Pivot'!$D$2:$K$2=C$2)*'MTD Pivot'!$D$3:$K$400)</f>
        <v/>
      </c>
      <c r="D48" s="419">
        <f>SUMPRODUCT(('MTD Pivot'!$A$3:$A$400=TRIM($A$48))*('MTD Pivot'!$D$2:$K$2=D$2)*'MTD Pivot'!$D$3:$K$400)</f>
        <v/>
      </c>
      <c r="E48" s="419">
        <f>SUMPRODUCT(('MTD Pivot'!$A$3:$A$400=TRIM($A$48))*('MTD Pivot'!$D$2:$K$2=E$2)*'MTD Pivot'!$D$3:$K$400)</f>
        <v/>
      </c>
      <c r="F48" s="419">
        <f>SUMPRODUCT(('MTD Pivot'!$A$3:$A$400=TRIM($A$48))*('MTD Pivot'!$D$2:$K$2=F$2)*'MTD Pivot'!$D$3:$K$400)</f>
        <v/>
      </c>
      <c r="G48" s="420">
        <f>SUMPRODUCT(('MTD Pivot'!$A$3:$A$400=TRIM($A$48))*('MTD Pivot'!$D$2:$K$2=G$2)*'MTD Pivot'!$D$3:$K$400)</f>
        <v/>
      </c>
      <c r="H48" s="419">
        <f>SUMPRODUCT(('MTD Pivot'!$A$3:$A$400=TRIM($A$48))*('MTD Pivot'!$D$2:$K$2=H$2)*'MTD Pivot'!$D$3:$K$400)</f>
        <v/>
      </c>
      <c r="I48" s="419">
        <f>SUMPRODUCT(('MTD Pivot'!$A$3:$A$400=TRIM($A$48))*('MTD Pivot'!$D$2:$K$2=I$2)*'MTD Pivot'!$D$3:$K$400)</f>
        <v/>
      </c>
      <c r="J48" s="421">
        <f>G48-F48</f>
        <v/>
      </c>
      <c r="K48" s="422" t="n"/>
      <c r="L48" s="419">
        <f>SUMPRODUCT(('Full month Pivot'!$A$3:$A$400=TRIM($A$48))*('Full month Pivot'!$D$2:$K$2=L$2)*'Full month Pivot'!$D$3:$K$400)</f>
        <v/>
      </c>
      <c r="M48" s="419">
        <f>SUMPRODUCT(('Full month Pivot'!$A$3:$A$400=TRIM($A$48))*('Full month Pivot'!$D$2:$K$2=M$2)*'Full month Pivot'!$D$3:$K$400)</f>
        <v/>
      </c>
      <c r="N48" s="419">
        <f>SUMPRODUCT(('Full month Pivot'!$A$3:$A$400=TRIM($A$48))*('Full month Pivot'!$D$2:$K$2=N$2)*'Full month Pivot'!$D$3:$K$400)</f>
        <v/>
      </c>
      <c r="O48" s="419">
        <f>SUMPRODUCT(('Full month Pivot'!$A$3:$A$400=TRIM($A$48))*('Full month Pivot'!$D$2:$K$2=O$2)*'Full month Pivot'!$D$3:$K$400)</f>
        <v/>
      </c>
      <c r="P48" s="419">
        <f>SUMPRODUCT(('Full month Pivot'!$A$3:$A$400=TRIM($A$48))*('Full month Pivot'!$D$2:$K$2=P$2)*'Full month Pivot'!$D$3:$K$400)</f>
        <v/>
      </c>
      <c r="Q48" s="420">
        <f>SUMPRODUCT(('Full month Pivot'!$A$3:$A$400=TRIM($A$48))*('Full month Pivot'!$D$2:$K$2=Q$2)*'Full month Pivot'!$D$3:$K$400)</f>
        <v/>
      </c>
      <c r="R48" s="419">
        <f>SUMPRODUCT(('Full month Pivot'!$A$3:$A$400=TRIM($A$48))*('Full month Pivot'!$D$2:$K$2=R$2)*'Full month Pivot'!$D$3:$K$400)</f>
        <v/>
      </c>
      <c r="S48" s="419">
        <f>SUMPRODUCT(('Full month Pivot'!$A$3:$A$400=TRIM($A$48))*('Full month Pivot'!$D$2:$K$2=S$2)*'Full month Pivot'!$D$3:$K$400)</f>
        <v/>
      </c>
      <c r="T48" s="421">
        <f>G48-F48</f>
        <v/>
      </c>
      <c r="U48" s="386" t="n"/>
      <c r="V48" s="386" t="n"/>
      <c r="W48" s="386" t="n"/>
      <c r="X48" s="386" t="n"/>
      <c r="Y48" s="386" t="n"/>
      <c r="Z48" s="386" t="n"/>
      <c r="AA48" s="157">
        <f>IF(AND(ISNUMBER(X48), ISNUMBER(W48), W48&gt;0), (X48-W48)/W48, "")</f>
        <v/>
      </c>
      <c r="AB48" s="140" t="n"/>
      <c r="AC48" s="140" t="n"/>
      <c r="AD48" s="140" t="n"/>
    </row>
    <row r="49" outlineLevel="1" ht="15.75" customHeight="1" s="346">
      <c r="A49" s="423" t="inlineStr">
        <is>
          <t xml:space="preserve">        ↳ Click: Tiết Kiệm Online</t>
        </is>
      </c>
      <c r="B49" s="424" t="n"/>
      <c r="C49" s="424" t="n"/>
      <c r="D49" s="424" t="n"/>
      <c r="E49" s="424" t="n"/>
      <c r="F49" s="424" t="n">
        <v>23</v>
      </c>
      <c r="G49" s="425" t="n">
        <v>11</v>
      </c>
      <c r="H49" s="424" t="n"/>
      <c r="I49" s="424" t="n"/>
      <c r="J49" s="426">
        <f>G49-F49</f>
        <v/>
      </c>
      <c r="K49" s="417">
        <f>IF(G48&gt;0, G49/G48, 0)</f>
        <v/>
      </c>
      <c r="L49" s="424" t="n"/>
      <c r="M49" s="424" t="n"/>
      <c r="N49" s="424" t="n"/>
      <c r="O49" s="424" t="n"/>
      <c r="P49" s="424" t="n">
        <v>23</v>
      </c>
      <c r="Q49" s="425">
        <f>G49</f>
        <v/>
      </c>
      <c r="R49" s="424" t="n"/>
      <c r="S49" s="424" t="n"/>
      <c r="T49" s="426">
        <f>G49-F49</f>
        <v/>
      </c>
      <c r="U49" s="386" t="n"/>
      <c r="V49" s="386" t="n"/>
      <c r="W49" s="386" t="n"/>
      <c r="X49" s="386" t="n"/>
      <c r="Y49" s="386" t="n"/>
      <c r="Z49" s="386" t="n"/>
      <c r="AA49" s="157">
        <f>IF(AND(ISNUMBER(X49), ISNUMBER(W49), W49&gt;0), (X49-W49)/W49, "")</f>
        <v/>
      </c>
      <c r="AB49" s="140" t="n"/>
      <c r="AC49" s="140" t="n"/>
      <c r="AD49" s="140" t="n"/>
    </row>
    <row r="50" outlineLevel="1" ht="15.75" customHeight="1" s="346">
      <c r="A50" s="418" t="inlineStr">
        <is>
          <t xml:space="preserve">    Thanh Toán Thẻ Tín Dụng</t>
        </is>
      </c>
      <c r="B50" s="419">
        <f>SUMPRODUCT(('MTD Pivot'!$A$3:$A$400=TRIM($A$50))*('MTD Pivot'!$D$2:$K$2=B$2)*'MTD Pivot'!$D$3:$K$400)</f>
        <v/>
      </c>
      <c r="C50" s="419">
        <f>SUMPRODUCT(('MTD Pivot'!$A$3:$A$400=TRIM($A$50))*('MTD Pivot'!$D$2:$K$2=C$2)*'MTD Pivot'!$D$3:$K$400)</f>
        <v/>
      </c>
      <c r="D50" s="419">
        <f>SUMPRODUCT(('MTD Pivot'!$A$3:$A$400=TRIM($A$50))*('MTD Pivot'!$D$2:$K$2=D$2)*'MTD Pivot'!$D$3:$K$400)</f>
        <v/>
      </c>
      <c r="E50" s="419">
        <f>SUMPRODUCT(('MTD Pivot'!$A$3:$A$400=TRIM($A$50))*('MTD Pivot'!$D$2:$K$2=E$2)*'MTD Pivot'!$D$3:$K$400)</f>
        <v/>
      </c>
      <c r="F50" s="419">
        <f>SUMPRODUCT(('MTD Pivot'!$A$3:$A$400=TRIM($A$50))*('MTD Pivot'!$D$2:$K$2=F$2)*'MTD Pivot'!$D$3:$K$400)</f>
        <v/>
      </c>
      <c r="G50" s="420">
        <f>SUMPRODUCT(('MTD Pivot'!$A$3:$A$400=TRIM($A$50))*('MTD Pivot'!$D$2:$K$2=G$2)*'MTD Pivot'!$D$3:$K$400)</f>
        <v/>
      </c>
      <c r="H50" s="419">
        <f>SUMPRODUCT(('MTD Pivot'!$A$3:$A$400=TRIM($A$50))*('MTD Pivot'!$D$2:$K$2=H$2)*'MTD Pivot'!$D$3:$K$400)</f>
        <v/>
      </c>
      <c r="I50" s="419">
        <f>SUMPRODUCT(('MTD Pivot'!$A$3:$A$400=TRIM($A$50))*('MTD Pivot'!$D$2:$K$2=I$2)*'MTD Pivot'!$D$3:$K$400)</f>
        <v/>
      </c>
      <c r="J50" s="421">
        <f>G50-F50</f>
        <v/>
      </c>
      <c r="K50" s="422" t="n"/>
      <c r="L50" s="419">
        <f>SUMPRODUCT(('Full month Pivot'!$A$3:$A$400=TRIM($A$50))*('Full month Pivot'!$D$2:$K$2=L$2)*'Full month Pivot'!$D$3:$K$400)</f>
        <v/>
      </c>
      <c r="M50" s="419">
        <f>SUMPRODUCT(('Full month Pivot'!$A$3:$A$400=TRIM($A$50))*('Full month Pivot'!$D$2:$K$2=M$2)*'Full month Pivot'!$D$3:$K$400)</f>
        <v/>
      </c>
      <c r="N50" s="419">
        <f>SUMPRODUCT(('Full month Pivot'!$A$3:$A$400=TRIM($A$50))*('Full month Pivot'!$D$2:$K$2=N$2)*'Full month Pivot'!$D$3:$K$400)</f>
        <v/>
      </c>
      <c r="O50" s="419">
        <f>SUMPRODUCT(('Full month Pivot'!$A$3:$A$400=TRIM($A$50))*('Full month Pivot'!$D$2:$K$2=O$2)*'Full month Pivot'!$D$3:$K$400)</f>
        <v/>
      </c>
      <c r="P50" s="419">
        <f>SUMPRODUCT(('Full month Pivot'!$A$3:$A$400=TRIM($A$50))*('Full month Pivot'!$D$2:$K$2=P$2)*'Full month Pivot'!$D$3:$K$400)</f>
        <v/>
      </c>
      <c r="Q50" s="420">
        <f>SUMPRODUCT(('Full month Pivot'!$A$3:$A$400=TRIM($A$50))*('Full month Pivot'!$D$2:$K$2=Q$2)*'Full month Pivot'!$D$3:$K$400)</f>
        <v/>
      </c>
      <c r="R50" s="419">
        <f>SUMPRODUCT(('Full month Pivot'!$A$3:$A$400=TRIM($A$50))*('Full month Pivot'!$D$2:$K$2=R$2)*'Full month Pivot'!$D$3:$K$400)</f>
        <v/>
      </c>
      <c r="S50" s="419">
        <f>SUMPRODUCT(('Full month Pivot'!$A$3:$A$400=TRIM($A$50))*('Full month Pivot'!$D$2:$K$2=S$2)*'Full month Pivot'!$D$3:$K$400)</f>
        <v/>
      </c>
      <c r="T50" s="421">
        <f>G50-F50</f>
        <v/>
      </c>
      <c r="U50" s="395" t="n"/>
      <c r="V50" s="395" t="n"/>
      <c r="W50" s="395" t="n"/>
      <c r="X50" s="395" t="n"/>
      <c r="Y50" s="395" t="n"/>
      <c r="Z50" s="395" t="n"/>
      <c r="AA50" s="202" t="n"/>
      <c r="AB50" s="140" t="n"/>
      <c r="AC50" s="140" t="n"/>
      <c r="AD50" s="140" t="n"/>
    </row>
    <row r="51" outlineLevel="1" ht="15.75" customHeight="1" s="346">
      <c r="A51" s="423" t="inlineStr">
        <is>
          <t xml:space="preserve">        ↳ Click: Thanh Toán Thẻ Tín Dụng</t>
        </is>
      </c>
      <c r="B51" s="424" t="n"/>
      <c r="C51" s="424" t="n"/>
      <c r="D51" s="424" t="n"/>
      <c r="E51" s="424" t="n"/>
      <c r="F51" s="424" t="n">
        <v>3</v>
      </c>
      <c r="G51" s="425" t="n">
        <v>1</v>
      </c>
      <c r="H51" s="424" t="n"/>
      <c r="I51" s="424" t="n"/>
      <c r="J51" s="426">
        <f>G51-F51</f>
        <v/>
      </c>
      <c r="K51" s="417">
        <f>IF(G50&gt;0, G51/G50, 0)</f>
        <v/>
      </c>
      <c r="L51" s="424" t="n"/>
      <c r="M51" s="424" t="n"/>
      <c r="N51" s="424" t="n"/>
      <c r="O51" s="424" t="n"/>
      <c r="P51" s="424" t="n">
        <v>3</v>
      </c>
      <c r="Q51" s="425">
        <f>G51</f>
        <v/>
      </c>
      <c r="R51" s="424" t="n"/>
      <c r="S51" s="424" t="n"/>
      <c r="T51" s="426">
        <f>G51-F51</f>
        <v/>
      </c>
      <c r="U51" s="365" t="n"/>
      <c r="V51" s="365" t="n"/>
      <c r="W51" s="365" t="n"/>
      <c r="X51" s="365" t="n"/>
      <c r="Y51" s="365" t="n"/>
      <c r="Z51" s="365" t="n"/>
      <c r="AA51" s="145" t="n"/>
      <c r="AB51" s="140" t="n"/>
      <c r="AC51" s="140" t="n"/>
      <c r="AD51" s="140" t="n"/>
    </row>
    <row r="52" outlineLevel="1" ht="15.75" customHeight="1" s="346">
      <c r="A52" s="418" t="inlineStr">
        <is>
          <t xml:space="preserve">    Chứng Chỉ Quỹ</t>
        </is>
      </c>
      <c r="B52" s="419">
        <f>SUMPRODUCT(('MTD Pivot'!$A$3:$A$400=TRIM($A$52))*('MTD Pivot'!$D$2:$K$2=B$2)*'MTD Pivot'!$D$3:$K$400)</f>
        <v/>
      </c>
      <c r="C52" s="419">
        <f>SUMPRODUCT(('MTD Pivot'!$A$3:$A$400=TRIM($A$52))*('MTD Pivot'!$D$2:$K$2=C$2)*'MTD Pivot'!$D$3:$K$400)</f>
        <v/>
      </c>
      <c r="D52" s="419">
        <f>SUMPRODUCT(('MTD Pivot'!$A$3:$A$400=TRIM($A$52))*('MTD Pivot'!$D$2:$K$2=D$2)*'MTD Pivot'!$D$3:$K$400)</f>
        <v/>
      </c>
      <c r="E52" s="419">
        <f>SUMPRODUCT(('MTD Pivot'!$A$3:$A$400=TRIM($A$52))*('MTD Pivot'!$D$2:$K$2=E$2)*'MTD Pivot'!$D$3:$K$400)</f>
        <v/>
      </c>
      <c r="F52" s="419">
        <f>SUMPRODUCT(('MTD Pivot'!$A$3:$A$400=TRIM($A$52))*('MTD Pivot'!$D$2:$K$2=F$2)*'MTD Pivot'!$D$3:$K$400)</f>
        <v/>
      </c>
      <c r="G52" s="420">
        <f>SUMPRODUCT(('MTD Pivot'!$A$3:$A$400=TRIM($A$52))*('MTD Pivot'!$D$2:$K$2=G$2)*'MTD Pivot'!$D$3:$K$400)</f>
        <v/>
      </c>
      <c r="H52" s="419">
        <f>SUMPRODUCT(('MTD Pivot'!$A$3:$A$400=TRIM($A$52))*('MTD Pivot'!$D$2:$K$2=H$2)*'MTD Pivot'!$D$3:$K$400)</f>
        <v/>
      </c>
      <c r="I52" s="419">
        <f>SUMPRODUCT(('MTD Pivot'!$A$3:$A$400=TRIM($A$52))*('MTD Pivot'!$D$2:$K$2=I$2)*'MTD Pivot'!$D$3:$K$400)</f>
        <v/>
      </c>
      <c r="J52" s="421">
        <f>G52-F52</f>
        <v/>
      </c>
      <c r="K52" s="422" t="n"/>
      <c r="L52" s="419">
        <f>SUMPRODUCT(('Full month Pivot'!$A$3:$A$400=TRIM($A$52))*('Full month Pivot'!$D$2:$K$2=L$2)*'Full month Pivot'!$D$3:$K$400)</f>
        <v/>
      </c>
      <c r="M52" s="419">
        <f>SUMPRODUCT(('Full month Pivot'!$A$3:$A$400=TRIM($A$52))*('Full month Pivot'!$D$2:$K$2=M$2)*'Full month Pivot'!$D$3:$K$400)</f>
        <v/>
      </c>
      <c r="N52" s="419">
        <f>SUMPRODUCT(('Full month Pivot'!$A$3:$A$400=TRIM($A$52))*('Full month Pivot'!$D$2:$K$2=N$2)*'Full month Pivot'!$D$3:$K$400)</f>
        <v/>
      </c>
      <c r="O52" s="419">
        <f>SUMPRODUCT(('Full month Pivot'!$A$3:$A$400=TRIM($A$52))*('Full month Pivot'!$D$2:$K$2=O$2)*'Full month Pivot'!$D$3:$K$400)</f>
        <v/>
      </c>
      <c r="P52" s="419">
        <f>SUMPRODUCT(('Full month Pivot'!$A$3:$A$400=TRIM($A$52))*('Full month Pivot'!$D$2:$K$2=P$2)*'Full month Pivot'!$D$3:$K$400)</f>
        <v/>
      </c>
      <c r="Q52" s="420">
        <f>SUMPRODUCT(('Full month Pivot'!$A$3:$A$400=TRIM($A$52))*('Full month Pivot'!$D$2:$K$2=Q$2)*'Full month Pivot'!$D$3:$K$400)</f>
        <v/>
      </c>
      <c r="R52" s="419">
        <f>SUMPRODUCT(('Full month Pivot'!$A$3:$A$400=TRIM($A$52))*('Full month Pivot'!$D$2:$K$2=R$2)*'Full month Pivot'!$D$3:$K$400)</f>
        <v/>
      </c>
      <c r="S52" s="419">
        <f>SUMPRODUCT(('Full month Pivot'!$A$3:$A$400=TRIM($A$52))*('Full month Pivot'!$D$2:$K$2=S$2)*'Full month Pivot'!$D$3:$K$400)</f>
        <v/>
      </c>
      <c r="T52" s="421">
        <f>G52-F52</f>
        <v/>
      </c>
      <c r="U52" s="367" t="n"/>
      <c r="V52" s="367" t="n"/>
      <c r="W52" s="367" t="n"/>
      <c r="X52" s="367" t="n"/>
      <c r="Y52" s="367" t="n"/>
      <c r="Z52" s="367" t="n"/>
      <c r="AA52" s="148">
        <f>IFERROR((X52-W52)/W52, "")</f>
        <v/>
      </c>
      <c r="AB52" s="140" t="n"/>
      <c r="AC52" s="140" t="n"/>
      <c r="AD52" s="140" t="n"/>
    </row>
    <row r="53" outlineLevel="1" ht="15.75" customHeight="1" s="346">
      <c r="A53" s="423" t="inlineStr">
        <is>
          <t xml:space="preserve">        ↳ Click: Chứng Chỉ Quỹ</t>
        </is>
      </c>
      <c r="B53" s="424" t="n"/>
      <c r="C53" s="424" t="n"/>
      <c r="D53" s="424" t="n"/>
      <c r="E53" s="424" t="n"/>
      <c r="F53" s="424" t="n">
        <v>0</v>
      </c>
      <c r="G53" s="425" t="n">
        <v>2</v>
      </c>
      <c r="H53" s="424" t="n"/>
      <c r="I53" s="424" t="n"/>
      <c r="J53" s="426">
        <f>G53-F53</f>
        <v/>
      </c>
      <c r="K53" s="417">
        <f>IF(G52&gt;0, G53/G52, 0)</f>
        <v/>
      </c>
      <c r="L53" s="424" t="n"/>
      <c r="M53" s="424" t="n"/>
      <c r="N53" s="424" t="n"/>
      <c r="O53" s="424" t="n"/>
      <c r="P53" s="424" t="n">
        <v>0</v>
      </c>
      <c r="Q53" s="425">
        <f>G53</f>
        <v/>
      </c>
      <c r="R53" s="424" t="n"/>
      <c r="S53" s="424" t="n"/>
      <c r="T53" s="426">
        <f>G53-F53</f>
        <v/>
      </c>
      <c r="U53" s="373" t="n"/>
      <c r="V53" s="373" t="n"/>
      <c r="W53" s="373" t="n"/>
      <c r="X53" s="373" t="n"/>
      <c r="Y53" s="373" t="n"/>
      <c r="Z53" s="373" t="n"/>
      <c r="AA53" s="151">
        <f>IFERROR((X53-W53)/W53, "")</f>
        <v/>
      </c>
      <c r="AB53" s="140" t="n"/>
      <c r="AC53" s="140" t="n"/>
      <c r="AD53" s="140" t="n"/>
    </row>
    <row r="54" outlineLevel="1" ht="15.75" customHeight="1" s="346">
      <c r="A54" s="418" t="inlineStr">
        <is>
          <t xml:space="preserve">    Trung Tâm Tài Chính</t>
        </is>
      </c>
      <c r="B54" s="419">
        <f>SUMPRODUCT(('MTD Pivot'!$A$3:$A$400=TRIM($A$54))*('MTD Pivot'!$D$2:$K$2=B$2)*'MTD Pivot'!$D$3:$K$400)</f>
        <v/>
      </c>
      <c r="C54" s="419">
        <f>SUMPRODUCT(('MTD Pivot'!$A$3:$A$400=TRIM($A$54))*('MTD Pivot'!$D$2:$K$2=C$2)*'MTD Pivot'!$D$3:$K$400)</f>
        <v/>
      </c>
      <c r="D54" s="419">
        <f>SUMPRODUCT(('MTD Pivot'!$A$3:$A$400=TRIM($A$54))*('MTD Pivot'!$D$2:$K$2=D$2)*'MTD Pivot'!$D$3:$K$400)</f>
        <v/>
      </c>
      <c r="E54" s="419">
        <f>SUMPRODUCT(('MTD Pivot'!$A$3:$A$400=TRIM($A$54))*('MTD Pivot'!$D$2:$K$2=E$2)*'MTD Pivot'!$D$3:$K$400)</f>
        <v/>
      </c>
      <c r="F54" s="419">
        <f>SUMPRODUCT(('MTD Pivot'!$A$3:$A$400=TRIM($A$54))*('MTD Pivot'!$D$2:$K$2=F$2)*'MTD Pivot'!$D$3:$K$400)</f>
        <v/>
      </c>
      <c r="G54" s="420">
        <f>SUMPRODUCT(('MTD Pivot'!$A$3:$A$400=TRIM($A$54))*('MTD Pivot'!$D$2:$K$2=G$2)*'MTD Pivot'!$D$3:$K$400)</f>
        <v/>
      </c>
      <c r="H54" s="419">
        <f>SUMPRODUCT(('MTD Pivot'!$A$3:$A$400=TRIM($A$54))*('MTD Pivot'!$D$2:$K$2=H$2)*'MTD Pivot'!$D$3:$K$400)</f>
        <v/>
      </c>
      <c r="I54" s="419">
        <f>SUMPRODUCT(('MTD Pivot'!$A$3:$A$400=TRIM($A$54))*('MTD Pivot'!$D$2:$K$2=I$2)*'MTD Pivot'!$D$3:$K$400)</f>
        <v/>
      </c>
      <c r="J54" s="421">
        <f>G54-F54</f>
        <v/>
      </c>
      <c r="K54" s="422" t="n"/>
      <c r="L54" s="419">
        <f>SUMPRODUCT(('Full month Pivot'!$A$3:$A$400=TRIM($A$54))*('Full month Pivot'!$D$2:$K$2=L$2)*'Full month Pivot'!$D$3:$K$400)</f>
        <v/>
      </c>
      <c r="M54" s="419">
        <f>SUMPRODUCT(('Full month Pivot'!$A$3:$A$400=TRIM($A$54))*('Full month Pivot'!$D$2:$K$2=M$2)*'Full month Pivot'!$D$3:$K$400)</f>
        <v/>
      </c>
      <c r="N54" s="419">
        <f>SUMPRODUCT(('Full month Pivot'!$A$3:$A$400=TRIM($A$54))*('Full month Pivot'!$D$2:$K$2=N$2)*'Full month Pivot'!$D$3:$K$400)</f>
        <v/>
      </c>
      <c r="O54" s="419">
        <f>SUMPRODUCT(('Full month Pivot'!$A$3:$A$400=TRIM($A$54))*('Full month Pivot'!$D$2:$K$2=O$2)*'Full month Pivot'!$D$3:$K$400)</f>
        <v/>
      </c>
      <c r="P54" s="419">
        <f>SUMPRODUCT(('Full month Pivot'!$A$3:$A$400=TRIM($A$54))*('Full month Pivot'!$D$2:$K$2=P$2)*'Full month Pivot'!$D$3:$K$400)</f>
        <v/>
      </c>
      <c r="Q54" s="420">
        <f>SUMPRODUCT(('Full month Pivot'!$A$3:$A$400=TRIM($A$54))*('Full month Pivot'!$D$2:$K$2=Q$2)*'Full month Pivot'!$D$3:$K$400)</f>
        <v/>
      </c>
      <c r="R54" s="419">
        <f>SUMPRODUCT(('Full month Pivot'!$A$3:$A$400=TRIM($A$54))*('Full month Pivot'!$D$2:$K$2=R$2)*'Full month Pivot'!$D$3:$K$400)</f>
        <v/>
      </c>
      <c r="S54" s="419">
        <f>SUMPRODUCT(('Full month Pivot'!$A$3:$A$400=TRIM($A$54))*('Full month Pivot'!$D$2:$K$2=S$2)*'Full month Pivot'!$D$3:$K$400)</f>
        <v/>
      </c>
      <c r="T54" s="421">
        <f>G54-F54</f>
        <v/>
      </c>
      <c r="U54" s="375" t="n"/>
      <c r="V54" s="375" t="n"/>
      <c r="W54" s="375" t="n"/>
      <c r="X54" s="375" t="n"/>
      <c r="Y54" s="375" t="n"/>
      <c r="Z54" s="375" t="n"/>
      <c r="AA54" s="153" t="n"/>
      <c r="AB54" s="140" t="n"/>
      <c r="AC54" s="140" t="n"/>
      <c r="AD54" s="140" t="n"/>
    </row>
    <row r="55" outlineLevel="1" ht="15.75" customHeight="1" s="346">
      <c r="A55" s="423" t="inlineStr">
        <is>
          <t xml:space="preserve">        ↳ Click: Trung Tâm Tài Chính</t>
        </is>
      </c>
      <c r="B55" s="424" t="n"/>
      <c r="C55" s="424" t="n"/>
      <c r="D55" s="424" t="n"/>
      <c r="E55" s="424" t="n"/>
      <c r="F55" s="424" t="n">
        <v>58</v>
      </c>
      <c r="G55" s="425" t="n">
        <v>276</v>
      </c>
      <c r="H55" s="424" t="n"/>
      <c r="I55" s="424" t="n"/>
      <c r="J55" s="426">
        <f>G55-F55</f>
        <v/>
      </c>
      <c r="K55" s="417">
        <f>IF(G54&gt;0, G55/G54, 0)</f>
        <v/>
      </c>
      <c r="L55" s="424" t="n"/>
      <c r="M55" s="424" t="n"/>
      <c r="N55" s="424" t="n"/>
      <c r="O55" s="424" t="n"/>
      <c r="P55" s="424" t="n">
        <v>61</v>
      </c>
      <c r="Q55" s="425">
        <f>G55</f>
        <v/>
      </c>
      <c r="R55" s="424" t="n"/>
      <c r="S55" s="424" t="n"/>
      <c r="T55" s="426">
        <f>G55-F55</f>
        <v/>
      </c>
      <c r="U55" s="376" t="n"/>
      <c r="V55" s="376" t="n"/>
      <c r="W55" s="376" t="n"/>
      <c r="X55" s="376" t="n"/>
      <c r="Y55" s="376" t="n"/>
      <c r="Z55" s="376" t="n"/>
      <c r="AA55" s="203" t="n"/>
      <c r="AB55" s="140" t="n"/>
      <c r="AC55" s="140" t="n"/>
      <c r="AD55" s="140" t="n"/>
    </row>
    <row r="56" outlineLevel="1" ht="15.75" customHeight="1" s="346">
      <c r="A56" s="418" t="inlineStr">
        <is>
          <t xml:space="preserve">    Sàn Đầu Tư</t>
        </is>
      </c>
      <c r="B56" s="419">
        <f>SUMPRODUCT(('MTD Pivot'!$A$3:$A$400=TRIM($A$56))*('MTD Pivot'!$D$2:$K$2=B$2)*'MTD Pivot'!$D$3:$K$400)</f>
        <v/>
      </c>
      <c r="C56" s="419">
        <f>SUMPRODUCT(('MTD Pivot'!$A$3:$A$400=TRIM($A$56))*('MTD Pivot'!$D$2:$K$2=C$2)*'MTD Pivot'!$D$3:$K$400)</f>
        <v/>
      </c>
      <c r="D56" s="419">
        <f>SUMPRODUCT(('MTD Pivot'!$A$3:$A$400=TRIM($A$56))*('MTD Pivot'!$D$2:$K$2=D$2)*'MTD Pivot'!$D$3:$K$400)</f>
        <v/>
      </c>
      <c r="E56" s="419">
        <f>SUMPRODUCT(('MTD Pivot'!$A$3:$A$400=TRIM($A$56))*('MTD Pivot'!$D$2:$K$2=E$2)*'MTD Pivot'!$D$3:$K$400)</f>
        <v/>
      </c>
      <c r="F56" s="419">
        <f>SUMPRODUCT(('MTD Pivot'!$A$3:$A$400=TRIM($A$56))*('MTD Pivot'!$D$2:$K$2=F$2)*'MTD Pivot'!$D$3:$K$400)</f>
        <v/>
      </c>
      <c r="G56" s="420">
        <f>SUMPRODUCT(('MTD Pivot'!$A$3:$A$400=TRIM($A$56))*('MTD Pivot'!$D$2:$K$2=G$2)*'MTD Pivot'!$D$3:$K$400)</f>
        <v/>
      </c>
      <c r="H56" s="419">
        <f>SUMPRODUCT(('MTD Pivot'!$A$3:$A$400=TRIM($A$56))*('MTD Pivot'!$D$2:$K$2=H$2)*'MTD Pivot'!$D$3:$K$400)</f>
        <v/>
      </c>
      <c r="I56" s="419">
        <f>SUMPRODUCT(('MTD Pivot'!$A$3:$A$400=TRIM($A$56))*('MTD Pivot'!$D$2:$K$2=I$2)*'MTD Pivot'!$D$3:$K$400)</f>
        <v/>
      </c>
      <c r="J56" s="421">
        <f>G56-F56</f>
        <v/>
      </c>
      <c r="K56" s="422" t="n"/>
      <c r="L56" s="419">
        <f>SUMPRODUCT(('Full month Pivot'!$A$3:$A$400=TRIM($A$56))*('Full month Pivot'!$D$2:$K$2=L$2)*'Full month Pivot'!$D$3:$K$400)</f>
        <v/>
      </c>
      <c r="M56" s="419">
        <f>SUMPRODUCT(('Full month Pivot'!$A$3:$A$400=TRIM($A$56))*('Full month Pivot'!$D$2:$K$2=M$2)*'Full month Pivot'!$D$3:$K$400)</f>
        <v/>
      </c>
      <c r="N56" s="419">
        <f>SUMPRODUCT(('Full month Pivot'!$A$3:$A$400=TRIM($A$56))*('Full month Pivot'!$D$2:$K$2=N$2)*'Full month Pivot'!$D$3:$K$400)</f>
        <v/>
      </c>
      <c r="O56" s="419">
        <f>SUMPRODUCT(('Full month Pivot'!$A$3:$A$400=TRIM($A$56))*('Full month Pivot'!$D$2:$K$2=O$2)*'Full month Pivot'!$D$3:$K$400)</f>
        <v/>
      </c>
      <c r="P56" s="419">
        <f>SUMPRODUCT(('Full month Pivot'!$A$3:$A$400=TRIM($A$56))*('Full month Pivot'!$D$2:$K$2=P$2)*'Full month Pivot'!$D$3:$K$400)</f>
        <v/>
      </c>
      <c r="Q56" s="420">
        <f>SUMPRODUCT(('Full month Pivot'!$A$3:$A$400=TRIM($A$56))*('Full month Pivot'!$D$2:$K$2=Q$2)*'Full month Pivot'!$D$3:$K$400)</f>
        <v/>
      </c>
      <c r="R56" s="419">
        <f>SUMPRODUCT(('Full month Pivot'!$A$3:$A$400=TRIM($A$56))*('Full month Pivot'!$D$2:$K$2=R$2)*'Full month Pivot'!$D$3:$K$400)</f>
        <v/>
      </c>
      <c r="S56" s="419">
        <f>SUMPRODUCT(('Full month Pivot'!$A$3:$A$400=TRIM($A$56))*('Full month Pivot'!$D$2:$K$2=S$2)*'Full month Pivot'!$D$3:$K$400)</f>
        <v/>
      </c>
      <c r="T56" s="421">
        <f>G56-F56</f>
        <v/>
      </c>
      <c r="U56" s="381" t="n"/>
      <c r="V56" s="381" t="n"/>
      <c r="W56" s="381" t="n"/>
      <c r="X56" s="381" t="n"/>
      <c r="Y56" s="381" t="n"/>
      <c r="Z56" s="381" t="n"/>
      <c r="AA56" s="157">
        <f>IF(AND(ISNUMBER(X56), ISNUMBER(W56)), X56-W56, "")</f>
        <v/>
      </c>
      <c r="AB56" s="140" t="n"/>
      <c r="AC56" s="140" t="n"/>
      <c r="AD56" s="140" t="n"/>
    </row>
    <row r="57" outlineLevel="1" ht="15.75" customHeight="1" s="346">
      <c r="A57" s="423" t="inlineStr">
        <is>
          <t xml:space="preserve">        ↳ Click: Sàn Đầu Tư</t>
        </is>
      </c>
      <c r="B57" s="424" t="n"/>
      <c r="C57" s="424" t="n"/>
      <c r="D57" s="424" t="n"/>
      <c r="E57" s="424" t="n"/>
      <c r="F57" s="424" t="n">
        <v>1</v>
      </c>
      <c r="G57" s="425" t="n">
        <v>0</v>
      </c>
      <c r="H57" s="424" t="n"/>
      <c r="I57" s="424" t="n"/>
      <c r="J57" s="426">
        <f>G57-F57</f>
        <v/>
      </c>
      <c r="K57" s="417">
        <f>IF(G56&gt;0, G57/G56, 0)</f>
        <v/>
      </c>
      <c r="L57" s="424" t="n"/>
      <c r="M57" s="424" t="n"/>
      <c r="N57" s="424" t="n"/>
      <c r="O57" s="424" t="n"/>
      <c r="P57" s="424" t="n">
        <v>1</v>
      </c>
      <c r="Q57" s="425">
        <f>G57</f>
        <v/>
      </c>
      <c r="R57" s="424" t="n"/>
      <c r="S57" s="424" t="n"/>
      <c r="T57" s="426">
        <f>G57-F57</f>
        <v/>
      </c>
      <c r="U57" s="386" t="n"/>
      <c r="V57" s="386" t="n"/>
      <c r="W57" s="386" t="n"/>
      <c r="X57" s="386" t="n"/>
      <c r="Y57" s="386" t="n"/>
      <c r="Z57" s="386" t="n"/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408" t="inlineStr">
        <is>
          <t>Vehicle Hub</t>
        </is>
      </c>
      <c r="B58" s="409">
        <f>SUM(B60, B62, B64, B66)</f>
        <v/>
      </c>
      <c r="C58" s="409">
        <f>SUM(C60, C62, C64, C66)</f>
        <v/>
      </c>
      <c r="D58" s="409">
        <f>SUM(D60, D62, D64, D66)</f>
        <v/>
      </c>
      <c r="E58" s="409">
        <f>SUM(E60, E62, E64, E66)</f>
        <v/>
      </c>
      <c r="F58" s="409">
        <f>SUM(F60, F62, F64, F66)</f>
        <v/>
      </c>
      <c r="G58" s="410">
        <f>SUM(G60, G62, G64, G66)</f>
        <v/>
      </c>
      <c r="H58" s="409">
        <f>SUM(H60, H62, H64, H66)</f>
        <v/>
      </c>
      <c r="I58" s="409">
        <f>SUM(I60, I62, I64, I66)</f>
        <v/>
      </c>
      <c r="J58" s="411">
        <f>G58-F58</f>
        <v/>
      </c>
      <c r="K58" s="412" t="n"/>
      <c r="L58" s="409">
        <f>SUM(L60, L62, L64, L66)</f>
        <v/>
      </c>
      <c r="M58" s="409">
        <f>SUM(M60, M62, M64, M66)</f>
        <v/>
      </c>
      <c r="N58" s="409">
        <f>SUM(N60, N62, N64, N66)</f>
        <v/>
      </c>
      <c r="O58" s="409">
        <f>SUM(O60, O62, O64, O66)</f>
        <v/>
      </c>
      <c r="P58" s="409">
        <f>SUM(P60, P62, P64, P66)</f>
        <v/>
      </c>
      <c r="Q58" s="410">
        <f>SUM(Q60, Q62, Q64, Q66)</f>
        <v/>
      </c>
      <c r="R58" s="409">
        <f>SUM(R60, R62, R64, R66)</f>
        <v/>
      </c>
      <c r="S58" s="409">
        <f>SUM(S60, S62, S64, S66)</f>
        <v/>
      </c>
      <c r="T58" s="411">
        <f>G58-F58</f>
        <v/>
      </c>
      <c r="U58" s="386" t="n"/>
      <c r="V58" s="386" t="n"/>
      <c r="W58" s="386" t="n"/>
      <c r="X58" s="386" t="n"/>
      <c r="Y58" s="386" t="n"/>
      <c r="Z58" s="386" t="n"/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413" t="inlineStr">
        <is>
          <t xml:space="preserve">  ↳ Click to app: Vehicle Hub</t>
        </is>
      </c>
      <c r="B59" s="414" t="n"/>
      <c r="C59" s="414" t="n"/>
      <c r="D59" s="414" t="n"/>
      <c r="E59" s="414" t="n"/>
      <c r="F59" s="414">
        <f>SUM(F61, F63, F65, F67)</f>
        <v/>
      </c>
      <c r="G59" s="415">
        <f>SUM(G61, G63, G65, G67)</f>
        <v/>
      </c>
      <c r="H59" s="414" t="n"/>
      <c r="I59" s="414" t="n"/>
      <c r="J59" s="416">
        <f>G59-F59</f>
        <v/>
      </c>
      <c r="K59" s="417">
        <f>IF(G58&gt;0, G59/G58, 0)</f>
        <v/>
      </c>
      <c r="L59" s="414" t="n"/>
      <c r="M59" s="414" t="n"/>
      <c r="N59" s="414" t="n"/>
      <c r="O59" s="414" t="n"/>
      <c r="P59" s="414">
        <f>SUM(P61, P63, P65, P67)</f>
        <v/>
      </c>
      <c r="Q59" s="415">
        <f>G59</f>
        <v/>
      </c>
      <c r="R59" s="414" t="n"/>
      <c r="S59" s="414" t="n"/>
      <c r="T59" s="416">
        <f>G59-F59</f>
        <v/>
      </c>
      <c r="U59" s="386" t="n"/>
      <c r="V59" s="386" t="n"/>
      <c r="W59" s="386" t="n"/>
      <c r="X59" s="386" t="n"/>
      <c r="Y59" s="386" t="n"/>
      <c r="Z59" s="386" t="n"/>
      <c r="AA59" s="157">
        <f>IF(AND(ISNUMBER(X59), ISNUMBER(W59), W59&gt;0), (X59-W59)/W59, "")</f>
        <v/>
      </c>
      <c r="AB59" s="140" t="n"/>
      <c r="AC59" s="140" t="n"/>
      <c r="AD59" s="140" t="n"/>
    </row>
    <row r="60" outlineLevel="1" ht="15.75" customHeight="1" s="346">
      <c r="A60" s="418" t="inlineStr">
        <is>
          <t xml:space="preserve">    Phạt nguội</t>
        </is>
      </c>
      <c r="B60" s="419">
        <f>SUMPRODUCT(('MTD Pivot'!$A$3:$A$400=TRIM($A$60))*('MTD Pivot'!$D$2:$K$2=B$2)*'MTD Pivot'!$D$3:$K$400)</f>
        <v/>
      </c>
      <c r="C60" s="419">
        <f>SUMPRODUCT(('MTD Pivot'!$A$3:$A$400=TRIM($A$60))*('MTD Pivot'!$D$2:$K$2=C$2)*'MTD Pivot'!$D$3:$K$400)</f>
        <v/>
      </c>
      <c r="D60" s="419">
        <f>SUMPRODUCT(('MTD Pivot'!$A$3:$A$400=TRIM($A$60))*('MTD Pivot'!$D$2:$K$2=D$2)*'MTD Pivot'!$D$3:$K$400)</f>
        <v/>
      </c>
      <c r="E60" s="419">
        <f>SUMPRODUCT(('MTD Pivot'!$A$3:$A$400=TRIM($A$60))*('MTD Pivot'!$D$2:$K$2=E$2)*'MTD Pivot'!$D$3:$K$400)</f>
        <v/>
      </c>
      <c r="F60" s="419">
        <f>SUMPRODUCT(('MTD Pivot'!$A$3:$A$400=TRIM($A$60))*('MTD Pivot'!$D$2:$K$2=F$2)*'MTD Pivot'!$D$3:$K$400)</f>
        <v/>
      </c>
      <c r="G60" s="420">
        <f>SUMPRODUCT(('MTD Pivot'!$A$3:$A$400=TRIM($A$60))*('MTD Pivot'!$D$2:$K$2=G$2)*'MTD Pivot'!$D$3:$K$400)</f>
        <v/>
      </c>
      <c r="H60" s="419">
        <f>SUMPRODUCT(('MTD Pivot'!$A$3:$A$400=TRIM($A$60))*('MTD Pivot'!$D$2:$K$2=H$2)*'MTD Pivot'!$D$3:$K$400)</f>
        <v/>
      </c>
      <c r="I60" s="419">
        <f>SUMPRODUCT(('MTD Pivot'!$A$3:$A$400=TRIM($A$60))*('MTD Pivot'!$D$2:$K$2=I$2)*'MTD Pivot'!$D$3:$K$400)</f>
        <v/>
      </c>
      <c r="J60" s="421">
        <f>G60-F60</f>
        <v/>
      </c>
      <c r="K60" s="422" t="n"/>
      <c r="L60" s="419">
        <f>SUMPRODUCT(('Full month Pivot'!$A$3:$A$400=TRIM($A$60))*('Full month Pivot'!$D$2:$K$2=L$2)*'Full month Pivot'!$D$3:$K$400)</f>
        <v/>
      </c>
      <c r="M60" s="419">
        <f>SUMPRODUCT(('Full month Pivot'!$A$3:$A$400=TRIM($A$60))*('Full month Pivot'!$D$2:$K$2=M$2)*'Full month Pivot'!$D$3:$K$400)</f>
        <v/>
      </c>
      <c r="N60" s="419">
        <f>SUMPRODUCT(('Full month Pivot'!$A$3:$A$400=TRIM($A$60))*('Full month Pivot'!$D$2:$K$2=N$2)*'Full month Pivot'!$D$3:$K$400)</f>
        <v/>
      </c>
      <c r="O60" s="419">
        <f>SUMPRODUCT(('Full month Pivot'!$A$3:$A$400=TRIM($A$60))*('Full month Pivot'!$D$2:$K$2=O$2)*'Full month Pivot'!$D$3:$K$400)</f>
        <v/>
      </c>
      <c r="P60" s="419">
        <f>SUMPRODUCT(('Full month Pivot'!$A$3:$A$400=TRIM($A$60))*('Full month Pivot'!$D$2:$K$2=P$2)*'Full month Pivot'!$D$3:$K$400)</f>
        <v/>
      </c>
      <c r="Q60" s="420">
        <f>SUMPRODUCT(('Full month Pivot'!$A$3:$A$400=TRIM($A$60))*('Full month Pivot'!$D$2:$K$2=Q$2)*'Full month Pivot'!$D$3:$K$400)</f>
        <v/>
      </c>
      <c r="R60" s="419">
        <f>SUMPRODUCT(('Full month Pivot'!$A$3:$A$400=TRIM($A$60))*('Full month Pivot'!$D$2:$K$2=R$2)*'Full month Pivot'!$D$3:$K$400)</f>
        <v/>
      </c>
      <c r="S60" s="419">
        <f>SUMPRODUCT(('Full month Pivot'!$A$3:$A$400=TRIM($A$60))*('Full month Pivot'!$D$2:$K$2=S$2)*'Full month Pivot'!$D$3:$K$400)</f>
        <v/>
      </c>
      <c r="T60" s="421">
        <f>G60-F60</f>
        <v/>
      </c>
      <c r="U60" s="386" t="n"/>
      <c r="V60" s="386" t="n"/>
      <c r="W60" s="386" t="n"/>
      <c r="X60" s="386" t="n"/>
      <c r="Y60" s="386" t="n"/>
      <c r="Z60" s="386" t="n"/>
      <c r="AA60" s="157">
        <f>IF(AND(ISNUMBER(X60), ISNUMBER(W60), W60&gt;0), (X60-W60)/W60, "")</f>
        <v/>
      </c>
      <c r="AB60" s="140" t="n"/>
      <c r="AC60" s="140" t="n"/>
      <c r="AD60" s="140" t="n"/>
    </row>
    <row r="61" outlineLevel="1" ht="15.75" customHeight="1" s="346">
      <c r="A61" s="423" t="inlineStr">
        <is>
          <t xml:space="preserve">        ↳ Click: Phạt nguội</t>
        </is>
      </c>
      <c r="B61" s="424" t="n"/>
      <c r="C61" s="424" t="n"/>
      <c r="D61" s="424" t="n"/>
      <c r="E61" s="424" t="n"/>
      <c r="F61" s="424" t="n">
        <v>385</v>
      </c>
      <c r="G61" s="425" t="n">
        <v>844</v>
      </c>
      <c r="H61" s="424" t="n"/>
      <c r="I61" s="424" t="n"/>
      <c r="J61" s="426">
        <f>G61-F61</f>
        <v/>
      </c>
      <c r="K61" s="417">
        <f>IF(G60&gt;0, G61/G60, 0)</f>
        <v/>
      </c>
      <c r="L61" s="424" t="n"/>
      <c r="M61" s="424" t="n"/>
      <c r="N61" s="424" t="n"/>
      <c r="O61" s="424" t="n"/>
      <c r="P61" s="424" t="n">
        <v>472</v>
      </c>
      <c r="Q61" s="425">
        <f>G61</f>
        <v/>
      </c>
      <c r="R61" s="424" t="n"/>
      <c r="S61" s="424" t="n"/>
      <c r="T61" s="426">
        <f>G61-F61</f>
        <v/>
      </c>
      <c r="U61" s="386" t="n"/>
      <c r="V61" s="386" t="n"/>
      <c r="W61" s="386" t="n"/>
      <c r="X61" s="386" t="n"/>
      <c r="Y61" s="386" t="n"/>
      <c r="Z61" s="386" t="n"/>
      <c r="AA61" s="157">
        <f>IF(AND(ISNUMBER(X61), ISNUMBER(W61), W61&gt;0), (X61-W61)/W61, "")</f>
        <v/>
      </c>
      <c r="AB61" s="140" t="n"/>
      <c r="AC61" s="140" t="n"/>
      <c r="AD61" s="140" t="n"/>
    </row>
    <row r="62" outlineLevel="1" ht="15.75" customHeight="1" s="346">
      <c r="A62" s="418" t="inlineStr">
        <is>
          <t xml:space="preserve">    Bảo hiểm ô tô</t>
        </is>
      </c>
      <c r="B62" s="419">
        <f>SUMPRODUCT(('MTD Pivot'!$A$3:$A$400=TRIM($A$62))*('MTD Pivot'!$D$2:$K$2=B$2)*'MTD Pivot'!$D$3:$K$400)</f>
        <v/>
      </c>
      <c r="C62" s="419">
        <f>SUMPRODUCT(('MTD Pivot'!$A$3:$A$400=TRIM($A$62))*('MTD Pivot'!$D$2:$K$2=C$2)*'MTD Pivot'!$D$3:$K$400)</f>
        <v/>
      </c>
      <c r="D62" s="419">
        <f>SUMPRODUCT(('MTD Pivot'!$A$3:$A$400=TRIM($A$62))*('MTD Pivot'!$D$2:$K$2=D$2)*'MTD Pivot'!$D$3:$K$400)</f>
        <v/>
      </c>
      <c r="E62" s="419">
        <f>SUMPRODUCT(('MTD Pivot'!$A$3:$A$400=TRIM($A$62))*('MTD Pivot'!$D$2:$K$2=E$2)*'MTD Pivot'!$D$3:$K$400)</f>
        <v/>
      </c>
      <c r="F62" s="419">
        <f>SUMPRODUCT(('MTD Pivot'!$A$3:$A$400=TRIM($A$62))*('MTD Pivot'!$D$2:$K$2=F$2)*'MTD Pivot'!$D$3:$K$400)</f>
        <v/>
      </c>
      <c r="G62" s="420">
        <f>SUMPRODUCT(('MTD Pivot'!$A$3:$A$400=TRIM($A$62))*('MTD Pivot'!$D$2:$K$2=G$2)*'MTD Pivot'!$D$3:$K$400)</f>
        <v/>
      </c>
      <c r="H62" s="419">
        <f>SUMPRODUCT(('MTD Pivot'!$A$3:$A$400=TRIM($A$62))*('MTD Pivot'!$D$2:$K$2=H$2)*'MTD Pivot'!$D$3:$K$400)</f>
        <v/>
      </c>
      <c r="I62" s="419">
        <f>SUMPRODUCT(('MTD Pivot'!$A$3:$A$400=TRIM($A$62))*('MTD Pivot'!$D$2:$K$2=I$2)*'MTD Pivot'!$D$3:$K$400)</f>
        <v/>
      </c>
      <c r="J62" s="421">
        <f>G62-F62</f>
        <v/>
      </c>
      <c r="K62" s="422" t="n"/>
      <c r="L62" s="419">
        <f>SUMPRODUCT(('Full month Pivot'!$A$3:$A$400=TRIM($A$62))*('Full month Pivot'!$D$2:$K$2=L$2)*'Full month Pivot'!$D$3:$K$400)</f>
        <v/>
      </c>
      <c r="M62" s="419">
        <f>SUMPRODUCT(('Full month Pivot'!$A$3:$A$400=TRIM($A$62))*('Full month Pivot'!$D$2:$K$2=M$2)*'Full month Pivot'!$D$3:$K$400)</f>
        <v/>
      </c>
      <c r="N62" s="419">
        <f>SUMPRODUCT(('Full month Pivot'!$A$3:$A$400=TRIM($A$62))*('Full month Pivot'!$D$2:$K$2=N$2)*'Full month Pivot'!$D$3:$K$400)</f>
        <v/>
      </c>
      <c r="O62" s="419">
        <f>SUMPRODUCT(('Full month Pivot'!$A$3:$A$400=TRIM($A$62))*('Full month Pivot'!$D$2:$K$2=O$2)*'Full month Pivot'!$D$3:$K$400)</f>
        <v/>
      </c>
      <c r="P62" s="419">
        <f>SUMPRODUCT(('Full month Pivot'!$A$3:$A$400=TRIM($A$62))*('Full month Pivot'!$D$2:$K$2=P$2)*'Full month Pivot'!$D$3:$K$400)</f>
        <v/>
      </c>
      <c r="Q62" s="420">
        <f>SUMPRODUCT(('Full month Pivot'!$A$3:$A$400=TRIM($A$62))*('Full month Pivot'!$D$2:$K$2=Q$2)*'Full month Pivot'!$D$3:$K$400)</f>
        <v/>
      </c>
      <c r="R62" s="419">
        <f>SUMPRODUCT(('Full month Pivot'!$A$3:$A$400=TRIM($A$62))*('Full month Pivot'!$D$2:$K$2=R$2)*'Full month Pivot'!$D$3:$K$400)</f>
        <v/>
      </c>
      <c r="S62" s="419">
        <f>SUMPRODUCT(('Full month Pivot'!$A$3:$A$400=TRIM($A$62))*('Full month Pivot'!$D$2:$K$2=S$2)*'Full month Pivot'!$D$3:$K$400)</f>
        <v/>
      </c>
      <c r="T62" s="421">
        <f>G62-F62</f>
        <v/>
      </c>
      <c r="U62" s="395" t="n"/>
      <c r="V62" s="395" t="n"/>
      <c r="W62" s="395" t="n"/>
      <c r="X62" s="395" t="n"/>
      <c r="Y62" s="395" t="n"/>
      <c r="Z62" s="395" t="n"/>
      <c r="AA62" s="202" t="n"/>
      <c r="AB62" s="140" t="n"/>
      <c r="AC62" s="140" t="n"/>
      <c r="AD62" s="140" t="n"/>
    </row>
    <row r="63" outlineLevel="1" ht="15.75" customHeight="1" s="346">
      <c r="A63" s="423" t="inlineStr">
        <is>
          <t xml:space="preserve">        ↳ Click: Bảo hiểm ô tô</t>
        </is>
      </c>
      <c r="B63" s="424" t="n"/>
      <c r="C63" s="424" t="n"/>
      <c r="D63" s="424" t="n"/>
      <c r="E63" s="424" t="n"/>
      <c r="F63" s="424" t="n">
        <v>17</v>
      </c>
      <c r="G63" s="425" t="n">
        <v>31</v>
      </c>
      <c r="H63" s="424" t="n"/>
      <c r="I63" s="424" t="n"/>
      <c r="J63" s="426">
        <f>G63-F63</f>
        <v/>
      </c>
      <c r="K63" s="417">
        <f>IF(G62&gt;0, G63/G62, 0)</f>
        <v/>
      </c>
      <c r="L63" s="424" t="n"/>
      <c r="M63" s="424" t="n"/>
      <c r="N63" s="424" t="n"/>
      <c r="O63" s="424" t="n"/>
      <c r="P63" s="424" t="n">
        <v>22</v>
      </c>
      <c r="Q63" s="425">
        <f>G63</f>
        <v/>
      </c>
      <c r="R63" s="424" t="n"/>
      <c r="S63" s="424" t="n"/>
      <c r="T63" s="426">
        <f>G63-F63</f>
        <v/>
      </c>
      <c r="U63" s="365" t="n"/>
      <c r="V63" s="365" t="n"/>
      <c r="W63" s="365" t="n"/>
      <c r="X63" s="365" t="n"/>
      <c r="Y63" s="365" t="n"/>
      <c r="Z63" s="365" t="n"/>
      <c r="AA63" s="145" t="n"/>
      <c r="AB63" s="140" t="n"/>
      <c r="AC63" s="140" t="n"/>
      <c r="AD63" s="140" t="n"/>
    </row>
    <row r="64" outlineLevel="1" ht="15.75" customHeight="1" s="346">
      <c r="A64" s="418" t="inlineStr">
        <is>
          <t xml:space="preserve">    Bảo hiểm xe máy</t>
        </is>
      </c>
      <c r="B64" s="419">
        <f>SUMPRODUCT(('MTD Pivot'!$A$3:$A$400=TRIM($A$64))*('MTD Pivot'!$D$2:$K$2=B$2)*'MTD Pivot'!$D$3:$K$400)</f>
        <v/>
      </c>
      <c r="C64" s="419">
        <f>SUMPRODUCT(('MTD Pivot'!$A$3:$A$400=TRIM($A$64))*('MTD Pivot'!$D$2:$K$2=C$2)*'MTD Pivot'!$D$3:$K$400)</f>
        <v/>
      </c>
      <c r="D64" s="419">
        <f>SUMPRODUCT(('MTD Pivot'!$A$3:$A$400=TRIM($A$64))*('MTD Pivot'!$D$2:$K$2=D$2)*'MTD Pivot'!$D$3:$K$400)</f>
        <v/>
      </c>
      <c r="E64" s="419">
        <f>SUMPRODUCT(('MTD Pivot'!$A$3:$A$400=TRIM($A$64))*('MTD Pivot'!$D$2:$K$2=E$2)*'MTD Pivot'!$D$3:$K$400)</f>
        <v/>
      </c>
      <c r="F64" s="419">
        <f>SUMPRODUCT(('MTD Pivot'!$A$3:$A$400=TRIM($A$64))*('MTD Pivot'!$D$2:$K$2=F$2)*'MTD Pivot'!$D$3:$K$400)</f>
        <v/>
      </c>
      <c r="G64" s="420">
        <f>SUMPRODUCT(('MTD Pivot'!$A$3:$A$400=TRIM($A$64))*('MTD Pivot'!$D$2:$K$2=G$2)*'MTD Pivot'!$D$3:$K$400)</f>
        <v/>
      </c>
      <c r="H64" s="419">
        <f>SUMPRODUCT(('MTD Pivot'!$A$3:$A$400=TRIM($A$64))*('MTD Pivot'!$D$2:$K$2=H$2)*'MTD Pivot'!$D$3:$K$400)</f>
        <v/>
      </c>
      <c r="I64" s="419">
        <f>SUMPRODUCT(('MTD Pivot'!$A$3:$A$400=TRIM($A$64))*('MTD Pivot'!$D$2:$K$2=I$2)*'MTD Pivot'!$D$3:$K$400)</f>
        <v/>
      </c>
      <c r="J64" s="421">
        <f>G64-F64</f>
        <v/>
      </c>
      <c r="K64" s="422" t="n"/>
      <c r="L64" s="419">
        <f>SUMPRODUCT(('Full month Pivot'!$A$3:$A$400=TRIM($A$64))*('Full month Pivot'!$D$2:$K$2=L$2)*'Full month Pivot'!$D$3:$K$400)</f>
        <v/>
      </c>
      <c r="M64" s="419">
        <f>SUMPRODUCT(('Full month Pivot'!$A$3:$A$400=TRIM($A$64))*('Full month Pivot'!$D$2:$K$2=M$2)*'Full month Pivot'!$D$3:$K$400)</f>
        <v/>
      </c>
      <c r="N64" s="419">
        <f>SUMPRODUCT(('Full month Pivot'!$A$3:$A$400=TRIM($A$64))*('Full month Pivot'!$D$2:$K$2=N$2)*'Full month Pivot'!$D$3:$K$400)</f>
        <v/>
      </c>
      <c r="O64" s="419">
        <f>SUMPRODUCT(('Full month Pivot'!$A$3:$A$400=TRIM($A$64))*('Full month Pivot'!$D$2:$K$2=O$2)*'Full month Pivot'!$D$3:$K$400)</f>
        <v/>
      </c>
      <c r="P64" s="419">
        <f>SUMPRODUCT(('Full month Pivot'!$A$3:$A$400=TRIM($A$64))*('Full month Pivot'!$D$2:$K$2=P$2)*'Full month Pivot'!$D$3:$K$400)</f>
        <v/>
      </c>
      <c r="Q64" s="420">
        <f>SUMPRODUCT(('Full month Pivot'!$A$3:$A$400=TRIM($A$64))*('Full month Pivot'!$D$2:$K$2=Q$2)*'Full month Pivot'!$D$3:$K$400)</f>
        <v/>
      </c>
      <c r="R64" s="419">
        <f>SUMPRODUCT(('Full month Pivot'!$A$3:$A$400=TRIM($A$64))*('Full month Pivot'!$D$2:$K$2=R$2)*'Full month Pivot'!$D$3:$K$400)</f>
        <v/>
      </c>
      <c r="S64" s="419">
        <f>SUMPRODUCT(('Full month Pivot'!$A$3:$A$400=TRIM($A$64))*('Full month Pivot'!$D$2:$K$2=S$2)*'Full month Pivot'!$D$3:$K$400)</f>
        <v/>
      </c>
      <c r="T64" s="421">
        <f>G64-F64</f>
        <v/>
      </c>
      <c r="U64" s="367" t="n"/>
      <c r="V64" s="367" t="n"/>
      <c r="W64" s="367" t="n"/>
      <c r="X64" s="367" t="n"/>
      <c r="Y64" s="367" t="n"/>
      <c r="Z64" s="367" t="n"/>
      <c r="AA64" s="148">
        <f>IFERROR((X64-W64)/W64, "")</f>
        <v/>
      </c>
      <c r="AB64" s="140" t="n"/>
      <c r="AC64" s="140" t="n"/>
      <c r="AD64" s="140" t="n"/>
    </row>
    <row r="65" outlineLevel="1" ht="15.75" customHeight="1" s="346">
      <c r="A65" s="423" t="inlineStr">
        <is>
          <t xml:space="preserve">        ↳ Click: Bảo hiểm xe máy</t>
        </is>
      </c>
      <c r="B65" s="424" t="n"/>
      <c r="C65" s="424" t="n"/>
      <c r="D65" s="424" t="n"/>
      <c r="E65" s="424" t="n"/>
      <c r="F65" s="424" t="n">
        <v>101</v>
      </c>
      <c r="G65" s="425" t="n">
        <v>150</v>
      </c>
      <c r="H65" s="424" t="n"/>
      <c r="I65" s="424" t="n"/>
      <c r="J65" s="426">
        <f>G65-F65</f>
        <v/>
      </c>
      <c r="K65" s="417">
        <f>IF(G64&gt;0, G65/G64, 0)</f>
        <v/>
      </c>
      <c r="L65" s="424" t="n"/>
      <c r="M65" s="424" t="n"/>
      <c r="N65" s="424" t="n"/>
      <c r="O65" s="424" t="n"/>
      <c r="P65" s="424" t="n">
        <v>127</v>
      </c>
      <c r="Q65" s="425">
        <f>G65</f>
        <v/>
      </c>
      <c r="R65" s="424" t="n"/>
      <c r="S65" s="424" t="n"/>
      <c r="T65" s="426">
        <f>G65-F65</f>
        <v/>
      </c>
      <c r="U65" s="373" t="n"/>
      <c r="V65" s="373" t="n"/>
      <c r="W65" s="373" t="n"/>
      <c r="X65" s="373" t="n"/>
      <c r="Y65" s="373" t="n"/>
      <c r="Z65" s="373" t="n"/>
      <c r="AA65" s="151">
        <f>IFERROR((X65-W65)/W65, "")</f>
        <v/>
      </c>
      <c r="AB65" s="140" t="n"/>
      <c r="AC65" s="140" t="n"/>
      <c r="AD65" s="140" t="n"/>
    </row>
    <row r="66" outlineLevel="1" ht="15.75" customHeight="1" s="346">
      <c r="A66" s="418" t="inlineStr">
        <is>
          <t xml:space="preserve">    Tiện ích giao thông</t>
        </is>
      </c>
      <c r="B66" s="419">
        <f>SUMPRODUCT(('MTD Pivot'!$A$3:$A$400=TRIM($A$66))*('MTD Pivot'!$D$2:$K$2=B$2)*'MTD Pivot'!$D$3:$K$400)</f>
        <v/>
      </c>
      <c r="C66" s="419">
        <f>SUMPRODUCT(('MTD Pivot'!$A$3:$A$400=TRIM($A$66))*('MTD Pivot'!$D$2:$K$2=C$2)*'MTD Pivot'!$D$3:$K$400)</f>
        <v/>
      </c>
      <c r="D66" s="419">
        <f>SUMPRODUCT(('MTD Pivot'!$A$3:$A$400=TRIM($A$66))*('MTD Pivot'!$D$2:$K$2=D$2)*'MTD Pivot'!$D$3:$K$400)</f>
        <v/>
      </c>
      <c r="E66" s="419">
        <f>SUMPRODUCT(('MTD Pivot'!$A$3:$A$400=TRIM($A$66))*('MTD Pivot'!$D$2:$K$2=E$2)*'MTD Pivot'!$D$3:$K$400)</f>
        <v/>
      </c>
      <c r="F66" s="419">
        <f>SUMPRODUCT(('MTD Pivot'!$A$3:$A$400=TRIM($A$66))*('MTD Pivot'!$D$2:$K$2=F$2)*'MTD Pivot'!$D$3:$K$400)</f>
        <v/>
      </c>
      <c r="G66" s="420">
        <f>SUMPRODUCT(('MTD Pivot'!$A$3:$A$400=TRIM($A$66))*('MTD Pivot'!$D$2:$K$2=G$2)*'MTD Pivot'!$D$3:$K$400)</f>
        <v/>
      </c>
      <c r="H66" s="419">
        <f>SUMPRODUCT(('MTD Pivot'!$A$3:$A$400=TRIM($A$66))*('MTD Pivot'!$D$2:$K$2=H$2)*'MTD Pivot'!$D$3:$K$400)</f>
        <v/>
      </c>
      <c r="I66" s="419">
        <f>SUMPRODUCT(('MTD Pivot'!$A$3:$A$400=TRIM($A$66))*('MTD Pivot'!$D$2:$K$2=I$2)*'MTD Pivot'!$D$3:$K$400)</f>
        <v/>
      </c>
      <c r="J66" s="421">
        <f>G66-F66</f>
        <v/>
      </c>
      <c r="K66" s="422" t="n"/>
      <c r="L66" s="419">
        <f>SUMPRODUCT(('Full month Pivot'!$A$3:$A$400=TRIM($A$66))*('Full month Pivot'!$D$2:$K$2=L$2)*'Full month Pivot'!$D$3:$K$400)</f>
        <v/>
      </c>
      <c r="M66" s="419">
        <f>SUMPRODUCT(('Full month Pivot'!$A$3:$A$400=TRIM($A$66))*('Full month Pivot'!$D$2:$K$2=M$2)*'Full month Pivot'!$D$3:$K$400)</f>
        <v/>
      </c>
      <c r="N66" s="419">
        <f>SUMPRODUCT(('Full month Pivot'!$A$3:$A$400=TRIM($A$66))*('Full month Pivot'!$D$2:$K$2=N$2)*'Full month Pivot'!$D$3:$K$400)</f>
        <v/>
      </c>
      <c r="O66" s="419">
        <f>SUMPRODUCT(('Full month Pivot'!$A$3:$A$400=TRIM($A$66))*('Full month Pivot'!$D$2:$K$2=O$2)*'Full month Pivot'!$D$3:$K$400)</f>
        <v/>
      </c>
      <c r="P66" s="419">
        <f>SUMPRODUCT(('Full month Pivot'!$A$3:$A$400=TRIM($A$66))*('Full month Pivot'!$D$2:$K$2=P$2)*'Full month Pivot'!$D$3:$K$400)</f>
        <v/>
      </c>
      <c r="Q66" s="420">
        <f>SUMPRODUCT(('Full month Pivot'!$A$3:$A$400=TRIM($A$66))*('Full month Pivot'!$D$2:$K$2=Q$2)*'Full month Pivot'!$D$3:$K$400)</f>
        <v/>
      </c>
      <c r="R66" s="419">
        <f>SUMPRODUCT(('Full month Pivot'!$A$3:$A$400=TRIM($A$66))*('Full month Pivot'!$D$2:$K$2=R$2)*'Full month Pivot'!$D$3:$K$400)</f>
        <v/>
      </c>
      <c r="S66" s="419">
        <f>SUMPRODUCT(('Full month Pivot'!$A$3:$A$400=TRIM($A$66))*('Full month Pivot'!$D$2:$K$2=S$2)*'Full month Pivot'!$D$3:$K$400)</f>
        <v/>
      </c>
      <c r="T66" s="421">
        <f>G66-F66</f>
        <v/>
      </c>
      <c r="U66" s="375" t="n"/>
      <c r="V66" s="375" t="n"/>
      <c r="W66" s="375" t="n"/>
      <c r="X66" s="375" t="n"/>
      <c r="Y66" s="375" t="n"/>
      <c r="Z66" s="375" t="n"/>
      <c r="AA66" s="153" t="n"/>
      <c r="AB66" s="140" t="n"/>
      <c r="AC66" s="140" t="n"/>
      <c r="AD66" s="140" t="n"/>
    </row>
    <row r="67" outlineLevel="1" ht="15.75" customHeight="1" s="346">
      <c r="A67" s="423" t="inlineStr">
        <is>
          <t xml:space="preserve">        ↳ Click: Tiện ích giao thông</t>
        </is>
      </c>
      <c r="B67" s="424" t="n"/>
      <c r="C67" s="424" t="n"/>
      <c r="D67" s="424" t="n"/>
      <c r="E67" s="424" t="n"/>
      <c r="F67" s="424" t="n">
        <v>19</v>
      </c>
      <c r="G67" s="425" t="n">
        <v>1217</v>
      </c>
      <c r="H67" s="424" t="n"/>
      <c r="I67" s="424" t="n"/>
      <c r="J67" s="426">
        <f>G67-F67</f>
        <v/>
      </c>
      <c r="K67" s="417">
        <f>IF(G66&gt;0, G67/G66, 0)</f>
        <v/>
      </c>
      <c r="L67" s="424" t="n"/>
      <c r="M67" s="424" t="n"/>
      <c r="N67" s="424" t="n"/>
      <c r="O67" s="424" t="n"/>
      <c r="P67" s="424" t="n">
        <v>26</v>
      </c>
      <c r="Q67" s="425">
        <f>G67</f>
        <v/>
      </c>
      <c r="R67" s="424" t="n"/>
      <c r="S67" s="424" t="n"/>
      <c r="T67" s="426">
        <f>G67-F67</f>
        <v/>
      </c>
      <c r="U67" s="376" t="n"/>
      <c r="V67" s="376" t="n"/>
      <c r="W67" s="376" t="n"/>
      <c r="X67" s="376" t="n"/>
      <c r="Y67" s="376" t="n"/>
      <c r="Z67" s="376" t="n"/>
      <c r="AA67" s="203" t="n"/>
      <c r="AB67" s="140" t="n"/>
      <c r="AC67" s="140" t="n"/>
      <c r="AD67" s="140" t="n"/>
    </row>
    <row r="68" ht="15.75" customHeight="1" s="346">
      <c r="A68" s="408" t="inlineStr">
        <is>
          <t>Vé Xe</t>
        </is>
      </c>
      <c r="B68" s="409">
        <f>SUMPRODUCT(('MTD Pivot'!$A$3:$A$400=TRIM($A$68))*('MTD Pivot'!$D$2:$K$2=B$2)*'MTD Pivot'!$D$3:$K$400)</f>
        <v/>
      </c>
      <c r="C68" s="409">
        <f>SUMPRODUCT(('MTD Pivot'!$A$3:$A$400=TRIM($A$68))*('MTD Pivot'!$D$2:$K$2=C$2)*'MTD Pivot'!$D$3:$K$400)</f>
        <v/>
      </c>
      <c r="D68" s="409">
        <f>SUMPRODUCT(('MTD Pivot'!$A$3:$A$400=TRIM($A$68))*('MTD Pivot'!$D$2:$K$2=D$2)*'MTD Pivot'!$D$3:$K$400)</f>
        <v/>
      </c>
      <c r="E68" s="409">
        <f>SUMPRODUCT(('MTD Pivot'!$A$3:$A$400=TRIM($A$68))*('MTD Pivot'!$D$2:$K$2=E$2)*'MTD Pivot'!$D$3:$K$400)</f>
        <v/>
      </c>
      <c r="F68" s="409">
        <f>SUMPRODUCT(('MTD Pivot'!$A$3:$A$400=TRIM($A$68))*('MTD Pivot'!$D$2:$K$2=F$2)*'MTD Pivot'!$D$3:$K$400)</f>
        <v/>
      </c>
      <c r="G68" s="410">
        <f>SUMPRODUCT(('MTD Pivot'!$A$3:$A$400=TRIM($A$68))*('MTD Pivot'!$D$2:$K$2=G$2)*'MTD Pivot'!$D$3:$K$400)</f>
        <v/>
      </c>
      <c r="H68" s="409">
        <f>SUMPRODUCT(('MTD Pivot'!$A$3:$A$400=TRIM($A$68))*('MTD Pivot'!$D$2:$K$2=H$2)*'MTD Pivot'!$D$3:$K$400)</f>
        <v/>
      </c>
      <c r="I68" s="409">
        <f>SUMPRODUCT(('MTD Pivot'!$A$3:$A$400=TRIM($A$68))*('MTD Pivot'!$D$2:$K$2=I$2)*'MTD Pivot'!$D$3:$K$400)</f>
        <v/>
      </c>
      <c r="J68" s="411">
        <f>G68-F68</f>
        <v/>
      </c>
      <c r="K68" s="412" t="n"/>
      <c r="L68" s="409">
        <f>SUMPRODUCT(('Full month Pivot'!$A$3:$A$400=TRIM($A$68))*('Full month Pivot'!$D$2:$K$2=L$2)*'Full month Pivot'!$D$3:$K$400)</f>
        <v/>
      </c>
      <c r="M68" s="409">
        <f>SUMPRODUCT(('Full month Pivot'!$A$3:$A$400=TRIM($A$68))*('Full month Pivot'!$D$2:$K$2=M$2)*'Full month Pivot'!$D$3:$K$400)</f>
        <v/>
      </c>
      <c r="N68" s="409">
        <f>SUMPRODUCT(('Full month Pivot'!$A$3:$A$400=TRIM($A$68))*('Full month Pivot'!$D$2:$K$2=N$2)*'Full month Pivot'!$D$3:$K$400)</f>
        <v/>
      </c>
      <c r="O68" s="409">
        <f>SUMPRODUCT(('Full month Pivot'!$A$3:$A$400=TRIM($A$68))*('Full month Pivot'!$D$2:$K$2=O$2)*'Full month Pivot'!$D$3:$K$400)</f>
        <v/>
      </c>
      <c r="P68" s="409">
        <f>SUMPRODUCT(('Full month Pivot'!$A$3:$A$400=TRIM($A$68))*('Full month Pivot'!$D$2:$K$2=P$2)*'Full month Pivot'!$D$3:$K$400)</f>
        <v/>
      </c>
      <c r="Q68" s="410">
        <f>SUMPRODUCT(('Full month Pivot'!$A$3:$A$400=TRIM($A$68))*('Full month Pivot'!$D$2:$K$2=Q$2)*'Full month Pivot'!$D$3:$K$400)</f>
        <v/>
      </c>
      <c r="R68" s="409">
        <f>SUMPRODUCT(('Full month Pivot'!$A$3:$A$400=TRIM($A$68))*('Full month Pivot'!$D$2:$K$2=R$2)*'Full month Pivot'!$D$3:$K$400)</f>
        <v/>
      </c>
      <c r="S68" s="409">
        <f>SUMPRODUCT(('Full month Pivot'!$A$3:$A$400=TRIM($A$68))*('Full month Pivot'!$D$2:$K$2=S$2)*'Full month Pivot'!$D$3:$K$400)</f>
        <v/>
      </c>
      <c r="T68" s="411">
        <f>G68-F68</f>
        <v/>
      </c>
      <c r="U68" s="381" t="n"/>
      <c r="V68" s="381" t="n"/>
      <c r="W68" s="381" t="n"/>
      <c r="X68" s="381" t="n"/>
      <c r="Y68" s="381" t="n"/>
      <c r="Z68" s="381" t="n"/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413" t="inlineStr">
        <is>
          <t xml:space="preserve">  ↳ Click to app: Vé Xe</t>
        </is>
      </c>
      <c r="B69" s="414" t="n"/>
      <c r="C69" s="414" t="n"/>
      <c r="D69" s="414" t="n"/>
      <c r="E69" s="414" t="n"/>
      <c r="F69" s="414" t="n">
        <v>92</v>
      </c>
      <c r="G69" s="415" t="n">
        <v>66</v>
      </c>
      <c r="H69" s="414" t="n"/>
      <c r="I69" s="414" t="n"/>
      <c r="J69" s="416">
        <f>G69-F69</f>
        <v/>
      </c>
      <c r="K69" s="417">
        <f>IF(G68&gt;0, G69/G68, 0)</f>
        <v/>
      </c>
      <c r="L69" s="414" t="n"/>
      <c r="M69" s="414" t="n"/>
      <c r="N69" s="414" t="n"/>
      <c r="O69" s="414" t="n"/>
      <c r="P69" s="414" t="n">
        <v>98</v>
      </c>
      <c r="Q69" s="415">
        <f>G69</f>
        <v/>
      </c>
      <c r="R69" s="414" t="n"/>
      <c r="S69" s="414" t="n"/>
      <c r="T69" s="416">
        <f>G69-F69</f>
        <v/>
      </c>
      <c r="U69" s="386" t="n"/>
      <c r="V69" s="386" t="n"/>
      <c r="W69" s="386" t="n"/>
      <c r="X69" s="386" t="n"/>
      <c r="Y69" s="386" t="n"/>
      <c r="Z69" s="386" t="n"/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408" t="inlineStr">
        <is>
          <t>OTA</t>
        </is>
      </c>
      <c r="B70" s="409">
        <f>SUMPRODUCT(('MTD Pivot'!$A$3:$A$400=TRIM($A$70))*('MTD Pivot'!$D$2:$K$2=B$2)*'MTD Pivot'!$D$3:$K$400)</f>
        <v/>
      </c>
      <c r="C70" s="409">
        <f>SUMPRODUCT(('MTD Pivot'!$A$3:$A$400=TRIM($A$70))*('MTD Pivot'!$D$2:$K$2=C$2)*'MTD Pivot'!$D$3:$K$400)</f>
        <v/>
      </c>
      <c r="D70" s="409">
        <f>SUMPRODUCT(('MTD Pivot'!$A$3:$A$400=TRIM($A$70))*('MTD Pivot'!$D$2:$K$2=D$2)*'MTD Pivot'!$D$3:$K$400)</f>
        <v/>
      </c>
      <c r="E70" s="409">
        <f>SUMPRODUCT(('MTD Pivot'!$A$3:$A$400=TRIM($A$70))*('MTD Pivot'!$D$2:$K$2=E$2)*'MTD Pivot'!$D$3:$K$400)</f>
        <v/>
      </c>
      <c r="F70" s="409">
        <f>SUMPRODUCT(('MTD Pivot'!$A$3:$A$400=TRIM($A$70))*('MTD Pivot'!$D$2:$K$2=F$2)*'MTD Pivot'!$D$3:$K$400)</f>
        <v/>
      </c>
      <c r="G70" s="410">
        <f>SUMPRODUCT(('MTD Pivot'!$A$3:$A$400=TRIM($A$70))*('MTD Pivot'!$D$2:$K$2=G$2)*'MTD Pivot'!$D$3:$K$400)</f>
        <v/>
      </c>
      <c r="H70" s="409">
        <f>SUMPRODUCT(('MTD Pivot'!$A$3:$A$400=TRIM($A$70))*('MTD Pivot'!$D$2:$K$2=H$2)*'MTD Pivot'!$D$3:$K$400)</f>
        <v/>
      </c>
      <c r="I70" s="409">
        <f>SUMPRODUCT(('MTD Pivot'!$A$3:$A$400=TRIM($A$70))*('MTD Pivot'!$D$2:$K$2=I$2)*'MTD Pivot'!$D$3:$K$400)</f>
        <v/>
      </c>
      <c r="J70" s="411">
        <f>G70-F70</f>
        <v/>
      </c>
      <c r="K70" s="412" t="n"/>
      <c r="L70" s="409">
        <f>SUMPRODUCT(('Full month Pivot'!$A$3:$A$400=TRIM($A$70))*('Full month Pivot'!$D$2:$K$2=L$2)*'Full month Pivot'!$D$3:$K$400)</f>
        <v/>
      </c>
      <c r="M70" s="409">
        <f>SUMPRODUCT(('Full month Pivot'!$A$3:$A$400=TRIM($A$70))*('Full month Pivot'!$D$2:$K$2=M$2)*'Full month Pivot'!$D$3:$K$400)</f>
        <v/>
      </c>
      <c r="N70" s="409">
        <f>SUMPRODUCT(('Full month Pivot'!$A$3:$A$400=TRIM($A$70))*('Full month Pivot'!$D$2:$K$2=N$2)*'Full month Pivot'!$D$3:$K$400)</f>
        <v/>
      </c>
      <c r="O70" s="409">
        <f>SUMPRODUCT(('Full month Pivot'!$A$3:$A$400=TRIM($A$70))*('Full month Pivot'!$D$2:$K$2=O$2)*'Full month Pivot'!$D$3:$K$400)</f>
        <v/>
      </c>
      <c r="P70" s="409">
        <f>SUMPRODUCT(('Full month Pivot'!$A$3:$A$400=TRIM($A$70))*('Full month Pivot'!$D$2:$K$2=P$2)*'Full month Pivot'!$D$3:$K$400)</f>
        <v/>
      </c>
      <c r="Q70" s="410">
        <f>SUMPRODUCT(('Full month Pivot'!$A$3:$A$400=TRIM($A$70))*('Full month Pivot'!$D$2:$K$2=Q$2)*'Full month Pivot'!$D$3:$K$400)</f>
        <v/>
      </c>
      <c r="R70" s="409">
        <f>SUMPRODUCT(('Full month Pivot'!$A$3:$A$400=TRIM($A$70))*('Full month Pivot'!$D$2:$K$2=R$2)*'Full month Pivot'!$D$3:$K$400)</f>
        <v/>
      </c>
      <c r="S70" s="409">
        <f>SUMPRODUCT(('Full month Pivot'!$A$3:$A$400=TRIM($A$70))*('Full month Pivot'!$D$2:$K$2=S$2)*'Full month Pivot'!$D$3:$K$400)</f>
        <v/>
      </c>
      <c r="T70" s="411">
        <f>G70-F70</f>
        <v/>
      </c>
      <c r="U70" s="386" t="n"/>
      <c r="V70" s="386" t="n"/>
      <c r="W70" s="386" t="n"/>
      <c r="X70" s="386" t="n"/>
      <c r="Y70" s="386" t="n"/>
      <c r="Z70" s="386" t="n"/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413" t="inlineStr">
        <is>
          <t xml:space="preserve">  ↳ Click to app: OTA</t>
        </is>
      </c>
      <c r="B71" s="414" t="n"/>
      <c r="C71" s="414" t="n"/>
      <c r="D71" s="414" t="n"/>
      <c r="E71" s="414" t="n"/>
      <c r="F71" s="414" t="n">
        <v>129</v>
      </c>
      <c r="G71" s="415" t="n">
        <v>123</v>
      </c>
      <c r="H71" s="414" t="n"/>
      <c r="I71" s="414" t="n"/>
      <c r="J71" s="416">
        <f>G71-F71</f>
        <v/>
      </c>
      <c r="K71" s="417">
        <f>IF(G70&gt;0, G71/G70, 0)</f>
        <v/>
      </c>
      <c r="L71" s="414" t="n"/>
      <c r="M71" s="414" t="n"/>
      <c r="N71" s="414" t="n"/>
      <c r="O71" s="414" t="n"/>
      <c r="P71" s="414" t="n">
        <v>169</v>
      </c>
      <c r="Q71" s="415">
        <f>G71</f>
        <v/>
      </c>
      <c r="R71" s="414" t="n"/>
      <c r="S71" s="414" t="n"/>
      <c r="T71" s="416">
        <f>G71-F71</f>
        <v/>
      </c>
      <c r="U71" s="386" t="n"/>
      <c r="V71" s="386" t="n"/>
      <c r="W71" s="386" t="n"/>
      <c r="X71" s="386" t="n"/>
      <c r="Y71" s="386" t="n"/>
      <c r="Z71" s="386" t="n"/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408" t="inlineStr">
        <is>
          <t>Merchant</t>
        </is>
      </c>
      <c r="B72" s="409">
        <f>SUMPRODUCT(('MTD Pivot'!$A$3:$A$400=TRIM($A$72))*('MTD Pivot'!$D$2:$K$2=B$2)*'MTD Pivot'!$D$3:$K$400)</f>
        <v/>
      </c>
      <c r="C72" s="409">
        <f>SUMPRODUCT(('MTD Pivot'!$A$3:$A$400=TRIM($A$72))*('MTD Pivot'!$D$2:$K$2=C$2)*'MTD Pivot'!$D$3:$K$400)</f>
        <v/>
      </c>
      <c r="D72" s="409">
        <f>SUMPRODUCT(('MTD Pivot'!$A$3:$A$400=TRIM($A$72))*('MTD Pivot'!$D$2:$K$2=D$2)*'MTD Pivot'!$D$3:$K$400)</f>
        <v/>
      </c>
      <c r="E72" s="409">
        <f>SUMPRODUCT(('MTD Pivot'!$A$3:$A$400=TRIM($A$72))*('MTD Pivot'!$D$2:$K$2=E$2)*'MTD Pivot'!$D$3:$K$400)</f>
        <v/>
      </c>
      <c r="F72" s="409">
        <f>SUMPRODUCT(('MTD Pivot'!$A$3:$A$400=TRIM($A$72))*('MTD Pivot'!$D$2:$K$2=F$2)*'MTD Pivot'!$D$3:$K$400)</f>
        <v/>
      </c>
      <c r="G72" s="410">
        <f>SUMPRODUCT(('MTD Pivot'!$A$3:$A$400=TRIM($A$72))*('MTD Pivot'!$D$2:$K$2=G$2)*'MTD Pivot'!$D$3:$K$400)</f>
        <v/>
      </c>
      <c r="H72" s="409">
        <f>SUMPRODUCT(('MTD Pivot'!$A$3:$A$400=TRIM($A$72))*('MTD Pivot'!$D$2:$K$2=H$2)*'MTD Pivot'!$D$3:$K$400)</f>
        <v/>
      </c>
      <c r="I72" s="409">
        <f>SUMPRODUCT(('MTD Pivot'!$A$3:$A$400=TRIM($A$72))*('MTD Pivot'!$D$2:$K$2=I$2)*'MTD Pivot'!$D$3:$K$400)</f>
        <v/>
      </c>
      <c r="J72" s="411">
        <f>G72-F72</f>
        <v/>
      </c>
      <c r="K72" s="412" t="n"/>
      <c r="L72" s="409">
        <f>SUMPRODUCT(('Full month Pivot'!$A$3:$A$400=TRIM($A$72))*('Full month Pivot'!$D$2:$K$2=L$2)*'Full month Pivot'!$D$3:$K$400)</f>
        <v/>
      </c>
      <c r="M72" s="409">
        <f>SUMPRODUCT(('Full month Pivot'!$A$3:$A$400=TRIM($A$72))*('Full month Pivot'!$D$2:$K$2=M$2)*'Full month Pivot'!$D$3:$K$400)</f>
        <v/>
      </c>
      <c r="N72" s="409">
        <f>SUMPRODUCT(('Full month Pivot'!$A$3:$A$400=TRIM($A$72))*('Full month Pivot'!$D$2:$K$2=N$2)*'Full month Pivot'!$D$3:$K$400)</f>
        <v/>
      </c>
      <c r="O72" s="409">
        <f>SUMPRODUCT(('Full month Pivot'!$A$3:$A$400=TRIM($A$72))*('Full month Pivot'!$D$2:$K$2=O$2)*'Full month Pivot'!$D$3:$K$400)</f>
        <v/>
      </c>
      <c r="P72" s="409">
        <f>SUMPRODUCT(('Full month Pivot'!$A$3:$A$400=TRIM($A$72))*('Full month Pivot'!$D$2:$K$2=P$2)*'Full month Pivot'!$D$3:$K$400)</f>
        <v/>
      </c>
      <c r="Q72" s="410">
        <f>SUMPRODUCT(('Full month Pivot'!$A$3:$A$400=TRIM($A$72))*('Full month Pivot'!$D$2:$K$2=Q$2)*'Full month Pivot'!$D$3:$K$400)</f>
        <v/>
      </c>
      <c r="R72" s="409">
        <f>SUMPRODUCT(('Full month Pivot'!$A$3:$A$400=TRIM($A$72))*('Full month Pivot'!$D$2:$K$2=R$2)*'Full month Pivot'!$D$3:$K$400)</f>
        <v/>
      </c>
      <c r="S72" s="409">
        <f>SUMPRODUCT(('Full month Pivot'!$A$3:$A$400=TRIM($A$72))*('Full month Pivot'!$D$2:$K$2=S$2)*'Full month Pivot'!$D$3:$K$400)</f>
        <v/>
      </c>
      <c r="T72" s="411">
        <f>G72-F72</f>
        <v/>
      </c>
      <c r="U72" s="386" t="n"/>
      <c r="V72" s="386" t="n"/>
      <c r="W72" s="386" t="n"/>
      <c r="X72" s="386" t="n"/>
      <c r="Y72" s="386" t="n"/>
      <c r="Z72" s="386" t="n"/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413" t="inlineStr">
        <is>
          <t xml:space="preserve">  ↳ Click to app: Merchant</t>
        </is>
      </c>
      <c r="B73" s="414" t="n"/>
      <c r="C73" s="414" t="n"/>
      <c r="D73" s="414" t="n"/>
      <c r="E73" s="414" t="n"/>
      <c r="F73" s="414" t="n">
        <v>665</v>
      </c>
      <c r="G73" s="415" t="n">
        <v>709</v>
      </c>
      <c r="H73" s="414" t="n"/>
      <c r="I73" s="414" t="n"/>
      <c r="J73" s="416">
        <f>G73-F73</f>
        <v/>
      </c>
      <c r="K73" s="417">
        <f>IF(G72&gt;0, G73/G72, 0)</f>
        <v/>
      </c>
      <c r="L73" s="414" t="n"/>
      <c r="M73" s="414" t="n"/>
      <c r="N73" s="414" t="n"/>
      <c r="O73" s="414" t="n"/>
      <c r="P73" s="414" t="n">
        <v>732</v>
      </c>
      <c r="Q73" s="415">
        <f>G73</f>
        <v/>
      </c>
      <c r="R73" s="414" t="n"/>
      <c r="S73" s="414" t="n"/>
      <c r="T73" s="416">
        <f>G73-F73</f>
        <v/>
      </c>
      <c r="U73" s="386" t="n"/>
      <c r="V73" s="386" t="n"/>
      <c r="W73" s="386" t="n"/>
      <c r="X73" s="386" t="n"/>
      <c r="Y73" s="386" t="n"/>
      <c r="Z73" s="386" t="n"/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408" t="inlineStr">
        <is>
          <t>Sim</t>
        </is>
      </c>
      <c r="B74" s="409">
        <f>SUM(B76, B78)</f>
        <v/>
      </c>
      <c r="C74" s="409">
        <f>SUM(C76, C78)</f>
        <v/>
      </c>
      <c r="D74" s="409">
        <f>SUM(D76, D78)</f>
        <v/>
      </c>
      <c r="E74" s="409">
        <f>SUM(E76, E78)</f>
        <v/>
      </c>
      <c r="F74" s="409">
        <f>SUM(F76, F78)</f>
        <v/>
      </c>
      <c r="G74" s="410">
        <f>SUM(G76, G78)</f>
        <v/>
      </c>
      <c r="H74" s="409">
        <f>SUM(H76, H78)</f>
        <v/>
      </c>
      <c r="I74" s="409">
        <f>SUM(I76, I78)</f>
        <v/>
      </c>
      <c r="J74" s="411">
        <f>G74-F74</f>
        <v/>
      </c>
      <c r="K74" s="412" t="n"/>
      <c r="L74" s="409">
        <f>SUM(L76, L78)</f>
        <v/>
      </c>
      <c r="M74" s="409">
        <f>SUM(M76, M78)</f>
        <v/>
      </c>
      <c r="N74" s="409">
        <f>SUM(N76, N78)</f>
        <v/>
      </c>
      <c r="O74" s="409">
        <f>SUM(O76, O78)</f>
        <v/>
      </c>
      <c r="P74" s="409">
        <f>SUM(P76, P78)</f>
        <v/>
      </c>
      <c r="Q74" s="410">
        <f>SUM(Q76, Q78)</f>
        <v/>
      </c>
      <c r="R74" s="409">
        <f>SUM(R76, R78)</f>
        <v/>
      </c>
      <c r="S74" s="409">
        <f>SUM(S76, S78)</f>
        <v/>
      </c>
      <c r="T74" s="411">
        <f>G74-F74</f>
        <v/>
      </c>
      <c r="U74" s="395" t="n"/>
      <c r="V74" s="395" t="n"/>
      <c r="W74" s="395" t="n"/>
      <c r="X74" s="395" t="n"/>
      <c r="Y74" s="395" t="n"/>
      <c r="Z74" s="395" t="n"/>
      <c r="AA74" s="202" t="n"/>
      <c r="AB74" s="140" t="n"/>
      <c r="AC74" s="140" t="n"/>
      <c r="AD74" s="140" t="n"/>
    </row>
    <row r="75" ht="15.75" customHeight="1" s="346">
      <c r="A75" s="413" t="inlineStr">
        <is>
          <t xml:space="preserve">  ↳ Click to app: Sim</t>
        </is>
      </c>
      <c r="B75" s="414" t="n"/>
      <c r="C75" s="414" t="n"/>
      <c r="D75" s="414" t="n"/>
      <c r="E75" s="414" t="n"/>
      <c r="F75" s="414">
        <f>SUM(F77, F79)</f>
        <v/>
      </c>
      <c r="G75" s="415">
        <f>SUM(G77, G79)</f>
        <v/>
      </c>
      <c r="H75" s="414" t="n"/>
      <c r="I75" s="414" t="n"/>
      <c r="J75" s="416">
        <f>G75-F75</f>
        <v/>
      </c>
      <c r="K75" s="417">
        <f>IF(G74&gt;0, G75/G74, 0)</f>
        <v/>
      </c>
      <c r="L75" s="414" t="n"/>
      <c r="M75" s="414" t="n"/>
      <c r="N75" s="414" t="n"/>
      <c r="O75" s="414" t="n"/>
      <c r="P75" s="414">
        <f>SUM(P77, P79)</f>
        <v/>
      </c>
      <c r="Q75" s="415">
        <f>G75</f>
        <v/>
      </c>
      <c r="R75" s="414" t="n"/>
      <c r="S75" s="414" t="n"/>
      <c r="T75" s="416">
        <f>G75-F75</f>
        <v/>
      </c>
      <c r="U75" s="365" t="n"/>
      <c r="V75" s="365" t="n"/>
      <c r="W75" s="365" t="n"/>
      <c r="X75" s="365" t="n"/>
      <c r="Y75" s="365" t="n"/>
      <c r="Z75" s="365" t="n"/>
      <c r="AA75" s="145" t="n"/>
      <c r="AB75" s="140" t="n"/>
      <c r="AC75" s="140" t="n"/>
      <c r="AD75" s="140" t="n"/>
    </row>
    <row r="76" outlineLevel="1" ht="15.75" customHeight="1" s="346">
      <c r="A76" s="418" t="inlineStr">
        <is>
          <t xml:space="preserve">    Sim (Chi tiết)</t>
        </is>
      </c>
      <c r="B76" s="419">
        <f>SUMPRODUCT(('MTD Pivot'!$A$3:$A$400=TRIM($A$76))*('MTD Pivot'!$D$2:$K$2=B$2)*'MTD Pivot'!$D$3:$K$400)</f>
        <v/>
      </c>
      <c r="C76" s="419">
        <f>SUMPRODUCT(('MTD Pivot'!$A$3:$A$400=TRIM($A$76))*('MTD Pivot'!$D$2:$K$2=C$2)*'MTD Pivot'!$D$3:$K$400)</f>
        <v/>
      </c>
      <c r="D76" s="419">
        <f>SUMPRODUCT(('MTD Pivot'!$A$3:$A$400=TRIM($A$76))*('MTD Pivot'!$D$2:$K$2=D$2)*'MTD Pivot'!$D$3:$K$400)</f>
        <v/>
      </c>
      <c r="E76" s="419">
        <f>SUMPRODUCT(('MTD Pivot'!$A$3:$A$400=TRIM($A$76))*('MTD Pivot'!$D$2:$K$2=E$2)*'MTD Pivot'!$D$3:$K$400)</f>
        <v/>
      </c>
      <c r="F76" s="419">
        <f>SUMPRODUCT(('MTD Pivot'!$A$3:$A$400=TRIM($A$76))*('MTD Pivot'!$D$2:$K$2=F$2)*'MTD Pivot'!$D$3:$K$400)</f>
        <v/>
      </c>
      <c r="G76" s="420">
        <f>SUMPRODUCT(('MTD Pivot'!$A$3:$A$400=TRIM($A$76))*('MTD Pivot'!$D$2:$K$2=G$2)*'MTD Pivot'!$D$3:$K$400)</f>
        <v/>
      </c>
      <c r="H76" s="419">
        <f>SUMPRODUCT(('MTD Pivot'!$A$3:$A$400=TRIM($A$76))*('MTD Pivot'!$D$2:$K$2=H$2)*'MTD Pivot'!$D$3:$K$400)</f>
        <v/>
      </c>
      <c r="I76" s="419">
        <f>SUMPRODUCT(('MTD Pivot'!$A$3:$A$400=TRIM($A$76))*('MTD Pivot'!$D$2:$K$2=I$2)*'MTD Pivot'!$D$3:$K$400)</f>
        <v/>
      </c>
      <c r="J76" s="421">
        <f>G76-F76</f>
        <v/>
      </c>
      <c r="K76" s="422" t="n"/>
      <c r="L76" s="419">
        <f>SUMPRODUCT(('Full month Pivot'!$A$3:$A$400=TRIM($A$76))*('Full month Pivot'!$D$2:$K$2=L$2)*'Full month Pivot'!$D$3:$K$400)</f>
        <v/>
      </c>
      <c r="M76" s="419">
        <f>SUMPRODUCT(('Full month Pivot'!$A$3:$A$400=TRIM($A$76))*('Full month Pivot'!$D$2:$K$2=M$2)*'Full month Pivot'!$D$3:$K$400)</f>
        <v/>
      </c>
      <c r="N76" s="419">
        <f>SUMPRODUCT(('Full month Pivot'!$A$3:$A$400=TRIM($A$76))*('Full month Pivot'!$D$2:$K$2=N$2)*'Full month Pivot'!$D$3:$K$400)</f>
        <v/>
      </c>
      <c r="O76" s="419">
        <f>SUMPRODUCT(('Full month Pivot'!$A$3:$A$400=TRIM($A$76))*('Full month Pivot'!$D$2:$K$2=O$2)*'Full month Pivot'!$D$3:$K$400)</f>
        <v/>
      </c>
      <c r="P76" s="419">
        <f>SUMPRODUCT(('Full month Pivot'!$A$3:$A$400=TRIM($A$76))*('Full month Pivot'!$D$2:$K$2=P$2)*'Full month Pivot'!$D$3:$K$400)</f>
        <v/>
      </c>
      <c r="Q76" s="420">
        <f>SUMPRODUCT(('Full month Pivot'!$A$3:$A$400=TRIM($A$76))*('Full month Pivot'!$D$2:$K$2=Q$2)*'Full month Pivot'!$D$3:$K$400)</f>
        <v/>
      </c>
      <c r="R76" s="419">
        <f>SUMPRODUCT(('Full month Pivot'!$A$3:$A$400=TRIM($A$76))*('Full month Pivot'!$D$2:$K$2=R$2)*'Full month Pivot'!$D$3:$K$400)</f>
        <v/>
      </c>
      <c r="S76" s="419">
        <f>SUMPRODUCT(('Full month Pivot'!$A$3:$A$400=TRIM($A$76))*('Full month Pivot'!$D$2:$K$2=S$2)*'Full month Pivot'!$D$3:$K$400)</f>
        <v/>
      </c>
      <c r="T76" s="421">
        <f>G76-F76</f>
        <v/>
      </c>
      <c r="U76" s="367" t="n"/>
      <c r="V76" s="367" t="n"/>
      <c r="W76" s="367" t="n"/>
      <c r="X76" s="367" t="n"/>
      <c r="Y76" s="367" t="n"/>
      <c r="Z76" s="367" t="n"/>
      <c r="AA76" s="148">
        <f>IFERROR((X76-W76)/W76, "")</f>
        <v/>
      </c>
      <c r="AB76" s="140" t="n"/>
      <c r="AC76" s="140" t="n"/>
      <c r="AD76" s="140" t="n"/>
    </row>
    <row r="77" outlineLevel="1" ht="15.75" customHeight="1" s="346">
      <c r="A77" s="423" t="inlineStr">
        <is>
          <t xml:space="preserve">        ↳ Click: Sim (Chi tiết)</t>
        </is>
      </c>
      <c r="B77" s="424" t="n"/>
      <c r="C77" s="424" t="n"/>
      <c r="D77" s="424" t="n"/>
      <c r="E77" s="424" t="n"/>
      <c r="F77" s="424" t="n">
        <v>54</v>
      </c>
      <c r="G77" s="425" t="n">
        <v>38</v>
      </c>
      <c r="H77" s="424" t="n"/>
      <c r="I77" s="424" t="n"/>
      <c r="J77" s="426">
        <f>G77-F77</f>
        <v/>
      </c>
      <c r="K77" s="417">
        <f>IF(G76&gt;0, G77/G76, 0)</f>
        <v/>
      </c>
      <c r="L77" s="424" t="n"/>
      <c r="M77" s="424" t="n"/>
      <c r="N77" s="424" t="n"/>
      <c r="O77" s="424" t="n"/>
      <c r="P77" s="424" t="n">
        <v>61</v>
      </c>
      <c r="Q77" s="425">
        <f>G77</f>
        <v/>
      </c>
      <c r="R77" s="424" t="n"/>
      <c r="S77" s="424" t="n"/>
      <c r="T77" s="426">
        <f>G77-F77</f>
        <v/>
      </c>
      <c r="U77" s="373" t="n"/>
      <c r="V77" s="373" t="n"/>
      <c r="W77" s="373" t="n"/>
      <c r="X77" s="373" t="n"/>
      <c r="Y77" s="373" t="n"/>
      <c r="Z77" s="373" t="n"/>
      <c r="AA77" s="151">
        <f>IFERROR((X77-W77)/W77, "")</f>
        <v/>
      </c>
      <c r="AB77" s="140" t="n"/>
      <c r="AC77" s="140" t="n"/>
      <c r="AD77" s="140" t="n"/>
    </row>
    <row r="78" outlineLevel="1" ht="15.75" customHeight="1" s="346">
      <c r="A78" s="418" t="inlineStr">
        <is>
          <t xml:space="preserve">    Esim</t>
        </is>
      </c>
      <c r="B78" s="419">
        <f>SUMPRODUCT(('MTD Pivot'!$A$3:$A$400=TRIM($A$78))*('MTD Pivot'!$D$2:$K$2=B$2)*'MTD Pivot'!$D$3:$K$400)</f>
        <v/>
      </c>
      <c r="C78" s="419">
        <f>SUMPRODUCT(('MTD Pivot'!$A$3:$A$400=TRIM($A$78))*('MTD Pivot'!$D$2:$K$2=C$2)*'MTD Pivot'!$D$3:$K$400)</f>
        <v/>
      </c>
      <c r="D78" s="419">
        <f>SUMPRODUCT(('MTD Pivot'!$A$3:$A$400=TRIM($A$78))*('MTD Pivot'!$D$2:$K$2=D$2)*'MTD Pivot'!$D$3:$K$400)</f>
        <v/>
      </c>
      <c r="E78" s="419">
        <f>SUMPRODUCT(('MTD Pivot'!$A$3:$A$400=TRIM($A$78))*('MTD Pivot'!$D$2:$K$2=E$2)*'MTD Pivot'!$D$3:$K$400)</f>
        <v/>
      </c>
      <c r="F78" s="419">
        <f>SUMPRODUCT(('MTD Pivot'!$A$3:$A$400=TRIM($A$78))*('MTD Pivot'!$D$2:$K$2=F$2)*'MTD Pivot'!$D$3:$K$400)</f>
        <v/>
      </c>
      <c r="G78" s="420">
        <f>SUMPRODUCT(('MTD Pivot'!$A$3:$A$400=TRIM($A$78))*('MTD Pivot'!$D$2:$K$2=G$2)*'MTD Pivot'!$D$3:$K$400)</f>
        <v/>
      </c>
      <c r="H78" s="419">
        <f>SUMPRODUCT(('MTD Pivot'!$A$3:$A$400=TRIM($A$78))*('MTD Pivot'!$D$2:$K$2=H$2)*'MTD Pivot'!$D$3:$K$400)</f>
        <v/>
      </c>
      <c r="I78" s="419">
        <f>SUMPRODUCT(('MTD Pivot'!$A$3:$A$400=TRIM($A$78))*('MTD Pivot'!$D$2:$K$2=I$2)*'MTD Pivot'!$D$3:$K$400)</f>
        <v/>
      </c>
      <c r="J78" s="421">
        <f>G78-F78</f>
        <v/>
      </c>
      <c r="K78" s="422" t="n"/>
      <c r="L78" s="419">
        <f>SUMPRODUCT(('Full month Pivot'!$A$3:$A$400=TRIM($A$78))*('Full month Pivot'!$D$2:$K$2=L$2)*'Full month Pivot'!$D$3:$K$400)</f>
        <v/>
      </c>
      <c r="M78" s="419">
        <f>SUMPRODUCT(('Full month Pivot'!$A$3:$A$400=TRIM($A$78))*('Full month Pivot'!$D$2:$K$2=M$2)*'Full month Pivot'!$D$3:$K$400)</f>
        <v/>
      </c>
      <c r="N78" s="419">
        <f>SUMPRODUCT(('Full month Pivot'!$A$3:$A$400=TRIM($A$78))*('Full month Pivot'!$D$2:$K$2=N$2)*'Full month Pivot'!$D$3:$K$400)</f>
        <v/>
      </c>
      <c r="O78" s="419">
        <f>SUMPRODUCT(('Full month Pivot'!$A$3:$A$400=TRIM($A$78))*('Full month Pivot'!$D$2:$K$2=O$2)*'Full month Pivot'!$D$3:$K$400)</f>
        <v/>
      </c>
      <c r="P78" s="419">
        <f>SUMPRODUCT(('Full month Pivot'!$A$3:$A$400=TRIM($A$78))*('Full month Pivot'!$D$2:$K$2=P$2)*'Full month Pivot'!$D$3:$K$400)</f>
        <v/>
      </c>
      <c r="Q78" s="420">
        <f>SUMPRODUCT(('Full month Pivot'!$A$3:$A$400=TRIM($A$78))*('Full month Pivot'!$D$2:$K$2=Q$2)*'Full month Pivot'!$D$3:$K$400)</f>
        <v/>
      </c>
      <c r="R78" s="419">
        <f>SUMPRODUCT(('Full month Pivot'!$A$3:$A$400=TRIM($A$78))*('Full month Pivot'!$D$2:$K$2=R$2)*'Full month Pivot'!$D$3:$K$400)</f>
        <v/>
      </c>
      <c r="S78" s="419">
        <f>SUMPRODUCT(('Full month Pivot'!$A$3:$A$400=TRIM($A$78))*('Full month Pivot'!$D$2:$K$2=S$2)*'Full month Pivot'!$D$3:$K$400)</f>
        <v/>
      </c>
      <c r="T78" s="421">
        <f>G78-F78</f>
        <v/>
      </c>
      <c r="U78" s="375" t="n"/>
      <c r="V78" s="375" t="n"/>
      <c r="W78" s="375" t="n"/>
      <c r="X78" s="375" t="n"/>
      <c r="Y78" s="375" t="n"/>
      <c r="Z78" s="375" t="n"/>
      <c r="AA78" s="153" t="n"/>
      <c r="AB78" s="140" t="n"/>
      <c r="AC78" s="140" t="n"/>
      <c r="AD78" s="140" t="n"/>
    </row>
    <row r="79" outlineLevel="1" ht="15.75" customHeight="1" s="346">
      <c r="A79" s="423" t="inlineStr">
        <is>
          <t xml:space="preserve">        ↳ Click: Esim</t>
        </is>
      </c>
      <c r="B79" s="424" t="n"/>
      <c r="C79" s="424" t="n"/>
      <c r="D79" s="424" t="n"/>
      <c r="E79" s="424" t="n"/>
      <c r="F79" s="424" t="n">
        <v>58</v>
      </c>
      <c r="G79" s="425" t="n">
        <v>15</v>
      </c>
      <c r="H79" s="424" t="n"/>
      <c r="I79" s="424" t="n"/>
      <c r="J79" s="426">
        <f>G79-F79</f>
        <v/>
      </c>
      <c r="K79" s="417">
        <f>IF(G78&gt;0, G79/G78, 0)</f>
        <v/>
      </c>
      <c r="L79" s="424" t="n"/>
      <c r="M79" s="424" t="n"/>
      <c r="N79" s="424" t="n"/>
      <c r="O79" s="424" t="n"/>
      <c r="P79" s="424" t="n">
        <v>70</v>
      </c>
      <c r="Q79" s="425">
        <f>G79</f>
        <v/>
      </c>
      <c r="R79" s="424" t="n"/>
      <c r="S79" s="424" t="n"/>
      <c r="T79" s="426">
        <f>G79-F79</f>
        <v/>
      </c>
      <c r="U79" s="376" t="n"/>
      <c r="V79" s="376" t="n"/>
      <c r="W79" s="376" t="n"/>
      <c r="X79" s="376" t="n"/>
      <c r="Y79" s="376" t="n"/>
      <c r="Z79" s="376" t="n"/>
      <c r="AA79" s="203" t="n"/>
      <c r="AB79" s="140" t="n"/>
      <c r="AC79" s="140" t="n"/>
      <c r="AD79" s="140" t="n"/>
    </row>
    <row r="80" ht="15.75" customHeight="1" s="346">
      <c r="A80" s="408" t="inlineStr">
        <is>
          <t>Game</t>
        </is>
      </c>
      <c r="B80" s="409">
        <f>SUMPRODUCT(('MTD Pivot'!$A$3:$A$400=TRIM($A$80))*('MTD Pivot'!$D$2:$K$2=B$2)*'MTD Pivot'!$D$3:$K$400)</f>
        <v/>
      </c>
      <c r="C80" s="409">
        <f>SUMPRODUCT(('MTD Pivot'!$A$3:$A$400=TRIM($A$80))*('MTD Pivot'!$D$2:$K$2=C$2)*'MTD Pivot'!$D$3:$K$400)</f>
        <v/>
      </c>
      <c r="D80" s="409">
        <f>SUMPRODUCT(('MTD Pivot'!$A$3:$A$400=TRIM($A$80))*('MTD Pivot'!$D$2:$K$2=D$2)*'MTD Pivot'!$D$3:$K$400)</f>
        <v/>
      </c>
      <c r="E80" s="409">
        <f>SUMPRODUCT(('MTD Pivot'!$A$3:$A$400=TRIM($A$80))*('MTD Pivot'!$D$2:$K$2=E$2)*'MTD Pivot'!$D$3:$K$400)</f>
        <v/>
      </c>
      <c r="F80" s="409">
        <f>SUMPRODUCT(('MTD Pivot'!$A$3:$A$400=TRIM($A$80))*('MTD Pivot'!$D$2:$K$2=F$2)*'MTD Pivot'!$D$3:$K$400)</f>
        <v/>
      </c>
      <c r="G80" s="410">
        <f>SUMPRODUCT(('MTD Pivot'!$A$3:$A$400=TRIM($A$80))*('MTD Pivot'!$D$2:$K$2=G$2)*'MTD Pivot'!$D$3:$K$400)</f>
        <v/>
      </c>
      <c r="H80" s="409">
        <f>SUMPRODUCT(('MTD Pivot'!$A$3:$A$400=TRIM($A$80))*('MTD Pivot'!$D$2:$K$2=H$2)*'MTD Pivot'!$D$3:$K$400)</f>
        <v/>
      </c>
      <c r="I80" s="409">
        <f>SUMPRODUCT(('MTD Pivot'!$A$3:$A$400=TRIM($A$80))*('MTD Pivot'!$D$2:$K$2=I$2)*'MTD Pivot'!$D$3:$K$400)</f>
        <v/>
      </c>
      <c r="J80" s="411">
        <f>G80-F80</f>
        <v/>
      </c>
      <c r="K80" s="412" t="n"/>
      <c r="L80" s="409">
        <f>SUMPRODUCT(('Full month Pivot'!$A$3:$A$400=TRIM($A$80))*('Full month Pivot'!$D$2:$K$2=L$2)*'Full month Pivot'!$D$3:$K$400)</f>
        <v/>
      </c>
      <c r="M80" s="409">
        <f>SUMPRODUCT(('Full month Pivot'!$A$3:$A$400=TRIM($A$80))*('Full month Pivot'!$D$2:$K$2=M$2)*'Full month Pivot'!$D$3:$K$400)</f>
        <v/>
      </c>
      <c r="N80" s="409">
        <f>SUMPRODUCT(('Full month Pivot'!$A$3:$A$400=TRIM($A$80))*('Full month Pivot'!$D$2:$K$2=N$2)*'Full month Pivot'!$D$3:$K$400)</f>
        <v/>
      </c>
      <c r="O80" s="409">
        <f>SUMPRODUCT(('Full month Pivot'!$A$3:$A$400=TRIM($A$80))*('Full month Pivot'!$D$2:$K$2=O$2)*'Full month Pivot'!$D$3:$K$400)</f>
        <v/>
      </c>
      <c r="P80" s="409">
        <f>SUMPRODUCT(('Full month Pivot'!$A$3:$A$400=TRIM($A$80))*('Full month Pivot'!$D$2:$K$2=P$2)*'Full month Pivot'!$D$3:$K$400)</f>
        <v/>
      </c>
      <c r="Q80" s="410">
        <f>SUMPRODUCT(('Full month Pivot'!$A$3:$A$400=TRIM($A$80))*('Full month Pivot'!$D$2:$K$2=Q$2)*'Full month Pivot'!$D$3:$K$400)</f>
        <v/>
      </c>
      <c r="R80" s="409">
        <f>SUMPRODUCT(('Full month Pivot'!$A$3:$A$400=TRIM($A$80))*('Full month Pivot'!$D$2:$K$2=R$2)*'Full month Pivot'!$D$3:$K$400)</f>
        <v/>
      </c>
      <c r="S80" s="409">
        <f>SUMPRODUCT(('Full month Pivot'!$A$3:$A$400=TRIM($A$80))*('Full month Pivot'!$D$2:$K$2=S$2)*'Full month Pivot'!$D$3:$K$400)</f>
        <v/>
      </c>
      <c r="T80" s="411">
        <f>G80-F80</f>
        <v/>
      </c>
      <c r="U80" s="381" t="n"/>
      <c r="V80" s="381" t="n"/>
      <c r="W80" s="381" t="n"/>
      <c r="X80" s="381" t="n"/>
      <c r="Y80" s="381" t="n"/>
      <c r="Z80" s="381" t="n"/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413" t="inlineStr">
        <is>
          <t xml:space="preserve">  ↳ Click to app: Game</t>
        </is>
      </c>
      <c r="B81" s="414" t="n"/>
      <c r="C81" s="414" t="n"/>
      <c r="D81" s="414" t="n"/>
      <c r="E81" s="414" t="n"/>
      <c r="F81" s="414" t="n">
        <v>23961</v>
      </c>
      <c r="G81" s="415" t="n">
        <v>29984</v>
      </c>
      <c r="H81" s="414" t="n"/>
      <c r="I81" s="414" t="n"/>
      <c r="J81" s="416">
        <f>G81-F81</f>
        <v/>
      </c>
      <c r="K81" s="417">
        <f>IF(G80&gt;0, G81/G80, 0)</f>
        <v/>
      </c>
      <c r="L81" s="414" t="n"/>
      <c r="M81" s="414" t="n"/>
      <c r="N81" s="414" t="n"/>
      <c r="O81" s="414" t="n"/>
      <c r="P81" s="414" t="n">
        <v>24733</v>
      </c>
      <c r="Q81" s="415">
        <f>G81</f>
        <v/>
      </c>
      <c r="R81" s="414" t="n"/>
      <c r="S81" s="414" t="n"/>
      <c r="T81" s="416">
        <f>G81-F81</f>
        <v/>
      </c>
      <c r="U81" s="386" t="n"/>
      <c r="V81" s="386" t="n"/>
      <c r="W81" s="386" t="n"/>
      <c r="X81" s="386" t="n"/>
      <c r="Y81" s="386" t="n"/>
      <c r="Z81" s="386" t="n"/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408" t="inlineStr">
        <is>
          <t>Bảo hiểm y tế</t>
        </is>
      </c>
      <c r="B82" s="409">
        <f>SUMPRODUCT(('MTD Pivot'!$A$3:$A$400=TRIM($A$82))*('MTD Pivot'!$D$2:$K$2=B$2)*'MTD Pivot'!$D$3:$K$400)</f>
        <v/>
      </c>
      <c r="C82" s="409">
        <f>SUMPRODUCT(('MTD Pivot'!$A$3:$A$400=TRIM($A$82))*('MTD Pivot'!$D$2:$K$2=C$2)*'MTD Pivot'!$D$3:$K$400)</f>
        <v/>
      </c>
      <c r="D82" s="409">
        <f>SUMPRODUCT(('MTD Pivot'!$A$3:$A$400=TRIM($A$82))*('MTD Pivot'!$D$2:$K$2=D$2)*'MTD Pivot'!$D$3:$K$400)</f>
        <v/>
      </c>
      <c r="E82" s="409">
        <f>SUMPRODUCT(('MTD Pivot'!$A$3:$A$400=TRIM($A$82))*('MTD Pivot'!$D$2:$K$2=E$2)*'MTD Pivot'!$D$3:$K$400)</f>
        <v/>
      </c>
      <c r="F82" s="409">
        <f>SUMPRODUCT(('MTD Pivot'!$A$3:$A$400=TRIM($A$82))*('MTD Pivot'!$D$2:$K$2=F$2)*'MTD Pivot'!$D$3:$K$400)</f>
        <v/>
      </c>
      <c r="G82" s="410">
        <f>SUMPRODUCT(('MTD Pivot'!$A$3:$A$400=TRIM($A$82))*('MTD Pivot'!$D$2:$K$2=G$2)*'MTD Pivot'!$D$3:$K$400)</f>
        <v/>
      </c>
      <c r="H82" s="409">
        <f>SUMPRODUCT(('MTD Pivot'!$A$3:$A$400=TRIM($A$82))*('MTD Pivot'!$D$2:$K$2=H$2)*'MTD Pivot'!$D$3:$K$400)</f>
        <v/>
      </c>
      <c r="I82" s="409">
        <f>SUMPRODUCT(('MTD Pivot'!$A$3:$A$400=TRIM($A$82))*('MTD Pivot'!$D$2:$K$2=I$2)*'MTD Pivot'!$D$3:$K$400)</f>
        <v/>
      </c>
      <c r="J82" s="411">
        <f>G82-F82</f>
        <v/>
      </c>
      <c r="K82" s="412" t="n"/>
      <c r="L82" s="409">
        <f>SUMPRODUCT(('Full month Pivot'!$A$3:$A$400=TRIM($A$82))*('Full month Pivot'!$D$2:$K$2=L$2)*'Full month Pivot'!$D$3:$K$400)</f>
        <v/>
      </c>
      <c r="M82" s="409">
        <f>SUMPRODUCT(('Full month Pivot'!$A$3:$A$400=TRIM($A$82))*('Full month Pivot'!$D$2:$K$2=M$2)*'Full month Pivot'!$D$3:$K$400)</f>
        <v/>
      </c>
      <c r="N82" s="409">
        <f>SUMPRODUCT(('Full month Pivot'!$A$3:$A$400=TRIM($A$82))*('Full month Pivot'!$D$2:$K$2=N$2)*'Full month Pivot'!$D$3:$K$400)</f>
        <v/>
      </c>
      <c r="O82" s="409">
        <f>SUMPRODUCT(('Full month Pivot'!$A$3:$A$400=TRIM($A$82))*('Full month Pivot'!$D$2:$K$2=O$2)*'Full month Pivot'!$D$3:$K$400)</f>
        <v/>
      </c>
      <c r="P82" s="409">
        <f>SUMPRODUCT(('Full month Pivot'!$A$3:$A$400=TRIM($A$82))*('Full month Pivot'!$D$2:$K$2=P$2)*'Full month Pivot'!$D$3:$K$400)</f>
        <v/>
      </c>
      <c r="Q82" s="410">
        <f>SUMPRODUCT(('Full month Pivot'!$A$3:$A$400=TRIM($A$82))*('Full month Pivot'!$D$2:$K$2=Q$2)*'Full month Pivot'!$D$3:$K$400)</f>
        <v/>
      </c>
      <c r="R82" s="409">
        <f>SUMPRODUCT(('Full month Pivot'!$A$3:$A$400=TRIM($A$82))*('Full month Pivot'!$D$2:$K$2=R$2)*'Full month Pivot'!$D$3:$K$400)</f>
        <v/>
      </c>
      <c r="S82" s="409">
        <f>SUMPRODUCT(('Full month Pivot'!$A$3:$A$400=TRIM($A$82))*('Full month Pivot'!$D$2:$K$2=S$2)*'Full month Pivot'!$D$3:$K$400)</f>
        <v/>
      </c>
      <c r="T82" s="411">
        <f>G82-F82</f>
        <v/>
      </c>
      <c r="U82" s="386" t="n"/>
      <c r="V82" s="386" t="n"/>
      <c r="W82" s="386" t="n"/>
      <c r="X82" s="386" t="n"/>
      <c r="Y82" s="386" t="n"/>
      <c r="Z82" s="386" t="n"/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413" t="inlineStr">
        <is>
          <t xml:space="preserve">  ↳ Click to app: Bảo hiểm y tế</t>
        </is>
      </c>
      <c r="B83" s="414" t="n"/>
      <c r="C83" s="414" t="n"/>
      <c r="D83" s="414" t="n"/>
      <c r="E83" s="414" t="n"/>
      <c r="F83" s="414" t="n">
        <v>213</v>
      </c>
      <c r="G83" s="415" t="n">
        <v>207</v>
      </c>
      <c r="H83" s="414" t="n"/>
      <c r="I83" s="414" t="n"/>
      <c r="J83" s="416">
        <f>G83-F83</f>
        <v/>
      </c>
      <c r="K83" s="417">
        <f>IF(G82&gt;0, G83/G82, 0)</f>
        <v/>
      </c>
      <c r="L83" s="414" t="n"/>
      <c r="M83" s="414" t="n"/>
      <c r="N83" s="414" t="n"/>
      <c r="O83" s="414" t="n"/>
      <c r="P83" s="414" t="n">
        <v>238</v>
      </c>
      <c r="Q83" s="415">
        <f>G83</f>
        <v/>
      </c>
      <c r="R83" s="414" t="n"/>
      <c r="S83" s="414" t="n"/>
      <c r="T83" s="416">
        <f>G83-F83</f>
        <v/>
      </c>
      <c r="U83" s="386" t="n"/>
      <c r="V83" s="386" t="n"/>
      <c r="W83" s="386" t="n"/>
      <c r="X83" s="386" t="n"/>
      <c r="Y83" s="386" t="n"/>
      <c r="Z83" s="386" t="n"/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408" t="inlineStr">
        <is>
          <t>Data</t>
        </is>
      </c>
      <c r="B84" s="409">
        <f>SUMPRODUCT(('MTD Pivot'!$A$3:$A$400=TRIM($A$84))*('MTD Pivot'!$D$2:$K$2=B$2)*'MTD Pivot'!$D$3:$K$400)</f>
        <v/>
      </c>
      <c r="C84" s="409">
        <f>SUMPRODUCT(('MTD Pivot'!$A$3:$A$400=TRIM($A$84))*('MTD Pivot'!$D$2:$K$2=C$2)*'MTD Pivot'!$D$3:$K$400)</f>
        <v/>
      </c>
      <c r="D84" s="409">
        <f>SUMPRODUCT(('MTD Pivot'!$A$3:$A$400=TRIM($A$84))*('MTD Pivot'!$D$2:$K$2=D$2)*'MTD Pivot'!$D$3:$K$400)</f>
        <v/>
      </c>
      <c r="E84" s="409">
        <f>SUMPRODUCT(('MTD Pivot'!$A$3:$A$400=TRIM($A$84))*('MTD Pivot'!$D$2:$K$2=E$2)*'MTD Pivot'!$D$3:$K$400)</f>
        <v/>
      </c>
      <c r="F84" s="409">
        <f>SUMPRODUCT(('MTD Pivot'!$A$3:$A$400=TRIM($A$84))*('MTD Pivot'!$D$2:$K$2=F$2)*'MTD Pivot'!$D$3:$K$400)</f>
        <v/>
      </c>
      <c r="G84" s="410">
        <f>SUMPRODUCT(('MTD Pivot'!$A$3:$A$400=TRIM($A$84))*('MTD Pivot'!$D$2:$K$2=G$2)*'MTD Pivot'!$D$3:$K$400)</f>
        <v/>
      </c>
      <c r="H84" s="409">
        <f>SUMPRODUCT(('MTD Pivot'!$A$3:$A$400=TRIM($A$84))*('MTD Pivot'!$D$2:$K$2=H$2)*'MTD Pivot'!$D$3:$K$400)</f>
        <v/>
      </c>
      <c r="I84" s="409">
        <f>SUMPRODUCT(('MTD Pivot'!$A$3:$A$400=TRIM($A$84))*('MTD Pivot'!$D$2:$K$2=I$2)*'MTD Pivot'!$D$3:$K$400)</f>
        <v/>
      </c>
      <c r="J84" s="411">
        <f>G84-F84</f>
        <v/>
      </c>
      <c r="K84" s="412" t="n"/>
      <c r="L84" s="409">
        <f>SUMPRODUCT(('Full month Pivot'!$A$3:$A$400=TRIM($A$84))*('Full month Pivot'!$D$2:$K$2=L$2)*'Full month Pivot'!$D$3:$K$400)</f>
        <v/>
      </c>
      <c r="M84" s="409">
        <f>SUMPRODUCT(('Full month Pivot'!$A$3:$A$400=TRIM($A$84))*('Full month Pivot'!$D$2:$K$2=M$2)*'Full month Pivot'!$D$3:$K$400)</f>
        <v/>
      </c>
      <c r="N84" s="409">
        <f>SUMPRODUCT(('Full month Pivot'!$A$3:$A$400=TRIM($A$84))*('Full month Pivot'!$D$2:$K$2=N$2)*'Full month Pivot'!$D$3:$K$400)</f>
        <v/>
      </c>
      <c r="O84" s="409">
        <f>SUMPRODUCT(('Full month Pivot'!$A$3:$A$400=TRIM($A$84))*('Full month Pivot'!$D$2:$K$2=O$2)*'Full month Pivot'!$D$3:$K$400)</f>
        <v/>
      </c>
      <c r="P84" s="409">
        <f>SUMPRODUCT(('Full month Pivot'!$A$3:$A$400=TRIM($A$84))*('Full month Pivot'!$D$2:$K$2=P$2)*'Full month Pivot'!$D$3:$K$400)</f>
        <v/>
      </c>
      <c r="Q84" s="410">
        <f>SUMPRODUCT(('Full month Pivot'!$A$3:$A$400=TRIM($A$84))*('Full month Pivot'!$D$2:$K$2=Q$2)*'Full month Pivot'!$D$3:$K$400)</f>
        <v/>
      </c>
      <c r="R84" s="409">
        <f>SUMPRODUCT(('Full month Pivot'!$A$3:$A$400=TRIM($A$84))*('Full month Pivot'!$D$2:$K$2=R$2)*'Full month Pivot'!$D$3:$K$400)</f>
        <v/>
      </c>
      <c r="S84" s="409">
        <f>SUMPRODUCT(('Full month Pivot'!$A$3:$A$400=TRIM($A$84))*('Full month Pivot'!$D$2:$K$2=S$2)*'Full month Pivot'!$D$3:$K$400)</f>
        <v/>
      </c>
      <c r="T84" s="411">
        <f>G84-F84</f>
        <v/>
      </c>
      <c r="U84" s="386" t="n"/>
      <c r="V84" s="386" t="n"/>
      <c r="W84" s="386" t="n"/>
      <c r="X84" s="386" t="n"/>
      <c r="Y84" s="386" t="n"/>
      <c r="Z84" s="386" t="n"/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413" t="inlineStr">
        <is>
          <t xml:space="preserve">  ↳ Click to app: Data</t>
        </is>
      </c>
      <c r="B85" s="414" t="n"/>
      <c r="C85" s="414" t="n"/>
      <c r="D85" s="414" t="n"/>
      <c r="E85" s="414" t="n"/>
      <c r="F85" s="414" t="n">
        <v>38</v>
      </c>
      <c r="G85" s="415" t="n">
        <v>28</v>
      </c>
      <c r="H85" s="414" t="n"/>
      <c r="I85" s="414" t="n"/>
      <c r="J85" s="416">
        <f>G85-F85</f>
        <v/>
      </c>
      <c r="K85" s="417">
        <f>IF(G84&gt;0, G85/G84, 0)</f>
        <v/>
      </c>
      <c r="L85" s="414" t="n"/>
      <c r="M85" s="414" t="n"/>
      <c r="N85" s="414" t="n"/>
      <c r="O85" s="414" t="n"/>
      <c r="P85" s="414" t="n">
        <v>38</v>
      </c>
      <c r="Q85" s="415">
        <f>G85</f>
        <v/>
      </c>
      <c r="R85" s="414" t="n"/>
      <c r="S85" s="414" t="n"/>
      <c r="T85" s="416">
        <f>G85-F85</f>
        <v/>
      </c>
      <c r="U85" s="386" t="n"/>
      <c r="V85" s="386" t="n"/>
      <c r="W85" s="386" t="n"/>
      <c r="X85" s="386" t="n"/>
      <c r="Y85" s="386" t="n"/>
      <c r="Z85" s="386" t="n"/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408" t="inlineStr">
        <is>
          <t>Soundbox</t>
        </is>
      </c>
      <c r="B86" s="409">
        <f>SUMPRODUCT(('MTD Pivot'!$A$3:$A$400=TRIM($A$86))*('MTD Pivot'!$D$2:$K$2=B$2)*'MTD Pivot'!$D$3:$K$400)</f>
        <v/>
      </c>
      <c r="C86" s="409">
        <f>SUMPRODUCT(('MTD Pivot'!$A$3:$A$400=TRIM($A$86))*('MTD Pivot'!$D$2:$K$2=C$2)*'MTD Pivot'!$D$3:$K$400)</f>
        <v/>
      </c>
      <c r="D86" s="409">
        <f>SUMPRODUCT(('MTD Pivot'!$A$3:$A$400=TRIM($A$86))*('MTD Pivot'!$D$2:$K$2=D$2)*'MTD Pivot'!$D$3:$K$400)</f>
        <v/>
      </c>
      <c r="E86" s="409">
        <f>SUMPRODUCT(('MTD Pivot'!$A$3:$A$400=TRIM($A$86))*('MTD Pivot'!$D$2:$K$2=E$2)*'MTD Pivot'!$D$3:$K$400)</f>
        <v/>
      </c>
      <c r="F86" s="409">
        <f>SUMPRODUCT(('MTD Pivot'!$A$3:$A$400=TRIM($A$86))*('MTD Pivot'!$D$2:$K$2=F$2)*'MTD Pivot'!$D$3:$K$400)</f>
        <v/>
      </c>
      <c r="G86" s="410">
        <f>SUMPRODUCT(('MTD Pivot'!$A$3:$A$400=TRIM($A$86))*('MTD Pivot'!$D$2:$K$2=G$2)*'MTD Pivot'!$D$3:$K$400)</f>
        <v/>
      </c>
      <c r="H86" s="409">
        <f>SUMPRODUCT(('MTD Pivot'!$A$3:$A$400=TRIM($A$86))*('MTD Pivot'!$D$2:$K$2=H$2)*'MTD Pivot'!$D$3:$K$400)</f>
        <v/>
      </c>
      <c r="I86" s="409">
        <f>SUMPRODUCT(('MTD Pivot'!$A$3:$A$400=TRIM($A$86))*('MTD Pivot'!$D$2:$K$2=I$2)*'MTD Pivot'!$D$3:$K$400)</f>
        <v/>
      </c>
      <c r="J86" s="411">
        <f>G86-F86</f>
        <v/>
      </c>
      <c r="K86" s="412" t="n"/>
      <c r="L86" s="409">
        <f>SUMPRODUCT(('Full month Pivot'!$A$3:$A$400=TRIM($A$86))*('Full month Pivot'!$D$2:$K$2=L$2)*'Full month Pivot'!$D$3:$K$400)</f>
        <v/>
      </c>
      <c r="M86" s="409">
        <f>SUMPRODUCT(('Full month Pivot'!$A$3:$A$400=TRIM($A$86))*('Full month Pivot'!$D$2:$K$2=M$2)*'Full month Pivot'!$D$3:$K$400)</f>
        <v/>
      </c>
      <c r="N86" s="409">
        <f>SUMPRODUCT(('Full month Pivot'!$A$3:$A$400=TRIM($A$86))*('Full month Pivot'!$D$2:$K$2=N$2)*'Full month Pivot'!$D$3:$K$400)</f>
        <v/>
      </c>
      <c r="O86" s="409">
        <f>SUMPRODUCT(('Full month Pivot'!$A$3:$A$400=TRIM($A$86))*('Full month Pivot'!$D$2:$K$2=O$2)*'Full month Pivot'!$D$3:$K$400)</f>
        <v/>
      </c>
      <c r="P86" s="409">
        <f>SUMPRODUCT(('Full month Pivot'!$A$3:$A$400=TRIM($A$86))*('Full month Pivot'!$D$2:$K$2=P$2)*'Full month Pivot'!$D$3:$K$400)</f>
        <v/>
      </c>
      <c r="Q86" s="410">
        <f>SUMPRODUCT(('Full month Pivot'!$A$3:$A$400=TRIM($A$86))*('Full month Pivot'!$D$2:$K$2=Q$2)*'Full month Pivot'!$D$3:$K$400)</f>
        <v/>
      </c>
      <c r="R86" s="409">
        <f>SUMPRODUCT(('Full month Pivot'!$A$3:$A$400=TRIM($A$86))*('Full month Pivot'!$D$2:$K$2=R$2)*'Full month Pivot'!$D$3:$K$400)</f>
        <v/>
      </c>
      <c r="S86" s="409">
        <f>SUMPRODUCT(('Full month Pivot'!$A$3:$A$400=TRIM($A$86))*('Full month Pivot'!$D$2:$K$2=S$2)*'Full month Pivot'!$D$3:$K$400)</f>
        <v/>
      </c>
      <c r="T86" s="411">
        <f>G86-F86</f>
        <v/>
      </c>
      <c r="U86" s="395" t="n"/>
      <c r="V86" s="395" t="n"/>
      <c r="W86" s="395" t="n"/>
      <c r="X86" s="395" t="n"/>
      <c r="Y86" s="395" t="n"/>
      <c r="Z86" s="395" t="n"/>
      <c r="AA86" s="202" t="n"/>
      <c r="AB86" s="140" t="n"/>
      <c r="AC86" s="140" t="n"/>
      <c r="AD86" s="140" t="n"/>
    </row>
    <row r="87" ht="15.75" customHeight="1" s="346">
      <c r="A87" s="413" t="inlineStr">
        <is>
          <t xml:space="preserve">  ↳ Click to app: Soundbox</t>
        </is>
      </c>
      <c r="B87" s="414" t="n"/>
      <c r="C87" s="414" t="n"/>
      <c r="D87" s="414" t="n"/>
      <c r="E87" s="414" t="n"/>
      <c r="F87" s="414" t="n">
        <v>52</v>
      </c>
      <c r="G87" s="415" t="n">
        <v>30</v>
      </c>
      <c r="H87" s="414" t="n"/>
      <c r="I87" s="414" t="n"/>
      <c r="J87" s="416">
        <f>G87-F87</f>
        <v/>
      </c>
      <c r="K87" s="417">
        <f>IF(G86&gt;0, G87/G86, 0)</f>
        <v/>
      </c>
      <c r="L87" s="414" t="n"/>
      <c r="M87" s="414" t="n"/>
      <c r="N87" s="414" t="n"/>
      <c r="O87" s="414" t="n"/>
      <c r="P87" s="414" t="n">
        <v>57</v>
      </c>
      <c r="Q87" s="415">
        <f>G87</f>
        <v/>
      </c>
      <c r="R87" s="414" t="n"/>
      <c r="S87" s="414" t="n"/>
      <c r="T87" s="416">
        <f>G87-F87</f>
        <v/>
      </c>
      <c r="U87" s="365" t="n"/>
      <c r="V87" s="365" t="n"/>
      <c r="W87" s="365" t="n"/>
      <c r="X87" s="365" t="n"/>
      <c r="Y87" s="365" t="n"/>
      <c r="Z87" s="365" t="n"/>
      <c r="AA87" s="145" t="n"/>
      <c r="AB87" s="140" t="n"/>
      <c r="AC87" s="140" t="n"/>
      <c r="AD87" s="140" t="n"/>
    </row>
    <row r="88" ht="15.75" customHeight="1" s="346">
      <c r="A88" s="408" t="inlineStr">
        <is>
          <t>New User</t>
        </is>
      </c>
      <c r="B88" s="409">
        <f>SUMPRODUCT(('MTD Pivot'!$A$3:$A$400=TRIM($A$88))*('MTD Pivot'!$D$2:$K$2=B$2)*'MTD Pivot'!$D$3:$K$400)</f>
        <v/>
      </c>
      <c r="C88" s="409">
        <f>SUMPRODUCT(('MTD Pivot'!$A$3:$A$400=TRIM($A$88))*('MTD Pivot'!$D$2:$K$2=C$2)*'MTD Pivot'!$D$3:$K$400)</f>
        <v/>
      </c>
      <c r="D88" s="409">
        <f>SUMPRODUCT(('MTD Pivot'!$A$3:$A$400=TRIM($A$88))*('MTD Pivot'!$D$2:$K$2=D$2)*'MTD Pivot'!$D$3:$K$400)</f>
        <v/>
      </c>
      <c r="E88" s="409">
        <f>SUMPRODUCT(('MTD Pivot'!$A$3:$A$400=TRIM($A$88))*('MTD Pivot'!$D$2:$K$2=E$2)*'MTD Pivot'!$D$3:$K$400)</f>
        <v/>
      </c>
      <c r="F88" s="409">
        <f>SUMPRODUCT(('MTD Pivot'!$A$3:$A$400=TRIM($A$88))*('MTD Pivot'!$D$2:$K$2=F$2)*'MTD Pivot'!$D$3:$K$400)</f>
        <v/>
      </c>
      <c r="G88" s="410">
        <f>SUMPRODUCT(('MTD Pivot'!$A$3:$A$400=TRIM($A$88))*('MTD Pivot'!$D$2:$K$2=G$2)*'MTD Pivot'!$D$3:$K$400)</f>
        <v/>
      </c>
      <c r="H88" s="409">
        <f>SUMPRODUCT(('MTD Pivot'!$A$3:$A$400=TRIM($A$88))*('MTD Pivot'!$D$2:$K$2=H$2)*'MTD Pivot'!$D$3:$K$400)</f>
        <v/>
      </c>
      <c r="I88" s="409">
        <f>SUMPRODUCT(('MTD Pivot'!$A$3:$A$400=TRIM($A$88))*('MTD Pivot'!$D$2:$K$2=I$2)*'MTD Pivot'!$D$3:$K$400)</f>
        <v/>
      </c>
      <c r="J88" s="411">
        <f>G88-F88</f>
        <v/>
      </c>
      <c r="K88" s="412" t="n"/>
      <c r="L88" s="409">
        <f>SUMPRODUCT(('Full month Pivot'!$A$3:$A$400=TRIM($A$88))*('Full month Pivot'!$D$2:$K$2=L$2)*'Full month Pivot'!$D$3:$K$400)</f>
        <v/>
      </c>
      <c r="M88" s="409">
        <f>SUMPRODUCT(('Full month Pivot'!$A$3:$A$400=TRIM($A$88))*('Full month Pivot'!$D$2:$K$2=M$2)*'Full month Pivot'!$D$3:$K$400)</f>
        <v/>
      </c>
      <c r="N88" s="409">
        <f>SUMPRODUCT(('Full month Pivot'!$A$3:$A$400=TRIM($A$88))*('Full month Pivot'!$D$2:$K$2=N$2)*'Full month Pivot'!$D$3:$K$400)</f>
        <v/>
      </c>
      <c r="O88" s="409">
        <f>SUMPRODUCT(('Full month Pivot'!$A$3:$A$400=TRIM($A$88))*('Full month Pivot'!$D$2:$K$2=O$2)*'Full month Pivot'!$D$3:$K$400)</f>
        <v/>
      </c>
      <c r="P88" s="409">
        <f>SUMPRODUCT(('Full month Pivot'!$A$3:$A$400=TRIM($A$88))*('Full month Pivot'!$D$2:$K$2=P$2)*'Full month Pivot'!$D$3:$K$400)</f>
        <v/>
      </c>
      <c r="Q88" s="410">
        <f>SUMPRODUCT(('Full month Pivot'!$A$3:$A$400=TRIM($A$88))*('Full month Pivot'!$D$2:$K$2=Q$2)*'Full month Pivot'!$D$3:$K$400)</f>
        <v/>
      </c>
      <c r="R88" s="409">
        <f>SUMPRODUCT(('Full month Pivot'!$A$3:$A$400=TRIM($A$88))*('Full month Pivot'!$D$2:$K$2=R$2)*'Full month Pivot'!$D$3:$K$400)</f>
        <v/>
      </c>
      <c r="S88" s="409">
        <f>SUMPRODUCT(('Full month Pivot'!$A$3:$A$400=TRIM($A$88))*('Full month Pivot'!$D$2:$K$2=S$2)*'Full month Pivot'!$D$3:$K$400)</f>
        <v/>
      </c>
      <c r="T88" s="411">
        <f>G88-F88</f>
        <v/>
      </c>
      <c r="U88" s="367" t="n"/>
      <c r="V88" s="367" t="n"/>
      <c r="W88" s="367" t="n"/>
      <c r="X88" s="367" t="n"/>
      <c r="Y88" s="367" t="n"/>
      <c r="Z88" s="367" t="n"/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413" t="inlineStr">
        <is>
          <t xml:space="preserve">  ↳ Click to app: New User</t>
        </is>
      </c>
      <c r="B89" s="414" t="n"/>
      <c r="C89" s="414" t="n"/>
      <c r="D89" s="414" t="n"/>
      <c r="E89" s="414" t="n"/>
      <c r="F89" s="414" t="n">
        <v>3774</v>
      </c>
      <c r="G89" s="415" t="n">
        <v>5351</v>
      </c>
      <c r="H89" s="414" t="n"/>
      <c r="I89" s="414" t="n"/>
      <c r="J89" s="416">
        <f>G89-F89</f>
        <v/>
      </c>
      <c r="K89" s="417">
        <f>IF(G88&gt;0, G89/G88, 0)</f>
        <v/>
      </c>
      <c r="L89" s="414" t="n"/>
      <c r="M89" s="414" t="n"/>
      <c r="N89" s="414" t="n"/>
      <c r="O89" s="414" t="n"/>
      <c r="P89" s="414" t="n">
        <v>4131</v>
      </c>
      <c r="Q89" s="415">
        <f>G89</f>
        <v/>
      </c>
      <c r="R89" s="414" t="n"/>
      <c r="S89" s="414" t="n"/>
      <c r="T89" s="416">
        <f>G89-F89</f>
        <v/>
      </c>
      <c r="U89" s="373" t="n"/>
      <c r="V89" s="373" t="n"/>
      <c r="W89" s="373" t="n"/>
      <c r="X89" s="373" t="n"/>
      <c r="Y89" s="373" t="n"/>
      <c r="Z89" s="373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408" t="inlineStr">
        <is>
          <t>Hỏi đáp</t>
        </is>
      </c>
      <c r="B90" s="409">
        <f>SUMPRODUCT(('MTD Pivot'!$A$3:$A$400=TRIM($A$90))*('MTD Pivot'!$D$2:$K$2=B$2)*'MTD Pivot'!$D$3:$K$400)</f>
        <v/>
      </c>
      <c r="C90" s="409">
        <f>SUMPRODUCT(('MTD Pivot'!$A$3:$A$400=TRIM($A$90))*('MTD Pivot'!$D$2:$K$2=C$2)*'MTD Pivot'!$D$3:$K$400)</f>
        <v/>
      </c>
      <c r="D90" s="409">
        <f>SUMPRODUCT(('MTD Pivot'!$A$3:$A$400=TRIM($A$90))*('MTD Pivot'!$D$2:$K$2=D$2)*'MTD Pivot'!$D$3:$K$400)</f>
        <v/>
      </c>
      <c r="E90" s="409">
        <f>SUMPRODUCT(('MTD Pivot'!$A$3:$A$400=TRIM($A$90))*('MTD Pivot'!$D$2:$K$2=E$2)*'MTD Pivot'!$D$3:$K$400)</f>
        <v/>
      </c>
      <c r="F90" s="409">
        <f>SUMPRODUCT(('MTD Pivot'!$A$3:$A$400=TRIM($A$90))*('MTD Pivot'!$D$2:$K$2=F$2)*'MTD Pivot'!$D$3:$K$400)</f>
        <v/>
      </c>
      <c r="G90" s="410">
        <f>SUMPRODUCT(('MTD Pivot'!$A$3:$A$400=TRIM($A$90))*('MTD Pivot'!$D$2:$K$2=G$2)*'MTD Pivot'!$D$3:$K$400)</f>
        <v/>
      </c>
      <c r="H90" s="409">
        <f>SUMPRODUCT(('MTD Pivot'!$A$3:$A$400=TRIM($A$90))*('MTD Pivot'!$D$2:$K$2=H$2)*'MTD Pivot'!$D$3:$K$400)</f>
        <v/>
      </c>
      <c r="I90" s="409">
        <f>SUMPRODUCT(('MTD Pivot'!$A$3:$A$400=TRIM($A$90))*('MTD Pivot'!$D$2:$K$2=I$2)*'MTD Pivot'!$D$3:$K$400)</f>
        <v/>
      </c>
      <c r="J90" s="411">
        <f>G90-F90</f>
        <v/>
      </c>
      <c r="K90" s="412" t="n"/>
      <c r="L90" s="409">
        <f>SUMPRODUCT(('Full month Pivot'!$A$3:$A$400=TRIM($A$90))*('Full month Pivot'!$D$2:$K$2=L$2)*'Full month Pivot'!$D$3:$K$400)</f>
        <v/>
      </c>
      <c r="M90" s="409">
        <f>SUMPRODUCT(('Full month Pivot'!$A$3:$A$400=TRIM($A$90))*('Full month Pivot'!$D$2:$K$2=M$2)*'Full month Pivot'!$D$3:$K$400)</f>
        <v/>
      </c>
      <c r="N90" s="409">
        <f>SUMPRODUCT(('Full month Pivot'!$A$3:$A$400=TRIM($A$90))*('Full month Pivot'!$D$2:$K$2=N$2)*'Full month Pivot'!$D$3:$K$400)</f>
        <v/>
      </c>
      <c r="O90" s="409">
        <f>SUMPRODUCT(('Full month Pivot'!$A$3:$A$400=TRIM($A$90))*('Full month Pivot'!$D$2:$K$2=O$2)*'Full month Pivot'!$D$3:$K$400)</f>
        <v/>
      </c>
      <c r="P90" s="409">
        <f>SUMPRODUCT(('Full month Pivot'!$A$3:$A$400=TRIM($A$90))*('Full month Pivot'!$D$2:$K$2=P$2)*'Full month Pivot'!$D$3:$K$400)</f>
        <v/>
      </c>
      <c r="Q90" s="410">
        <f>SUMPRODUCT(('Full month Pivot'!$A$3:$A$400=TRIM($A$90))*('Full month Pivot'!$D$2:$K$2=Q$2)*'Full month Pivot'!$D$3:$K$400)</f>
        <v/>
      </c>
      <c r="R90" s="409">
        <f>SUMPRODUCT(('Full month Pivot'!$A$3:$A$400=TRIM($A$90))*('Full month Pivot'!$D$2:$K$2=R$2)*'Full month Pivot'!$D$3:$K$400)</f>
        <v/>
      </c>
      <c r="S90" s="409">
        <f>SUMPRODUCT(('Full month Pivot'!$A$3:$A$400=TRIM($A$90))*('Full month Pivot'!$D$2:$K$2=S$2)*'Full month Pivot'!$D$3:$K$400)</f>
        <v/>
      </c>
      <c r="T90" s="411">
        <f>G90-F90</f>
        <v/>
      </c>
      <c r="U90" s="375" t="n"/>
      <c r="V90" s="375" t="n"/>
      <c r="W90" s="375" t="n"/>
      <c r="X90" s="375" t="n"/>
      <c r="Y90" s="375" t="n"/>
      <c r="Z90" s="375" t="n"/>
      <c r="AA90" s="153" t="n"/>
      <c r="AB90" s="140" t="n"/>
      <c r="AC90" s="140" t="n"/>
      <c r="AD90" s="140" t="n"/>
    </row>
    <row r="91" ht="15.75" customHeight="1" s="346">
      <c r="A91" s="413" t="inlineStr">
        <is>
          <t xml:space="preserve">  ↳ Click to app: Hỏi đáp</t>
        </is>
      </c>
      <c r="B91" s="414" t="n"/>
      <c r="C91" s="414" t="n"/>
      <c r="D91" s="414" t="n"/>
      <c r="E91" s="414" t="n"/>
      <c r="F91" s="414" t="n">
        <v>1479</v>
      </c>
      <c r="G91" s="415" t="n">
        <v>1567</v>
      </c>
      <c r="H91" s="414" t="n"/>
      <c r="I91" s="414" t="n"/>
      <c r="J91" s="416">
        <f>G91-F91</f>
        <v/>
      </c>
      <c r="K91" s="417">
        <f>IF(G90&gt;0, G91/G90, 0)</f>
        <v/>
      </c>
      <c r="L91" s="414" t="n"/>
      <c r="M91" s="414" t="n"/>
      <c r="N91" s="414" t="n"/>
      <c r="O91" s="414" t="n"/>
      <c r="P91" s="414" t="n">
        <v>1712</v>
      </c>
      <c r="Q91" s="415">
        <f>G91</f>
        <v/>
      </c>
      <c r="R91" s="414" t="n"/>
      <c r="S91" s="414" t="n"/>
      <c r="T91" s="416">
        <f>G91-F91</f>
        <v/>
      </c>
      <c r="U91" s="376" t="n"/>
      <c r="V91" s="376" t="n"/>
      <c r="W91" s="376" t="n"/>
      <c r="X91" s="376" t="n"/>
      <c r="Y91" s="376" t="n"/>
      <c r="Z91" s="376" t="n"/>
      <c r="AA91" s="203" t="n"/>
      <c r="AB91" s="140" t="n"/>
      <c r="AC91" s="140" t="n"/>
      <c r="AD91" s="140" t="n"/>
    </row>
    <row r="92" ht="15.75" customHeight="1" s="346">
      <c r="A92" s="408" t="inlineStr">
        <is>
          <t>TnC</t>
        </is>
      </c>
      <c r="B92" s="409">
        <f>SUMPRODUCT(('MTD Pivot'!$A$3:$A$400=TRIM($A$92))*('MTD Pivot'!$D$2:$K$2=B$2)*'MTD Pivot'!$D$3:$K$400)</f>
        <v/>
      </c>
      <c r="C92" s="409">
        <f>SUMPRODUCT(('MTD Pivot'!$A$3:$A$400=TRIM($A$92))*('MTD Pivot'!$D$2:$K$2=C$2)*'MTD Pivot'!$D$3:$K$400)</f>
        <v/>
      </c>
      <c r="D92" s="409">
        <f>SUMPRODUCT(('MTD Pivot'!$A$3:$A$400=TRIM($A$92))*('MTD Pivot'!$D$2:$K$2=D$2)*'MTD Pivot'!$D$3:$K$400)</f>
        <v/>
      </c>
      <c r="E92" s="409">
        <f>SUMPRODUCT(('MTD Pivot'!$A$3:$A$400=TRIM($A$92))*('MTD Pivot'!$D$2:$K$2=E$2)*'MTD Pivot'!$D$3:$K$400)</f>
        <v/>
      </c>
      <c r="F92" s="409">
        <f>SUMPRODUCT(('MTD Pivot'!$A$3:$A$400=TRIM($A$92))*('MTD Pivot'!$D$2:$K$2=F$2)*'MTD Pivot'!$D$3:$K$400)</f>
        <v/>
      </c>
      <c r="G92" s="410">
        <f>SUMPRODUCT(('MTD Pivot'!$A$3:$A$400=TRIM($A$92))*('MTD Pivot'!$D$2:$K$2=G$2)*'MTD Pivot'!$D$3:$K$400)</f>
        <v/>
      </c>
      <c r="H92" s="409">
        <f>SUMPRODUCT(('MTD Pivot'!$A$3:$A$400=TRIM($A$92))*('MTD Pivot'!$D$2:$K$2=H$2)*'MTD Pivot'!$D$3:$K$400)</f>
        <v/>
      </c>
      <c r="I92" s="409">
        <f>SUMPRODUCT(('MTD Pivot'!$A$3:$A$400=TRIM($A$92))*('MTD Pivot'!$D$2:$K$2=I$2)*'MTD Pivot'!$D$3:$K$400)</f>
        <v/>
      </c>
      <c r="J92" s="411">
        <f>G92-F92</f>
        <v/>
      </c>
      <c r="K92" s="412" t="n"/>
      <c r="L92" s="409">
        <f>SUMPRODUCT(('Full month Pivot'!$A$3:$A$400=TRIM($A$92))*('Full month Pivot'!$D$2:$K$2=L$2)*'Full month Pivot'!$D$3:$K$400)</f>
        <v/>
      </c>
      <c r="M92" s="409">
        <f>SUMPRODUCT(('Full month Pivot'!$A$3:$A$400=TRIM($A$92))*('Full month Pivot'!$D$2:$K$2=M$2)*'Full month Pivot'!$D$3:$K$400)</f>
        <v/>
      </c>
      <c r="N92" s="409">
        <f>SUMPRODUCT(('Full month Pivot'!$A$3:$A$400=TRIM($A$92))*('Full month Pivot'!$D$2:$K$2=N$2)*'Full month Pivot'!$D$3:$K$400)</f>
        <v/>
      </c>
      <c r="O92" s="409">
        <f>SUMPRODUCT(('Full month Pivot'!$A$3:$A$400=TRIM($A$92))*('Full month Pivot'!$D$2:$K$2=O$2)*'Full month Pivot'!$D$3:$K$400)</f>
        <v/>
      </c>
      <c r="P92" s="409">
        <f>SUMPRODUCT(('Full month Pivot'!$A$3:$A$400=TRIM($A$92))*('Full month Pivot'!$D$2:$K$2=P$2)*'Full month Pivot'!$D$3:$K$400)</f>
        <v/>
      </c>
      <c r="Q92" s="410">
        <f>SUMPRODUCT(('Full month Pivot'!$A$3:$A$400=TRIM($A$92))*('Full month Pivot'!$D$2:$K$2=Q$2)*'Full month Pivot'!$D$3:$K$400)</f>
        <v/>
      </c>
      <c r="R92" s="409">
        <f>SUMPRODUCT(('Full month Pivot'!$A$3:$A$400=TRIM($A$92))*('Full month Pivot'!$D$2:$K$2=R$2)*'Full month Pivot'!$D$3:$K$400)</f>
        <v/>
      </c>
      <c r="S92" s="409">
        <f>SUMPRODUCT(('Full month Pivot'!$A$3:$A$400=TRIM($A$92))*('Full month Pivot'!$D$2:$K$2=S$2)*'Full month Pivot'!$D$3:$K$400)</f>
        <v/>
      </c>
      <c r="T92" s="411">
        <f>G92-F92</f>
        <v/>
      </c>
      <c r="U92" s="381" t="n"/>
      <c r="V92" s="381" t="n"/>
      <c r="W92" s="381" t="n"/>
      <c r="X92" s="381" t="n"/>
      <c r="Y92" s="381" t="n"/>
      <c r="Z92" s="381" t="n"/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413" t="inlineStr">
        <is>
          <t xml:space="preserve">  ↳ Click to app: TnC</t>
        </is>
      </c>
      <c r="B93" s="414" t="n"/>
      <c r="C93" s="414" t="n"/>
      <c r="D93" s="414" t="n"/>
      <c r="E93" s="414" t="n"/>
      <c r="F93" s="414" t="n">
        <v>303</v>
      </c>
      <c r="G93" s="415" t="n">
        <v>345</v>
      </c>
      <c r="H93" s="414" t="n"/>
      <c r="I93" s="414" t="n"/>
      <c r="J93" s="416">
        <f>G93-F93</f>
        <v/>
      </c>
      <c r="K93" s="417">
        <f>IF(G92&gt;0, G93/G92, 0)</f>
        <v/>
      </c>
      <c r="L93" s="414" t="n"/>
      <c r="M93" s="414" t="n"/>
      <c r="N93" s="414" t="n"/>
      <c r="O93" s="414" t="n"/>
      <c r="P93" s="414" t="n">
        <v>357</v>
      </c>
      <c r="Q93" s="415">
        <f>G93</f>
        <v/>
      </c>
      <c r="R93" s="414" t="n"/>
      <c r="S93" s="414" t="n"/>
      <c r="T93" s="416">
        <f>G93-F93</f>
        <v/>
      </c>
      <c r="U93" s="386" t="n"/>
      <c r="V93" s="386" t="n"/>
      <c r="W93" s="386" t="n"/>
      <c r="X93" s="386" t="n"/>
      <c r="Y93" s="386" t="n"/>
      <c r="Z93" s="386" t="n"/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408" t="inlineStr">
        <is>
          <t>Trust</t>
        </is>
      </c>
      <c r="B94" s="409">
        <f>SUMPRODUCT(('MTD Pivot'!$A$3:$A$400=TRIM($A$94))*('MTD Pivot'!$D$2:$K$2=B$2)*'MTD Pivot'!$D$3:$K$400)</f>
        <v/>
      </c>
      <c r="C94" s="409">
        <f>SUMPRODUCT(('MTD Pivot'!$A$3:$A$400=TRIM($A$94))*('MTD Pivot'!$D$2:$K$2=C$2)*'MTD Pivot'!$D$3:$K$400)</f>
        <v/>
      </c>
      <c r="D94" s="409">
        <f>SUMPRODUCT(('MTD Pivot'!$A$3:$A$400=TRIM($A$94))*('MTD Pivot'!$D$2:$K$2=D$2)*'MTD Pivot'!$D$3:$K$400)</f>
        <v/>
      </c>
      <c r="E94" s="409">
        <f>SUMPRODUCT(('MTD Pivot'!$A$3:$A$400=TRIM($A$94))*('MTD Pivot'!$D$2:$K$2=E$2)*'MTD Pivot'!$D$3:$K$400)</f>
        <v/>
      </c>
      <c r="F94" s="409">
        <f>SUMPRODUCT(('MTD Pivot'!$A$3:$A$400=TRIM($A$94))*('MTD Pivot'!$D$2:$K$2=F$2)*'MTD Pivot'!$D$3:$K$400)</f>
        <v/>
      </c>
      <c r="G94" s="410">
        <f>SUMPRODUCT(('MTD Pivot'!$A$3:$A$400=TRIM($A$94))*('MTD Pivot'!$D$2:$K$2=G$2)*'MTD Pivot'!$D$3:$K$400)</f>
        <v/>
      </c>
      <c r="H94" s="409">
        <f>SUMPRODUCT(('MTD Pivot'!$A$3:$A$400=TRIM($A$94))*('MTD Pivot'!$D$2:$K$2=H$2)*'MTD Pivot'!$D$3:$K$400)</f>
        <v/>
      </c>
      <c r="I94" s="409">
        <f>SUMPRODUCT(('MTD Pivot'!$A$3:$A$400=TRIM($A$94))*('MTD Pivot'!$D$2:$K$2=I$2)*'MTD Pivot'!$D$3:$K$400)</f>
        <v/>
      </c>
      <c r="J94" s="411">
        <f>G94-F94</f>
        <v/>
      </c>
      <c r="K94" s="412" t="n"/>
      <c r="L94" s="409">
        <f>SUMPRODUCT(('Full month Pivot'!$A$3:$A$400=TRIM($A$94))*('Full month Pivot'!$D$2:$K$2=L$2)*'Full month Pivot'!$D$3:$K$400)</f>
        <v/>
      </c>
      <c r="M94" s="409">
        <f>SUMPRODUCT(('Full month Pivot'!$A$3:$A$400=TRIM($A$94))*('Full month Pivot'!$D$2:$K$2=M$2)*'Full month Pivot'!$D$3:$K$400)</f>
        <v/>
      </c>
      <c r="N94" s="409">
        <f>SUMPRODUCT(('Full month Pivot'!$A$3:$A$400=TRIM($A$94))*('Full month Pivot'!$D$2:$K$2=N$2)*'Full month Pivot'!$D$3:$K$400)</f>
        <v/>
      </c>
      <c r="O94" s="409">
        <f>SUMPRODUCT(('Full month Pivot'!$A$3:$A$400=TRIM($A$94))*('Full month Pivot'!$D$2:$K$2=O$2)*'Full month Pivot'!$D$3:$K$400)</f>
        <v/>
      </c>
      <c r="P94" s="409">
        <f>SUMPRODUCT(('Full month Pivot'!$A$3:$A$400=TRIM($A$94))*('Full month Pivot'!$D$2:$K$2=P$2)*'Full month Pivot'!$D$3:$K$400)</f>
        <v/>
      </c>
      <c r="Q94" s="410">
        <f>SUMPRODUCT(('Full month Pivot'!$A$3:$A$400=TRIM($A$94))*('Full month Pivot'!$D$2:$K$2=Q$2)*'Full month Pivot'!$D$3:$K$400)</f>
        <v/>
      </c>
      <c r="R94" s="409">
        <f>SUMPRODUCT(('Full month Pivot'!$A$3:$A$400=TRIM($A$94))*('Full month Pivot'!$D$2:$K$2=R$2)*'Full month Pivot'!$D$3:$K$400)</f>
        <v/>
      </c>
      <c r="S94" s="409">
        <f>SUMPRODUCT(('Full month Pivot'!$A$3:$A$400=TRIM($A$94))*('Full month Pivot'!$D$2:$K$2=S$2)*'Full month Pivot'!$D$3:$K$400)</f>
        <v/>
      </c>
      <c r="T94" s="411">
        <f>G94-F94</f>
        <v/>
      </c>
      <c r="U94" s="386" t="n"/>
      <c r="V94" s="386" t="n"/>
      <c r="W94" s="386" t="n"/>
      <c r="X94" s="386" t="n"/>
      <c r="Y94" s="386" t="n"/>
      <c r="Z94" s="386" t="n"/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413" t="inlineStr">
        <is>
          <t xml:space="preserve">  ↳ Click to app: Trust</t>
        </is>
      </c>
      <c r="B95" s="414" t="n"/>
      <c r="C95" s="414" t="n"/>
      <c r="D95" s="414" t="n"/>
      <c r="E95" s="414" t="n"/>
      <c r="F95" s="414" t="n">
        <v>1319</v>
      </c>
      <c r="G95" s="415" t="n">
        <v>1402</v>
      </c>
      <c r="H95" s="414" t="n"/>
      <c r="I95" s="414" t="n"/>
      <c r="J95" s="416">
        <f>G95-F95</f>
        <v/>
      </c>
      <c r="K95" s="417">
        <f>IF(G94&gt;0, G95/G94, 0)</f>
        <v/>
      </c>
      <c r="L95" s="414" t="n"/>
      <c r="M95" s="414" t="n"/>
      <c r="N95" s="414" t="n"/>
      <c r="O95" s="414" t="n"/>
      <c r="P95" s="414" t="n">
        <v>1495</v>
      </c>
      <c r="Q95" s="415">
        <f>G95</f>
        <v/>
      </c>
      <c r="R95" s="414" t="n"/>
      <c r="S95" s="414" t="n"/>
      <c r="T95" s="416">
        <f>G95-F95</f>
        <v/>
      </c>
      <c r="U95" s="386" t="n"/>
      <c r="V95" s="386" t="n"/>
      <c r="W95" s="386" t="n"/>
      <c r="X95" s="386" t="n"/>
      <c r="Y95" s="386" t="n"/>
      <c r="Z95" s="386" t="n"/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408" t="inlineStr">
        <is>
          <t>Guide</t>
        </is>
      </c>
      <c r="B96" s="409">
        <f>SUMPRODUCT(('MTD Pivot'!$A$3:$A$400=TRIM($A$96))*('MTD Pivot'!$D$2:$K$2=B$2)*'MTD Pivot'!$D$3:$K$400)</f>
        <v/>
      </c>
      <c r="C96" s="409">
        <f>SUMPRODUCT(('MTD Pivot'!$A$3:$A$400=TRIM($A$96))*('MTD Pivot'!$D$2:$K$2=C$2)*'MTD Pivot'!$D$3:$K$400)</f>
        <v/>
      </c>
      <c r="D96" s="409">
        <f>SUMPRODUCT(('MTD Pivot'!$A$3:$A$400=TRIM($A$96))*('MTD Pivot'!$D$2:$K$2=D$2)*'MTD Pivot'!$D$3:$K$400)</f>
        <v/>
      </c>
      <c r="E96" s="409">
        <f>SUMPRODUCT(('MTD Pivot'!$A$3:$A$400=TRIM($A$96))*('MTD Pivot'!$D$2:$K$2=E$2)*'MTD Pivot'!$D$3:$K$400)</f>
        <v/>
      </c>
      <c r="F96" s="409">
        <f>SUMPRODUCT(('MTD Pivot'!$A$3:$A$400=TRIM($A$96))*('MTD Pivot'!$D$2:$K$2=F$2)*'MTD Pivot'!$D$3:$K$400)</f>
        <v/>
      </c>
      <c r="G96" s="410">
        <f>SUMPRODUCT(('MTD Pivot'!$A$3:$A$400=TRIM($A$96))*('MTD Pivot'!$D$2:$K$2=G$2)*'MTD Pivot'!$D$3:$K$400)</f>
        <v/>
      </c>
      <c r="H96" s="409">
        <f>SUMPRODUCT(('MTD Pivot'!$A$3:$A$400=TRIM($A$96))*('MTD Pivot'!$D$2:$K$2=H$2)*'MTD Pivot'!$D$3:$K$400)</f>
        <v/>
      </c>
      <c r="I96" s="409">
        <f>SUMPRODUCT(('MTD Pivot'!$A$3:$A$400=TRIM($A$96))*('MTD Pivot'!$D$2:$K$2=I$2)*'MTD Pivot'!$D$3:$K$400)</f>
        <v/>
      </c>
      <c r="J96" s="411">
        <f>G96-F96</f>
        <v/>
      </c>
      <c r="K96" s="412" t="n"/>
      <c r="L96" s="409">
        <f>SUMPRODUCT(('Full month Pivot'!$A$3:$A$400=TRIM($A$96))*('Full month Pivot'!$D$2:$K$2=L$2)*'Full month Pivot'!$D$3:$K$400)</f>
        <v/>
      </c>
      <c r="M96" s="409">
        <f>SUMPRODUCT(('Full month Pivot'!$A$3:$A$400=TRIM($A$96))*('Full month Pivot'!$D$2:$K$2=M$2)*'Full month Pivot'!$D$3:$K$400)</f>
        <v/>
      </c>
      <c r="N96" s="409">
        <f>SUMPRODUCT(('Full month Pivot'!$A$3:$A$400=TRIM($A$96))*('Full month Pivot'!$D$2:$K$2=N$2)*'Full month Pivot'!$D$3:$K$400)</f>
        <v/>
      </c>
      <c r="O96" s="409">
        <f>SUMPRODUCT(('Full month Pivot'!$A$3:$A$400=TRIM($A$96))*('Full month Pivot'!$D$2:$K$2=O$2)*'Full month Pivot'!$D$3:$K$400)</f>
        <v/>
      </c>
      <c r="P96" s="409">
        <f>SUMPRODUCT(('Full month Pivot'!$A$3:$A$400=TRIM($A$96))*('Full month Pivot'!$D$2:$K$2=P$2)*'Full month Pivot'!$D$3:$K$400)</f>
        <v/>
      </c>
      <c r="Q96" s="410">
        <f>SUMPRODUCT(('Full month Pivot'!$A$3:$A$400=TRIM($A$96))*('Full month Pivot'!$D$2:$K$2=Q$2)*'Full month Pivot'!$D$3:$K$400)</f>
        <v/>
      </c>
      <c r="R96" s="409">
        <f>SUMPRODUCT(('Full month Pivot'!$A$3:$A$400=TRIM($A$96))*('Full month Pivot'!$D$2:$K$2=R$2)*'Full month Pivot'!$D$3:$K$400)</f>
        <v/>
      </c>
      <c r="S96" s="409">
        <f>SUMPRODUCT(('Full month Pivot'!$A$3:$A$400=TRIM($A$96))*('Full month Pivot'!$D$2:$K$2=S$2)*'Full month Pivot'!$D$3:$K$400)</f>
        <v/>
      </c>
      <c r="T96" s="411">
        <f>G96-F96</f>
        <v/>
      </c>
      <c r="U96" s="386" t="n"/>
      <c r="V96" s="386" t="n"/>
      <c r="W96" s="386" t="n"/>
      <c r="X96" s="386" t="n"/>
      <c r="Y96" s="386" t="n"/>
      <c r="Z96" s="386" t="n"/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413" t="inlineStr">
        <is>
          <t xml:space="preserve">  ↳ Click to app: Guide</t>
        </is>
      </c>
      <c r="B97" s="414" t="n"/>
      <c r="C97" s="414" t="n"/>
      <c r="D97" s="414" t="n"/>
      <c r="E97" s="414" t="n"/>
      <c r="F97" s="414" t="n">
        <v>1585</v>
      </c>
      <c r="G97" s="415" t="n">
        <v>2589</v>
      </c>
      <c r="H97" s="414" t="n"/>
      <c r="I97" s="414" t="n"/>
      <c r="J97" s="416">
        <f>G97-F97</f>
        <v/>
      </c>
      <c r="K97" s="417">
        <f>IF(G96&gt;0, G97/G96, 0)</f>
        <v/>
      </c>
      <c r="L97" s="414" t="n"/>
      <c r="M97" s="414" t="n"/>
      <c r="N97" s="414" t="n"/>
      <c r="O97" s="414" t="n"/>
      <c r="P97" s="414" t="n">
        <v>1876</v>
      </c>
      <c r="Q97" s="415">
        <f>G97</f>
        <v/>
      </c>
      <c r="R97" s="414" t="n"/>
      <c r="S97" s="414" t="n"/>
      <c r="T97" s="416">
        <f>G97-F97</f>
        <v/>
      </c>
      <c r="U97" s="386" t="n"/>
      <c r="V97" s="386" t="n"/>
      <c r="W97" s="386" t="n"/>
      <c r="X97" s="386" t="n"/>
      <c r="Y97" s="386" t="n"/>
      <c r="Z97" s="386" t="n"/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408" t="inlineStr">
        <is>
          <t>Khuyến mãi</t>
        </is>
      </c>
      <c r="B98" s="409">
        <f>SUMPRODUCT(('MTD Pivot'!$A$3:$A$400=TRIM($A$98))*('MTD Pivot'!$D$2:$K$2=B$2)*'MTD Pivot'!$D$3:$K$400)</f>
        <v/>
      </c>
      <c r="C98" s="409">
        <f>SUMPRODUCT(('MTD Pivot'!$A$3:$A$400=TRIM($A$98))*('MTD Pivot'!$D$2:$K$2=C$2)*'MTD Pivot'!$D$3:$K$400)</f>
        <v/>
      </c>
      <c r="D98" s="409">
        <f>SUMPRODUCT(('MTD Pivot'!$A$3:$A$400=TRIM($A$98))*('MTD Pivot'!$D$2:$K$2=D$2)*'MTD Pivot'!$D$3:$K$400)</f>
        <v/>
      </c>
      <c r="E98" s="409">
        <f>SUMPRODUCT(('MTD Pivot'!$A$3:$A$400=TRIM($A$98))*('MTD Pivot'!$D$2:$K$2=E$2)*'MTD Pivot'!$D$3:$K$400)</f>
        <v/>
      </c>
      <c r="F98" s="409">
        <f>SUMPRODUCT(('MTD Pivot'!$A$3:$A$400=TRIM($A$98))*('MTD Pivot'!$D$2:$K$2=F$2)*'MTD Pivot'!$D$3:$K$400)</f>
        <v/>
      </c>
      <c r="G98" s="410">
        <f>SUMPRODUCT(('MTD Pivot'!$A$3:$A$400=TRIM($A$98))*('MTD Pivot'!$D$2:$K$2=G$2)*'MTD Pivot'!$D$3:$K$400)</f>
        <v/>
      </c>
      <c r="H98" s="409">
        <f>SUMPRODUCT(('MTD Pivot'!$A$3:$A$400=TRIM($A$98))*('MTD Pivot'!$D$2:$K$2=H$2)*'MTD Pivot'!$D$3:$K$400)</f>
        <v/>
      </c>
      <c r="I98" s="409">
        <f>SUMPRODUCT(('MTD Pivot'!$A$3:$A$400=TRIM($A$98))*('MTD Pivot'!$D$2:$K$2=I$2)*'MTD Pivot'!$D$3:$K$400)</f>
        <v/>
      </c>
      <c r="J98" s="411">
        <f>G98-F98</f>
        <v/>
      </c>
      <c r="K98" s="412" t="n"/>
      <c r="L98" s="409">
        <f>SUMPRODUCT(('Full month Pivot'!$A$3:$A$400=TRIM($A$98))*('Full month Pivot'!$D$2:$K$2=L$2)*'Full month Pivot'!$D$3:$K$400)</f>
        <v/>
      </c>
      <c r="M98" s="409">
        <f>SUMPRODUCT(('Full month Pivot'!$A$3:$A$400=TRIM($A$98))*('Full month Pivot'!$D$2:$K$2=M$2)*'Full month Pivot'!$D$3:$K$400)</f>
        <v/>
      </c>
      <c r="N98" s="409">
        <f>SUMPRODUCT(('Full month Pivot'!$A$3:$A$400=TRIM($A$98))*('Full month Pivot'!$D$2:$K$2=N$2)*'Full month Pivot'!$D$3:$K$400)</f>
        <v/>
      </c>
      <c r="O98" s="409">
        <f>SUMPRODUCT(('Full month Pivot'!$A$3:$A$400=TRIM($A$98))*('Full month Pivot'!$D$2:$K$2=O$2)*'Full month Pivot'!$D$3:$K$400)</f>
        <v/>
      </c>
      <c r="P98" s="409">
        <f>SUMPRODUCT(('Full month Pivot'!$A$3:$A$400=TRIM($A$98))*('Full month Pivot'!$D$2:$K$2=P$2)*'Full month Pivot'!$D$3:$K$400)</f>
        <v/>
      </c>
      <c r="Q98" s="410">
        <f>SUMPRODUCT(('Full month Pivot'!$A$3:$A$400=TRIM($A$98))*('Full month Pivot'!$D$2:$K$2=Q$2)*'Full month Pivot'!$D$3:$K$400)</f>
        <v/>
      </c>
      <c r="R98" s="409">
        <f>SUMPRODUCT(('Full month Pivot'!$A$3:$A$400=TRIM($A$98))*('Full month Pivot'!$D$2:$K$2=R$2)*'Full month Pivot'!$D$3:$K$400)</f>
        <v/>
      </c>
      <c r="S98" s="409">
        <f>SUMPRODUCT(('Full month Pivot'!$A$3:$A$400=TRIM($A$98))*('Full month Pivot'!$D$2:$K$2=S$2)*'Full month Pivot'!$D$3:$K$400)</f>
        <v/>
      </c>
      <c r="T98" s="411">
        <f>G98-F98</f>
        <v/>
      </c>
      <c r="U98" s="395" t="n"/>
      <c r="V98" s="395" t="n"/>
      <c r="W98" s="395" t="n"/>
      <c r="X98" s="395" t="n"/>
      <c r="Y98" s="395" t="n"/>
      <c r="Z98" s="395" t="n"/>
      <c r="AA98" s="202" t="n"/>
      <c r="AB98" s="140" t="n"/>
      <c r="AC98" s="140" t="n"/>
      <c r="AD98" s="140" t="n"/>
    </row>
    <row r="99" ht="15.75" customHeight="1" s="346">
      <c r="A99" s="413" t="inlineStr">
        <is>
          <t xml:space="preserve">  ↳ Click to app: Khuyến mãi</t>
        </is>
      </c>
      <c r="B99" s="414" t="n"/>
      <c r="C99" s="414" t="n"/>
      <c r="D99" s="414" t="n"/>
      <c r="E99" s="414" t="n"/>
      <c r="F99" s="414" t="n">
        <v>635</v>
      </c>
      <c r="G99" s="415" t="n">
        <v>546</v>
      </c>
      <c r="H99" s="414" t="n"/>
      <c r="I99" s="414" t="n"/>
      <c r="J99" s="416">
        <f>G99-F99</f>
        <v/>
      </c>
      <c r="K99" s="417">
        <f>IF(G98&gt;0, G99/G98, 0)</f>
        <v/>
      </c>
      <c r="L99" s="414" t="n"/>
      <c r="M99" s="414" t="n"/>
      <c r="N99" s="414" t="n"/>
      <c r="O99" s="414" t="n"/>
      <c r="P99" s="414" t="n">
        <v>711</v>
      </c>
      <c r="Q99" s="415">
        <f>G99</f>
        <v/>
      </c>
      <c r="R99" s="414" t="n"/>
      <c r="S99" s="414" t="n"/>
      <c r="T99" s="416">
        <f>G99-F99</f>
        <v/>
      </c>
      <c r="U99" s="365" t="n"/>
      <c r="V99" s="365" t="n"/>
      <c r="W99" s="365" t="n"/>
      <c r="X99" s="365" t="n"/>
      <c r="Y99" s="365" t="n"/>
      <c r="Z99" s="365" t="n"/>
      <c r="AA99" s="145" t="n"/>
      <c r="AB99" s="140" t="n"/>
      <c r="AC99" s="140" t="n"/>
      <c r="AD99" s="140" t="n"/>
    </row>
    <row r="100" ht="15.75" customHeight="1" s="346">
      <c r="A100" s="408" t="inlineStr">
        <is>
          <t>Tin Tức</t>
        </is>
      </c>
      <c r="B100" s="409">
        <f>SUMPRODUCT(('MTD Pivot'!$A$3:$A$400=TRIM($A$100))*('MTD Pivot'!$D$2:$K$2=B$2)*'MTD Pivot'!$D$3:$K$400)</f>
        <v/>
      </c>
      <c r="C100" s="409">
        <f>SUMPRODUCT(('MTD Pivot'!$A$3:$A$400=TRIM($A$100))*('MTD Pivot'!$D$2:$K$2=C$2)*'MTD Pivot'!$D$3:$K$400)</f>
        <v/>
      </c>
      <c r="D100" s="409">
        <f>SUMPRODUCT(('MTD Pivot'!$A$3:$A$400=TRIM($A$100))*('MTD Pivot'!$D$2:$K$2=D$2)*'MTD Pivot'!$D$3:$K$400)</f>
        <v/>
      </c>
      <c r="E100" s="409">
        <f>SUMPRODUCT(('MTD Pivot'!$A$3:$A$400=TRIM($A$100))*('MTD Pivot'!$D$2:$K$2=E$2)*'MTD Pivot'!$D$3:$K$400)</f>
        <v/>
      </c>
      <c r="F100" s="409">
        <f>SUMPRODUCT(('MTD Pivot'!$A$3:$A$400=TRIM($A$100))*('MTD Pivot'!$D$2:$K$2=F$2)*'MTD Pivot'!$D$3:$K$400)</f>
        <v/>
      </c>
      <c r="G100" s="410">
        <f>SUMPRODUCT(('MTD Pivot'!$A$3:$A$400=TRIM($A$100))*('MTD Pivot'!$D$2:$K$2=G$2)*'MTD Pivot'!$D$3:$K$400)</f>
        <v/>
      </c>
      <c r="H100" s="409">
        <f>SUMPRODUCT(('MTD Pivot'!$A$3:$A$400=TRIM($A$100))*('MTD Pivot'!$D$2:$K$2=H$2)*'MTD Pivot'!$D$3:$K$400)</f>
        <v/>
      </c>
      <c r="I100" s="409">
        <f>SUMPRODUCT(('MTD Pivot'!$A$3:$A$400=TRIM($A$100))*('MTD Pivot'!$D$2:$K$2=I$2)*'MTD Pivot'!$D$3:$K$400)</f>
        <v/>
      </c>
      <c r="J100" s="411">
        <f>G100-F100</f>
        <v/>
      </c>
      <c r="K100" s="412" t="n"/>
      <c r="L100" s="409">
        <f>SUMPRODUCT(('Full month Pivot'!$A$3:$A$400=TRIM($A$100))*('Full month Pivot'!$D$2:$K$2=L$2)*'Full month Pivot'!$D$3:$K$400)</f>
        <v/>
      </c>
      <c r="M100" s="409">
        <f>SUMPRODUCT(('Full month Pivot'!$A$3:$A$400=TRIM($A$100))*('Full month Pivot'!$D$2:$K$2=M$2)*'Full month Pivot'!$D$3:$K$400)</f>
        <v/>
      </c>
      <c r="N100" s="409">
        <f>SUMPRODUCT(('Full month Pivot'!$A$3:$A$400=TRIM($A$100))*('Full month Pivot'!$D$2:$K$2=N$2)*'Full month Pivot'!$D$3:$K$400)</f>
        <v/>
      </c>
      <c r="O100" s="409">
        <f>SUMPRODUCT(('Full month Pivot'!$A$3:$A$400=TRIM($A$100))*('Full month Pivot'!$D$2:$K$2=O$2)*'Full month Pivot'!$D$3:$K$400)</f>
        <v/>
      </c>
      <c r="P100" s="409">
        <f>SUMPRODUCT(('Full month Pivot'!$A$3:$A$400=TRIM($A$100))*('Full month Pivot'!$D$2:$K$2=P$2)*'Full month Pivot'!$D$3:$K$400)</f>
        <v/>
      </c>
      <c r="Q100" s="410">
        <f>SUMPRODUCT(('Full month Pivot'!$A$3:$A$400=TRIM($A$100))*('Full month Pivot'!$D$2:$K$2=Q$2)*'Full month Pivot'!$D$3:$K$400)</f>
        <v/>
      </c>
      <c r="R100" s="409">
        <f>SUMPRODUCT(('Full month Pivot'!$A$3:$A$400=TRIM($A$100))*('Full month Pivot'!$D$2:$K$2=R$2)*'Full month Pivot'!$D$3:$K$400)</f>
        <v/>
      </c>
      <c r="S100" s="409">
        <f>SUMPRODUCT(('Full month Pivot'!$A$3:$A$400=TRIM($A$100))*('Full month Pivot'!$D$2:$K$2=S$2)*'Full month Pivot'!$D$3:$K$400)</f>
        <v/>
      </c>
      <c r="T100" s="411">
        <f>G100-F100</f>
        <v/>
      </c>
      <c r="U100" s="367" t="n"/>
      <c r="V100" s="367" t="n"/>
      <c r="W100" s="367" t="n"/>
      <c r="X100" s="367" t="n"/>
      <c r="Y100" s="367" t="n"/>
      <c r="Z100" s="367" t="n"/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413" t="inlineStr">
        <is>
          <t xml:space="preserve">  ↳ Click to app: Tin Tức</t>
        </is>
      </c>
      <c r="B101" s="414" t="n"/>
      <c r="C101" s="414" t="n"/>
      <c r="D101" s="414" t="n"/>
      <c r="E101" s="414" t="n"/>
      <c r="F101" s="414" t="n">
        <v>2739</v>
      </c>
      <c r="G101" s="415" t="n">
        <v>1337</v>
      </c>
      <c r="H101" s="414" t="n"/>
      <c r="I101" s="414" t="n"/>
      <c r="J101" s="416">
        <f>G101-F101</f>
        <v/>
      </c>
      <c r="K101" s="417">
        <f>IF(G100&gt;0, G101/G100, 0)</f>
        <v/>
      </c>
      <c r="L101" s="414" t="n"/>
      <c r="M101" s="414" t="n"/>
      <c r="N101" s="414" t="n"/>
      <c r="O101" s="414" t="n"/>
      <c r="P101" s="414" t="n">
        <v>3008</v>
      </c>
      <c r="Q101" s="415">
        <f>G101</f>
        <v/>
      </c>
      <c r="R101" s="414" t="n"/>
      <c r="S101" s="414" t="n"/>
      <c r="T101" s="416">
        <f>G101-F101</f>
        <v/>
      </c>
      <c r="U101" s="373" t="n"/>
      <c r="V101" s="373" t="n"/>
      <c r="W101" s="373" t="n"/>
      <c r="X101" s="373" t="n"/>
      <c r="Y101" s="373" t="n"/>
      <c r="Z101" s="373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408" t="inlineStr">
        <is>
          <t>Campaign</t>
        </is>
      </c>
      <c r="B102" s="409">
        <f>SUMPRODUCT(('MTD Pivot'!$A$3:$A$400=TRIM($A$102))*('MTD Pivot'!$D$2:$K$2=B$2)*'MTD Pivot'!$D$3:$K$400)</f>
        <v/>
      </c>
      <c r="C102" s="409">
        <f>SUMPRODUCT(('MTD Pivot'!$A$3:$A$400=TRIM($A$102))*('MTD Pivot'!$D$2:$K$2=C$2)*'MTD Pivot'!$D$3:$K$400)</f>
        <v/>
      </c>
      <c r="D102" s="409">
        <f>SUMPRODUCT(('MTD Pivot'!$A$3:$A$400=TRIM($A$102))*('MTD Pivot'!$D$2:$K$2=D$2)*'MTD Pivot'!$D$3:$K$400)</f>
        <v/>
      </c>
      <c r="E102" s="409">
        <f>SUMPRODUCT(('MTD Pivot'!$A$3:$A$400=TRIM($A$102))*('MTD Pivot'!$D$2:$K$2=E$2)*'MTD Pivot'!$D$3:$K$400)</f>
        <v/>
      </c>
      <c r="F102" s="409">
        <f>SUMPRODUCT(('MTD Pivot'!$A$3:$A$400=TRIM($A$102))*('MTD Pivot'!$D$2:$K$2=F$2)*'MTD Pivot'!$D$3:$K$400)</f>
        <v/>
      </c>
      <c r="G102" s="410">
        <f>SUMPRODUCT(('MTD Pivot'!$A$3:$A$400=TRIM($A$102))*('MTD Pivot'!$D$2:$K$2=G$2)*'MTD Pivot'!$D$3:$K$400)</f>
        <v/>
      </c>
      <c r="H102" s="409">
        <f>SUMPRODUCT(('MTD Pivot'!$A$3:$A$400=TRIM($A$102))*('MTD Pivot'!$D$2:$K$2=H$2)*'MTD Pivot'!$D$3:$K$400)</f>
        <v/>
      </c>
      <c r="I102" s="409">
        <f>SUMPRODUCT(('MTD Pivot'!$A$3:$A$400=TRIM($A$102))*('MTD Pivot'!$D$2:$K$2=I$2)*'MTD Pivot'!$D$3:$K$400)</f>
        <v/>
      </c>
      <c r="J102" s="411">
        <f>G102-F102</f>
        <v/>
      </c>
      <c r="K102" s="412" t="n"/>
      <c r="L102" s="409">
        <f>SUMPRODUCT(('Full month Pivot'!$A$3:$A$400=TRIM($A$102))*('Full month Pivot'!$D$2:$K$2=L$2)*'Full month Pivot'!$D$3:$K$400)</f>
        <v/>
      </c>
      <c r="M102" s="409">
        <f>SUMPRODUCT(('Full month Pivot'!$A$3:$A$400=TRIM($A$102))*('Full month Pivot'!$D$2:$K$2=M$2)*'Full month Pivot'!$D$3:$K$400)</f>
        <v/>
      </c>
      <c r="N102" s="409">
        <f>SUMPRODUCT(('Full month Pivot'!$A$3:$A$400=TRIM($A$102))*('Full month Pivot'!$D$2:$K$2=N$2)*'Full month Pivot'!$D$3:$K$400)</f>
        <v/>
      </c>
      <c r="O102" s="409">
        <f>SUMPRODUCT(('Full month Pivot'!$A$3:$A$400=TRIM($A$102))*('Full month Pivot'!$D$2:$K$2=O$2)*'Full month Pivot'!$D$3:$K$400)</f>
        <v/>
      </c>
      <c r="P102" s="409">
        <f>SUMPRODUCT(('Full month Pivot'!$A$3:$A$400=TRIM($A$102))*('Full month Pivot'!$D$2:$K$2=P$2)*'Full month Pivot'!$D$3:$K$400)</f>
        <v/>
      </c>
      <c r="Q102" s="410">
        <f>SUMPRODUCT(('Full month Pivot'!$A$3:$A$400=TRIM($A$102))*('Full month Pivot'!$D$2:$K$2=Q$2)*'Full month Pivot'!$D$3:$K$400)</f>
        <v/>
      </c>
      <c r="R102" s="409">
        <f>SUMPRODUCT(('Full month Pivot'!$A$3:$A$400=TRIM($A$102))*('Full month Pivot'!$D$2:$K$2=R$2)*'Full month Pivot'!$D$3:$K$400)</f>
        <v/>
      </c>
      <c r="S102" s="409">
        <f>SUMPRODUCT(('Full month Pivot'!$A$3:$A$400=TRIM($A$102))*('Full month Pivot'!$D$2:$K$2=S$2)*'Full month Pivot'!$D$3:$K$400)</f>
        <v/>
      </c>
      <c r="T102" s="411">
        <f>G102-F102</f>
        <v/>
      </c>
      <c r="U102" s="375" t="n"/>
      <c r="V102" s="375" t="n"/>
      <c r="W102" s="375" t="n"/>
      <c r="X102" s="375" t="n"/>
      <c r="Y102" s="375" t="n"/>
      <c r="Z102" s="375" t="n"/>
      <c r="AA102" s="153" t="n"/>
      <c r="AB102" s="140" t="n"/>
      <c r="AC102" s="140" t="n"/>
      <c r="AD102" s="140" t="n"/>
    </row>
    <row r="103" ht="15.75" customHeight="1" s="346">
      <c r="A103" s="413" t="inlineStr">
        <is>
          <t xml:space="preserve">  ↳ Click to app: Campaign</t>
        </is>
      </c>
      <c r="B103" s="414" t="n"/>
      <c r="C103" s="414" t="n"/>
      <c r="D103" s="414" t="n"/>
      <c r="E103" s="414" t="n"/>
      <c r="F103" s="414" t="n">
        <v>138</v>
      </c>
      <c r="G103" s="415" t="n">
        <v>244</v>
      </c>
      <c r="H103" s="414" t="n"/>
      <c r="I103" s="414" t="n"/>
      <c r="J103" s="416">
        <f>G103-F103</f>
        <v/>
      </c>
      <c r="K103" s="417">
        <f>IF(G102&gt;0, G103/G102, 0)</f>
        <v/>
      </c>
      <c r="L103" s="414" t="n"/>
      <c r="M103" s="414" t="n"/>
      <c r="N103" s="414" t="n"/>
      <c r="O103" s="414" t="n"/>
      <c r="P103" s="414" t="n">
        <v>180</v>
      </c>
      <c r="Q103" s="415">
        <f>G103</f>
        <v/>
      </c>
      <c r="R103" s="414" t="n"/>
      <c r="S103" s="414" t="n"/>
      <c r="T103" s="416">
        <f>G103-F103</f>
        <v/>
      </c>
      <c r="U103" s="376" t="n"/>
      <c r="V103" s="376" t="n"/>
      <c r="W103" s="376" t="n"/>
      <c r="X103" s="376" t="n"/>
      <c r="Y103" s="376" t="n"/>
      <c r="Z103" s="376" t="n"/>
      <c r="AA103" s="203" t="n"/>
      <c r="AB103" s="140" t="n"/>
      <c r="AC103" s="140" t="n"/>
      <c r="AD103" s="140" t="n"/>
    </row>
    <row r="104" ht="15.75" customHeight="1" s="346">
      <c r="A104" s="408" t="inlineStr">
        <is>
          <t>Blog</t>
        </is>
      </c>
      <c r="B104" s="409">
        <f>SUMPRODUCT(('MTD Pivot'!$A$3:$A$400=TRIM($A$104))*('MTD Pivot'!$D$2:$K$2=B$2)*'MTD Pivot'!$D$3:$K$400)</f>
        <v/>
      </c>
      <c r="C104" s="409">
        <f>SUMPRODUCT(('MTD Pivot'!$A$3:$A$400=TRIM($A$104))*('MTD Pivot'!$D$2:$K$2=C$2)*'MTD Pivot'!$D$3:$K$400)</f>
        <v/>
      </c>
      <c r="D104" s="409">
        <f>SUMPRODUCT(('MTD Pivot'!$A$3:$A$400=TRIM($A$104))*('MTD Pivot'!$D$2:$K$2=D$2)*'MTD Pivot'!$D$3:$K$400)</f>
        <v/>
      </c>
      <c r="E104" s="409">
        <f>SUMPRODUCT(('MTD Pivot'!$A$3:$A$400=TRIM($A$104))*('MTD Pivot'!$D$2:$K$2=E$2)*'MTD Pivot'!$D$3:$K$400)</f>
        <v/>
      </c>
      <c r="F104" s="409">
        <f>SUMPRODUCT(('MTD Pivot'!$A$3:$A$400=TRIM($A$104))*('MTD Pivot'!$D$2:$K$2=F$2)*'MTD Pivot'!$D$3:$K$400)</f>
        <v/>
      </c>
      <c r="G104" s="410">
        <f>SUMPRODUCT(('MTD Pivot'!$A$3:$A$400=TRIM($A$104))*('MTD Pivot'!$D$2:$K$2=G$2)*'MTD Pivot'!$D$3:$K$400)</f>
        <v/>
      </c>
      <c r="H104" s="409">
        <f>SUMPRODUCT(('MTD Pivot'!$A$3:$A$400=TRIM($A$104))*('MTD Pivot'!$D$2:$K$2=H$2)*'MTD Pivot'!$D$3:$K$400)</f>
        <v/>
      </c>
      <c r="I104" s="409">
        <f>SUMPRODUCT(('MTD Pivot'!$A$3:$A$400=TRIM($A$104))*('MTD Pivot'!$D$2:$K$2=I$2)*'MTD Pivot'!$D$3:$K$400)</f>
        <v/>
      </c>
      <c r="J104" s="411">
        <f>G104-F104</f>
        <v/>
      </c>
      <c r="K104" s="412" t="n"/>
      <c r="L104" s="409">
        <f>SUMPRODUCT(('Full month Pivot'!$A$3:$A$400=TRIM($A$104))*('Full month Pivot'!$D$2:$K$2=L$2)*'Full month Pivot'!$D$3:$K$400)</f>
        <v/>
      </c>
      <c r="M104" s="409">
        <f>SUMPRODUCT(('Full month Pivot'!$A$3:$A$400=TRIM($A$104))*('Full month Pivot'!$D$2:$K$2=M$2)*'Full month Pivot'!$D$3:$K$400)</f>
        <v/>
      </c>
      <c r="N104" s="409">
        <f>SUMPRODUCT(('Full month Pivot'!$A$3:$A$400=TRIM($A$104))*('Full month Pivot'!$D$2:$K$2=N$2)*'Full month Pivot'!$D$3:$K$400)</f>
        <v/>
      </c>
      <c r="O104" s="409">
        <f>SUMPRODUCT(('Full month Pivot'!$A$3:$A$400=TRIM($A$104))*('Full month Pivot'!$D$2:$K$2=O$2)*'Full month Pivot'!$D$3:$K$400)</f>
        <v/>
      </c>
      <c r="P104" s="409">
        <f>SUMPRODUCT(('Full month Pivot'!$A$3:$A$400=TRIM($A$104))*('Full month Pivot'!$D$2:$K$2=P$2)*'Full month Pivot'!$D$3:$K$400)</f>
        <v/>
      </c>
      <c r="Q104" s="410">
        <f>SUMPRODUCT(('Full month Pivot'!$A$3:$A$400=TRIM($A$104))*('Full month Pivot'!$D$2:$K$2=Q$2)*'Full month Pivot'!$D$3:$K$400)</f>
        <v/>
      </c>
      <c r="R104" s="409">
        <f>SUMPRODUCT(('Full month Pivot'!$A$3:$A$400=TRIM($A$104))*('Full month Pivot'!$D$2:$K$2=R$2)*'Full month Pivot'!$D$3:$K$400)</f>
        <v/>
      </c>
      <c r="S104" s="409">
        <f>SUMPRODUCT(('Full month Pivot'!$A$3:$A$400=TRIM($A$104))*('Full month Pivot'!$D$2:$K$2=S$2)*'Full month Pivot'!$D$3:$K$400)</f>
        <v/>
      </c>
      <c r="T104" s="411">
        <f>G104-F104</f>
        <v/>
      </c>
      <c r="U104" s="381" t="n"/>
      <c r="V104" s="381" t="n"/>
      <c r="W104" s="381" t="n"/>
      <c r="X104" s="381" t="n"/>
      <c r="Y104" s="381" t="n"/>
      <c r="Z104" s="381" t="n"/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413" t="inlineStr">
        <is>
          <t xml:space="preserve">  ↳ Click to app: Blog</t>
        </is>
      </c>
      <c r="B105" s="414" t="n"/>
      <c r="C105" s="414" t="n"/>
      <c r="D105" s="414" t="n"/>
      <c r="E105" s="414" t="n"/>
      <c r="F105" s="414" t="n">
        <v>173</v>
      </c>
      <c r="G105" s="415" t="n">
        <v>240</v>
      </c>
      <c r="H105" s="414" t="n"/>
      <c r="I105" s="414" t="n"/>
      <c r="J105" s="416">
        <f>G105-F105</f>
        <v/>
      </c>
      <c r="K105" s="417">
        <f>IF(G104&gt;0, G105/G104, 0)</f>
        <v/>
      </c>
      <c r="L105" s="414" t="n"/>
      <c r="M105" s="414" t="n"/>
      <c r="N105" s="414" t="n"/>
      <c r="O105" s="414" t="n"/>
      <c r="P105" s="414" t="n">
        <v>192</v>
      </c>
      <c r="Q105" s="415">
        <f>G105</f>
        <v/>
      </c>
      <c r="R105" s="414" t="n"/>
      <c r="S105" s="414" t="n"/>
      <c r="T105" s="416">
        <f>G105-F105</f>
        <v/>
      </c>
      <c r="U105" s="386" t="n"/>
      <c r="V105" s="386" t="n"/>
      <c r="W105" s="386" t="n"/>
      <c r="X105" s="386" t="n"/>
      <c r="Y105" s="386" t="n"/>
      <c r="Z105" s="386" t="n"/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408" t="inlineStr">
        <is>
          <t>Application Store</t>
        </is>
      </c>
      <c r="B106" s="409">
        <f>SUMPRODUCT(('MTD Pivot'!$A$3:$A$400=TRIM($A$106))*('MTD Pivot'!$D$2:$K$2=B$2)*'MTD Pivot'!$D$3:$K$400)</f>
        <v/>
      </c>
      <c r="C106" s="409">
        <f>SUMPRODUCT(('MTD Pivot'!$A$3:$A$400=TRIM($A$106))*('MTD Pivot'!$D$2:$K$2=C$2)*'MTD Pivot'!$D$3:$K$400)</f>
        <v/>
      </c>
      <c r="D106" s="409">
        <f>SUMPRODUCT(('MTD Pivot'!$A$3:$A$400=TRIM($A$106))*('MTD Pivot'!$D$2:$K$2=D$2)*'MTD Pivot'!$D$3:$K$400)</f>
        <v/>
      </c>
      <c r="E106" s="409">
        <f>SUMPRODUCT(('MTD Pivot'!$A$3:$A$400=TRIM($A$106))*('MTD Pivot'!$D$2:$K$2=E$2)*'MTD Pivot'!$D$3:$K$400)</f>
        <v/>
      </c>
      <c r="F106" s="409">
        <f>SUMPRODUCT(('MTD Pivot'!$A$3:$A$400=TRIM($A$106))*('MTD Pivot'!$D$2:$K$2=F$2)*'MTD Pivot'!$D$3:$K$400)</f>
        <v/>
      </c>
      <c r="G106" s="410">
        <f>SUMPRODUCT(('MTD Pivot'!$A$3:$A$400=TRIM($A$106))*('MTD Pivot'!$D$2:$K$2=G$2)*'MTD Pivot'!$D$3:$K$400)</f>
        <v/>
      </c>
      <c r="H106" s="409">
        <f>SUMPRODUCT(('MTD Pivot'!$A$3:$A$400=TRIM($A$106))*('MTD Pivot'!$D$2:$K$2=H$2)*'MTD Pivot'!$D$3:$K$400)</f>
        <v/>
      </c>
      <c r="I106" s="409">
        <f>SUMPRODUCT(('MTD Pivot'!$A$3:$A$400=TRIM($A$106))*('MTD Pivot'!$D$2:$K$2=I$2)*'MTD Pivot'!$D$3:$K$400)</f>
        <v/>
      </c>
      <c r="J106" s="411">
        <f>G106-F106</f>
        <v/>
      </c>
      <c r="K106" s="412" t="n"/>
      <c r="L106" s="409">
        <f>SUMPRODUCT(('Full month Pivot'!$A$3:$A$400=TRIM($A$106))*('Full month Pivot'!$D$2:$K$2=L$2)*'Full month Pivot'!$D$3:$K$400)</f>
        <v/>
      </c>
      <c r="M106" s="409">
        <f>SUMPRODUCT(('Full month Pivot'!$A$3:$A$400=TRIM($A$106))*('Full month Pivot'!$D$2:$K$2=M$2)*'Full month Pivot'!$D$3:$K$400)</f>
        <v/>
      </c>
      <c r="N106" s="409">
        <f>SUMPRODUCT(('Full month Pivot'!$A$3:$A$400=TRIM($A$106))*('Full month Pivot'!$D$2:$K$2=N$2)*'Full month Pivot'!$D$3:$K$400)</f>
        <v/>
      </c>
      <c r="O106" s="409">
        <f>SUMPRODUCT(('Full month Pivot'!$A$3:$A$400=TRIM($A$106))*('Full month Pivot'!$D$2:$K$2=O$2)*'Full month Pivot'!$D$3:$K$400)</f>
        <v/>
      </c>
      <c r="P106" s="409">
        <f>SUMPRODUCT(('Full month Pivot'!$A$3:$A$400=TRIM($A$106))*('Full month Pivot'!$D$2:$K$2=P$2)*'Full month Pivot'!$D$3:$K$400)</f>
        <v/>
      </c>
      <c r="Q106" s="410">
        <f>SUMPRODUCT(('Full month Pivot'!$A$3:$A$400=TRIM($A$106))*('Full month Pivot'!$D$2:$K$2=Q$2)*'Full month Pivot'!$D$3:$K$400)</f>
        <v/>
      </c>
      <c r="R106" s="409">
        <f>SUMPRODUCT(('Full month Pivot'!$A$3:$A$400=TRIM($A$106))*('Full month Pivot'!$D$2:$K$2=R$2)*'Full month Pivot'!$D$3:$K$400)</f>
        <v/>
      </c>
      <c r="S106" s="409">
        <f>SUMPRODUCT(('Full month Pivot'!$A$3:$A$400=TRIM($A$106))*('Full month Pivot'!$D$2:$K$2=S$2)*'Full month Pivot'!$D$3:$K$400)</f>
        <v/>
      </c>
      <c r="T106" s="411">
        <f>G106-F106</f>
        <v/>
      </c>
      <c r="U106" s="386" t="n"/>
      <c r="V106" s="386" t="n"/>
      <c r="W106" s="386" t="n"/>
      <c r="X106" s="386" t="n"/>
      <c r="Y106" s="386" t="n"/>
      <c r="Z106" s="386" t="n"/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413" t="inlineStr">
        <is>
          <t xml:space="preserve">  ↳ Click to app: Application Store</t>
        </is>
      </c>
      <c r="B107" s="414" t="n"/>
      <c r="C107" s="414" t="n"/>
      <c r="D107" s="414" t="n"/>
      <c r="E107" s="414" t="n"/>
      <c r="F107" s="414" t="n">
        <v>271</v>
      </c>
      <c r="G107" s="415" t="n">
        <v>455</v>
      </c>
      <c r="H107" s="414" t="n"/>
      <c r="I107" s="414" t="n"/>
      <c r="J107" s="416">
        <f>G107-F107</f>
        <v/>
      </c>
      <c r="K107" s="417">
        <f>IF(G106&gt;0, G107/G106, 0)</f>
        <v/>
      </c>
      <c r="L107" s="414" t="n"/>
      <c r="M107" s="414" t="n"/>
      <c r="N107" s="414" t="n"/>
      <c r="O107" s="414" t="n"/>
      <c r="P107" s="414" t="n">
        <v>287</v>
      </c>
      <c r="Q107" s="415">
        <f>G107</f>
        <v/>
      </c>
      <c r="R107" s="414" t="n"/>
      <c r="S107" s="414" t="n"/>
      <c r="T107" s="416">
        <f>G107-F107</f>
        <v/>
      </c>
      <c r="U107" s="386" t="n"/>
      <c r="V107" s="386" t="n"/>
      <c r="W107" s="386" t="n"/>
      <c r="X107" s="386" t="n"/>
      <c r="Y107" s="386" t="n"/>
      <c r="Z107" s="386" t="n"/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408" t="inlineStr">
        <is>
          <t>Vé số</t>
        </is>
      </c>
      <c r="B108" s="409">
        <f>SUMPRODUCT(('MTD Pivot'!$A$3:$A$400=TRIM($A$108))*('MTD Pivot'!$D$2:$K$2=B$2)*'MTD Pivot'!$D$3:$K$400)</f>
        <v/>
      </c>
      <c r="C108" s="409">
        <f>SUMPRODUCT(('MTD Pivot'!$A$3:$A$400=TRIM($A$108))*('MTD Pivot'!$D$2:$K$2=C$2)*'MTD Pivot'!$D$3:$K$400)</f>
        <v/>
      </c>
      <c r="D108" s="409">
        <f>SUMPRODUCT(('MTD Pivot'!$A$3:$A$400=TRIM($A$108))*('MTD Pivot'!$D$2:$K$2=D$2)*'MTD Pivot'!$D$3:$K$400)</f>
        <v/>
      </c>
      <c r="E108" s="409">
        <f>SUMPRODUCT(('MTD Pivot'!$A$3:$A$400=TRIM($A$108))*('MTD Pivot'!$D$2:$K$2=E$2)*'MTD Pivot'!$D$3:$K$400)</f>
        <v/>
      </c>
      <c r="F108" s="409">
        <f>SUMPRODUCT(('MTD Pivot'!$A$3:$A$400=TRIM($A$108))*('MTD Pivot'!$D$2:$K$2=F$2)*'MTD Pivot'!$D$3:$K$400)</f>
        <v/>
      </c>
      <c r="G108" s="410">
        <f>SUMPRODUCT(('MTD Pivot'!$A$3:$A$400=TRIM($A$108))*('MTD Pivot'!$D$2:$K$2=G$2)*'MTD Pivot'!$D$3:$K$400)</f>
        <v/>
      </c>
      <c r="H108" s="409">
        <f>SUMPRODUCT(('MTD Pivot'!$A$3:$A$400=TRIM($A$108))*('MTD Pivot'!$D$2:$K$2=H$2)*'MTD Pivot'!$D$3:$K$400)</f>
        <v/>
      </c>
      <c r="I108" s="409">
        <f>SUMPRODUCT(('MTD Pivot'!$A$3:$A$400=TRIM($A$108))*('MTD Pivot'!$D$2:$K$2=I$2)*'MTD Pivot'!$D$3:$K$400)</f>
        <v/>
      </c>
      <c r="J108" s="411">
        <f>G108-F108</f>
        <v/>
      </c>
      <c r="K108" s="412" t="n"/>
      <c r="L108" s="409">
        <f>SUMPRODUCT(('Full month Pivot'!$A$3:$A$400=TRIM($A$108))*('Full month Pivot'!$D$2:$K$2=L$2)*'Full month Pivot'!$D$3:$K$400)</f>
        <v/>
      </c>
      <c r="M108" s="409">
        <f>SUMPRODUCT(('Full month Pivot'!$A$3:$A$400=TRIM($A$108))*('Full month Pivot'!$D$2:$K$2=M$2)*'Full month Pivot'!$D$3:$K$400)</f>
        <v/>
      </c>
      <c r="N108" s="409">
        <f>SUMPRODUCT(('Full month Pivot'!$A$3:$A$400=TRIM($A$108))*('Full month Pivot'!$D$2:$K$2=N$2)*'Full month Pivot'!$D$3:$K$400)</f>
        <v/>
      </c>
      <c r="O108" s="409">
        <f>SUMPRODUCT(('Full month Pivot'!$A$3:$A$400=TRIM($A$108))*('Full month Pivot'!$D$2:$K$2=O$2)*'Full month Pivot'!$D$3:$K$400)</f>
        <v/>
      </c>
      <c r="P108" s="409">
        <f>SUMPRODUCT(('Full month Pivot'!$A$3:$A$400=TRIM($A$108))*('Full month Pivot'!$D$2:$K$2=P$2)*'Full month Pivot'!$D$3:$K$400)</f>
        <v/>
      </c>
      <c r="Q108" s="410">
        <f>SUMPRODUCT(('Full month Pivot'!$A$3:$A$400=TRIM($A$108))*('Full month Pivot'!$D$2:$K$2=Q$2)*'Full month Pivot'!$D$3:$K$400)</f>
        <v/>
      </c>
      <c r="R108" s="409">
        <f>SUMPRODUCT(('Full month Pivot'!$A$3:$A$400=TRIM($A$108))*('Full month Pivot'!$D$2:$K$2=R$2)*'Full month Pivot'!$D$3:$K$400)</f>
        <v/>
      </c>
      <c r="S108" s="409">
        <f>SUMPRODUCT(('Full month Pivot'!$A$3:$A$400=TRIM($A$108))*('Full month Pivot'!$D$2:$K$2=S$2)*'Full month Pivot'!$D$3:$K$400)</f>
        <v/>
      </c>
      <c r="T108" s="411">
        <f>G108-F108</f>
        <v/>
      </c>
      <c r="U108" s="386" t="n"/>
      <c r="V108" s="386" t="n"/>
      <c r="W108" s="386" t="n"/>
      <c r="X108" s="386" t="n"/>
      <c r="Y108" s="386" t="n"/>
      <c r="Z108" s="386" t="n"/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413" t="inlineStr">
        <is>
          <t xml:space="preserve">  ↳ Click to app: Vé số</t>
        </is>
      </c>
      <c r="B109" s="414" t="n"/>
      <c r="C109" s="414" t="n"/>
      <c r="D109" s="414" t="n"/>
      <c r="E109" s="414" t="n"/>
      <c r="F109" s="414" t="n">
        <v>98</v>
      </c>
      <c r="G109" s="415" t="n">
        <v>276</v>
      </c>
      <c r="H109" s="414" t="n"/>
      <c r="I109" s="414" t="n"/>
      <c r="J109" s="416">
        <f>G109-F109</f>
        <v/>
      </c>
      <c r="K109" s="417">
        <f>IF(G108&gt;0, G109/G108, 0)</f>
        <v/>
      </c>
      <c r="L109" s="414" t="n"/>
      <c r="M109" s="414" t="n"/>
      <c r="N109" s="414" t="n"/>
      <c r="O109" s="414" t="n"/>
      <c r="P109" s="414" t="n">
        <v>117</v>
      </c>
      <c r="Q109" s="415">
        <f>G109</f>
        <v/>
      </c>
      <c r="R109" s="414" t="n"/>
      <c r="S109" s="414" t="n"/>
      <c r="T109" s="416">
        <f>G109-F109</f>
        <v/>
      </c>
      <c r="U109" s="386" t="n"/>
      <c r="V109" s="386" t="n"/>
      <c r="W109" s="386" t="n"/>
      <c r="X109" s="386" t="n"/>
      <c r="Y109" s="386" t="n"/>
      <c r="Z109" s="386" t="n"/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408" t="inlineStr">
        <is>
          <t>Dịch vụ liên kết</t>
        </is>
      </c>
      <c r="B110" s="409">
        <f>SUMPRODUCT(('MTD Pivot'!$A$3:$A$400=TRIM($A$110))*('MTD Pivot'!$D$2:$K$2=B$2)*'MTD Pivot'!$D$3:$K$400)</f>
        <v/>
      </c>
      <c r="C110" s="409">
        <f>SUMPRODUCT(('MTD Pivot'!$A$3:$A$400=TRIM($A$110))*('MTD Pivot'!$D$2:$K$2=C$2)*'MTD Pivot'!$D$3:$K$400)</f>
        <v/>
      </c>
      <c r="D110" s="409">
        <f>SUMPRODUCT(('MTD Pivot'!$A$3:$A$400=TRIM($A$110))*('MTD Pivot'!$D$2:$K$2=D$2)*'MTD Pivot'!$D$3:$K$400)</f>
        <v/>
      </c>
      <c r="E110" s="409">
        <f>SUMPRODUCT(('MTD Pivot'!$A$3:$A$400=TRIM($A$110))*('MTD Pivot'!$D$2:$K$2=E$2)*'MTD Pivot'!$D$3:$K$400)</f>
        <v/>
      </c>
      <c r="F110" s="409">
        <f>SUMPRODUCT(('MTD Pivot'!$A$3:$A$400=TRIM($A$110))*('MTD Pivot'!$D$2:$K$2=F$2)*'MTD Pivot'!$D$3:$K$400)</f>
        <v/>
      </c>
      <c r="G110" s="410">
        <f>SUMPRODUCT(('MTD Pivot'!$A$3:$A$400=TRIM($A$110))*('MTD Pivot'!$D$2:$K$2=G$2)*'MTD Pivot'!$D$3:$K$400)</f>
        <v/>
      </c>
      <c r="H110" s="409">
        <f>SUMPRODUCT(('MTD Pivot'!$A$3:$A$400=TRIM($A$110))*('MTD Pivot'!$D$2:$K$2=H$2)*'MTD Pivot'!$D$3:$K$400)</f>
        <v/>
      </c>
      <c r="I110" s="409">
        <f>SUMPRODUCT(('MTD Pivot'!$A$3:$A$400=TRIM($A$110))*('MTD Pivot'!$D$2:$K$2=I$2)*'MTD Pivot'!$D$3:$K$400)</f>
        <v/>
      </c>
      <c r="J110" s="411">
        <f>G110-F110</f>
        <v/>
      </c>
      <c r="K110" s="412" t="n"/>
      <c r="L110" s="409">
        <f>SUMPRODUCT(('Full month Pivot'!$A$3:$A$400=TRIM($A$110))*('Full month Pivot'!$D$2:$K$2=L$2)*'Full month Pivot'!$D$3:$K$400)</f>
        <v/>
      </c>
      <c r="M110" s="409">
        <f>SUMPRODUCT(('Full month Pivot'!$A$3:$A$400=TRIM($A$110))*('Full month Pivot'!$D$2:$K$2=M$2)*'Full month Pivot'!$D$3:$K$400)</f>
        <v/>
      </c>
      <c r="N110" s="409">
        <f>SUMPRODUCT(('Full month Pivot'!$A$3:$A$400=TRIM($A$110))*('Full month Pivot'!$D$2:$K$2=N$2)*'Full month Pivot'!$D$3:$K$400)</f>
        <v/>
      </c>
      <c r="O110" s="409">
        <f>SUMPRODUCT(('Full month Pivot'!$A$3:$A$400=TRIM($A$110))*('Full month Pivot'!$D$2:$K$2=O$2)*'Full month Pivot'!$D$3:$K$400)</f>
        <v/>
      </c>
      <c r="P110" s="409">
        <f>SUMPRODUCT(('Full month Pivot'!$A$3:$A$400=TRIM($A$110))*('Full month Pivot'!$D$2:$K$2=P$2)*'Full month Pivot'!$D$3:$K$400)</f>
        <v/>
      </c>
      <c r="Q110" s="410">
        <f>SUMPRODUCT(('Full month Pivot'!$A$3:$A$400=TRIM($A$110))*('Full month Pivot'!$D$2:$K$2=Q$2)*'Full month Pivot'!$D$3:$K$400)</f>
        <v/>
      </c>
      <c r="R110" s="409">
        <f>SUMPRODUCT(('Full month Pivot'!$A$3:$A$400=TRIM($A$110))*('Full month Pivot'!$D$2:$K$2=R$2)*'Full month Pivot'!$D$3:$K$400)</f>
        <v/>
      </c>
      <c r="S110" s="409">
        <f>SUMPRODUCT(('Full month Pivot'!$A$3:$A$400=TRIM($A$110))*('Full month Pivot'!$D$2:$K$2=S$2)*'Full month Pivot'!$D$3:$K$400)</f>
        <v/>
      </c>
      <c r="T110" s="411">
        <f>G110-F110</f>
        <v/>
      </c>
      <c r="U110" s="395" t="n"/>
      <c r="V110" s="395" t="n"/>
      <c r="W110" s="395" t="n"/>
      <c r="X110" s="395" t="n"/>
      <c r="Y110" s="395" t="n"/>
      <c r="Z110" s="395" t="n"/>
      <c r="AA110" s="202" t="n"/>
      <c r="AB110" s="140" t="n"/>
      <c r="AC110" s="140" t="n"/>
      <c r="AD110" s="140" t="n"/>
    </row>
    <row r="111" ht="15.75" customHeight="1" s="346">
      <c r="A111" s="413" t="inlineStr">
        <is>
          <t xml:space="preserve">  ↳ Click to app: Dịch vụ liên kết</t>
        </is>
      </c>
      <c r="B111" s="414" t="n"/>
      <c r="C111" s="414" t="n"/>
      <c r="D111" s="414" t="n"/>
      <c r="E111" s="414" t="n"/>
      <c r="F111" s="414" t="n">
        <v>86</v>
      </c>
      <c r="G111" s="415" t="n">
        <v>70</v>
      </c>
      <c r="H111" s="414" t="n"/>
      <c r="I111" s="414" t="n"/>
      <c r="J111" s="416">
        <f>G111-F111</f>
        <v/>
      </c>
      <c r="K111" s="417">
        <f>IF(G110&gt;0, G111/G110, 0)</f>
        <v/>
      </c>
      <c r="L111" s="414" t="n"/>
      <c r="M111" s="414" t="n"/>
      <c r="N111" s="414" t="n"/>
      <c r="O111" s="414" t="n"/>
      <c r="P111" s="414" t="n">
        <v>93</v>
      </c>
      <c r="Q111" s="415">
        <f>G111</f>
        <v/>
      </c>
      <c r="R111" s="414" t="n"/>
      <c r="S111" s="414" t="n"/>
      <c r="T111" s="416">
        <f>G111-F111</f>
        <v/>
      </c>
      <c r="U111" s="365" t="n"/>
      <c r="V111" s="365" t="n"/>
      <c r="W111" s="365" t="n"/>
      <c r="X111" s="365" t="n"/>
      <c r="Y111" s="365" t="n"/>
      <c r="Z111" s="365" t="n"/>
      <c r="AA111" s="145" t="n"/>
      <c r="AB111" s="140" t="n"/>
      <c r="AC111" s="140" t="n"/>
      <c r="AD111" s="140" t="n"/>
    </row>
    <row r="112" ht="15.75" customHeight="1" s="346">
      <c r="A112" s="408" t="inlineStr">
        <is>
          <t>Billpay</t>
        </is>
      </c>
      <c r="B112" s="409">
        <f>SUMPRODUCT(('MTD Pivot'!$A$3:$A$400=TRIM($A$112))*('MTD Pivot'!$D$2:$K$2=B$2)*'MTD Pivot'!$D$3:$K$400)</f>
        <v/>
      </c>
      <c r="C112" s="409">
        <f>SUMPRODUCT(('MTD Pivot'!$A$3:$A$400=TRIM($A$112))*('MTD Pivot'!$D$2:$K$2=C$2)*'MTD Pivot'!$D$3:$K$400)</f>
        <v/>
      </c>
      <c r="D112" s="409">
        <f>SUMPRODUCT(('MTD Pivot'!$A$3:$A$400=TRIM($A$112))*('MTD Pivot'!$D$2:$K$2=D$2)*'MTD Pivot'!$D$3:$K$400)</f>
        <v/>
      </c>
      <c r="E112" s="409">
        <f>SUMPRODUCT(('MTD Pivot'!$A$3:$A$400=TRIM($A$112))*('MTD Pivot'!$D$2:$K$2=E$2)*'MTD Pivot'!$D$3:$K$400)</f>
        <v/>
      </c>
      <c r="F112" s="409">
        <f>SUMPRODUCT(('MTD Pivot'!$A$3:$A$400=TRIM($A$112))*('MTD Pivot'!$D$2:$K$2=F$2)*'MTD Pivot'!$D$3:$K$400)</f>
        <v/>
      </c>
      <c r="G112" s="410">
        <f>SUMPRODUCT(('MTD Pivot'!$A$3:$A$400=TRIM($A$112))*('MTD Pivot'!$D$2:$K$2=G$2)*'MTD Pivot'!$D$3:$K$400)</f>
        <v/>
      </c>
      <c r="H112" s="409">
        <f>SUMPRODUCT(('MTD Pivot'!$A$3:$A$400=TRIM($A$112))*('MTD Pivot'!$D$2:$K$2=H$2)*'MTD Pivot'!$D$3:$K$400)</f>
        <v/>
      </c>
      <c r="I112" s="409">
        <f>SUMPRODUCT(('MTD Pivot'!$A$3:$A$400=TRIM($A$112))*('MTD Pivot'!$D$2:$K$2=I$2)*'MTD Pivot'!$D$3:$K$400)</f>
        <v/>
      </c>
      <c r="J112" s="411">
        <f>G112-F112</f>
        <v/>
      </c>
      <c r="K112" s="412" t="n"/>
      <c r="L112" s="409">
        <f>SUMPRODUCT(('Full month Pivot'!$A$3:$A$400=TRIM($A$112))*('Full month Pivot'!$D$2:$K$2=L$2)*'Full month Pivot'!$D$3:$K$400)</f>
        <v/>
      </c>
      <c r="M112" s="409">
        <f>SUMPRODUCT(('Full month Pivot'!$A$3:$A$400=TRIM($A$112))*('Full month Pivot'!$D$2:$K$2=M$2)*'Full month Pivot'!$D$3:$K$400)</f>
        <v/>
      </c>
      <c r="N112" s="409">
        <f>SUMPRODUCT(('Full month Pivot'!$A$3:$A$400=TRIM($A$112))*('Full month Pivot'!$D$2:$K$2=N$2)*'Full month Pivot'!$D$3:$K$400)</f>
        <v/>
      </c>
      <c r="O112" s="409">
        <f>SUMPRODUCT(('Full month Pivot'!$A$3:$A$400=TRIM($A$112))*('Full month Pivot'!$D$2:$K$2=O$2)*'Full month Pivot'!$D$3:$K$400)</f>
        <v/>
      </c>
      <c r="P112" s="409">
        <f>SUMPRODUCT(('Full month Pivot'!$A$3:$A$400=TRIM($A$112))*('Full month Pivot'!$D$2:$K$2=P$2)*'Full month Pivot'!$D$3:$K$400)</f>
        <v/>
      </c>
      <c r="Q112" s="410">
        <f>SUMPRODUCT(('Full month Pivot'!$A$3:$A$400=TRIM($A$112))*('Full month Pivot'!$D$2:$K$2=Q$2)*'Full month Pivot'!$D$3:$K$400)</f>
        <v/>
      </c>
      <c r="R112" s="409">
        <f>SUMPRODUCT(('Full month Pivot'!$A$3:$A$400=TRIM($A$112))*('Full month Pivot'!$D$2:$K$2=R$2)*'Full month Pivot'!$D$3:$K$400)</f>
        <v/>
      </c>
      <c r="S112" s="409">
        <f>SUMPRODUCT(('Full month Pivot'!$A$3:$A$400=TRIM($A$112))*('Full month Pivot'!$D$2:$K$2=S$2)*'Full month Pivot'!$D$3:$K$400)</f>
        <v/>
      </c>
      <c r="T112" s="411">
        <f>G112-F112</f>
        <v/>
      </c>
      <c r="U112" s="367" t="n"/>
      <c r="V112" s="367" t="n"/>
      <c r="W112" s="367" t="n"/>
      <c r="X112" s="367" t="n"/>
      <c r="Y112" s="367" t="n"/>
      <c r="Z112" s="367" t="n"/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413" t="inlineStr">
        <is>
          <t xml:space="preserve">  ↳ Click to app: Billpay</t>
        </is>
      </c>
      <c r="B113" s="414" t="n"/>
      <c r="C113" s="414" t="n"/>
      <c r="D113" s="414" t="n"/>
      <c r="E113" s="414" t="n"/>
      <c r="F113" s="414" t="n">
        <v>115</v>
      </c>
      <c r="G113" s="415" t="n">
        <v>148</v>
      </c>
      <c r="H113" s="414" t="n"/>
      <c r="I113" s="414" t="n"/>
      <c r="J113" s="416">
        <f>G113-F113</f>
        <v/>
      </c>
      <c r="K113" s="417">
        <f>IF(G112&gt;0, G113/G112, 0)</f>
        <v/>
      </c>
      <c r="L113" s="414" t="n"/>
      <c r="M113" s="414" t="n"/>
      <c r="N113" s="414" t="n"/>
      <c r="O113" s="414" t="n"/>
      <c r="P113" s="414" t="n">
        <v>133</v>
      </c>
      <c r="Q113" s="415">
        <f>G113</f>
        <v/>
      </c>
      <c r="R113" s="414" t="n"/>
      <c r="S113" s="414" t="n"/>
      <c r="T113" s="416">
        <f>G113-F113</f>
        <v/>
      </c>
      <c r="U113" s="373" t="n"/>
      <c r="V113" s="373" t="n"/>
      <c r="W113" s="373" t="n"/>
      <c r="X113" s="373" t="n"/>
      <c r="Y113" s="373" t="n"/>
      <c r="Z113" s="373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408" t="inlineStr">
        <is>
          <t>P2P</t>
        </is>
      </c>
      <c r="B114" s="409">
        <f>SUMPRODUCT(('MTD Pivot'!$A$3:$A$400=TRIM($A$114))*('MTD Pivot'!$D$2:$K$2=B$2)*'MTD Pivot'!$D$3:$K$400)</f>
        <v/>
      </c>
      <c r="C114" s="409">
        <f>SUMPRODUCT(('MTD Pivot'!$A$3:$A$400=TRIM($A$114))*('MTD Pivot'!$D$2:$K$2=C$2)*'MTD Pivot'!$D$3:$K$400)</f>
        <v/>
      </c>
      <c r="D114" s="409">
        <f>SUMPRODUCT(('MTD Pivot'!$A$3:$A$400=TRIM($A$114))*('MTD Pivot'!$D$2:$K$2=D$2)*'MTD Pivot'!$D$3:$K$400)</f>
        <v/>
      </c>
      <c r="E114" s="409">
        <f>SUMPRODUCT(('MTD Pivot'!$A$3:$A$400=TRIM($A$114))*('MTD Pivot'!$D$2:$K$2=E$2)*'MTD Pivot'!$D$3:$K$400)</f>
        <v/>
      </c>
      <c r="F114" s="409">
        <f>SUMPRODUCT(('MTD Pivot'!$A$3:$A$400=TRIM($A$114))*('MTD Pivot'!$D$2:$K$2=F$2)*'MTD Pivot'!$D$3:$K$400)</f>
        <v/>
      </c>
      <c r="G114" s="410">
        <f>SUMPRODUCT(('MTD Pivot'!$A$3:$A$400=TRIM($A$114))*('MTD Pivot'!$D$2:$K$2=G$2)*'MTD Pivot'!$D$3:$K$400)</f>
        <v/>
      </c>
      <c r="H114" s="409">
        <f>SUMPRODUCT(('MTD Pivot'!$A$3:$A$400=TRIM($A$114))*('MTD Pivot'!$D$2:$K$2=H$2)*'MTD Pivot'!$D$3:$K$400)</f>
        <v/>
      </c>
      <c r="I114" s="409">
        <f>SUMPRODUCT(('MTD Pivot'!$A$3:$A$400=TRIM($A$114))*('MTD Pivot'!$D$2:$K$2=I$2)*'MTD Pivot'!$D$3:$K$400)</f>
        <v/>
      </c>
      <c r="J114" s="411">
        <f>G114-F114</f>
        <v/>
      </c>
      <c r="K114" s="412" t="n"/>
      <c r="L114" s="409">
        <f>SUMPRODUCT(('Full month Pivot'!$A$3:$A$400=TRIM($A$114))*('Full month Pivot'!$D$2:$K$2=L$2)*'Full month Pivot'!$D$3:$K$400)</f>
        <v/>
      </c>
      <c r="M114" s="409">
        <f>SUMPRODUCT(('Full month Pivot'!$A$3:$A$400=TRIM($A$114))*('Full month Pivot'!$D$2:$K$2=M$2)*'Full month Pivot'!$D$3:$K$400)</f>
        <v/>
      </c>
      <c r="N114" s="409">
        <f>SUMPRODUCT(('Full month Pivot'!$A$3:$A$400=TRIM($A$114))*('Full month Pivot'!$D$2:$K$2=N$2)*'Full month Pivot'!$D$3:$K$400)</f>
        <v/>
      </c>
      <c r="O114" s="409">
        <f>SUMPRODUCT(('Full month Pivot'!$A$3:$A$400=TRIM($A$114))*('Full month Pivot'!$D$2:$K$2=O$2)*'Full month Pivot'!$D$3:$K$400)</f>
        <v/>
      </c>
      <c r="P114" s="409">
        <f>SUMPRODUCT(('Full month Pivot'!$A$3:$A$400=TRIM($A$114))*('Full month Pivot'!$D$2:$K$2=P$2)*'Full month Pivot'!$D$3:$K$400)</f>
        <v/>
      </c>
      <c r="Q114" s="410">
        <f>SUMPRODUCT(('Full month Pivot'!$A$3:$A$400=TRIM($A$114))*('Full month Pivot'!$D$2:$K$2=Q$2)*'Full month Pivot'!$D$3:$K$400)</f>
        <v/>
      </c>
      <c r="R114" s="409">
        <f>SUMPRODUCT(('Full month Pivot'!$A$3:$A$400=TRIM($A$114))*('Full month Pivot'!$D$2:$K$2=R$2)*'Full month Pivot'!$D$3:$K$400)</f>
        <v/>
      </c>
      <c r="S114" s="409">
        <f>SUMPRODUCT(('Full month Pivot'!$A$3:$A$400=TRIM($A$114))*('Full month Pivot'!$D$2:$K$2=S$2)*'Full month Pivot'!$D$3:$K$400)</f>
        <v/>
      </c>
      <c r="T114" s="411">
        <f>G114-F114</f>
        <v/>
      </c>
      <c r="U114" s="375" t="n"/>
      <c r="V114" s="375" t="n"/>
      <c r="W114" s="375" t="n"/>
      <c r="X114" s="375" t="n"/>
      <c r="Y114" s="375" t="n"/>
      <c r="Z114" s="375" t="n"/>
      <c r="AA114" s="153" t="n"/>
      <c r="AB114" s="140" t="n"/>
      <c r="AC114" s="140" t="n"/>
      <c r="AD114" s="140" t="n"/>
    </row>
    <row r="115" ht="15.75" customHeight="1" s="346">
      <c r="A115" s="413" t="inlineStr">
        <is>
          <t xml:space="preserve">  ↳ Click to app: P2P</t>
        </is>
      </c>
      <c r="B115" s="414" t="n"/>
      <c r="C115" s="414" t="n"/>
      <c r="D115" s="414" t="n"/>
      <c r="E115" s="414" t="n"/>
      <c r="F115" s="414" t="n">
        <v>325</v>
      </c>
      <c r="G115" s="415" t="n">
        <v>310</v>
      </c>
      <c r="H115" s="414" t="n"/>
      <c r="I115" s="414" t="n"/>
      <c r="J115" s="416">
        <f>G115-F115</f>
        <v/>
      </c>
      <c r="K115" s="417">
        <f>IF(G114&gt;0, G115/G114, 0)</f>
        <v/>
      </c>
      <c r="L115" s="414" t="n"/>
      <c r="M115" s="414" t="n"/>
      <c r="N115" s="414" t="n"/>
      <c r="O115" s="414" t="n"/>
      <c r="P115" s="414" t="n">
        <v>354</v>
      </c>
      <c r="Q115" s="415">
        <f>G115</f>
        <v/>
      </c>
      <c r="R115" s="414" t="n"/>
      <c r="S115" s="414" t="n"/>
      <c r="T115" s="416">
        <f>G115-F115</f>
        <v/>
      </c>
      <c r="U115" s="376" t="n"/>
      <c r="V115" s="376" t="n"/>
      <c r="W115" s="376" t="n"/>
      <c r="X115" s="376" t="n"/>
      <c r="Y115" s="376" t="n"/>
      <c r="Z115" s="376" t="n"/>
      <c r="AA115" s="203" t="n"/>
      <c r="AB115" s="140" t="n"/>
      <c r="AC115" s="140" t="n"/>
      <c r="AD115" s="140" t="n"/>
    </row>
    <row r="116" ht="15.75" customHeight="1" s="346">
      <c r="A116" s="408" t="inlineStr">
        <is>
          <t>Điện</t>
        </is>
      </c>
      <c r="B116" s="409">
        <f>SUMPRODUCT(('MTD Pivot'!$A$3:$A$400=TRIM($A$116))*('MTD Pivot'!$D$2:$K$2=B$2)*'MTD Pivot'!$D$3:$K$400)</f>
        <v/>
      </c>
      <c r="C116" s="409">
        <f>SUMPRODUCT(('MTD Pivot'!$A$3:$A$400=TRIM($A$116))*('MTD Pivot'!$D$2:$K$2=C$2)*'MTD Pivot'!$D$3:$K$400)</f>
        <v/>
      </c>
      <c r="D116" s="409">
        <f>SUMPRODUCT(('MTD Pivot'!$A$3:$A$400=TRIM($A$116))*('MTD Pivot'!$D$2:$K$2=D$2)*'MTD Pivot'!$D$3:$K$400)</f>
        <v/>
      </c>
      <c r="E116" s="409">
        <f>SUMPRODUCT(('MTD Pivot'!$A$3:$A$400=TRIM($A$116))*('MTD Pivot'!$D$2:$K$2=E$2)*'MTD Pivot'!$D$3:$K$400)</f>
        <v/>
      </c>
      <c r="F116" s="409">
        <f>SUMPRODUCT(('MTD Pivot'!$A$3:$A$400=TRIM($A$116))*('MTD Pivot'!$D$2:$K$2=F$2)*'MTD Pivot'!$D$3:$K$400)</f>
        <v/>
      </c>
      <c r="G116" s="410">
        <f>SUMPRODUCT(('MTD Pivot'!$A$3:$A$400=TRIM($A$116))*('MTD Pivot'!$D$2:$K$2=G$2)*'MTD Pivot'!$D$3:$K$400)</f>
        <v/>
      </c>
      <c r="H116" s="409">
        <f>SUMPRODUCT(('MTD Pivot'!$A$3:$A$400=TRIM($A$116))*('MTD Pivot'!$D$2:$K$2=H$2)*'MTD Pivot'!$D$3:$K$400)</f>
        <v/>
      </c>
      <c r="I116" s="409">
        <f>SUMPRODUCT(('MTD Pivot'!$A$3:$A$400=TRIM($A$116))*('MTD Pivot'!$D$2:$K$2=I$2)*'MTD Pivot'!$D$3:$K$400)</f>
        <v/>
      </c>
      <c r="J116" s="411">
        <f>G116-F116</f>
        <v/>
      </c>
      <c r="K116" s="412" t="n"/>
      <c r="L116" s="409">
        <f>SUMPRODUCT(('Full month Pivot'!$A$3:$A$400=TRIM($A$116))*('Full month Pivot'!$D$2:$K$2=L$2)*'Full month Pivot'!$D$3:$K$400)</f>
        <v/>
      </c>
      <c r="M116" s="409">
        <f>SUMPRODUCT(('Full month Pivot'!$A$3:$A$400=TRIM($A$116))*('Full month Pivot'!$D$2:$K$2=M$2)*'Full month Pivot'!$D$3:$K$400)</f>
        <v/>
      </c>
      <c r="N116" s="409">
        <f>SUMPRODUCT(('Full month Pivot'!$A$3:$A$400=TRIM($A$116))*('Full month Pivot'!$D$2:$K$2=N$2)*'Full month Pivot'!$D$3:$K$400)</f>
        <v/>
      </c>
      <c r="O116" s="409">
        <f>SUMPRODUCT(('Full month Pivot'!$A$3:$A$400=TRIM($A$116))*('Full month Pivot'!$D$2:$K$2=O$2)*'Full month Pivot'!$D$3:$K$400)</f>
        <v/>
      </c>
      <c r="P116" s="409">
        <f>SUMPRODUCT(('Full month Pivot'!$A$3:$A$400=TRIM($A$116))*('Full month Pivot'!$D$2:$K$2=P$2)*'Full month Pivot'!$D$3:$K$400)</f>
        <v/>
      </c>
      <c r="Q116" s="410">
        <f>SUMPRODUCT(('Full month Pivot'!$A$3:$A$400=TRIM($A$116))*('Full month Pivot'!$D$2:$K$2=Q$2)*'Full month Pivot'!$D$3:$K$400)</f>
        <v/>
      </c>
      <c r="R116" s="409">
        <f>SUMPRODUCT(('Full month Pivot'!$A$3:$A$400=TRIM($A$116))*('Full month Pivot'!$D$2:$K$2=R$2)*'Full month Pivot'!$D$3:$K$400)</f>
        <v/>
      </c>
      <c r="S116" s="409">
        <f>SUMPRODUCT(('Full month Pivot'!$A$3:$A$400=TRIM($A$116))*('Full month Pivot'!$D$2:$K$2=S$2)*'Full month Pivot'!$D$3:$K$400)</f>
        <v/>
      </c>
      <c r="T116" s="411">
        <f>G116-F116</f>
        <v/>
      </c>
      <c r="U116" s="381" t="n"/>
      <c r="V116" s="381" t="n"/>
      <c r="W116" s="381" t="n"/>
      <c r="X116" s="381" t="n"/>
      <c r="Y116" s="381" t="n"/>
      <c r="Z116" s="381" t="n"/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413" t="inlineStr">
        <is>
          <t xml:space="preserve">  ↳ Click to app: Điện</t>
        </is>
      </c>
      <c r="B117" s="414" t="n"/>
      <c r="C117" s="414" t="n"/>
      <c r="D117" s="414" t="n"/>
      <c r="E117" s="414" t="n"/>
      <c r="F117" s="414" t="n">
        <v>11</v>
      </c>
      <c r="G117" s="415" t="n">
        <v>9</v>
      </c>
      <c r="H117" s="414" t="n"/>
      <c r="I117" s="414" t="n"/>
      <c r="J117" s="416">
        <f>G117-F117</f>
        <v/>
      </c>
      <c r="K117" s="417">
        <f>IF(G116&gt;0, G117/G116, 0)</f>
        <v/>
      </c>
      <c r="L117" s="414" t="n"/>
      <c r="M117" s="414" t="n"/>
      <c r="N117" s="414" t="n"/>
      <c r="O117" s="414" t="n"/>
      <c r="P117" s="414" t="n">
        <v>13</v>
      </c>
      <c r="Q117" s="415">
        <f>G117</f>
        <v/>
      </c>
      <c r="R117" s="414" t="n"/>
      <c r="S117" s="414" t="n"/>
      <c r="T117" s="416">
        <f>G117-F117</f>
        <v/>
      </c>
      <c r="U117" s="386" t="n"/>
      <c r="V117" s="386" t="n"/>
      <c r="W117" s="386" t="n"/>
      <c r="X117" s="386" t="n"/>
      <c r="Y117" s="386" t="n"/>
      <c r="Z117" s="386" t="n"/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408" t="inlineStr">
        <is>
          <t>Student Hub</t>
        </is>
      </c>
      <c r="B118" s="409">
        <f>SUM(B120, B122)</f>
        <v/>
      </c>
      <c r="C118" s="409">
        <f>SUM(C120, C122)</f>
        <v/>
      </c>
      <c r="D118" s="409">
        <f>SUM(D120, D122)</f>
        <v/>
      </c>
      <c r="E118" s="409">
        <f>SUM(E120, E122)</f>
        <v/>
      </c>
      <c r="F118" s="409">
        <f>SUM(F120, F122)</f>
        <v/>
      </c>
      <c r="G118" s="410">
        <f>SUM(G120, G122)</f>
        <v/>
      </c>
      <c r="H118" s="409">
        <f>SUM(H120, H122)</f>
        <v/>
      </c>
      <c r="I118" s="409">
        <f>SUM(I120, I122)</f>
        <v/>
      </c>
      <c r="J118" s="411">
        <f>G118-F118</f>
        <v/>
      </c>
      <c r="K118" s="412" t="n"/>
      <c r="L118" s="409">
        <f>SUM(L120, L122)</f>
        <v/>
      </c>
      <c r="M118" s="409">
        <f>SUM(M120, M122)</f>
        <v/>
      </c>
      <c r="N118" s="409">
        <f>SUM(N120, N122)</f>
        <v/>
      </c>
      <c r="O118" s="409">
        <f>SUM(O120, O122)</f>
        <v/>
      </c>
      <c r="P118" s="409">
        <f>SUM(P120, P122)</f>
        <v/>
      </c>
      <c r="Q118" s="410">
        <f>SUM(Q120, Q122)</f>
        <v/>
      </c>
      <c r="R118" s="409">
        <f>SUM(R120, R122)</f>
        <v/>
      </c>
      <c r="S118" s="409">
        <f>SUM(S120, S122)</f>
        <v/>
      </c>
      <c r="T118" s="411">
        <f>G118-F118</f>
        <v/>
      </c>
      <c r="U118" s="386" t="n"/>
      <c r="V118" s="386" t="n"/>
      <c r="W118" s="386" t="n"/>
      <c r="X118" s="386" t="n"/>
      <c r="Y118" s="386" t="n"/>
      <c r="Z118" s="386" t="n"/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413" t="inlineStr">
        <is>
          <t xml:space="preserve">  ↳ Click to app: Student Hub</t>
        </is>
      </c>
      <c r="B119" s="414" t="n"/>
      <c r="C119" s="414" t="n"/>
      <c r="D119" s="414" t="n"/>
      <c r="E119" s="414" t="n"/>
      <c r="F119" s="414">
        <f>SUM(F121, F123)</f>
        <v/>
      </c>
      <c r="G119" s="415">
        <f>SUM(G121, G123)</f>
        <v/>
      </c>
      <c r="H119" s="414" t="n"/>
      <c r="I119" s="414" t="n"/>
      <c r="J119" s="416">
        <f>G119-F119</f>
        <v/>
      </c>
      <c r="K119" s="417">
        <f>IF(G118&gt;0, G119/G118, 0)</f>
        <v/>
      </c>
      <c r="L119" s="414" t="n"/>
      <c r="M119" s="414" t="n"/>
      <c r="N119" s="414" t="n"/>
      <c r="O119" s="414" t="n"/>
      <c r="P119" s="414">
        <f>SUM(P121, P123)</f>
        <v/>
      </c>
      <c r="Q119" s="415">
        <f>G119</f>
        <v/>
      </c>
      <c r="R119" s="414" t="n"/>
      <c r="S119" s="414" t="n"/>
      <c r="T119" s="416">
        <f>G119-F119</f>
        <v/>
      </c>
      <c r="U119" s="386" t="n"/>
      <c r="V119" s="386" t="n"/>
      <c r="W119" s="386" t="n"/>
      <c r="X119" s="386" t="n"/>
      <c r="Y119" s="386" t="n"/>
      <c r="Z119" s="386" t="n"/>
      <c r="AA119" s="157">
        <f>IF(AND(ISNUMBER(X119), ISNUMBER(W119), W119&gt;0), (X119-W119)/W119, "")</f>
        <v/>
      </c>
      <c r="AB119" s="140" t="n"/>
      <c r="AC119" s="140" t="n"/>
      <c r="AD119" s="140" t="n"/>
    </row>
    <row r="120" outlineLevel="1" ht="15.75" customHeight="1" s="346">
      <c r="A120" s="418" t="inlineStr">
        <is>
          <t xml:space="preserve">    Student Pass</t>
        </is>
      </c>
      <c r="B120" s="419">
        <f>SUMPRODUCT(('MTD Pivot'!$A$3:$A$400=TRIM($A$120))*('MTD Pivot'!$D$2:$K$2=B$2)*'MTD Pivot'!$D$3:$K$400)</f>
        <v/>
      </c>
      <c r="C120" s="419">
        <f>SUMPRODUCT(('MTD Pivot'!$A$3:$A$400=TRIM($A$120))*('MTD Pivot'!$D$2:$K$2=C$2)*'MTD Pivot'!$D$3:$K$400)</f>
        <v/>
      </c>
      <c r="D120" s="419">
        <f>SUMPRODUCT(('MTD Pivot'!$A$3:$A$400=TRIM($A$120))*('MTD Pivot'!$D$2:$K$2=D$2)*'MTD Pivot'!$D$3:$K$400)</f>
        <v/>
      </c>
      <c r="E120" s="419">
        <f>SUMPRODUCT(('MTD Pivot'!$A$3:$A$400=TRIM($A$120))*('MTD Pivot'!$D$2:$K$2=E$2)*'MTD Pivot'!$D$3:$K$400)</f>
        <v/>
      </c>
      <c r="F120" s="419">
        <f>SUMPRODUCT(('MTD Pivot'!$A$3:$A$400=TRIM($A$120))*('MTD Pivot'!$D$2:$K$2=F$2)*'MTD Pivot'!$D$3:$K$400)</f>
        <v/>
      </c>
      <c r="G120" s="420">
        <f>SUMPRODUCT(('MTD Pivot'!$A$3:$A$400=TRIM($A$120))*('MTD Pivot'!$D$2:$K$2=G$2)*'MTD Pivot'!$D$3:$K$400)</f>
        <v/>
      </c>
      <c r="H120" s="419">
        <f>SUMPRODUCT(('MTD Pivot'!$A$3:$A$400=TRIM($A$120))*('MTD Pivot'!$D$2:$K$2=H$2)*'MTD Pivot'!$D$3:$K$400)</f>
        <v/>
      </c>
      <c r="I120" s="419">
        <f>SUMPRODUCT(('MTD Pivot'!$A$3:$A$400=TRIM($A$120))*('MTD Pivot'!$D$2:$K$2=I$2)*'MTD Pivot'!$D$3:$K$400)</f>
        <v/>
      </c>
      <c r="J120" s="421">
        <f>G120-F120</f>
        <v/>
      </c>
      <c r="K120" s="422" t="n"/>
      <c r="L120" s="419">
        <f>SUMPRODUCT(('Full month Pivot'!$A$3:$A$400=TRIM($A$120))*('Full month Pivot'!$D$2:$K$2=L$2)*'Full month Pivot'!$D$3:$K$400)</f>
        <v/>
      </c>
      <c r="M120" s="419">
        <f>SUMPRODUCT(('Full month Pivot'!$A$3:$A$400=TRIM($A$120))*('Full month Pivot'!$D$2:$K$2=M$2)*'Full month Pivot'!$D$3:$K$400)</f>
        <v/>
      </c>
      <c r="N120" s="419">
        <f>SUMPRODUCT(('Full month Pivot'!$A$3:$A$400=TRIM($A$120))*('Full month Pivot'!$D$2:$K$2=N$2)*'Full month Pivot'!$D$3:$K$400)</f>
        <v/>
      </c>
      <c r="O120" s="419">
        <f>SUMPRODUCT(('Full month Pivot'!$A$3:$A$400=TRIM($A$120))*('Full month Pivot'!$D$2:$K$2=O$2)*'Full month Pivot'!$D$3:$K$400)</f>
        <v/>
      </c>
      <c r="P120" s="419">
        <f>SUMPRODUCT(('Full month Pivot'!$A$3:$A$400=TRIM($A$120))*('Full month Pivot'!$D$2:$K$2=P$2)*'Full month Pivot'!$D$3:$K$400)</f>
        <v/>
      </c>
      <c r="Q120" s="420">
        <f>SUMPRODUCT(('Full month Pivot'!$A$3:$A$400=TRIM($A$120))*('Full month Pivot'!$D$2:$K$2=Q$2)*'Full month Pivot'!$D$3:$K$400)</f>
        <v/>
      </c>
      <c r="R120" s="419">
        <f>SUMPRODUCT(('Full month Pivot'!$A$3:$A$400=TRIM($A$120))*('Full month Pivot'!$D$2:$K$2=R$2)*'Full month Pivot'!$D$3:$K$400)</f>
        <v/>
      </c>
      <c r="S120" s="419">
        <f>SUMPRODUCT(('Full month Pivot'!$A$3:$A$400=TRIM($A$120))*('Full month Pivot'!$D$2:$K$2=S$2)*'Full month Pivot'!$D$3:$K$400)</f>
        <v/>
      </c>
      <c r="T120" s="421">
        <f>G120-F120</f>
        <v/>
      </c>
      <c r="U120" s="386" t="n"/>
      <c r="V120" s="386" t="n"/>
      <c r="W120" s="386" t="n"/>
      <c r="X120" s="386" t="n"/>
      <c r="Y120" s="386" t="n"/>
      <c r="Z120" s="386" t="n"/>
      <c r="AA120" s="157">
        <f>IF(AND(ISNUMBER(X120), ISNUMBER(W120), W120&gt;0), (X120-W120)/W120, "")</f>
        <v/>
      </c>
      <c r="AB120" s="140" t="n"/>
      <c r="AC120" s="140" t="n"/>
      <c r="AD120" s="140" t="n"/>
    </row>
    <row r="121" outlineLevel="1" ht="15.75" customHeight="1" s="346">
      <c r="A121" s="423" t="inlineStr">
        <is>
          <t xml:space="preserve">        ↳ Click: Student Pass</t>
        </is>
      </c>
      <c r="B121" s="424" t="n"/>
      <c r="C121" s="424" t="n"/>
      <c r="D121" s="424" t="n"/>
      <c r="E121" s="424" t="n"/>
      <c r="F121" s="424" t="n">
        <v>229</v>
      </c>
      <c r="G121" s="425" t="n">
        <v>63</v>
      </c>
      <c r="H121" s="424" t="n"/>
      <c r="I121" s="424" t="n"/>
      <c r="J121" s="426">
        <f>G121-F121</f>
        <v/>
      </c>
      <c r="K121" s="417">
        <f>IF(G120&gt;0, G121/G120, 0)</f>
        <v/>
      </c>
      <c r="L121" s="424" t="n"/>
      <c r="M121" s="424" t="n"/>
      <c r="N121" s="424" t="n"/>
      <c r="O121" s="424" t="n"/>
      <c r="P121" s="424" t="n">
        <v>243</v>
      </c>
      <c r="Q121" s="425">
        <f>G121</f>
        <v/>
      </c>
      <c r="R121" s="424" t="n"/>
      <c r="S121" s="424" t="n"/>
      <c r="T121" s="426">
        <f>G121-F121</f>
        <v/>
      </c>
      <c r="U121" s="386" t="n"/>
      <c r="V121" s="386" t="n"/>
      <c r="W121" s="386" t="n"/>
      <c r="X121" s="386" t="n"/>
      <c r="Y121" s="386" t="n"/>
      <c r="Z121" s="386" t="n"/>
      <c r="AA121" s="157">
        <f>IF(AND(ISNUMBER(X121), ISNUMBER(W121), W121&gt;0), (X121-W121)/W121, "")</f>
        <v/>
      </c>
      <c r="AB121" s="140" t="n"/>
      <c r="AC121" s="140" t="n"/>
      <c r="AD121" s="140" t="n"/>
    </row>
    <row r="122" outlineLevel="1" ht="15.75" customHeight="1" s="346">
      <c r="A122" s="418" t="inlineStr">
        <is>
          <t xml:space="preserve">    Student Hub (Portal)</t>
        </is>
      </c>
      <c r="B122" s="419">
        <f>SUMPRODUCT(('MTD Pivot'!$A$3:$A$400=TRIM($A$122))*('MTD Pivot'!$D$2:$K$2=B$2)*'MTD Pivot'!$D$3:$K$400)</f>
        <v/>
      </c>
      <c r="C122" s="419">
        <f>SUMPRODUCT(('MTD Pivot'!$A$3:$A$400=TRIM($A$122))*('MTD Pivot'!$D$2:$K$2=C$2)*'MTD Pivot'!$D$3:$K$400)</f>
        <v/>
      </c>
      <c r="D122" s="419">
        <f>SUMPRODUCT(('MTD Pivot'!$A$3:$A$400=TRIM($A$122))*('MTD Pivot'!$D$2:$K$2=D$2)*'MTD Pivot'!$D$3:$K$400)</f>
        <v/>
      </c>
      <c r="E122" s="419">
        <f>SUMPRODUCT(('MTD Pivot'!$A$3:$A$400=TRIM($A$122))*('MTD Pivot'!$D$2:$K$2=E$2)*'MTD Pivot'!$D$3:$K$400)</f>
        <v/>
      </c>
      <c r="F122" s="419">
        <f>SUMPRODUCT(('MTD Pivot'!$A$3:$A$400=TRIM($A$122))*('MTD Pivot'!$D$2:$K$2=F$2)*'MTD Pivot'!$D$3:$K$400)</f>
        <v/>
      </c>
      <c r="G122" s="420">
        <f>SUMPRODUCT(('MTD Pivot'!$A$3:$A$400=TRIM($A$122))*('MTD Pivot'!$D$2:$K$2=G$2)*'MTD Pivot'!$D$3:$K$400)</f>
        <v/>
      </c>
      <c r="H122" s="419">
        <f>SUMPRODUCT(('MTD Pivot'!$A$3:$A$400=TRIM($A$122))*('MTD Pivot'!$D$2:$K$2=H$2)*'MTD Pivot'!$D$3:$K$400)</f>
        <v/>
      </c>
      <c r="I122" s="419">
        <f>SUMPRODUCT(('MTD Pivot'!$A$3:$A$400=TRIM($A$122))*('MTD Pivot'!$D$2:$K$2=I$2)*'MTD Pivot'!$D$3:$K$400)</f>
        <v/>
      </c>
      <c r="J122" s="421">
        <f>G122-F122</f>
        <v/>
      </c>
      <c r="K122" s="422" t="n"/>
      <c r="L122" s="419">
        <f>SUMPRODUCT(('Full month Pivot'!$A$3:$A$400=TRIM($A$122))*('Full month Pivot'!$D$2:$K$2=L$2)*'Full month Pivot'!$D$3:$K$400)</f>
        <v/>
      </c>
      <c r="M122" s="419">
        <f>SUMPRODUCT(('Full month Pivot'!$A$3:$A$400=TRIM($A$122))*('Full month Pivot'!$D$2:$K$2=M$2)*'Full month Pivot'!$D$3:$K$400)</f>
        <v/>
      </c>
      <c r="N122" s="419">
        <f>SUMPRODUCT(('Full month Pivot'!$A$3:$A$400=TRIM($A$122))*('Full month Pivot'!$D$2:$K$2=N$2)*'Full month Pivot'!$D$3:$K$400)</f>
        <v/>
      </c>
      <c r="O122" s="419">
        <f>SUMPRODUCT(('Full month Pivot'!$A$3:$A$400=TRIM($A$122))*('Full month Pivot'!$D$2:$K$2=O$2)*'Full month Pivot'!$D$3:$K$400)</f>
        <v/>
      </c>
      <c r="P122" s="419">
        <f>SUMPRODUCT(('Full month Pivot'!$A$3:$A$400=TRIM($A$122))*('Full month Pivot'!$D$2:$K$2=P$2)*'Full month Pivot'!$D$3:$K$400)</f>
        <v/>
      </c>
      <c r="Q122" s="420">
        <f>SUMPRODUCT(('Full month Pivot'!$A$3:$A$400=TRIM($A$122))*('Full month Pivot'!$D$2:$K$2=Q$2)*'Full month Pivot'!$D$3:$K$400)</f>
        <v/>
      </c>
      <c r="R122" s="419">
        <f>SUMPRODUCT(('Full month Pivot'!$A$3:$A$400=TRIM($A$122))*('Full month Pivot'!$D$2:$K$2=R$2)*'Full month Pivot'!$D$3:$K$400)</f>
        <v/>
      </c>
      <c r="S122" s="419">
        <f>SUMPRODUCT(('Full month Pivot'!$A$3:$A$400=TRIM($A$122))*('Full month Pivot'!$D$2:$K$2=S$2)*'Full month Pivot'!$D$3:$K$400)</f>
        <v/>
      </c>
      <c r="T122" s="421">
        <f>G122-F122</f>
        <v/>
      </c>
      <c r="U122" s="395" t="n"/>
      <c r="V122" s="395" t="n"/>
      <c r="W122" s="395" t="n"/>
      <c r="X122" s="395" t="n"/>
      <c r="Y122" s="395" t="n"/>
      <c r="Z122" s="395" t="n"/>
      <c r="AA122" s="202" t="n"/>
      <c r="AB122" s="140" t="n"/>
      <c r="AC122" s="140" t="n"/>
      <c r="AD122" s="140" t="n"/>
    </row>
    <row r="123" outlineLevel="1" ht="15.75" customHeight="1" s="346">
      <c r="A123" s="423" t="inlineStr">
        <is>
          <t xml:space="preserve">        ↳ Click: Student Hub (Portal)</t>
        </is>
      </c>
      <c r="B123" s="424" t="n"/>
      <c r="C123" s="424" t="n"/>
      <c r="D123" s="424" t="n"/>
      <c r="E123" s="424" t="n"/>
      <c r="F123" s="424" t="n">
        <v>3</v>
      </c>
      <c r="G123" s="425" t="n">
        <v>0</v>
      </c>
      <c r="H123" s="424" t="n"/>
      <c r="I123" s="424" t="n"/>
      <c r="J123" s="426">
        <f>G123-F123</f>
        <v/>
      </c>
      <c r="K123" s="417">
        <f>IF(G122&gt;0, G123/G122, 0)</f>
        <v/>
      </c>
      <c r="L123" s="424" t="n"/>
      <c r="M123" s="424" t="n"/>
      <c r="N123" s="424" t="n"/>
      <c r="O123" s="424" t="n"/>
      <c r="P123" s="424" t="n">
        <v>3</v>
      </c>
      <c r="Q123" s="425">
        <f>G123</f>
        <v/>
      </c>
      <c r="R123" s="424" t="n"/>
      <c r="S123" s="424" t="n"/>
      <c r="T123" s="426">
        <f>G123-F123</f>
        <v/>
      </c>
      <c r="U123" s="365" t="n"/>
      <c r="V123" s="365" t="n"/>
      <c r="W123" s="365" t="n"/>
      <c r="X123" s="365" t="n"/>
      <c r="Y123" s="365" t="n"/>
      <c r="Z123" s="365" t="n"/>
      <c r="AA123" s="145" t="n"/>
      <c r="AB123" s="140" t="n"/>
      <c r="AC123" s="140" t="n"/>
      <c r="AD123" s="140" t="n"/>
    </row>
    <row r="124" ht="15.75" customHeight="1" s="346">
      <c r="A124" s="408" t="inlineStr">
        <is>
          <t>Cross Border</t>
        </is>
      </c>
      <c r="B124" s="409">
        <f>SUMPRODUCT(('MTD Pivot'!$A$3:$A$400=TRIM($A$124))*('MTD Pivot'!$D$2:$K$2=B$2)*'MTD Pivot'!$D$3:$K$400)</f>
        <v/>
      </c>
      <c r="C124" s="409">
        <f>SUMPRODUCT(('MTD Pivot'!$A$3:$A$400=TRIM($A$124))*('MTD Pivot'!$D$2:$K$2=C$2)*'MTD Pivot'!$D$3:$K$400)</f>
        <v/>
      </c>
      <c r="D124" s="409">
        <f>SUMPRODUCT(('MTD Pivot'!$A$3:$A$400=TRIM($A$124))*('MTD Pivot'!$D$2:$K$2=D$2)*'MTD Pivot'!$D$3:$K$400)</f>
        <v/>
      </c>
      <c r="E124" s="409">
        <f>SUMPRODUCT(('MTD Pivot'!$A$3:$A$400=TRIM($A$124))*('MTD Pivot'!$D$2:$K$2=E$2)*'MTD Pivot'!$D$3:$K$400)</f>
        <v/>
      </c>
      <c r="F124" s="409">
        <f>SUMPRODUCT(('MTD Pivot'!$A$3:$A$400=TRIM($A$124))*('MTD Pivot'!$D$2:$K$2=F$2)*'MTD Pivot'!$D$3:$K$400)</f>
        <v/>
      </c>
      <c r="G124" s="410">
        <f>SUMPRODUCT(('MTD Pivot'!$A$3:$A$400=TRIM($A$124))*('MTD Pivot'!$D$2:$K$2=G$2)*'MTD Pivot'!$D$3:$K$400)</f>
        <v/>
      </c>
      <c r="H124" s="409">
        <f>SUMPRODUCT(('MTD Pivot'!$A$3:$A$400=TRIM($A$124))*('MTD Pivot'!$D$2:$K$2=H$2)*'MTD Pivot'!$D$3:$K$400)</f>
        <v/>
      </c>
      <c r="I124" s="409">
        <f>SUMPRODUCT(('MTD Pivot'!$A$3:$A$400=TRIM($A$124))*('MTD Pivot'!$D$2:$K$2=I$2)*'MTD Pivot'!$D$3:$K$400)</f>
        <v/>
      </c>
      <c r="J124" s="411">
        <f>G124-F124</f>
        <v/>
      </c>
      <c r="K124" s="412" t="n"/>
      <c r="L124" s="409">
        <f>SUMPRODUCT(('Full month Pivot'!$A$3:$A$400=TRIM($A$124))*('Full month Pivot'!$D$2:$K$2=L$2)*'Full month Pivot'!$D$3:$K$400)</f>
        <v/>
      </c>
      <c r="M124" s="409">
        <f>SUMPRODUCT(('Full month Pivot'!$A$3:$A$400=TRIM($A$124))*('Full month Pivot'!$D$2:$K$2=M$2)*'Full month Pivot'!$D$3:$K$400)</f>
        <v/>
      </c>
      <c r="N124" s="409">
        <f>SUMPRODUCT(('Full month Pivot'!$A$3:$A$400=TRIM($A$124))*('Full month Pivot'!$D$2:$K$2=N$2)*'Full month Pivot'!$D$3:$K$400)</f>
        <v/>
      </c>
      <c r="O124" s="409">
        <f>SUMPRODUCT(('Full month Pivot'!$A$3:$A$400=TRIM($A$124))*('Full month Pivot'!$D$2:$K$2=O$2)*'Full month Pivot'!$D$3:$K$400)</f>
        <v/>
      </c>
      <c r="P124" s="409">
        <f>SUMPRODUCT(('Full month Pivot'!$A$3:$A$400=TRIM($A$124))*('Full month Pivot'!$D$2:$K$2=P$2)*'Full month Pivot'!$D$3:$K$400)</f>
        <v/>
      </c>
      <c r="Q124" s="410">
        <f>SUMPRODUCT(('Full month Pivot'!$A$3:$A$400=TRIM($A$124))*('Full month Pivot'!$D$2:$K$2=Q$2)*'Full month Pivot'!$D$3:$K$400)</f>
        <v/>
      </c>
      <c r="R124" s="409">
        <f>SUMPRODUCT(('Full month Pivot'!$A$3:$A$400=TRIM($A$124))*('Full month Pivot'!$D$2:$K$2=R$2)*'Full month Pivot'!$D$3:$K$400)</f>
        <v/>
      </c>
      <c r="S124" s="409">
        <f>SUMPRODUCT(('Full month Pivot'!$A$3:$A$400=TRIM($A$124))*('Full month Pivot'!$D$2:$K$2=S$2)*'Full month Pivot'!$D$3:$K$400)</f>
        <v/>
      </c>
      <c r="T124" s="411">
        <f>G124-F124</f>
        <v/>
      </c>
      <c r="U124" s="367" t="n"/>
      <c r="V124" s="367" t="n"/>
      <c r="W124" s="367" t="n"/>
      <c r="X124" s="367" t="n"/>
      <c r="Y124" s="367" t="n"/>
      <c r="Z124" s="367" t="n"/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413" t="inlineStr">
        <is>
          <t xml:space="preserve">  ↳ Click to app: Cross Border</t>
        </is>
      </c>
      <c r="B125" s="414" t="n"/>
      <c r="C125" s="414" t="n"/>
      <c r="D125" s="414" t="n"/>
      <c r="E125" s="414" t="n"/>
      <c r="F125" s="414" t="n">
        <v>15</v>
      </c>
      <c r="G125" s="415" t="n">
        <v>34</v>
      </c>
      <c r="H125" s="414" t="n"/>
      <c r="I125" s="414" t="n"/>
      <c r="J125" s="416">
        <f>G125-F125</f>
        <v/>
      </c>
      <c r="K125" s="417">
        <f>IF(G124&gt;0, G125/G124, 0)</f>
        <v/>
      </c>
      <c r="L125" s="414" t="n"/>
      <c r="M125" s="414" t="n"/>
      <c r="N125" s="414" t="n"/>
      <c r="O125" s="414" t="n"/>
      <c r="P125" s="414" t="n">
        <v>16</v>
      </c>
      <c r="Q125" s="415">
        <f>G125</f>
        <v/>
      </c>
      <c r="R125" s="414" t="n"/>
      <c r="S125" s="414" t="n"/>
      <c r="T125" s="416">
        <f>G125-F125</f>
        <v/>
      </c>
      <c r="U125" s="373" t="n"/>
      <c r="V125" s="373" t="n"/>
      <c r="W125" s="373" t="n"/>
      <c r="X125" s="373" t="n"/>
      <c r="Y125" s="373" t="n"/>
      <c r="Z125" s="373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408" t="inlineStr">
        <is>
          <t>Hoàn Tiền Mua Sắm</t>
        </is>
      </c>
      <c r="B126" s="409">
        <f>SUMPRODUCT(('MTD Pivot'!$A$3:$A$400=TRIM($A$126))*('MTD Pivot'!$D$2:$K$2=B$2)*'MTD Pivot'!$D$3:$K$400)</f>
        <v/>
      </c>
      <c r="C126" s="409">
        <f>SUMPRODUCT(('MTD Pivot'!$A$3:$A$400=TRIM($A$126))*('MTD Pivot'!$D$2:$K$2=C$2)*'MTD Pivot'!$D$3:$K$400)</f>
        <v/>
      </c>
      <c r="D126" s="409">
        <f>SUMPRODUCT(('MTD Pivot'!$A$3:$A$400=TRIM($A$126))*('MTD Pivot'!$D$2:$K$2=D$2)*'MTD Pivot'!$D$3:$K$400)</f>
        <v/>
      </c>
      <c r="E126" s="409">
        <f>SUMPRODUCT(('MTD Pivot'!$A$3:$A$400=TRIM($A$126))*('MTD Pivot'!$D$2:$K$2=E$2)*'MTD Pivot'!$D$3:$K$400)</f>
        <v/>
      </c>
      <c r="F126" s="409">
        <f>SUMPRODUCT(('MTD Pivot'!$A$3:$A$400=TRIM($A$126))*('MTD Pivot'!$D$2:$K$2=F$2)*'MTD Pivot'!$D$3:$K$400)</f>
        <v/>
      </c>
      <c r="G126" s="410">
        <f>SUMPRODUCT(('MTD Pivot'!$A$3:$A$400=TRIM($A$126))*('MTD Pivot'!$D$2:$K$2=G$2)*'MTD Pivot'!$D$3:$K$400)</f>
        <v/>
      </c>
      <c r="H126" s="409">
        <f>SUMPRODUCT(('MTD Pivot'!$A$3:$A$400=TRIM($A$126))*('MTD Pivot'!$D$2:$K$2=H$2)*'MTD Pivot'!$D$3:$K$400)</f>
        <v/>
      </c>
      <c r="I126" s="409">
        <f>SUMPRODUCT(('MTD Pivot'!$A$3:$A$400=TRIM($A$126))*('MTD Pivot'!$D$2:$K$2=I$2)*'MTD Pivot'!$D$3:$K$400)</f>
        <v/>
      </c>
      <c r="J126" s="411">
        <f>G126-F126</f>
        <v/>
      </c>
      <c r="K126" s="412" t="n"/>
      <c r="L126" s="409">
        <f>SUMPRODUCT(('Full month Pivot'!$A$3:$A$400=TRIM($A$126))*('Full month Pivot'!$D$2:$K$2=L$2)*'Full month Pivot'!$D$3:$K$400)</f>
        <v/>
      </c>
      <c r="M126" s="409">
        <f>SUMPRODUCT(('Full month Pivot'!$A$3:$A$400=TRIM($A$126))*('Full month Pivot'!$D$2:$K$2=M$2)*'Full month Pivot'!$D$3:$K$400)</f>
        <v/>
      </c>
      <c r="N126" s="409">
        <f>SUMPRODUCT(('Full month Pivot'!$A$3:$A$400=TRIM($A$126))*('Full month Pivot'!$D$2:$K$2=N$2)*'Full month Pivot'!$D$3:$K$400)</f>
        <v/>
      </c>
      <c r="O126" s="409">
        <f>SUMPRODUCT(('Full month Pivot'!$A$3:$A$400=TRIM($A$126))*('Full month Pivot'!$D$2:$K$2=O$2)*'Full month Pivot'!$D$3:$K$400)</f>
        <v/>
      </c>
      <c r="P126" s="409">
        <f>SUMPRODUCT(('Full month Pivot'!$A$3:$A$400=TRIM($A$126))*('Full month Pivot'!$D$2:$K$2=P$2)*'Full month Pivot'!$D$3:$K$400)</f>
        <v/>
      </c>
      <c r="Q126" s="410">
        <f>SUMPRODUCT(('Full month Pivot'!$A$3:$A$400=TRIM($A$126))*('Full month Pivot'!$D$2:$K$2=Q$2)*'Full month Pivot'!$D$3:$K$400)</f>
        <v/>
      </c>
      <c r="R126" s="409">
        <f>SUMPRODUCT(('Full month Pivot'!$A$3:$A$400=TRIM($A$126))*('Full month Pivot'!$D$2:$K$2=R$2)*'Full month Pivot'!$D$3:$K$400)</f>
        <v/>
      </c>
      <c r="S126" s="409">
        <f>SUMPRODUCT(('Full month Pivot'!$A$3:$A$400=TRIM($A$126))*('Full month Pivot'!$D$2:$K$2=S$2)*'Full month Pivot'!$D$3:$K$400)</f>
        <v/>
      </c>
      <c r="T126" s="411">
        <f>G126-F126</f>
        <v/>
      </c>
      <c r="U126" s="375" t="n"/>
      <c r="V126" s="375" t="n"/>
      <c r="W126" s="375" t="n"/>
      <c r="X126" s="375" t="n"/>
      <c r="Y126" s="375" t="n"/>
      <c r="Z126" s="375" t="n"/>
      <c r="AA126" s="153" t="n"/>
      <c r="AB126" s="140" t="n"/>
      <c r="AC126" s="140" t="n"/>
      <c r="AD126" s="140" t="n"/>
    </row>
    <row r="127" ht="15.75" customHeight="1" s="346">
      <c r="A127" s="413" t="inlineStr">
        <is>
          <t xml:space="preserve">  ↳ Click to app: Hoàn Tiền Mua Sắm</t>
        </is>
      </c>
      <c r="B127" s="414" t="n"/>
      <c r="C127" s="414" t="n"/>
      <c r="D127" s="414" t="n"/>
      <c r="E127" s="414" t="n"/>
      <c r="F127" s="414" t="n">
        <v>109</v>
      </c>
      <c r="G127" s="415" t="n">
        <v>204</v>
      </c>
      <c r="H127" s="414" t="n"/>
      <c r="I127" s="414" t="n"/>
      <c r="J127" s="416">
        <f>G127-F127</f>
        <v/>
      </c>
      <c r="K127" s="417">
        <f>IF(G126&gt;0, G127/G126, 0)</f>
        <v/>
      </c>
      <c r="L127" s="414" t="n"/>
      <c r="M127" s="414" t="n"/>
      <c r="N127" s="414" t="n"/>
      <c r="O127" s="414" t="n"/>
      <c r="P127" s="414" t="n">
        <v>117</v>
      </c>
      <c r="Q127" s="415">
        <f>G127</f>
        <v/>
      </c>
      <c r="R127" s="414" t="n"/>
      <c r="S127" s="414" t="n"/>
      <c r="T127" s="416">
        <f>G127-F127</f>
        <v/>
      </c>
      <c r="U127" s="376" t="n"/>
      <c r="V127" s="376" t="n"/>
      <c r="W127" s="376" t="n"/>
      <c r="X127" s="376" t="n"/>
      <c r="Y127" s="376" t="n"/>
      <c r="Z127" s="376" t="n"/>
      <c r="AA127" s="203" t="n"/>
      <c r="AB127" s="140" t="n"/>
      <c r="AC127" s="140" t="n"/>
      <c r="AD127" s="140" t="n"/>
    </row>
    <row r="128" ht="15.75" customHeight="1" s="346">
      <c r="A128" s="408" t="inlineStr">
        <is>
          <t>Bảo Hiểm Sức Khỏe</t>
        </is>
      </c>
      <c r="B128" s="409">
        <f>SUMPRODUCT(('MTD Pivot'!$A$3:$A$400=TRIM($A$128))*('MTD Pivot'!$D$2:$K$2=B$2)*'MTD Pivot'!$D$3:$K$400)</f>
        <v/>
      </c>
      <c r="C128" s="409">
        <f>SUMPRODUCT(('MTD Pivot'!$A$3:$A$400=TRIM($A$128))*('MTD Pivot'!$D$2:$K$2=C$2)*'MTD Pivot'!$D$3:$K$400)</f>
        <v/>
      </c>
      <c r="D128" s="409">
        <f>SUMPRODUCT(('MTD Pivot'!$A$3:$A$400=TRIM($A$128))*('MTD Pivot'!$D$2:$K$2=D$2)*'MTD Pivot'!$D$3:$K$400)</f>
        <v/>
      </c>
      <c r="E128" s="409">
        <f>SUMPRODUCT(('MTD Pivot'!$A$3:$A$400=TRIM($A$128))*('MTD Pivot'!$D$2:$K$2=E$2)*'MTD Pivot'!$D$3:$K$400)</f>
        <v/>
      </c>
      <c r="F128" s="409">
        <f>SUMPRODUCT(('MTD Pivot'!$A$3:$A$400=TRIM($A$128))*('MTD Pivot'!$D$2:$K$2=F$2)*'MTD Pivot'!$D$3:$K$400)</f>
        <v/>
      </c>
      <c r="G128" s="410">
        <f>SUMPRODUCT(('MTD Pivot'!$A$3:$A$400=TRIM($A$128))*('MTD Pivot'!$D$2:$K$2=G$2)*'MTD Pivot'!$D$3:$K$400)</f>
        <v/>
      </c>
      <c r="H128" s="409">
        <f>SUMPRODUCT(('MTD Pivot'!$A$3:$A$400=TRIM($A$128))*('MTD Pivot'!$D$2:$K$2=H$2)*'MTD Pivot'!$D$3:$K$400)</f>
        <v/>
      </c>
      <c r="I128" s="409">
        <f>SUMPRODUCT(('MTD Pivot'!$A$3:$A$400=TRIM($A$128))*('MTD Pivot'!$D$2:$K$2=I$2)*'MTD Pivot'!$D$3:$K$400)</f>
        <v/>
      </c>
      <c r="J128" s="411">
        <f>G128-F128</f>
        <v/>
      </c>
      <c r="K128" s="412" t="n"/>
      <c r="L128" s="409">
        <f>SUMPRODUCT(('Full month Pivot'!$A$3:$A$400=TRIM($A$128))*('Full month Pivot'!$D$2:$K$2=L$2)*'Full month Pivot'!$D$3:$K$400)</f>
        <v/>
      </c>
      <c r="M128" s="409">
        <f>SUMPRODUCT(('Full month Pivot'!$A$3:$A$400=TRIM($A$128))*('Full month Pivot'!$D$2:$K$2=M$2)*'Full month Pivot'!$D$3:$K$400)</f>
        <v/>
      </c>
      <c r="N128" s="409">
        <f>SUMPRODUCT(('Full month Pivot'!$A$3:$A$400=TRIM($A$128))*('Full month Pivot'!$D$2:$K$2=N$2)*'Full month Pivot'!$D$3:$K$400)</f>
        <v/>
      </c>
      <c r="O128" s="409">
        <f>SUMPRODUCT(('Full month Pivot'!$A$3:$A$400=TRIM($A$128))*('Full month Pivot'!$D$2:$K$2=O$2)*'Full month Pivot'!$D$3:$K$400)</f>
        <v/>
      </c>
      <c r="P128" s="409">
        <f>SUMPRODUCT(('Full month Pivot'!$A$3:$A$400=TRIM($A$128))*('Full month Pivot'!$D$2:$K$2=P$2)*'Full month Pivot'!$D$3:$K$400)</f>
        <v/>
      </c>
      <c r="Q128" s="410">
        <f>SUMPRODUCT(('Full month Pivot'!$A$3:$A$400=TRIM($A$128))*('Full month Pivot'!$D$2:$K$2=Q$2)*'Full month Pivot'!$D$3:$K$400)</f>
        <v/>
      </c>
      <c r="R128" s="409">
        <f>SUMPRODUCT(('Full month Pivot'!$A$3:$A$400=TRIM($A$128))*('Full month Pivot'!$D$2:$K$2=R$2)*'Full month Pivot'!$D$3:$K$400)</f>
        <v/>
      </c>
      <c r="S128" s="409">
        <f>SUMPRODUCT(('Full month Pivot'!$A$3:$A$400=TRIM($A$128))*('Full month Pivot'!$D$2:$K$2=S$2)*'Full month Pivot'!$D$3:$K$400)</f>
        <v/>
      </c>
      <c r="T128" s="411">
        <f>G128-F128</f>
        <v/>
      </c>
      <c r="U128" s="381" t="n"/>
      <c r="V128" s="381" t="n"/>
      <c r="W128" s="381" t="n"/>
      <c r="X128" s="381" t="n"/>
      <c r="Y128" s="381" t="n"/>
      <c r="Z128" s="381" t="n"/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413" t="inlineStr">
        <is>
          <t xml:space="preserve">  ↳ Click to app: Bảo Hiểm Sức Khỏe</t>
        </is>
      </c>
      <c r="B129" s="414" t="n"/>
      <c r="C129" s="414" t="n"/>
      <c r="D129" s="414" t="n"/>
      <c r="E129" s="414" t="n"/>
      <c r="F129" s="414" t="n">
        <v>4</v>
      </c>
      <c r="G129" s="415" t="n">
        <v>4</v>
      </c>
      <c r="H129" s="414" t="n"/>
      <c r="I129" s="414" t="n"/>
      <c r="J129" s="416">
        <f>G129-F129</f>
        <v/>
      </c>
      <c r="K129" s="417">
        <f>IF(G128&gt;0, G129/G128, 0)</f>
        <v/>
      </c>
      <c r="L129" s="414" t="n"/>
      <c r="M129" s="414" t="n"/>
      <c r="N129" s="414" t="n"/>
      <c r="O129" s="414" t="n"/>
      <c r="P129" s="414" t="n">
        <v>4</v>
      </c>
      <c r="Q129" s="415">
        <f>G129</f>
        <v/>
      </c>
      <c r="R129" s="414" t="n"/>
      <c r="S129" s="414" t="n"/>
      <c r="T129" s="416">
        <f>G129-F129</f>
        <v/>
      </c>
      <c r="U129" s="386" t="n"/>
      <c r="V129" s="386" t="n"/>
      <c r="W129" s="386" t="n"/>
      <c r="X129" s="386" t="n"/>
      <c r="Y129" s="386" t="n"/>
      <c r="Z129" s="386" t="n"/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408" t="inlineStr">
        <is>
          <t>Mở tài khoản ngân hàng</t>
        </is>
      </c>
      <c r="B130" s="409">
        <f>SUMPRODUCT(('MTD Pivot'!$A$3:$A$400=TRIM($A$130))*('MTD Pivot'!$D$2:$K$2=B$2)*'MTD Pivot'!$D$3:$K$400)</f>
        <v/>
      </c>
      <c r="C130" s="409">
        <f>SUMPRODUCT(('MTD Pivot'!$A$3:$A$400=TRIM($A$130))*('MTD Pivot'!$D$2:$K$2=C$2)*'MTD Pivot'!$D$3:$K$400)</f>
        <v/>
      </c>
      <c r="D130" s="409">
        <f>SUMPRODUCT(('MTD Pivot'!$A$3:$A$400=TRIM($A$130))*('MTD Pivot'!$D$2:$K$2=D$2)*'MTD Pivot'!$D$3:$K$400)</f>
        <v/>
      </c>
      <c r="E130" s="409">
        <f>SUMPRODUCT(('MTD Pivot'!$A$3:$A$400=TRIM($A$130))*('MTD Pivot'!$D$2:$K$2=E$2)*'MTD Pivot'!$D$3:$K$400)</f>
        <v/>
      </c>
      <c r="F130" s="409">
        <f>SUMPRODUCT(('MTD Pivot'!$A$3:$A$400=TRIM($A$130))*('MTD Pivot'!$D$2:$K$2=F$2)*'MTD Pivot'!$D$3:$K$400)</f>
        <v/>
      </c>
      <c r="G130" s="410">
        <f>SUMPRODUCT(('MTD Pivot'!$A$3:$A$400=TRIM($A$130))*('MTD Pivot'!$D$2:$K$2=G$2)*'MTD Pivot'!$D$3:$K$400)</f>
        <v/>
      </c>
      <c r="H130" s="409">
        <f>SUMPRODUCT(('MTD Pivot'!$A$3:$A$400=TRIM($A$130))*('MTD Pivot'!$D$2:$K$2=H$2)*'MTD Pivot'!$D$3:$K$400)</f>
        <v/>
      </c>
      <c r="I130" s="409">
        <f>SUMPRODUCT(('MTD Pivot'!$A$3:$A$400=TRIM($A$130))*('MTD Pivot'!$D$2:$K$2=I$2)*'MTD Pivot'!$D$3:$K$400)</f>
        <v/>
      </c>
      <c r="J130" s="411">
        <f>G130-F130</f>
        <v/>
      </c>
      <c r="K130" s="412" t="n"/>
      <c r="L130" s="409">
        <f>SUMPRODUCT(('Full month Pivot'!$A$3:$A$400=TRIM($A$130))*('Full month Pivot'!$D$2:$K$2=L$2)*'Full month Pivot'!$D$3:$K$400)</f>
        <v/>
      </c>
      <c r="M130" s="409">
        <f>SUMPRODUCT(('Full month Pivot'!$A$3:$A$400=TRIM($A$130))*('Full month Pivot'!$D$2:$K$2=M$2)*'Full month Pivot'!$D$3:$K$400)</f>
        <v/>
      </c>
      <c r="N130" s="409">
        <f>SUMPRODUCT(('Full month Pivot'!$A$3:$A$400=TRIM($A$130))*('Full month Pivot'!$D$2:$K$2=N$2)*'Full month Pivot'!$D$3:$K$400)</f>
        <v/>
      </c>
      <c r="O130" s="409">
        <f>SUMPRODUCT(('Full month Pivot'!$A$3:$A$400=TRIM($A$130))*('Full month Pivot'!$D$2:$K$2=O$2)*'Full month Pivot'!$D$3:$K$400)</f>
        <v/>
      </c>
      <c r="P130" s="409">
        <f>SUMPRODUCT(('Full month Pivot'!$A$3:$A$400=TRIM($A$130))*('Full month Pivot'!$D$2:$K$2=P$2)*'Full month Pivot'!$D$3:$K$400)</f>
        <v/>
      </c>
      <c r="Q130" s="410">
        <f>SUMPRODUCT(('Full month Pivot'!$A$3:$A$400=TRIM($A$130))*('Full month Pivot'!$D$2:$K$2=Q$2)*'Full month Pivot'!$D$3:$K$400)</f>
        <v/>
      </c>
      <c r="R130" s="409">
        <f>SUMPRODUCT(('Full month Pivot'!$A$3:$A$400=TRIM($A$130))*('Full month Pivot'!$D$2:$K$2=R$2)*'Full month Pivot'!$D$3:$K$400)</f>
        <v/>
      </c>
      <c r="S130" s="409">
        <f>SUMPRODUCT(('Full month Pivot'!$A$3:$A$400=TRIM($A$130))*('Full month Pivot'!$D$2:$K$2=S$2)*'Full month Pivot'!$D$3:$K$400)</f>
        <v/>
      </c>
      <c r="T130" s="411">
        <f>G130-F130</f>
        <v/>
      </c>
      <c r="U130" s="386" t="n"/>
      <c r="V130" s="386" t="n"/>
      <c r="W130" s="386" t="n"/>
      <c r="X130" s="386" t="n"/>
      <c r="Y130" s="386" t="n"/>
      <c r="Z130" s="386" t="n"/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413" t="inlineStr">
        <is>
          <t xml:space="preserve">  ↳ Click to app: Mở tài khoản ngân hàng</t>
        </is>
      </c>
      <c r="B131" s="414" t="n"/>
      <c r="C131" s="414" t="n"/>
      <c r="D131" s="414" t="n"/>
      <c r="E131" s="414" t="n"/>
      <c r="F131" s="414" t="n">
        <v>173</v>
      </c>
      <c r="G131" s="415" t="n">
        <v>106</v>
      </c>
      <c r="H131" s="414" t="n"/>
      <c r="I131" s="414" t="n"/>
      <c r="J131" s="416">
        <f>G131-F131</f>
        <v/>
      </c>
      <c r="K131" s="417">
        <f>IF(G130&gt;0, G131/G130, 0)</f>
        <v/>
      </c>
      <c r="L131" s="414" t="n"/>
      <c r="M131" s="414" t="n"/>
      <c r="N131" s="414" t="n"/>
      <c r="O131" s="414" t="n"/>
      <c r="P131" s="414" t="n">
        <v>183</v>
      </c>
      <c r="Q131" s="415">
        <f>G131</f>
        <v/>
      </c>
      <c r="R131" s="414" t="n"/>
      <c r="S131" s="414" t="n"/>
      <c r="T131" s="416">
        <f>G131-F131</f>
        <v/>
      </c>
      <c r="U131" s="386" t="n"/>
      <c r="V131" s="386" t="n"/>
      <c r="W131" s="386" t="n"/>
      <c r="X131" s="386" t="n"/>
      <c r="Y131" s="386" t="n"/>
      <c r="Z131" s="386" t="n"/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408" t="inlineStr">
        <is>
          <t>Download</t>
        </is>
      </c>
      <c r="B132" s="409">
        <f>SUMPRODUCT(('MTD Pivot'!$A$3:$A$400=TRIM($A$132))*('MTD Pivot'!$D$2:$K$2=B$2)*'MTD Pivot'!$D$3:$K$400)</f>
        <v/>
      </c>
      <c r="C132" s="409">
        <f>SUMPRODUCT(('MTD Pivot'!$A$3:$A$400=TRIM($A$132))*('MTD Pivot'!$D$2:$K$2=C$2)*'MTD Pivot'!$D$3:$K$400)</f>
        <v/>
      </c>
      <c r="D132" s="409">
        <f>SUMPRODUCT(('MTD Pivot'!$A$3:$A$400=TRIM($A$132))*('MTD Pivot'!$D$2:$K$2=D$2)*'MTD Pivot'!$D$3:$K$400)</f>
        <v/>
      </c>
      <c r="E132" s="409">
        <f>SUMPRODUCT(('MTD Pivot'!$A$3:$A$400=TRIM($A$132))*('MTD Pivot'!$D$2:$K$2=E$2)*'MTD Pivot'!$D$3:$K$400)</f>
        <v/>
      </c>
      <c r="F132" s="409">
        <f>SUMPRODUCT(('MTD Pivot'!$A$3:$A$400=TRIM($A$132))*('MTD Pivot'!$D$2:$K$2=F$2)*'MTD Pivot'!$D$3:$K$400)</f>
        <v/>
      </c>
      <c r="G132" s="410">
        <f>SUMPRODUCT(('MTD Pivot'!$A$3:$A$400=TRIM($A$132))*('MTD Pivot'!$D$2:$K$2=G$2)*'MTD Pivot'!$D$3:$K$400)</f>
        <v/>
      </c>
      <c r="H132" s="409">
        <f>SUMPRODUCT(('MTD Pivot'!$A$3:$A$400=TRIM($A$132))*('MTD Pivot'!$D$2:$K$2=H$2)*'MTD Pivot'!$D$3:$K$400)</f>
        <v/>
      </c>
      <c r="I132" s="409">
        <f>SUMPRODUCT(('MTD Pivot'!$A$3:$A$400=TRIM($A$132))*('MTD Pivot'!$D$2:$K$2=I$2)*'MTD Pivot'!$D$3:$K$400)</f>
        <v/>
      </c>
      <c r="J132" s="411">
        <f>G132-F132</f>
        <v/>
      </c>
      <c r="K132" s="412" t="n"/>
      <c r="L132" s="409">
        <f>SUMPRODUCT(('Full month Pivot'!$A$3:$A$400=TRIM($A$132))*('Full month Pivot'!$D$2:$K$2=L$2)*'Full month Pivot'!$D$3:$K$400)</f>
        <v/>
      </c>
      <c r="M132" s="409">
        <f>SUMPRODUCT(('Full month Pivot'!$A$3:$A$400=TRIM($A$132))*('Full month Pivot'!$D$2:$K$2=M$2)*'Full month Pivot'!$D$3:$K$400)</f>
        <v/>
      </c>
      <c r="N132" s="409">
        <f>SUMPRODUCT(('Full month Pivot'!$A$3:$A$400=TRIM($A$132))*('Full month Pivot'!$D$2:$K$2=N$2)*'Full month Pivot'!$D$3:$K$400)</f>
        <v/>
      </c>
      <c r="O132" s="409">
        <f>SUMPRODUCT(('Full month Pivot'!$A$3:$A$400=TRIM($A$132))*('Full month Pivot'!$D$2:$K$2=O$2)*'Full month Pivot'!$D$3:$K$400)</f>
        <v/>
      </c>
      <c r="P132" s="409">
        <f>SUMPRODUCT(('Full month Pivot'!$A$3:$A$400=TRIM($A$132))*('Full month Pivot'!$D$2:$K$2=P$2)*'Full month Pivot'!$D$3:$K$400)</f>
        <v/>
      </c>
      <c r="Q132" s="410">
        <f>SUMPRODUCT(('Full month Pivot'!$A$3:$A$400=TRIM($A$132))*('Full month Pivot'!$D$2:$K$2=Q$2)*'Full month Pivot'!$D$3:$K$400)</f>
        <v/>
      </c>
      <c r="R132" s="409">
        <f>SUMPRODUCT(('Full month Pivot'!$A$3:$A$400=TRIM($A$132))*('Full month Pivot'!$D$2:$K$2=R$2)*'Full month Pivot'!$D$3:$K$400)</f>
        <v/>
      </c>
      <c r="S132" s="409">
        <f>SUMPRODUCT(('Full month Pivot'!$A$3:$A$400=TRIM($A$132))*('Full month Pivot'!$D$2:$K$2=S$2)*'Full month Pivot'!$D$3:$K$400)</f>
        <v/>
      </c>
      <c r="T132" s="411">
        <f>G132-F132</f>
        <v/>
      </c>
      <c r="U132" s="386" t="n"/>
      <c r="V132" s="386" t="n"/>
      <c r="W132" s="386" t="n"/>
      <c r="X132" s="386" t="n"/>
      <c r="Y132" s="386" t="n"/>
      <c r="Z132" s="386" t="n"/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413" t="inlineStr">
        <is>
          <t xml:space="preserve">  ↳ Click to app: Download</t>
        </is>
      </c>
      <c r="B133" s="414" t="n"/>
      <c r="C133" s="414" t="n"/>
      <c r="D133" s="414" t="n"/>
      <c r="E133" s="414" t="n"/>
      <c r="F133" s="414" t="n">
        <v>135</v>
      </c>
      <c r="G133" s="415" t="n">
        <v>153</v>
      </c>
      <c r="H133" s="414" t="n"/>
      <c r="I133" s="414" t="n"/>
      <c r="J133" s="416">
        <f>G133-F133</f>
        <v/>
      </c>
      <c r="K133" s="417">
        <f>IF(G132&gt;0, G133/G132, 0)</f>
        <v/>
      </c>
      <c r="L133" s="414" t="n"/>
      <c r="M133" s="414" t="n"/>
      <c r="N133" s="414" t="n"/>
      <c r="O133" s="414" t="n"/>
      <c r="P133" s="414" t="n">
        <v>187</v>
      </c>
      <c r="Q133" s="415">
        <f>G133</f>
        <v/>
      </c>
      <c r="R133" s="414" t="n"/>
      <c r="S133" s="414" t="n"/>
      <c r="T133" s="416">
        <f>G133-F133</f>
        <v/>
      </c>
      <c r="U133" s="386" t="n"/>
      <c r="V133" s="386" t="n"/>
      <c r="W133" s="386" t="n"/>
      <c r="X133" s="386" t="n"/>
      <c r="Y133" s="386" t="n"/>
      <c r="Z133" s="386" t="n"/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408" t="inlineStr">
        <is>
          <t>Nước</t>
        </is>
      </c>
      <c r="B134" s="409">
        <f>SUMPRODUCT(('MTD Pivot'!$A$3:$A$400=TRIM($A$134))*('MTD Pivot'!$D$2:$K$2=B$2)*'MTD Pivot'!$D$3:$K$400)</f>
        <v/>
      </c>
      <c r="C134" s="409">
        <f>SUMPRODUCT(('MTD Pivot'!$A$3:$A$400=TRIM($A$134))*('MTD Pivot'!$D$2:$K$2=C$2)*'MTD Pivot'!$D$3:$K$400)</f>
        <v/>
      </c>
      <c r="D134" s="409">
        <f>SUMPRODUCT(('MTD Pivot'!$A$3:$A$400=TRIM($A$134))*('MTD Pivot'!$D$2:$K$2=D$2)*'MTD Pivot'!$D$3:$K$400)</f>
        <v/>
      </c>
      <c r="E134" s="409">
        <f>SUMPRODUCT(('MTD Pivot'!$A$3:$A$400=TRIM($A$134))*('MTD Pivot'!$D$2:$K$2=E$2)*'MTD Pivot'!$D$3:$K$400)</f>
        <v/>
      </c>
      <c r="F134" s="409">
        <f>SUMPRODUCT(('MTD Pivot'!$A$3:$A$400=TRIM($A$134))*('MTD Pivot'!$D$2:$K$2=F$2)*'MTD Pivot'!$D$3:$K$400)</f>
        <v/>
      </c>
      <c r="G134" s="410">
        <f>SUMPRODUCT(('MTD Pivot'!$A$3:$A$400=TRIM($A$134))*('MTD Pivot'!$D$2:$K$2=G$2)*'MTD Pivot'!$D$3:$K$400)</f>
        <v/>
      </c>
      <c r="H134" s="409">
        <f>SUMPRODUCT(('MTD Pivot'!$A$3:$A$400=TRIM($A$134))*('MTD Pivot'!$D$2:$K$2=H$2)*'MTD Pivot'!$D$3:$K$400)</f>
        <v/>
      </c>
      <c r="I134" s="409">
        <f>SUMPRODUCT(('MTD Pivot'!$A$3:$A$400=TRIM($A$134))*('MTD Pivot'!$D$2:$K$2=I$2)*'MTD Pivot'!$D$3:$K$400)</f>
        <v/>
      </c>
      <c r="J134" s="411">
        <f>G134-F134</f>
        <v/>
      </c>
      <c r="K134" s="412" t="n"/>
      <c r="L134" s="409">
        <f>SUMPRODUCT(('Full month Pivot'!$A$3:$A$400=TRIM($A$134))*('Full month Pivot'!$D$2:$K$2=L$2)*'Full month Pivot'!$D$3:$K$400)</f>
        <v/>
      </c>
      <c r="M134" s="409">
        <f>SUMPRODUCT(('Full month Pivot'!$A$3:$A$400=TRIM($A$134))*('Full month Pivot'!$D$2:$K$2=M$2)*'Full month Pivot'!$D$3:$K$400)</f>
        <v/>
      </c>
      <c r="N134" s="409">
        <f>SUMPRODUCT(('Full month Pivot'!$A$3:$A$400=TRIM($A$134))*('Full month Pivot'!$D$2:$K$2=N$2)*'Full month Pivot'!$D$3:$K$400)</f>
        <v/>
      </c>
      <c r="O134" s="409">
        <f>SUMPRODUCT(('Full month Pivot'!$A$3:$A$400=TRIM($A$134))*('Full month Pivot'!$D$2:$K$2=O$2)*'Full month Pivot'!$D$3:$K$400)</f>
        <v/>
      </c>
      <c r="P134" s="409">
        <f>SUMPRODUCT(('Full month Pivot'!$A$3:$A$400=TRIM($A$134))*('Full month Pivot'!$D$2:$K$2=P$2)*'Full month Pivot'!$D$3:$K$400)</f>
        <v/>
      </c>
      <c r="Q134" s="410">
        <f>SUMPRODUCT(('Full month Pivot'!$A$3:$A$400=TRIM($A$134))*('Full month Pivot'!$D$2:$K$2=Q$2)*'Full month Pivot'!$D$3:$K$400)</f>
        <v/>
      </c>
      <c r="R134" s="409">
        <f>SUMPRODUCT(('Full month Pivot'!$A$3:$A$400=TRIM($A$134))*('Full month Pivot'!$D$2:$K$2=R$2)*'Full month Pivot'!$D$3:$K$400)</f>
        <v/>
      </c>
      <c r="S134" s="409">
        <f>SUMPRODUCT(('Full month Pivot'!$A$3:$A$400=TRIM($A$134))*('Full month Pivot'!$D$2:$K$2=S$2)*'Full month Pivot'!$D$3:$K$400)</f>
        <v/>
      </c>
      <c r="T134" s="411">
        <f>G134-F134</f>
        <v/>
      </c>
      <c r="U134" s="395" t="n"/>
      <c r="V134" s="395" t="n"/>
      <c r="W134" s="395" t="n"/>
      <c r="X134" s="395" t="n"/>
      <c r="Y134" s="395" t="n"/>
      <c r="Z134" s="395" t="n"/>
      <c r="AA134" s="202" t="n"/>
      <c r="AB134" s="140" t="n"/>
      <c r="AC134" s="140" t="n"/>
      <c r="AD134" s="140" t="n"/>
    </row>
    <row r="135" ht="15.75" customHeight="1" s="346">
      <c r="A135" s="413" t="inlineStr">
        <is>
          <t xml:space="preserve">  ↳ Click to app: Nước</t>
        </is>
      </c>
      <c r="B135" s="414" t="n"/>
      <c r="C135" s="414" t="n"/>
      <c r="D135" s="414" t="n"/>
      <c r="E135" s="414" t="n"/>
      <c r="F135" s="414" t="n">
        <v>2829</v>
      </c>
      <c r="G135" s="415" t="n">
        <v>3132</v>
      </c>
      <c r="H135" s="414" t="n"/>
      <c r="I135" s="414" t="n"/>
      <c r="J135" s="416">
        <f>G135-F135</f>
        <v/>
      </c>
      <c r="K135" s="417">
        <f>IF(G134&gt;0, G135/G134, 0)</f>
        <v/>
      </c>
      <c r="L135" s="414" t="n"/>
      <c r="M135" s="414" t="n"/>
      <c r="N135" s="414" t="n"/>
      <c r="O135" s="414" t="n"/>
      <c r="P135" s="414" t="n">
        <v>3000</v>
      </c>
      <c r="Q135" s="415">
        <f>G135</f>
        <v/>
      </c>
      <c r="R135" s="414" t="n"/>
      <c r="S135" s="414" t="n"/>
      <c r="T135" s="416">
        <f>G135-F135</f>
        <v/>
      </c>
      <c r="U135" s="365" t="n"/>
      <c r="V135" s="365" t="n"/>
      <c r="W135" s="365" t="n"/>
      <c r="X135" s="365" t="n"/>
      <c r="Y135" s="365" t="n"/>
      <c r="Z135" s="365" t="n"/>
      <c r="AA135" s="145" t="n"/>
      <c r="AB135" s="140" t="n"/>
      <c r="AC135" s="140" t="n"/>
      <c r="AD135" s="140" t="n"/>
    </row>
    <row r="136" ht="15.75" customHeight="1" s="346">
      <c r="A136" s="408" t="inlineStr">
        <is>
          <t>Others</t>
        </is>
      </c>
      <c r="B136" s="409">
        <f>SUMPRODUCT(('MTD Pivot'!$A$3:$A$400=TRIM($A$136))*('MTD Pivot'!$D$2:$K$2=B$2)*'MTD Pivot'!$D$3:$K$400)</f>
        <v/>
      </c>
      <c r="C136" s="409">
        <f>SUMPRODUCT(('MTD Pivot'!$A$3:$A$400=TRIM($A$136))*('MTD Pivot'!$D$2:$K$2=C$2)*'MTD Pivot'!$D$3:$K$400)</f>
        <v/>
      </c>
      <c r="D136" s="409">
        <f>SUMPRODUCT(('MTD Pivot'!$A$3:$A$400=TRIM($A$136))*('MTD Pivot'!$D$2:$K$2=D$2)*'MTD Pivot'!$D$3:$K$400)</f>
        <v/>
      </c>
      <c r="E136" s="409">
        <f>SUMPRODUCT(('MTD Pivot'!$A$3:$A$400=TRIM($A$136))*('MTD Pivot'!$D$2:$K$2=E$2)*'MTD Pivot'!$D$3:$K$400)</f>
        <v/>
      </c>
      <c r="F136" s="409">
        <f>SUMPRODUCT(('MTD Pivot'!$A$3:$A$400=TRIM($A$136))*('MTD Pivot'!$D$2:$K$2=F$2)*'MTD Pivot'!$D$3:$K$400)</f>
        <v/>
      </c>
      <c r="G136" s="410">
        <f>SUMPRODUCT(('MTD Pivot'!$A$3:$A$400=TRIM($A$136))*('MTD Pivot'!$D$2:$K$2=G$2)*'MTD Pivot'!$D$3:$K$400)</f>
        <v/>
      </c>
      <c r="H136" s="409">
        <f>SUMPRODUCT(('MTD Pivot'!$A$3:$A$400=TRIM($A$136))*('MTD Pivot'!$D$2:$K$2=H$2)*'MTD Pivot'!$D$3:$K$400)</f>
        <v/>
      </c>
      <c r="I136" s="409">
        <f>SUMPRODUCT(('MTD Pivot'!$A$3:$A$400=TRIM($A$136))*('MTD Pivot'!$D$2:$K$2=I$2)*'MTD Pivot'!$D$3:$K$400)</f>
        <v/>
      </c>
      <c r="J136" s="411">
        <f>G136-F136</f>
        <v/>
      </c>
      <c r="K136" s="412" t="n"/>
      <c r="L136" s="409">
        <f>SUMPRODUCT(('Full month Pivot'!$A$3:$A$400=TRIM($A$136))*('Full month Pivot'!$D$2:$K$2=L$2)*'Full month Pivot'!$D$3:$K$400)</f>
        <v/>
      </c>
      <c r="M136" s="409">
        <f>SUMPRODUCT(('Full month Pivot'!$A$3:$A$400=TRIM($A$136))*('Full month Pivot'!$D$2:$K$2=M$2)*'Full month Pivot'!$D$3:$K$400)</f>
        <v/>
      </c>
      <c r="N136" s="409">
        <f>SUMPRODUCT(('Full month Pivot'!$A$3:$A$400=TRIM($A$136))*('Full month Pivot'!$D$2:$K$2=N$2)*'Full month Pivot'!$D$3:$K$400)</f>
        <v/>
      </c>
      <c r="O136" s="409">
        <f>SUMPRODUCT(('Full month Pivot'!$A$3:$A$400=TRIM($A$136))*('Full month Pivot'!$D$2:$K$2=O$2)*'Full month Pivot'!$D$3:$K$400)</f>
        <v/>
      </c>
      <c r="P136" s="409">
        <f>SUMPRODUCT(('Full month Pivot'!$A$3:$A$400=TRIM($A$136))*('Full month Pivot'!$D$2:$K$2=P$2)*'Full month Pivot'!$D$3:$K$400)</f>
        <v/>
      </c>
      <c r="Q136" s="410">
        <f>SUMPRODUCT(('Full month Pivot'!$A$3:$A$400=TRIM($A$136))*('Full month Pivot'!$D$2:$K$2=Q$2)*'Full month Pivot'!$D$3:$K$400)</f>
        <v/>
      </c>
      <c r="R136" s="409">
        <f>SUMPRODUCT(('Full month Pivot'!$A$3:$A$400=TRIM($A$136))*('Full month Pivot'!$D$2:$K$2=R$2)*'Full month Pivot'!$D$3:$K$400)</f>
        <v/>
      </c>
      <c r="S136" s="409">
        <f>SUMPRODUCT(('Full month Pivot'!$A$3:$A$400=TRIM($A$136))*('Full month Pivot'!$D$2:$K$2=S$2)*'Full month Pivot'!$D$3:$K$400)</f>
        <v/>
      </c>
      <c r="T136" s="411">
        <f>G136-F136</f>
        <v/>
      </c>
      <c r="U136" s="367" t="n"/>
      <c r="V136" s="367" t="n"/>
      <c r="W136" s="367" t="n"/>
      <c r="X136" s="367" t="n"/>
      <c r="Y136" s="367" t="n"/>
      <c r="Z136" s="367" t="n"/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413" t="inlineStr">
        <is>
          <t xml:space="preserve">  ↳ Click to app: Others</t>
        </is>
      </c>
      <c r="B137" s="414" t="n"/>
      <c r="C137" s="414" t="n"/>
      <c r="D137" s="414" t="n"/>
      <c r="E137" s="414" t="n"/>
      <c r="F137" s="414" t="n">
        <v>2</v>
      </c>
      <c r="G137" s="415" t="n">
        <v>3</v>
      </c>
      <c r="H137" s="414" t="n"/>
      <c r="I137" s="414" t="n"/>
      <c r="J137" s="416">
        <f>G137-F137</f>
        <v/>
      </c>
      <c r="K137" s="417">
        <f>IF(G136&gt;0, G137/G136, 0)</f>
        <v/>
      </c>
      <c r="L137" s="414" t="n"/>
      <c r="M137" s="414" t="n"/>
      <c r="N137" s="414" t="n"/>
      <c r="O137" s="414" t="n"/>
      <c r="P137" s="414" t="n">
        <v>2</v>
      </c>
      <c r="Q137" s="415">
        <f>G137</f>
        <v/>
      </c>
      <c r="R137" s="414" t="n"/>
      <c r="S137" s="414" t="n"/>
      <c r="T137" s="416">
        <f>G137-F137</f>
        <v/>
      </c>
      <c r="U137" s="373" t="n"/>
      <c r="V137" s="373" t="n"/>
      <c r="W137" s="373" t="n"/>
      <c r="X137" s="373" t="n"/>
      <c r="Y137" s="373" t="n"/>
      <c r="Z137" s="373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374" t="n"/>
      <c r="B138" s="375" t="n"/>
      <c r="C138" s="375" t="n"/>
      <c r="D138" s="375" t="n"/>
      <c r="E138" s="375" t="n"/>
      <c r="F138" s="375" t="n"/>
      <c r="G138" s="375" t="n"/>
      <c r="H138" s="375" t="n"/>
      <c r="I138" s="375" t="n"/>
      <c r="J138" s="375" t="n"/>
      <c r="K138" s="375" t="n"/>
      <c r="L138" s="375" t="n"/>
      <c r="M138" s="375" t="n"/>
      <c r="N138" s="375" t="n"/>
      <c r="O138" s="375" t="n"/>
      <c r="P138" s="375" t="n"/>
      <c r="Q138" s="375" t="n"/>
      <c r="R138" s="375" t="n"/>
      <c r="S138" s="375" t="n"/>
      <c r="T138" s="375" t="n"/>
      <c r="U138" s="375" t="n"/>
      <c r="V138" s="375" t="n"/>
      <c r="W138" s="375" t="n"/>
      <c r="X138" s="375" t="n"/>
      <c r="Y138" s="375" t="n"/>
      <c r="Z138" s="375" t="n"/>
      <c r="AA138" s="153" t="n"/>
      <c r="AB138" s="140" t="n"/>
      <c r="AC138" s="140" t="n"/>
      <c r="AD138" s="140" t="n"/>
    </row>
    <row r="139" ht="15.75" customHeight="1" s="346">
      <c r="A139" s="427" t="inlineStr">
        <is>
          <t>Tỷ Trọng % Pageview Theo Dự Án (PV Dự án / Tổng PV)</t>
        </is>
      </c>
      <c r="B139" s="376" t="n"/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376" t="n"/>
      <c r="P139" s="376" t="n"/>
      <c r="Q139" s="376" t="n"/>
      <c r="R139" s="376" t="n"/>
      <c r="S139" s="376" t="n"/>
      <c r="T139" s="376" t="n"/>
      <c r="U139" s="376" t="n"/>
      <c r="V139" s="376" t="n"/>
      <c r="W139" s="376" t="n"/>
      <c r="X139" s="376" t="n"/>
      <c r="Y139" s="376" t="n"/>
      <c r="Z139" s="376" t="n"/>
      <c r="AA139" s="203" t="n"/>
      <c r="AB139" s="140" t="n"/>
      <c r="AC139" s="140" t="n"/>
      <c r="AD139" s="140" t="n"/>
    </row>
    <row r="140" outlineLevel="1" ht="15.75" customHeight="1" s="346">
      <c r="A140" s="428" t="inlineStr">
        <is>
          <t xml:space="preserve">    Cinema Hub</t>
        </is>
      </c>
      <c r="B140" s="429">
        <f>IFERROR(B8/B$3, "-")</f>
        <v/>
      </c>
      <c r="C140" s="429">
        <f>IFERROR(C8/C$3, "-")</f>
        <v/>
      </c>
      <c r="D140" s="429">
        <f>IFERROR(D8/D$3, "-")</f>
        <v/>
      </c>
      <c r="E140" s="429">
        <f>IFERROR(E8/E$3, "-")</f>
        <v/>
      </c>
      <c r="F140" s="429">
        <f>IFERROR(F8/F$3, "-")</f>
        <v/>
      </c>
      <c r="G140" s="429">
        <f>IFERROR(G8/G$3, "-")</f>
        <v/>
      </c>
      <c r="H140" s="429">
        <f>IFERROR(H8/H$3, "-")</f>
        <v/>
      </c>
      <c r="I140" s="429">
        <f>IFERROR(I8/I$3, "-")</f>
        <v/>
      </c>
      <c r="J140" s="430" t="n"/>
      <c r="K140" s="429" t="n"/>
      <c r="L140" s="429">
        <f>IFERROR(L8/L$3, "-")</f>
        <v/>
      </c>
      <c r="M140" s="429">
        <f>IFERROR(M8/M$3, "-")</f>
        <v/>
      </c>
      <c r="N140" s="429">
        <f>IFERROR(N8/N$3, "-")</f>
        <v/>
      </c>
      <c r="O140" s="429">
        <f>IFERROR(O8/O$3, "-")</f>
        <v/>
      </c>
      <c r="P140" s="429">
        <f>IFERROR(P8/P$3, "-")</f>
        <v/>
      </c>
      <c r="Q140" s="429">
        <f>IFERROR(Q8/Q$3, "-")</f>
        <v/>
      </c>
      <c r="R140" s="429">
        <f>IFERROR(R8/R$3, "-")</f>
        <v/>
      </c>
      <c r="S140" s="429">
        <f>IFERROR(S8/S$3, "-")</f>
        <v/>
      </c>
      <c r="T140" s="430">
        <f>G140-F140</f>
        <v/>
      </c>
      <c r="U140" s="381" t="n"/>
      <c r="V140" s="381" t="n"/>
      <c r="W140" s="381" t="n"/>
      <c r="X140" s="381" t="n"/>
      <c r="Y140" s="381" t="n"/>
      <c r="Z140" s="381" t="n"/>
      <c r="AA140" s="157">
        <f>IF(AND(ISNUMBER(X140), ISNUMBER(W140)), X140-W140, "")</f>
        <v/>
      </c>
      <c r="AB140" s="140" t="n"/>
      <c r="AC140" s="140" t="n"/>
      <c r="AD140" s="140" t="n"/>
    </row>
    <row r="141" outlineLevel="1" ht="15.75" customHeight="1" s="346">
      <c r="A141" s="428" t="inlineStr">
        <is>
          <t xml:space="preserve">    Phạt nguội</t>
        </is>
      </c>
      <c r="B141" s="429">
        <f>IFERROR(B60/B$3, "-")</f>
        <v/>
      </c>
      <c r="C141" s="429">
        <f>IFERROR(C60/C$3, "-")</f>
        <v/>
      </c>
      <c r="D141" s="429">
        <f>IFERROR(D60/D$3, "-")</f>
        <v/>
      </c>
      <c r="E141" s="429">
        <f>IFERROR(E60/E$3, "-")</f>
        <v/>
      </c>
      <c r="F141" s="429">
        <f>IFERROR(F60/F$3, "-")</f>
        <v/>
      </c>
      <c r="G141" s="429">
        <f>IFERROR(G60/G$3, "-")</f>
        <v/>
      </c>
      <c r="H141" s="429">
        <f>IFERROR(H60/H$3, "-")</f>
        <v/>
      </c>
      <c r="I141" s="429">
        <f>IFERROR(I60/I$3, "-")</f>
        <v/>
      </c>
      <c r="J141" s="430" t="n"/>
      <c r="K141" s="429" t="n"/>
      <c r="L141" s="429">
        <f>IFERROR(L60/L$3, "-")</f>
        <v/>
      </c>
      <c r="M141" s="429">
        <f>IFERROR(M60/M$3, "-")</f>
        <v/>
      </c>
      <c r="N141" s="429">
        <f>IFERROR(N60/N$3, "-")</f>
        <v/>
      </c>
      <c r="O141" s="429">
        <f>IFERROR(O60/O$3, "-")</f>
        <v/>
      </c>
      <c r="P141" s="429">
        <f>IFERROR(P60/P$3, "-")</f>
        <v/>
      </c>
      <c r="Q141" s="429">
        <f>IFERROR(Q60/Q$3, "-")</f>
        <v/>
      </c>
      <c r="R141" s="429">
        <f>IFERROR(R60/R$3, "-")</f>
        <v/>
      </c>
      <c r="S141" s="429">
        <f>IFERROR(S60/S$3, "-")</f>
        <v/>
      </c>
      <c r="T141" s="430">
        <f>G141-F141</f>
        <v/>
      </c>
      <c r="U141" s="386" t="n"/>
      <c r="V141" s="386" t="n"/>
      <c r="W141" s="386" t="n"/>
      <c r="X141" s="386" t="n"/>
      <c r="Y141" s="386" t="n"/>
      <c r="Z141" s="386" t="n"/>
      <c r="AA141" s="157">
        <f>IF(AND(ISNUMBER(X141), ISNUMBER(W141), W141&gt;0), (X141-W141)/W141, "")</f>
        <v/>
      </c>
      <c r="AB141" s="140" t="n"/>
      <c r="AC141" s="140" t="n"/>
      <c r="AD141" s="140" t="n"/>
    </row>
    <row r="142" outlineLevel="1" ht="15.75" customHeight="1" s="346">
      <c r="A142" s="428" t="inlineStr">
        <is>
          <t xml:space="preserve">    Home MoMo</t>
        </is>
      </c>
      <c r="B142" s="429">
        <f>IFERROR(B22/B$3, "-")</f>
        <v/>
      </c>
      <c r="C142" s="429">
        <f>IFERROR(C22/C$3, "-")</f>
        <v/>
      </c>
      <c r="D142" s="429">
        <f>IFERROR(D22/D$3, "-")</f>
        <v/>
      </c>
      <c r="E142" s="429">
        <f>IFERROR(E22/E$3, "-")</f>
        <v/>
      </c>
      <c r="F142" s="429">
        <f>IFERROR(F22/F$3, "-")</f>
        <v/>
      </c>
      <c r="G142" s="429">
        <f>IFERROR(G22/G$3, "-")</f>
        <v/>
      </c>
      <c r="H142" s="429">
        <f>IFERROR(H22/H$3, "-")</f>
        <v/>
      </c>
      <c r="I142" s="429">
        <f>IFERROR(I22/I$3, "-")</f>
        <v/>
      </c>
      <c r="J142" s="430" t="n"/>
      <c r="K142" s="429" t="n"/>
      <c r="L142" s="429">
        <f>IFERROR(L22/L$3, "-")</f>
        <v/>
      </c>
      <c r="M142" s="429">
        <f>IFERROR(M22/M$3, "-")</f>
        <v/>
      </c>
      <c r="N142" s="429">
        <f>IFERROR(N22/N$3, "-")</f>
        <v/>
      </c>
      <c r="O142" s="429">
        <f>IFERROR(O22/O$3, "-")</f>
        <v/>
      </c>
      <c r="P142" s="429">
        <f>IFERROR(P22/P$3, "-")</f>
        <v/>
      </c>
      <c r="Q142" s="429">
        <f>IFERROR(Q22/Q$3, "-")</f>
        <v/>
      </c>
      <c r="R142" s="429">
        <f>IFERROR(R22/R$3, "-")</f>
        <v/>
      </c>
      <c r="S142" s="429">
        <f>IFERROR(S22/S$3, "-")</f>
        <v/>
      </c>
      <c r="T142" s="430">
        <f>G142-F142</f>
        <v/>
      </c>
      <c r="U142" s="386" t="n"/>
      <c r="V142" s="386" t="n"/>
      <c r="W142" s="386" t="n"/>
      <c r="X142" s="386" t="n"/>
      <c r="Y142" s="386" t="n"/>
      <c r="Z142" s="386" t="n"/>
      <c r="AA142" s="157">
        <f>IF(AND(ISNUMBER(X142), ISNUMBER(W142), W142&gt;0), (X142-W142)/W142, "")</f>
        <v/>
      </c>
      <c r="AB142" s="140" t="n"/>
      <c r="AC142" s="140" t="n"/>
      <c r="AD142" s="140" t="n"/>
    </row>
    <row r="143" outlineLevel="1" ht="15.75" customHeight="1" s="346">
      <c r="A143" s="428" t="inlineStr">
        <is>
          <t xml:space="preserve">    Tiktok</t>
        </is>
      </c>
      <c r="B143" s="429">
        <f>IFERROR(B26/B$3, "-")</f>
        <v/>
      </c>
      <c r="C143" s="429">
        <f>IFERROR(C26/C$3, "-")</f>
        <v/>
      </c>
      <c r="D143" s="429">
        <f>IFERROR(D26/D$3, "-")</f>
        <v/>
      </c>
      <c r="E143" s="429">
        <f>IFERROR(E26/E$3, "-")</f>
        <v/>
      </c>
      <c r="F143" s="429">
        <f>IFERROR(F26/F$3, "-")</f>
        <v/>
      </c>
      <c r="G143" s="429">
        <f>IFERROR(G26/G$3, "-")</f>
        <v/>
      </c>
      <c r="H143" s="429">
        <f>IFERROR(H26/H$3, "-")</f>
        <v/>
      </c>
      <c r="I143" s="429">
        <f>IFERROR(I26/I$3, "-")</f>
        <v/>
      </c>
      <c r="J143" s="430" t="n"/>
      <c r="K143" s="429" t="n"/>
      <c r="L143" s="429">
        <f>IFERROR(L26/L$3, "-")</f>
        <v/>
      </c>
      <c r="M143" s="429">
        <f>IFERROR(M26/M$3, "-")</f>
        <v/>
      </c>
      <c r="N143" s="429">
        <f>IFERROR(N26/N$3, "-")</f>
        <v/>
      </c>
      <c r="O143" s="429">
        <f>IFERROR(O26/O$3, "-")</f>
        <v/>
      </c>
      <c r="P143" s="429">
        <f>IFERROR(P26/P$3, "-")</f>
        <v/>
      </c>
      <c r="Q143" s="429">
        <f>IFERROR(Q26/Q$3, "-")</f>
        <v/>
      </c>
      <c r="R143" s="429">
        <f>IFERROR(R26/R$3, "-")</f>
        <v/>
      </c>
      <c r="S143" s="429">
        <f>IFERROR(S26/S$3, "-")</f>
        <v/>
      </c>
      <c r="T143" s="430">
        <f>G143-F143</f>
        <v/>
      </c>
      <c r="U143" s="386" t="n"/>
      <c r="V143" s="386" t="n"/>
      <c r="W143" s="386" t="n"/>
      <c r="X143" s="386" t="n"/>
      <c r="Y143" s="386" t="n"/>
      <c r="Z143" s="386" t="n"/>
      <c r="AA143" s="157">
        <f>IF(AND(ISNUMBER(X143), ISNUMBER(W143), W143&gt;0), (X143-W143)/W143, "")</f>
        <v/>
      </c>
      <c r="AB143" s="140" t="n"/>
      <c r="AC143" s="140" t="n"/>
      <c r="AD143" s="140" t="n"/>
    </row>
    <row r="144" outlineLevel="1" ht="15.75" customHeight="1" s="346">
      <c r="A144" s="428" t="inlineStr">
        <is>
          <t xml:space="preserve">    Financial Hub</t>
        </is>
      </c>
      <c r="B144" s="429">
        <f>IFERROR(B28/B$3, "-")</f>
        <v/>
      </c>
      <c r="C144" s="429">
        <f>IFERROR(C28/C$3, "-")</f>
        <v/>
      </c>
      <c r="D144" s="429">
        <f>IFERROR(D28/D$3, "-")</f>
        <v/>
      </c>
      <c r="E144" s="429">
        <f>IFERROR(E28/E$3, "-")</f>
        <v/>
      </c>
      <c r="F144" s="429">
        <f>IFERROR(F28/F$3, "-")</f>
        <v/>
      </c>
      <c r="G144" s="429">
        <f>IFERROR(G28/G$3, "-")</f>
        <v/>
      </c>
      <c r="H144" s="429">
        <f>IFERROR(H28/H$3, "-")</f>
        <v/>
      </c>
      <c r="I144" s="429">
        <f>IFERROR(I28/I$3, "-")</f>
        <v/>
      </c>
      <c r="J144" s="430" t="n"/>
      <c r="K144" s="429" t="n"/>
      <c r="L144" s="429">
        <f>IFERROR(L28/L$3, "-")</f>
        <v/>
      </c>
      <c r="M144" s="429">
        <f>IFERROR(M28/M$3, "-")</f>
        <v/>
      </c>
      <c r="N144" s="429">
        <f>IFERROR(N28/N$3, "-")</f>
        <v/>
      </c>
      <c r="O144" s="429">
        <f>IFERROR(O28/O$3, "-")</f>
        <v/>
      </c>
      <c r="P144" s="429">
        <f>IFERROR(P28/P$3, "-")</f>
        <v/>
      </c>
      <c r="Q144" s="429">
        <f>IFERROR(Q28/Q$3, "-")</f>
        <v/>
      </c>
      <c r="R144" s="429">
        <f>IFERROR(R28/R$3, "-")</f>
        <v/>
      </c>
      <c r="S144" s="429">
        <f>IFERROR(S28/S$3, "-")</f>
        <v/>
      </c>
      <c r="T144" s="430">
        <f>G144-F144</f>
        <v/>
      </c>
      <c r="U144" s="386" t="n"/>
      <c r="V144" s="386" t="n"/>
      <c r="W144" s="386" t="n"/>
      <c r="X144" s="386" t="n"/>
      <c r="Y144" s="386" t="n"/>
      <c r="Z144" s="386" t="n"/>
      <c r="AA144" s="157">
        <f>IF(AND(ISNUMBER(X144), ISNUMBER(W144), W144&gt;0), (X144-W144)/W144, "")</f>
        <v/>
      </c>
      <c r="AB144" s="140" t="n"/>
      <c r="AC144" s="140" t="n"/>
      <c r="AD144" s="140" t="n"/>
    </row>
    <row r="145" outlineLevel="1" ht="15.75" customHeight="1" s="346">
      <c r="A145" s="428" t="inlineStr">
        <is>
          <t xml:space="preserve">    Vé Xe</t>
        </is>
      </c>
      <c r="B145" s="429">
        <f>IFERROR(B68/B$3, "-")</f>
        <v/>
      </c>
      <c r="C145" s="429">
        <f>IFERROR(C68/C$3, "-")</f>
        <v/>
      </c>
      <c r="D145" s="429">
        <f>IFERROR(D68/D$3, "-")</f>
        <v/>
      </c>
      <c r="E145" s="429">
        <f>IFERROR(E68/E$3, "-")</f>
        <v/>
      </c>
      <c r="F145" s="429">
        <f>IFERROR(F68/F$3, "-")</f>
        <v/>
      </c>
      <c r="G145" s="429">
        <f>IFERROR(G68/G$3, "-")</f>
        <v/>
      </c>
      <c r="H145" s="429">
        <f>IFERROR(H68/H$3, "-")</f>
        <v/>
      </c>
      <c r="I145" s="429">
        <f>IFERROR(I68/I$3, "-")</f>
        <v/>
      </c>
      <c r="J145" s="430" t="n"/>
      <c r="K145" s="429" t="n"/>
      <c r="L145" s="429">
        <f>IFERROR(L68/L$3, "-")</f>
        <v/>
      </c>
      <c r="M145" s="429">
        <f>IFERROR(M68/M$3, "-")</f>
        <v/>
      </c>
      <c r="N145" s="429">
        <f>IFERROR(N68/N$3, "-")</f>
        <v/>
      </c>
      <c r="O145" s="429">
        <f>IFERROR(O68/O$3, "-")</f>
        <v/>
      </c>
      <c r="P145" s="429">
        <f>IFERROR(P68/P$3, "-")</f>
        <v/>
      </c>
      <c r="Q145" s="429">
        <f>IFERROR(Q68/Q$3, "-")</f>
        <v/>
      </c>
      <c r="R145" s="429">
        <f>IFERROR(R68/R$3, "-")</f>
        <v/>
      </c>
      <c r="S145" s="429">
        <f>IFERROR(S68/S$3, "-")</f>
        <v/>
      </c>
      <c r="T145" s="430">
        <f>G145-F145</f>
        <v/>
      </c>
      <c r="U145" s="386" t="n"/>
      <c r="V145" s="386" t="n"/>
      <c r="W145" s="386" t="n"/>
      <c r="X145" s="386" t="n"/>
      <c r="Y145" s="386" t="n"/>
      <c r="Z145" s="386" t="n"/>
      <c r="AA145" s="157">
        <f>IF(AND(ISNUMBER(X145), ISNUMBER(W145), W145&gt;0), (X145-W145)/W145, "")</f>
        <v/>
      </c>
      <c r="AB145" s="140" t="n"/>
      <c r="AC145" s="140" t="n"/>
      <c r="AD145" s="140" t="n"/>
    </row>
    <row r="146" outlineLevel="1" ht="15.75" customHeight="1" s="346">
      <c r="A146" s="428" t="inlineStr">
        <is>
          <t xml:space="preserve">    OTA</t>
        </is>
      </c>
      <c r="B146" s="429">
        <f>IFERROR(B70/B$3, "-")</f>
        <v/>
      </c>
      <c r="C146" s="429">
        <f>IFERROR(C70/C$3, "-")</f>
        <v/>
      </c>
      <c r="D146" s="429">
        <f>IFERROR(D70/D$3, "-")</f>
        <v/>
      </c>
      <c r="E146" s="429">
        <f>IFERROR(E70/E$3, "-")</f>
        <v/>
      </c>
      <c r="F146" s="429">
        <f>IFERROR(F70/F$3, "-")</f>
        <v/>
      </c>
      <c r="G146" s="429">
        <f>IFERROR(G70/G$3, "-")</f>
        <v/>
      </c>
      <c r="H146" s="429">
        <f>IFERROR(H70/H$3, "-")</f>
        <v/>
      </c>
      <c r="I146" s="429">
        <f>IFERROR(I70/I$3, "-")</f>
        <v/>
      </c>
      <c r="J146" s="430" t="n"/>
      <c r="K146" s="429" t="n"/>
      <c r="L146" s="429">
        <f>IFERROR(L70/L$3, "-")</f>
        <v/>
      </c>
      <c r="M146" s="429">
        <f>IFERROR(M70/M$3, "-")</f>
        <v/>
      </c>
      <c r="N146" s="429">
        <f>IFERROR(N70/N$3, "-")</f>
        <v/>
      </c>
      <c r="O146" s="429">
        <f>IFERROR(O70/O$3, "-")</f>
        <v/>
      </c>
      <c r="P146" s="429">
        <f>IFERROR(P70/P$3, "-")</f>
        <v/>
      </c>
      <c r="Q146" s="429">
        <f>IFERROR(Q70/Q$3, "-")</f>
        <v/>
      </c>
      <c r="R146" s="429">
        <f>IFERROR(R70/R$3, "-")</f>
        <v/>
      </c>
      <c r="S146" s="429">
        <f>IFERROR(S70/S$3, "-")</f>
        <v/>
      </c>
      <c r="T146" s="430">
        <f>G146-F146</f>
        <v/>
      </c>
      <c r="U146" s="395" t="n"/>
      <c r="V146" s="395" t="n"/>
      <c r="W146" s="395" t="n"/>
      <c r="X146" s="395" t="n"/>
      <c r="Y146" s="395" t="n"/>
      <c r="Z146" s="395" t="n"/>
      <c r="AA146" s="202" t="n"/>
      <c r="AB146" s="140" t="n"/>
      <c r="AC146" s="140" t="n"/>
      <c r="AD146" s="140" t="n"/>
    </row>
    <row r="147" outlineLevel="1" ht="15.75" customHeight="1" s="346">
      <c r="A147" s="428" t="inlineStr">
        <is>
          <t xml:space="preserve">    OA</t>
        </is>
      </c>
      <c r="B147" s="429">
        <f>IFERROR(B72/B$3, "-")</f>
        <v/>
      </c>
      <c r="C147" s="429">
        <f>IFERROR(C72/C$3, "-")</f>
        <v/>
      </c>
      <c r="D147" s="429">
        <f>IFERROR(D72/D$3, "-")</f>
        <v/>
      </c>
      <c r="E147" s="429">
        <f>IFERROR(E72/E$3, "-")</f>
        <v/>
      </c>
      <c r="F147" s="429">
        <f>IFERROR(F72/F$3, "-")</f>
        <v/>
      </c>
      <c r="G147" s="429">
        <f>IFERROR(G72/G$3, "-")</f>
        <v/>
      </c>
      <c r="H147" s="429">
        <f>IFERROR(H72/H$3, "-")</f>
        <v/>
      </c>
      <c r="I147" s="429">
        <f>IFERROR(I72/I$3, "-")</f>
        <v/>
      </c>
      <c r="J147" s="430" t="n"/>
      <c r="K147" s="429" t="n"/>
      <c r="L147" s="429">
        <f>IFERROR(L72/L$3, "-")</f>
        <v/>
      </c>
      <c r="M147" s="429">
        <f>IFERROR(M72/M$3, "-")</f>
        <v/>
      </c>
      <c r="N147" s="429">
        <f>IFERROR(N72/N$3, "-")</f>
        <v/>
      </c>
      <c r="O147" s="429">
        <f>IFERROR(O72/O$3, "-")</f>
        <v/>
      </c>
      <c r="P147" s="429">
        <f>IFERROR(P72/P$3, "-")</f>
        <v/>
      </c>
      <c r="Q147" s="429">
        <f>IFERROR(Q72/Q$3, "-")</f>
        <v/>
      </c>
      <c r="R147" s="429">
        <f>IFERROR(R72/R$3, "-")</f>
        <v/>
      </c>
      <c r="S147" s="429">
        <f>IFERROR(S72/S$3, "-")</f>
        <v/>
      </c>
      <c r="T147" s="430">
        <f>G147-F147</f>
        <v/>
      </c>
      <c r="U147" s="365" t="n"/>
      <c r="V147" s="365" t="n"/>
      <c r="W147" s="365" t="n"/>
      <c r="X147" s="365" t="n"/>
      <c r="Y147" s="365" t="n"/>
      <c r="Z147" s="365" t="n"/>
      <c r="AA147" s="145" t="n"/>
      <c r="AB147" s="140" t="n"/>
      <c r="AC147" s="140" t="n"/>
      <c r="AD147" s="140" t="n"/>
    </row>
    <row r="148" outlineLevel="1" ht="15.75" customHeight="1" s="346">
      <c r="A148" s="428" t="inlineStr">
        <is>
          <t xml:space="preserve">    Sim</t>
        </is>
      </c>
      <c r="B148" s="429">
        <f>IFERROR(B74/B$3, "-")</f>
        <v/>
      </c>
      <c r="C148" s="429">
        <f>IFERROR(C74/C$3, "-")</f>
        <v/>
      </c>
      <c r="D148" s="429">
        <f>IFERROR(D74/D$3, "-")</f>
        <v/>
      </c>
      <c r="E148" s="429">
        <f>IFERROR(E74/E$3, "-")</f>
        <v/>
      </c>
      <c r="F148" s="429">
        <f>IFERROR(F74/F$3, "-")</f>
        <v/>
      </c>
      <c r="G148" s="429">
        <f>IFERROR(G74/G$3, "-")</f>
        <v/>
      </c>
      <c r="H148" s="429">
        <f>IFERROR(H74/H$3, "-")</f>
        <v/>
      </c>
      <c r="I148" s="429">
        <f>IFERROR(I74/I$3, "-")</f>
        <v/>
      </c>
      <c r="J148" s="430" t="n"/>
      <c r="K148" s="429" t="n"/>
      <c r="L148" s="429">
        <f>IFERROR(L74/L$3, "-")</f>
        <v/>
      </c>
      <c r="M148" s="429">
        <f>IFERROR(M74/M$3, "-")</f>
        <v/>
      </c>
      <c r="N148" s="429">
        <f>IFERROR(N74/N$3, "-")</f>
        <v/>
      </c>
      <c r="O148" s="429">
        <f>IFERROR(O74/O$3, "-")</f>
        <v/>
      </c>
      <c r="P148" s="429">
        <f>IFERROR(P74/P$3, "-")</f>
        <v/>
      </c>
      <c r="Q148" s="429">
        <f>IFERROR(Q74/Q$3, "-")</f>
        <v/>
      </c>
      <c r="R148" s="429">
        <f>IFERROR(R74/R$3, "-")</f>
        <v/>
      </c>
      <c r="S148" s="429">
        <f>IFERROR(S74/S$3, "-")</f>
        <v/>
      </c>
      <c r="T148" s="430">
        <f>G148-F148</f>
        <v/>
      </c>
      <c r="U148" s="367" t="n"/>
      <c r="V148" s="367" t="n"/>
      <c r="W148" s="367" t="n"/>
      <c r="X148" s="367" t="n"/>
      <c r="Y148" s="367" t="n"/>
      <c r="Z148" s="367" t="n"/>
      <c r="AA148" s="148">
        <f>IFERROR((X148-W148)/W148, "")</f>
        <v/>
      </c>
      <c r="AB148" s="140" t="n"/>
      <c r="AC148" s="140" t="n"/>
      <c r="AD148" s="140" t="n"/>
    </row>
    <row r="149" outlineLevel="1" ht="15.75" customHeight="1" s="346">
      <c r="A149" s="428" t="inlineStr">
        <is>
          <t xml:space="preserve">    Game</t>
        </is>
      </c>
      <c r="B149" s="429">
        <f>IFERROR(B80/B$3, "-")</f>
        <v/>
      </c>
      <c r="C149" s="429">
        <f>IFERROR(C80/C$3, "-")</f>
        <v/>
      </c>
      <c r="D149" s="429">
        <f>IFERROR(D80/D$3, "-")</f>
        <v/>
      </c>
      <c r="E149" s="429">
        <f>IFERROR(E80/E$3, "-")</f>
        <v/>
      </c>
      <c r="F149" s="429">
        <f>IFERROR(F80/F$3, "-")</f>
        <v/>
      </c>
      <c r="G149" s="429">
        <f>IFERROR(G80/G$3, "-")</f>
        <v/>
      </c>
      <c r="H149" s="429">
        <f>IFERROR(H80/H$3, "-")</f>
        <v/>
      </c>
      <c r="I149" s="429">
        <f>IFERROR(I80/I$3, "-")</f>
        <v/>
      </c>
      <c r="J149" s="430" t="n"/>
      <c r="K149" s="429" t="n"/>
      <c r="L149" s="429">
        <f>IFERROR(L80/L$3, "-")</f>
        <v/>
      </c>
      <c r="M149" s="429">
        <f>IFERROR(M80/M$3, "-")</f>
        <v/>
      </c>
      <c r="N149" s="429">
        <f>IFERROR(N80/N$3, "-")</f>
        <v/>
      </c>
      <c r="O149" s="429">
        <f>IFERROR(O80/O$3, "-")</f>
        <v/>
      </c>
      <c r="P149" s="429">
        <f>IFERROR(P80/P$3, "-")</f>
        <v/>
      </c>
      <c r="Q149" s="429">
        <f>IFERROR(Q80/Q$3, "-")</f>
        <v/>
      </c>
      <c r="R149" s="429">
        <f>IFERROR(R80/R$3, "-")</f>
        <v/>
      </c>
      <c r="S149" s="429">
        <f>IFERROR(S80/S$3, "-")</f>
        <v/>
      </c>
      <c r="T149" s="430">
        <f>G149-F149</f>
        <v/>
      </c>
      <c r="U149" s="373" t="n"/>
      <c r="V149" s="373" t="n"/>
      <c r="W149" s="373" t="n"/>
      <c r="X149" s="373" t="n"/>
      <c r="Y149" s="373" t="n"/>
      <c r="Z149" s="373" t="n"/>
      <c r="AA149" s="151">
        <f>IFERROR((X149-W149)/W149, "")</f>
        <v/>
      </c>
      <c r="AB149" s="140" t="n"/>
      <c r="AC149" s="140" t="n"/>
      <c r="AD149" s="140" t="n"/>
    </row>
    <row r="150" outlineLevel="1" ht="15.75" customHeight="1" s="346">
      <c r="A150" s="428" t="inlineStr">
        <is>
          <t xml:space="preserve">    Bảo hiểm ô tô</t>
        </is>
      </c>
      <c r="B150" s="429">
        <f>IFERROR(B62/B$3, "-")</f>
        <v/>
      </c>
      <c r="C150" s="429">
        <f>IFERROR(C62/C$3, "-")</f>
        <v/>
      </c>
      <c r="D150" s="429">
        <f>IFERROR(D62/D$3, "-")</f>
        <v/>
      </c>
      <c r="E150" s="429">
        <f>IFERROR(E62/E$3, "-")</f>
        <v/>
      </c>
      <c r="F150" s="429">
        <f>IFERROR(F62/F$3, "-")</f>
        <v/>
      </c>
      <c r="G150" s="429">
        <f>IFERROR(G62/G$3, "-")</f>
        <v/>
      </c>
      <c r="H150" s="429">
        <f>IFERROR(H62/H$3, "-")</f>
        <v/>
      </c>
      <c r="I150" s="429">
        <f>IFERROR(I62/I$3, "-")</f>
        <v/>
      </c>
      <c r="J150" s="430" t="n"/>
      <c r="K150" s="429" t="n"/>
      <c r="L150" s="429">
        <f>IFERROR(L62/L$3, "-")</f>
        <v/>
      </c>
      <c r="M150" s="429">
        <f>IFERROR(M62/M$3, "-")</f>
        <v/>
      </c>
      <c r="N150" s="429">
        <f>IFERROR(N62/N$3, "-")</f>
        <v/>
      </c>
      <c r="O150" s="429">
        <f>IFERROR(O62/O$3, "-")</f>
        <v/>
      </c>
      <c r="P150" s="429">
        <f>IFERROR(P62/P$3, "-")</f>
        <v/>
      </c>
      <c r="Q150" s="429">
        <f>IFERROR(Q62/Q$3, "-")</f>
        <v/>
      </c>
      <c r="R150" s="429">
        <f>IFERROR(R62/R$3, "-")</f>
        <v/>
      </c>
      <c r="S150" s="429">
        <f>IFERROR(S62/S$3, "-")</f>
        <v/>
      </c>
      <c r="T150" s="430">
        <f>G150-F150</f>
        <v/>
      </c>
      <c r="U150" s="375" t="n"/>
      <c r="V150" s="375" t="n"/>
      <c r="W150" s="375" t="n"/>
      <c r="X150" s="375" t="n"/>
      <c r="Y150" s="375" t="n"/>
      <c r="Z150" s="375" t="n"/>
      <c r="AA150" s="153" t="n"/>
      <c r="AB150" s="140" t="n"/>
      <c r="AC150" s="140" t="n"/>
      <c r="AD150" s="140" t="n"/>
    </row>
    <row r="151" outlineLevel="1" ht="15.75" customHeight="1" s="346">
      <c r="A151" s="428" t="inlineStr">
        <is>
          <t xml:space="preserve">    Bảo hiểm xe máy</t>
        </is>
      </c>
      <c r="B151" s="429">
        <f>IFERROR(B64/B$3, "-")</f>
        <v/>
      </c>
      <c r="C151" s="429">
        <f>IFERROR(C64/C$3, "-")</f>
        <v/>
      </c>
      <c r="D151" s="429">
        <f>IFERROR(D64/D$3, "-")</f>
        <v/>
      </c>
      <c r="E151" s="429">
        <f>IFERROR(E64/E$3, "-")</f>
        <v/>
      </c>
      <c r="F151" s="429">
        <f>IFERROR(F64/F$3, "-")</f>
        <v/>
      </c>
      <c r="G151" s="429">
        <f>IFERROR(G64/G$3, "-")</f>
        <v/>
      </c>
      <c r="H151" s="429">
        <f>IFERROR(H64/H$3, "-")</f>
        <v/>
      </c>
      <c r="I151" s="429">
        <f>IFERROR(I64/I$3, "-")</f>
        <v/>
      </c>
      <c r="J151" s="430" t="n"/>
      <c r="K151" s="429" t="n"/>
      <c r="L151" s="429">
        <f>IFERROR(L64/L$3, "-")</f>
        <v/>
      </c>
      <c r="M151" s="429">
        <f>IFERROR(M64/M$3, "-")</f>
        <v/>
      </c>
      <c r="N151" s="429">
        <f>IFERROR(N64/N$3, "-")</f>
        <v/>
      </c>
      <c r="O151" s="429">
        <f>IFERROR(O64/O$3, "-")</f>
        <v/>
      </c>
      <c r="P151" s="429">
        <f>IFERROR(P64/P$3, "-")</f>
        <v/>
      </c>
      <c r="Q151" s="429">
        <f>IFERROR(Q64/Q$3, "-")</f>
        <v/>
      </c>
      <c r="R151" s="429">
        <f>IFERROR(R64/R$3, "-")</f>
        <v/>
      </c>
      <c r="S151" s="429">
        <f>IFERROR(S64/S$3, "-")</f>
        <v/>
      </c>
      <c r="T151" s="430">
        <f>G151-F151</f>
        <v/>
      </c>
      <c r="U151" s="376" t="n"/>
      <c r="V151" s="376" t="n"/>
      <c r="W151" s="376" t="n"/>
      <c r="X151" s="376" t="n"/>
      <c r="Y151" s="376" t="n"/>
      <c r="Z151" s="376" t="n"/>
      <c r="AA151" s="203" t="n"/>
      <c r="AB151" s="140" t="n"/>
      <c r="AC151" s="140" t="n"/>
      <c r="AD151" s="140" t="n"/>
    </row>
    <row r="152" outlineLevel="1" ht="15.75" customHeight="1" s="346">
      <c r="A152" s="428" t="inlineStr">
        <is>
          <t xml:space="preserve">    Bảo hiểm y tế</t>
        </is>
      </c>
      <c r="B152" s="429">
        <f>IFERROR(B82/B$3, "-")</f>
        <v/>
      </c>
      <c r="C152" s="429">
        <f>IFERROR(C82/C$3, "-")</f>
        <v/>
      </c>
      <c r="D152" s="429">
        <f>IFERROR(D82/D$3, "-")</f>
        <v/>
      </c>
      <c r="E152" s="429">
        <f>IFERROR(E82/E$3, "-")</f>
        <v/>
      </c>
      <c r="F152" s="429">
        <f>IFERROR(F82/F$3, "-")</f>
        <v/>
      </c>
      <c r="G152" s="429">
        <f>IFERROR(G82/G$3, "-")</f>
        <v/>
      </c>
      <c r="H152" s="429">
        <f>IFERROR(H82/H$3, "-")</f>
        <v/>
      </c>
      <c r="I152" s="429">
        <f>IFERROR(I82/I$3, "-")</f>
        <v/>
      </c>
      <c r="J152" s="430" t="n"/>
      <c r="K152" s="429" t="n"/>
      <c r="L152" s="429">
        <f>IFERROR(L82/L$3, "-")</f>
        <v/>
      </c>
      <c r="M152" s="429">
        <f>IFERROR(M82/M$3, "-")</f>
        <v/>
      </c>
      <c r="N152" s="429">
        <f>IFERROR(N82/N$3, "-")</f>
        <v/>
      </c>
      <c r="O152" s="429">
        <f>IFERROR(O82/O$3, "-")</f>
        <v/>
      </c>
      <c r="P152" s="429">
        <f>IFERROR(P82/P$3, "-")</f>
        <v/>
      </c>
      <c r="Q152" s="429">
        <f>IFERROR(Q82/Q$3, "-")</f>
        <v/>
      </c>
      <c r="R152" s="429">
        <f>IFERROR(R82/R$3, "-")</f>
        <v/>
      </c>
      <c r="S152" s="429">
        <f>IFERROR(S82/S$3, "-")</f>
        <v/>
      </c>
      <c r="T152" s="430">
        <f>G152-F152</f>
        <v/>
      </c>
      <c r="U152" s="381" t="n"/>
      <c r="V152" s="381" t="n"/>
      <c r="W152" s="381" t="n"/>
      <c r="X152" s="381" t="n"/>
      <c r="Y152" s="381" t="n"/>
      <c r="Z152" s="381" t="n"/>
      <c r="AA152" s="157">
        <f>IF(AND(ISNUMBER(X152), ISNUMBER(W152)), X152-W152, "")</f>
        <v/>
      </c>
      <c r="AB152" s="140" t="n"/>
      <c r="AC152" s="140" t="n"/>
      <c r="AD152" s="140" t="n"/>
    </row>
    <row r="153" outlineLevel="1" ht="15.75" customHeight="1" s="346">
      <c r="A153" s="428" t="inlineStr">
        <is>
          <t xml:space="preserve">    Data</t>
        </is>
      </c>
      <c r="B153" s="429">
        <f>IFERROR(B84/B$3, "-")</f>
        <v/>
      </c>
      <c r="C153" s="429">
        <f>IFERROR(C84/C$3, "-")</f>
        <v/>
      </c>
      <c r="D153" s="429">
        <f>IFERROR(D84/D$3, "-")</f>
        <v/>
      </c>
      <c r="E153" s="429">
        <f>IFERROR(E84/E$3, "-")</f>
        <v/>
      </c>
      <c r="F153" s="429">
        <f>IFERROR(F84/F$3, "-")</f>
        <v/>
      </c>
      <c r="G153" s="429">
        <f>IFERROR(G84/G$3, "-")</f>
        <v/>
      </c>
      <c r="H153" s="429">
        <f>IFERROR(H84/H$3, "-")</f>
        <v/>
      </c>
      <c r="I153" s="429">
        <f>IFERROR(I84/I$3, "-")</f>
        <v/>
      </c>
      <c r="J153" s="430" t="n"/>
      <c r="K153" s="429" t="n"/>
      <c r="L153" s="429">
        <f>IFERROR(L84/L$3, "-")</f>
        <v/>
      </c>
      <c r="M153" s="429">
        <f>IFERROR(M84/M$3, "-")</f>
        <v/>
      </c>
      <c r="N153" s="429">
        <f>IFERROR(N84/N$3, "-")</f>
        <v/>
      </c>
      <c r="O153" s="429">
        <f>IFERROR(O84/O$3, "-")</f>
        <v/>
      </c>
      <c r="P153" s="429">
        <f>IFERROR(P84/P$3, "-")</f>
        <v/>
      </c>
      <c r="Q153" s="429">
        <f>IFERROR(Q84/Q$3, "-")</f>
        <v/>
      </c>
      <c r="R153" s="429">
        <f>IFERROR(R84/R$3, "-")</f>
        <v/>
      </c>
      <c r="S153" s="429">
        <f>IFERROR(S84/S$3, "-")</f>
        <v/>
      </c>
      <c r="T153" s="430">
        <f>G153-F153</f>
        <v/>
      </c>
      <c r="U153" s="386" t="n"/>
      <c r="V153" s="386" t="n"/>
      <c r="W153" s="386" t="n"/>
      <c r="X153" s="386" t="n"/>
      <c r="Y153" s="386" t="n"/>
      <c r="Z153" s="386" t="n"/>
      <c r="AA153" s="157">
        <f>IF(AND(ISNUMBER(X153), ISNUMBER(W153), W153&gt;0), (X153-W153)/W153, "")</f>
        <v/>
      </c>
      <c r="AB153" s="140" t="n"/>
      <c r="AC153" s="140" t="n"/>
      <c r="AD153" s="140" t="n"/>
    </row>
    <row r="154" outlineLevel="1" ht="15.75" customHeight="1" s="346">
      <c r="A154" s="428" t="inlineStr">
        <is>
          <t xml:space="preserve">    Soundbox</t>
        </is>
      </c>
      <c r="B154" s="429">
        <f>IFERROR(B86/B$3, "-")</f>
        <v/>
      </c>
      <c r="C154" s="429">
        <f>IFERROR(C86/C$3, "-")</f>
        <v/>
      </c>
      <c r="D154" s="429">
        <f>IFERROR(D86/D$3, "-")</f>
        <v/>
      </c>
      <c r="E154" s="429">
        <f>IFERROR(E86/E$3, "-")</f>
        <v/>
      </c>
      <c r="F154" s="429">
        <f>IFERROR(F86/F$3, "-")</f>
        <v/>
      </c>
      <c r="G154" s="429">
        <f>IFERROR(G86/G$3, "-")</f>
        <v/>
      </c>
      <c r="H154" s="429">
        <f>IFERROR(H86/H$3, "-")</f>
        <v/>
      </c>
      <c r="I154" s="429">
        <f>IFERROR(I86/I$3, "-")</f>
        <v/>
      </c>
      <c r="J154" s="430" t="n"/>
      <c r="K154" s="429" t="n"/>
      <c r="L154" s="429">
        <f>IFERROR(L86/L$3, "-")</f>
        <v/>
      </c>
      <c r="M154" s="429">
        <f>IFERROR(M86/M$3, "-")</f>
        <v/>
      </c>
      <c r="N154" s="429">
        <f>IFERROR(N86/N$3, "-")</f>
        <v/>
      </c>
      <c r="O154" s="429">
        <f>IFERROR(O86/O$3, "-")</f>
        <v/>
      </c>
      <c r="P154" s="429">
        <f>IFERROR(P86/P$3, "-")</f>
        <v/>
      </c>
      <c r="Q154" s="429">
        <f>IFERROR(Q86/Q$3, "-")</f>
        <v/>
      </c>
      <c r="R154" s="429">
        <f>IFERROR(R86/R$3, "-")</f>
        <v/>
      </c>
      <c r="S154" s="429">
        <f>IFERROR(S86/S$3, "-")</f>
        <v/>
      </c>
      <c r="T154" s="430">
        <f>G154-F154</f>
        <v/>
      </c>
      <c r="U154" s="386" t="n"/>
      <c r="V154" s="386" t="n"/>
      <c r="W154" s="386" t="n"/>
      <c r="X154" s="386" t="n"/>
      <c r="Y154" s="386" t="n"/>
      <c r="Z154" s="386" t="n"/>
      <c r="AA154" s="157">
        <f>IF(AND(ISNUMBER(X154), ISNUMBER(W154), W154&gt;0), (X154-W154)/W154, "")</f>
        <v/>
      </c>
      <c r="AB154" s="140" t="n"/>
      <c r="AC154" s="140" t="n"/>
      <c r="AD154" s="140" t="n"/>
    </row>
    <row r="155" outlineLevel="1" ht="15.75" customHeight="1" s="346">
      <c r="A155" s="428" t="inlineStr">
        <is>
          <t xml:space="preserve">    New User</t>
        </is>
      </c>
      <c r="B155" s="429">
        <f>IFERROR(B88/B$3, "-")</f>
        <v/>
      </c>
      <c r="C155" s="429">
        <f>IFERROR(C88/C$3, "-")</f>
        <v/>
      </c>
      <c r="D155" s="429">
        <f>IFERROR(D88/D$3, "-")</f>
        <v/>
      </c>
      <c r="E155" s="429">
        <f>IFERROR(E88/E$3, "-")</f>
        <v/>
      </c>
      <c r="F155" s="429">
        <f>IFERROR(F88/F$3, "-")</f>
        <v/>
      </c>
      <c r="G155" s="429">
        <f>IFERROR(G88/G$3, "-")</f>
        <v/>
      </c>
      <c r="H155" s="429">
        <f>IFERROR(H88/H$3, "-")</f>
        <v/>
      </c>
      <c r="I155" s="429">
        <f>IFERROR(I88/I$3, "-")</f>
        <v/>
      </c>
      <c r="J155" s="430" t="n"/>
      <c r="K155" s="429" t="n"/>
      <c r="L155" s="429">
        <f>IFERROR(L88/L$3, "-")</f>
        <v/>
      </c>
      <c r="M155" s="429">
        <f>IFERROR(M88/M$3, "-")</f>
        <v/>
      </c>
      <c r="N155" s="429">
        <f>IFERROR(N88/N$3, "-")</f>
        <v/>
      </c>
      <c r="O155" s="429">
        <f>IFERROR(O88/O$3, "-")</f>
        <v/>
      </c>
      <c r="P155" s="429">
        <f>IFERROR(P88/P$3, "-")</f>
        <v/>
      </c>
      <c r="Q155" s="429">
        <f>IFERROR(Q88/Q$3, "-")</f>
        <v/>
      </c>
      <c r="R155" s="429">
        <f>IFERROR(R88/R$3, "-")</f>
        <v/>
      </c>
      <c r="S155" s="429">
        <f>IFERROR(S88/S$3, "-")</f>
        <v/>
      </c>
      <c r="T155" s="430">
        <f>G155-F155</f>
        <v/>
      </c>
      <c r="U155" s="386" t="n"/>
      <c r="V155" s="386" t="n"/>
      <c r="W155" s="386" t="n"/>
      <c r="X155" s="386" t="n"/>
      <c r="Y155" s="386" t="n"/>
      <c r="Z155" s="386" t="n"/>
      <c r="AA155" s="157">
        <f>IF(AND(ISNUMBER(X155), ISNUMBER(W155), W155&gt;0), (X155-W155)/W155, "")</f>
        <v/>
      </c>
      <c r="AB155" s="140" t="n"/>
      <c r="AC155" s="140" t="n"/>
      <c r="AD155" s="140" t="n"/>
    </row>
    <row r="156" outlineLevel="1" ht="15.75" customHeight="1" s="346">
      <c r="A156" s="428" t="inlineStr">
        <is>
          <t xml:space="preserve">    Hỏi đáp</t>
        </is>
      </c>
      <c r="B156" s="429">
        <f>IFERROR(B90/B$3, "-")</f>
        <v/>
      </c>
      <c r="C156" s="429">
        <f>IFERROR(C90/C$3, "-")</f>
        <v/>
      </c>
      <c r="D156" s="429">
        <f>IFERROR(D90/D$3, "-")</f>
        <v/>
      </c>
      <c r="E156" s="429">
        <f>IFERROR(E90/E$3, "-")</f>
        <v/>
      </c>
      <c r="F156" s="429">
        <f>IFERROR(F90/F$3, "-")</f>
        <v/>
      </c>
      <c r="G156" s="429">
        <f>IFERROR(G90/G$3, "-")</f>
        <v/>
      </c>
      <c r="H156" s="429">
        <f>IFERROR(H90/H$3, "-")</f>
        <v/>
      </c>
      <c r="I156" s="429">
        <f>IFERROR(I90/I$3, "-")</f>
        <v/>
      </c>
      <c r="J156" s="430" t="n"/>
      <c r="K156" s="429" t="n"/>
      <c r="L156" s="429">
        <f>IFERROR(L90/L$3, "-")</f>
        <v/>
      </c>
      <c r="M156" s="429">
        <f>IFERROR(M90/M$3, "-")</f>
        <v/>
      </c>
      <c r="N156" s="429">
        <f>IFERROR(N90/N$3, "-")</f>
        <v/>
      </c>
      <c r="O156" s="429">
        <f>IFERROR(O90/O$3, "-")</f>
        <v/>
      </c>
      <c r="P156" s="429">
        <f>IFERROR(P90/P$3, "-")</f>
        <v/>
      </c>
      <c r="Q156" s="429">
        <f>IFERROR(Q90/Q$3, "-")</f>
        <v/>
      </c>
      <c r="R156" s="429">
        <f>IFERROR(R90/R$3, "-")</f>
        <v/>
      </c>
      <c r="S156" s="429">
        <f>IFERROR(S90/S$3, "-")</f>
        <v/>
      </c>
      <c r="T156" s="430">
        <f>G156-F156</f>
        <v/>
      </c>
      <c r="U156" s="386" t="n"/>
      <c r="V156" s="386" t="n"/>
      <c r="W156" s="386" t="n"/>
      <c r="X156" s="386" t="n"/>
      <c r="Y156" s="386" t="n"/>
      <c r="Z156" s="386" t="n"/>
      <c r="AA156" s="157">
        <f>IF(AND(ISNUMBER(X156), ISNUMBER(W156), W156&gt;0), (X156-W156)/W156, "")</f>
        <v/>
      </c>
      <c r="AB156" s="140" t="n"/>
      <c r="AC156" s="140" t="n"/>
      <c r="AD156" s="140" t="n"/>
    </row>
    <row r="157" outlineLevel="1" ht="15.75" customHeight="1" s="346">
      <c r="A157" s="428" t="inlineStr">
        <is>
          <t xml:space="preserve">    TnC</t>
        </is>
      </c>
      <c r="B157" s="429">
        <f>IFERROR(B92/B$3, "-")</f>
        <v/>
      </c>
      <c r="C157" s="429">
        <f>IFERROR(C92/C$3, "-")</f>
        <v/>
      </c>
      <c r="D157" s="429">
        <f>IFERROR(D92/D$3, "-")</f>
        <v/>
      </c>
      <c r="E157" s="429">
        <f>IFERROR(E92/E$3, "-")</f>
        <v/>
      </c>
      <c r="F157" s="429">
        <f>IFERROR(F92/F$3, "-")</f>
        <v/>
      </c>
      <c r="G157" s="429">
        <f>IFERROR(G92/G$3, "-")</f>
        <v/>
      </c>
      <c r="H157" s="429">
        <f>IFERROR(H92/H$3, "-")</f>
        <v/>
      </c>
      <c r="I157" s="429">
        <f>IFERROR(I92/I$3, "-")</f>
        <v/>
      </c>
      <c r="J157" s="430" t="n"/>
      <c r="K157" s="429" t="n"/>
      <c r="L157" s="429">
        <f>IFERROR(L92/L$3, "-")</f>
        <v/>
      </c>
      <c r="M157" s="429">
        <f>IFERROR(M92/M$3, "-")</f>
        <v/>
      </c>
      <c r="N157" s="429">
        <f>IFERROR(N92/N$3, "-")</f>
        <v/>
      </c>
      <c r="O157" s="429">
        <f>IFERROR(O92/O$3, "-")</f>
        <v/>
      </c>
      <c r="P157" s="429">
        <f>IFERROR(P92/P$3, "-")</f>
        <v/>
      </c>
      <c r="Q157" s="429">
        <f>IFERROR(Q92/Q$3, "-")</f>
        <v/>
      </c>
      <c r="R157" s="429">
        <f>IFERROR(R92/R$3, "-")</f>
        <v/>
      </c>
      <c r="S157" s="429">
        <f>IFERROR(S92/S$3, "-")</f>
        <v/>
      </c>
      <c r="T157" s="430">
        <f>G157-F157</f>
        <v/>
      </c>
      <c r="U157" s="386" t="n"/>
      <c r="V157" s="386" t="n"/>
      <c r="W157" s="386" t="n"/>
      <c r="X157" s="386" t="n"/>
      <c r="Y157" s="386" t="n"/>
      <c r="Z157" s="386" t="n"/>
      <c r="AA157" s="157">
        <f>IF(AND(ISNUMBER(X157), ISNUMBER(W157), W157&gt;0), (X157-W157)/W157, "")</f>
        <v/>
      </c>
      <c r="AB157" s="140" t="n"/>
      <c r="AC157" s="140" t="n"/>
      <c r="AD157" s="140" t="n"/>
    </row>
    <row r="158" outlineLevel="1" ht="15.75" customHeight="1" s="346">
      <c r="A158" s="428" t="inlineStr">
        <is>
          <t xml:space="preserve">    Trust</t>
        </is>
      </c>
      <c r="B158" s="429">
        <f>IFERROR(B94/B$3, "-")</f>
        <v/>
      </c>
      <c r="C158" s="429">
        <f>IFERROR(C94/C$3, "-")</f>
        <v/>
      </c>
      <c r="D158" s="429">
        <f>IFERROR(D94/D$3, "-")</f>
        <v/>
      </c>
      <c r="E158" s="429">
        <f>IFERROR(E94/E$3, "-")</f>
        <v/>
      </c>
      <c r="F158" s="429">
        <f>IFERROR(F94/F$3, "-")</f>
        <v/>
      </c>
      <c r="G158" s="429">
        <f>IFERROR(G94/G$3, "-")</f>
        <v/>
      </c>
      <c r="H158" s="429">
        <f>IFERROR(H94/H$3, "-")</f>
        <v/>
      </c>
      <c r="I158" s="429">
        <f>IFERROR(I94/I$3, "-")</f>
        <v/>
      </c>
      <c r="J158" s="430" t="n"/>
      <c r="K158" s="429" t="n"/>
      <c r="L158" s="429">
        <f>IFERROR(L94/L$3, "-")</f>
        <v/>
      </c>
      <c r="M158" s="429">
        <f>IFERROR(M94/M$3, "-")</f>
        <v/>
      </c>
      <c r="N158" s="429">
        <f>IFERROR(N94/N$3, "-")</f>
        <v/>
      </c>
      <c r="O158" s="429">
        <f>IFERROR(O94/O$3, "-")</f>
        <v/>
      </c>
      <c r="P158" s="429">
        <f>IFERROR(P94/P$3, "-")</f>
        <v/>
      </c>
      <c r="Q158" s="429">
        <f>IFERROR(Q94/Q$3, "-")</f>
        <v/>
      </c>
      <c r="R158" s="429">
        <f>IFERROR(R94/R$3, "-")</f>
        <v/>
      </c>
      <c r="S158" s="429">
        <f>IFERROR(S94/S$3, "-")</f>
        <v/>
      </c>
      <c r="T158" s="430">
        <f>G158-F158</f>
        <v/>
      </c>
      <c r="U158" s="395" t="n"/>
      <c r="V158" s="395" t="n"/>
      <c r="W158" s="395" t="n"/>
      <c r="X158" s="395" t="n"/>
      <c r="Y158" s="395" t="n"/>
      <c r="Z158" s="395" t="n"/>
      <c r="AA158" s="202" t="n"/>
      <c r="AB158" s="140" t="n"/>
      <c r="AC158" s="140" t="n"/>
      <c r="AD158" s="140" t="n"/>
    </row>
    <row r="159" outlineLevel="1" ht="15.75" customHeight="1" s="346">
      <c r="A159" s="428" t="inlineStr">
        <is>
          <t xml:space="preserve">    Guide</t>
        </is>
      </c>
      <c r="B159" s="429">
        <f>IFERROR(B96/B$3, "-")</f>
        <v/>
      </c>
      <c r="C159" s="429">
        <f>IFERROR(C96/C$3, "-")</f>
        <v/>
      </c>
      <c r="D159" s="429">
        <f>IFERROR(D96/D$3, "-")</f>
        <v/>
      </c>
      <c r="E159" s="429">
        <f>IFERROR(E96/E$3, "-")</f>
        <v/>
      </c>
      <c r="F159" s="429">
        <f>IFERROR(F96/F$3, "-")</f>
        <v/>
      </c>
      <c r="G159" s="429">
        <f>IFERROR(G96/G$3, "-")</f>
        <v/>
      </c>
      <c r="H159" s="429">
        <f>IFERROR(H96/H$3, "-")</f>
        <v/>
      </c>
      <c r="I159" s="429">
        <f>IFERROR(I96/I$3, "-")</f>
        <v/>
      </c>
      <c r="J159" s="430" t="n"/>
      <c r="K159" s="429" t="n"/>
      <c r="L159" s="429">
        <f>IFERROR(L96/L$3, "-")</f>
        <v/>
      </c>
      <c r="M159" s="429">
        <f>IFERROR(M96/M$3, "-")</f>
        <v/>
      </c>
      <c r="N159" s="429">
        <f>IFERROR(N96/N$3, "-")</f>
        <v/>
      </c>
      <c r="O159" s="429">
        <f>IFERROR(O96/O$3, "-")</f>
        <v/>
      </c>
      <c r="P159" s="429">
        <f>IFERROR(P96/P$3, "-")</f>
        <v/>
      </c>
      <c r="Q159" s="429">
        <f>IFERROR(Q96/Q$3, "-")</f>
        <v/>
      </c>
      <c r="R159" s="429">
        <f>IFERROR(R96/R$3, "-")</f>
        <v/>
      </c>
      <c r="S159" s="429">
        <f>IFERROR(S96/S$3, "-")</f>
        <v/>
      </c>
      <c r="T159" s="430">
        <f>G159-F159</f>
        <v/>
      </c>
      <c r="U159" s="365" t="n"/>
      <c r="V159" s="365" t="n"/>
      <c r="W159" s="365" t="n"/>
      <c r="X159" s="365" t="n"/>
      <c r="Y159" s="365" t="n"/>
      <c r="Z159" s="365" t="n"/>
      <c r="AA159" s="145" t="n"/>
      <c r="AB159" s="140" t="n"/>
      <c r="AC159" s="140" t="n"/>
      <c r="AD159" s="140" t="n"/>
    </row>
    <row r="160" outlineLevel="1" ht="15.75" customHeight="1" s="346">
      <c r="A160" s="428" t="inlineStr">
        <is>
          <t xml:space="preserve">    Khuyến mãi</t>
        </is>
      </c>
      <c r="B160" s="429">
        <f>IFERROR(B98/B$3, "-")</f>
        <v/>
      </c>
      <c r="C160" s="429">
        <f>IFERROR(C98/C$3, "-")</f>
        <v/>
      </c>
      <c r="D160" s="429">
        <f>IFERROR(D98/D$3, "-")</f>
        <v/>
      </c>
      <c r="E160" s="429">
        <f>IFERROR(E98/E$3, "-")</f>
        <v/>
      </c>
      <c r="F160" s="429">
        <f>IFERROR(F98/F$3, "-")</f>
        <v/>
      </c>
      <c r="G160" s="429">
        <f>IFERROR(G98/G$3, "-")</f>
        <v/>
      </c>
      <c r="H160" s="429">
        <f>IFERROR(H98/H$3, "-")</f>
        <v/>
      </c>
      <c r="I160" s="429">
        <f>IFERROR(I98/I$3, "-")</f>
        <v/>
      </c>
      <c r="J160" s="430" t="n"/>
      <c r="K160" s="429" t="n"/>
      <c r="L160" s="429">
        <f>IFERROR(L98/L$3, "-")</f>
        <v/>
      </c>
      <c r="M160" s="429">
        <f>IFERROR(M98/M$3, "-")</f>
        <v/>
      </c>
      <c r="N160" s="429">
        <f>IFERROR(N98/N$3, "-")</f>
        <v/>
      </c>
      <c r="O160" s="429">
        <f>IFERROR(O98/O$3, "-")</f>
        <v/>
      </c>
      <c r="P160" s="429">
        <f>IFERROR(P98/P$3, "-")</f>
        <v/>
      </c>
      <c r="Q160" s="429">
        <f>IFERROR(Q98/Q$3, "-")</f>
        <v/>
      </c>
      <c r="R160" s="429">
        <f>IFERROR(R98/R$3, "-")</f>
        <v/>
      </c>
      <c r="S160" s="429">
        <f>IFERROR(S98/S$3, "-")</f>
        <v/>
      </c>
      <c r="T160" s="430">
        <f>G160-F160</f>
        <v/>
      </c>
      <c r="U160" s="367" t="n"/>
      <c r="V160" s="367" t="n"/>
      <c r="W160" s="367" t="n"/>
      <c r="X160" s="367" t="n"/>
      <c r="Y160" s="367" t="n"/>
      <c r="Z160" s="367" t="n"/>
      <c r="AA160" s="148">
        <f>IFERROR((X160-W160)/W160, "")</f>
        <v/>
      </c>
      <c r="AB160" s="140" t="n"/>
      <c r="AC160" s="140" t="n"/>
      <c r="AD160" s="140" t="n"/>
    </row>
    <row r="161" outlineLevel="1" ht="15.75" customHeight="1" s="346">
      <c r="A161" s="428" t="inlineStr">
        <is>
          <t xml:space="preserve">    Campaign</t>
        </is>
      </c>
      <c r="B161" s="429">
        <f>IFERROR(B102/B$3, "-")</f>
        <v/>
      </c>
      <c r="C161" s="429">
        <f>IFERROR(C102/C$3, "-")</f>
        <v/>
      </c>
      <c r="D161" s="429">
        <f>IFERROR(D102/D$3, "-")</f>
        <v/>
      </c>
      <c r="E161" s="429">
        <f>IFERROR(E102/E$3, "-")</f>
        <v/>
      </c>
      <c r="F161" s="429">
        <f>IFERROR(F102/F$3, "-")</f>
        <v/>
      </c>
      <c r="G161" s="429">
        <f>IFERROR(G102/G$3, "-")</f>
        <v/>
      </c>
      <c r="H161" s="429">
        <f>IFERROR(H102/H$3, "-")</f>
        <v/>
      </c>
      <c r="I161" s="429">
        <f>IFERROR(I102/I$3, "-")</f>
        <v/>
      </c>
      <c r="J161" s="430" t="n"/>
      <c r="K161" s="429" t="n"/>
      <c r="L161" s="429">
        <f>IFERROR(L102/L$3, "-")</f>
        <v/>
      </c>
      <c r="M161" s="429">
        <f>IFERROR(M102/M$3, "-")</f>
        <v/>
      </c>
      <c r="N161" s="429">
        <f>IFERROR(N102/N$3, "-")</f>
        <v/>
      </c>
      <c r="O161" s="429">
        <f>IFERROR(O102/O$3, "-")</f>
        <v/>
      </c>
      <c r="P161" s="429">
        <f>IFERROR(P102/P$3, "-")</f>
        <v/>
      </c>
      <c r="Q161" s="429">
        <f>IFERROR(Q102/Q$3, "-")</f>
        <v/>
      </c>
      <c r="R161" s="429">
        <f>IFERROR(R102/R$3, "-")</f>
        <v/>
      </c>
      <c r="S161" s="429">
        <f>IFERROR(S102/S$3, "-")</f>
        <v/>
      </c>
      <c r="T161" s="430">
        <f>G161-F161</f>
        <v/>
      </c>
      <c r="U161" s="373" t="n"/>
      <c r="V161" s="373" t="n"/>
      <c r="W161" s="373" t="n"/>
      <c r="X161" s="373" t="n"/>
      <c r="Y161" s="373" t="n"/>
      <c r="Z161" s="373" t="n"/>
      <c r="AA161" s="151">
        <f>IFERROR((X161-W161)/W161, "")</f>
        <v/>
      </c>
      <c r="AB161" s="140" t="n"/>
      <c r="AC161" s="140" t="n"/>
      <c r="AD161" s="140" t="n"/>
    </row>
    <row r="162" outlineLevel="1" ht="15.75" customHeight="1" s="346">
      <c r="A162" s="428" t="inlineStr">
        <is>
          <t xml:space="preserve">    Blog</t>
        </is>
      </c>
      <c r="B162" s="429">
        <f>IFERROR(B104/B$3, "-")</f>
        <v/>
      </c>
      <c r="C162" s="429">
        <f>IFERROR(C104/C$3, "-")</f>
        <v/>
      </c>
      <c r="D162" s="429">
        <f>IFERROR(D104/D$3, "-")</f>
        <v/>
      </c>
      <c r="E162" s="429">
        <f>IFERROR(E104/E$3, "-")</f>
        <v/>
      </c>
      <c r="F162" s="429">
        <f>IFERROR(F104/F$3, "-")</f>
        <v/>
      </c>
      <c r="G162" s="429">
        <f>IFERROR(G104/G$3, "-")</f>
        <v/>
      </c>
      <c r="H162" s="429">
        <f>IFERROR(H104/H$3, "-")</f>
        <v/>
      </c>
      <c r="I162" s="429">
        <f>IFERROR(I104/I$3, "-")</f>
        <v/>
      </c>
      <c r="J162" s="430" t="n"/>
      <c r="K162" s="429" t="n"/>
      <c r="L162" s="429">
        <f>IFERROR(L104/L$3, "-")</f>
        <v/>
      </c>
      <c r="M162" s="429">
        <f>IFERROR(M104/M$3, "-")</f>
        <v/>
      </c>
      <c r="N162" s="429">
        <f>IFERROR(N104/N$3, "-")</f>
        <v/>
      </c>
      <c r="O162" s="429">
        <f>IFERROR(O104/O$3, "-")</f>
        <v/>
      </c>
      <c r="P162" s="429">
        <f>IFERROR(P104/P$3, "-")</f>
        <v/>
      </c>
      <c r="Q162" s="429">
        <f>IFERROR(Q104/Q$3, "-")</f>
        <v/>
      </c>
      <c r="R162" s="429">
        <f>IFERROR(R104/R$3, "-")</f>
        <v/>
      </c>
      <c r="S162" s="429">
        <f>IFERROR(S104/S$3, "-")</f>
        <v/>
      </c>
      <c r="T162" s="430">
        <f>G162-F162</f>
        <v/>
      </c>
      <c r="U162" s="375" t="n"/>
      <c r="V162" s="375" t="n"/>
      <c r="W162" s="375" t="n"/>
      <c r="X162" s="375" t="n"/>
      <c r="Y162" s="375" t="n"/>
      <c r="Z162" s="375" t="n"/>
      <c r="AA162" s="153" t="n"/>
      <c r="AB162" s="140" t="n"/>
      <c r="AC162" s="140" t="n"/>
      <c r="AD162" s="140" t="n"/>
    </row>
    <row r="163" outlineLevel="1" ht="15.75" customHeight="1" s="346">
      <c r="A163" s="428" t="inlineStr">
        <is>
          <t xml:space="preserve">    Application Store</t>
        </is>
      </c>
      <c r="B163" s="429">
        <f>IFERROR(B106/B$3, "-")</f>
        <v/>
      </c>
      <c r="C163" s="429">
        <f>IFERROR(C106/C$3, "-")</f>
        <v/>
      </c>
      <c r="D163" s="429">
        <f>IFERROR(D106/D$3, "-")</f>
        <v/>
      </c>
      <c r="E163" s="429">
        <f>IFERROR(E106/E$3, "-")</f>
        <v/>
      </c>
      <c r="F163" s="429">
        <f>IFERROR(F106/F$3, "-")</f>
        <v/>
      </c>
      <c r="G163" s="429">
        <f>IFERROR(G106/G$3, "-")</f>
        <v/>
      </c>
      <c r="H163" s="429">
        <f>IFERROR(H106/H$3, "-")</f>
        <v/>
      </c>
      <c r="I163" s="429">
        <f>IFERROR(I106/I$3, "-")</f>
        <v/>
      </c>
      <c r="J163" s="430" t="n"/>
      <c r="K163" s="429" t="n"/>
      <c r="L163" s="429">
        <f>IFERROR(L106/L$3, "-")</f>
        <v/>
      </c>
      <c r="M163" s="429">
        <f>IFERROR(M106/M$3, "-")</f>
        <v/>
      </c>
      <c r="N163" s="429">
        <f>IFERROR(N106/N$3, "-")</f>
        <v/>
      </c>
      <c r="O163" s="429">
        <f>IFERROR(O106/O$3, "-")</f>
        <v/>
      </c>
      <c r="P163" s="429">
        <f>IFERROR(P106/P$3, "-")</f>
        <v/>
      </c>
      <c r="Q163" s="429">
        <f>IFERROR(Q106/Q$3, "-")</f>
        <v/>
      </c>
      <c r="R163" s="429">
        <f>IFERROR(R106/R$3, "-")</f>
        <v/>
      </c>
      <c r="S163" s="429">
        <f>IFERROR(S106/S$3, "-")</f>
        <v/>
      </c>
      <c r="T163" s="430">
        <f>G163-F163</f>
        <v/>
      </c>
      <c r="U163" s="376" t="n"/>
      <c r="V163" s="376" t="n"/>
      <c r="W163" s="376" t="n"/>
      <c r="X163" s="376" t="n"/>
      <c r="Y163" s="376" t="n"/>
      <c r="Z163" s="376" t="n"/>
      <c r="AA163" s="203" t="n"/>
      <c r="AB163" s="140" t="n"/>
      <c r="AC163" s="140" t="n"/>
      <c r="AD163" s="140" t="n"/>
    </row>
    <row r="164" outlineLevel="1" ht="15.75" customHeight="1" s="346">
      <c r="A164" s="428" t="inlineStr">
        <is>
          <t xml:space="preserve">    Vé số</t>
        </is>
      </c>
      <c r="B164" s="429">
        <f>IFERROR(B108/B$3, "-")</f>
        <v/>
      </c>
      <c r="C164" s="429">
        <f>IFERROR(C108/C$3, "-")</f>
        <v/>
      </c>
      <c r="D164" s="429">
        <f>IFERROR(D108/D$3, "-")</f>
        <v/>
      </c>
      <c r="E164" s="429">
        <f>IFERROR(E108/E$3, "-")</f>
        <v/>
      </c>
      <c r="F164" s="429">
        <f>IFERROR(F108/F$3, "-")</f>
        <v/>
      </c>
      <c r="G164" s="429">
        <f>IFERROR(G108/G$3, "-")</f>
        <v/>
      </c>
      <c r="H164" s="429">
        <f>IFERROR(H108/H$3, "-")</f>
        <v/>
      </c>
      <c r="I164" s="429">
        <f>IFERROR(I108/I$3, "-")</f>
        <v/>
      </c>
      <c r="J164" s="430" t="n"/>
      <c r="K164" s="429" t="n"/>
      <c r="L164" s="429">
        <f>IFERROR(L108/L$3, "-")</f>
        <v/>
      </c>
      <c r="M164" s="429">
        <f>IFERROR(M108/M$3, "-")</f>
        <v/>
      </c>
      <c r="N164" s="429">
        <f>IFERROR(N108/N$3, "-")</f>
        <v/>
      </c>
      <c r="O164" s="429">
        <f>IFERROR(O108/O$3, "-")</f>
        <v/>
      </c>
      <c r="P164" s="429">
        <f>IFERROR(P108/P$3, "-")</f>
        <v/>
      </c>
      <c r="Q164" s="429">
        <f>IFERROR(Q108/Q$3, "-")</f>
        <v/>
      </c>
      <c r="R164" s="429">
        <f>IFERROR(R108/R$3, "-")</f>
        <v/>
      </c>
      <c r="S164" s="429">
        <f>IFERROR(S108/S$3, "-")</f>
        <v/>
      </c>
      <c r="T164" s="430">
        <f>G164-F164</f>
        <v/>
      </c>
      <c r="U164" s="381" t="n"/>
      <c r="V164" s="381" t="n"/>
      <c r="W164" s="381" t="n"/>
      <c r="X164" s="381" t="n"/>
      <c r="Y164" s="381" t="n"/>
      <c r="Z164" s="381" t="n"/>
      <c r="AA164" s="157">
        <f>IF(AND(ISNUMBER(X164), ISNUMBER(W164)), X164-W164, "")</f>
        <v/>
      </c>
      <c r="AB164" s="140" t="n"/>
      <c r="AC164" s="140" t="n"/>
      <c r="AD164" s="140" t="n"/>
    </row>
    <row r="165" outlineLevel="1" ht="15.75" customHeight="1" s="346">
      <c r="A165" s="428" t="inlineStr">
        <is>
          <t xml:space="preserve">    Dịch vụ liên kết</t>
        </is>
      </c>
      <c r="B165" s="429">
        <f>IFERROR(B110/B$3, "-")</f>
        <v/>
      </c>
      <c r="C165" s="429">
        <f>IFERROR(C110/C$3, "-")</f>
        <v/>
      </c>
      <c r="D165" s="429">
        <f>IFERROR(D110/D$3, "-")</f>
        <v/>
      </c>
      <c r="E165" s="429">
        <f>IFERROR(E110/E$3, "-")</f>
        <v/>
      </c>
      <c r="F165" s="429">
        <f>IFERROR(F110/F$3, "-")</f>
        <v/>
      </c>
      <c r="G165" s="429">
        <f>IFERROR(G110/G$3, "-")</f>
        <v/>
      </c>
      <c r="H165" s="429">
        <f>IFERROR(H110/H$3, "-")</f>
        <v/>
      </c>
      <c r="I165" s="429">
        <f>IFERROR(I110/I$3, "-")</f>
        <v/>
      </c>
      <c r="J165" s="430" t="n"/>
      <c r="K165" s="429" t="n"/>
      <c r="L165" s="429">
        <f>IFERROR(L110/L$3, "-")</f>
        <v/>
      </c>
      <c r="M165" s="429">
        <f>IFERROR(M110/M$3, "-")</f>
        <v/>
      </c>
      <c r="N165" s="429">
        <f>IFERROR(N110/N$3, "-")</f>
        <v/>
      </c>
      <c r="O165" s="429">
        <f>IFERROR(O110/O$3, "-")</f>
        <v/>
      </c>
      <c r="P165" s="429">
        <f>IFERROR(P110/P$3, "-")</f>
        <v/>
      </c>
      <c r="Q165" s="429">
        <f>IFERROR(Q110/Q$3, "-")</f>
        <v/>
      </c>
      <c r="R165" s="429">
        <f>IFERROR(R110/R$3, "-")</f>
        <v/>
      </c>
      <c r="S165" s="429">
        <f>IFERROR(S110/S$3, "-")</f>
        <v/>
      </c>
      <c r="T165" s="430">
        <f>G165-F165</f>
        <v/>
      </c>
      <c r="U165" s="386" t="n"/>
      <c r="V165" s="386" t="n"/>
      <c r="W165" s="386" t="n"/>
      <c r="X165" s="386" t="n"/>
      <c r="Y165" s="386" t="n"/>
      <c r="Z165" s="386" t="n"/>
      <c r="AA165" s="157">
        <f>IF(AND(ISNUMBER(X165), ISNUMBER(W165), W165&gt;0), (X165-W165)/W165, "")</f>
        <v/>
      </c>
      <c r="AB165" s="140" t="n"/>
      <c r="AC165" s="140" t="n"/>
      <c r="AD165" s="140" t="n"/>
    </row>
    <row r="166" outlineLevel="1" ht="15.75" customHeight="1" s="346">
      <c r="A166" s="428" t="inlineStr">
        <is>
          <t xml:space="preserve">    Billpay</t>
        </is>
      </c>
      <c r="B166" s="429">
        <f>IFERROR(B112/B$3, "-")</f>
        <v/>
      </c>
      <c r="C166" s="429">
        <f>IFERROR(C112/C$3, "-")</f>
        <v/>
      </c>
      <c r="D166" s="429">
        <f>IFERROR(D112/D$3, "-")</f>
        <v/>
      </c>
      <c r="E166" s="429">
        <f>IFERROR(E112/E$3, "-")</f>
        <v/>
      </c>
      <c r="F166" s="429">
        <f>IFERROR(F112/F$3, "-")</f>
        <v/>
      </c>
      <c r="G166" s="429">
        <f>IFERROR(G112/G$3, "-")</f>
        <v/>
      </c>
      <c r="H166" s="429">
        <f>IFERROR(H112/H$3, "-")</f>
        <v/>
      </c>
      <c r="I166" s="429">
        <f>IFERROR(I112/I$3, "-")</f>
        <v/>
      </c>
      <c r="J166" s="430" t="n"/>
      <c r="K166" s="429" t="n"/>
      <c r="L166" s="429">
        <f>IFERROR(L112/L$3, "-")</f>
        <v/>
      </c>
      <c r="M166" s="429">
        <f>IFERROR(M112/M$3, "-")</f>
        <v/>
      </c>
      <c r="N166" s="429">
        <f>IFERROR(N112/N$3, "-")</f>
        <v/>
      </c>
      <c r="O166" s="429">
        <f>IFERROR(O112/O$3, "-")</f>
        <v/>
      </c>
      <c r="P166" s="429">
        <f>IFERROR(P112/P$3, "-")</f>
        <v/>
      </c>
      <c r="Q166" s="429">
        <f>IFERROR(Q112/Q$3, "-")</f>
        <v/>
      </c>
      <c r="R166" s="429">
        <f>IFERROR(R112/R$3, "-")</f>
        <v/>
      </c>
      <c r="S166" s="429">
        <f>IFERROR(S112/S$3, "-")</f>
        <v/>
      </c>
      <c r="T166" s="430">
        <f>G166-F166</f>
        <v/>
      </c>
      <c r="U166" s="386" t="n"/>
      <c r="V166" s="386" t="n"/>
      <c r="W166" s="386" t="n"/>
      <c r="X166" s="386" t="n"/>
      <c r="Y166" s="386" t="n"/>
      <c r="Z166" s="386" t="n"/>
      <c r="AA166" s="157">
        <f>IF(AND(ISNUMBER(X166), ISNUMBER(W166), W166&gt;0), (X166-W166)/W166, "")</f>
        <v/>
      </c>
      <c r="AB166" s="140" t="n"/>
      <c r="AC166" s="140" t="n"/>
      <c r="AD166" s="140" t="n"/>
    </row>
    <row r="167" outlineLevel="1" ht="15.75" customHeight="1" s="346">
      <c r="A167" s="428" t="inlineStr">
        <is>
          <t xml:space="preserve">    P2P</t>
        </is>
      </c>
      <c r="B167" s="429">
        <f>IFERROR(B114/B$3, "-")</f>
        <v/>
      </c>
      <c r="C167" s="429">
        <f>IFERROR(C114/C$3, "-")</f>
        <v/>
      </c>
      <c r="D167" s="429">
        <f>IFERROR(D114/D$3, "-")</f>
        <v/>
      </c>
      <c r="E167" s="429">
        <f>IFERROR(E114/E$3, "-")</f>
        <v/>
      </c>
      <c r="F167" s="429">
        <f>IFERROR(F114/F$3, "-")</f>
        <v/>
      </c>
      <c r="G167" s="429">
        <f>IFERROR(G114/G$3, "-")</f>
        <v/>
      </c>
      <c r="H167" s="429">
        <f>IFERROR(H114/H$3, "-")</f>
        <v/>
      </c>
      <c r="I167" s="429">
        <f>IFERROR(I114/I$3, "-")</f>
        <v/>
      </c>
      <c r="J167" s="430" t="n"/>
      <c r="K167" s="429" t="n"/>
      <c r="L167" s="429">
        <f>IFERROR(L114/L$3, "-")</f>
        <v/>
      </c>
      <c r="M167" s="429">
        <f>IFERROR(M114/M$3, "-")</f>
        <v/>
      </c>
      <c r="N167" s="429">
        <f>IFERROR(N114/N$3, "-")</f>
        <v/>
      </c>
      <c r="O167" s="429">
        <f>IFERROR(O114/O$3, "-")</f>
        <v/>
      </c>
      <c r="P167" s="429">
        <f>IFERROR(P114/P$3, "-")</f>
        <v/>
      </c>
      <c r="Q167" s="429">
        <f>IFERROR(Q114/Q$3, "-")</f>
        <v/>
      </c>
      <c r="R167" s="429">
        <f>IFERROR(R114/R$3, "-")</f>
        <v/>
      </c>
      <c r="S167" s="429">
        <f>IFERROR(S114/S$3, "-")</f>
        <v/>
      </c>
      <c r="T167" s="430">
        <f>G167-F167</f>
        <v/>
      </c>
      <c r="U167" s="386" t="n"/>
      <c r="V167" s="386" t="n"/>
      <c r="W167" s="386" t="n"/>
      <c r="X167" s="386" t="n"/>
      <c r="Y167" s="386" t="n"/>
      <c r="Z167" s="386" t="n"/>
      <c r="AA167" s="157">
        <f>IF(AND(ISNUMBER(X167), ISNUMBER(W167), W167&gt;0), (X167-W167)/W167, "")</f>
        <v/>
      </c>
      <c r="AB167" s="140" t="n"/>
      <c r="AC167" s="140" t="n"/>
      <c r="AD167" s="140" t="n"/>
    </row>
    <row r="168" outlineLevel="1" ht="15.75" customHeight="1" s="346">
      <c r="A168" s="428" t="inlineStr">
        <is>
          <t xml:space="preserve">    Điện</t>
        </is>
      </c>
      <c r="B168" s="429">
        <f>IFERROR(B116/B$3, "-")</f>
        <v/>
      </c>
      <c r="C168" s="429">
        <f>IFERROR(C116/C$3, "-")</f>
        <v/>
      </c>
      <c r="D168" s="429">
        <f>IFERROR(D116/D$3, "-")</f>
        <v/>
      </c>
      <c r="E168" s="429">
        <f>IFERROR(E116/E$3, "-")</f>
        <v/>
      </c>
      <c r="F168" s="429">
        <f>IFERROR(F116/F$3, "-")</f>
        <v/>
      </c>
      <c r="G168" s="429">
        <f>IFERROR(G116/G$3, "-")</f>
        <v/>
      </c>
      <c r="H168" s="429">
        <f>IFERROR(H116/H$3, "-")</f>
        <v/>
      </c>
      <c r="I168" s="429">
        <f>IFERROR(I116/I$3, "-")</f>
        <v/>
      </c>
      <c r="J168" s="430" t="n"/>
      <c r="K168" s="429" t="n"/>
      <c r="L168" s="429">
        <f>IFERROR(L116/L$3, "-")</f>
        <v/>
      </c>
      <c r="M168" s="429">
        <f>IFERROR(M116/M$3, "-")</f>
        <v/>
      </c>
      <c r="N168" s="429">
        <f>IFERROR(N116/N$3, "-")</f>
        <v/>
      </c>
      <c r="O168" s="429">
        <f>IFERROR(O116/O$3, "-")</f>
        <v/>
      </c>
      <c r="P168" s="429">
        <f>IFERROR(P116/P$3, "-")</f>
        <v/>
      </c>
      <c r="Q168" s="429">
        <f>IFERROR(Q116/Q$3, "-")</f>
        <v/>
      </c>
      <c r="R168" s="429">
        <f>IFERROR(R116/R$3, "-")</f>
        <v/>
      </c>
      <c r="S168" s="429">
        <f>IFERROR(S116/S$3, "-")</f>
        <v/>
      </c>
      <c r="T168" s="430">
        <f>G168-F168</f>
        <v/>
      </c>
      <c r="U168" s="386" t="n"/>
      <c r="V168" s="386" t="n"/>
      <c r="W168" s="386" t="n"/>
      <c r="X168" s="386" t="n"/>
      <c r="Y168" s="386" t="n"/>
      <c r="Z168" s="386" t="n"/>
      <c r="AA168" s="157">
        <f>IF(AND(ISNUMBER(X168), ISNUMBER(W168), W168&gt;0), (X168-W168)/W168, "")</f>
        <v/>
      </c>
      <c r="AB168" s="140" t="n"/>
      <c r="AC168" s="140" t="n"/>
      <c r="AD168" s="140" t="n"/>
    </row>
    <row r="169" outlineLevel="1" ht="15.75" customHeight="1" s="346">
      <c r="A169" s="428" t="inlineStr">
        <is>
          <t xml:space="preserve">    Student Hub</t>
        </is>
      </c>
      <c r="B169" s="429">
        <f>IFERROR(B118/B$3, "-")</f>
        <v/>
      </c>
      <c r="C169" s="429">
        <f>IFERROR(C118/C$3, "-")</f>
        <v/>
      </c>
      <c r="D169" s="429">
        <f>IFERROR(D118/D$3, "-")</f>
        <v/>
      </c>
      <c r="E169" s="429">
        <f>IFERROR(E118/E$3, "-")</f>
        <v/>
      </c>
      <c r="F169" s="429">
        <f>IFERROR(F118/F$3, "-")</f>
        <v/>
      </c>
      <c r="G169" s="429">
        <f>IFERROR(G118/G$3, "-")</f>
        <v/>
      </c>
      <c r="H169" s="429">
        <f>IFERROR(H118/H$3, "-")</f>
        <v/>
      </c>
      <c r="I169" s="429">
        <f>IFERROR(I118/I$3, "-")</f>
        <v/>
      </c>
      <c r="J169" s="430" t="n"/>
      <c r="K169" s="429" t="n"/>
      <c r="L169" s="429">
        <f>IFERROR(L118/L$3, "-")</f>
        <v/>
      </c>
      <c r="M169" s="429">
        <f>IFERROR(M118/M$3, "-")</f>
        <v/>
      </c>
      <c r="N169" s="429">
        <f>IFERROR(N118/N$3, "-")</f>
        <v/>
      </c>
      <c r="O169" s="429">
        <f>IFERROR(O118/O$3, "-")</f>
        <v/>
      </c>
      <c r="P169" s="429">
        <f>IFERROR(P118/P$3, "-")</f>
        <v/>
      </c>
      <c r="Q169" s="429">
        <f>IFERROR(Q118/Q$3, "-")</f>
        <v/>
      </c>
      <c r="R169" s="429">
        <f>IFERROR(R118/R$3, "-")</f>
        <v/>
      </c>
      <c r="S169" s="429">
        <f>IFERROR(S118/S$3, "-")</f>
        <v/>
      </c>
      <c r="T169" s="430">
        <f>G169-F169</f>
        <v/>
      </c>
      <c r="U169" s="386" t="n"/>
      <c r="V169" s="386" t="n"/>
      <c r="W169" s="386" t="n"/>
      <c r="X169" s="386" t="n"/>
      <c r="Y169" s="386" t="n"/>
      <c r="Z169" s="386" t="n"/>
      <c r="AA169" s="157">
        <f>IF(AND(ISNUMBER(X169), ISNUMBER(W169), W169&gt;0), (X169-W169)/W169, "")</f>
        <v/>
      </c>
      <c r="AB169" s="140" t="n"/>
      <c r="AC169" s="140" t="n"/>
      <c r="AD169" s="140" t="n"/>
    </row>
    <row r="170" outlineLevel="1" ht="15.75" customHeight="1" s="346">
      <c r="A170" s="428" t="inlineStr">
        <is>
          <t xml:space="preserve">    Cross Border</t>
        </is>
      </c>
      <c r="B170" s="429">
        <f>IFERROR(B124/B$3, "-")</f>
        <v/>
      </c>
      <c r="C170" s="429">
        <f>IFERROR(C124/C$3, "-")</f>
        <v/>
      </c>
      <c r="D170" s="429">
        <f>IFERROR(D124/D$3, "-")</f>
        <v/>
      </c>
      <c r="E170" s="429">
        <f>IFERROR(E124/E$3, "-")</f>
        <v/>
      </c>
      <c r="F170" s="429">
        <f>IFERROR(F124/F$3, "-")</f>
        <v/>
      </c>
      <c r="G170" s="429">
        <f>IFERROR(G124/G$3, "-")</f>
        <v/>
      </c>
      <c r="H170" s="429">
        <f>IFERROR(H124/H$3, "-")</f>
        <v/>
      </c>
      <c r="I170" s="429">
        <f>IFERROR(I124/I$3, "-")</f>
        <v/>
      </c>
      <c r="J170" s="430" t="n"/>
      <c r="K170" s="429" t="n"/>
      <c r="L170" s="429">
        <f>IFERROR(L124/L$3, "-")</f>
        <v/>
      </c>
      <c r="M170" s="429">
        <f>IFERROR(M124/M$3, "-")</f>
        <v/>
      </c>
      <c r="N170" s="429">
        <f>IFERROR(N124/N$3, "-")</f>
        <v/>
      </c>
      <c r="O170" s="429">
        <f>IFERROR(O124/O$3, "-")</f>
        <v/>
      </c>
      <c r="P170" s="429">
        <f>IFERROR(P124/P$3, "-")</f>
        <v/>
      </c>
      <c r="Q170" s="429">
        <f>IFERROR(Q124/Q$3, "-")</f>
        <v/>
      </c>
      <c r="R170" s="429">
        <f>IFERROR(R124/R$3, "-")</f>
        <v/>
      </c>
      <c r="S170" s="429">
        <f>IFERROR(S124/S$3, "-")</f>
        <v/>
      </c>
      <c r="T170" s="430">
        <f>G170-F170</f>
        <v/>
      </c>
      <c r="U170" s="395" t="n"/>
      <c r="V170" s="395" t="n"/>
      <c r="W170" s="395" t="n"/>
      <c r="X170" s="395" t="n"/>
      <c r="Y170" s="395" t="n"/>
      <c r="Z170" s="395" t="n"/>
      <c r="AA170" s="202" t="n"/>
      <c r="AB170" s="140" t="n"/>
      <c r="AC170" s="140" t="n"/>
      <c r="AD170" s="140" t="n"/>
    </row>
    <row r="171" outlineLevel="1" ht="15.75" customHeight="1" s="346">
      <c r="A171" s="428" t="inlineStr">
        <is>
          <t xml:space="preserve">    Hoàn Tiền Mua Sắm</t>
        </is>
      </c>
      <c r="B171" s="429">
        <f>IFERROR(B126/B$3, "-")</f>
        <v/>
      </c>
      <c r="C171" s="429">
        <f>IFERROR(C126/C$3, "-")</f>
        <v/>
      </c>
      <c r="D171" s="429">
        <f>IFERROR(D126/D$3, "-")</f>
        <v/>
      </c>
      <c r="E171" s="429">
        <f>IFERROR(E126/E$3, "-")</f>
        <v/>
      </c>
      <c r="F171" s="429">
        <f>IFERROR(F126/F$3, "-")</f>
        <v/>
      </c>
      <c r="G171" s="429">
        <f>IFERROR(G126/G$3, "-")</f>
        <v/>
      </c>
      <c r="H171" s="429">
        <f>IFERROR(H126/H$3, "-")</f>
        <v/>
      </c>
      <c r="I171" s="429">
        <f>IFERROR(I126/I$3, "-")</f>
        <v/>
      </c>
      <c r="J171" s="430" t="n"/>
      <c r="K171" s="429" t="n"/>
      <c r="L171" s="429">
        <f>IFERROR(L126/L$3, "-")</f>
        <v/>
      </c>
      <c r="M171" s="429">
        <f>IFERROR(M126/M$3, "-")</f>
        <v/>
      </c>
      <c r="N171" s="429">
        <f>IFERROR(N126/N$3, "-")</f>
        <v/>
      </c>
      <c r="O171" s="429">
        <f>IFERROR(O126/O$3, "-")</f>
        <v/>
      </c>
      <c r="P171" s="429">
        <f>IFERROR(P126/P$3, "-")</f>
        <v/>
      </c>
      <c r="Q171" s="429">
        <f>IFERROR(Q126/Q$3, "-")</f>
        <v/>
      </c>
      <c r="R171" s="429">
        <f>IFERROR(R126/R$3, "-")</f>
        <v/>
      </c>
      <c r="S171" s="429">
        <f>IFERROR(S126/S$3, "-")</f>
        <v/>
      </c>
      <c r="T171" s="430">
        <f>G171-F171</f>
        <v/>
      </c>
      <c r="U171" s="365" t="n"/>
      <c r="V171" s="365" t="n"/>
      <c r="W171" s="365" t="n"/>
      <c r="X171" s="365" t="n"/>
      <c r="Y171" s="365" t="n"/>
      <c r="Z171" s="365" t="n"/>
      <c r="AA171" s="145" t="n"/>
      <c r="AB171" s="140" t="n"/>
      <c r="AC171" s="140" t="n"/>
      <c r="AD171" s="140" t="n"/>
    </row>
    <row r="172" outlineLevel="1" ht="15.75" customHeight="1" s="346">
      <c r="A172" s="428" t="inlineStr">
        <is>
          <t xml:space="preserve">    Mở tài khoản ngân hàng</t>
        </is>
      </c>
      <c r="B172" s="429">
        <f>IFERROR(B130/B$3, "-")</f>
        <v/>
      </c>
      <c r="C172" s="429">
        <f>IFERROR(C130/C$3, "-")</f>
        <v/>
      </c>
      <c r="D172" s="429">
        <f>IFERROR(D130/D$3, "-")</f>
        <v/>
      </c>
      <c r="E172" s="429">
        <f>IFERROR(E130/E$3, "-")</f>
        <v/>
      </c>
      <c r="F172" s="429">
        <f>IFERROR(F130/F$3, "-")</f>
        <v/>
      </c>
      <c r="G172" s="429">
        <f>IFERROR(G130/G$3, "-")</f>
        <v/>
      </c>
      <c r="H172" s="429">
        <f>IFERROR(H130/H$3, "-")</f>
        <v/>
      </c>
      <c r="I172" s="429">
        <f>IFERROR(I130/I$3, "-")</f>
        <v/>
      </c>
      <c r="J172" s="430" t="n"/>
      <c r="K172" s="429" t="n"/>
      <c r="L172" s="429">
        <f>IFERROR(L130/L$3, "-")</f>
        <v/>
      </c>
      <c r="M172" s="429">
        <f>IFERROR(M130/M$3, "-")</f>
        <v/>
      </c>
      <c r="N172" s="429">
        <f>IFERROR(N130/N$3, "-")</f>
        <v/>
      </c>
      <c r="O172" s="429">
        <f>IFERROR(O130/O$3, "-")</f>
        <v/>
      </c>
      <c r="P172" s="429">
        <f>IFERROR(P130/P$3, "-")</f>
        <v/>
      </c>
      <c r="Q172" s="429">
        <f>IFERROR(Q130/Q$3, "-")</f>
        <v/>
      </c>
      <c r="R172" s="429">
        <f>IFERROR(R130/R$3, "-")</f>
        <v/>
      </c>
      <c r="S172" s="429">
        <f>IFERROR(S130/S$3, "-")</f>
        <v/>
      </c>
      <c r="T172" s="430">
        <f>G172-F172</f>
        <v/>
      </c>
      <c r="U172" s="367" t="n"/>
      <c r="V172" s="367" t="n"/>
      <c r="W172" s="367" t="n"/>
      <c r="X172" s="367" t="n"/>
      <c r="Y172" s="367" t="n"/>
      <c r="Z172" s="367" t="n"/>
      <c r="AA172" s="148">
        <f>IFERROR((X172-W172)/W172, "")</f>
        <v/>
      </c>
      <c r="AB172" s="140" t="n"/>
      <c r="AC172" s="140" t="n"/>
      <c r="AD172" s="140" t="n"/>
    </row>
    <row r="173" outlineLevel="1" ht="15.75" customHeight="1" s="346">
      <c r="A173" s="428" t="inlineStr">
        <is>
          <t xml:space="preserve">    Others</t>
        </is>
      </c>
      <c r="B173" s="429">
        <f>IFERROR(B136/B$3, "-")</f>
        <v/>
      </c>
      <c r="C173" s="429">
        <f>IFERROR(C136/C$3, "-")</f>
        <v/>
      </c>
      <c r="D173" s="429">
        <f>IFERROR(D136/D$3, "-")</f>
        <v/>
      </c>
      <c r="E173" s="429">
        <f>IFERROR(E136/E$3, "-")</f>
        <v/>
      </c>
      <c r="F173" s="429">
        <f>IFERROR(F136/F$3, "-")</f>
        <v/>
      </c>
      <c r="G173" s="429">
        <f>IFERROR(G136/G$3, "-")</f>
        <v/>
      </c>
      <c r="H173" s="429">
        <f>IFERROR(H136/H$3, "-")</f>
        <v/>
      </c>
      <c r="I173" s="429">
        <f>IFERROR(I136/I$3, "-")</f>
        <v/>
      </c>
      <c r="J173" s="430" t="n"/>
      <c r="K173" s="429" t="n"/>
      <c r="L173" s="429">
        <f>IFERROR(L136/L$3, "-")</f>
        <v/>
      </c>
      <c r="M173" s="429">
        <f>IFERROR(M136/M$3, "-")</f>
        <v/>
      </c>
      <c r="N173" s="429">
        <f>IFERROR(N136/N$3, "-")</f>
        <v/>
      </c>
      <c r="O173" s="429">
        <f>IFERROR(O136/O$3, "-")</f>
        <v/>
      </c>
      <c r="P173" s="429">
        <f>IFERROR(P136/P$3, "-")</f>
        <v/>
      </c>
      <c r="Q173" s="429">
        <f>IFERROR(Q136/Q$3, "-")</f>
        <v/>
      </c>
      <c r="R173" s="429">
        <f>IFERROR(R136/R$3, "-")</f>
        <v/>
      </c>
      <c r="S173" s="429">
        <f>IFERROR(S136/S$3, "-")</f>
        <v/>
      </c>
      <c r="T173" s="430">
        <f>G173-F173</f>
        <v/>
      </c>
      <c r="U173" s="373" t="n"/>
      <c r="V173" s="373" t="n"/>
      <c r="W173" s="373" t="n"/>
      <c r="X173" s="373" t="n"/>
      <c r="Y173" s="373" t="n"/>
      <c r="Z173" s="373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374" t="n"/>
      <c r="B174" s="375" t="n"/>
      <c r="C174" s="375" t="n"/>
      <c r="D174" s="375" t="n"/>
      <c r="E174" s="375" t="n"/>
      <c r="F174" s="375" t="n"/>
      <c r="G174" s="375" t="n"/>
      <c r="H174" s="375" t="n"/>
      <c r="I174" s="375" t="n"/>
      <c r="J174" s="375" t="n"/>
      <c r="K174" s="375" t="n"/>
      <c r="L174" s="375" t="n"/>
      <c r="M174" s="375" t="n"/>
      <c r="N174" s="375" t="n"/>
      <c r="O174" s="375" t="n"/>
      <c r="P174" s="375" t="n"/>
      <c r="Q174" s="375" t="n"/>
      <c r="R174" s="375" t="n"/>
      <c r="S174" s="375" t="n"/>
      <c r="T174" s="375" t="n"/>
      <c r="U174" s="375" t="n"/>
      <c r="V174" s="375" t="n"/>
      <c r="W174" s="375" t="n"/>
      <c r="X174" s="375" t="n"/>
      <c r="Y174" s="375" t="n"/>
      <c r="Z174" s="375" t="n"/>
      <c r="AA174" s="153" t="n"/>
      <c r="AB174" s="140" t="n"/>
      <c r="AC174" s="140" t="n"/>
      <c r="AD174" s="140" t="n"/>
    </row>
    <row r="175" ht="15.75" customHeight="1" s="346">
      <c r="A175" s="374" t="n"/>
      <c r="B175" s="376" t="n"/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376" t="n"/>
      <c r="P175" s="376" t="n"/>
      <c r="Q175" s="376" t="n"/>
      <c r="R175" s="376" t="n"/>
      <c r="S175" s="376" t="n"/>
      <c r="T175" s="376" t="n"/>
      <c r="U175" s="376" t="n"/>
      <c r="V175" s="376" t="n"/>
      <c r="W175" s="376" t="n"/>
      <c r="X175" s="376" t="n"/>
      <c r="Y175" s="376" t="n"/>
      <c r="Z175" s="376" t="n"/>
      <c r="AA175" s="203" t="n"/>
      <c r="AB175" s="140" t="n"/>
      <c r="AC175" s="140" t="n"/>
      <c r="AD175" s="140" t="n"/>
    </row>
    <row r="176" ht="15.75" customHeight="1" s="346">
      <c r="A176" s="395" t="n"/>
      <c r="B176" s="381" t="n"/>
      <c r="C176" s="381" t="n"/>
      <c r="D176" s="381" t="n"/>
      <c r="E176" s="381" t="n"/>
      <c r="F176" s="381" t="n"/>
      <c r="G176" s="381" t="n"/>
      <c r="H176" s="381" t="n"/>
      <c r="I176" s="381" t="n"/>
      <c r="J176" s="381" t="n"/>
      <c r="K176" s="381" t="n"/>
      <c r="L176" s="381" t="n"/>
      <c r="M176" s="381" t="n"/>
      <c r="N176" s="400" t="n"/>
      <c r="O176" s="381" t="n"/>
      <c r="P176" s="381" t="n"/>
      <c r="Q176" s="381" t="n"/>
      <c r="R176" s="381" t="n"/>
      <c r="S176" s="381" t="n"/>
      <c r="T176" s="381" t="n"/>
      <c r="U176" s="381" t="n"/>
      <c r="V176" s="381" t="n"/>
      <c r="W176" s="381" t="n"/>
      <c r="X176" s="381" t="n"/>
      <c r="Y176" s="381" t="n"/>
      <c r="Z176" s="381" t="n"/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395" t="n"/>
      <c r="B177" s="386" t="n"/>
      <c r="C177" s="386" t="n"/>
      <c r="D177" s="386" t="n"/>
      <c r="E177" s="386" t="n"/>
      <c r="F177" s="386" t="n"/>
      <c r="G177" s="386" t="n"/>
      <c r="H177" s="386" t="n"/>
      <c r="I177" s="386" t="n"/>
      <c r="J177" s="386" t="n"/>
      <c r="K177" s="386" t="n"/>
      <c r="L177" s="386" t="n"/>
      <c r="M177" s="386" t="n"/>
      <c r="N177" s="400" t="n"/>
      <c r="O177" s="386" t="n"/>
      <c r="P177" s="386" t="n"/>
      <c r="Q177" s="386" t="n"/>
      <c r="R177" s="386" t="n"/>
      <c r="S177" s="386" t="n"/>
      <c r="T177" s="386" t="n"/>
      <c r="U177" s="386" t="n"/>
      <c r="V177" s="386" t="n"/>
      <c r="W177" s="386" t="n"/>
      <c r="X177" s="386" t="n"/>
      <c r="Y177" s="386" t="n"/>
      <c r="Z177" s="386" t="n"/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395" t="n"/>
      <c r="B178" s="386" t="n"/>
      <c r="C178" s="386" t="n"/>
      <c r="D178" s="386" t="n"/>
      <c r="E178" s="386" t="n"/>
      <c r="F178" s="386" t="n"/>
      <c r="G178" s="386" t="n"/>
      <c r="H178" s="386" t="n"/>
      <c r="I178" s="386" t="n"/>
      <c r="J178" s="386" t="n"/>
      <c r="K178" s="386" t="n"/>
      <c r="L178" s="386" t="n"/>
      <c r="M178" s="386" t="n"/>
      <c r="N178" s="400" t="n"/>
      <c r="O178" s="386" t="n"/>
      <c r="P178" s="386" t="n"/>
      <c r="Q178" s="386" t="n"/>
      <c r="R178" s="386" t="n"/>
      <c r="S178" s="386" t="n"/>
      <c r="T178" s="386" t="n"/>
      <c r="U178" s="386" t="n"/>
      <c r="V178" s="386" t="n"/>
      <c r="W178" s="386" t="n"/>
      <c r="X178" s="386" t="n"/>
      <c r="Y178" s="386" t="n"/>
      <c r="Z178" s="386" t="n"/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395" t="n"/>
      <c r="B179" s="386" t="n"/>
      <c r="C179" s="386" t="n"/>
      <c r="D179" s="386" t="n"/>
      <c r="E179" s="386" t="n"/>
      <c r="F179" s="386" t="n"/>
      <c r="G179" s="386" t="n"/>
      <c r="H179" s="386" t="n"/>
      <c r="I179" s="386" t="n"/>
      <c r="J179" s="386" t="n"/>
      <c r="K179" s="386" t="n"/>
      <c r="L179" s="386" t="n"/>
      <c r="M179" s="386" t="n"/>
      <c r="N179" s="400" t="n"/>
      <c r="O179" s="386" t="n"/>
      <c r="P179" s="386" t="n"/>
      <c r="Q179" s="386" t="n"/>
      <c r="R179" s="386" t="n"/>
      <c r="S179" s="386" t="n"/>
      <c r="T179" s="386" t="n"/>
      <c r="U179" s="386" t="n"/>
      <c r="V179" s="386" t="n"/>
      <c r="W179" s="386" t="n"/>
      <c r="X179" s="386" t="n"/>
      <c r="Y179" s="386" t="n"/>
      <c r="Z179" s="386" t="n"/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395" t="n"/>
      <c r="B180" s="386" t="n"/>
      <c r="C180" s="386" t="n"/>
      <c r="D180" s="386" t="n"/>
      <c r="E180" s="386" t="n"/>
      <c r="F180" s="386" t="n"/>
      <c r="G180" s="386" t="n"/>
      <c r="H180" s="386" t="n"/>
      <c r="I180" s="386" t="n"/>
      <c r="J180" s="386" t="n"/>
      <c r="K180" s="386" t="n"/>
      <c r="L180" s="386" t="n"/>
      <c r="M180" s="386" t="n"/>
      <c r="N180" s="400" t="n"/>
      <c r="O180" s="386" t="n"/>
      <c r="P180" s="386" t="n"/>
      <c r="Q180" s="386" t="n"/>
      <c r="R180" s="386" t="n"/>
      <c r="S180" s="386" t="n"/>
      <c r="T180" s="386" t="n"/>
      <c r="U180" s="386" t="n"/>
      <c r="V180" s="386" t="n"/>
      <c r="W180" s="386" t="n"/>
      <c r="X180" s="386" t="n"/>
      <c r="Y180" s="386" t="n"/>
      <c r="Z180" s="386" t="n"/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395" t="n"/>
      <c r="B181" s="386" t="n"/>
      <c r="C181" s="386" t="n"/>
      <c r="D181" s="386" t="n"/>
      <c r="E181" s="386" t="n"/>
      <c r="F181" s="386" t="n"/>
      <c r="G181" s="386" t="n"/>
      <c r="H181" s="386" t="n"/>
      <c r="I181" s="386" t="n"/>
      <c r="J181" s="386" t="n"/>
      <c r="K181" s="386" t="n"/>
      <c r="L181" s="386" t="n"/>
      <c r="M181" s="386" t="n"/>
      <c r="N181" s="400" t="n"/>
      <c r="O181" s="386" t="n"/>
      <c r="P181" s="386" t="n"/>
      <c r="Q181" s="386" t="n"/>
      <c r="R181" s="386" t="n"/>
      <c r="S181" s="386" t="n"/>
      <c r="T181" s="386" t="n"/>
      <c r="U181" s="386" t="n"/>
      <c r="V181" s="386" t="n"/>
      <c r="W181" s="386" t="n"/>
      <c r="X181" s="386" t="n"/>
      <c r="Y181" s="386" t="n"/>
      <c r="Z181" s="386" t="n"/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395" t="n"/>
      <c r="B182" s="395" t="n"/>
      <c r="C182" s="395" t="n"/>
      <c r="D182" s="395" t="n"/>
      <c r="E182" s="395" t="n"/>
      <c r="F182" s="395" t="n"/>
      <c r="G182" s="395" t="n"/>
      <c r="H182" s="395" t="n"/>
      <c r="I182" s="395" t="n"/>
      <c r="J182" s="395" t="n"/>
      <c r="K182" s="395" t="n"/>
      <c r="L182" s="395" t="n"/>
      <c r="M182" s="395" t="n"/>
      <c r="N182" s="395" t="n"/>
      <c r="O182" s="395" t="n"/>
      <c r="P182" s="395" t="n"/>
      <c r="Q182" s="395" t="n"/>
      <c r="R182" s="395" t="n"/>
      <c r="S182" s="395" t="n"/>
      <c r="T182" s="395" t="n"/>
      <c r="U182" s="395" t="n"/>
      <c r="V182" s="395" t="n"/>
      <c r="W182" s="395" t="n"/>
      <c r="X182" s="395" t="n"/>
      <c r="Y182" s="395" t="n"/>
      <c r="Z182" s="395" t="n"/>
      <c r="AA182" s="202" t="n"/>
      <c r="AB182" s="140" t="n"/>
      <c r="AC182" s="140" t="n"/>
      <c r="AD182" s="140" t="n"/>
    </row>
    <row r="183" ht="15.75" customHeight="1" s="346">
      <c r="A183" s="365" t="n"/>
      <c r="B183" s="365" t="n"/>
      <c r="C183" s="365" t="n"/>
      <c r="D183" s="365" t="n"/>
      <c r="E183" s="365" t="n"/>
      <c r="F183" s="365" t="n"/>
      <c r="G183" s="365" t="n"/>
      <c r="H183" s="365" t="n"/>
      <c r="I183" s="365" t="n"/>
      <c r="J183" s="365" t="n"/>
      <c r="K183" s="365" t="n"/>
      <c r="L183" s="365" t="n"/>
      <c r="M183" s="365" t="n"/>
      <c r="N183" s="365" t="n"/>
      <c r="O183" s="365" t="n"/>
      <c r="P183" s="365" t="n"/>
      <c r="Q183" s="365" t="n"/>
      <c r="R183" s="365" t="n"/>
      <c r="S183" s="365" t="n"/>
      <c r="T183" s="365" t="n"/>
      <c r="U183" s="365" t="n"/>
      <c r="V183" s="365" t="n"/>
      <c r="W183" s="365" t="n"/>
      <c r="X183" s="365" t="n"/>
      <c r="Y183" s="365" t="n"/>
      <c r="Z183" s="365" t="n"/>
      <c r="AA183" s="145" t="n"/>
      <c r="AB183" s="140" t="n"/>
      <c r="AC183" s="140" t="n"/>
      <c r="AD183" s="140" t="n"/>
    </row>
    <row r="184" ht="15.75" customHeight="1" s="346">
      <c r="A184" s="366" t="n"/>
      <c r="B184" s="367" t="n"/>
      <c r="C184" s="367" t="n"/>
      <c r="D184" s="367" t="n"/>
      <c r="E184" s="367" t="n"/>
      <c r="F184" s="367" t="n"/>
      <c r="G184" s="367" t="n"/>
      <c r="H184" s="367" t="n"/>
      <c r="I184" s="367" t="n"/>
      <c r="J184" s="367" t="n"/>
      <c r="K184" s="367" t="n"/>
      <c r="L184" s="367" t="n"/>
      <c r="M184" s="367" t="n"/>
      <c r="N184" s="401" t="n"/>
      <c r="O184" s="367" t="n"/>
      <c r="P184" s="367" t="n"/>
      <c r="Q184" s="367" t="n"/>
      <c r="R184" s="367" t="n"/>
      <c r="S184" s="367" t="n"/>
      <c r="T184" s="367" t="n"/>
      <c r="U184" s="367" t="n"/>
      <c r="V184" s="367" t="n"/>
      <c r="W184" s="367" t="n"/>
      <c r="X184" s="367" t="n"/>
      <c r="Y184" s="367" t="n"/>
      <c r="Z184" s="367" t="n"/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373" t="n"/>
      <c r="B185" s="373" t="n"/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402" t="n"/>
      <c r="O185" s="373" t="n"/>
      <c r="P185" s="373" t="n"/>
      <c r="Q185" s="373" t="n"/>
      <c r="R185" s="373" t="n"/>
      <c r="S185" s="373" t="n"/>
      <c r="T185" s="373" t="n"/>
      <c r="U185" s="373" t="n"/>
      <c r="V185" s="373" t="n"/>
      <c r="W185" s="373" t="n"/>
      <c r="X185" s="373" t="n"/>
      <c r="Y185" s="373" t="n"/>
      <c r="Z185" s="373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374" t="n"/>
      <c r="B186" s="375" t="n"/>
      <c r="C186" s="375" t="n"/>
      <c r="D186" s="375" t="n"/>
      <c r="E186" s="375" t="n"/>
      <c r="F186" s="375" t="n"/>
      <c r="G186" s="375" t="n"/>
      <c r="H186" s="375" t="n"/>
      <c r="I186" s="375" t="n"/>
      <c r="J186" s="375" t="n"/>
      <c r="K186" s="375" t="n"/>
      <c r="L186" s="375" t="n"/>
      <c r="M186" s="375" t="n"/>
      <c r="N186" s="375" t="n"/>
      <c r="O186" s="375" t="n"/>
      <c r="P186" s="375" t="n"/>
      <c r="Q186" s="375" t="n"/>
      <c r="R186" s="375" t="n"/>
      <c r="S186" s="375" t="n"/>
      <c r="T186" s="375" t="n"/>
      <c r="U186" s="375" t="n"/>
      <c r="V186" s="375" t="n"/>
      <c r="W186" s="375" t="n"/>
      <c r="X186" s="375" t="n"/>
      <c r="Y186" s="375" t="n"/>
      <c r="Z186" s="375" t="n"/>
      <c r="AA186" s="153" t="n"/>
      <c r="AB186" s="140" t="n"/>
      <c r="AC186" s="140" t="n"/>
      <c r="AD186" s="140" t="n"/>
    </row>
    <row r="187" ht="15.75" customHeight="1" s="346">
      <c r="A187" s="374" t="n"/>
      <c r="B187" s="376" t="n"/>
      <c r="C187" s="376" t="n"/>
      <c r="D187" s="376" t="n"/>
      <c r="E187" s="376" t="n"/>
      <c r="F187" s="376" t="n"/>
      <c r="G187" s="376" t="n"/>
      <c r="H187" s="376" t="n"/>
      <c r="I187" s="376" t="n"/>
      <c r="J187" s="376" t="n"/>
      <c r="K187" s="376" t="n"/>
      <c r="L187" s="376" t="n"/>
      <c r="M187" s="376" t="n"/>
      <c r="N187" s="376" t="n"/>
      <c r="O187" s="376" t="n"/>
      <c r="P187" s="376" t="n"/>
      <c r="Q187" s="376" t="n"/>
      <c r="R187" s="376" t="n"/>
      <c r="S187" s="376" t="n"/>
      <c r="T187" s="376" t="n"/>
      <c r="U187" s="376" t="n"/>
      <c r="V187" s="376" t="n"/>
      <c r="W187" s="376" t="n"/>
      <c r="X187" s="376" t="n"/>
      <c r="Y187" s="376" t="n"/>
      <c r="Z187" s="376" t="n"/>
      <c r="AA187" s="203" t="n"/>
      <c r="AB187" s="140" t="n"/>
      <c r="AC187" s="140" t="n"/>
      <c r="AD187" s="140" t="n"/>
    </row>
    <row r="188" ht="15.75" customHeight="1" s="346">
      <c r="A188" s="395" t="n"/>
      <c r="B188" s="381" t="n"/>
      <c r="C188" s="381" t="n"/>
      <c r="D188" s="381" t="n"/>
      <c r="E188" s="381" t="n"/>
      <c r="F188" s="381" t="n"/>
      <c r="G188" s="381" t="n"/>
      <c r="H188" s="381" t="n"/>
      <c r="I188" s="381" t="n"/>
      <c r="J188" s="381" t="n"/>
      <c r="K188" s="381" t="n"/>
      <c r="L188" s="381" t="n"/>
      <c r="M188" s="381" t="n"/>
      <c r="N188" s="400" t="n"/>
      <c r="O188" s="381" t="n"/>
      <c r="P188" s="381" t="n"/>
      <c r="Q188" s="381" t="n"/>
      <c r="R188" s="381" t="n"/>
      <c r="S188" s="381" t="n"/>
      <c r="T188" s="381" t="n"/>
      <c r="U188" s="381" t="n"/>
      <c r="V188" s="381" t="n"/>
      <c r="W188" s="381" t="n"/>
      <c r="X188" s="381" t="n"/>
      <c r="Y188" s="381" t="n"/>
      <c r="Z188" s="381" t="n"/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395" t="n"/>
      <c r="B189" s="386" t="n"/>
      <c r="C189" s="386" t="n"/>
      <c r="D189" s="386" t="n"/>
      <c r="E189" s="386" t="n"/>
      <c r="F189" s="386" t="n"/>
      <c r="G189" s="386" t="n"/>
      <c r="H189" s="386" t="n"/>
      <c r="I189" s="386" t="n"/>
      <c r="J189" s="386" t="n"/>
      <c r="K189" s="386" t="n"/>
      <c r="L189" s="386" t="n"/>
      <c r="M189" s="386" t="n"/>
      <c r="N189" s="400" t="n"/>
      <c r="O189" s="386" t="n"/>
      <c r="P189" s="386" t="n"/>
      <c r="Q189" s="386" t="n"/>
      <c r="R189" s="386" t="n"/>
      <c r="S189" s="386" t="n"/>
      <c r="T189" s="386" t="n"/>
      <c r="U189" s="386" t="n"/>
      <c r="V189" s="386" t="n"/>
      <c r="W189" s="386" t="n"/>
      <c r="X189" s="386" t="n"/>
      <c r="Y189" s="386" t="n"/>
      <c r="Z189" s="386" t="n"/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395" t="n"/>
      <c r="B190" s="386" t="n"/>
      <c r="C190" s="386" t="n"/>
      <c r="D190" s="386" t="n"/>
      <c r="E190" s="386" t="n"/>
      <c r="F190" s="386" t="n"/>
      <c r="G190" s="386" t="n"/>
      <c r="H190" s="386" t="n"/>
      <c r="I190" s="386" t="n"/>
      <c r="J190" s="386" t="n"/>
      <c r="K190" s="386" t="n"/>
      <c r="L190" s="386" t="n"/>
      <c r="M190" s="386" t="n"/>
      <c r="N190" s="400" t="n"/>
      <c r="O190" s="386" t="n"/>
      <c r="P190" s="386" t="n"/>
      <c r="Q190" s="386" t="n"/>
      <c r="R190" s="386" t="n"/>
      <c r="S190" s="386" t="n"/>
      <c r="T190" s="386" t="n"/>
      <c r="U190" s="386" t="n"/>
      <c r="V190" s="386" t="n"/>
      <c r="W190" s="386" t="n"/>
      <c r="X190" s="386" t="n"/>
      <c r="Y190" s="386" t="n"/>
      <c r="Z190" s="386" t="n"/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395" t="n"/>
      <c r="B191" s="386" t="n"/>
      <c r="C191" s="386" t="n"/>
      <c r="D191" s="386" t="n"/>
      <c r="E191" s="386" t="n"/>
      <c r="F191" s="386" t="n"/>
      <c r="G191" s="386" t="n"/>
      <c r="H191" s="386" t="n"/>
      <c r="I191" s="386" t="n"/>
      <c r="J191" s="386" t="n"/>
      <c r="K191" s="386" t="n"/>
      <c r="L191" s="386" t="n"/>
      <c r="M191" s="386" t="n"/>
      <c r="N191" s="400" t="n"/>
      <c r="O191" s="386" t="n"/>
      <c r="P191" s="386" t="n"/>
      <c r="Q191" s="386" t="n"/>
      <c r="R191" s="386" t="n"/>
      <c r="S191" s="386" t="n"/>
      <c r="T191" s="386" t="n"/>
      <c r="U191" s="386" t="n"/>
      <c r="V191" s="386" t="n"/>
      <c r="W191" s="386" t="n"/>
      <c r="X191" s="386" t="n"/>
      <c r="Y191" s="386" t="n"/>
      <c r="Z191" s="386" t="n"/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395" t="n"/>
      <c r="B192" s="386" t="n"/>
      <c r="C192" s="386" t="n"/>
      <c r="D192" s="386" t="n"/>
      <c r="E192" s="386" t="n"/>
      <c r="F192" s="386" t="n"/>
      <c r="G192" s="386" t="n"/>
      <c r="H192" s="386" t="n"/>
      <c r="I192" s="386" t="n"/>
      <c r="J192" s="386" t="n"/>
      <c r="K192" s="386" t="n"/>
      <c r="L192" s="386" t="n"/>
      <c r="M192" s="386" t="n"/>
      <c r="N192" s="400" t="n"/>
      <c r="O192" s="386" t="n"/>
      <c r="P192" s="386" t="n"/>
      <c r="Q192" s="386" t="n"/>
      <c r="R192" s="386" t="n"/>
      <c r="S192" s="386" t="n"/>
      <c r="T192" s="386" t="n"/>
      <c r="U192" s="386" t="n"/>
      <c r="V192" s="386" t="n"/>
      <c r="W192" s="386" t="n"/>
      <c r="X192" s="386" t="n"/>
      <c r="Y192" s="386" t="n"/>
      <c r="Z192" s="386" t="n"/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395" t="n"/>
      <c r="B193" s="386" t="n"/>
      <c r="C193" s="386" t="n"/>
      <c r="D193" s="386" t="n"/>
      <c r="E193" s="386" t="n"/>
      <c r="F193" s="386" t="n"/>
      <c r="G193" s="386" t="n"/>
      <c r="H193" s="386" t="n"/>
      <c r="I193" s="386" t="n"/>
      <c r="J193" s="386" t="n"/>
      <c r="K193" s="386" t="n"/>
      <c r="L193" s="386" t="n"/>
      <c r="M193" s="386" t="n"/>
      <c r="N193" s="400" t="n"/>
      <c r="O193" s="386" t="n"/>
      <c r="P193" s="386" t="n"/>
      <c r="Q193" s="386" t="n"/>
      <c r="R193" s="386" t="n"/>
      <c r="S193" s="386" t="n"/>
      <c r="T193" s="386" t="n"/>
      <c r="U193" s="386" t="n"/>
      <c r="V193" s="386" t="n"/>
      <c r="W193" s="386" t="n"/>
      <c r="X193" s="386" t="n"/>
      <c r="Y193" s="386" t="n"/>
      <c r="Z193" s="386" t="n"/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395" t="n"/>
      <c r="B194" s="395" t="n"/>
      <c r="C194" s="395" t="n"/>
      <c r="D194" s="395" t="n"/>
      <c r="E194" s="395" t="n"/>
      <c r="F194" s="395" t="n"/>
      <c r="G194" s="395" t="n"/>
      <c r="H194" s="395" t="n"/>
      <c r="I194" s="395" t="n"/>
      <c r="J194" s="395" t="n"/>
      <c r="K194" s="395" t="n"/>
      <c r="L194" s="395" t="n"/>
      <c r="M194" s="395" t="n"/>
      <c r="N194" s="395" t="n"/>
      <c r="O194" s="395" t="n"/>
      <c r="P194" s="395" t="n"/>
      <c r="Q194" s="395" t="n"/>
      <c r="R194" s="395" t="n"/>
      <c r="S194" s="395" t="n"/>
      <c r="T194" s="395" t="n"/>
      <c r="U194" s="395" t="n"/>
      <c r="V194" s="395" t="n"/>
      <c r="W194" s="395" t="n"/>
      <c r="X194" s="395" t="n"/>
      <c r="Y194" s="395" t="n"/>
      <c r="Z194" s="395" t="n"/>
      <c r="AA194" s="202" t="n"/>
      <c r="AB194" s="140" t="n"/>
      <c r="AC194" s="140" t="n"/>
      <c r="AD194" s="140" t="n"/>
    </row>
    <row r="195" ht="15.75" customHeight="1" s="346">
      <c r="A195" s="365" t="n"/>
      <c r="B195" s="365" t="n"/>
      <c r="C195" s="365" t="n"/>
      <c r="D195" s="365" t="n"/>
      <c r="E195" s="365" t="n"/>
      <c r="F195" s="365" t="n"/>
      <c r="G195" s="365" t="n"/>
      <c r="H195" s="365" t="n"/>
      <c r="I195" s="365" t="n"/>
      <c r="J195" s="365" t="n"/>
      <c r="K195" s="365" t="n"/>
      <c r="L195" s="365" t="n"/>
      <c r="M195" s="365" t="n"/>
      <c r="N195" s="365" t="n"/>
      <c r="O195" s="365" t="n"/>
      <c r="P195" s="365" t="n"/>
      <c r="Q195" s="365" t="n"/>
      <c r="R195" s="365" t="n"/>
      <c r="S195" s="365" t="n"/>
      <c r="T195" s="365" t="n"/>
      <c r="U195" s="365" t="n"/>
      <c r="V195" s="365" t="n"/>
      <c r="W195" s="365" t="n"/>
      <c r="X195" s="365" t="n"/>
      <c r="Y195" s="365" t="n"/>
      <c r="Z195" s="365" t="n"/>
      <c r="AA195" s="145" t="n"/>
      <c r="AB195" s="140" t="n"/>
      <c r="AC195" s="140" t="n"/>
      <c r="AD195" s="140" t="n"/>
    </row>
    <row r="196" ht="15.75" customHeight="1" s="346">
      <c r="A196" s="366" t="n"/>
      <c r="B196" s="367" t="n"/>
      <c r="C196" s="367" t="n"/>
      <c r="D196" s="367" t="n"/>
      <c r="E196" s="367" t="n"/>
      <c r="F196" s="367" t="n"/>
      <c r="G196" s="367" t="n"/>
      <c r="H196" s="367" t="n"/>
      <c r="I196" s="367" t="n"/>
      <c r="J196" s="367" t="n"/>
      <c r="K196" s="367" t="n"/>
      <c r="L196" s="367" t="n"/>
      <c r="M196" s="367" t="n"/>
      <c r="N196" s="401" t="n"/>
      <c r="O196" s="367" t="n"/>
      <c r="P196" s="367" t="n"/>
      <c r="Q196" s="367" t="n"/>
      <c r="R196" s="367" t="n"/>
      <c r="S196" s="367" t="n"/>
      <c r="T196" s="367" t="n"/>
      <c r="U196" s="367" t="n"/>
      <c r="V196" s="367" t="n"/>
      <c r="W196" s="367" t="n"/>
      <c r="X196" s="367" t="n"/>
      <c r="Y196" s="367" t="n"/>
      <c r="Z196" s="367" t="n"/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373" t="n"/>
      <c r="B197" s="373" t="n"/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402" t="n"/>
      <c r="O197" s="373" t="n"/>
      <c r="P197" s="373" t="n"/>
      <c r="Q197" s="373" t="n"/>
      <c r="R197" s="373" t="n"/>
      <c r="S197" s="373" t="n"/>
      <c r="T197" s="373" t="n"/>
      <c r="U197" s="373" t="n"/>
      <c r="V197" s="373" t="n"/>
      <c r="W197" s="373" t="n"/>
      <c r="X197" s="373" t="n"/>
      <c r="Y197" s="373" t="n"/>
      <c r="Z197" s="373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374" t="n"/>
      <c r="B198" s="375" t="n"/>
      <c r="C198" s="375" t="n"/>
      <c r="D198" s="375" t="n"/>
      <c r="E198" s="375" t="n"/>
      <c r="F198" s="375" t="n"/>
      <c r="G198" s="375" t="n"/>
      <c r="H198" s="375" t="n"/>
      <c r="I198" s="375" t="n"/>
      <c r="J198" s="375" t="n"/>
      <c r="K198" s="375" t="n"/>
      <c r="L198" s="375" t="n"/>
      <c r="M198" s="375" t="n"/>
      <c r="N198" s="375" t="n"/>
      <c r="O198" s="375" t="n"/>
      <c r="P198" s="375" t="n"/>
      <c r="Q198" s="375" t="n"/>
      <c r="R198" s="375" t="n"/>
      <c r="S198" s="375" t="n"/>
      <c r="T198" s="375" t="n"/>
      <c r="U198" s="375" t="n"/>
      <c r="V198" s="375" t="n"/>
      <c r="W198" s="375" t="n"/>
      <c r="X198" s="375" t="n"/>
      <c r="Y198" s="375" t="n"/>
      <c r="Z198" s="375" t="n"/>
      <c r="AA198" s="153" t="n"/>
      <c r="AB198" s="140" t="n"/>
      <c r="AC198" s="140" t="n"/>
      <c r="AD198" s="140" t="n"/>
    </row>
    <row r="199" ht="15.75" customHeight="1" s="346">
      <c r="A199" s="374" t="n"/>
      <c r="B199" s="376" t="n"/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376" t="n"/>
      <c r="P199" s="376" t="n"/>
      <c r="Q199" s="376" t="n"/>
      <c r="R199" s="376" t="n"/>
      <c r="S199" s="376" t="n"/>
      <c r="T199" s="376" t="n"/>
      <c r="U199" s="376" t="n"/>
      <c r="V199" s="376" t="n"/>
      <c r="W199" s="376" t="n"/>
      <c r="X199" s="376" t="n"/>
      <c r="Y199" s="376" t="n"/>
      <c r="Z199" s="376" t="n"/>
      <c r="AA199" s="203" t="n"/>
      <c r="AB199" s="140" t="n"/>
      <c r="AC199" s="140" t="n"/>
      <c r="AD199" s="140" t="n"/>
    </row>
    <row r="200" ht="15.75" customHeight="1" s="346">
      <c r="A200" s="395" t="n"/>
      <c r="B200" s="381" t="n"/>
      <c r="C200" s="381" t="n"/>
      <c r="D200" s="381" t="n"/>
      <c r="E200" s="381" t="n"/>
      <c r="F200" s="381" t="n"/>
      <c r="G200" s="381" t="n"/>
      <c r="H200" s="381" t="n"/>
      <c r="I200" s="381" t="n"/>
      <c r="J200" s="381" t="n"/>
      <c r="K200" s="381" t="n"/>
      <c r="L200" s="381" t="n"/>
      <c r="M200" s="381" t="n"/>
      <c r="N200" s="400" t="n"/>
      <c r="O200" s="381" t="n"/>
      <c r="P200" s="381" t="n"/>
      <c r="Q200" s="381" t="n"/>
      <c r="R200" s="381" t="n"/>
      <c r="S200" s="381" t="n"/>
      <c r="T200" s="381" t="n"/>
      <c r="U200" s="381" t="n"/>
      <c r="V200" s="381" t="n"/>
      <c r="W200" s="381" t="n"/>
      <c r="X200" s="381" t="n"/>
      <c r="Y200" s="381" t="n"/>
      <c r="Z200" s="381" t="n"/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395" t="n"/>
      <c r="B201" s="386" t="n"/>
      <c r="C201" s="386" t="n"/>
      <c r="D201" s="386" t="n"/>
      <c r="E201" s="386" t="n"/>
      <c r="F201" s="386" t="n"/>
      <c r="G201" s="386" t="n"/>
      <c r="H201" s="386" t="n"/>
      <c r="I201" s="386" t="n"/>
      <c r="J201" s="386" t="n"/>
      <c r="K201" s="386" t="n"/>
      <c r="L201" s="386" t="n"/>
      <c r="M201" s="386" t="n"/>
      <c r="N201" s="400" t="n"/>
      <c r="O201" s="386" t="n"/>
      <c r="P201" s="386" t="n"/>
      <c r="Q201" s="386" t="n"/>
      <c r="R201" s="386" t="n"/>
      <c r="S201" s="386" t="n"/>
      <c r="T201" s="386" t="n"/>
      <c r="U201" s="386" t="n"/>
      <c r="V201" s="386" t="n"/>
      <c r="W201" s="386" t="n"/>
      <c r="X201" s="386" t="n"/>
      <c r="Y201" s="386" t="n"/>
      <c r="Z201" s="386" t="n"/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395" t="n"/>
      <c r="B202" s="386" t="n"/>
      <c r="C202" s="386" t="n"/>
      <c r="D202" s="386" t="n"/>
      <c r="E202" s="386" t="n"/>
      <c r="F202" s="386" t="n"/>
      <c r="G202" s="386" t="n"/>
      <c r="H202" s="386" t="n"/>
      <c r="I202" s="386" t="n"/>
      <c r="J202" s="386" t="n"/>
      <c r="K202" s="386" t="n"/>
      <c r="L202" s="386" t="n"/>
      <c r="M202" s="386" t="n"/>
      <c r="N202" s="400" t="n"/>
      <c r="O202" s="386" t="n"/>
      <c r="P202" s="386" t="n"/>
      <c r="Q202" s="386" t="n"/>
      <c r="R202" s="386" t="n"/>
      <c r="S202" s="386" t="n"/>
      <c r="T202" s="386" t="n"/>
      <c r="U202" s="386" t="n"/>
      <c r="V202" s="386" t="n"/>
      <c r="W202" s="386" t="n"/>
      <c r="X202" s="386" t="n"/>
      <c r="Y202" s="386" t="n"/>
      <c r="Z202" s="386" t="n"/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395" t="n"/>
      <c r="B203" s="386" t="n"/>
      <c r="C203" s="386" t="n"/>
      <c r="D203" s="386" t="n"/>
      <c r="E203" s="386" t="n"/>
      <c r="F203" s="386" t="n"/>
      <c r="G203" s="386" t="n"/>
      <c r="H203" s="386" t="n"/>
      <c r="I203" s="386" t="n"/>
      <c r="J203" s="386" t="n"/>
      <c r="K203" s="386" t="n"/>
      <c r="L203" s="386" t="n"/>
      <c r="M203" s="386" t="n"/>
      <c r="N203" s="400" t="n"/>
      <c r="O203" s="386" t="n"/>
      <c r="P203" s="386" t="n"/>
      <c r="Q203" s="386" t="n"/>
      <c r="R203" s="386" t="n"/>
      <c r="S203" s="386" t="n"/>
      <c r="T203" s="386" t="n"/>
      <c r="U203" s="386" t="n"/>
      <c r="V203" s="386" t="n"/>
      <c r="W203" s="386" t="n"/>
      <c r="X203" s="386" t="n"/>
      <c r="Y203" s="386" t="n"/>
      <c r="Z203" s="386" t="n"/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395" t="n"/>
      <c r="B204" s="386" t="n"/>
      <c r="C204" s="386" t="n"/>
      <c r="D204" s="386" t="n"/>
      <c r="E204" s="386" t="n"/>
      <c r="F204" s="386" t="n"/>
      <c r="G204" s="386" t="n"/>
      <c r="H204" s="386" t="n"/>
      <c r="I204" s="386" t="n"/>
      <c r="J204" s="386" t="n"/>
      <c r="K204" s="386" t="n"/>
      <c r="L204" s="386" t="n"/>
      <c r="M204" s="386" t="n"/>
      <c r="N204" s="400" t="n"/>
      <c r="O204" s="386" t="n"/>
      <c r="P204" s="386" t="n"/>
      <c r="Q204" s="386" t="n"/>
      <c r="R204" s="386" t="n"/>
      <c r="S204" s="386" t="n"/>
      <c r="T204" s="386" t="n"/>
      <c r="U204" s="386" t="n"/>
      <c r="V204" s="386" t="n"/>
      <c r="W204" s="386" t="n"/>
      <c r="X204" s="386" t="n"/>
      <c r="Y204" s="386" t="n"/>
      <c r="Z204" s="386" t="n"/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395" t="n"/>
      <c r="B205" s="386" t="n"/>
      <c r="C205" s="386" t="n"/>
      <c r="D205" s="386" t="n"/>
      <c r="E205" s="386" t="n"/>
      <c r="F205" s="386" t="n"/>
      <c r="G205" s="386" t="n"/>
      <c r="H205" s="386" t="n"/>
      <c r="I205" s="386" t="n"/>
      <c r="J205" s="386" t="n"/>
      <c r="K205" s="386" t="n"/>
      <c r="L205" s="386" t="n"/>
      <c r="M205" s="386" t="n"/>
      <c r="N205" s="400" t="n"/>
      <c r="O205" s="386" t="n"/>
      <c r="P205" s="386" t="n"/>
      <c r="Q205" s="386" t="n"/>
      <c r="R205" s="386" t="n"/>
      <c r="S205" s="386" t="n"/>
      <c r="T205" s="386" t="n"/>
      <c r="U205" s="386" t="n"/>
      <c r="V205" s="386" t="n"/>
      <c r="W205" s="386" t="n"/>
      <c r="X205" s="386" t="n"/>
      <c r="Y205" s="386" t="n"/>
      <c r="Z205" s="386" t="n"/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395" t="n"/>
      <c r="B206" s="395" t="n"/>
      <c r="C206" s="395" t="n"/>
      <c r="D206" s="395" t="n"/>
      <c r="E206" s="395" t="n"/>
      <c r="F206" s="395" t="n"/>
      <c r="G206" s="395" t="n"/>
      <c r="H206" s="395" t="n"/>
      <c r="I206" s="395" t="n"/>
      <c r="J206" s="395" t="n"/>
      <c r="K206" s="395" t="n"/>
      <c r="L206" s="395" t="n"/>
      <c r="M206" s="395" t="n"/>
      <c r="N206" s="395" t="n"/>
      <c r="O206" s="395" t="n"/>
      <c r="P206" s="395" t="n"/>
      <c r="Q206" s="395" t="n"/>
      <c r="R206" s="395" t="n"/>
      <c r="S206" s="395" t="n"/>
      <c r="T206" s="395" t="n"/>
      <c r="U206" s="395" t="n"/>
      <c r="V206" s="395" t="n"/>
      <c r="W206" s="395" t="n"/>
      <c r="X206" s="395" t="n"/>
      <c r="Y206" s="395" t="n"/>
      <c r="Z206" s="395" t="n"/>
      <c r="AA206" s="202" t="n"/>
      <c r="AB206" s="140" t="n"/>
      <c r="AC206" s="140" t="n"/>
      <c r="AD206" s="140" t="n"/>
    </row>
    <row r="207" ht="15.75" customHeight="1" s="346">
      <c r="A207" s="365" t="n"/>
      <c r="B207" s="365" t="n"/>
      <c r="C207" s="365" t="n"/>
      <c r="D207" s="365" t="n"/>
      <c r="E207" s="365" t="n"/>
      <c r="F207" s="365" t="n"/>
      <c r="G207" s="365" t="n"/>
      <c r="H207" s="365" t="n"/>
      <c r="I207" s="365" t="n"/>
      <c r="J207" s="365" t="n"/>
      <c r="K207" s="365" t="n"/>
      <c r="L207" s="365" t="n"/>
      <c r="M207" s="365" t="n"/>
      <c r="N207" s="365" t="n"/>
      <c r="O207" s="365" t="n"/>
      <c r="P207" s="365" t="n"/>
      <c r="Q207" s="365" t="n"/>
      <c r="R207" s="365" t="n"/>
      <c r="S207" s="365" t="n"/>
      <c r="T207" s="365" t="n"/>
      <c r="U207" s="365" t="n"/>
      <c r="V207" s="365" t="n"/>
      <c r="W207" s="365" t="n"/>
      <c r="X207" s="365" t="n"/>
      <c r="Y207" s="365" t="n"/>
      <c r="Z207" s="365" t="n"/>
      <c r="AA207" s="145" t="n"/>
      <c r="AB207" s="140" t="n"/>
      <c r="AC207" s="140" t="n"/>
      <c r="AD207" s="140" t="n"/>
    </row>
    <row r="208" ht="15.75" customHeight="1" s="346">
      <c r="A208" s="366" t="n"/>
      <c r="B208" s="367" t="n"/>
      <c r="C208" s="367" t="n"/>
      <c r="D208" s="367" t="n"/>
      <c r="E208" s="367" t="n"/>
      <c r="F208" s="367" t="n"/>
      <c r="G208" s="367" t="n"/>
      <c r="H208" s="367" t="n"/>
      <c r="I208" s="367" t="n"/>
      <c r="J208" s="367" t="n"/>
      <c r="K208" s="367" t="n"/>
      <c r="L208" s="367" t="n"/>
      <c r="M208" s="367" t="n"/>
      <c r="N208" s="401" t="n"/>
      <c r="O208" s="367" t="n"/>
      <c r="P208" s="367" t="n"/>
      <c r="Q208" s="367" t="n"/>
      <c r="R208" s="367" t="n"/>
      <c r="S208" s="367" t="n"/>
      <c r="T208" s="367" t="n"/>
      <c r="U208" s="367" t="n"/>
      <c r="V208" s="367" t="n"/>
      <c r="W208" s="367" t="n"/>
      <c r="X208" s="367" t="n"/>
      <c r="Y208" s="367" t="n"/>
      <c r="Z208" s="367" t="n"/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373" t="n"/>
      <c r="B209" s="373" t="n"/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402" t="n"/>
      <c r="O209" s="373" t="n"/>
      <c r="P209" s="373" t="n"/>
      <c r="Q209" s="373" t="n"/>
      <c r="R209" s="373" t="n"/>
      <c r="S209" s="373" t="n"/>
      <c r="T209" s="373" t="n"/>
      <c r="U209" s="373" t="n"/>
      <c r="V209" s="373" t="n"/>
      <c r="W209" s="373" t="n"/>
      <c r="X209" s="373" t="n"/>
      <c r="Y209" s="373" t="n"/>
      <c r="Z209" s="373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374" t="n"/>
      <c r="B210" s="375" t="n"/>
      <c r="C210" s="375" t="n"/>
      <c r="D210" s="375" t="n"/>
      <c r="E210" s="375" t="n"/>
      <c r="F210" s="375" t="n"/>
      <c r="G210" s="375" t="n"/>
      <c r="H210" s="375" t="n"/>
      <c r="I210" s="375" t="n"/>
      <c r="J210" s="375" t="n"/>
      <c r="K210" s="375" t="n"/>
      <c r="L210" s="375" t="n"/>
      <c r="M210" s="375" t="n"/>
      <c r="N210" s="375" t="n"/>
      <c r="O210" s="375" t="n"/>
      <c r="P210" s="375" t="n"/>
      <c r="Q210" s="375" t="n"/>
      <c r="R210" s="375" t="n"/>
      <c r="S210" s="375" t="n"/>
      <c r="T210" s="375" t="n"/>
      <c r="U210" s="375" t="n"/>
      <c r="V210" s="375" t="n"/>
      <c r="W210" s="375" t="n"/>
      <c r="X210" s="375" t="n"/>
      <c r="Y210" s="375" t="n"/>
      <c r="Z210" s="375" t="n"/>
      <c r="AA210" s="153" t="n"/>
      <c r="AB210" s="140" t="n"/>
      <c r="AC210" s="140" t="n"/>
      <c r="AD210" s="140" t="n"/>
    </row>
    <row r="211" ht="15.75" customHeight="1" s="346">
      <c r="A211" s="374" t="n"/>
      <c r="B211" s="376" t="n"/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376" t="n"/>
      <c r="P211" s="376" t="n"/>
      <c r="Q211" s="376" t="n"/>
      <c r="R211" s="376" t="n"/>
      <c r="S211" s="376" t="n"/>
      <c r="T211" s="376" t="n"/>
      <c r="U211" s="376" t="n"/>
      <c r="V211" s="376" t="n"/>
      <c r="W211" s="376" t="n"/>
      <c r="X211" s="376" t="n"/>
      <c r="Y211" s="376" t="n"/>
      <c r="Z211" s="376" t="n"/>
      <c r="AA211" s="203" t="n"/>
      <c r="AB211" s="140" t="n"/>
      <c r="AC211" s="140" t="n"/>
      <c r="AD211" s="140" t="n"/>
    </row>
    <row r="212" ht="15.75" customHeight="1" s="346">
      <c r="A212" s="395" t="n"/>
      <c r="B212" s="381" t="n"/>
      <c r="C212" s="381" t="n"/>
      <c r="D212" s="381" t="n"/>
      <c r="E212" s="381" t="n"/>
      <c r="F212" s="381" t="n"/>
      <c r="G212" s="381" t="n"/>
      <c r="H212" s="381" t="n"/>
      <c r="I212" s="381" t="n"/>
      <c r="J212" s="381" t="n"/>
      <c r="K212" s="381" t="n"/>
      <c r="L212" s="381" t="n"/>
      <c r="M212" s="381" t="n"/>
      <c r="N212" s="400" t="n"/>
      <c r="O212" s="381" t="n"/>
      <c r="P212" s="381" t="n"/>
      <c r="Q212" s="381" t="n"/>
      <c r="R212" s="381" t="n"/>
      <c r="S212" s="381" t="n"/>
      <c r="T212" s="381" t="n"/>
      <c r="U212" s="381" t="n"/>
      <c r="V212" s="381" t="n"/>
      <c r="W212" s="381" t="n"/>
      <c r="X212" s="381" t="n"/>
      <c r="Y212" s="381" t="n"/>
      <c r="Z212" s="381" t="n"/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395" t="n"/>
      <c r="B213" s="386" t="n"/>
      <c r="C213" s="386" t="n"/>
      <c r="D213" s="386" t="n"/>
      <c r="E213" s="386" t="n"/>
      <c r="F213" s="386" t="n"/>
      <c r="G213" s="386" t="n"/>
      <c r="H213" s="386" t="n"/>
      <c r="I213" s="386" t="n"/>
      <c r="J213" s="386" t="n"/>
      <c r="K213" s="386" t="n"/>
      <c r="L213" s="386" t="n"/>
      <c r="M213" s="386" t="n"/>
      <c r="N213" s="400" t="n"/>
      <c r="O213" s="386" t="n"/>
      <c r="P213" s="386" t="n"/>
      <c r="Q213" s="386" t="n"/>
      <c r="R213" s="386" t="n"/>
      <c r="S213" s="386" t="n"/>
      <c r="T213" s="386" t="n"/>
      <c r="U213" s="386" t="n"/>
      <c r="V213" s="386" t="n"/>
      <c r="W213" s="386" t="n"/>
      <c r="X213" s="386" t="n"/>
      <c r="Y213" s="386" t="n"/>
      <c r="Z213" s="386" t="n"/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395" t="n"/>
      <c r="B214" s="386" t="n"/>
      <c r="C214" s="386" t="n"/>
      <c r="D214" s="386" t="n"/>
      <c r="E214" s="386" t="n"/>
      <c r="F214" s="386" t="n"/>
      <c r="G214" s="386" t="n"/>
      <c r="H214" s="386" t="n"/>
      <c r="I214" s="386" t="n"/>
      <c r="J214" s="386" t="n"/>
      <c r="K214" s="386" t="n"/>
      <c r="L214" s="386" t="n"/>
      <c r="M214" s="386" t="n"/>
      <c r="N214" s="400" t="n"/>
      <c r="O214" s="386" t="n"/>
      <c r="P214" s="386" t="n"/>
      <c r="Q214" s="386" t="n"/>
      <c r="R214" s="386" t="n"/>
      <c r="S214" s="386" t="n"/>
      <c r="T214" s="386" t="n"/>
      <c r="U214" s="386" t="n"/>
      <c r="V214" s="386" t="n"/>
      <c r="W214" s="386" t="n"/>
      <c r="X214" s="386" t="n"/>
      <c r="Y214" s="386" t="n"/>
      <c r="Z214" s="386" t="n"/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395" t="n"/>
      <c r="B215" s="386" t="n"/>
      <c r="C215" s="386" t="n"/>
      <c r="D215" s="386" t="n"/>
      <c r="E215" s="386" t="n"/>
      <c r="F215" s="386" t="n"/>
      <c r="G215" s="386" t="n"/>
      <c r="H215" s="386" t="n"/>
      <c r="I215" s="386" t="n"/>
      <c r="J215" s="386" t="n"/>
      <c r="K215" s="386" t="n"/>
      <c r="L215" s="386" t="n"/>
      <c r="M215" s="386" t="n"/>
      <c r="N215" s="400" t="n"/>
      <c r="O215" s="386" t="n"/>
      <c r="P215" s="386" t="n"/>
      <c r="Q215" s="386" t="n"/>
      <c r="R215" s="386" t="n"/>
      <c r="S215" s="386" t="n"/>
      <c r="T215" s="386" t="n"/>
      <c r="U215" s="386" t="n"/>
      <c r="V215" s="386" t="n"/>
      <c r="W215" s="386" t="n"/>
      <c r="X215" s="386" t="n"/>
      <c r="Y215" s="386" t="n"/>
      <c r="Z215" s="386" t="n"/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395" t="n"/>
      <c r="B216" s="386" t="n"/>
      <c r="C216" s="386" t="n"/>
      <c r="D216" s="386" t="n"/>
      <c r="E216" s="386" t="n"/>
      <c r="F216" s="386" t="n"/>
      <c r="G216" s="386" t="n"/>
      <c r="H216" s="386" t="n"/>
      <c r="I216" s="386" t="n"/>
      <c r="J216" s="386" t="n"/>
      <c r="K216" s="386" t="n"/>
      <c r="L216" s="386" t="n"/>
      <c r="M216" s="386" t="n"/>
      <c r="N216" s="400" t="n"/>
      <c r="O216" s="386" t="n"/>
      <c r="P216" s="386" t="n"/>
      <c r="Q216" s="386" t="n"/>
      <c r="R216" s="386" t="n"/>
      <c r="S216" s="386" t="n"/>
      <c r="T216" s="386" t="n"/>
      <c r="U216" s="386" t="n"/>
      <c r="V216" s="386" t="n"/>
      <c r="W216" s="386" t="n"/>
      <c r="X216" s="386" t="n"/>
      <c r="Y216" s="386" t="n"/>
      <c r="Z216" s="386" t="n"/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395" t="n"/>
      <c r="B217" s="386" t="n"/>
      <c r="C217" s="386" t="n"/>
      <c r="D217" s="386" t="n"/>
      <c r="E217" s="386" t="n"/>
      <c r="F217" s="386" t="n"/>
      <c r="G217" s="386" t="n"/>
      <c r="H217" s="386" t="n"/>
      <c r="I217" s="386" t="n"/>
      <c r="J217" s="386" t="n"/>
      <c r="K217" s="386" t="n"/>
      <c r="L217" s="386" t="n"/>
      <c r="M217" s="386" t="n"/>
      <c r="N217" s="400" t="n"/>
      <c r="O217" s="386" t="n"/>
      <c r="P217" s="386" t="n"/>
      <c r="Q217" s="386" t="n"/>
      <c r="R217" s="386" t="n"/>
      <c r="S217" s="386" t="n"/>
      <c r="T217" s="386" t="n"/>
      <c r="U217" s="386" t="n"/>
      <c r="V217" s="386" t="n"/>
      <c r="W217" s="386" t="n"/>
      <c r="X217" s="386" t="n"/>
      <c r="Y217" s="386" t="n"/>
      <c r="Z217" s="386" t="n"/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395" t="n"/>
      <c r="B218" s="395" t="n"/>
      <c r="C218" s="395" t="n"/>
      <c r="D218" s="395" t="n"/>
      <c r="E218" s="395" t="n"/>
      <c r="F218" s="395" t="n"/>
      <c r="G218" s="395" t="n"/>
      <c r="H218" s="395" t="n"/>
      <c r="I218" s="395" t="n"/>
      <c r="J218" s="395" t="n"/>
      <c r="K218" s="395" t="n"/>
      <c r="L218" s="395" t="n"/>
      <c r="M218" s="395" t="n"/>
      <c r="N218" s="395" t="n"/>
      <c r="O218" s="395" t="n"/>
      <c r="P218" s="395" t="n"/>
      <c r="Q218" s="395" t="n"/>
      <c r="R218" s="395" t="n"/>
      <c r="S218" s="395" t="n"/>
      <c r="T218" s="395" t="n"/>
      <c r="U218" s="395" t="n"/>
      <c r="V218" s="395" t="n"/>
      <c r="W218" s="395" t="n"/>
      <c r="X218" s="395" t="n"/>
      <c r="Y218" s="395" t="n"/>
      <c r="Z218" s="395" t="n"/>
      <c r="AA218" s="202" t="n"/>
      <c r="AB218" s="140" t="n"/>
      <c r="AC218" s="140" t="n"/>
      <c r="AD218" s="140" t="n"/>
    </row>
    <row r="219" ht="15.75" customHeight="1" s="346">
      <c r="A219" s="365" t="n"/>
      <c r="B219" s="365" t="n"/>
      <c r="C219" s="365" t="n"/>
      <c r="D219" s="365" t="n"/>
      <c r="E219" s="365" t="n"/>
      <c r="F219" s="365" t="n"/>
      <c r="G219" s="365" t="n"/>
      <c r="H219" s="365" t="n"/>
      <c r="I219" s="365" t="n"/>
      <c r="J219" s="365" t="n"/>
      <c r="K219" s="365" t="n"/>
      <c r="L219" s="365" t="n"/>
      <c r="M219" s="365" t="n"/>
      <c r="N219" s="365" t="n"/>
      <c r="O219" s="365" t="n"/>
      <c r="P219" s="365" t="n"/>
      <c r="Q219" s="365" t="n"/>
      <c r="R219" s="365" t="n"/>
      <c r="S219" s="365" t="n"/>
      <c r="T219" s="365" t="n"/>
      <c r="U219" s="365" t="n"/>
      <c r="V219" s="365" t="n"/>
      <c r="W219" s="365" t="n"/>
      <c r="X219" s="365" t="n"/>
      <c r="Y219" s="365" t="n"/>
      <c r="Z219" s="365" t="n"/>
      <c r="AA219" s="145" t="n"/>
      <c r="AB219" s="140" t="n"/>
      <c r="AC219" s="140" t="n"/>
      <c r="AD219" s="140" t="n"/>
    </row>
    <row r="220" ht="15.75" customHeight="1" s="346">
      <c r="A220" s="366" t="n"/>
      <c r="B220" s="367" t="n"/>
      <c r="C220" s="367" t="n"/>
      <c r="D220" s="367" t="n"/>
      <c r="E220" s="367" t="n"/>
      <c r="F220" s="367" t="n"/>
      <c r="G220" s="367" t="n"/>
      <c r="H220" s="367" t="n"/>
      <c r="I220" s="367" t="n"/>
      <c r="J220" s="367" t="n"/>
      <c r="K220" s="367" t="n"/>
      <c r="L220" s="367" t="n"/>
      <c r="M220" s="367" t="n"/>
      <c r="N220" s="401" t="n"/>
      <c r="O220" s="367" t="n"/>
      <c r="P220" s="367" t="n"/>
      <c r="Q220" s="367" t="n"/>
      <c r="R220" s="367" t="n"/>
      <c r="S220" s="367" t="n"/>
      <c r="T220" s="367" t="n"/>
      <c r="U220" s="367" t="n"/>
      <c r="V220" s="367" t="n"/>
      <c r="W220" s="367" t="n"/>
      <c r="X220" s="367" t="n"/>
      <c r="Y220" s="367" t="n"/>
      <c r="Z220" s="367" t="n"/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373" t="n"/>
      <c r="B221" s="373" t="n"/>
      <c r="C221" s="373" t="n"/>
      <c r="D221" s="373" t="n"/>
      <c r="E221" s="373" t="n"/>
      <c r="F221" s="373" t="n"/>
      <c r="G221" s="373" t="n"/>
      <c r="H221" s="373" t="n"/>
      <c r="I221" s="373" t="n"/>
      <c r="J221" s="373" t="n"/>
      <c r="K221" s="373" t="n"/>
      <c r="L221" s="373" t="n"/>
      <c r="M221" s="373" t="n"/>
      <c r="N221" s="402" t="n"/>
      <c r="O221" s="373" t="n"/>
      <c r="P221" s="373" t="n"/>
      <c r="Q221" s="373" t="n"/>
      <c r="R221" s="373" t="n"/>
      <c r="S221" s="373" t="n"/>
      <c r="T221" s="373" t="n"/>
      <c r="U221" s="373" t="n"/>
      <c r="V221" s="373" t="n"/>
      <c r="W221" s="373" t="n"/>
      <c r="X221" s="373" t="n"/>
      <c r="Y221" s="373" t="n"/>
      <c r="Z221" s="373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374" t="n"/>
      <c r="B222" s="375" t="n"/>
      <c r="C222" s="375" t="n"/>
      <c r="D222" s="375" t="n"/>
      <c r="E222" s="375" t="n"/>
      <c r="F222" s="375" t="n"/>
      <c r="G222" s="375" t="n"/>
      <c r="H222" s="375" t="n"/>
      <c r="I222" s="375" t="n"/>
      <c r="J222" s="375" t="n"/>
      <c r="K222" s="375" t="n"/>
      <c r="L222" s="375" t="n"/>
      <c r="M222" s="375" t="n"/>
      <c r="N222" s="375" t="n"/>
      <c r="O222" s="375" t="n"/>
      <c r="P222" s="375" t="n"/>
      <c r="Q222" s="375" t="n"/>
      <c r="R222" s="375" t="n"/>
      <c r="S222" s="375" t="n"/>
      <c r="T222" s="375" t="n"/>
      <c r="U222" s="375" t="n"/>
      <c r="V222" s="375" t="n"/>
      <c r="W222" s="375" t="n"/>
      <c r="X222" s="375" t="n"/>
      <c r="Y222" s="375" t="n"/>
      <c r="Z222" s="375" t="n"/>
      <c r="AA222" s="153" t="n"/>
      <c r="AB222" s="140" t="n"/>
      <c r="AC222" s="140" t="n"/>
      <c r="AD222" s="140" t="n"/>
    </row>
    <row r="223" ht="15.75" customHeight="1" s="346">
      <c r="A223" s="374" t="n"/>
      <c r="B223" s="376" t="n"/>
      <c r="C223" s="376" t="n"/>
      <c r="D223" s="376" t="n"/>
      <c r="E223" s="376" t="n"/>
      <c r="F223" s="376" t="n"/>
      <c r="G223" s="376" t="n"/>
      <c r="H223" s="376" t="n"/>
      <c r="I223" s="376" t="n"/>
      <c r="J223" s="376" t="n"/>
      <c r="K223" s="376" t="n"/>
      <c r="L223" s="376" t="n"/>
      <c r="M223" s="376" t="n"/>
      <c r="N223" s="376" t="n"/>
      <c r="O223" s="376" t="n"/>
      <c r="P223" s="376" t="n"/>
      <c r="Q223" s="376" t="n"/>
      <c r="R223" s="376" t="n"/>
      <c r="S223" s="376" t="n"/>
      <c r="T223" s="376" t="n"/>
      <c r="U223" s="376" t="n"/>
      <c r="V223" s="376" t="n"/>
      <c r="W223" s="376" t="n"/>
      <c r="X223" s="376" t="n"/>
      <c r="Y223" s="376" t="n"/>
      <c r="Z223" s="376" t="n"/>
      <c r="AA223" s="203" t="n"/>
      <c r="AB223" s="140" t="n"/>
      <c r="AC223" s="140" t="n"/>
      <c r="AD223" s="140" t="n"/>
    </row>
    <row r="224" ht="15.75" customHeight="1" s="346">
      <c r="A224" s="395" t="n"/>
      <c r="B224" s="381" t="n"/>
      <c r="C224" s="381" t="n"/>
      <c r="D224" s="381" t="n"/>
      <c r="E224" s="381" t="n"/>
      <c r="F224" s="381" t="n"/>
      <c r="G224" s="381" t="n"/>
      <c r="H224" s="381" t="n"/>
      <c r="I224" s="381" t="n"/>
      <c r="J224" s="381" t="n"/>
      <c r="K224" s="381" t="n"/>
      <c r="L224" s="381" t="n"/>
      <c r="M224" s="381" t="n"/>
      <c r="N224" s="400" t="n"/>
      <c r="O224" s="381" t="n"/>
      <c r="P224" s="381" t="n"/>
      <c r="Q224" s="381" t="n"/>
      <c r="R224" s="381" t="n"/>
      <c r="S224" s="381" t="n"/>
      <c r="T224" s="381" t="n"/>
      <c r="U224" s="381" t="n"/>
      <c r="V224" s="381" t="n"/>
      <c r="W224" s="381" t="n"/>
      <c r="X224" s="381" t="n"/>
      <c r="Y224" s="381" t="n"/>
      <c r="Z224" s="381" t="n"/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395" t="n"/>
      <c r="B225" s="386" t="n"/>
      <c r="C225" s="386" t="n"/>
      <c r="D225" s="386" t="n"/>
      <c r="E225" s="386" t="n"/>
      <c r="F225" s="386" t="n"/>
      <c r="G225" s="386" t="n"/>
      <c r="H225" s="386" t="n"/>
      <c r="I225" s="386" t="n"/>
      <c r="J225" s="386" t="n"/>
      <c r="K225" s="386" t="n"/>
      <c r="L225" s="386" t="n"/>
      <c r="M225" s="386" t="n"/>
      <c r="N225" s="400" t="n"/>
      <c r="O225" s="386" t="n"/>
      <c r="P225" s="386" t="n"/>
      <c r="Q225" s="386" t="n"/>
      <c r="R225" s="386" t="n"/>
      <c r="S225" s="386" t="n"/>
      <c r="T225" s="386" t="n"/>
      <c r="U225" s="386" t="n"/>
      <c r="V225" s="386" t="n"/>
      <c r="W225" s="386" t="n"/>
      <c r="X225" s="386" t="n"/>
      <c r="Y225" s="386" t="n"/>
      <c r="Z225" s="386" t="n"/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395" t="n"/>
      <c r="B226" s="386" t="n"/>
      <c r="C226" s="386" t="n"/>
      <c r="D226" s="386" t="n"/>
      <c r="E226" s="386" t="n"/>
      <c r="F226" s="386" t="n"/>
      <c r="G226" s="386" t="n"/>
      <c r="H226" s="386" t="n"/>
      <c r="I226" s="386" t="n"/>
      <c r="J226" s="386" t="n"/>
      <c r="K226" s="386" t="n"/>
      <c r="L226" s="386" t="n"/>
      <c r="M226" s="386" t="n"/>
      <c r="N226" s="400" t="n"/>
      <c r="O226" s="386" t="n"/>
      <c r="P226" s="386" t="n"/>
      <c r="Q226" s="386" t="n"/>
      <c r="R226" s="386" t="n"/>
      <c r="S226" s="386" t="n"/>
      <c r="T226" s="386" t="n"/>
      <c r="U226" s="386" t="n"/>
      <c r="V226" s="386" t="n"/>
      <c r="W226" s="386" t="n"/>
      <c r="X226" s="386" t="n"/>
      <c r="Y226" s="386" t="n"/>
      <c r="Z226" s="386" t="n"/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395" t="n"/>
      <c r="B227" s="386" t="n"/>
      <c r="C227" s="386" t="n"/>
      <c r="D227" s="386" t="n"/>
      <c r="E227" s="386" t="n"/>
      <c r="F227" s="386" t="n"/>
      <c r="G227" s="386" t="n"/>
      <c r="H227" s="386" t="n"/>
      <c r="I227" s="386" t="n"/>
      <c r="J227" s="386" t="n"/>
      <c r="K227" s="386" t="n"/>
      <c r="L227" s="386" t="n"/>
      <c r="M227" s="386" t="n"/>
      <c r="N227" s="400" t="n"/>
      <c r="O227" s="386" t="n"/>
      <c r="P227" s="386" t="n"/>
      <c r="Q227" s="386" t="n"/>
      <c r="R227" s="386" t="n"/>
      <c r="S227" s="386" t="n"/>
      <c r="T227" s="386" t="n"/>
      <c r="U227" s="386" t="n"/>
      <c r="V227" s="386" t="n"/>
      <c r="W227" s="386" t="n"/>
      <c r="X227" s="386" t="n"/>
      <c r="Y227" s="386" t="n"/>
      <c r="Z227" s="386" t="n"/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395" t="n"/>
      <c r="B228" s="386" t="n"/>
      <c r="C228" s="386" t="n"/>
      <c r="D228" s="386" t="n"/>
      <c r="E228" s="386" t="n"/>
      <c r="F228" s="386" t="n"/>
      <c r="G228" s="386" t="n"/>
      <c r="H228" s="386" t="n"/>
      <c r="I228" s="386" t="n"/>
      <c r="J228" s="386" t="n"/>
      <c r="K228" s="386" t="n"/>
      <c r="L228" s="386" t="n"/>
      <c r="M228" s="386" t="n"/>
      <c r="N228" s="400" t="n"/>
      <c r="O228" s="386" t="n"/>
      <c r="P228" s="386" t="n"/>
      <c r="Q228" s="386" t="n"/>
      <c r="R228" s="386" t="n"/>
      <c r="S228" s="386" t="n"/>
      <c r="T228" s="386" t="n"/>
      <c r="U228" s="386" t="n"/>
      <c r="V228" s="386" t="n"/>
      <c r="W228" s="386" t="n"/>
      <c r="X228" s="386" t="n"/>
      <c r="Y228" s="386" t="n"/>
      <c r="Z228" s="386" t="n"/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395" t="n"/>
      <c r="B229" s="386" t="n"/>
      <c r="C229" s="386" t="n"/>
      <c r="D229" s="386" t="n"/>
      <c r="E229" s="386" t="n"/>
      <c r="F229" s="386" t="n"/>
      <c r="G229" s="386" t="n"/>
      <c r="H229" s="386" t="n"/>
      <c r="I229" s="386" t="n"/>
      <c r="J229" s="386" t="n"/>
      <c r="K229" s="386" t="n"/>
      <c r="L229" s="386" t="n"/>
      <c r="M229" s="386" t="n"/>
      <c r="N229" s="400" t="n"/>
      <c r="O229" s="386" t="n"/>
      <c r="P229" s="386" t="n"/>
      <c r="Q229" s="386" t="n"/>
      <c r="R229" s="386" t="n"/>
      <c r="S229" s="386" t="n"/>
      <c r="T229" s="386" t="n"/>
      <c r="U229" s="386" t="n"/>
      <c r="V229" s="386" t="n"/>
      <c r="W229" s="386" t="n"/>
      <c r="X229" s="386" t="n"/>
      <c r="Y229" s="386" t="n"/>
      <c r="Z229" s="386" t="n"/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395" t="n"/>
      <c r="B230" s="395" t="n"/>
      <c r="C230" s="395" t="n"/>
      <c r="D230" s="395" t="n"/>
      <c r="E230" s="395" t="n"/>
      <c r="F230" s="395" t="n"/>
      <c r="G230" s="395" t="n"/>
      <c r="H230" s="395" t="n"/>
      <c r="I230" s="395" t="n"/>
      <c r="J230" s="395" t="n"/>
      <c r="K230" s="395" t="n"/>
      <c r="L230" s="395" t="n"/>
      <c r="M230" s="395" t="n"/>
      <c r="N230" s="395" t="n"/>
      <c r="O230" s="395" t="n"/>
      <c r="P230" s="395" t="n"/>
      <c r="Q230" s="395" t="n"/>
      <c r="R230" s="395" t="n"/>
      <c r="S230" s="395" t="n"/>
      <c r="T230" s="395" t="n"/>
      <c r="U230" s="395" t="n"/>
      <c r="V230" s="395" t="n"/>
      <c r="W230" s="395" t="n"/>
      <c r="X230" s="395" t="n"/>
      <c r="Y230" s="395" t="n"/>
      <c r="Z230" s="395" t="n"/>
      <c r="AA230" s="202" t="n"/>
      <c r="AB230" s="140" t="n"/>
      <c r="AC230" s="140" t="n"/>
      <c r="AD230" s="140" t="n"/>
    </row>
    <row r="231" ht="15.75" customHeight="1" s="346">
      <c r="A231" s="365" t="n"/>
      <c r="B231" s="365" t="n"/>
      <c r="C231" s="365" t="n"/>
      <c r="D231" s="365" t="n"/>
      <c r="E231" s="365" t="n"/>
      <c r="F231" s="365" t="n"/>
      <c r="G231" s="365" t="n"/>
      <c r="H231" s="365" t="n"/>
      <c r="I231" s="365" t="n"/>
      <c r="J231" s="365" t="n"/>
      <c r="K231" s="365" t="n"/>
      <c r="L231" s="365" t="n"/>
      <c r="M231" s="365" t="n"/>
      <c r="N231" s="365" t="n"/>
      <c r="O231" s="365" t="n"/>
      <c r="P231" s="365" t="n"/>
      <c r="Q231" s="365" t="n"/>
      <c r="R231" s="365" t="n"/>
      <c r="S231" s="365" t="n"/>
      <c r="T231" s="365" t="n"/>
      <c r="U231" s="365" t="n"/>
      <c r="V231" s="365" t="n"/>
      <c r="W231" s="365" t="n"/>
      <c r="X231" s="365" t="n"/>
      <c r="Y231" s="365" t="n"/>
      <c r="Z231" s="365" t="n"/>
      <c r="AA231" s="145" t="n"/>
      <c r="AB231" s="140" t="n"/>
      <c r="AC231" s="140" t="n"/>
      <c r="AD231" s="140" t="n"/>
    </row>
    <row r="232" ht="15.75" customHeight="1" s="346">
      <c r="A232" s="366" t="n"/>
      <c r="B232" s="367" t="n"/>
      <c r="C232" s="367" t="n"/>
      <c r="D232" s="367" t="n"/>
      <c r="E232" s="367" t="n"/>
      <c r="F232" s="367" t="n"/>
      <c r="G232" s="367" t="n"/>
      <c r="H232" s="367" t="n"/>
      <c r="I232" s="367" t="n"/>
      <c r="J232" s="367" t="n"/>
      <c r="K232" s="367" t="n"/>
      <c r="L232" s="367" t="n"/>
      <c r="M232" s="367" t="n"/>
      <c r="N232" s="401" t="n"/>
      <c r="O232" s="367" t="n"/>
      <c r="P232" s="367" t="n"/>
      <c r="Q232" s="367" t="n"/>
      <c r="R232" s="367" t="n"/>
      <c r="S232" s="367" t="n"/>
      <c r="T232" s="367" t="n"/>
      <c r="U232" s="367" t="n"/>
      <c r="V232" s="367" t="n"/>
      <c r="W232" s="367" t="n"/>
      <c r="X232" s="367" t="n"/>
      <c r="Y232" s="367" t="n"/>
      <c r="Z232" s="367" t="n"/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373" t="n"/>
      <c r="B233" s="373" t="n"/>
      <c r="C233" s="373" t="n"/>
      <c r="D233" s="373" t="n"/>
      <c r="E233" s="373" t="n"/>
      <c r="F233" s="373" t="n"/>
      <c r="G233" s="373" t="n"/>
      <c r="H233" s="373" t="n"/>
      <c r="I233" s="373" t="n"/>
      <c r="J233" s="373" t="n"/>
      <c r="K233" s="373" t="n"/>
      <c r="L233" s="373" t="n"/>
      <c r="M233" s="373" t="n"/>
      <c r="N233" s="402" t="n"/>
      <c r="O233" s="373" t="n"/>
      <c r="P233" s="373" t="n"/>
      <c r="Q233" s="373" t="n"/>
      <c r="R233" s="373" t="n"/>
      <c r="S233" s="373" t="n"/>
      <c r="T233" s="373" t="n"/>
      <c r="U233" s="373" t="n"/>
      <c r="V233" s="373" t="n"/>
      <c r="W233" s="373" t="n"/>
      <c r="X233" s="373" t="n"/>
      <c r="Y233" s="373" t="n"/>
      <c r="Z233" s="373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374" t="n"/>
      <c r="B234" s="375" t="n"/>
      <c r="C234" s="375" t="n"/>
      <c r="D234" s="375" t="n"/>
      <c r="E234" s="375" t="n"/>
      <c r="F234" s="375" t="n"/>
      <c r="G234" s="375" t="n"/>
      <c r="H234" s="375" t="n"/>
      <c r="I234" s="375" t="n"/>
      <c r="J234" s="375" t="n"/>
      <c r="K234" s="375" t="n"/>
      <c r="L234" s="375" t="n"/>
      <c r="M234" s="375" t="n"/>
      <c r="N234" s="375" t="n"/>
      <c r="O234" s="375" t="n"/>
      <c r="P234" s="375" t="n"/>
      <c r="Q234" s="375" t="n"/>
      <c r="R234" s="375" t="n"/>
      <c r="S234" s="375" t="n"/>
      <c r="T234" s="375" t="n"/>
      <c r="U234" s="375" t="n"/>
      <c r="V234" s="375" t="n"/>
      <c r="W234" s="375" t="n"/>
      <c r="X234" s="375" t="n"/>
      <c r="Y234" s="375" t="n"/>
      <c r="Z234" s="375" t="n"/>
      <c r="AA234" s="153" t="n"/>
      <c r="AB234" s="140" t="n"/>
      <c r="AC234" s="140" t="n"/>
      <c r="AD234" s="140" t="n"/>
    </row>
    <row r="235" ht="15.75" customHeight="1" s="346">
      <c r="A235" s="374" t="n"/>
      <c r="B235" s="376" t="n"/>
      <c r="C235" s="376" t="n"/>
      <c r="D235" s="376" t="n"/>
      <c r="E235" s="376" t="n"/>
      <c r="F235" s="376" t="n"/>
      <c r="G235" s="376" t="n"/>
      <c r="H235" s="376" t="n"/>
      <c r="I235" s="376" t="n"/>
      <c r="J235" s="376" t="n"/>
      <c r="K235" s="376" t="n"/>
      <c r="L235" s="376" t="n"/>
      <c r="M235" s="376" t="n"/>
      <c r="N235" s="376" t="n"/>
      <c r="O235" s="376" t="n"/>
      <c r="P235" s="376" t="n"/>
      <c r="Q235" s="376" t="n"/>
      <c r="R235" s="376" t="n"/>
      <c r="S235" s="376" t="n"/>
      <c r="T235" s="376" t="n"/>
      <c r="U235" s="376" t="n"/>
      <c r="V235" s="376" t="n"/>
      <c r="W235" s="376" t="n"/>
      <c r="X235" s="376" t="n"/>
      <c r="Y235" s="376" t="n"/>
      <c r="Z235" s="376" t="n"/>
      <c r="AA235" s="203" t="n"/>
      <c r="AB235" s="140" t="n"/>
      <c r="AC235" s="140" t="n"/>
      <c r="AD235" s="140" t="n"/>
    </row>
    <row r="236" ht="15.75" customHeight="1" s="346">
      <c r="A236" s="395" t="n"/>
      <c r="B236" s="381" t="n"/>
      <c r="C236" s="381" t="n"/>
      <c r="D236" s="381" t="n"/>
      <c r="E236" s="381" t="n"/>
      <c r="F236" s="381" t="n"/>
      <c r="G236" s="381" t="n"/>
      <c r="H236" s="381" t="n"/>
      <c r="I236" s="381" t="n"/>
      <c r="J236" s="381" t="n"/>
      <c r="K236" s="381" t="n"/>
      <c r="L236" s="381" t="n"/>
      <c r="M236" s="381" t="n"/>
      <c r="N236" s="400" t="n"/>
      <c r="O236" s="381" t="n"/>
      <c r="P236" s="381" t="n"/>
      <c r="Q236" s="381" t="n"/>
      <c r="R236" s="381" t="n"/>
      <c r="S236" s="381" t="n"/>
      <c r="T236" s="381" t="n"/>
      <c r="U236" s="381" t="n"/>
      <c r="V236" s="381" t="n"/>
      <c r="W236" s="381" t="n"/>
      <c r="X236" s="381" t="n"/>
      <c r="Y236" s="381" t="n"/>
      <c r="Z236" s="381" t="n"/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395" t="n"/>
      <c r="B237" s="386" t="n"/>
      <c r="C237" s="386" t="n"/>
      <c r="D237" s="386" t="n"/>
      <c r="E237" s="386" t="n"/>
      <c r="F237" s="386" t="n"/>
      <c r="G237" s="386" t="n"/>
      <c r="H237" s="386" t="n"/>
      <c r="I237" s="386" t="n"/>
      <c r="J237" s="386" t="n"/>
      <c r="K237" s="386" t="n"/>
      <c r="L237" s="386" t="n"/>
      <c r="M237" s="386" t="n"/>
      <c r="N237" s="400" t="n"/>
      <c r="O237" s="386" t="n"/>
      <c r="P237" s="386" t="n"/>
      <c r="Q237" s="386" t="n"/>
      <c r="R237" s="386" t="n"/>
      <c r="S237" s="386" t="n"/>
      <c r="T237" s="386" t="n"/>
      <c r="U237" s="386" t="n"/>
      <c r="V237" s="386" t="n"/>
      <c r="W237" s="386" t="n"/>
      <c r="X237" s="386" t="n"/>
      <c r="Y237" s="386" t="n"/>
      <c r="Z237" s="386" t="n"/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395" t="n"/>
      <c r="B238" s="386" t="n"/>
      <c r="C238" s="386" t="n"/>
      <c r="D238" s="386" t="n"/>
      <c r="E238" s="386" t="n"/>
      <c r="F238" s="386" t="n"/>
      <c r="G238" s="386" t="n"/>
      <c r="H238" s="386" t="n"/>
      <c r="I238" s="386" t="n"/>
      <c r="J238" s="386" t="n"/>
      <c r="K238" s="386" t="n"/>
      <c r="L238" s="386" t="n"/>
      <c r="M238" s="386" t="n"/>
      <c r="N238" s="400" t="n"/>
      <c r="O238" s="386" t="n"/>
      <c r="P238" s="386" t="n"/>
      <c r="Q238" s="386" t="n"/>
      <c r="R238" s="386" t="n"/>
      <c r="S238" s="386" t="n"/>
      <c r="T238" s="386" t="n"/>
      <c r="U238" s="386" t="n"/>
      <c r="V238" s="386" t="n"/>
      <c r="W238" s="386" t="n"/>
      <c r="X238" s="386" t="n"/>
      <c r="Y238" s="386" t="n"/>
      <c r="Z238" s="386" t="n"/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395" t="n"/>
      <c r="B239" s="386" t="n"/>
      <c r="C239" s="386" t="n"/>
      <c r="D239" s="386" t="n"/>
      <c r="E239" s="386" t="n"/>
      <c r="F239" s="386" t="n"/>
      <c r="G239" s="386" t="n"/>
      <c r="H239" s="386" t="n"/>
      <c r="I239" s="386" t="n"/>
      <c r="J239" s="386" t="n"/>
      <c r="K239" s="386" t="n"/>
      <c r="L239" s="386" t="n"/>
      <c r="M239" s="386" t="n"/>
      <c r="N239" s="400" t="n"/>
      <c r="O239" s="386" t="n"/>
      <c r="P239" s="386" t="n"/>
      <c r="Q239" s="386" t="n"/>
      <c r="R239" s="386" t="n"/>
      <c r="S239" s="386" t="n"/>
      <c r="T239" s="386" t="n"/>
      <c r="U239" s="386" t="n"/>
      <c r="V239" s="386" t="n"/>
      <c r="W239" s="386" t="n"/>
      <c r="X239" s="386" t="n"/>
      <c r="Y239" s="386" t="n"/>
      <c r="Z239" s="386" t="n"/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395" t="n"/>
      <c r="B240" s="386" t="n"/>
      <c r="C240" s="386" t="n"/>
      <c r="D240" s="386" t="n"/>
      <c r="E240" s="386" t="n"/>
      <c r="F240" s="386" t="n"/>
      <c r="G240" s="386" t="n"/>
      <c r="H240" s="386" t="n"/>
      <c r="I240" s="386" t="n"/>
      <c r="J240" s="386" t="n"/>
      <c r="K240" s="386" t="n"/>
      <c r="L240" s="386" t="n"/>
      <c r="M240" s="386" t="n"/>
      <c r="N240" s="400" t="n"/>
      <c r="O240" s="386" t="n"/>
      <c r="P240" s="386" t="n"/>
      <c r="Q240" s="386" t="n"/>
      <c r="R240" s="386" t="n"/>
      <c r="S240" s="386" t="n"/>
      <c r="T240" s="386" t="n"/>
      <c r="U240" s="386" t="n"/>
      <c r="V240" s="386" t="n"/>
      <c r="W240" s="386" t="n"/>
      <c r="X240" s="386" t="n"/>
      <c r="Y240" s="386" t="n"/>
      <c r="Z240" s="386" t="n"/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395" t="n"/>
      <c r="B241" s="386" t="n"/>
      <c r="C241" s="386" t="n"/>
      <c r="D241" s="386" t="n"/>
      <c r="E241" s="386" t="n"/>
      <c r="F241" s="386" t="n"/>
      <c r="G241" s="386" t="n"/>
      <c r="H241" s="386" t="n"/>
      <c r="I241" s="386" t="n"/>
      <c r="J241" s="386" t="n"/>
      <c r="K241" s="386" t="n"/>
      <c r="L241" s="386" t="n"/>
      <c r="M241" s="386" t="n"/>
      <c r="N241" s="400" t="n"/>
      <c r="O241" s="386" t="n"/>
      <c r="P241" s="386" t="n"/>
      <c r="Q241" s="386" t="n"/>
      <c r="R241" s="386" t="n"/>
      <c r="S241" s="386" t="n"/>
      <c r="T241" s="386" t="n"/>
      <c r="U241" s="386" t="n"/>
      <c r="V241" s="386" t="n"/>
      <c r="W241" s="386" t="n"/>
      <c r="X241" s="386" t="n"/>
      <c r="Y241" s="386" t="n"/>
      <c r="Z241" s="386" t="n"/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395" t="n"/>
      <c r="B242" s="395" t="n"/>
      <c r="C242" s="395" t="n"/>
      <c r="D242" s="395" t="n"/>
      <c r="E242" s="395" t="n"/>
      <c r="F242" s="395" t="n"/>
      <c r="G242" s="395" t="n"/>
      <c r="H242" s="395" t="n"/>
      <c r="I242" s="395" t="n"/>
      <c r="J242" s="395" t="n"/>
      <c r="K242" s="395" t="n"/>
      <c r="L242" s="395" t="n"/>
      <c r="M242" s="395" t="n"/>
      <c r="N242" s="395" t="n"/>
      <c r="O242" s="395" t="n"/>
      <c r="P242" s="395" t="n"/>
      <c r="Q242" s="395" t="n"/>
      <c r="R242" s="395" t="n"/>
      <c r="S242" s="395" t="n"/>
      <c r="T242" s="395" t="n"/>
      <c r="U242" s="395" t="n"/>
      <c r="V242" s="395" t="n"/>
      <c r="W242" s="395" t="n"/>
      <c r="X242" s="395" t="n"/>
      <c r="Y242" s="395" t="n"/>
      <c r="Z242" s="395" t="n"/>
      <c r="AA242" s="202" t="n"/>
      <c r="AB242" s="140" t="n"/>
      <c r="AC242" s="140" t="n"/>
      <c r="AD242" s="140" t="n"/>
    </row>
    <row r="243" ht="15.75" customHeight="1" s="346">
      <c r="A243" s="365" t="n"/>
      <c r="B243" s="365" t="n"/>
      <c r="C243" s="365" t="n"/>
      <c r="D243" s="365" t="n"/>
      <c r="E243" s="365" t="n"/>
      <c r="F243" s="365" t="n"/>
      <c r="G243" s="365" t="n"/>
      <c r="H243" s="365" t="n"/>
      <c r="I243" s="365" t="n"/>
      <c r="J243" s="365" t="n"/>
      <c r="K243" s="365" t="n"/>
      <c r="L243" s="365" t="n"/>
      <c r="M243" s="365" t="n"/>
      <c r="N243" s="365" t="n"/>
      <c r="O243" s="365" t="n"/>
      <c r="P243" s="365" t="n"/>
      <c r="Q243" s="365" t="n"/>
      <c r="R243" s="365" t="n"/>
      <c r="S243" s="365" t="n"/>
      <c r="T243" s="365" t="n"/>
      <c r="U243" s="365" t="n"/>
      <c r="V243" s="365" t="n"/>
      <c r="W243" s="365" t="n"/>
      <c r="X243" s="365" t="n"/>
      <c r="Y243" s="365" t="n"/>
      <c r="Z243" s="365" t="n"/>
      <c r="AA243" s="145" t="n"/>
      <c r="AB243" s="140" t="n"/>
      <c r="AC243" s="140" t="n"/>
      <c r="AD243" s="140" t="n"/>
    </row>
    <row r="244" ht="15.75" customHeight="1" s="346">
      <c r="A244" s="366" t="n"/>
      <c r="B244" s="367" t="n"/>
      <c r="C244" s="367" t="n"/>
      <c r="D244" s="367" t="n"/>
      <c r="E244" s="367" t="n"/>
      <c r="F244" s="367" t="n"/>
      <c r="G244" s="367" t="n"/>
      <c r="H244" s="367" t="n"/>
      <c r="I244" s="367" t="n"/>
      <c r="J244" s="367" t="n"/>
      <c r="K244" s="367" t="n"/>
      <c r="L244" s="367" t="n"/>
      <c r="M244" s="367" t="n"/>
      <c r="N244" s="401" t="n"/>
      <c r="O244" s="367" t="n"/>
      <c r="P244" s="367" t="n"/>
      <c r="Q244" s="367" t="n"/>
      <c r="R244" s="367" t="n"/>
      <c r="S244" s="367" t="n"/>
      <c r="T244" s="367" t="n"/>
      <c r="U244" s="367" t="n"/>
      <c r="V244" s="367" t="n"/>
      <c r="W244" s="367" t="n"/>
      <c r="X244" s="367" t="n"/>
      <c r="Y244" s="367" t="n"/>
      <c r="Z244" s="367" t="n"/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373" t="n"/>
      <c r="B245" s="373" t="n"/>
      <c r="C245" s="373" t="n"/>
      <c r="D245" s="373" t="n"/>
      <c r="E245" s="373" t="n"/>
      <c r="F245" s="373" t="n"/>
      <c r="G245" s="373" t="n"/>
      <c r="H245" s="373" t="n"/>
      <c r="I245" s="373" t="n"/>
      <c r="J245" s="373" t="n"/>
      <c r="K245" s="373" t="n"/>
      <c r="L245" s="373" t="n"/>
      <c r="M245" s="373" t="n"/>
      <c r="N245" s="402" t="n"/>
      <c r="O245" s="373" t="n"/>
      <c r="P245" s="373" t="n"/>
      <c r="Q245" s="373" t="n"/>
      <c r="R245" s="373" t="n"/>
      <c r="S245" s="373" t="n"/>
      <c r="T245" s="373" t="n"/>
      <c r="U245" s="373" t="n"/>
      <c r="V245" s="373" t="n"/>
      <c r="W245" s="373" t="n"/>
      <c r="X245" s="373" t="n"/>
      <c r="Y245" s="373" t="n"/>
      <c r="Z245" s="373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374" t="n"/>
      <c r="B246" s="375" t="n"/>
      <c r="C246" s="375" t="n"/>
      <c r="D246" s="375" t="n"/>
      <c r="E246" s="375" t="n"/>
      <c r="F246" s="375" t="n"/>
      <c r="G246" s="375" t="n"/>
      <c r="H246" s="375" t="n"/>
      <c r="I246" s="375" t="n"/>
      <c r="J246" s="375" t="n"/>
      <c r="K246" s="375" t="n"/>
      <c r="L246" s="375" t="n"/>
      <c r="M246" s="375" t="n"/>
      <c r="N246" s="375" t="n"/>
      <c r="O246" s="375" t="n"/>
      <c r="P246" s="375" t="n"/>
      <c r="Q246" s="375" t="n"/>
      <c r="R246" s="375" t="n"/>
      <c r="S246" s="375" t="n"/>
      <c r="T246" s="375" t="n"/>
      <c r="U246" s="375" t="n"/>
      <c r="V246" s="375" t="n"/>
      <c r="W246" s="375" t="n"/>
      <c r="X246" s="375" t="n"/>
      <c r="Y246" s="375" t="n"/>
      <c r="Z246" s="375" t="n"/>
      <c r="AA246" s="153" t="n"/>
      <c r="AB246" s="140" t="n"/>
      <c r="AC246" s="140" t="n"/>
      <c r="AD246" s="140" t="n"/>
    </row>
    <row r="247" ht="15.75" customHeight="1" s="346">
      <c r="A247" s="374" t="n"/>
      <c r="B247" s="376" t="n"/>
      <c r="C247" s="376" t="n"/>
      <c r="D247" s="376" t="n"/>
      <c r="E247" s="376" t="n"/>
      <c r="F247" s="376" t="n"/>
      <c r="G247" s="376" t="n"/>
      <c r="H247" s="376" t="n"/>
      <c r="I247" s="376" t="n"/>
      <c r="J247" s="376" t="n"/>
      <c r="K247" s="376" t="n"/>
      <c r="L247" s="376" t="n"/>
      <c r="M247" s="376" t="n"/>
      <c r="N247" s="376" t="n"/>
      <c r="O247" s="376" t="n"/>
      <c r="P247" s="376" t="n"/>
      <c r="Q247" s="376" t="n"/>
      <c r="R247" s="376" t="n"/>
      <c r="S247" s="376" t="n"/>
      <c r="T247" s="376" t="n"/>
      <c r="U247" s="376" t="n"/>
      <c r="V247" s="376" t="n"/>
      <c r="W247" s="376" t="n"/>
      <c r="X247" s="376" t="n"/>
      <c r="Y247" s="376" t="n"/>
      <c r="Z247" s="376" t="n"/>
      <c r="AA247" s="203" t="n"/>
      <c r="AB247" s="140" t="n"/>
      <c r="AC247" s="140" t="n"/>
      <c r="AD247" s="140" t="n"/>
    </row>
    <row r="248" ht="15.75" customHeight="1" s="346">
      <c r="A248" s="395" t="n"/>
      <c r="B248" s="381" t="n"/>
      <c r="C248" s="381" t="n"/>
      <c r="D248" s="381" t="n"/>
      <c r="E248" s="381" t="n"/>
      <c r="F248" s="381" t="n"/>
      <c r="G248" s="381" t="n"/>
      <c r="H248" s="381" t="n"/>
      <c r="I248" s="381" t="n"/>
      <c r="J248" s="381" t="n"/>
      <c r="K248" s="381" t="n"/>
      <c r="L248" s="381" t="n"/>
      <c r="M248" s="381" t="n"/>
      <c r="N248" s="400" t="n"/>
      <c r="O248" s="381" t="n"/>
      <c r="P248" s="381" t="n"/>
      <c r="Q248" s="381" t="n"/>
      <c r="R248" s="381" t="n"/>
      <c r="S248" s="381" t="n"/>
      <c r="T248" s="381" t="n"/>
      <c r="U248" s="381" t="n"/>
      <c r="V248" s="381" t="n"/>
      <c r="W248" s="381" t="n"/>
      <c r="X248" s="381" t="n"/>
      <c r="Y248" s="381" t="n"/>
      <c r="Z248" s="381" t="n"/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395" t="n"/>
      <c r="B249" s="386" t="n"/>
      <c r="C249" s="386" t="n"/>
      <c r="D249" s="386" t="n"/>
      <c r="E249" s="386" t="n"/>
      <c r="F249" s="386" t="n"/>
      <c r="G249" s="386" t="n"/>
      <c r="H249" s="386" t="n"/>
      <c r="I249" s="386" t="n"/>
      <c r="J249" s="386" t="n"/>
      <c r="K249" s="386" t="n"/>
      <c r="L249" s="386" t="n"/>
      <c r="M249" s="386" t="n"/>
      <c r="N249" s="400" t="n"/>
      <c r="O249" s="386" t="n"/>
      <c r="P249" s="386" t="n"/>
      <c r="Q249" s="386" t="n"/>
      <c r="R249" s="386" t="n"/>
      <c r="S249" s="386" t="n"/>
      <c r="T249" s="386" t="n"/>
      <c r="U249" s="386" t="n"/>
      <c r="V249" s="386" t="n"/>
      <c r="W249" s="386" t="n"/>
      <c r="X249" s="386" t="n"/>
      <c r="Y249" s="386" t="n"/>
      <c r="Z249" s="386" t="n"/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395" t="n"/>
      <c r="B250" s="386" t="n"/>
      <c r="C250" s="386" t="n"/>
      <c r="D250" s="386" t="n"/>
      <c r="E250" s="386" t="n"/>
      <c r="F250" s="386" t="n"/>
      <c r="G250" s="386" t="n"/>
      <c r="H250" s="386" t="n"/>
      <c r="I250" s="386" t="n"/>
      <c r="J250" s="386" t="n"/>
      <c r="K250" s="386" t="n"/>
      <c r="L250" s="386" t="n"/>
      <c r="M250" s="386" t="n"/>
      <c r="N250" s="400" t="n"/>
      <c r="O250" s="386" t="n"/>
      <c r="P250" s="386" t="n"/>
      <c r="Q250" s="386" t="n"/>
      <c r="R250" s="386" t="n"/>
      <c r="S250" s="386" t="n"/>
      <c r="T250" s="386" t="n"/>
      <c r="U250" s="386" t="n"/>
      <c r="V250" s="386" t="n"/>
      <c r="W250" s="386" t="n"/>
      <c r="X250" s="386" t="n"/>
      <c r="Y250" s="386" t="n"/>
      <c r="Z250" s="386" t="n"/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395" t="n"/>
      <c r="B251" s="386" t="n"/>
      <c r="C251" s="386" t="n"/>
      <c r="D251" s="386" t="n"/>
      <c r="E251" s="386" t="n"/>
      <c r="F251" s="386" t="n"/>
      <c r="G251" s="386" t="n"/>
      <c r="H251" s="386" t="n"/>
      <c r="I251" s="386" t="n"/>
      <c r="J251" s="386" t="n"/>
      <c r="K251" s="386" t="n"/>
      <c r="L251" s="386" t="n"/>
      <c r="M251" s="386" t="n"/>
      <c r="N251" s="400" t="n"/>
      <c r="O251" s="386" t="n"/>
      <c r="P251" s="386" t="n"/>
      <c r="Q251" s="386" t="n"/>
      <c r="R251" s="386" t="n"/>
      <c r="S251" s="386" t="n"/>
      <c r="T251" s="386" t="n"/>
      <c r="U251" s="386" t="n"/>
      <c r="V251" s="386" t="n"/>
      <c r="W251" s="386" t="n"/>
      <c r="X251" s="386" t="n"/>
      <c r="Y251" s="386" t="n"/>
      <c r="Z251" s="386" t="n"/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395" t="n"/>
      <c r="B252" s="386" t="n"/>
      <c r="C252" s="386" t="n"/>
      <c r="D252" s="386" t="n"/>
      <c r="E252" s="386" t="n"/>
      <c r="F252" s="386" t="n"/>
      <c r="G252" s="386" t="n"/>
      <c r="H252" s="386" t="n"/>
      <c r="I252" s="386" t="n"/>
      <c r="J252" s="386" t="n"/>
      <c r="K252" s="386" t="n"/>
      <c r="L252" s="386" t="n"/>
      <c r="M252" s="386" t="n"/>
      <c r="N252" s="400" t="n"/>
      <c r="O252" s="386" t="n"/>
      <c r="P252" s="386" t="n"/>
      <c r="Q252" s="386" t="n"/>
      <c r="R252" s="386" t="n"/>
      <c r="S252" s="386" t="n"/>
      <c r="T252" s="386" t="n"/>
      <c r="U252" s="386" t="n"/>
      <c r="V252" s="386" t="n"/>
      <c r="W252" s="386" t="n"/>
      <c r="X252" s="386" t="n"/>
      <c r="Y252" s="386" t="n"/>
      <c r="Z252" s="386" t="n"/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395" t="n"/>
      <c r="B253" s="386" t="n"/>
      <c r="C253" s="386" t="n"/>
      <c r="D253" s="386" t="n"/>
      <c r="E253" s="386" t="n"/>
      <c r="F253" s="386" t="n"/>
      <c r="G253" s="386" t="n"/>
      <c r="H253" s="386" t="n"/>
      <c r="I253" s="386" t="n"/>
      <c r="J253" s="386" t="n"/>
      <c r="K253" s="386" t="n"/>
      <c r="L253" s="386" t="n"/>
      <c r="M253" s="386" t="n"/>
      <c r="N253" s="400" t="n"/>
      <c r="O253" s="386" t="n"/>
      <c r="P253" s="386" t="n"/>
      <c r="Q253" s="386" t="n"/>
      <c r="R253" s="386" t="n"/>
      <c r="S253" s="386" t="n"/>
      <c r="T253" s="386" t="n"/>
      <c r="U253" s="386" t="n"/>
      <c r="V253" s="386" t="n"/>
      <c r="W253" s="386" t="n"/>
      <c r="X253" s="386" t="n"/>
      <c r="Y253" s="386" t="n"/>
      <c r="Z253" s="386" t="n"/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395" t="n"/>
      <c r="B254" s="395" t="n"/>
      <c r="C254" s="395" t="n"/>
      <c r="D254" s="395" t="n"/>
      <c r="E254" s="395" t="n"/>
      <c r="F254" s="395" t="n"/>
      <c r="G254" s="395" t="n"/>
      <c r="H254" s="395" t="n"/>
      <c r="I254" s="395" t="n"/>
      <c r="J254" s="395" t="n"/>
      <c r="K254" s="395" t="n"/>
      <c r="L254" s="395" t="n"/>
      <c r="M254" s="395" t="n"/>
      <c r="N254" s="395" t="n"/>
      <c r="O254" s="395" t="n"/>
      <c r="P254" s="395" t="n"/>
      <c r="Q254" s="395" t="n"/>
      <c r="R254" s="395" t="n"/>
      <c r="S254" s="395" t="n"/>
      <c r="T254" s="395" t="n"/>
      <c r="U254" s="395" t="n"/>
      <c r="V254" s="395" t="n"/>
      <c r="W254" s="395" t="n"/>
      <c r="X254" s="395" t="n"/>
      <c r="Y254" s="395" t="n"/>
      <c r="Z254" s="395" t="n"/>
      <c r="AA254" s="202" t="n"/>
      <c r="AB254" s="140" t="n"/>
      <c r="AC254" s="140" t="n"/>
      <c r="AD254" s="140" t="n"/>
    </row>
    <row r="255" ht="15.75" customHeight="1" s="346">
      <c r="A255" s="365" t="n"/>
      <c r="B255" s="365" t="n"/>
      <c r="C255" s="365" t="n"/>
      <c r="D255" s="365" t="n"/>
      <c r="E255" s="365" t="n"/>
      <c r="F255" s="365" t="n"/>
      <c r="G255" s="365" t="n"/>
      <c r="H255" s="365" t="n"/>
      <c r="I255" s="365" t="n"/>
      <c r="J255" s="365" t="n"/>
      <c r="K255" s="365" t="n"/>
      <c r="L255" s="365" t="n"/>
      <c r="M255" s="365" t="n"/>
      <c r="N255" s="365" t="n"/>
      <c r="O255" s="365" t="n"/>
      <c r="P255" s="365" t="n"/>
      <c r="Q255" s="365" t="n"/>
      <c r="R255" s="365" t="n"/>
      <c r="S255" s="365" t="n"/>
      <c r="T255" s="365" t="n"/>
      <c r="U255" s="365" t="n"/>
      <c r="V255" s="365" t="n"/>
      <c r="W255" s="365" t="n"/>
      <c r="X255" s="365" t="n"/>
      <c r="Y255" s="365" t="n"/>
      <c r="Z255" s="365" t="n"/>
      <c r="AA255" s="145" t="n"/>
      <c r="AB255" s="140" t="n"/>
      <c r="AC255" s="140" t="n"/>
      <c r="AD255" s="140" t="n"/>
    </row>
    <row r="256" ht="15.75" customHeight="1" s="346">
      <c r="A256" s="366" t="n"/>
      <c r="B256" s="367" t="n"/>
      <c r="C256" s="367" t="n"/>
      <c r="D256" s="367" t="n"/>
      <c r="E256" s="367" t="n"/>
      <c r="F256" s="367" t="n"/>
      <c r="G256" s="367" t="n"/>
      <c r="H256" s="367" t="n"/>
      <c r="I256" s="367" t="n"/>
      <c r="J256" s="367" t="n"/>
      <c r="K256" s="367" t="n"/>
      <c r="L256" s="367" t="n"/>
      <c r="M256" s="367" t="n"/>
      <c r="N256" s="401" t="n"/>
      <c r="O256" s="367" t="n"/>
      <c r="P256" s="367" t="n"/>
      <c r="Q256" s="367" t="n"/>
      <c r="R256" s="367" t="n"/>
      <c r="S256" s="367" t="n"/>
      <c r="T256" s="367" t="n"/>
      <c r="U256" s="367" t="n"/>
      <c r="V256" s="367" t="n"/>
      <c r="W256" s="367" t="n"/>
      <c r="X256" s="367" t="n"/>
      <c r="Y256" s="367" t="n"/>
      <c r="Z256" s="367" t="n"/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373" t="n"/>
      <c r="B257" s="373" t="n"/>
      <c r="C257" s="373" t="n"/>
      <c r="D257" s="373" t="n"/>
      <c r="E257" s="373" t="n"/>
      <c r="F257" s="373" t="n"/>
      <c r="G257" s="373" t="n"/>
      <c r="H257" s="373" t="n"/>
      <c r="I257" s="373" t="n"/>
      <c r="J257" s="373" t="n"/>
      <c r="K257" s="373" t="n"/>
      <c r="L257" s="373" t="n"/>
      <c r="M257" s="373" t="n"/>
      <c r="N257" s="402" t="n"/>
      <c r="O257" s="373" t="n"/>
      <c r="P257" s="373" t="n"/>
      <c r="Q257" s="373" t="n"/>
      <c r="R257" s="373" t="n"/>
      <c r="S257" s="373" t="n"/>
      <c r="T257" s="373" t="n"/>
      <c r="U257" s="373" t="n"/>
      <c r="V257" s="373" t="n"/>
      <c r="W257" s="373" t="n"/>
      <c r="X257" s="373" t="n"/>
      <c r="Y257" s="373" t="n"/>
      <c r="Z257" s="373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374" t="n"/>
      <c r="B258" s="375" t="n"/>
      <c r="C258" s="375" t="n"/>
      <c r="D258" s="375" t="n"/>
      <c r="E258" s="375" t="n"/>
      <c r="F258" s="375" t="n"/>
      <c r="G258" s="375" t="n"/>
      <c r="H258" s="375" t="n"/>
      <c r="I258" s="375" t="n"/>
      <c r="J258" s="375" t="n"/>
      <c r="K258" s="375" t="n"/>
      <c r="L258" s="375" t="n"/>
      <c r="M258" s="375" t="n"/>
      <c r="N258" s="375" t="n"/>
      <c r="O258" s="375" t="n"/>
      <c r="P258" s="375" t="n"/>
      <c r="Q258" s="375" t="n"/>
      <c r="R258" s="375" t="n"/>
      <c r="S258" s="375" t="n"/>
      <c r="T258" s="375" t="n"/>
      <c r="U258" s="375" t="n"/>
      <c r="V258" s="375" t="n"/>
      <c r="W258" s="375" t="n"/>
      <c r="X258" s="375" t="n"/>
      <c r="Y258" s="375" t="n"/>
      <c r="Z258" s="375" t="n"/>
      <c r="AA258" s="153" t="n"/>
      <c r="AB258" s="140" t="n"/>
      <c r="AC258" s="140" t="n"/>
      <c r="AD258" s="140" t="n"/>
    </row>
    <row r="259" ht="15.75" customHeight="1" s="346">
      <c r="A259" s="374" t="n"/>
      <c r="B259" s="376" t="n"/>
      <c r="C259" s="376" t="n"/>
      <c r="D259" s="376" t="n"/>
      <c r="E259" s="376" t="n"/>
      <c r="F259" s="376" t="n"/>
      <c r="G259" s="376" t="n"/>
      <c r="H259" s="376" t="n"/>
      <c r="I259" s="376" t="n"/>
      <c r="J259" s="376" t="n"/>
      <c r="K259" s="376" t="n"/>
      <c r="L259" s="376" t="n"/>
      <c r="M259" s="376" t="n"/>
      <c r="N259" s="376" t="n"/>
      <c r="O259" s="376" t="n"/>
      <c r="P259" s="376" t="n"/>
      <c r="Q259" s="376" t="n"/>
      <c r="R259" s="376" t="n"/>
      <c r="S259" s="376" t="n"/>
      <c r="T259" s="376" t="n"/>
      <c r="U259" s="376" t="n"/>
      <c r="V259" s="376" t="n"/>
      <c r="W259" s="376" t="n"/>
      <c r="X259" s="376" t="n"/>
      <c r="Y259" s="376" t="n"/>
      <c r="Z259" s="376" t="n"/>
      <c r="AA259" s="203" t="n"/>
      <c r="AB259" s="140" t="n"/>
      <c r="AC259" s="140" t="n"/>
      <c r="AD259" s="140" t="n"/>
    </row>
    <row r="260" ht="15.75" customHeight="1" s="346">
      <c r="A260" s="395" t="n"/>
      <c r="B260" s="381" t="n"/>
      <c r="C260" s="381" t="n"/>
      <c r="D260" s="381" t="n"/>
      <c r="E260" s="381" t="n"/>
      <c r="F260" s="381" t="n"/>
      <c r="G260" s="381" t="n"/>
      <c r="H260" s="381" t="n"/>
      <c r="I260" s="381" t="n"/>
      <c r="J260" s="381" t="n"/>
      <c r="K260" s="381" t="n"/>
      <c r="L260" s="381" t="n"/>
      <c r="M260" s="381" t="n"/>
      <c r="N260" s="400" t="n"/>
      <c r="O260" s="381" t="n"/>
      <c r="P260" s="381" t="n"/>
      <c r="Q260" s="381" t="n"/>
      <c r="R260" s="381" t="n"/>
      <c r="S260" s="381" t="n"/>
      <c r="T260" s="381" t="n"/>
      <c r="U260" s="381" t="n"/>
      <c r="V260" s="381" t="n"/>
      <c r="W260" s="381" t="n"/>
      <c r="X260" s="381" t="n"/>
      <c r="Y260" s="381" t="n"/>
      <c r="Z260" s="381" t="n"/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395" t="n"/>
      <c r="B261" s="386" t="n"/>
      <c r="C261" s="386" t="n"/>
      <c r="D261" s="386" t="n"/>
      <c r="E261" s="386" t="n"/>
      <c r="F261" s="386" t="n"/>
      <c r="G261" s="386" t="n"/>
      <c r="H261" s="386" t="n"/>
      <c r="I261" s="386" t="n"/>
      <c r="J261" s="386" t="n"/>
      <c r="K261" s="386" t="n"/>
      <c r="L261" s="386" t="n"/>
      <c r="M261" s="386" t="n"/>
      <c r="N261" s="400" t="n"/>
      <c r="O261" s="386" t="n"/>
      <c r="P261" s="386" t="n"/>
      <c r="Q261" s="386" t="n"/>
      <c r="R261" s="386" t="n"/>
      <c r="S261" s="386" t="n"/>
      <c r="T261" s="386" t="n"/>
      <c r="U261" s="386" t="n"/>
      <c r="V261" s="386" t="n"/>
      <c r="W261" s="386" t="n"/>
      <c r="X261" s="386" t="n"/>
      <c r="Y261" s="386" t="n"/>
      <c r="Z261" s="386" t="n"/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395" t="n"/>
      <c r="B262" s="386" t="n"/>
      <c r="C262" s="386" t="n"/>
      <c r="D262" s="386" t="n"/>
      <c r="E262" s="386" t="n"/>
      <c r="F262" s="386" t="n"/>
      <c r="G262" s="386" t="n"/>
      <c r="H262" s="386" t="n"/>
      <c r="I262" s="386" t="n"/>
      <c r="J262" s="386" t="n"/>
      <c r="K262" s="386" t="n"/>
      <c r="L262" s="386" t="n"/>
      <c r="M262" s="386" t="n"/>
      <c r="N262" s="400" t="n"/>
      <c r="O262" s="386" t="n"/>
      <c r="P262" s="386" t="n"/>
      <c r="Q262" s="386" t="n"/>
      <c r="R262" s="386" t="n"/>
      <c r="S262" s="386" t="n"/>
      <c r="T262" s="386" t="n"/>
      <c r="U262" s="386" t="n"/>
      <c r="V262" s="386" t="n"/>
      <c r="W262" s="386" t="n"/>
      <c r="X262" s="386" t="n"/>
      <c r="Y262" s="386" t="n"/>
      <c r="Z262" s="386" t="n"/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395" t="n"/>
      <c r="B263" s="386" t="n"/>
      <c r="C263" s="386" t="n"/>
      <c r="D263" s="386" t="n"/>
      <c r="E263" s="386" t="n"/>
      <c r="F263" s="386" t="n"/>
      <c r="G263" s="386" t="n"/>
      <c r="H263" s="386" t="n"/>
      <c r="I263" s="386" t="n"/>
      <c r="J263" s="386" t="n"/>
      <c r="K263" s="386" t="n"/>
      <c r="L263" s="386" t="n"/>
      <c r="M263" s="386" t="n"/>
      <c r="N263" s="400" t="n"/>
      <c r="O263" s="386" t="n"/>
      <c r="P263" s="386" t="n"/>
      <c r="Q263" s="386" t="n"/>
      <c r="R263" s="386" t="n"/>
      <c r="S263" s="386" t="n"/>
      <c r="T263" s="386" t="n"/>
      <c r="U263" s="386" t="n"/>
      <c r="V263" s="386" t="n"/>
      <c r="W263" s="386" t="n"/>
      <c r="X263" s="386" t="n"/>
      <c r="Y263" s="386" t="n"/>
      <c r="Z263" s="386" t="n"/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395" t="n"/>
      <c r="B264" s="386" t="n"/>
      <c r="C264" s="386" t="n"/>
      <c r="D264" s="386" t="n"/>
      <c r="E264" s="386" t="n"/>
      <c r="F264" s="386" t="n"/>
      <c r="G264" s="386" t="n"/>
      <c r="H264" s="386" t="n"/>
      <c r="I264" s="386" t="n"/>
      <c r="J264" s="386" t="n"/>
      <c r="K264" s="386" t="n"/>
      <c r="L264" s="386" t="n"/>
      <c r="M264" s="386" t="n"/>
      <c r="N264" s="400" t="n"/>
      <c r="O264" s="386" t="n"/>
      <c r="P264" s="386" t="n"/>
      <c r="Q264" s="386" t="n"/>
      <c r="R264" s="386" t="n"/>
      <c r="S264" s="386" t="n"/>
      <c r="T264" s="386" t="n"/>
      <c r="U264" s="386" t="n"/>
      <c r="V264" s="386" t="n"/>
      <c r="W264" s="386" t="n"/>
      <c r="X264" s="386" t="n"/>
      <c r="Y264" s="386" t="n"/>
      <c r="Z264" s="386" t="n"/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395" t="n"/>
      <c r="B265" s="386" t="n"/>
      <c r="C265" s="386" t="n"/>
      <c r="D265" s="386" t="n"/>
      <c r="E265" s="386" t="n"/>
      <c r="F265" s="386" t="n"/>
      <c r="G265" s="386" t="n"/>
      <c r="H265" s="386" t="n"/>
      <c r="I265" s="386" t="n"/>
      <c r="J265" s="386" t="n"/>
      <c r="K265" s="386" t="n"/>
      <c r="L265" s="386" t="n"/>
      <c r="M265" s="386" t="n"/>
      <c r="N265" s="400" t="n"/>
      <c r="O265" s="386" t="n"/>
      <c r="P265" s="386" t="n"/>
      <c r="Q265" s="386" t="n"/>
      <c r="R265" s="386" t="n"/>
      <c r="S265" s="386" t="n"/>
      <c r="T265" s="386" t="n"/>
      <c r="U265" s="386" t="n"/>
      <c r="V265" s="386" t="n"/>
      <c r="W265" s="386" t="n"/>
      <c r="X265" s="386" t="n"/>
      <c r="Y265" s="386" t="n"/>
      <c r="Z265" s="386" t="n"/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395" t="n"/>
      <c r="B266" s="395" t="n"/>
      <c r="C266" s="395" t="n"/>
      <c r="D266" s="395" t="n"/>
      <c r="E266" s="395" t="n"/>
      <c r="F266" s="395" t="n"/>
      <c r="G266" s="395" t="n"/>
      <c r="H266" s="395" t="n"/>
      <c r="I266" s="395" t="n"/>
      <c r="J266" s="395" t="n"/>
      <c r="K266" s="395" t="n"/>
      <c r="L266" s="395" t="n"/>
      <c r="M266" s="395" t="n"/>
      <c r="N266" s="395" t="n"/>
      <c r="O266" s="395" t="n"/>
      <c r="P266" s="395" t="n"/>
      <c r="Q266" s="395" t="n"/>
      <c r="R266" s="395" t="n"/>
      <c r="S266" s="395" t="n"/>
      <c r="T266" s="395" t="n"/>
      <c r="U266" s="395" t="n"/>
      <c r="V266" s="395" t="n"/>
      <c r="W266" s="395" t="n"/>
      <c r="X266" s="395" t="n"/>
      <c r="Y266" s="395" t="n"/>
      <c r="Z266" s="395" t="n"/>
      <c r="AA266" s="202" t="n"/>
      <c r="AB266" s="140" t="n"/>
      <c r="AC266" s="140" t="n"/>
      <c r="AD266" s="140" t="n"/>
    </row>
    <row r="267" ht="15.75" customHeight="1" s="346">
      <c r="A267" s="365" t="n"/>
      <c r="B267" s="365" t="n"/>
      <c r="C267" s="365" t="n"/>
      <c r="D267" s="365" t="n"/>
      <c r="E267" s="365" t="n"/>
      <c r="F267" s="365" t="n"/>
      <c r="G267" s="365" t="n"/>
      <c r="H267" s="365" t="n"/>
      <c r="I267" s="365" t="n"/>
      <c r="J267" s="365" t="n"/>
      <c r="K267" s="365" t="n"/>
      <c r="L267" s="365" t="n"/>
      <c r="M267" s="365" t="n"/>
      <c r="N267" s="365" t="n"/>
      <c r="O267" s="365" t="n"/>
      <c r="P267" s="365" t="n"/>
      <c r="Q267" s="365" t="n"/>
      <c r="R267" s="365" t="n"/>
      <c r="S267" s="365" t="n"/>
      <c r="T267" s="365" t="n"/>
      <c r="U267" s="365" t="n"/>
      <c r="V267" s="365" t="n"/>
      <c r="W267" s="365" t="n"/>
      <c r="X267" s="365" t="n"/>
      <c r="Y267" s="365" t="n"/>
      <c r="Z267" s="365" t="n"/>
      <c r="AA267" s="145" t="n"/>
      <c r="AB267" s="140" t="n"/>
      <c r="AC267" s="140" t="n"/>
      <c r="AD267" s="140" t="n"/>
    </row>
    <row r="268" ht="15.75" customHeight="1" s="346">
      <c r="A268" s="366" t="n"/>
      <c r="B268" s="367" t="n"/>
      <c r="C268" s="367" t="n"/>
      <c r="D268" s="367" t="n"/>
      <c r="E268" s="367" t="n"/>
      <c r="F268" s="367" t="n"/>
      <c r="G268" s="367" t="n"/>
      <c r="H268" s="367" t="n"/>
      <c r="I268" s="367" t="n"/>
      <c r="J268" s="367" t="n"/>
      <c r="K268" s="367" t="n"/>
      <c r="L268" s="367" t="n"/>
      <c r="M268" s="367" t="n"/>
      <c r="N268" s="401" t="n"/>
      <c r="O268" s="367" t="n"/>
      <c r="P268" s="367" t="n"/>
      <c r="Q268" s="367" t="n"/>
      <c r="R268" s="367" t="n"/>
      <c r="S268" s="367" t="n"/>
      <c r="T268" s="367" t="n"/>
      <c r="U268" s="367" t="n"/>
      <c r="V268" s="367" t="n"/>
      <c r="W268" s="367" t="n"/>
      <c r="X268" s="367" t="n"/>
      <c r="Y268" s="367" t="n"/>
      <c r="Z268" s="367" t="n"/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373" t="n"/>
      <c r="B269" s="373" t="n"/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402" t="n"/>
      <c r="O269" s="373" t="n"/>
      <c r="P269" s="373" t="n"/>
      <c r="Q269" s="373" t="n"/>
      <c r="R269" s="373" t="n"/>
      <c r="S269" s="373" t="n"/>
      <c r="T269" s="373" t="n"/>
      <c r="U269" s="373" t="n"/>
      <c r="V269" s="373" t="n"/>
      <c r="W269" s="373" t="n"/>
      <c r="X269" s="373" t="n"/>
      <c r="Y269" s="373" t="n"/>
      <c r="Z269" s="373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374" t="n"/>
      <c r="B270" s="375" t="n"/>
      <c r="C270" s="375" t="n"/>
      <c r="D270" s="375" t="n"/>
      <c r="E270" s="375" t="n"/>
      <c r="F270" s="375" t="n"/>
      <c r="G270" s="375" t="n"/>
      <c r="H270" s="375" t="n"/>
      <c r="I270" s="375" t="n"/>
      <c r="J270" s="375" t="n"/>
      <c r="K270" s="375" t="n"/>
      <c r="L270" s="375" t="n"/>
      <c r="M270" s="375" t="n"/>
      <c r="N270" s="375" t="n"/>
      <c r="O270" s="375" t="n"/>
      <c r="P270" s="375" t="n"/>
      <c r="Q270" s="375" t="n"/>
      <c r="R270" s="375" t="n"/>
      <c r="S270" s="375" t="n"/>
      <c r="T270" s="375" t="n"/>
      <c r="U270" s="375" t="n"/>
      <c r="V270" s="375" t="n"/>
      <c r="W270" s="375" t="n"/>
      <c r="X270" s="375" t="n"/>
      <c r="Y270" s="375" t="n"/>
      <c r="Z270" s="375" t="n"/>
      <c r="AA270" s="153" t="n"/>
      <c r="AB270" s="140" t="n"/>
      <c r="AC270" s="140" t="n"/>
      <c r="AD270" s="140" t="n"/>
    </row>
    <row r="271" ht="15.75" customHeight="1" s="346">
      <c r="A271" s="374" t="n"/>
      <c r="B271" s="376" t="n"/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376" t="n"/>
      <c r="P271" s="376" t="n"/>
      <c r="Q271" s="376" t="n"/>
      <c r="R271" s="376" t="n"/>
      <c r="S271" s="376" t="n"/>
      <c r="T271" s="376" t="n"/>
      <c r="U271" s="376" t="n"/>
      <c r="V271" s="376" t="n"/>
      <c r="W271" s="376" t="n"/>
      <c r="X271" s="376" t="n"/>
      <c r="Y271" s="376" t="n"/>
      <c r="Z271" s="376" t="n"/>
      <c r="AA271" s="203" t="n"/>
      <c r="AB271" s="140" t="n"/>
      <c r="AC271" s="140" t="n"/>
      <c r="AD271" s="140" t="n"/>
    </row>
    <row r="272" ht="15.75" customHeight="1" s="346">
      <c r="A272" s="395" t="n"/>
      <c r="B272" s="381" t="n"/>
      <c r="C272" s="381" t="n"/>
      <c r="D272" s="381" t="n"/>
      <c r="E272" s="381" t="n"/>
      <c r="F272" s="381" t="n"/>
      <c r="G272" s="381" t="n"/>
      <c r="H272" s="381" t="n"/>
      <c r="I272" s="381" t="n"/>
      <c r="J272" s="381" t="n"/>
      <c r="K272" s="381" t="n"/>
      <c r="L272" s="381" t="n"/>
      <c r="M272" s="381" t="n"/>
      <c r="N272" s="400" t="n"/>
      <c r="O272" s="381" t="n"/>
      <c r="P272" s="381" t="n"/>
      <c r="Q272" s="381" t="n"/>
      <c r="R272" s="381" t="n"/>
      <c r="S272" s="381" t="n"/>
      <c r="T272" s="381" t="n"/>
      <c r="U272" s="381" t="n"/>
      <c r="V272" s="381" t="n"/>
      <c r="W272" s="381" t="n"/>
      <c r="X272" s="381" t="n"/>
      <c r="Y272" s="381" t="n"/>
      <c r="Z272" s="381" t="n"/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395" t="n"/>
      <c r="B273" s="386" t="n"/>
      <c r="C273" s="386" t="n"/>
      <c r="D273" s="386" t="n"/>
      <c r="E273" s="386" t="n"/>
      <c r="F273" s="386" t="n"/>
      <c r="G273" s="386" t="n"/>
      <c r="H273" s="386" t="n"/>
      <c r="I273" s="386" t="n"/>
      <c r="J273" s="386" t="n"/>
      <c r="K273" s="386" t="n"/>
      <c r="L273" s="386" t="n"/>
      <c r="M273" s="386" t="n"/>
      <c r="N273" s="400" t="n"/>
      <c r="O273" s="386" t="n"/>
      <c r="P273" s="386" t="n"/>
      <c r="Q273" s="386" t="n"/>
      <c r="R273" s="386" t="n"/>
      <c r="S273" s="386" t="n"/>
      <c r="T273" s="386" t="n"/>
      <c r="U273" s="386" t="n"/>
      <c r="V273" s="386" t="n"/>
      <c r="W273" s="386" t="n"/>
      <c r="X273" s="386" t="n"/>
      <c r="Y273" s="386" t="n"/>
      <c r="Z273" s="386" t="n"/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395" t="n"/>
      <c r="B274" s="386" t="n"/>
      <c r="C274" s="386" t="n"/>
      <c r="D274" s="386" t="n"/>
      <c r="E274" s="386" t="n"/>
      <c r="F274" s="386" t="n"/>
      <c r="G274" s="386" t="n"/>
      <c r="H274" s="386" t="n"/>
      <c r="I274" s="386" t="n"/>
      <c r="J274" s="386" t="n"/>
      <c r="K274" s="386" t="n"/>
      <c r="L274" s="386" t="n"/>
      <c r="M274" s="386" t="n"/>
      <c r="N274" s="400" t="n"/>
      <c r="O274" s="386" t="n"/>
      <c r="P274" s="386" t="n"/>
      <c r="Q274" s="386" t="n"/>
      <c r="R274" s="386" t="n"/>
      <c r="S274" s="386" t="n"/>
      <c r="T274" s="386" t="n"/>
      <c r="U274" s="386" t="n"/>
      <c r="V274" s="386" t="n"/>
      <c r="W274" s="386" t="n"/>
      <c r="X274" s="386" t="n"/>
      <c r="Y274" s="386" t="n"/>
      <c r="Z274" s="386" t="n"/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395" t="n"/>
      <c r="B275" s="386" t="n"/>
      <c r="C275" s="386" t="n"/>
      <c r="D275" s="386" t="n"/>
      <c r="E275" s="386" t="n"/>
      <c r="F275" s="386" t="n"/>
      <c r="G275" s="386" t="n"/>
      <c r="H275" s="386" t="n"/>
      <c r="I275" s="386" t="n"/>
      <c r="J275" s="386" t="n"/>
      <c r="K275" s="386" t="n"/>
      <c r="L275" s="386" t="n"/>
      <c r="M275" s="386" t="n"/>
      <c r="N275" s="400" t="n"/>
      <c r="O275" s="386" t="n"/>
      <c r="P275" s="386" t="n"/>
      <c r="Q275" s="386" t="n"/>
      <c r="R275" s="386" t="n"/>
      <c r="S275" s="386" t="n"/>
      <c r="T275" s="386" t="n"/>
      <c r="U275" s="386" t="n"/>
      <c r="V275" s="386" t="n"/>
      <c r="W275" s="386" t="n"/>
      <c r="X275" s="386" t="n"/>
      <c r="Y275" s="386" t="n"/>
      <c r="Z275" s="386" t="n"/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395" t="n"/>
      <c r="B276" s="386" t="n"/>
      <c r="C276" s="386" t="n"/>
      <c r="D276" s="386" t="n"/>
      <c r="E276" s="386" t="n"/>
      <c r="F276" s="386" t="n"/>
      <c r="G276" s="386" t="n"/>
      <c r="H276" s="386" t="n"/>
      <c r="I276" s="386" t="n"/>
      <c r="J276" s="386" t="n"/>
      <c r="K276" s="386" t="n"/>
      <c r="L276" s="386" t="n"/>
      <c r="M276" s="386" t="n"/>
      <c r="N276" s="400" t="n"/>
      <c r="O276" s="386" t="n"/>
      <c r="P276" s="386" t="n"/>
      <c r="Q276" s="386" t="n"/>
      <c r="R276" s="386" t="n"/>
      <c r="S276" s="386" t="n"/>
      <c r="T276" s="386" t="n"/>
      <c r="U276" s="386" t="n"/>
      <c r="V276" s="386" t="n"/>
      <c r="W276" s="386" t="n"/>
      <c r="X276" s="386" t="n"/>
      <c r="Y276" s="386" t="n"/>
      <c r="Z276" s="386" t="n"/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395" t="n"/>
      <c r="B277" s="386" t="n"/>
      <c r="C277" s="386" t="n"/>
      <c r="D277" s="386" t="n"/>
      <c r="E277" s="386" t="n"/>
      <c r="F277" s="386" t="n"/>
      <c r="G277" s="386" t="n"/>
      <c r="H277" s="386" t="n"/>
      <c r="I277" s="386" t="n"/>
      <c r="J277" s="386" t="n"/>
      <c r="K277" s="386" t="n"/>
      <c r="L277" s="386" t="n"/>
      <c r="M277" s="386" t="n"/>
      <c r="N277" s="400" t="n"/>
      <c r="O277" s="386" t="n"/>
      <c r="P277" s="386" t="n"/>
      <c r="Q277" s="386" t="n"/>
      <c r="R277" s="386" t="n"/>
      <c r="S277" s="386" t="n"/>
      <c r="T277" s="386" t="n"/>
      <c r="U277" s="386" t="n"/>
      <c r="V277" s="386" t="n"/>
      <c r="W277" s="386" t="n"/>
      <c r="X277" s="386" t="n"/>
      <c r="Y277" s="386" t="n"/>
      <c r="Z277" s="386" t="n"/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395" t="n"/>
      <c r="B278" s="395" t="n"/>
      <c r="C278" s="395" t="n"/>
      <c r="D278" s="395" t="n"/>
      <c r="E278" s="395" t="n"/>
      <c r="F278" s="395" t="n"/>
      <c r="G278" s="395" t="n"/>
      <c r="H278" s="395" t="n"/>
      <c r="I278" s="395" t="n"/>
      <c r="J278" s="395" t="n"/>
      <c r="K278" s="395" t="n"/>
      <c r="L278" s="395" t="n"/>
      <c r="M278" s="395" t="n"/>
      <c r="N278" s="395" t="n"/>
      <c r="O278" s="395" t="n"/>
      <c r="P278" s="395" t="n"/>
      <c r="Q278" s="395" t="n"/>
      <c r="R278" s="395" t="n"/>
      <c r="S278" s="395" t="n"/>
      <c r="T278" s="395" t="n"/>
      <c r="U278" s="395" t="n"/>
      <c r="V278" s="395" t="n"/>
      <c r="W278" s="395" t="n"/>
      <c r="X278" s="395" t="n"/>
      <c r="Y278" s="395" t="n"/>
      <c r="Z278" s="395" t="n"/>
      <c r="AA278" s="202" t="n"/>
      <c r="AB278" s="140" t="n"/>
      <c r="AC278" s="140" t="n"/>
      <c r="AD278" s="140" t="n"/>
    </row>
    <row r="279" ht="15.75" customHeight="1" s="346">
      <c r="A279" s="365" t="n"/>
      <c r="B279" s="365" t="n"/>
      <c r="C279" s="365" t="n"/>
      <c r="D279" s="365" t="n"/>
      <c r="E279" s="365" t="n"/>
      <c r="F279" s="365" t="n"/>
      <c r="G279" s="365" t="n"/>
      <c r="H279" s="365" t="n"/>
      <c r="I279" s="365" t="n"/>
      <c r="J279" s="365" t="n"/>
      <c r="K279" s="365" t="n"/>
      <c r="L279" s="365" t="n"/>
      <c r="M279" s="365" t="n"/>
      <c r="N279" s="365" t="n"/>
      <c r="O279" s="365" t="n"/>
      <c r="P279" s="365" t="n"/>
      <c r="Q279" s="365" t="n"/>
      <c r="R279" s="365" t="n"/>
      <c r="S279" s="365" t="n"/>
      <c r="T279" s="365" t="n"/>
      <c r="U279" s="365" t="n"/>
      <c r="V279" s="365" t="n"/>
      <c r="W279" s="365" t="n"/>
      <c r="X279" s="365" t="n"/>
      <c r="Y279" s="365" t="n"/>
      <c r="Z279" s="365" t="n"/>
      <c r="AA279" s="145" t="n"/>
      <c r="AB279" s="140" t="n"/>
      <c r="AC279" s="140" t="n"/>
      <c r="AD279" s="140" t="n"/>
    </row>
    <row r="280" ht="15.75" customHeight="1" s="346">
      <c r="A280" s="366" t="n"/>
      <c r="B280" s="367" t="n"/>
      <c r="C280" s="367" t="n"/>
      <c r="D280" s="367" t="n"/>
      <c r="E280" s="367" t="n"/>
      <c r="F280" s="367" t="n"/>
      <c r="G280" s="367" t="n"/>
      <c r="H280" s="367" t="n"/>
      <c r="I280" s="367" t="n"/>
      <c r="J280" s="367" t="n"/>
      <c r="K280" s="367" t="n"/>
      <c r="L280" s="367" t="n"/>
      <c r="M280" s="367" t="n"/>
      <c r="N280" s="401" t="n"/>
      <c r="O280" s="367" t="n"/>
      <c r="P280" s="367" t="n"/>
      <c r="Q280" s="367" t="n"/>
      <c r="R280" s="367" t="n"/>
      <c r="S280" s="367" t="n"/>
      <c r="T280" s="367" t="n"/>
      <c r="U280" s="367" t="n"/>
      <c r="V280" s="367" t="n"/>
      <c r="W280" s="367" t="n"/>
      <c r="X280" s="367" t="n"/>
      <c r="Y280" s="367" t="n"/>
      <c r="Z280" s="367" t="n"/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373" t="n"/>
      <c r="B281" s="373" t="n"/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402" t="n"/>
      <c r="O281" s="373" t="n"/>
      <c r="P281" s="373" t="n"/>
      <c r="Q281" s="373" t="n"/>
      <c r="R281" s="373" t="n"/>
      <c r="S281" s="373" t="n"/>
      <c r="T281" s="373" t="n"/>
      <c r="U281" s="373" t="n"/>
      <c r="V281" s="373" t="n"/>
      <c r="W281" s="373" t="n"/>
      <c r="X281" s="373" t="n"/>
      <c r="Y281" s="373" t="n"/>
      <c r="Z281" s="373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374" t="n"/>
      <c r="B282" s="375" t="n"/>
      <c r="C282" s="375" t="n"/>
      <c r="D282" s="375" t="n"/>
      <c r="E282" s="375" t="n"/>
      <c r="F282" s="375" t="n"/>
      <c r="G282" s="375" t="n"/>
      <c r="H282" s="375" t="n"/>
      <c r="I282" s="375" t="n"/>
      <c r="J282" s="375" t="n"/>
      <c r="K282" s="375" t="n"/>
      <c r="L282" s="375" t="n"/>
      <c r="M282" s="375" t="n"/>
      <c r="N282" s="375" t="n"/>
      <c r="O282" s="375" t="n"/>
      <c r="P282" s="375" t="n"/>
      <c r="Q282" s="375" t="n"/>
      <c r="R282" s="375" t="n"/>
      <c r="S282" s="375" t="n"/>
      <c r="T282" s="375" t="n"/>
      <c r="U282" s="375" t="n"/>
      <c r="V282" s="375" t="n"/>
      <c r="W282" s="375" t="n"/>
      <c r="X282" s="375" t="n"/>
      <c r="Y282" s="375" t="n"/>
      <c r="Z282" s="375" t="n"/>
      <c r="AA282" s="153" t="n"/>
      <c r="AB282" s="140" t="n"/>
      <c r="AC282" s="140" t="n"/>
      <c r="AD282" s="140" t="n"/>
    </row>
    <row r="283" ht="15.75" customHeight="1" s="346">
      <c r="A283" s="374" t="n"/>
      <c r="B283" s="376" t="n"/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376" t="n"/>
      <c r="P283" s="376" t="n"/>
      <c r="Q283" s="376" t="n"/>
      <c r="R283" s="376" t="n"/>
      <c r="S283" s="376" t="n"/>
      <c r="T283" s="376" t="n"/>
      <c r="U283" s="376" t="n"/>
      <c r="V283" s="376" t="n"/>
      <c r="W283" s="376" t="n"/>
      <c r="X283" s="376" t="n"/>
      <c r="Y283" s="376" t="n"/>
      <c r="Z283" s="376" t="n"/>
      <c r="AA283" s="203" t="n"/>
      <c r="AB283" s="140" t="n"/>
      <c r="AC283" s="140" t="n"/>
      <c r="AD283" s="140" t="n"/>
    </row>
    <row r="284" ht="15.75" customHeight="1" s="346">
      <c r="A284" s="395" t="n"/>
      <c r="B284" s="381" t="n"/>
      <c r="C284" s="381" t="n"/>
      <c r="D284" s="381" t="n"/>
      <c r="E284" s="381" t="n"/>
      <c r="F284" s="381" t="n"/>
      <c r="G284" s="381" t="n"/>
      <c r="H284" s="381" t="n"/>
      <c r="I284" s="381" t="n"/>
      <c r="J284" s="381" t="n"/>
      <c r="K284" s="381" t="n"/>
      <c r="L284" s="381" t="n"/>
      <c r="M284" s="381" t="n"/>
      <c r="N284" s="400" t="n"/>
      <c r="O284" s="381" t="n"/>
      <c r="P284" s="381" t="n"/>
      <c r="Q284" s="381" t="n"/>
      <c r="R284" s="381" t="n"/>
      <c r="S284" s="381" t="n"/>
      <c r="T284" s="381" t="n"/>
      <c r="U284" s="381" t="n"/>
      <c r="V284" s="381" t="n"/>
      <c r="W284" s="381" t="n"/>
      <c r="X284" s="381" t="n"/>
      <c r="Y284" s="381" t="n"/>
      <c r="Z284" s="381" t="n"/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395" t="n"/>
      <c r="B285" s="386" t="n"/>
      <c r="C285" s="386" t="n"/>
      <c r="D285" s="386" t="n"/>
      <c r="E285" s="386" t="n"/>
      <c r="F285" s="386" t="n"/>
      <c r="G285" s="386" t="n"/>
      <c r="H285" s="386" t="n"/>
      <c r="I285" s="386" t="n"/>
      <c r="J285" s="386" t="n"/>
      <c r="K285" s="386" t="n"/>
      <c r="L285" s="386" t="n"/>
      <c r="M285" s="386" t="n"/>
      <c r="N285" s="400" t="n"/>
      <c r="O285" s="386" t="n"/>
      <c r="P285" s="386" t="n"/>
      <c r="Q285" s="386" t="n"/>
      <c r="R285" s="386" t="n"/>
      <c r="S285" s="386" t="n"/>
      <c r="T285" s="386" t="n"/>
      <c r="U285" s="386" t="n"/>
      <c r="V285" s="386" t="n"/>
      <c r="W285" s="386" t="n"/>
      <c r="X285" s="386" t="n"/>
      <c r="Y285" s="386" t="n"/>
      <c r="Z285" s="386" t="n"/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395" t="n"/>
      <c r="B286" s="386" t="n"/>
      <c r="C286" s="386" t="n"/>
      <c r="D286" s="386" t="n"/>
      <c r="E286" s="386" t="n"/>
      <c r="F286" s="386" t="n"/>
      <c r="G286" s="386" t="n"/>
      <c r="H286" s="386" t="n"/>
      <c r="I286" s="386" t="n"/>
      <c r="J286" s="386" t="n"/>
      <c r="K286" s="386" t="n"/>
      <c r="L286" s="386" t="n"/>
      <c r="M286" s="386" t="n"/>
      <c r="N286" s="400" t="n"/>
      <c r="O286" s="386" t="n"/>
      <c r="P286" s="386" t="n"/>
      <c r="Q286" s="386" t="n"/>
      <c r="R286" s="386" t="n"/>
      <c r="S286" s="386" t="n"/>
      <c r="T286" s="386" t="n"/>
      <c r="U286" s="386" t="n"/>
      <c r="V286" s="386" t="n"/>
      <c r="W286" s="386" t="n"/>
      <c r="X286" s="386" t="n"/>
      <c r="Y286" s="386" t="n"/>
      <c r="Z286" s="386" t="n"/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395" t="n"/>
      <c r="B287" s="386" t="n"/>
      <c r="C287" s="386" t="n"/>
      <c r="D287" s="386" t="n"/>
      <c r="E287" s="386" t="n"/>
      <c r="F287" s="386" t="n"/>
      <c r="G287" s="386" t="n"/>
      <c r="H287" s="386" t="n"/>
      <c r="I287" s="386" t="n"/>
      <c r="J287" s="386" t="n"/>
      <c r="K287" s="386" t="n"/>
      <c r="L287" s="386" t="n"/>
      <c r="M287" s="386" t="n"/>
      <c r="N287" s="400" t="n"/>
      <c r="O287" s="386" t="n"/>
      <c r="P287" s="386" t="n"/>
      <c r="Q287" s="386" t="n"/>
      <c r="R287" s="386" t="n"/>
      <c r="S287" s="386" t="n"/>
      <c r="T287" s="386" t="n"/>
      <c r="U287" s="386" t="n"/>
      <c r="V287" s="386" t="n"/>
      <c r="W287" s="386" t="n"/>
      <c r="X287" s="386" t="n"/>
      <c r="Y287" s="386" t="n"/>
      <c r="Z287" s="386" t="n"/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395" t="n"/>
      <c r="B288" s="386" t="n"/>
      <c r="C288" s="386" t="n"/>
      <c r="D288" s="386" t="n"/>
      <c r="E288" s="386" t="n"/>
      <c r="F288" s="386" t="n"/>
      <c r="G288" s="386" t="n"/>
      <c r="H288" s="386" t="n"/>
      <c r="I288" s="386" t="n"/>
      <c r="J288" s="386" t="n"/>
      <c r="K288" s="386" t="n"/>
      <c r="L288" s="386" t="n"/>
      <c r="M288" s="386" t="n"/>
      <c r="N288" s="400" t="n"/>
      <c r="O288" s="386" t="n"/>
      <c r="P288" s="386" t="n"/>
      <c r="Q288" s="386" t="n"/>
      <c r="R288" s="386" t="n"/>
      <c r="S288" s="386" t="n"/>
      <c r="T288" s="386" t="n"/>
      <c r="U288" s="386" t="n"/>
      <c r="V288" s="386" t="n"/>
      <c r="W288" s="386" t="n"/>
      <c r="X288" s="386" t="n"/>
      <c r="Y288" s="386" t="n"/>
      <c r="Z288" s="386" t="n"/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395" t="n"/>
      <c r="B289" s="386" t="n"/>
      <c r="C289" s="386" t="n"/>
      <c r="D289" s="386" t="n"/>
      <c r="E289" s="386" t="n"/>
      <c r="F289" s="386" t="n"/>
      <c r="G289" s="386" t="n"/>
      <c r="H289" s="386" t="n"/>
      <c r="I289" s="386" t="n"/>
      <c r="J289" s="386" t="n"/>
      <c r="K289" s="386" t="n"/>
      <c r="L289" s="386" t="n"/>
      <c r="M289" s="386" t="n"/>
      <c r="N289" s="400" t="n"/>
      <c r="O289" s="386" t="n"/>
      <c r="P289" s="386" t="n"/>
      <c r="Q289" s="386" t="n"/>
      <c r="R289" s="386" t="n"/>
      <c r="S289" s="386" t="n"/>
      <c r="T289" s="386" t="n"/>
      <c r="U289" s="386" t="n"/>
      <c r="V289" s="386" t="n"/>
      <c r="W289" s="386" t="n"/>
      <c r="X289" s="386" t="n"/>
      <c r="Y289" s="386" t="n"/>
      <c r="Z289" s="386" t="n"/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395" t="n"/>
      <c r="B290" s="395" t="n"/>
      <c r="C290" s="395" t="n"/>
      <c r="D290" s="395" t="n"/>
      <c r="E290" s="395" t="n"/>
      <c r="F290" s="395" t="n"/>
      <c r="G290" s="395" t="n"/>
      <c r="H290" s="395" t="n"/>
      <c r="I290" s="395" t="n"/>
      <c r="J290" s="395" t="n"/>
      <c r="K290" s="395" t="n"/>
      <c r="L290" s="395" t="n"/>
      <c r="M290" s="395" t="n"/>
      <c r="N290" s="395" t="n"/>
      <c r="O290" s="395" t="n"/>
      <c r="P290" s="395" t="n"/>
      <c r="Q290" s="395" t="n"/>
      <c r="R290" s="395" t="n"/>
      <c r="S290" s="395" t="n"/>
      <c r="T290" s="395" t="n"/>
      <c r="U290" s="395" t="n"/>
      <c r="V290" s="395" t="n"/>
      <c r="W290" s="395" t="n"/>
      <c r="X290" s="395" t="n"/>
      <c r="Y290" s="395" t="n"/>
      <c r="Z290" s="395" t="n"/>
      <c r="AA290" s="202" t="n"/>
      <c r="AB290" s="140" t="n"/>
      <c r="AC290" s="140" t="n"/>
      <c r="AD290" s="140" t="n"/>
    </row>
    <row r="291" ht="15.75" customHeight="1" s="346">
      <c r="A291" s="365" t="n"/>
      <c r="B291" s="365" t="n"/>
      <c r="C291" s="365" t="n"/>
      <c r="D291" s="365" t="n"/>
      <c r="E291" s="365" t="n"/>
      <c r="F291" s="365" t="n"/>
      <c r="G291" s="365" t="n"/>
      <c r="H291" s="365" t="n"/>
      <c r="I291" s="365" t="n"/>
      <c r="J291" s="365" t="n"/>
      <c r="K291" s="365" t="n"/>
      <c r="L291" s="365" t="n"/>
      <c r="M291" s="365" t="n"/>
      <c r="N291" s="365" t="n"/>
      <c r="O291" s="365" t="n"/>
      <c r="P291" s="365" t="n"/>
      <c r="Q291" s="365" t="n"/>
      <c r="R291" s="365" t="n"/>
      <c r="S291" s="365" t="n"/>
      <c r="T291" s="365" t="n"/>
      <c r="U291" s="365" t="n"/>
      <c r="V291" s="365" t="n"/>
      <c r="W291" s="365" t="n"/>
      <c r="X291" s="365" t="n"/>
      <c r="Y291" s="365" t="n"/>
      <c r="Z291" s="365" t="n"/>
      <c r="AA291" s="145" t="n"/>
      <c r="AB291" s="140" t="n"/>
      <c r="AC291" s="140" t="n"/>
      <c r="AD291" s="140" t="n"/>
    </row>
    <row r="292" ht="15.75" customHeight="1" s="346">
      <c r="A292" s="366" t="n"/>
      <c r="B292" s="367" t="n"/>
      <c r="C292" s="367" t="n"/>
      <c r="D292" s="367" t="n"/>
      <c r="E292" s="367" t="n"/>
      <c r="F292" s="367" t="n"/>
      <c r="G292" s="367" t="n"/>
      <c r="H292" s="367" t="n"/>
      <c r="I292" s="367" t="n"/>
      <c r="J292" s="367" t="n"/>
      <c r="K292" s="367" t="n"/>
      <c r="L292" s="367" t="n"/>
      <c r="M292" s="367" t="n"/>
      <c r="N292" s="401" t="n"/>
      <c r="O292" s="367" t="n"/>
      <c r="P292" s="367" t="n"/>
      <c r="Q292" s="367" t="n"/>
      <c r="R292" s="367" t="n"/>
      <c r="S292" s="367" t="n"/>
      <c r="T292" s="367" t="n"/>
      <c r="U292" s="367" t="n"/>
      <c r="V292" s="367" t="n"/>
      <c r="W292" s="367" t="n"/>
      <c r="X292" s="367" t="n"/>
      <c r="Y292" s="367" t="n"/>
      <c r="Z292" s="367" t="n"/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373" t="n"/>
      <c r="B293" s="373" t="n"/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402" t="n"/>
      <c r="O293" s="373" t="n"/>
      <c r="P293" s="373" t="n"/>
      <c r="Q293" s="373" t="n"/>
      <c r="R293" s="373" t="n"/>
      <c r="S293" s="373" t="n"/>
      <c r="T293" s="373" t="n"/>
      <c r="U293" s="373" t="n"/>
      <c r="V293" s="373" t="n"/>
      <c r="W293" s="373" t="n"/>
      <c r="X293" s="373" t="n"/>
      <c r="Y293" s="373" t="n"/>
      <c r="Z293" s="373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374" t="n"/>
      <c r="B294" s="375" t="n"/>
      <c r="C294" s="375" t="n"/>
      <c r="D294" s="375" t="n"/>
      <c r="E294" s="375" t="n"/>
      <c r="F294" s="375" t="n"/>
      <c r="G294" s="375" t="n"/>
      <c r="H294" s="375" t="n"/>
      <c r="I294" s="375" t="n"/>
      <c r="J294" s="375" t="n"/>
      <c r="K294" s="375" t="n"/>
      <c r="L294" s="375" t="n"/>
      <c r="M294" s="375" t="n"/>
      <c r="N294" s="375" t="n"/>
      <c r="O294" s="375" t="n"/>
      <c r="P294" s="375" t="n"/>
      <c r="Q294" s="375" t="n"/>
      <c r="R294" s="375" t="n"/>
      <c r="S294" s="375" t="n"/>
      <c r="T294" s="375" t="n"/>
      <c r="U294" s="375" t="n"/>
      <c r="V294" s="375" t="n"/>
      <c r="W294" s="375" t="n"/>
      <c r="X294" s="375" t="n"/>
      <c r="Y294" s="375" t="n"/>
      <c r="Z294" s="375" t="n"/>
      <c r="AA294" s="153" t="n"/>
      <c r="AB294" s="140" t="n"/>
      <c r="AC294" s="140" t="n"/>
      <c r="AD294" s="140" t="n"/>
    </row>
    <row r="295" ht="15.75" customHeight="1" s="346">
      <c r="A295" s="374" t="n"/>
      <c r="B295" s="376" t="n"/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376" t="n"/>
      <c r="P295" s="376" t="n"/>
      <c r="Q295" s="376" t="n"/>
      <c r="R295" s="376" t="n"/>
      <c r="S295" s="376" t="n"/>
      <c r="T295" s="376" t="n"/>
      <c r="U295" s="376" t="n"/>
      <c r="V295" s="376" t="n"/>
      <c r="W295" s="376" t="n"/>
      <c r="X295" s="376" t="n"/>
      <c r="Y295" s="376" t="n"/>
      <c r="Z295" s="376" t="n"/>
      <c r="AA295" s="203" t="n"/>
      <c r="AB295" s="140" t="n"/>
      <c r="AC295" s="140" t="n"/>
      <c r="AD295" s="140" t="n"/>
    </row>
    <row r="296" ht="15.75" customHeight="1" s="346">
      <c r="A296" s="395" t="n"/>
      <c r="B296" s="381" t="n"/>
      <c r="C296" s="381" t="n"/>
      <c r="D296" s="381" t="n"/>
      <c r="E296" s="381" t="n"/>
      <c r="F296" s="381" t="n"/>
      <c r="G296" s="381" t="n"/>
      <c r="H296" s="381" t="n"/>
      <c r="I296" s="381" t="n"/>
      <c r="J296" s="381" t="n"/>
      <c r="K296" s="381" t="n"/>
      <c r="L296" s="381" t="n"/>
      <c r="M296" s="381" t="n"/>
      <c r="N296" s="400" t="n"/>
      <c r="O296" s="381" t="n"/>
      <c r="P296" s="381" t="n"/>
      <c r="Q296" s="381" t="n"/>
      <c r="R296" s="381" t="n"/>
      <c r="S296" s="381" t="n"/>
      <c r="T296" s="381" t="n"/>
      <c r="U296" s="381" t="n"/>
      <c r="V296" s="381" t="n"/>
      <c r="W296" s="381" t="n"/>
      <c r="X296" s="381" t="n"/>
      <c r="Y296" s="381" t="n"/>
      <c r="Z296" s="381" t="n"/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395" t="n"/>
      <c r="B297" s="386" t="n"/>
      <c r="C297" s="386" t="n"/>
      <c r="D297" s="386" t="n"/>
      <c r="E297" s="386" t="n"/>
      <c r="F297" s="386" t="n"/>
      <c r="G297" s="386" t="n"/>
      <c r="H297" s="386" t="n"/>
      <c r="I297" s="386" t="n"/>
      <c r="J297" s="386" t="n"/>
      <c r="K297" s="386" t="n"/>
      <c r="L297" s="386" t="n"/>
      <c r="M297" s="386" t="n"/>
      <c r="N297" s="400" t="n"/>
      <c r="O297" s="386" t="n"/>
      <c r="P297" s="386" t="n"/>
      <c r="Q297" s="386" t="n"/>
      <c r="R297" s="386" t="n"/>
      <c r="S297" s="386" t="n"/>
      <c r="T297" s="386" t="n"/>
      <c r="U297" s="386" t="n"/>
      <c r="V297" s="386" t="n"/>
      <c r="W297" s="386" t="n"/>
      <c r="X297" s="386" t="n"/>
      <c r="Y297" s="386" t="n"/>
      <c r="Z297" s="386" t="n"/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395" t="n"/>
      <c r="B298" s="386" t="n"/>
      <c r="C298" s="386" t="n"/>
      <c r="D298" s="386" t="n"/>
      <c r="E298" s="386" t="n"/>
      <c r="F298" s="386" t="n"/>
      <c r="G298" s="386" t="n"/>
      <c r="H298" s="386" t="n"/>
      <c r="I298" s="386" t="n"/>
      <c r="J298" s="386" t="n"/>
      <c r="K298" s="386" t="n"/>
      <c r="L298" s="386" t="n"/>
      <c r="M298" s="386" t="n"/>
      <c r="N298" s="400" t="n"/>
      <c r="O298" s="386" t="n"/>
      <c r="P298" s="386" t="n"/>
      <c r="Q298" s="386" t="n"/>
      <c r="R298" s="386" t="n"/>
      <c r="S298" s="386" t="n"/>
      <c r="T298" s="386" t="n"/>
      <c r="U298" s="386" t="n"/>
      <c r="V298" s="386" t="n"/>
      <c r="W298" s="386" t="n"/>
      <c r="X298" s="386" t="n"/>
      <c r="Y298" s="386" t="n"/>
      <c r="Z298" s="386" t="n"/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395" t="n"/>
      <c r="B299" s="386" t="n"/>
      <c r="C299" s="386" t="n"/>
      <c r="D299" s="386" t="n"/>
      <c r="E299" s="386" t="n"/>
      <c r="F299" s="386" t="n"/>
      <c r="G299" s="386" t="n"/>
      <c r="H299" s="386" t="n"/>
      <c r="I299" s="386" t="n"/>
      <c r="J299" s="386" t="n"/>
      <c r="K299" s="386" t="n"/>
      <c r="L299" s="386" t="n"/>
      <c r="M299" s="386" t="n"/>
      <c r="N299" s="400" t="n"/>
      <c r="O299" s="386" t="n"/>
      <c r="P299" s="386" t="n"/>
      <c r="Q299" s="386" t="n"/>
      <c r="R299" s="386" t="n"/>
      <c r="S299" s="386" t="n"/>
      <c r="T299" s="386" t="n"/>
      <c r="U299" s="386" t="n"/>
      <c r="V299" s="386" t="n"/>
      <c r="W299" s="386" t="n"/>
      <c r="X299" s="386" t="n"/>
      <c r="Y299" s="386" t="n"/>
      <c r="Z299" s="386" t="n"/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395" t="n"/>
      <c r="B300" s="386" t="n"/>
      <c r="C300" s="386" t="n"/>
      <c r="D300" s="386" t="n"/>
      <c r="E300" s="386" t="n"/>
      <c r="F300" s="386" t="n"/>
      <c r="G300" s="386" t="n"/>
      <c r="H300" s="386" t="n"/>
      <c r="I300" s="386" t="n"/>
      <c r="J300" s="386" t="n"/>
      <c r="K300" s="386" t="n"/>
      <c r="L300" s="386" t="n"/>
      <c r="M300" s="386" t="n"/>
      <c r="N300" s="400" t="n"/>
      <c r="O300" s="386" t="n"/>
      <c r="P300" s="386" t="n"/>
      <c r="Q300" s="386" t="n"/>
      <c r="R300" s="386" t="n"/>
      <c r="S300" s="386" t="n"/>
      <c r="T300" s="386" t="n"/>
      <c r="U300" s="386" t="n"/>
      <c r="V300" s="386" t="n"/>
      <c r="W300" s="386" t="n"/>
      <c r="X300" s="386" t="n"/>
      <c r="Y300" s="386" t="n"/>
      <c r="Z300" s="386" t="n"/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L1:S1"/>
    <mergeCell ref="B1:I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>
        <f>"Update to: " &amp; DAY(NOW())</f>
        <v/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SUM(H9,H16,H23,H30,H37,H44)</f>
        <v/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/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/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 t="n">
        <v>794897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SUMPRODUCT(('MTD Pivot'!$A$3:$A$175=$A$15)*('MTD Pivot'!$D$2:$K$2=H2)*'MTD Pivot'!$D$3:$K$175)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 t="n">
        <v>139677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SUMPRODUCT(('MTD Pivot'!$A$3:$A$175=$A$22)*('MTD Pivot'!$D$2:$K$2=H2)*'MTD Pivot'!$D$3:$K$175)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 t="n">
        <v>51905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SUMPRODUCT(('MTD Pivot'!$A$3:$A$175=$A$29)*('MTD Pivot'!$D$2:$K$2=H2)*'MTD Pivot'!$D$3:$K$175)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 t="n">
        <v>24895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SUMPRODUCT(('MTD Pivot'!$A$3:$A$175=$A$36)*('MTD Pivot'!$D$2:$K$2=H2)*'MTD Pivot'!$D$3:$K$175)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 t="n">
        <v>699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SUMPRODUCT(('MTD Pivot'!$A$3:$A$175=$A$43)*('MTD Pivot'!$D$2:$K$2=H2)*'MTD Pivot'!$D$3:$K$175)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SUMPRODUCT(('MTD Pivot'!$A$3:$A$175=$A$44)*('MTD Pivot'!$D$2:$K$2=H2)*'MTD Pivot'!$D$3:$K$175)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>
        <f>sum(H9:H13)</f>
        <v/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>
        <f>SUMIFS('MTD Pivot'!I:I, 'MTD Pivot'!$A:$A, "Cinema_Cineplex Page", 'MTD Pivot'!$C:$C, $B9)</f>
        <v/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>
        <f>SUMIFS('MTD Pivot'!I:I, 'MTD Pivot'!$A:$A, "Cinema_Page", 'MTD Pivot'!$C:$C, $B16)</f>
        <v/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>
        <f>SUMIFS('MTD Pivot'!I:I, 'MTD Pivot'!$A:$A, "Cinema_Blog", 'MTD Pivot'!$C:$C, $B23)</f>
        <v/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>
        <f>SUMIFS('MTD Pivot'!I:I, 'MTD Pivot'!$A:$A, "Cinema_Home Page", 'MTD Pivot'!$C:$C, $B30)</f>
        <v/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>
        <f>sum(H37:H41)</f>
        <v/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>
        <f>SUMIFS('MTD Pivot'!I:I, 'MTD Pivot'!$A:$A, "Cinema_News", 'MTD Pivot'!$C:$C, $B37)</f>
        <v/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2026-10-31T09:25:53Z</dcterms:modified>
</cp:coreProperties>
</file>