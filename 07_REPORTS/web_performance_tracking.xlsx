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>
        <f>"Update to: " &amp; DAY(NOW())</f>
        <v/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/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/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f>SUMPRODUCT(('MTD Pivot'!$C$3:$C$400="Organic")*('MTD Pivot'!$D$2:$K$2=K$2)*'MTD Pivot'!$D$3:$K$400)</f>
        <v/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f>SUMPRODUCT(('MTD Pivot'!$C$3:$C$400="Paid")*('MTD Pivot'!$D$2:$K$2=K$2)*'MTD Pivot'!$D$3:$K$400)</f>
        <v/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f>'Channel Detail Flow'!L48</f>
        <v/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f>SUMPRODUCT(('MTD Pivot'!$C$3:$C$400="Direct")*('MTD Pivot'!$D$2:$K$2=K$2)*'MTD Pivot'!$D$3:$K$400)</f>
        <v/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f>'Channel Detail Flow'!L89</f>
        <v/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f>SUMPRODUCT(('MTD Pivot'!$C$3:$C$400="Referral")*('MTD Pivot'!$D$2:$K$2=K$2)*'MTD Pivot'!$D$3:$K$400)</f>
        <v/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f>'Channel Detail Flow'!L130</f>
        <v/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f>SUMPRODUCT(('MTD Pivot'!$C$3:$C$400="Others")*('MTD Pivot'!$D$2:$K$2=K$2)*'MTD Pivot'!$D$3:$K$400)</f>
        <v/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f>'Channel Detail Flow'!L172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3" t="n"/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3" t="n"/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3" t="n"/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3" t="n"/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3" t="n"/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3" t="n"/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>
        <f>"Update to: " &amp; DAY(NOW())</f>
        <v/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/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/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f>'Overall Performance'!K9</f>
        <v/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f>'Overall Performance'!K11</f>
        <v/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f>'Overall Performance'!K12</f>
        <v/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f>'Overall Performance'!K13</f>
        <v/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f>'Overall Performance'!K10</f>
        <v/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>
        <f>"Update to: " &amp; DAY(NOW())</f>
        <v/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/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/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/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>
        <f>IFERROR(REPT("█", ROUND(K6/K3*4,0)) &amp; " " &amp; TEXT(K6/K3,"0%"), "")</f>
        <v/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>
        <f>'Channel Detail Flow'!AA7</f>
        <v/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>
        <f>'Channel Detail Flow'!AA48</f>
        <v/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>
        <f>'Channel Detail Flow'!AA89</f>
        <v/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>
        <f>'Channel Detail Flow'!AA130</f>
        <v/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>
        <f>'Channel Detail Flow'!AA172</f>
        <v/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>sum(Q8,Q15:Q18,Q33,Q38:Q41,Q44:Q63,Q66:Q72)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n"/>
      <c r="B111" s="112" t="n"/>
      <c r="C111" s="112" t="n"/>
      <c r="D111" s="112" t="n"/>
      <c r="E111" s="112" t="n"/>
      <c r="F111" s="112" t="n"/>
      <c r="G111" s="112" t="n"/>
      <c r="H111" s="112" t="n"/>
      <c r="I111" s="112" t="n"/>
      <c r="J111" s="112" t="n"/>
      <c r="K111" s="112" t="n"/>
      <c r="L111" s="112" t="n"/>
      <c r="M111" s="112" t="n"/>
      <c r="N111" s="112" t="n"/>
      <c r="O111" s="112" t="n"/>
      <c r="P111" s="112" t="n"/>
      <c r="Q111" s="99" t="n"/>
      <c r="R111" s="99" t="n"/>
      <c r="S111" s="99" t="n"/>
      <c r="T111" s="99" t="n"/>
      <c r="U111" s="99" t="n"/>
      <c r="V111" s="99" t="n"/>
      <c r="W111" s="99" t="n"/>
    </row>
    <row r="112">
      <c r="A112" s="112" t="n"/>
      <c r="B112" s="112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99" t="n"/>
      <c r="R112" s="99" t="n"/>
      <c r="S112" s="99" t="n"/>
      <c r="T112" s="99" t="n"/>
      <c r="U112" s="99" t="n"/>
      <c r="V112" s="99" t="n"/>
      <c r="W112" s="99" t="n"/>
    </row>
    <row r="113">
      <c r="A113" s="112" t="n"/>
      <c r="B113" s="112" t="n"/>
      <c r="C113" s="112" t="n"/>
      <c r="D113" s="112" t="n"/>
      <c r="E113" s="112" t="n"/>
      <c r="F113" s="112" t="n"/>
      <c r="G113" s="112" t="n"/>
      <c r="H113" s="112" t="n"/>
      <c r="I113" s="112" t="n"/>
      <c r="J113" s="112" t="n"/>
      <c r="K113" s="112" t="n"/>
      <c r="L113" s="112" t="n"/>
      <c r="M113" s="112" t="n"/>
      <c r="N113" s="112" t="n"/>
      <c r="O113" s="112" t="n"/>
      <c r="P113" s="112" t="n"/>
      <c r="Q113" s="99" t="n"/>
      <c r="R113" s="99" t="n"/>
      <c r="S113" s="99" t="n"/>
      <c r="T113" s="99" t="n"/>
      <c r="U113" s="99" t="n"/>
      <c r="V113" s="99" t="n"/>
      <c r="W113" s="99" t="n"/>
    </row>
    <row r="114">
      <c r="A114" s="112" t="n"/>
      <c r="B114" s="112" t="n"/>
      <c r="C114" s="112" t="n"/>
      <c r="D114" s="112" t="n"/>
      <c r="E114" s="112" t="n"/>
      <c r="F114" s="112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99" t="n"/>
      <c r="R114" s="99" t="n"/>
      <c r="S114" s="99" t="n"/>
      <c r="T114" s="99" t="n"/>
      <c r="U114" s="99" t="n"/>
      <c r="V114" s="99" t="n"/>
      <c r="W114" s="99" t="n"/>
    </row>
    <row r="115">
      <c r="A115" s="112" t="n"/>
      <c r="B115" s="112" t="n"/>
      <c r="C115" s="112" t="n"/>
      <c r="D115" s="112" t="n"/>
      <c r="E115" s="112" t="n"/>
      <c r="F115" s="112" t="n"/>
      <c r="G115" s="112" t="n"/>
      <c r="H115" s="112" t="n"/>
      <c r="I115" s="112" t="n"/>
      <c r="J115" s="112" t="n"/>
      <c r="K115" s="112" t="n"/>
      <c r="L115" s="112" t="n"/>
      <c r="M115" s="112" t="n"/>
      <c r="N115" s="112" t="n"/>
      <c r="O115" s="112" t="n"/>
      <c r="P115" s="112" t="n"/>
      <c r="Q115" s="99" t="n"/>
      <c r="R115" s="99" t="n"/>
      <c r="S115" s="99" t="n"/>
      <c r="T115" s="99" t="n"/>
      <c r="U115" s="99" t="n"/>
      <c r="V115" s="99" t="n"/>
      <c r="W115" s="99" t="n"/>
    </row>
    <row r="116">
      <c r="A116" s="112" t="n"/>
      <c r="B116" s="112" t="n"/>
      <c r="C116" s="112" t="n"/>
      <c r="D116" s="112" t="n"/>
      <c r="E116" s="112" t="n"/>
      <c r="F116" s="112" t="n"/>
      <c r="G116" s="112" t="n"/>
      <c r="H116" s="112" t="n"/>
      <c r="I116" s="112" t="n"/>
      <c r="J116" s="112" t="n"/>
      <c r="K116" s="112" t="n"/>
      <c r="L116" s="112" t="n"/>
      <c r="M116" s="112" t="n"/>
      <c r="N116" s="112" t="n"/>
      <c r="O116" s="112" t="n"/>
      <c r="P116" s="112" t="n"/>
      <c r="Q116" s="99" t="n"/>
      <c r="R116" s="99" t="n"/>
      <c r="S116" s="99" t="n"/>
      <c r="T116" s="99" t="n"/>
      <c r="U116" s="99" t="n"/>
      <c r="V116" s="99" t="n"/>
      <c r="W116" s="99" t="n"/>
    </row>
    <row r="117">
      <c r="A117" s="112" t="n"/>
      <c r="B117" s="112" t="n"/>
      <c r="C117" s="112" t="n"/>
      <c r="D117" s="112" t="n"/>
      <c r="E117" s="112" t="n"/>
      <c r="F117" s="112" t="n"/>
      <c r="G117" s="112" t="n"/>
      <c r="H117" s="112" t="n"/>
      <c r="I117" s="112" t="n"/>
      <c r="J117" s="112" t="n"/>
      <c r="K117" s="112" t="n"/>
      <c r="L117" s="112" t="n"/>
      <c r="M117" s="112" t="n"/>
      <c r="N117" s="112" t="n"/>
      <c r="O117" s="112" t="n"/>
      <c r="P117" s="112" t="n"/>
      <c r="Q117" s="99" t="n"/>
      <c r="R117" s="99" t="n"/>
      <c r="S117" s="99" t="n"/>
      <c r="T117" s="99" t="n"/>
      <c r="U117" s="99" t="n"/>
      <c r="V117" s="99" t="n"/>
      <c r="W117" s="99" t="n"/>
    </row>
    <row r="118">
      <c r="A118" s="112" t="n"/>
      <c r="B118" s="112" t="n"/>
      <c r="C118" s="112" t="n"/>
      <c r="D118" s="112" t="n"/>
      <c r="E118" s="112" t="n"/>
      <c r="F118" s="112" t="n"/>
      <c r="G118" s="112" t="n"/>
      <c r="H118" s="112" t="n"/>
      <c r="I118" s="112" t="n"/>
      <c r="J118" s="112" t="n"/>
      <c r="K118" s="112" t="n"/>
      <c r="L118" s="112" t="n"/>
      <c r="M118" s="112" t="n"/>
      <c r="N118" s="112" t="n"/>
      <c r="O118" s="112" t="n"/>
      <c r="P118" s="112" t="n"/>
      <c r="Q118" s="99" t="n"/>
      <c r="R118" s="99" t="n"/>
      <c r="S118" s="99" t="n"/>
      <c r="T118" s="99" t="n"/>
      <c r="U118" s="99" t="n"/>
      <c r="V118" s="99" t="n"/>
      <c r="W118" s="99" t="n"/>
    </row>
    <row r="119">
      <c r="A119" s="112" t="n"/>
      <c r="B119" s="112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99" t="n"/>
      <c r="R119" s="99" t="n"/>
      <c r="S119" s="99" t="n"/>
      <c r="T119" s="99" t="n"/>
      <c r="U119" s="99" t="n"/>
      <c r="V119" s="99" t="n"/>
      <c r="W119" s="99" t="n"/>
    </row>
    <row r="120">
      <c r="A120" s="112" t="n"/>
      <c r="B120" s="112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99" t="n"/>
      <c r="R120" s="99" t="n"/>
      <c r="S120" s="99" t="n"/>
      <c r="T120" s="99" t="n"/>
      <c r="U120" s="99" t="n"/>
      <c r="V120" s="99" t="n"/>
      <c r="W120" s="99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99" t="n"/>
      <c r="R121" s="99" t="n"/>
      <c r="S121" s="99" t="n"/>
      <c r="T121" s="99" t="n"/>
      <c r="U121" s="99" t="n"/>
      <c r="V121" s="99" t="n"/>
      <c r="W121" s="99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99" t="n"/>
      <c r="R122" s="99" t="n"/>
      <c r="S122" s="99" t="n"/>
      <c r="T122" s="99" t="n"/>
      <c r="U122" s="99" t="n"/>
      <c r="V122" s="99" t="n"/>
      <c r="W122" s="99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99" t="n"/>
      <c r="R123" s="99" t="n"/>
      <c r="S123" s="99" t="n"/>
      <c r="T123" s="99" t="n"/>
      <c r="U123" s="99" t="n"/>
      <c r="V123" s="99" t="n"/>
      <c r="W123" s="99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99" t="n"/>
      <c r="R124" s="99" t="n"/>
      <c r="S124" s="99" t="n"/>
      <c r="T124" s="99" t="n"/>
      <c r="U124" s="99" t="n"/>
      <c r="V124" s="99" t="n"/>
      <c r="W124" s="99" t="n"/>
    </row>
    <row r="125">
      <c r="A125" s="112" t="n"/>
      <c r="B125" s="112" t="n"/>
      <c r="C125" s="112" t="n"/>
      <c r="D125" s="112" t="n"/>
      <c r="E125" s="112" t="n"/>
      <c r="F125" s="112" t="n"/>
      <c r="G125" s="112" t="n"/>
      <c r="H125" s="112" t="n"/>
      <c r="I125" s="112" t="n"/>
      <c r="J125" s="112" t="n"/>
      <c r="K125" s="112" t="n"/>
      <c r="L125" s="112" t="n"/>
      <c r="M125" s="112" t="n"/>
      <c r="N125" s="112" t="n"/>
      <c r="O125" s="112" t="n"/>
      <c r="P125" s="112" t="n"/>
      <c r="Q125" s="99" t="n"/>
      <c r="R125" s="99" t="n"/>
      <c r="S125" s="99" t="n"/>
      <c r="T125" s="99" t="n"/>
      <c r="U125" s="99" t="n"/>
      <c r="V125" s="99" t="n"/>
      <c r="W125" s="99" t="n"/>
    </row>
    <row r="126">
      <c r="A126" s="112" t="n"/>
      <c r="B126" s="112" t="n"/>
      <c r="C126" s="112" t="n"/>
      <c r="D126" s="112" t="n"/>
      <c r="E126" s="112" t="n"/>
      <c r="F126" s="112" t="n"/>
      <c r="G126" s="112" t="n"/>
      <c r="H126" s="112" t="n"/>
      <c r="I126" s="112" t="n"/>
      <c r="J126" s="112" t="n"/>
      <c r="K126" s="112" t="n"/>
      <c r="L126" s="112" t="n"/>
      <c r="M126" s="112" t="n"/>
      <c r="N126" s="112" t="n"/>
      <c r="O126" s="112" t="n"/>
      <c r="P126" s="112" t="n"/>
      <c r="Q126" s="99" t="n"/>
      <c r="R126" s="99" t="n"/>
      <c r="S126" s="99" t="n"/>
      <c r="T126" s="99" t="n"/>
      <c r="U126" s="99" t="n"/>
      <c r="V126" s="99" t="n"/>
      <c r="W126" s="99" t="n"/>
    </row>
    <row r="127">
      <c r="A127" s="112" t="n"/>
      <c r="B127" s="112" t="n"/>
      <c r="C127" s="112" t="n"/>
      <c r="D127" s="112" t="n"/>
      <c r="E127" s="112" t="n"/>
      <c r="F127" s="112" t="n"/>
      <c r="G127" s="112" t="n"/>
      <c r="H127" s="112" t="n"/>
      <c r="I127" s="112" t="n"/>
      <c r="J127" s="112" t="n"/>
      <c r="K127" s="112" t="n"/>
      <c r="L127" s="112" t="n"/>
      <c r="M127" s="112" t="n"/>
      <c r="N127" s="112" t="n"/>
      <c r="O127" s="112" t="n"/>
      <c r="P127" s="112" t="n"/>
      <c r="Q127" s="99" t="n"/>
      <c r="R127" s="99" t="n"/>
      <c r="S127" s="99" t="n"/>
      <c r="T127" s="99" t="n"/>
      <c r="U127" s="99" t="n"/>
      <c r="V127" s="99" t="n"/>
      <c r="W127" s="99" t="n"/>
    </row>
    <row r="128">
      <c r="A128" s="112" t="n"/>
      <c r="B128" s="112" t="n"/>
      <c r="C128" s="112" t="n"/>
      <c r="D128" s="112" t="n"/>
      <c r="E128" s="112" t="n"/>
      <c r="F128" s="112" t="n"/>
      <c r="G128" s="112" t="n"/>
      <c r="H128" s="112" t="n"/>
      <c r="I128" s="112" t="n"/>
      <c r="J128" s="112" t="n"/>
      <c r="K128" s="112" t="n"/>
      <c r="L128" s="112" t="n"/>
      <c r="M128" s="112" t="n"/>
      <c r="N128" s="112" t="n"/>
      <c r="O128" s="112" t="n"/>
      <c r="P128" s="112" t="n"/>
      <c r="Q128" s="99" t="n"/>
      <c r="R128" s="99" t="n"/>
      <c r="S128" s="99" t="n"/>
      <c r="T128" s="99" t="n"/>
      <c r="U128" s="99" t="n"/>
      <c r="V128" s="99" t="n"/>
      <c r="W128" s="99" t="n"/>
    </row>
    <row r="129">
      <c r="A129" s="112" t="n"/>
      <c r="B129" s="112" t="n"/>
      <c r="C129" s="112" t="n"/>
      <c r="D129" s="112" t="n"/>
      <c r="E129" s="112" t="n"/>
      <c r="F129" s="112" t="n"/>
      <c r="G129" s="112" t="n"/>
      <c r="H129" s="112" t="n"/>
      <c r="I129" s="112" t="n"/>
      <c r="J129" s="112" t="n"/>
      <c r="K129" s="112" t="n"/>
      <c r="L129" s="112" t="n"/>
      <c r="M129" s="112" t="n"/>
      <c r="N129" s="112" t="n"/>
      <c r="O129" s="112" t="n"/>
      <c r="P129" s="112" t="n"/>
      <c r="Q129" s="99" t="n"/>
      <c r="R129" s="99" t="n"/>
      <c r="S129" s="99" t="n"/>
      <c r="T129" s="99" t="n"/>
      <c r="U129" s="99" t="n"/>
      <c r="V129" s="99" t="n"/>
      <c r="W129" s="99" t="n"/>
    </row>
    <row r="130">
      <c r="A130" s="112" t="n"/>
      <c r="B130" s="112" t="n"/>
      <c r="C130" s="112" t="n"/>
      <c r="D130" s="112" t="n"/>
      <c r="E130" s="112" t="n"/>
      <c r="F130" s="112" t="n"/>
      <c r="G130" s="112" t="n"/>
      <c r="H130" s="112" t="n"/>
      <c r="I130" s="112" t="n"/>
      <c r="J130" s="112" t="n"/>
      <c r="K130" s="112" t="n"/>
      <c r="L130" s="112" t="n"/>
      <c r="M130" s="112" t="n"/>
      <c r="N130" s="112" t="n"/>
      <c r="O130" s="112" t="n"/>
      <c r="P130" s="112" t="n"/>
      <c r="Q130" s="99" t="n"/>
      <c r="R130" s="99" t="n"/>
      <c r="S130" s="99" t="n"/>
      <c r="T130" s="99" t="n"/>
      <c r="U130" s="99" t="n"/>
      <c r="V130" s="99" t="n"/>
      <c r="W130" s="99" t="n"/>
    </row>
    <row r="131">
      <c r="A131" s="112" t="n"/>
      <c r="B131" s="112" t="n"/>
      <c r="C131" s="112" t="n"/>
      <c r="D131" s="112" t="n"/>
      <c r="E131" s="112" t="n"/>
      <c r="F131" s="112" t="n"/>
      <c r="G131" s="112" t="n"/>
      <c r="H131" s="112" t="n"/>
      <c r="I131" s="112" t="n"/>
      <c r="J131" s="112" t="n"/>
      <c r="K131" s="112" t="n"/>
      <c r="L131" s="112" t="n"/>
      <c r="M131" s="112" t="n"/>
      <c r="N131" s="112" t="n"/>
      <c r="O131" s="112" t="n"/>
      <c r="P131" s="112" t="n"/>
      <c r="Q131" s="99" t="n"/>
      <c r="R131" s="99" t="n"/>
      <c r="S131" s="99" t="n"/>
      <c r="T131" s="99" t="n"/>
      <c r="U131" s="99" t="n"/>
      <c r="V131" s="99" t="n"/>
      <c r="W131" s="99" t="n"/>
    </row>
    <row r="132">
      <c r="A132" s="112" t="n"/>
      <c r="B132" s="112" t="n"/>
      <c r="C132" s="112" t="n"/>
      <c r="D132" s="112" t="n"/>
      <c r="E132" s="112" t="n"/>
      <c r="F132" s="112" t="n"/>
      <c r="G132" s="112" t="n"/>
      <c r="H132" s="112" t="n"/>
      <c r="I132" s="112" t="n"/>
      <c r="J132" s="112" t="n"/>
      <c r="K132" s="112" t="n"/>
      <c r="L132" s="112" t="n"/>
      <c r="M132" s="112" t="n"/>
      <c r="N132" s="112" t="n"/>
      <c r="O132" s="112" t="n"/>
      <c r="P132" s="112" t="n"/>
      <c r="Q132" s="99" t="n"/>
      <c r="R132" s="99" t="n"/>
      <c r="S132" s="99" t="n"/>
      <c r="T132" s="99" t="n"/>
      <c r="U132" s="99" t="n"/>
      <c r="V132" s="99" t="n"/>
      <c r="W132" s="99" t="n"/>
    </row>
    <row r="133">
      <c r="A133" s="112" t="n"/>
      <c r="B133" s="112" t="n"/>
      <c r="C133" s="112" t="n"/>
      <c r="D133" s="112" t="n"/>
      <c r="E133" s="112" t="n"/>
      <c r="F133" s="112" t="n"/>
      <c r="G133" s="112" t="n"/>
      <c r="H133" s="112" t="n"/>
      <c r="I133" s="112" t="n"/>
      <c r="J133" s="112" t="n"/>
      <c r="K133" s="112" t="n"/>
      <c r="L133" s="112" t="n"/>
      <c r="M133" s="112" t="n"/>
      <c r="N133" s="112" t="n"/>
      <c r="O133" s="112" t="n"/>
      <c r="P133" s="112" t="n"/>
      <c r="Q133" s="99" t="n"/>
      <c r="R133" s="99" t="n"/>
      <c r="S133" s="99" t="n"/>
      <c r="T133" s="99" t="n"/>
      <c r="U133" s="99" t="n"/>
      <c r="V133" s="99" t="n"/>
      <c r="W133" s="99" t="n"/>
    </row>
    <row r="134">
      <c r="A134" s="112" t="n"/>
      <c r="B134" s="112" t="n"/>
      <c r="C134" s="112" t="n"/>
      <c r="D134" s="112" t="n"/>
      <c r="E134" s="112" t="n"/>
      <c r="F134" s="112" t="n"/>
      <c r="G134" s="112" t="n"/>
      <c r="H134" s="112" t="n"/>
      <c r="I134" s="112" t="n"/>
      <c r="J134" s="112" t="n"/>
      <c r="K134" s="112" t="n"/>
      <c r="L134" s="112" t="n"/>
      <c r="M134" s="112" t="n"/>
      <c r="N134" s="112" t="n"/>
      <c r="O134" s="112" t="n"/>
      <c r="P134" s="112" t="n"/>
      <c r="Q134" s="99" t="n"/>
      <c r="R134" s="99" t="n"/>
      <c r="S134" s="99" t="n"/>
      <c r="T134" s="99" t="n"/>
      <c r="U134" s="99" t="n"/>
      <c r="V134" s="99" t="n"/>
      <c r="W134" s="99" t="n"/>
    </row>
    <row r="135">
      <c r="A135" s="112" t="n"/>
      <c r="B135" s="112" t="n"/>
      <c r="C135" s="112" t="n"/>
      <c r="D135" s="112" t="n"/>
      <c r="E135" s="112" t="n"/>
      <c r="F135" s="112" t="n"/>
      <c r="G135" s="112" t="n"/>
      <c r="H135" s="112" t="n"/>
      <c r="I135" s="112" t="n"/>
      <c r="J135" s="112" t="n"/>
      <c r="K135" s="112" t="n"/>
      <c r="L135" s="112" t="n"/>
      <c r="M135" s="112" t="n"/>
      <c r="N135" s="112" t="n"/>
      <c r="O135" s="112" t="n"/>
      <c r="P135" s="112" t="n"/>
      <c r="Q135" s="99" t="n"/>
      <c r="R135" s="99" t="n"/>
      <c r="S135" s="99" t="n"/>
      <c r="T135" s="99" t="n"/>
      <c r="U135" s="99" t="n"/>
      <c r="V135" s="99" t="n"/>
      <c r="W135" s="99" t="n"/>
    </row>
    <row r="136">
      <c r="A136" s="112" t="n"/>
      <c r="B136" s="112" t="n"/>
      <c r="C136" s="112" t="n"/>
      <c r="D136" s="112" t="n"/>
      <c r="E136" s="112" t="n"/>
      <c r="F136" s="112" t="n"/>
      <c r="G136" s="112" t="n"/>
      <c r="H136" s="112" t="n"/>
      <c r="I136" s="112" t="n"/>
      <c r="J136" s="112" t="n"/>
      <c r="K136" s="112" t="n"/>
      <c r="L136" s="112" t="n"/>
      <c r="M136" s="112" t="n"/>
      <c r="N136" s="112" t="n"/>
      <c r="O136" s="112" t="n"/>
      <c r="P136" s="112" t="n"/>
      <c r="Q136" s="99" t="n"/>
      <c r="R136" s="99" t="n"/>
      <c r="S136" s="99" t="n"/>
      <c r="T136" s="99" t="n"/>
      <c r="U136" s="99" t="n"/>
      <c r="V136" s="99" t="n"/>
      <c r="W136" s="99" t="n"/>
    </row>
    <row r="137">
      <c r="A137" s="112" t="n"/>
      <c r="B137" s="112" t="n"/>
      <c r="C137" s="112" t="n"/>
      <c r="D137" s="112" t="n"/>
      <c r="E137" s="112" t="n"/>
      <c r="F137" s="112" t="n"/>
      <c r="G137" s="112" t="n"/>
      <c r="H137" s="112" t="n"/>
      <c r="I137" s="112" t="n"/>
      <c r="J137" s="112" t="n"/>
      <c r="K137" s="112" t="n"/>
      <c r="L137" s="112" t="n"/>
      <c r="M137" s="112" t="n"/>
      <c r="N137" s="112" t="n"/>
      <c r="O137" s="112" t="n"/>
      <c r="P137" s="112" t="n"/>
      <c r="Q137" s="99" t="n"/>
      <c r="R137" s="99" t="n"/>
      <c r="S137" s="99" t="n"/>
      <c r="T137" s="99" t="n"/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n"/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n"/>
      <c r="B140" s="112" t="n"/>
      <c r="C140" s="112" t="n"/>
      <c r="D140" s="112" t="n"/>
      <c r="E140" s="112" t="n"/>
      <c r="F140" s="112" t="n"/>
      <c r="G140" s="112" t="n"/>
      <c r="H140" s="112" t="n"/>
      <c r="I140" s="112" t="n"/>
      <c r="J140" s="112" t="n"/>
      <c r="K140" s="112" t="n"/>
      <c r="L140" s="112" t="n"/>
      <c r="M140" s="112" t="n"/>
      <c r="N140" s="112" t="n"/>
      <c r="O140" s="112" t="n"/>
      <c r="P140" s="112" t="n"/>
      <c r="Q140" s="99" t="n"/>
      <c r="R140" s="99" t="n"/>
      <c r="S140" s="99" t="n"/>
      <c r="T140" s="99" t="n"/>
      <c r="U140" s="99" t="n"/>
      <c r="V140" s="99" t="n"/>
      <c r="W140" s="99" t="n"/>
    </row>
    <row r="141">
      <c r="A141" s="112" t="n"/>
      <c r="B141" s="112" t="n"/>
      <c r="C141" s="112" t="n"/>
      <c r="D141" s="112" t="n"/>
      <c r="E141" s="112" t="n"/>
      <c r="F141" s="112" t="n"/>
      <c r="G141" s="112" t="n"/>
      <c r="H141" s="112" t="n"/>
      <c r="I141" s="112" t="n"/>
      <c r="J141" s="112" t="n"/>
      <c r="K141" s="112" t="n"/>
      <c r="L141" s="112" t="n"/>
      <c r="M141" s="112" t="n"/>
      <c r="N141" s="112" t="n"/>
      <c r="O141" s="112" t="n"/>
      <c r="P141" s="112" t="n"/>
      <c r="Q141" s="99" t="n"/>
      <c r="R141" s="99" t="n"/>
      <c r="S141" s="99" t="n"/>
      <c r="T141" s="99" t="n"/>
      <c r="U141" s="99" t="n"/>
      <c r="V141" s="99" t="n"/>
      <c r="W141" s="99" t="n"/>
    </row>
    <row r="142">
      <c r="A142" s="112" t="n"/>
      <c r="B142" s="112" t="n"/>
      <c r="C142" s="112" t="n"/>
      <c r="D142" s="112" t="n"/>
      <c r="E142" s="112" t="n"/>
      <c r="F142" s="112" t="n"/>
      <c r="G142" s="112" t="n"/>
      <c r="H142" s="112" t="n"/>
      <c r="I142" s="112" t="n"/>
      <c r="J142" s="112" t="n"/>
      <c r="K142" s="112" t="n"/>
      <c r="L142" s="112" t="n"/>
      <c r="M142" s="112" t="n"/>
      <c r="N142" s="112" t="n"/>
      <c r="O142" s="112" t="n"/>
      <c r="P142" s="112" t="n"/>
      <c r="Q142" s="99" t="n"/>
      <c r="R142" s="99" t="n"/>
      <c r="S142" s="99" t="n"/>
      <c r="T142" s="99" t="n"/>
      <c r="U142" s="99" t="n"/>
      <c r="V142" s="99" t="n"/>
      <c r="W142" s="99" t="n"/>
    </row>
    <row r="143">
      <c r="A143" s="112" t="n"/>
      <c r="B143" s="112" t="n"/>
      <c r="C143" s="112" t="n"/>
      <c r="D143" s="112" t="n"/>
      <c r="E143" s="112" t="n"/>
      <c r="F143" s="112" t="n"/>
      <c r="G143" s="112" t="n"/>
      <c r="H143" s="112" t="n"/>
      <c r="I143" s="112" t="n"/>
      <c r="J143" s="112" t="n"/>
      <c r="K143" s="112" t="n"/>
      <c r="L143" s="112" t="n"/>
      <c r="M143" s="112" t="n"/>
      <c r="N143" s="112" t="n"/>
      <c r="O143" s="112" t="n"/>
      <c r="P143" s="112" t="n"/>
      <c r="Q143" s="99" t="n"/>
      <c r="R143" s="99" t="n"/>
      <c r="S143" s="99" t="n"/>
      <c r="T143" s="99" t="n"/>
      <c r="U143" s="99" t="n"/>
      <c r="V143" s="99" t="n"/>
      <c r="W143" s="99" t="n"/>
    </row>
    <row r="144">
      <c r="A144" s="112" t="n"/>
      <c r="B144" s="112" t="n"/>
      <c r="C144" s="112" t="n"/>
      <c r="D144" s="112" t="n"/>
      <c r="E144" s="112" t="n"/>
      <c r="F144" s="112" t="n"/>
      <c r="G144" s="112" t="n"/>
      <c r="H144" s="112" t="n"/>
      <c r="I144" s="112" t="n"/>
      <c r="J144" s="112" t="n"/>
      <c r="K144" s="112" t="n"/>
      <c r="L144" s="112" t="n"/>
      <c r="M144" s="112" t="n"/>
      <c r="N144" s="112" t="n"/>
      <c r="O144" s="112" t="n"/>
      <c r="P144" s="112" t="n"/>
      <c r="Q144" s="99" t="n"/>
      <c r="R144" s="99" t="n"/>
      <c r="S144" s="99" t="n"/>
      <c r="T144" s="99" t="n"/>
      <c r="U144" s="99" t="n"/>
      <c r="V144" s="99" t="n"/>
      <c r="W144" s="9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99" t="n"/>
      <c r="R145" s="99" t="n"/>
      <c r="S145" s="99" t="n"/>
      <c r="T145" s="99" t="n"/>
      <c r="U145" s="99" t="n"/>
      <c r="V145" s="99" t="n"/>
      <c r="W145" s="99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99" t="n"/>
      <c r="R146" s="99" t="n"/>
      <c r="S146" s="99" t="n"/>
      <c r="T146" s="99" t="n"/>
      <c r="U146" s="99" t="n"/>
      <c r="V146" s="99" t="n"/>
      <c r="W146" s="99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99" t="n"/>
      <c r="R147" s="99" t="n"/>
      <c r="S147" s="99" t="n"/>
      <c r="T147" s="99" t="n"/>
      <c r="U147" s="99" t="n"/>
      <c r="V147" s="99" t="n"/>
      <c r="W147" s="99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99" t="n"/>
      <c r="R148" s="99" t="n"/>
      <c r="S148" s="99" t="n"/>
      <c r="T148" s="99" t="n"/>
      <c r="U148" s="99" t="n"/>
      <c r="V148" s="99" t="n"/>
      <c r="W148" s="99" t="n"/>
    </row>
    <row r="149">
      <c r="A149" s="112" t="n"/>
      <c r="B149" s="112" t="n"/>
      <c r="C149" s="112" t="n"/>
      <c r="D149" s="112" t="n"/>
      <c r="E149" s="112" t="n"/>
      <c r="F149" s="112" t="n"/>
      <c r="G149" s="112" t="n"/>
      <c r="H149" s="112" t="n"/>
      <c r="I149" s="112" t="n"/>
      <c r="J149" s="112" t="n"/>
      <c r="K149" s="112" t="n"/>
      <c r="L149" s="112" t="n"/>
      <c r="M149" s="112" t="n"/>
      <c r="N149" s="112" t="n"/>
      <c r="O149" s="112" t="n"/>
      <c r="P149" s="112" t="n"/>
      <c r="Q149" s="99" t="n"/>
      <c r="R149" s="99" t="n"/>
      <c r="S149" s="99" t="n"/>
      <c r="T149" s="99" t="n"/>
      <c r="U149" s="99" t="n"/>
      <c r="V149" s="99" t="n"/>
      <c r="W149" s="99" t="n"/>
    </row>
    <row r="150">
      <c r="A150" s="112" t="n"/>
      <c r="B150" s="112" t="n"/>
      <c r="C150" s="112" t="n"/>
      <c r="D150" s="112" t="n"/>
      <c r="E150" s="112" t="n"/>
      <c r="F150" s="112" t="n"/>
      <c r="G150" s="112" t="n"/>
      <c r="H150" s="112" t="n"/>
      <c r="I150" s="112" t="n"/>
      <c r="J150" s="112" t="n"/>
      <c r="K150" s="112" t="n"/>
      <c r="L150" s="112" t="n"/>
      <c r="M150" s="112" t="n"/>
      <c r="N150" s="112" t="n"/>
      <c r="O150" s="112" t="n"/>
      <c r="P150" s="112" t="n"/>
      <c r="Q150" s="99" t="n"/>
      <c r="R150" s="99" t="n"/>
      <c r="S150" s="99" t="n"/>
      <c r="T150" s="99" t="n"/>
      <c r="U150" s="99" t="n"/>
      <c r="V150" s="99" t="n"/>
      <c r="W150" s="99" t="n"/>
    </row>
    <row r="151">
      <c r="A151" s="112" t="n"/>
      <c r="B151" s="112" t="n"/>
      <c r="C151" s="112" t="n"/>
      <c r="D151" s="112" t="n"/>
      <c r="E151" s="112" t="n"/>
      <c r="F151" s="112" t="n"/>
      <c r="G151" s="112" t="n"/>
      <c r="H151" s="112" t="n"/>
      <c r="I151" s="112" t="n"/>
      <c r="J151" s="112" t="n"/>
      <c r="K151" s="112" t="n"/>
      <c r="L151" s="112" t="n"/>
      <c r="M151" s="112" t="n"/>
      <c r="N151" s="112" t="n"/>
      <c r="O151" s="112" t="n"/>
      <c r="P151" s="112" t="n"/>
      <c r="Q151" s="99" t="n"/>
      <c r="R151" s="99" t="n"/>
      <c r="S151" s="99" t="n"/>
      <c r="T151" s="99" t="n"/>
      <c r="U151" s="99" t="n"/>
      <c r="V151" s="99" t="n"/>
      <c r="W151" s="99" t="n"/>
    </row>
    <row r="152">
      <c r="A152" s="112" t="n"/>
      <c r="B152" s="112" t="n"/>
      <c r="C152" s="112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99" t="n"/>
      <c r="R152" s="99" t="n"/>
      <c r="S152" s="99" t="n"/>
      <c r="T152" s="99" t="n"/>
      <c r="U152" s="99" t="n"/>
      <c r="V152" s="99" t="n"/>
      <c r="W152" s="99" t="n"/>
    </row>
    <row r="153">
      <c r="A153" s="112" t="n"/>
      <c r="B153" s="112" t="n"/>
      <c r="C153" s="112" t="n"/>
      <c r="D153" s="112" t="n"/>
      <c r="E153" s="112" t="n"/>
      <c r="F153" s="112" t="n"/>
      <c r="G153" s="112" t="n"/>
      <c r="H153" s="112" t="n"/>
      <c r="I153" s="112" t="n"/>
      <c r="J153" s="112" t="n"/>
      <c r="K153" s="112" t="n"/>
      <c r="L153" s="112" t="n"/>
      <c r="M153" s="112" t="n"/>
      <c r="N153" s="112" t="n"/>
      <c r="O153" s="112" t="n"/>
      <c r="P153" s="112" t="n"/>
      <c r="Q153" s="99" t="n"/>
      <c r="R153" s="99" t="n"/>
      <c r="S153" s="99" t="n"/>
      <c r="T153" s="99" t="n"/>
      <c r="U153" s="99" t="n"/>
      <c r="V153" s="99" t="n"/>
      <c r="W153" s="99" t="n"/>
    </row>
    <row r="154">
      <c r="A154" s="112" t="n"/>
      <c r="B154" s="112" t="n"/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112" t="n"/>
      <c r="L154" s="112" t="n"/>
      <c r="M154" s="112" t="n"/>
      <c r="N154" s="112" t="n"/>
      <c r="O154" s="112" t="n"/>
      <c r="P154" s="112" t="n"/>
      <c r="Q154" s="99" t="n"/>
      <c r="R154" s="99" t="n"/>
      <c r="S154" s="99" t="n"/>
      <c r="T154" s="99" t="n"/>
      <c r="U154" s="99" t="n"/>
      <c r="V154" s="99" t="n"/>
      <c r="W154" s="99" t="n"/>
    </row>
    <row r="155">
      <c r="A155" s="112" t="n"/>
      <c r="B155" s="112" t="n"/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112" t="n"/>
      <c r="L155" s="112" t="n"/>
      <c r="M155" s="112" t="n"/>
      <c r="N155" s="112" t="n"/>
      <c r="O155" s="112" t="n"/>
      <c r="P155" s="112" t="n"/>
      <c r="Q155" s="99" t="n"/>
      <c r="R155" s="99" t="n"/>
      <c r="S155" s="99" t="n"/>
      <c r="T155" s="99" t="n"/>
      <c r="U155" s="99" t="n"/>
      <c r="V155" s="99" t="n"/>
      <c r="W155" s="99" t="n"/>
    </row>
    <row r="156">
      <c r="A156" s="112" t="n"/>
      <c r="B156" s="112" t="n"/>
      <c r="C156" s="112" t="n"/>
      <c r="D156" s="112" t="n"/>
      <c r="E156" s="112" t="n"/>
      <c r="F156" s="112" t="n"/>
      <c r="G156" s="112" t="n"/>
      <c r="H156" s="112" t="n"/>
      <c r="I156" s="112" t="n"/>
      <c r="J156" s="112" t="n"/>
      <c r="K156" s="112" t="n"/>
      <c r="L156" s="112" t="n"/>
      <c r="M156" s="112" t="n"/>
      <c r="N156" s="112" t="n"/>
      <c r="O156" s="112" t="n"/>
      <c r="P156" s="112" t="n"/>
      <c r="Q156" s="99" t="n"/>
      <c r="R156" s="99" t="n"/>
      <c r="S156" s="99" t="n"/>
      <c r="T156" s="99" t="n"/>
      <c r="U156" s="99" t="n"/>
      <c r="V156" s="99" t="n"/>
      <c r="W156" s="99" t="n"/>
    </row>
    <row r="157">
      <c r="A157" s="112" t="n"/>
      <c r="B157" s="112" t="n"/>
      <c r="C157" s="112" t="n"/>
      <c r="D157" s="112" t="n"/>
      <c r="E157" s="112" t="n"/>
      <c r="F157" s="112" t="n"/>
      <c r="G157" s="112" t="n"/>
      <c r="H157" s="112" t="n"/>
      <c r="I157" s="112" t="n"/>
      <c r="J157" s="112" t="n"/>
      <c r="K157" s="112" t="n"/>
      <c r="L157" s="112" t="n"/>
      <c r="M157" s="112" t="n"/>
      <c r="N157" s="112" t="n"/>
      <c r="O157" s="112" t="n"/>
      <c r="P157" s="112" t="n"/>
      <c r="Q157" s="99" t="n"/>
      <c r="R157" s="99" t="n"/>
      <c r="S157" s="99" t="n"/>
      <c r="T157" s="99" t="n"/>
      <c r="U157" s="99" t="n"/>
      <c r="V157" s="99" t="n"/>
      <c r="W157" s="99" t="n"/>
    </row>
    <row r="158">
      <c r="A158" s="112" t="n"/>
      <c r="B158" s="112" t="n"/>
      <c r="C158" s="112" t="n"/>
      <c r="D158" s="112" t="n"/>
      <c r="E158" s="112" t="n"/>
      <c r="F158" s="112" t="n"/>
      <c r="G158" s="112" t="n"/>
      <c r="H158" s="112" t="n"/>
      <c r="I158" s="112" t="n"/>
      <c r="J158" s="112" t="n"/>
      <c r="K158" s="112" t="n"/>
      <c r="L158" s="112" t="n"/>
      <c r="M158" s="112" t="n"/>
      <c r="N158" s="112" t="n"/>
      <c r="O158" s="112" t="n"/>
      <c r="P158" s="112" t="n"/>
      <c r="Q158" s="99" t="n"/>
      <c r="R158" s="99" t="n"/>
      <c r="S158" s="99" t="n"/>
      <c r="T158" s="99" t="n"/>
      <c r="U158" s="99" t="n"/>
      <c r="V158" s="99" t="n"/>
      <c r="W158" s="99" t="n"/>
    </row>
    <row r="159">
      <c r="A159" s="112" t="n"/>
      <c r="B159" s="112" t="n"/>
      <c r="C159" s="112" t="n"/>
      <c r="D159" s="112" t="n"/>
      <c r="E159" s="112" t="n"/>
      <c r="F159" s="112" t="n"/>
      <c r="G159" s="112" t="n"/>
      <c r="H159" s="112" t="n"/>
      <c r="I159" s="112" t="n"/>
      <c r="J159" s="112" t="n"/>
      <c r="K159" s="112" t="n"/>
      <c r="L159" s="112" t="n"/>
      <c r="M159" s="112" t="n"/>
      <c r="N159" s="112" t="n"/>
      <c r="O159" s="112" t="n"/>
      <c r="P159" s="112" t="n"/>
      <c r="Q159" s="99" t="n"/>
      <c r="R159" s="99" t="n"/>
      <c r="S159" s="99" t="n"/>
      <c r="T159" s="99" t="n"/>
      <c r="U159" s="99" t="n"/>
      <c r="V159" s="99" t="n"/>
      <c r="W159" s="99" t="n"/>
    </row>
    <row r="160">
      <c r="A160" s="112" t="n"/>
      <c r="B160" s="112" t="n"/>
      <c r="C160" s="112" t="n"/>
      <c r="D160" s="112" t="n"/>
      <c r="E160" s="112" t="n"/>
      <c r="F160" s="112" t="n"/>
      <c r="G160" s="112" t="n"/>
      <c r="H160" s="112" t="n"/>
      <c r="I160" s="112" t="n"/>
      <c r="J160" s="112" t="n"/>
      <c r="K160" s="112" t="n"/>
      <c r="L160" s="112" t="n"/>
      <c r="M160" s="112" t="n"/>
      <c r="N160" s="112" t="n"/>
      <c r="O160" s="112" t="n"/>
      <c r="P160" s="112" t="n"/>
      <c r="Q160" s="99" t="n"/>
      <c r="R160" s="99" t="n"/>
      <c r="S160" s="99" t="n"/>
      <c r="T160" s="99" t="n"/>
      <c r="U160" s="99" t="n"/>
      <c r="V160" s="99" t="n"/>
      <c r="W160" s="99" t="n"/>
    </row>
    <row r="161">
      <c r="A161" s="112" t="n"/>
      <c r="B161" s="112" t="n"/>
      <c r="C161" s="112" t="n"/>
      <c r="D161" s="112" t="n"/>
      <c r="E161" s="112" t="n"/>
      <c r="F161" s="112" t="n"/>
      <c r="G161" s="112" t="n"/>
      <c r="H161" s="112" t="n"/>
      <c r="I161" s="112" t="n"/>
      <c r="J161" s="112" t="n"/>
      <c r="K161" s="112" t="n"/>
      <c r="L161" s="112" t="n"/>
      <c r="M161" s="112" t="n"/>
      <c r="N161" s="112" t="n"/>
      <c r="O161" s="112" t="n"/>
      <c r="P161" s="112" t="n"/>
      <c r="Q161" s="99" t="n"/>
      <c r="R161" s="99" t="n"/>
      <c r="S161" s="99" t="n"/>
      <c r="T161" s="99" t="n"/>
      <c r="U161" s="99" t="n"/>
      <c r="V161" s="99" t="n"/>
      <c r="W161" s="99" t="n"/>
    </row>
    <row r="162">
      <c r="A162" s="112" t="n"/>
      <c r="B162" s="112" t="n"/>
      <c r="C162" s="112" t="n"/>
      <c r="D162" s="112" t="n"/>
      <c r="E162" s="112" t="n"/>
      <c r="F162" s="112" t="n"/>
      <c r="G162" s="112" t="n"/>
      <c r="H162" s="112" t="n"/>
      <c r="I162" s="112" t="n"/>
      <c r="J162" s="112" t="n"/>
      <c r="K162" s="112" t="n"/>
      <c r="L162" s="112" t="n"/>
      <c r="M162" s="112" t="n"/>
      <c r="N162" s="112" t="n"/>
      <c r="O162" s="112" t="n"/>
      <c r="P162" s="112" t="n"/>
      <c r="Q162" s="99" t="n"/>
      <c r="R162" s="99" t="n"/>
      <c r="S162" s="99" t="n"/>
      <c r="T162" s="99" t="n"/>
      <c r="U162" s="99" t="n"/>
      <c r="V162" s="99" t="n"/>
      <c r="W162" s="99" t="n"/>
    </row>
    <row r="163">
      <c r="A163" s="112" t="n"/>
      <c r="B163" s="112" t="n"/>
      <c r="C163" s="112" t="n"/>
      <c r="D163" s="112" t="n"/>
      <c r="E163" s="112" t="n"/>
      <c r="F163" s="112" t="n"/>
      <c r="G163" s="112" t="n"/>
      <c r="H163" s="112" t="n"/>
      <c r="I163" s="112" t="n"/>
      <c r="J163" s="112" t="n"/>
      <c r="K163" s="112" t="n"/>
      <c r="L163" s="112" t="n"/>
      <c r="M163" s="112" t="n"/>
      <c r="N163" s="112" t="n"/>
      <c r="O163" s="112" t="n"/>
      <c r="P163" s="112" t="n"/>
      <c r="Q163" s="99" t="n"/>
      <c r="R163" s="99" t="n"/>
      <c r="S163" s="99" t="n"/>
      <c r="T163" s="99" t="n"/>
      <c r="U163" s="99" t="n"/>
      <c r="V163" s="99" t="n"/>
      <c r="W163" s="99" t="n"/>
    </row>
    <row r="164">
      <c r="A164" s="112" t="n"/>
      <c r="B164" s="112" t="n"/>
      <c r="C164" s="112" t="n"/>
      <c r="D164" s="112" t="n"/>
      <c r="E164" s="112" t="n"/>
      <c r="F164" s="112" t="n"/>
      <c r="G164" s="112" t="n"/>
      <c r="H164" s="112" t="n"/>
      <c r="I164" s="112" t="n"/>
      <c r="J164" s="112" t="n"/>
      <c r="K164" s="112" t="n"/>
      <c r="L164" s="112" t="n"/>
      <c r="M164" s="112" t="n"/>
      <c r="N164" s="112" t="n"/>
      <c r="O164" s="112" t="n"/>
      <c r="P164" s="112" t="n"/>
      <c r="Q164" s="99" t="n"/>
      <c r="R164" s="99" t="n"/>
      <c r="S164" s="99" t="n"/>
      <c r="T164" s="99" t="n"/>
      <c r="U164" s="99" t="n"/>
      <c r="V164" s="99" t="n"/>
      <c r="W164" s="99" t="n"/>
    </row>
    <row r="165">
      <c r="A165" s="112" t="n"/>
      <c r="B165" s="112" t="n"/>
      <c r="C165" s="112" t="n"/>
      <c r="D165" s="112" t="n"/>
      <c r="E165" s="112" t="n"/>
      <c r="F165" s="112" t="n"/>
      <c r="G165" s="112" t="n"/>
      <c r="H165" s="112" t="n"/>
      <c r="I165" s="112" t="n"/>
      <c r="J165" s="112" t="n"/>
      <c r="K165" s="112" t="n"/>
      <c r="L165" s="112" t="n"/>
      <c r="M165" s="112" t="n"/>
      <c r="N165" s="112" t="n"/>
      <c r="O165" s="112" t="n"/>
      <c r="P165" s="112" t="n"/>
      <c r="Q165" s="99" t="n"/>
      <c r="R165" s="99" t="n"/>
      <c r="S165" s="99" t="n"/>
      <c r="T165" s="99" t="n"/>
      <c r="U165" s="99" t="n"/>
      <c r="V165" s="99" t="n"/>
      <c r="W165" s="99" t="n"/>
    </row>
    <row r="166">
      <c r="A166" s="112" t="n"/>
      <c r="B166" s="112" t="n"/>
      <c r="C166" s="112" t="n"/>
      <c r="D166" s="112" t="n"/>
      <c r="E166" s="112" t="n"/>
      <c r="F166" s="112" t="n"/>
      <c r="G166" s="112" t="n"/>
      <c r="H166" s="112" t="n"/>
      <c r="I166" s="112" t="n"/>
      <c r="J166" s="112" t="n"/>
      <c r="K166" s="112" t="n"/>
      <c r="L166" s="112" t="n"/>
      <c r="M166" s="112" t="n"/>
      <c r="N166" s="112" t="n"/>
      <c r="O166" s="112" t="n"/>
      <c r="P166" s="112" t="n"/>
      <c r="Q166" s="99" t="n"/>
      <c r="R166" s="99" t="n"/>
      <c r="S166" s="99" t="n"/>
      <c r="T166" s="99" t="n"/>
      <c r="U166" s="99" t="n"/>
      <c r="V166" s="99" t="n"/>
      <c r="W166" s="99" t="n"/>
    </row>
    <row r="167">
      <c r="A167" s="112" t="n"/>
      <c r="B167" s="112" t="n"/>
      <c r="C167" s="112" t="n"/>
      <c r="D167" s="112" t="n"/>
      <c r="E167" s="112" t="n"/>
      <c r="F167" s="112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12" t="n"/>
      <c r="P167" s="112" t="n"/>
      <c r="Q167" s="99" t="n"/>
      <c r="R167" s="99" t="n"/>
      <c r="S167" s="99" t="n"/>
      <c r="T167" s="99" t="n"/>
      <c r="U167" s="99" t="n"/>
      <c r="V167" s="99" t="n"/>
      <c r="W167" s="99" t="n"/>
    </row>
    <row r="168">
      <c r="A168" s="112" t="n"/>
      <c r="B168" s="112" t="n"/>
      <c r="C168" s="112" t="n"/>
      <c r="D168" s="112" t="n"/>
      <c r="E168" s="112" t="n"/>
      <c r="F168" s="112" t="n"/>
      <c r="G168" s="112" t="n"/>
      <c r="H168" s="112" t="n"/>
      <c r="I168" s="112" t="n"/>
      <c r="J168" s="112" t="n"/>
      <c r="K168" s="112" t="n"/>
      <c r="L168" s="112" t="n"/>
      <c r="M168" s="112" t="n"/>
      <c r="N168" s="112" t="n"/>
      <c r="O168" s="112" t="n"/>
      <c r="P168" s="112" t="n"/>
      <c r="Q168" s="99" t="n"/>
      <c r="R168" s="99" t="n"/>
      <c r="S168" s="99" t="n"/>
      <c r="T168" s="99" t="n"/>
      <c r="U168" s="99" t="n"/>
      <c r="V168" s="99" t="n"/>
      <c r="W168" s="99" t="n"/>
    </row>
    <row r="169">
      <c r="A169" s="112" t="n"/>
      <c r="B169" s="112" t="n"/>
      <c r="C169" s="112" t="n"/>
      <c r="D169" s="112" t="n"/>
      <c r="E169" s="112" t="n"/>
      <c r="F169" s="112" t="n"/>
      <c r="G169" s="112" t="n"/>
      <c r="H169" s="112" t="n"/>
      <c r="I169" s="112" t="n"/>
      <c r="J169" s="112" t="n"/>
      <c r="K169" s="112" t="n"/>
      <c r="L169" s="112" t="n"/>
      <c r="M169" s="112" t="n"/>
      <c r="N169" s="112" t="n"/>
      <c r="O169" s="112" t="n"/>
      <c r="P169" s="112" t="n"/>
      <c r="Q169" s="99" t="n"/>
      <c r="R169" s="99" t="n"/>
      <c r="S169" s="99" t="n"/>
      <c r="T169" s="99" t="n"/>
      <c r="U169" s="99" t="n"/>
      <c r="V169" s="99" t="n"/>
      <c r="W169" s="99" t="n"/>
    </row>
    <row r="170">
      <c r="A170" s="112" t="n"/>
      <c r="B170" s="112" t="n"/>
      <c r="C170" s="112" t="n"/>
      <c r="D170" s="112" t="n"/>
      <c r="E170" s="112" t="n"/>
      <c r="F170" s="112" t="n"/>
      <c r="G170" s="112" t="n"/>
      <c r="H170" s="112" t="n"/>
      <c r="I170" s="112" t="n"/>
      <c r="J170" s="112" t="n"/>
      <c r="K170" s="112" t="n"/>
      <c r="L170" s="112" t="n"/>
      <c r="M170" s="112" t="n"/>
      <c r="N170" s="112" t="n"/>
      <c r="O170" s="112" t="n"/>
      <c r="P170" s="112" t="n"/>
      <c r="Q170" s="99" t="n"/>
      <c r="R170" s="99" t="n"/>
      <c r="S170" s="99" t="n"/>
      <c r="T170" s="99" t="n"/>
      <c r="U170" s="99" t="n"/>
      <c r="V170" s="99" t="n"/>
      <c r="W170" s="99" t="n"/>
    </row>
    <row r="171">
      <c r="A171" s="112" t="n"/>
      <c r="B171" s="112" t="n"/>
      <c r="C171" s="112" t="n"/>
      <c r="D171" s="112" t="n"/>
      <c r="E171" s="112" t="n"/>
      <c r="F171" s="112" t="n"/>
      <c r="G171" s="112" t="n"/>
      <c r="H171" s="112" t="n"/>
      <c r="I171" s="112" t="n"/>
      <c r="J171" s="112" t="n"/>
      <c r="K171" s="112" t="n"/>
      <c r="L171" s="112" t="n"/>
      <c r="M171" s="112" t="n"/>
      <c r="N171" s="112" t="n"/>
      <c r="O171" s="112" t="n"/>
      <c r="P171" s="112" t="n"/>
      <c r="Q171" s="99" t="n"/>
      <c r="R171" s="99" t="n"/>
      <c r="S171" s="99" t="n"/>
      <c r="T171" s="99" t="n"/>
      <c r="U171" s="99" t="n"/>
      <c r="V171" s="99" t="n"/>
      <c r="W171" s="99" t="n"/>
    </row>
    <row r="172">
      <c r="A172" s="112" t="n"/>
      <c r="B172" s="112" t="n"/>
      <c r="C172" s="112" t="n"/>
      <c r="D172" s="112" t="n"/>
      <c r="E172" s="112" t="n"/>
      <c r="F172" s="112" t="n"/>
      <c r="G172" s="112" t="n"/>
      <c r="H172" s="112" t="n"/>
      <c r="I172" s="112" t="n"/>
      <c r="J172" s="112" t="n"/>
      <c r="K172" s="112" t="n"/>
      <c r="L172" s="112" t="n"/>
      <c r="M172" s="112" t="n"/>
      <c r="N172" s="112" t="n"/>
      <c r="O172" s="112" t="n"/>
      <c r="P172" s="112" t="n"/>
      <c r="Q172" s="99" t="n"/>
      <c r="R172" s="99" t="n"/>
      <c r="S172" s="99" t="n"/>
      <c r="T172" s="99" t="n"/>
      <c r="U172" s="99" t="n"/>
      <c r="V172" s="99" t="n"/>
      <c r="W172" s="99" t="n"/>
    </row>
    <row r="173">
      <c r="A173" s="112" t="n"/>
      <c r="B173" s="112" t="n"/>
      <c r="C173" s="112" t="n"/>
      <c r="D173" s="112" t="n"/>
      <c r="E173" s="112" t="n"/>
      <c r="F173" s="112" t="n"/>
      <c r="G173" s="112" t="n"/>
      <c r="H173" s="112" t="n"/>
      <c r="I173" s="112" t="n"/>
      <c r="J173" s="112" t="n"/>
      <c r="K173" s="112" t="n"/>
      <c r="L173" s="112" t="n"/>
      <c r="M173" s="112" t="n"/>
      <c r="N173" s="112" t="n"/>
      <c r="O173" s="112" t="n"/>
      <c r="P173" s="112" t="n"/>
      <c r="Q173" s="99" t="n"/>
      <c r="R173" s="99" t="n"/>
      <c r="S173" s="99" t="n"/>
      <c r="T173" s="99" t="n"/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/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/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Cinema_Cineplex Page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>
        <f>sum(H10:H14)</f>
        <v/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Cinema_Page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>
        <f>sum(H17:H21)</f>
        <v/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Cinema_Blog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>
        <f>sum(H24:H28)</f>
        <v/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Cinema_Home Page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>
        <f>sum(H31:H35)</f>
        <v/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Cinema_News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>
        <f>sum(H38:H42)</f>
        <v/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Cinema_Landing Page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165" t="inlineStr">
        <is>
          <t xml:space="preserve">     Target</t>
        </is>
      </c>
      <c r="B2" s="165" t="n"/>
      <c r="C2" s="39" t="n"/>
      <c r="D2" s="39" t="n"/>
      <c r="E2" s="39" t="n"/>
      <c r="F2" s="39" t="n"/>
      <c r="G2" s="39" t="n"/>
      <c r="H2" s="39" t="n"/>
      <c r="I2" s="165" t="n"/>
      <c r="J2" s="165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5" t="n"/>
      <c r="R2" s="39" t="n">
        <v>700000</v>
      </c>
      <c r="S2" s="39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165" t="inlineStr">
        <is>
          <t xml:space="preserve">    Actual Traffic (Page Views)</t>
        </is>
      </c>
      <c r="B3" s="165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5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157" t="inlineStr">
        <is>
          <t xml:space="preserve">   Net change (Target)</t>
        </is>
      </c>
      <c r="B4" s="165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5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157" t="inlineStr">
        <is>
          <t xml:space="preserve">   Growth Rate (Target)</t>
        </is>
      </c>
      <c r="B5" s="165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65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157" t="inlineStr">
        <is>
          <t xml:space="preserve">   Progress Rate</t>
        </is>
      </c>
      <c r="B6" s="165" t="n"/>
      <c r="C6" s="161" t="n"/>
      <c r="D6" s="161" t="n"/>
      <c r="E6" s="161" t="n"/>
      <c r="F6" s="161" t="n"/>
      <c r="G6" s="161" t="n"/>
      <c r="H6" s="161" t="n"/>
      <c r="I6" s="165" t="n"/>
      <c r="J6" s="165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163" t="inlineStr">
        <is>
          <t>Vay Nhanh</t>
        </is>
      </c>
      <c r="B8" s="163" t="n"/>
      <c r="C8" s="172">
        <f>sum(C9:C13)</f>
        <v/>
      </c>
      <c r="D8" s="172">
        <f>sum(D9:D13)</f>
        <v/>
      </c>
      <c r="E8" s="172">
        <f>sum(E9:E13)</f>
        <v/>
      </c>
      <c r="F8" s="172">
        <f>sum(F9:F13)</f>
        <v/>
      </c>
      <c r="G8" s="172">
        <f>sum(G9:G13)</f>
        <v/>
      </c>
      <c r="H8" s="172">
        <f>sum(H9:H13)</f>
        <v/>
      </c>
      <c r="I8" s="39">
        <f>H8-G8</f>
        <v/>
      </c>
      <c r="J8" s="165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39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165" t="n"/>
      <c r="B9" s="165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5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165" t="n"/>
      <c r="B10" s="165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5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165" t="n"/>
      <c r="B11" s="165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5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165" t="n"/>
      <c r="B12" s="165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5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165" t="n"/>
      <c r="B13" s="165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5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163" t="inlineStr">
        <is>
          <t>Điểm Tín Dụng</t>
        </is>
      </c>
      <c r="B15" s="163" t="n"/>
      <c r="C15" s="172">
        <f>sum(C16:C20)</f>
        <v/>
      </c>
      <c r="D15" s="172">
        <f>sum(D16:D20)</f>
        <v/>
      </c>
      <c r="E15" s="172">
        <f>sum(E16:E20)</f>
        <v/>
      </c>
      <c r="F15" s="172">
        <f>sum(F16:F20)</f>
        <v/>
      </c>
      <c r="G15" s="172">
        <f>sum(G16:G20)</f>
        <v/>
      </c>
      <c r="H15" s="172">
        <f>sum(H16:H20)</f>
        <v/>
      </c>
      <c r="I15" s="39">
        <f>H15-G15</f>
        <v/>
      </c>
      <c r="J15" s="165" t="n"/>
      <c r="K15" s="172">
        <f>sum(K16:K18)</f>
        <v/>
      </c>
      <c r="L15" s="172">
        <f>sum(L16:L18)</f>
        <v/>
      </c>
      <c r="M15" s="172">
        <f>sum(M16:M18)</f>
        <v/>
      </c>
      <c r="N15" s="172">
        <f>sum(N16:N18)</f>
        <v/>
      </c>
      <c r="O15" s="172">
        <f>sum(O16:O20)</f>
        <v/>
      </c>
      <c r="P15" s="172">
        <f>sum(P16:P20)</f>
        <v/>
      </c>
      <c r="Q15" s="39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165" t="n"/>
      <c r="B16" s="165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5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165" t="n"/>
      <c r="B17" s="165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5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165" t="n"/>
      <c r="B18" s="165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5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165" t="n"/>
      <c r="B19" s="165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5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165" t="n"/>
      <c r="B20" s="165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5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163" t="inlineStr">
        <is>
          <t>Ví Trả Sau</t>
        </is>
      </c>
      <c r="B22" s="163" t="n"/>
      <c r="C22" s="172">
        <f>sum(C23:C27)</f>
        <v/>
      </c>
      <c r="D22" s="172">
        <f>sum(D23:D27)</f>
        <v/>
      </c>
      <c r="E22" s="172">
        <f>sum(E23:E27)</f>
        <v/>
      </c>
      <c r="F22" s="172">
        <f>sum(F23:F27)</f>
        <v/>
      </c>
      <c r="G22" s="172">
        <f>sum(G23:G27)</f>
        <v/>
      </c>
      <c r="H22" s="172">
        <f>sum(H23:H27)</f>
        <v/>
      </c>
      <c r="I22" s="39">
        <f>H22-G22</f>
        <v/>
      </c>
      <c r="J22" s="165" t="n"/>
      <c r="K22" s="172">
        <f>sum(K23:K27)</f>
        <v/>
      </c>
      <c r="L22" s="172">
        <f>sum(L23:L27)</f>
        <v/>
      </c>
      <c r="M22" s="172">
        <f>sum(M23:M27)</f>
        <v/>
      </c>
      <c r="N22" s="172">
        <f>sum(N23:N27)</f>
        <v/>
      </c>
      <c r="O22" s="172">
        <f>sum(O23:O27)</f>
        <v/>
      </c>
      <c r="P22" s="172">
        <f>sum(P23:P27)</f>
        <v/>
      </c>
      <c r="Q22" s="39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165" t="n"/>
      <c r="B23" s="165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5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165" t="n"/>
      <c r="B24" s="165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5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165" t="n"/>
      <c r="B25" s="165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5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165" t="n"/>
      <c r="B26" s="165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5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165" t="n"/>
      <c r="B27" s="165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5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163" t="inlineStr">
        <is>
          <t>Túi Thần Tài</t>
        </is>
      </c>
      <c r="B29" s="163" t="n"/>
      <c r="C29" s="163" t="n">
        <v>864</v>
      </c>
      <c r="D29" s="163" t="n">
        <v>795</v>
      </c>
      <c r="E29" s="172" t="n">
        <v>1786</v>
      </c>
      <c r="F29" s="172" t="n">
        <v>1809</v>
      </c>
      <c r="G29" s="172">
        <f>sum(G30:G34)</f>
        <v/>
      </c>
      <c r="H29" s="172">
        <f>sum(H30:H34)</f>
        <v/>
      </c>
      <c r="I29" s="39">
        <f>H29-G29</f>
        <v/>
      </c>
      <c r="J29" s="165" t="n"/>
      <c r="K29" s="172">
        <f>sum(K30:K33)</f>
        <v/>
      </c>
      <c r="L29" s="172">
        <f>sum(L30:L33)</f>
        <v/>
      </c>
      <c r="M29" s="172">
        <f>sum(M30:M33)</f>
        <v/>
      </c>
      <c r="N29" s="172">
        <f>sum(N30:N33)</f>
        <v/>
      </c>
      <c r="O29" s="172">
        <f>sum(O30:O34)</f>
        <v/>
      </c>
      <c r="P29" s="172">
        <f>sum(P30:P34)</f>
        <v/>
      </c>
      <c r="Q29" s="39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165" t="n"/>
      <c r="B30" s="165" t="inlineStr">
        <is>
          <t>Organic</t>
        </is>
      </c>
      <c r="C30" s="165">
        <f>SUMIFS('MTD Pivot'!D:D, 'MTD Pivot'!$A:$A, "Túi Thần Tài", 'MTD Pivot'!$C:$C, $B30)</f>
        <v/>
      </c>
      <c r="D30" s="165">
        <f>SUMIFS('MTD Pivot'!E:E, 'MTD Pivot'!$A:$A, "Túi Thần Tài", 'MTD Pivot'!$C:$C, $B30)</f>
        <v/>
      </c>
      <c r="E30" s="165">
        <f>SUMIFS('MTD Pivot'!F:F, 'MTD Pivot'!$A:$A, "Túi Thần Tài", 'MTD Pivot'!$C:$C, $B30)</f>
        <v/>
      </c>
      <c r="F30" s="165">
        <f>SUMIFS('MTD Pivot'!G:G, 'MTD Pivot'!$A:$A, "Túi Thần Tài", 'MTD Pivot'!$C:$C, $B30)</f>
        <v/>
      </c>
      <c r="G30" s="165">
        <f>SUMIFS('MTD Pivot'!H:H, 'MTD Pivot'!$A:$A, "Túi Thần Tài", 'MTD Pivot'!$C:$C, $B30)</f>
        <v/>
      </c>
      <c r="H30" s="165">
        <f>SUMIFS('MTD Pivot'!I:I, 'MTD Pivot'!$A:$A, "Túi Thần Tài", 'MTD Pivot'!$C:$C, $B30)</f>
        <v/>
      </c>
      <c r="I30" s="165">
        <f>H30-G30</f>
        <v/>
      </c>
      <c r="J30" s="165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165" t="n"/>
      <c r="B31" s="165" t="inlineStr">
        <is>
          <t>Referral</t>
        </is>
      </c>
      <c r="C31" s="165">
        <f>SUMIFS('MTD Pivot'!D:D, 'MTD Pivot'!$A:$A, "Túi Thần Tài", 'MTD Pivot'!$C:$C, $B31)</f>
        <v/>
      </c>
      <c r="D31" s="165">
        <f>SUMIFS('MTD Pivot'!E:E, 'MTD Pivot'!$A:$A, "Túi Thần Tài", 'MTD Pivot'!$C:$C, $B31)</f>
        <v/>
      </c>
      <c r="E31" s="165">
        <f>SUMIFS('MTD Pivot'!F:F, 'MTD Pivot'!$A:$A, "Túi Thần Tài", 'MTD Pivot'!$C:$C, $B31)</f>
        <v/>
      </c>
      <c r="F31" s="165">
        <f>SUMIFS('MTD Pivot'!G:G, 'MTD Pivot'!$A:$A, "Túi Thần Tài", 'MTD Pivot'!$C:$C, $B31)</f>
        <v/>
      </c>
      <c r="G31" s="165">
        <f>SUMIFS('MTD Pivot'!H:H, 'MTD Pivot'!$A:$A, "Túi Thần Tài", 'MTD Pivot'!$C:$C, $B31)</f>
        <v/>
      </c>
      <c r="H31" s="165">
        <f>SUMIFS('MTD Pivot'!I:I, 'MTD Pivot'!$A:$A, "Túi Thần Tài", 'MTD Pivot'!$C:$C, $B31)</f>
        <v/>
      </c>
      <c r="I31" s="165">
        <f>H31-G31</f>
        <v/>
      </c>
      <c r="J31" s="165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165" t="n"/>
      <c r="B32" s="165" t="inlineStr">
        <is>
          <t>Direct</t>
        </is>
      </c>
      <c r="C32" s="165">
        <f>SUMIFS('MTD Pivot'!D:D, 'MTD Pivot'!$A:$A, "Túi Thần Tài", 'MTD Pivot'!$C:$C, $B32)</f>
        <v/>
      </c>
      <c r="D32" s="165">
        <f>SUMIFS('MTD Pivot'!E:E, 'MTD Pivot'!$A:$A, "Túi Thần Tài", 'MTD Pivot'!$C:$C, $B32)</f>
        <v/>
      </c>
      <c r="E32" s="165">
        <f>SUMIFS('MTD Pivot'!F:F, 'MTD Pivot'!$A:$A, "Túi Thần Tài", 'MTD Pivot'!$C:$C, $B32)</f>
        <v/>
      </c>
      <c r="F32" s="165">
        <f>SUMIFS('MTD Pivot'!G:G, 'MTD Pivot'!$A:$A, "Túi Thần Tài", 'MTD Pivot'!$C:$C, $B32)</f>
        <v/>
      </c>
      <c r="G32" s="165">
        <f>SUMIFS('MTD Pivot'!H:H, 'MTD Pivot'!$A:$A, "Túi Thần Tài", 'MTD Pivot'!$C:$C, $B32)</f>
        <v/>
      </c>
      <c r="H32" s="165">
        <f>SUMIFS('MTD Pivot'!I:I, 'MTD Pivot'!$A:$A, "Túi Thần Tài", 'MTD Pivot'!$C:$C, $B32)</f>
        <v/>
      </c>
      <c r="I32" s="165">
        <f>H32-G32</f>
        <v/>
      </c>
      <c r="J32" s="165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165" t="n"/>
      <c r="B33" s="165" t="inlineStr">
        <is>
          <t>Others</t>
        </is>
      </c>
      <c r="C33" s="165">
        <f>SUMIFS('MTD Pivot'!D:D, 'MTD Pivot'!$A:$A, "Túi Thần Tài", 'MTD Pivot'!$C:$C, $B33)</f>
        <v/>
      </c>
      <c r="D33" s="165">
        <f>SUMIFS('MTD Pivot'!E:E, 'MTD Pivot'!$A:$A, "Túi Thần Tài", 'MTD Pivot'!$C:$C, $B33)</f>
        <v/>
      </c>
      <c r="E33" s="165">
        <f>SUMIFS('MTD Pivot'!F:F, 'MTD Pivot'!$A:$A, "Túi Thần Tài", 'MTD Pivot'!$C:$C, $B33)</f>
        <v/>
      </c>
      <c r="F33" s="165">
        <f>SUMIFS('MTD Pivot'!G:G, 'MTD Pivot'!$A:$A, "Túi Thần Tài", 'MTD Pivot'!$C:$C, $B33)</f>
        <v/>
      </c>
      <c r="G33" s="165">
        <f>SUMIFS('MTD Pivot'!H:H, 'MTD Pivot'!$A:$A, "Túi Thần Tài", 'MTD Pivot'!$C:$C, $B33)</f>
        <v/>
      </c>
      <c r="H33" s="165">
        <f>SUMIFS('MTD Pivot'!I:I, 'MTD Pivot'!$A:$A, "Túi Thần Tài", 'MTD Pivot'!$C:$C, $B33)</f>
        <v/>
      </c>
      <c r="I33" s="165">
        <f>H33-G33</f>
        <v/>
      </c>
      <c r="J33" s="165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165" t="n"/>
      <c r="B34" s="165" t="inlineStr">
        <is>
          <t>Paid</t>
        </is>
      </c>
      <c r="C34" s="165">
        <f>SUMIFS('MTD Pivot'!D:D, 'MTD Pivot'!$A:$A, "Túi Thần Tài", 'MTD Pivot'!$C:$C, $B34)</f>
        <v/>
      </c>
      <c r="D34" s="165">
        <f>SUMIFS('MTD Pivot'!E:E, 'MTD Pivot'!$A:$A, "Túi Thần Tài", 'MTD Pivot'!$C:$C, $B34)</f>
        <v/>
      </c>
      <c r="E34" s="165">
        <f>SUMIFS('MTD Pivot'!F:F, 'MTD Pivot'!$A:$A, "Túi Thần Tài", 'MTD Pivot'!$C:$C, $B34)</f>
        <v/>
      </c>
      <c r="F34" s="165">
        <f>SUMIFS('MTD Pivot'!G:G, 'MTD Pivot'!$A:$A, "Túi Thần Tài", 'MTD Pivot'!$C:$C, $B34)</f>
        <v/>
      </c>
      <c r="G34" s="165">
        <f>SUMIFS('MTD Pivot'!H:H, 'MTD Pivot'!$A:$A, "Túi Thần Tài", 'MTD Pivot'!$C:$C, $B34)</f>
        <v/>
      </c>
      <c r="H34" s="165">
        <f>SUMIFS('MTD Pivot'!I:I, 'MTD Pivot'!$A:$A, "Túi Thần Tài", 'MTD Pivot'!$C:$C, $B34)</f>
        <v/>
      </c>
      <c r="I34" s="165">
        <f>H34-G34</f>
        <v/>
      </c>
      <c r="J34" s="165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163" t="inlineStr">
        <is>
          <t>Mở Thẻ Tín Dụng</t>
        </is>
      </c>
      <c r="B36" s="163" t="n"/>
      <c r="C36" s="172">
        <f>sum(C37:C41)</f>
        <v/>
      </c>
      <c r="D36" s="172">
        <f>sum(D37:D41)</f>
        <v/>
      </c>
      <c r="E36" s="172">
        <f>sum(E37:E41)</f>
        <v/>
      </c>
      <c r="F36" s="172">
        <f>sum(F37:F41)</f>
        <v/>
      </c>
      <c r="G36" s="172">
        <f>sum(G37:G41)</f>
        <v/>
      </c>
      <c r="H36" s="172">
        <f>sum(H37:H41)</f>
        <v/>
      </c>
      <c r="I36" s="39">
        <f>H36-G36</f>
        <v/>
      </c>
      <c r="J36" s="165" t="n"/>
      <c r="K36" s="172">
        <f>sum(K37:K41)</f>
        <v/>
      </c>
      <c r="L36" s="172">
        <f>sum(L37:L41)</f>
        <v/>
      </c>
      <c r="M36" s="172">
        <f>sum(M37:M41)</f>
        <v/>
      </c>
      <c r="N36" s="172">
        <f>sum(N37:N41)</f>
        <v/>
      </c>
      <c r="O36" s="172">
        <f>sum(O37:O41)</f>
        <v/>
      </c>
      <c r="P36" s="172">
        <f>sum(P37:P41)</f>
        <v/>
      </c>
      <c r="Q36" s="39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165" t="n"/>
      <c r="B37" s="165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5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165" t="n"/>
      <c r="B38" s="165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5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165" t="n"/>
      <c r="B39" s="165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5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165" t="n"/>
      <c r="B40" s="165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5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165" t="n"/>
      <c r="B41" s="165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5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163" t="inlineStr">
        <is>
          <t>Trả Góp Apple</t>
        </is>
      </c>
      <c r="B43" s="163" t="n"/>
      <c r="C43" s="163">
        <f>sum(C44:C48)</f>
        <v/>
      </c>
      <c r="D43" s="163">
        <f>sum(D44:D48)</f>
        <v/>
      </c>
      <c r="E43" s="163">
        <f>sum(E44:E48)</f>
        <v/>
      </c>
      <c r="F43" s="163">
        <f>sum(F44:F48)</f>
        <v/>
      </c>
      <c r="G43" s="163">
        <f>sum(G44:G48)</f>
        <v/>
      </c>
      <c r="H43" s="163">
        <f>sum(H44:H48)</f>
        <v/>
      </c>
      <c r="I43" s="165">
        <f>H43-G43</f>
        <v/>
      </c>
      <c r="J43" s="165" t="n"/>
      <c r="K43" s="172">
        <f>sum(K44:K48)</f>
        <v/>
      </c>
      <c r="L43" s="172">
        <f>sum(L44:L48)</f>
        <v/>
      </c>
      <c r="M43" s="172">
        <f>sum(M44:M48)</f>
        <v/>
      </c>
      <c r="N43" s="172">
        <f>sum(N44:N48)</f>
        <v/>
      </c>
      <c r="O43" s="172">
        <f>sum(O44:O48)</f>
        <v/>
      </c>
      <c r="P43" s="172">
        <f>sum(P44:P48)</f>
        <v/>
      </c>
      <c r="Q43" s="39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165" t="n"/>
      <c r="B44" s="165" t="inlineStr">
        <is>
          <t>Organic</t>
        </is>
      </c>
      <c r="C44" s="165">
        <f>SUMIFS('MTD Pivot'!D:D, 'MTD Pivot'!$A:$A, "Trả Góp Apple", 'MTD Pivot'!$C:$C, $B44)</f>
        <v/>
      </c>
      <c r="D44" s="165">
        <f>SUMIFS('MTD Pivot'!E:E, 'MTD Pivot'!$A:$A, "Trả Góp Apple", 'MTD Pivot'!$C:$C, $B44)</f>
        <v/>
      </c>
      <c r="E44" s="165">
        <f>SUMIFS('MTD Pivot'!F:F, 'MTD Pivot'!$A:$A, "Trả Góp Apple", 'MTD Pivot'!$C:$C, $B44)</f>
        <v/>
      </c>
      <c r="F44" s="165">
        <f>SUMIFS('MTD Pivot'!G:G, 'MTD Pivot'!$A:$A, "Trả Góp Apple", 'MTD Pivot'!$C:$C, $B44)</f>
        <v/>
      </c>
      <c r="G44" s="165">
        <f>SUMIFS('MTD Pivot'!H:H, 'MTD Pivot'!$A:$A, "Trả Góp Apple", 'MTD Pivot'!$C:$C, $B44)</f>
        <v/>
      </c>
      <c r="H44" s="165">
        <f>SUMIFS('MTD Pivot'!I:I, 'MTD Pivot'!$A:$A, "Trả Góp Apple", 'MTD Pivot'!$C:$C, $B44)</f>
        <v/>
      </c>
      <c r="I44" s="165">
        <f>H44-G44</f>
        <v/>
      </c>
      <c r="J44" s="165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165" t="n"/>
      <c r="B45" s="165" t="inlineStr">
        <is>
          <t>Direct</t>
        </is>
      </c>
      <c r="C45" s="165">
        <f>SUMIFS('MTD Pivot'!D:D, 'MTD Pivot'!$A:$A, "Trả Góp Apple", 'MTD Pivot'!$C:$C, $B45)</f>
        <v/>
      </c>
      <c r="D45" s="165">
        <f>SUMIFS('MTD Pivot'!E:E, 'MTD Pivot'!$A:$A, "Trả Góp Apple", 'MTD Pivot'!$C:$C, $B45)</f>
        <v/>
      </c>
      <c r="E45" s="165">
        <f>SUMIFS('MTD Pivot'!F:F, 'MTD Pivot'!$A:$A, "Trả Góp Apple", 'MTD Pivot'!$C:$C, $B45)</f>
        <v/>
      </c>
      <c r="F45" s="165">
        <f>SUMIFS('MTD Pivot'!G:G, 'MTD Pivot'!$A:$A, "Trả Góp Apple", 'MTD Pivot'!$C:$C, $B45)</f>
        <v/>
      </c>
      <c r="G45" s="165">
        <f>SUMIFS('MTD Pivot'!H:H, 'MTD Pivot'!$A:$A, "Trả Góp Apple", 'MTD Pivot'!$C:$C, $B45)</f>
        <v/>
      </c>
      <c r="H45" s="165">
        <f>SUMIFS('MTD Pivot'!I:I, 'MTD Pivot'!$A:$A, "Trả Góp Apple", 'MTD Pivot'!$C:$C, $B45)</f>
        <v/>
      </c>
      <c r="I45" s="165">
        <f>H45-G45</f>
        <v/>
      </c>
      <c r="J45" s="165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165" t="n"/>
      <c r="B46" s="165" t="inlineStr">
        <is>
          <t>Referral</t>
        </is>
      </c>
      <c r="C46" s="165">
        <f>SUMIFS('MTD Pivot'!D:D, 'MTD Pivot'!$A:$A, "Trả Góp Apple", 'MTD Pivot'!$C:$C, $B46)</f>
        <v/>
      </c>
      <c r="D46" s="165">
        <f>SUMIFS('MTD Pivot'!E:E, 'MTD Pivot'!$A:$A, "Trả Góp Apple", 'MTD Pivot'!$C:$C, $B46)</f>
        <v/>
      </c>
      <c r="E46" s="165">
        <f>SUMIFS('MTD Pivot'!F:F, 'MTD Pivot'!$A:$A, "Trả Góp Apple", 'MTD Pivot'!$C:$C, $B46)</f>
        <v/>
      </c>
      <c r="F46" s="165">
        <f>SUMIFS('MTD Pivot'!G:G, 'MTD Pivot'!$A:$A, "Trả Góp Apple", 'MTD Pivot'!$C:$C, $B46)</f>
        <v/>
      </c>
      <c r="G46" s="165">
        <f>SUMIFS('MTD Pivot'!H:H, 'MTD Pivot'!$A:$A, "Trả Góp Apple", 'MTD Pivot'!$C:$C, $B46)</f>
        <v/>
      </c>
      <c r="H46" s="165">
        <f>SUMIFS('MTD Pivot'!I:I, 'MTD Pivot'!$A:$A, "Trả Góp Apple", 'MTD Pivot'!$C:$C, $B46)</f>
        <v/>
      </c>
      <c r="I46" s="165">
        <f>H46-G46</f>
        <v/>
      </c>
      <c r="J46" s="165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165" t="n"/>
      <c r="B47" s="165" t="inlineStr">
        <is>
          <t>Paid</t>
        </is>
      </c>
      <c r="C47" s="165">
        <f>SUMIFS('MTD Pivot'!D:D, 'MTD Pivot'!$A:$A, "Trả Góp Apple", 'MTD Pivot'!$C:$C, $B47)</f>
        <v/>
      </c>
      <c r="D47" s="165">
        <f>SUMIFS('MTD Pivot'!E:E, 'MTD Pivot'!$A:$A, "Trả Góp Apple", 'MTD Pivot'!$C:$C, $B47)</f>
        <v/>
      </c>
      <c r="E47" s="165">
        <f>SUMIFS('MTD Pivot'!F:F, 'MTD Pivot'!$A:$A, "Trả Góp Apple", 'MTD Pivot'!$C:$C, $B47)</f>
        <v/>
      </c>
      <c r="F47" s="165">
        <f>SUMIFS('MTD Pivot'!G:G, 'MTD Pivot'!$A:$A, "Trả Góp Apple", 'MTD Pivot'!$C:$C, $B47)</f>
        <v/>
      </c>
      <c r="G47" s="165">
        <f>SUMIFS('MTD Pivot'!H:H, 'MTD Pivot'!$A:$A, "Trả Góp Apple", 'MTD Pivot'!$C:$C, $B47)</f>
        <v/>
      </c>
      <c r="H47" s="165">
        <f>SUMIFS('MTD Pivot'!I:I, 'MTD Pivot'!$A:$A, "Trả Góp Apple", 'MTD Pivot'!$C:$C, $B47)</f>
        <v/>
      </c>
      <c r="I47" s="165">
        <f>H47-G47</f>
        <v/>
      </c>
      <c r="J47" s="165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165" t="n"/>
      <c r="B48" s="165" t="inlineStr">
        <is>
          <t>Others</t>
        </is>
      </c>
      <c r="C48" s="165">
        <f>SUMIFS('MTD Pivot'!D:D, 'MTD Pivot'!$A:$A, "Trả Góp Apple", 'MTD Pivot'!$C:$C, $B48)</f>
        <v/>
      </c>
      <c r="D48" s="165">
        <f>SUMIFS('MTD Pivot'!E:E, 'MTD Pivot'!$A:$A, "Trả Góp Apple", 'MTD Pivot'!$C:$C, $B48)</f>
        <v/>
      </c>
      <c r="E48" s="165">
        <f>SUMIFS('MTD Pivot'!F:F, 'MTD Pivot'!$A:$A, "Trả Góp Apple", 'MTD Pivot'!$C:$C, $B48)</f>
        <v/>
      </c>
      <c r="F48" s="165">
        <f>SUMIFS('MTD Pivot'!G:G, 'MTD Pivot'!$A:$A, "Trả Góp Apple", 'MTD Pivot'!$C:$C, $B48)</f>
        <v/>
      </c>
      <c r="G48" s="165">
        <f>SUMIFS('MTD Pivot'!H:H, 'MTD Pivot'!$A:$A, "Trả Góp Apple", 'MTD Pivot'!$C:$C, $B48)</f>
        <v/>
      </c>
      <c r="H48" s="165">
        <f>SUMIFS('MTD Pivot'!I:I, 'MTD Pivot'!$A:$A, "Trả Góp Apple", 'MTD Pivot'!$C:$C, $B48)</f>
        <v/>
      </c>
      <c r="I48" s="165">
        <f>H48-G48</f>
        <v/>
      </c>
      <c r="J48" s="165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163" t="inlineStr">
        <is>
          <t>Chứng Khoán</t>
        </is>
      </c>
      <c r="B50" s="163" t="n"/>
      <c r="C50" s="163">
        <f>sum(C51:C55)</f>
        <v/>
      </c>
      <c r="D50" s="163">
        <f>sum(D51:D55)</f>
        <v/>
      </c>
      <c r="E50" s="163">
        <f>sum(E51:E55)</f>
        <v/>
      </c>
      <c r="F50" s="163">
        <f>sum(F51:F55)</f>
        <v/>
      </c>
      <c r="G50" s="163">
        <f>sum(G51:G55)</f>
        <v/>
      </c>
      <c r="H50" s="163">
        <f>sum(H51:H55)</f>
        <v/>
      </c>
      <c r="I50" s="165">
        <f>H50-G50</f>
        <v/>
      </c>
      <c r="J50" s="165" t="n"/>
      <c r="K50" s="172">
        <f>sum(K51:K55)</f>
        <v/>
      </c>
      <c r="L50" s="172">
        <f>sum(L51:L55)</f>
        <v/>
      </c>
      <c r="M50" s="172">
        <f>sum(M51:M55)</f>
        <v/>
      </c>
      <c r="N50" s="172">
        <f>sum(N51:N55)</f>
        <v/>
      </c>
      <c r="O50" s="172">
        <f>sum(O51:O55)</f>
        <v/>
      </c>
      <c r="P50" s="172">
        <f>sum(P51:P55)</f>
        <v/>
      </c>
      <c r="Q50" s="39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165" t="n"/>
      <c r="B51" s="165" t="inlineStr">
        <is>
          <t>Organic</t>
        </is>
      </c>
      <c r="C51" s="165">
        <f>SUMIFS('MTD Pivot'!D:D, 'MTD Pivot'!$A:$A, "Chứng Khoán", 'MTD Pivot'!$C:$C, $B51)</f>
        <v/>
      </c>
      <c r="D51" s="165">
        <f>SUMIFS('MTD Pivot'!E:E, 'MTD Pivot'!$A:$A, "Chứng Khoán", 'MTD Pivot'!$C:$C, $B51)</f>
        <v/>
      </c>
      <c r="E51" s="165">
        <f>SUMIFS('MTD Pivot'!F:F, 'MTD Pivot'!$A:$A, "Chứng Khoán", 'MTD Pivot'!$C:$C, $B51)</f>
        <v/>
      </c>
      <c r="F51" s="165">
        <f>SUMIFS('MTD Pivot'!G:G, 'MTD Pivot'!$A:$A, "Chứng Khoán", 'MTD Pivot'!$C:$C, $B51)</f>
        <v/>
      </c>
      <c r="G51" s="165">
        <f>SUMIFS('MTD Pivot'!H:H, 'MTD Pivot'!$A:$A, "Chứng Khoán", 'MTD Pivot'!$C:$C, $B51)</f>
        <v/>
      </c>
      <c r="H51" s="165">
        <f>SUMIFS('MTD Pivot'!I:I, 'MTD Pivot'!$A:$A, "Chứng Khoán", 'MTD Pivot'!$C:$C, $B51)</f>
        <v/>
      </c>
      <c r="I51" s="165">
        <f>H51-G51</f>
        <v/>
      </c>
      <c r="J51" s="165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165" t="n"/>
      <c r="B52" s="165" t="inlineStr">
        <is>
          <t>Referral</t>
        </is>
      </c>
      <c r="C52" s="165">
        <f>SUMIFS('MTD Pivot'!D:D, 'MTD Pivot'!$A:$A, "Chứng Khoán", 'MTD Pivot'!$C:$C, $B52)</f>
        <v/>
      </c>
      <c r="D52" s="165">
        <f>SUMIFS('MTD Pivot'!E:E, 'MTD Pivot'!$A:$A, "Chứng Khoán", 'MTD Pivot'!$C:$C, $B52)</f>
        <v/>
      </c>
      <c r="E52" s="165">
        <f>SUMIFS('MTD Pivot'!F:F, 'MTD Pivot'!$A:$A, "Chứng Khoán", 'MTD Pivot'!$C:$C, $B52)</f>
        <v/>
      </c>
      <c r="F52" s="165">
        <f>SUMIFS('MTD Pivot'!G:G, 'MTD Pivot'!$A:$A, "Chứng Khoán", 'MTD Pivot'!$C:$C, $B52)</f>
        <v/>
      </c>
      <c r="G52" s="165">
        <f>SUMIFS('MTD Pivot'!H:H, 'MTD Pivot'!$A:$A, "Chứng Khoán", 'MTD Pivot'!$C:$C, $B52)</f>
        <v/>
      </c>
      <c r="H52" s="165">
        <f>SUMIFS('MTD Pivot'!I:I, 'MTD Pivot'!$A:$A, "Chứng Khoán", 'MTD Pivot'!$C:$C, $B52)</f>
        <v/>
      </c>
      <c r="I52" s="165">
        <f>H52-G52</f>
        <v/>
      </c>
      <c r="J52" s="165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165" t="n"/>
      <c r="B53" s="165" t="inlineStr">
        <is>
          <t>Direct</t>
        </is>
      </c>
      <c r="C53" s="165">
        <f>SUMIFS('MTD Pivot'!D:D, 'MTD Pivot'!$A:$A, "Chứng Khoán", 'MTD Pivot'!$C:$C, $B53)</f>
        <v/>
      </c>
      <c r="D53" s="165">
        <f>SUMIFS('MTD Pivot'!E:E, 'MTD Pivot'!$A:$A, "Chứng Khoán", 'MTD Pivot'!$C:$C, $B53)</f>
        <v/>
      </c>
      <c r="E53" s="165">
        <f>SUMIFS('MTD Pivot'!F:F, 'MTD Pivot'!$A:$A, "Chứng Khoán", 'MTD Pivot'!$C:$C, $B53)</f>
        <v/>
      </c>
      <c r="F53" s="165">
        <f>SUMIFS('MTD Pivot'!G:G, 'MTD Pivot'!$A:$A, "Chứng Khoán", 'MTD Pivot'!$C:$C, $B53)</f>
        <v/>
      </c>
      <c r="G53" s="165">
        <f>SUMIFS('MTD Pivot'!H:H, 'MTD Pivot'!$A:$A, "Chứng Khoán", 'MTD Pivot'!$C:$C, $B53)</f>
        <v/>
      </c>
      <c r="H53" s="165">
        <f>SUMIFS('MTD Pivot'!I:I, 'MTD Pivot'!$A:$A, "Chứng Khoán", 'MTD Pivot'!$C:$C, $B53)</f>
        <v/>
      </c>
      <c r="I53" s="165">
        <f>H53-G53</f>
        <v/>
      </c>
      <c r="J53" s="165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165" t="n"/>
      <c r="B54" s="165" t="inlineStr">
        <is>
          <t>Others</t>
        </is>
      </c>
      <c r="C54" s="165">
        <f>SUMIFS('MTD Pivot'!D:D, 'MTD Pivot'!$A:$A, "Chứng Khoán", 'MTD Pivot'!$C:$C, $B54)</f>
        <v/>
      </c>
      <c r="D54" s="165">
        <f>SUMIFS('MTD Pivot'!E:E, 'MTD Pivot'!$A:$A, "Chứng Khoán", 'MTD Pivot'!$C:$C, $B54)</f>
        <v/>
      </c>
      <c r="E54" s="165">
        <f>SUMIFS('MTD Pivot'!F:F, 'MTD Pivot'!$A:$A, "Chứng Khoán", 'MTD Pivot'!$C:$C, $B54)</f>
        <v/>
      </c>
      <c r="F54" s="165">
        <f>SUMIFS('MTD Pivot'!G:G, 'MTD Pivot'!$A:$A, "Chứng Khoán", 'MTD Pivot'!$C:$C, $B54)</f>
        <v/>
      </c>
      <c r="G54" s="165">
        <f>SUMIFS('MTD Pivot'!H:H, 'MTD Pivot'!$A:$A, "Chứng Khoán", 'MTD Pivot'!$C:$C, $B54)</f>
        <v/>
      </c>
      <c r="H54" s="165">
        <f>SUMIFS('MTD Pivot'!I:I, 'MTD Pivot'!$A:$A, "Chứng Khoán", 'MTD Pivot'!$C:$C, $B54)</f>
        <v/>
      </c>
      <c r="I54" s="165">
        <f>H54-G54</f>
        <v/>
      </c>
      <c r="J54" s="165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165" t="n"/>
      <c r="B55" s="165" t="inlineStr">
        <is>
          <t>Paid</t>
        </is>
      </c>
      <c r="C55" s="165">
        <f>SUMIFS('MTD Pivot'!D:D, 'MTD Pivot'!$A:$A, "Chứng Khoán", 'MTD Pivot'!$C:$C, $B55)</f>
        <v/>
      </c>
      <c r="D55" s="165">
        <f>SUMIFS('MTD Pivot'!E:E, 'MTD Pivot'!$A:$A, "Chứng Khoán", 'MTD Pivot'!$C:$C, $B55)</f>
        <v/>
      </c>
      <c r="E55" s="165">
        <f>SUMIFS('MTD Pivot'!F:F, 'MTD Pivot'!$A:$A, "Chứng Khoán", 'MTD Pivot'!$C:$C, $B55)</f>
        <v/>
      </c>
      <c r="F55" s="165">
        <f>SUMIFS('MTD Pivot'!G:G, 'MTD Pivot'!$A:$A, "Chứng Khoán", 'MTD Pivot'!$C:$C, $B55)</f>
        <v/>
      </c>
      <c r="G55" s="165">
        <f>SUMIFS('MTD Pivot'!H:H, 'MTD Pivot'!$A:$A, "Chứng Khoán", 'MTD Pivot'!$C:$C, $B55)</f>
        <v/>
      </c>
      <c r="H55" s="165">
        <f>SUMIFS('MTD Pivot'!I:I, 'MTD Pivot'!$A:$A, "Chứng Khoán", 'MTD Pivot'!$C:$C, $B55)</f>
        <v/>
      </c>
      <c r="I55" s="165">
        <f>H55-G55</f>
        <v/>
      </c>
      <c r="J55" s="165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163" t="inlineStr">
        <is>
          <t>Tiết Kiệm Online</t>
        </is>
      </c>
      <c r="B57" s="163" t="n"/>
      <c r="C57" s="163">
        <f>sum(C58:C62)</f>
        <v/>
      </c>
      <c r="D57" s="163">
        <f>sum(D58:D62)</f>
        <v/>
      </c>
      <c r="E57" s="163">
        <f>sum(E58:E62)</f>
        <v/>
      </c>
      <c r="F57" s="163">
        <f>sum(F58:F62)</f>
        <v/>
      </c>
      <c r="G57" s="163">
        <f>sum(G58:G62)</f>
        <v/>
      </c>
      <c r="H57" s="163">
        <f>sum(H58:H62)</f>
        <v/>
      </c>
      <c r="I57" s="165">
        <f>H57-G57</f>
        <v/>
      </c>
      <c r="J57" s="165" t="n"/>
      <c r="K57" s="172">
        <f>sum(K58:K62)</f>
        <v/>
      </c>
      <c r="L57" s="172">
        <f>sum(L58:L62)</f>
        <v/>
      </c>
      <c r="M57" s="172">
        <f>sum(M58:M62)</f>
        <v/>
      </c>
      <c r="N57" s="172">
        <f>sum(N58:N62)</f>
        <v/>
      </c>
      <c r="O57" s="172">
        <f>sum(O58:O62)</f>
        <v/>
      </c>
      <c r="P57" s="172">
        <f>sum(P58:P62)</f>
        <v/>
      </c>
      <c r="Q57" s="39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165" t="n"/>
      <c r="B58" s="165" t="inlineStr">
        <is>
          <t>Organic</t>
        </is>
      </c>
      <c r="C58" s="165">
        <f>SUMIFS('MTD Pivot'!D:D, 'MTD Pivot'!$A:$A, "Tiết Kiệm Online", 'MTD Pivot'!$C:$C, $B58)</f>
        <v/>
      </c>
      <c r="D58" s="165">
        <f>SUMIFS('MTD Pivot'!E:E, 'MTD Pivot'!$A:$A, "Tiết Kiệm Online", 'MTD Pivot'!$C:$C, $B58)</f>
        <v/>
      </c>
      <c r="E58" s="165">
        <f>SUMIFS('MTD Pivot'!F:F, 'MTD Pivot'!$A:$A, "Tiết Kiệm Online", 'MTD Pivot'!$C:$C, $B58)</f>
        <v/>
      </c>
      <c r="F58" s="165">
        <f>SUMIFS('MTD Pivot'!G:G, 'MTD Pivot'!$A:$A, "Tiết Kiệm Online", 'MTD Pivot'!$C:$C, $B58)</f>
        <v/>
      </c>
      <c r="G58" s="165">
        <f>SUMIFS('MTD Pivot'!H:H, 'MTD Pivot'!$A:$A, "Tiết Kiệm Online", 'MTD Pivot'!$C:$C, $B58)</f>
        <v/>
      </c>
      <c r="H58" s="165">
        <f>SUMIFS('MTD Pivot'!I:I, 'MTD Pivot'!$A:$A, "Tiết Kiệm Online", 'MTD Pivot'!$C:$C, $B58)</f>
        <v/>
      </c>
      <c r="I58" s="165">
        <f>H58-G58</f>
        <v/>
      </c>
      <c r="J58" s="165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165" t="n"/>
      <c r="B59" s="165" t="inlineStr">
        <is>
          <t>Referral</t>
        </is>
      </c>
      <c r="C59" s="165">
        <f>SUMIFS('MTD Pivot'!D:D, 'MTD Pivot'!$A:$A, "Tiết Kiệm Online", 'MTD Pivot'!$C:$C, $B59)</f>
        <v/>
      </c>
      <c r="D59" s="165">
        <f>SUMIFS('MTD Pivot'!E:E, 'MTD Pivot'!$A:$A, "Tiết Kiệm Online", 'MTD Pivot'!$C:$C, $B59)</f>
        <v/>
      </c>
      <c r="E59" s="165">
        <f>SUMIFS('MTD Pivot'!F:F, 'MTD Pivot'!$A:$A, "Tiết Kiệm Online", 'MTD Pivot'!$C:$C, $B59)</f>
        <v/>
      </c>
      <c r="F59" s="165">
        <f>SUMIFS('MTD Pivot'!G:G, 'MTD Pivot'!$A:$A, "Tiết Kiệm Online", 'MTD Pivot'!$C:$C, $B59)</f>
        <v/>
      </c>
      <c r="G59" s="165">
        <f>SUMIFS('MTD Pivot'!H:H, 'MTD Pivot'!$A:$A, "Tiết Kiệm Online", 'MTD Pivot'!$C:$C, $B59)</f>
        <v/>
      </c>
      <c r="H59" s="165">
        <f>SUMIFS('MTD Pivot'!I:I, 'MTD Pivot'!$A:$A, "Tiết Kiệm Online", 'MTD Pivot'!$C:$C, $B59)</f>
        <v/>
      </c>
      <c r="I59" s="165">
        <f>H59-G59</f>
        <v/>
      </c>
      <c r="J59" s="165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165" t="n"/>
      <c r="B60" s="165" t="inlineStr">
        <is>
          <t>Direct</t>
        </is>
      </c>
      <c r="C60" s="165">
        <f>SUMIFS('MTD Pivot'!D:D, 'MTD Pivot'!$A:$A, "Tiết Kiệm Online", 'MTD Pivot'!$C:$C, $B60)</f>
        <v/>
      </c>
      <c r="D60" s="165">
        <f>SUMIFS('MTD Pivot'!E:E, 'MTD Pivot'!$A:$A, "Tiết Kiệm Online", 'MTD Pivot'!$C:$C, $B60)</f>
        <v/>
      </c>
      <c r="E60" s="165">
        <f>SUMIFS('MTD Pivot'!F:F, 'MTD Pivot'!$A:$A, "Tiết Kiệm Online", 'MTD Pivot'!$C:$C, $B60)</f>
        <v/>
      </c>
      <c r="F60" s="165">
        <f>SUMIFS('MTD Pivot'!G:G, 'MTD Pivot'!$A:$A, "Tiết Kiệm Online", 'MTD Pivot'!$C:$C, $B60)</f>
        <v/>
      </c>
      <c r="G60" s="165">
        <f>SUMIFS('MTD Pivot'!H:H, 'MTD Pivot'!$A:$A, "Tiết Kiệm Online", 'MTD Pivot'!$C:$C, $B60)</f>
        <v/>
      </c>
      <c r="H60" s="165">
        <f>SUMIFS('MTD Pivot'!I:I, 'MTD Pivot'!$A:$A, "Tiết Kiệm Online", 'MTD Pivot'!$C:$C, $B60)</f>
        <v/>
      </c>
      <c r="I60" s="165">
        <f>H60-G60</f>
        <v/>
      </c>
      <c r="J60" s="165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165" t="n"/>
      <c r="B61" s="165" t="inlineStr">
        <is>
          <t>Others</t>
        </is>
      </c>
      <c r="C61" s="165">
        <f>SUMIFS('MTD Pivot'!D:D, 'MTD Pivot'!$A:$A, "Tiết Kiệm Online", 'MTD Pivot'!$C:$C, $B61)</f>
        <v/>
      </c>
      <c r="D61" s="165">
        <f>SUMIFS('MTD Pivot'!E:E, 'MTD Pivot'!$A:$A, "Tiết Kiệm Online", 'MTD Pivot'!$C:$C, $B61)</f>
        <v/>
      </c>
      <c r="E61" s="165">
        <f>SUMIFS('MTD Pivot'!F:F, 'MTD Pivot'!$A:$A, "Tiết Kiệm Online", 'MTD Pivot'!$C:$C, $B61)</f>
        <v/>
      </c>
      <c r="F61" s="165">
        <f>SUMIFS('MTD Pivot'!G:G, 'MTD Pivot'!$A:$A, "Tiết Kiệm Online", 'MTD Pivot'!$C:$C, $B61)</f>
        <v/>
      </c>
      <c r="G61" s="165">
        <f>SUMIFS('MTD Pivot'!H:H, 'MTD Pivot'!$A:$A, "Tiết Kiệm Online", 'MTD Pivot'!$C:$C, $B61)</f>
        <v/>
      </c>
      <c r="H61" s="165">
        <f>SUMIFS('MTD Pivot'!I:I, 'MTD Pivot'!$A:$A, "Tiết Kiệm Online", 'MTD Pivot'!$C:$C, $B61)</f>
        <v/>
      </c>
      <c r="I61" s="165">
        <f>H61-G61</f>
        <v/>
      </c>
      <c r="J61" s="165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165" t="n"/>
      <c r="B62" s="165" t="inlineStr">
        <is>
          <t>Paid</t>
        </is>
      </c>
      <c r="C62" s="165">
        <f>SUMIFS('MTD Pivot'!D:D, 'MTD Pivot'!$A:$A, "Tiết Kiệm Online", 'MTD Pivot'!$C:$C, $B62)</f>
        <v/>
      </c>
      <c r="D62" s="165">
        <f>SUMIFS('MTD Pivot'!E:E, 'MTD Pivot'!$A:$A, "Tiết Kiệm Online", 'MTD Pivot'!$C:$C, $B62)</f>
        <v/>
      </c>
      <c r="E62" s="165">
        <f>SUMIFS('MTD Pivot'!F:F, 'MTD Pivot'!$A:$A, "Tiết Kiệm Online", 'MTD Pivot'!$C:$C, $B62)</f>
        <v/>
      </c>
      <c r="F62" s="165">
        <f>SUMIFS('MTD Pivot'!G:G, 'MTD Pivot'!$A:$A, "Tiết Kiệm Online", 'MTD Pivot'!$C:$C, $B62)</f>
        <v/>
      </c>
      <c r="G62" s="165">
        <f>SUMIFS('MTD Pivot'!H:H, 'MTD Pivot'!$A:$A, "Tiết Kiệm Online", 'MTD Pivot'!$C:$C, $B62)</f>
        <v/>
      </c>
      <c r="H62" s="165">
        <f>SUMIFS('MTD Pivot'!I:I, 'MTD Pivot'!$A:$A, "Tiết Kiệm Online", 'MTD Pivot'!$C:$C, $B62)</f>
        <v/>
      </c>
      <c r="I62" s="165">
        <f>H62-G62</f>
        <v/>
      </c>
      <c r="J62" s="165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163" t="inlineStr">
        <is>
          <t>Thanh Toán Thẻ Tín Dụng</t>
        </is>
      </c>
      <c r="B64" s="163" t="n"/>
      <c r="C64" s="163">
        <f>sum(C65:C69)</f>
        <v/>
      </c>
      <c r="D64" s="163">
        <f>sum(D65:D69)</f>
        <v/>
      </c>
      <c r="E64" s="163">
        <f>sum(E65:E69)</f>
        <v/>
      </c>
      <c r="F64" s="163">
        <f>sum(F65:F69)</f>
        <v/>
      </c>
      <c r="G64" s="163">
        <f>sum(G65:G69)</f>
        <v/>
      </c>
      <c r="H64" s="163">
        <f>sum(H65:H69)</f>
        <v/>
      </c>
      <c r="I64" s="165">
        <f>H64-G64</f>
        <v/>
      </c>
      <c r="J64" s="165" t="n"/>
      <c r="K64" s="172">
        <f>sum(K65:K69)</f>
        <v/>
      </c>
      <c r="L64" s="172">
        <f>sum(L65:L69)</f>
        <v/>
      </c>
      <c r="M64" s="172">
        <f>sum(M65:M69)</f>
        <v/>
      </c>
      <c r="N64" s="172">
        <f>sum(N65:N69)</f>
        <v/>
      </c>
      <c r="O64" s="172">
        <f>sum(O65:O69)</f>
        <v/>
      </c>
      <c r="P64" s="172">
        <f>sum(P65:P69)</f>
        <v/>
      </c>
      <c r="Q64" s="39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165" t="n"/>
      <c r="B65" s="165" t="inlineStr">
        <is>
          <t>Organic</t>
        </is>
      </c>
      <c r="C65" s="165">
        <f>SUMIFS('MTD Pivot'!D:D, 'MTD Pivot'!$A:$A, "Thanh Toán Thẻ Tín Dụng", 'MTD Pivot'!$C:$C, $B65)</f>
        <v/>
      </c>
      <c r="D65" s="165">
        <f>SUMIFS('MTD Pivot'!E:E, 'MTD Pivot'!$A:$A, "Thanh Toán Thẻ Tín Dụng", 'MTD Pivot'!$C:$C, $B65)</f>
        <v/>
      </c>
      <c r="E65" s="165">
        <f>SUMIFS('MTD Pivot'!F:F, 'MTD Pivot'!$A:$A, "Thanh Toán Thẻ Tín Dụng", 'MTD Pivot'!$C:$C, $B65)</f>
        <v/>
      </c>
      <c r="F65" s="165">
        <f>SUMIFS('MTD Pivot'!G:G, 'MTD Pivot'!$A:$A, "Thanh Toán Thẻ Tín Dụng", 'MTD Pivot'!$C:$C, $B65)</f>
        <v/>
      </c>
      <c r="G65" s="165">
        <f>SUMIFS('MTD Pivot'!H:H, 'MTD Pivot'!$A:$A, "Thanh Toán Thẻ Tín Dụng", 'MTD Pivot'!$C:$C, $B65)</f>
        <v/>
      </c>
      <c r="H65" s="165">
        <f>SUMIFS('MTD Pivot'!I:I, 'MTD Pivot'!$A:$A, "Thanh Toán Thẻ Tín Dụng", 'MTD Pivot'!$C:$C, $B65)</f>
        <v/>
      </c>
      <c r="I65" s="165">
        <f>H65-G65</f>
        <v/>
      </c>
      <c r="J65" s="165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165" t="n"/>
      <c r="B66" s="165" t="inlineStr">
        <is>
          <t>Direct</t>
        </is>
      </c>
      <c r="C66" s="165">
        <f>SUMIFS('MTD Pivot'!D:D, 'MTD Pivot'!$A:$A, "Thanh Toán Thẻ Tín Dụng", 'MTD Pivot'!$C:$C, $B66)</f>
        <v/>
      </c>
      <c r="D66" s="165">
        <f>SUMIFS('MTD Pivot'!E:E, 'MTD Pivot'!$A:$A, "Thanh Toán Thẻ Tín Dụng", 'MTD Pivot'!$C:$C, $B66)</f>
        <v/>
      </c>
      <c r="E66" s="165">
        <f>SUMIFS('MTD Pivot'!F:F, 'MTD Pivot'!$A:$A, "Thanh Toán Thẻ Tín Dụng", 'MTD Pivot'!$C:$C, $B66)</f>
        <v/>
      </c>
      <c r="F66" s="165">
        <f>SUMIFS('MTD Pivot'!G:G, 'MTD Pivot'!$A:$A, "Thanh Toán Thẻ Tín Dụng", 'MTD Pivot'!$C:$C, $B66)</f>
        <v/>
      </c>
      <c r="G66" s="165">
        <f>SUMIFS('MTD Pivot'!H:H, 'MTD Pivot'!$A:$A, "Thanh Toán Thẻ Tín Dụng", 'MTD Pivot'!$C:$C, $B66)</f>
        <v/>
      </c>
      <c r="H66" s="165">
        <f>SUMIFS('MTD Pivot'!I:I, 'MTD Pivot'!$A:$A, "Thanh Toán Thẻ Tín Dụng", 'MTD Pivot'!$C:$C, $B66)</f>
        <v/>
      </c>
      <c r="I66" s="165">
        <f>H66-G66</f>
        <v/>
      </c>
      <c r="J66" s="165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165" t="n"/>
      <c r="B67" s="165" t="inlineStr">
        <is>
          <t>Referral</t>
        </is>
      </c>
      <c r="C67" s="165">
        <f>SUMIFS('MTD Pivot'!D:D, 'MTD Pivot'!$A:$A, "Thanh Toán Thẻ Tín Dụng", 'MTD Pivot'!$C:$C, $B67)</f>
        <v/>
      </c>
      <c r="D67" s="165">
        <f>SUMIFS('MTD Pivot'!E:E, 'MTD Pivot'!$A:$A, "Thanh Toán Thẻ Tín Dụng", 'MTD Pivot'!$C:$C, $B67)</f>
        <v/>
      </c>
      <c r="E67" s="165">
        <f>SUMIFS('MTD Pivot'!F:F, 'MTD Pivot'!$A:$A, "Thanh Toán Thẻ Tín Dụng", 'MTD Pivot'!$C:$C, $B67)</f>
        <v/>
      </c>
      <c r="F67" s="165">
        <f>SUMIFS('MTD Pivot'!G:G, 'MTD Pivot'!$A:$A, "Thanh Toán Thẻ Tín Dụng", 'MTD Pivot'!$C:$C, $B67)</f>
        <v/>
      </c>
      <c r="G67" s="165">
        <f>SUMIFS('MTD Pivot'!H:H, 'MTD Pivot'!$A:$A, "Thanh Toán Thẻ Tín Dụng", 'MTD Pivot'!$C:$C, $B67)</f>
        <v/>
      </c>
      <c r="H67" s="165">
        <f>SUMIFS('MTD Pivot'!I:I, 'MTD Pivot'!$A:$A, "Thanh Toán Thẻ Tín Dụng", 'MTD Pivot'!$C:$C, $B67)</f>
        <v/>
      </c>
      <c r="I67" s="165">
        <f>H67-G67</f>
        <v/>
      </c>
      <c r="J67" s="165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165" t="n"/>
      <c r="B68" s="165" t="inlineStr">
        <is>
          <t>Paid</t>
        </is>
      </c>
      <c r="C68" s="165">
        <f>SUMIFS('MTD Pivot'!D:D, 'MTD Pivot'!$A:$A, "Thanh Toán Thẻ Tín Dụng", 'MTD Pivot'!$C:$C, $B68)</f>
        <v/>
      </c>
      <c r="D68" s="165">
        <f>SUMIFS('MTD Pivot'!E:E, 'MTD Pivot'!$A:$A, "Thanh Toán Thẻ Tín Dụng", 'MTD Pivot'!$C:$C, $B68)</f>
        <v/>
      </c>
      <c r="E68" s="165">
        <f>SUMIFS('MTD Pivot'!F:F, 'MTD Pivot'!$A:$A, "Thanh Toán Thẻ Tín Dụng", 'MTD Pivot'!$C:$C, $B68)</f>
        <v/>
      </c>
      <c r="F68" s="165">
        <f>SUMIFS('MTD Pivot'!G:G, 'MTD Pivot'!$A:$A, "Thanh Toán Thẻ Tín Dụng", 'MTD Pivot'!$C:$C, $B68)</f>
        <v/>
      </c>
      <c r="G68" s="165">
        <f>SUMIFS('MTD Pivot'!H:H, 'MTD Pivot'!$A:$A, "Thanh Toán Thẻ Tín Dụng", 'MTD Pivot'!$C:$C, $B68)</f>
        <v/>
      </c>
      <c r="H68" s="165">
        <f>SUMIFS('MTD Pivot'!I:I, 'MTD Pivot'!$A:$A, "Thanh Toán Thẻ Tín Dụng", 'MTD Pivot'!$C:$C, $B68)</f>
        <v/>
      </c>
      <c r="I68" s="165">
        <f>H68-G68</f>
        <v/>
      </c>
      <c r="J68" s="165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165" t="n"/>
      <c r="B69" s="165" t="inlineStr">
        <is>
          <t>Others</t>
        </is>
      </c>
      <c r="C69" s="165">
        <f>SUMIFS('MTD Pivot'!D:D, 'MTD Pivot'!$A:$A, "Thanh Toán Thẻ Tín Dụng", 'MTD Pivot'!$C:$C, $B69)</f>
        <v/>
      </c>
      <c r="D69" s="165">
        <f>SUMIFS('MTD Pivot'!E:E, 'MTD Pivot'!$A:$A, "Thanh Toán Thẻ Tín Dụng", 'MTD Pivot'!$C:$C, $B69)</f>
        <v/>
      </c>
      <c r="E69" s="165">
        <f>SUMIFS('MTD Pivot'!F:F, 'MTD Pivot'!$A:$A, "Thanh Toán Thẻ Tín Dụng", 'MTD Pivot'!$C:$C, $B69)</f>
        <v/>
      </c>
      <c r="F69" s="165">
        <f>SUMIFS('MTD Pivot'!G:G, 'MTD Pivot'!$A:$A, "Thanh Toán Thẻ Tín Dụng", 'MTD Pivot'!$C:$C, $B69)</f>
        <v/>
      </c>
      <c r="G69" s="165">
        <f>SUMIFS('MTD Pivot'!H:H, 'MTD Pivot'!$A:$A, "Thanh Toán Thẻ Tín Dụng", 'MTD Pivot'!$C:$C, $B69)</f>
        <v/>
      </c>
      <c r="H69" s="165">
        <f>SUMIFS('MTD Pivot'!I:I, 'MTD Pivot'!$A:$A, "Thanh Toán Thẻ Tín Dụng", 'MTD Pivot'!$C:$C, $B69)</f>
        <v/>
      </c>
      <c r="I69" s="165">
        <f>H69-G69</f>
        <v/>
      </c>
      <c r="J69" s="165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163" t="inlineStr">
        <is>
          <t>Chứng Chỉ Quỹ</t>
        </is>
      </c>
      <c r="B71" s="163" t="n"/>
      <c r="C71" s="163">
        <f>sum(C72:C76)</f>
        <v/>
      </c>
      <c r="D71" s="163">
        <f>sum(D72:D76)</f>
        <v/>
      </c>
      <c r="E71" s="163">
        <f>sum(E72:E76)</f>
        <v/>
      </c>
      <c r="F71" s="163">
        <f>sum(F72:F76)</f>
        <v/>
      </c>
      <c r="G71" s="163">
        <f>sum(G72:G76)</f>
        <v/>
      </c>
      <c r="H71" s="163">
        <f>sum(H72:H76)</f>
        <v/>
      </c>
      <c r="I71" s="165">
        <f>H71-G71</f>
        <v/>
      </c>
      <c r="J71" s="165" t="n"/>
      <c r="K71" s="172">
        <f>sum(K72:K76)</f>
        <v/>
      </c>
      <c r="L71" s="172">
        <f>sum(L72:L76)</f>
        <v/>
      </c>
      <c r="M71" s="172">
        <f>sum(M72:M76)</f>
        <v/>
      </c>
      <c r="N71" s="172">
        <f>sum(N72:N76)</f>
        <v/>
      </c>
      <c r="O71" s="172">
        <f>sum(O72:O76)</f>
        <v/>
      </c>
      <c r="P71" s="172">
        <f>sum(P72:P76)</f>
        <v/>
      </c>
      <c r="Q71" s="39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165" t="n"/>
      <c r="B72" s="165" t="inlineStr">
        <is>
          <t>Organic</t>
        </is>
      </c>
      <c r="C72" s="165">
        <f>SUMIFS('MTD Pivot'!D:D, 'MTD Pivot'!$A:$A, "Chứng Chỉ Quỹ", 'MTD Pivot'!$C:$C, $B72)</f>
        <v/>
      </c>
      <c r="D72" s="165">
        <f>SUMIFS('MTD Pivot'!E:E, 'MTD Pivot'!$A:$A, "Chứng Chỉ Quỹ", 'MTD Pivot'!$C:$C, $B72)</f>
        <v/>
      </c>
      <c r="E72" s="165">
        <f>SUMIFS('MTD Pivot'!F:F, 'MTD Pivot'!$A:$A, "Chứng Chỉ Quỹ", 'MTD Pivot'!$C:$C, $B72)</f>
        <v/>
      </c>
      <c r="F72" s="165">
        <f>SUMIFS('MTD Pivot'!G:G, 'MTD Pivot'!$A:$A, "Chứng Chỉ Quỹ", 'MTD Pivot'!$C:$C, $B72)</f>
        <v/>
      </c>
      <c r="G72" s="165">
        <f>SUMIFS('MTD Pivot'!H:H, 'MTD Pivot'!$A:$A, "Chứng Chỉ Quỹ", 'MTD Pivot'!$C:$C, $B72)</f>
        <v/>
      </c>
      <c r="H72" s="165">
        <f>SUMIFS('MTD Pivot'!I:I, 'MTD Pivot'!$A:$A, "Chứng Chỉ Quỹ", 'MTD Pivot'!$C:$C, $B72)</f>
        <v/>
      </c>
      <c r="I72" s="165">
        <f>H72-G72</f>
        <v/>
      </c>
      <c r="J72" s="165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165" t="n"/>
      <c r="B73" s="165" t="inlineStr">
        <is>
          <t>Direct</t>
        </is>
      </c>
      <c r="C73" s="165">
        <f>SUMIFS('MTD Pivot'!D:D, 'MTD Pivot'!$A:$A, "Chứng Chỉ Quỹ", 'MTD Pivot'!$C:$C, $B73)</f>
        <v/>
      </c>
      <c r="D73" s="165">
        <f>SUMIFS('MTD Pivot'!E:E, 'MTD Pivot'!$A:$A, "Chứng Chỉ Quỹ", 'MTD Pivot'!$C:$C, $B73)</f>
        <v/>
      </c>
      <c r="E73" s="165">
        <f>SUMIFS('MTD Pivot'!F:F, 'MTD Pivot'!$A:$A, "Chứng Chỉ Quỹ", 'MTD Pivot'!$C:$C, $B73)</f>
        <v/>
      </c>
      <c r="F73" s="165">
        <f>SUMIFS('MTD Pivot'!G:G, 'MTD Pivot'!$A:$A, "Chứng Chỉ Quỹ", 'MTD Pivot'!$C:$C, $B73)</f>
        <v/>
      </c>
      <c r="G73" s="165">
        <f>SUMIFS('MTD Pivot'!H:H, 'MTD Pivot'!$A:$A, "Chứng Chỉ Quỹ", 'MTD Pivot'!$C:$C, $B73)</f>
        <v/>
      </c>
      <c r="H73" s="165">
        <f>SUMIFS('MTD Pivot'!I:I, 'MTD Pivot'!$A:$A, "Chứng Chỉ Quỹ", 'MTD Pivot'!$C:$C, $B73)</f>
        <v/>
      </c>
      <c r="I73" s="165">
        <f>H73-G73</f>
        <v/>
      </c>
      <c r="J73" s="165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165" t="n"/>
      <c r="B74" s="165" t="inlineStr">
        <is>
          <t>Referral</t>
        </is>
      </c>
      <c r="C74" s="165">
        <f>SUMIFS('MTD Pivot'!D:D, 'MTD Pivot'!$A:$A, "Chứng Chỉ Quỹ", 'MTD Pivot'!$C:$C, $B74)</f>
        <v/>
      </c>
      <c r="D74" s="165">
        <f>SUMIFS('MTD Pivot'!E:E, 'MTD Pivot'!$A:$A, "Chứng Chỉ Quỹ", 'MTD Pivot'!$C:$C, $B74)</f>
        <v/>
      </c>
      <c r="E74" s="165">
        <f>SUMIFS('MTD Pivot'!F:F, 'MTD Pivot'!$A:$A, "Chứng Chỉ Quỹ", 'MTD Pivot'!$C:$C, $B74)</f>
        <v/>
      </c>
      <c r="F74" s="165">
        <f>SUMIFS('MTD Pivot'!G:G, 'MTD Pivot'!$A:$A, "Chứng Chỉ Quỹ", 'MTD Pivot'!$C:$C, $B74)</f>
        <v/>
      </c>
      <c r="G74" s="165">
        <f>SUMIFS('MTD Pivot'!H:H, 'MTD Pivot'!$A:$A, "Chứng Chỉ Quỹ", 'MTD Pivot'!$C:$C, $B74)</f>
        <v/>
      </c>
      <c r="H74" s="165">
        <f>SUMIFS('MTD Pivot'!I:I, 'MTD Pivot'!$A:$A, "Chứng Chỉ Quỹ", 'MTD Pivot'!$C:$C, $B74)</f>
        <v/>
      </c>
      <c r="I74" s="165">
        <f>H74-G74</f>
        <v/>
      </c>
      <c r="J74" s="165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165" t="n"/>
      <c r="B75" s="165" t="inlineStr">
        <is>
          <t>Others</t>
        </is>
      </c>
      <c r="C75" s="165">
        <f>SUMIFS('MTD Pivot'!D:D, 'MTD Pivot'!$A:$A, "Chứng Chỉ Quỹ", 'MTD Pivot'!$C:$C, $B75)</f>
        <v/>
      </c>
      <c r="D75" s="165">
        <f>SUMIFS('MTD Pivot'!E:E, 'MTD Pivot'!$A:$A, "Chứng Chỉ Quỹ", 'MTD Pivot'!$C:$C, $B75)</f>
        <v/>
      </c>
      <c r="E75" s="165">
        <f>SUMIFS('MTD Pivot'!F:F, 'MTD Pivot'!$A:$A, "Chứng Chỉ Quỹ", 'MTD Pivot'!$C:$C, $B75)</f>
        <v/>
      </c>
      <c r="F75" s="165">
        <f>SUMIFS('MTD Pivot'!G:G, 'MTD Pivot'!$A:$A, "Chứng Chỉ Quỹ", 'MTD Pivot'!$C:$C, $B75)</f>
        <v/>
      </c>
      <c r="G75" s="165">
        <f>SUMIFS('MTD Pivot'!H:H, 'MTD Pivot'!$A:$A, "Chứng Chỉ Quỹ", 'MTD Pivot'!$C:$C, $B75)</f>
        <v/>
      </c>
      <c r="H75" s="165">
        <f>SUMIFS('MTD Pivot'!I:I, 'MTD Pivot'!$A:$A, "Chứng Chỉ Quỹ", 'MTD Pivot'!$C:$C, $B75)</f>
        <v/>
      </c>
      <c r="I75" s="165">
        <f>H75-G75</f>
        <v/>
      </c>
      <c r="J75" s="165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165" t="n"/>
      <c r="B76" s="165" t="inlineStr">
        <is>
          <t>Paid</t>
        </is>
      </c>
      <c r="C76" s="165">
        <f>SUMIFS('MTD Pivot'!D:D, 'MTD Pivot'!$A:$A, "Chứng Chỉ Quỹ", 'MTD Pivot'!$C:$C, $B76)</f>
        <v/>
      </c>
      <c r="D76" s="165">
        <f>SUMIFS('MTD Pivot'!E:E, 'MTD Pivot'!$A:$A, "Chứng Chỉ Quỹ", 'MTD Pivot'!$C:$C, $B76)</f>
        <v/>
      </c>
      <c r="E76" s="165">
        <f>SUMIFS('MTD Pivot'!F:F, 'MTD Pivot'!$A:$A, "Chứng Chỉ Quỹ", 'MTD Pivot'!$C:$C, $B76)</f>
        <v/>
      </c>
      <c r="F76" s="165">
        <f>SUMIFS('MTD Pivot'!G:G, 'MTD Pivot'!$A:$A, "Chứng Chỉ Quỹ", 'MTD Pivot'!$C:$C, $B76)</f>
        <v/>
      </c>
      <c r="G76" s="165">
        <f>SUMIFS('MTD Pivot'!H:H, 'MTD Pivot'!$A:$A, "Chứng Chỉ Quỹ", 'MTD Pivot'!$C:$C, $B76)</f>
        <v/>
      </c>
      <c r="H76" s="165">
        <f>SUMIFS('MTD Pivot'!I:I, 'MTD Pivot'!$A:$A, "Chứng Chỉ Quỹ", 'MTD Pivot'!$C:$C, $B76)</f>
        <v/>
      </c>
      <c r="I76" s="165">
        <f>H76-G76</f>
        <v/>
      </c>
      <c r="J76" s="165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163" t="inlineStr">
        <is>
          <t>Sàn đầu tư</t>
        </is>
      </c>
      <c r="B78" s="163" t="n"/>
      <c r="C78" s="163">
        <f>sum(C79:C83)</f>
        <v/>
      </c>
      <c r="D78" s="163">
        <f>sum(D79:D83)</f>
        <v/>
      </c>
      <c r="E78" s="163">
        <f>sum(E79:E83)</f>
        <v/>
      </c>
      <c r="F78" s="163">
        <f>sum(F79:F83)</f>
        <v/>
      </c>
      <c r="G78" s="163">
        <f>sum(G79:G83)</f>
        <v/>
      </c>
      <c r="H78" s="163">
        <f>sum(H79:H83)</f>
        <v/>
      </c>
      <c r="I78" s="165">
        <f>H78-G78</f>
        <v/>
      </c>
      <c r="J78" s="165" t="n"/>
      <c r="K78" s="172">
        <f>sum(K79:K82)</f>
        <v/>
      </c>
      <c r="L78" s="172">
        <f>sum(L79:L82)</f>
        <v/>
      </c>
      <c r="M78" s="172">
        <f>sum(M79:M82)</f>
        <v/>
      </c>
      <c r="N78" s="172">
        <f>sum(N79:N82)</f>
        <v/>
      </c>
      <c r="O78" s="172">
        <f>sum(O79:O82)</f>
        <v/>
      </c>
      <c r="P78" s="172">
        <f>sum(P79:P82)</f>
        <v/>
      </c>
      <c r="Q78" s="39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165" t="n"/>
      <c r="B79" s="165" t="inlineStr">
        <is>
          <t>Organic</t>
        </is>
      </c>
      <c r="C79" s="165">
        <f>SUMIFS('MTD Pivot'!D:D, 'MTD Pivot'!$A:$A, "Sàn đầu tư", 'MTD Pivot'!$C:$C, $B72)</f>
        <v/>
      </c>
      <c r="D79" s="165">
        <f>SUMIFS('MTD Pivot'!E:E, 'MTD Pivot'!$A:$A, "Sàn đầu tư", 'MTD Pivot'!$C:$C, $B72)</f>
        <v/>
      </c>
      <c r="E79" s="165">
        <f>SUMIFS('MTD Pivot'!F:F, 'MTD Pivot'!$A:$A, "Sàn đầu tư", 'MTD Pivot'!$C:$C, $B72)</f>
        <v/>
      </c>
      <c r="F79" s="165">
        <f>SUMIFS('MTD Pivot'!G:G, 'MTD Pivot'!$A:$A, "Sàn đầu tư", 'MTD Pivot'!$C:$C, $B72)</f>
        <v/>
      </c>
      <c r="G79" s="165">
        <f>SUMIFS('MTD Pivot'!H:H, 'MTD Pivot'!$A:$A, "Sàn đầu tư", 'MTD Pivot'!$C:$C, $B72)</f>
        <v/>
      </c>
      <c r="H79" s="165">
        <f>SUMIFS('MTD Pivot'!I:I, 'MTD Pivot'!$A:$A, "Sàn đầu tư", 'MTD Pivot'!$C:$C, $B72)</f>
        <v/>
      </c>
      <c r="I79" s="165">
        <f>H79-G79</f>
        <v/>
      </c>
      <c r="J79" s="165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165" t="n"/>
      <c r="B80" s="165" t="inlineStr">
        <is>
          <t>Direct</t>
        </is>
      </c>
      <c r="C80" s="165">
        <f>SUMIFS('MTD Pivot'!D:D, 'MTD Pivot'!$A:$A, "Sàn đầu tư", 'MTD Pivot'!$C:$C, $B73)</f>
        <v/>
      </c>
      <c r="D80" s="165">
        <f>SUMIFS('MTD Pivot'!E:E, 'MTD Pivot'!$A:$A, "Sàn đầu tư", 'MTD Pivot'!$C:$C, $B73)</f>
        <v/>
      </c>
      <c r="E80" s="165">
        <f>SUMIFS('MTD Pivot'!F:F, 'MTD Pivot'!$A:$A, "Sàn đầu tư", 'MTD Pivot'!$C:$C, $B73)</f>
        <v/>
      </c>
      <c r="F80" s="165">
        <f>SUMIFS('MTD Pivot'!G:G, 'MTD Pivot'!$A:$A, "Sàn đầu tư", 'MTD Pivot'!$C:$C, $B73)</f>
        <v/>
      </c>
      <c r="G80" s="165">
        <f>SUMIFS('MTD Pivot'!H:H, 'MTD Pivot'!$A:$A, "Sàn đầu tư", 'MTD Pivot'!$C:$C, $B73)</f>
        <v/>
      </c>
      <c r="H80" s="165">
        <f>SUMIFS('MTD Pivot'!I:I, 'MTD Pivot'!$A:$A, "Sàn đầu tư", 'MTD Pivot'!$C:$C, $B73)</f>
        <v/>
      </c>
      <c r="I80" s="165">
        <f>H80-G80</f>
        <v/>
      </c>
      <c r="J80" s="165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165" t="n"/>
      <c r="B81" s="165" t="inlineStr">
        <is>
          <t>Referral</t>
        </is>
      </c>
      <c r="C81" s="165">
        <f>SUMIFS('MTD Pivot'!D:D, 'MTD Pivot'!$A:$A, "Sàn đầu tư", 'MTD Pivot'!$C:$C, $B74)</f>
        <v/>
      </c>
      <c r="D81" s="165">
        <f>SUMIFS('MTD Pivot'!E:E, 'MTD Pivot'!$A:$A, "Sàn đầu tư", 'MTD Pivot'!$C:$C, $B74)</f>
        <v/>
      </c>
      <c r="E81" s="165">
        <f>SUMIFS('MTD Pivot'!F:F, 'MTD Pivot'!$A:$A, "Sàn đầu tư", 'MTD Pivot'!$C:$C, $B74)</f>
        <v/>
      </c>
      <c r="F81" s="165">
        <f>SUMIFS('MTD Pivot'!G:G, 'MTD Pivot'!$A:$A, "Sàn đầu tư", 'MTD Pivot'!$C:$C, $B74)</f>
        <v/>
      </c>
      <c r="G81" s="165">
        <f>SUMIFS('MTD Pivot'!H:H, 'MTD Pivot'!$A:$A, "Sàn đầu tư", 'MTD Pivot'!$C:$C, $B74)</f>
        <v/>
      </c>
      <c r="H81" s="165">
        <f>SUMIFS('MTD Pivot'!I:I, 'MTD Pivot'!$A:$A, "Sàn đầu tư", 'MTD Pivot'!$C:$C, $B74)</f>
        <v/>
      </c>
      <c r="I81" s="165">
        <f>H81-G81</f>
        <v/>
      </c>
      <c r="J81" s="165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165" t="n"/>
      <c r="B82" s="165" t="inlineStr">
        <is>
          <t>Others</t>
        </is>
      </c>
      <c r="C82" s="165">
        <f>SUMIFS('MTD Pivot'!D:D, 'MTD Pivot'!$A:$A, "Sàn đầu tư", 'MTD Pivot'!$C:$C, $B75)</f>
        <v/>
      </c>
      <c r="D82" s="165">
        <f>SUMIFS('MTD Pivot'!E:E, 'MTD Pivot'!$A:$A, "Sàn đầu tư", 'MTD Pivot'!$C:$C, $B75)</f>
        <v/>
      </c>
      <c r="E82" s="165">
        <f>SUMIFS('MTD Pivot'!F:F, 'MTD Pivot'!$A:$A, "Sàn đầu tư", 'MTD Pivot'!$C:$C, $B75)</f>
        <v/>
      </c>
      <c r="F82" s="165">
        <f>SUMIFS('MTD Pivot'!G:G, 'MTD Pivot'!$A:$A, "Sàn đầu tư", 'MTD Pivot'!$C:$C, $B75)</f>
        <v/>
      </c>
      <c r="G82" s="165">
        <f>SUMIFS('MTD Pivot'!H:H, 'MTD Pivot'!$A:$A, "Sàn đầu tư", 'MTD Pivot'!$C:$C, $B75)</f>
        <v/>
      </c>
      <c r="H82" s="165">
        <f>SUMIFS('MTD Pivot'!I:I, 'MTD Pivot'!$A:$A, "Sàn đầu tư", 'MTD Pivot'!$C:$C, $B75)</f>
        <v/>
      </c>
      <c r="I82" s="165">
        <f>H82-G82</f>
        <v/>
      </c>
      <c r="J82" s="165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165" t="n"/>
      <c r="B83" s="165" t="inlineStr">
        <is>
          <t>Paid</t>
        </is>
      </c>
      <c r="C83" s="165">
        <f>SUMIFS('MTD Pivot'!D:D, 'MTD Pivot'!$A:$A, "Sàn đầu tư", 'MTD Pivot'!$C:$C, $B76)</f>
        <v/>
      </c>
      <c r="D83" s="165">
        <f>SUMIFS('MTD Pivot'!E:E, 'MTD Pivot'!$A:$A, "Sàn đầu tư", 'MTD Pivot'!$C:$C, $B76)</f>
        <v/>
      </c>
      <c r="E83" s="165">
        <f>SUMIFS('MTD Pivot'!F:F, 'MTD Pivot'!$A:$A, "Sàn đầu tư", 'MTD Pivot'!$C:$C, $B76)</f>
        <v/>
      </c>
      <c r="F83" s="165">
        <f>SUMIFS('MTD Pivot'!G:G, 'MTD Pivot'!$A:$A, "Sàn đầu tư", 'MTD Pivot'!$C:$C, $B76)</f>
        <v/>
      </c>
      <c r="G83" s="165">
        <f>SUMIFS('MTD Pivot'!H:H, 'MTD Pivot'!$A:$A, "Sàn đầu tư", 'MTD Pivot'!$C:$C, $B76)</f>
        <v/>
      </c>
      <c r="H83" s="165">
        <f>SUMIFS('MTD Pivot'!I:I, 'MTD Pivot'!$A:$A, "Sàn đầu tư", 'MTD Pivot'!$C:$C, $B76)</f>
        <v/>
      </c>
      <c r="I83" s="165">
        <f>H83-G83</f>
        <v/>
      </c>
      <c r="J83" s="165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165" t="n"/>
      <c r="B85" s="170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39">
        <f>H85-G85</f>
        <v/>
      </c>
      <c r="J85" s="165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39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163" t="inlineStr">
        <is>
          <t>Tài Chính</t>
        </is>
      </c>
      <c r="B86" s="165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5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165" t="n"/>
      <c r="B87" s="165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5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165" t="n"/>
      <c r="B88" s="165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5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165" t="n"/>
      <c r="B89" s="165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5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165" t="n"/>
      <c r="B90" s="165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5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165" t="n"/>
      <c r="B92" s="165" t="n"/>
      <c r="C92" s="165">
        <f>sum(C93:C97)</f>
        <v/>
      </c>
      <c r="D92" s="165">
        <f>sum(D93:D97)</f>
        <v/>
      </c>
      <c r="E92" s="165">
        <f>sum(E93:E97)</f>
        <v/>
      </c>
      <c r="F92" s="165">
        <f>sum(F93:F97)</f>
        <v/>
      </c>
      <c r="G92" s="165">
        <f>sum(G93:G97)</f>
        <v/>
      </c>
      <c r="H92" s="165">
        <f>sum(H93:H97)</f>
        <v/>
      </c>
      <c r="I92" s="165">
        <f>H92-G92</f>
        <v/>
      </c>
      <c r="J92" s="165" t="n"/>
      <c r="K92" s="165">
        <f>sum(K93:K97)</f>
        <v/>
      </c>
      <c r="L92" s="165">
        <f>sum(L93:L97)</f>
        <v/>
      </c>
      <c r="M92" s="165">
        <f>sum(M93:M97)</f>
        <v/>
      </c>
      <c r="N92" s="165">
        <f>sum(N93:N97)</f>
        <v/>
      </c>
      <c r="O92" s="165">
        <f>sum(O93:O97)</f>
        <v/>
      </c>
      <c r="P92" s="165">
        <f>sum(P93:P97)</f>
        <v/>
      </c>
      <c r="Q92" s="165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163" t="inlineStr">
        <is>
          <t>Tiệm Vàng Online</t>
        </is>
      </c>
      <c r="B93" s="165" t="inlineStr">
        <is>
          <t>Organic</t>
        </is>
      </c>
      <c r="C93" s="165">
        <f>SUMIFS('MTD Pivot'!D:D, 'MTD Pivot'!$A:$A, "Tiệm Vàng Online", 'MTD Pivot'!$C:$C, $B$93:$B$97)</f>
        <v/>
      </c>
      <c r="D93" s="165">
        <f>SUMIFS('MTD Pivot'!E:E, 'MTD Pivot'!$A:$A, "Tiệm Vàng Online", 'MTD Pivot'!$C:$C, $B$93:$B$97)</f>
        <v/>
      </c>
      <c r="E93" s="165">
        <f>SUMIFS('MTD Pivot'!F:F, 'MTD Pivot'!$A:$A, "Tiệm Vàng Online", 'MTD Pivot'!$C:$C, $B$93:$B$97)</f>
        <v/>
      </c>
      <c r="F93" s="165">
        <f>SUMIFS('MTD Pivot'!G:G, 'MTD Pivot'!$A:$A, "Tiệm Vàng Online", 'MTD Pivot'!$C:$C, $B$93:$B$97)</f>
        <v/>
      </c>
      <c r="G93" s="165">
        <f>SUMIFS('MTD Pivot'!H:H, 'MTD Pivot'!$A:$A, "Tiệm Vàng Online", 'MTD Pivot'!$C:$C, $B$93:$B$97)</f>
        <v/>
      </c>
      <c r="H93" s="165">
        <f>SUMIFS('MTD Pivot'!I:I, 'MTD Pivot'!$A:$A, "Tiệm Vàng Online", 'MTD Pivot'!$C:$C, $B$93:$B$97)</f>
        <v/>
      </c>
      <c r="I93" s="165">
        <f>H93-G93</f>
        <v/>
      </c>
      <c r="J93" s="165" t="n"/>
      <c r="K93" s="165">
        <f>SUMIFS('Full month Pivot'!D:D, 'Full month Pivot'!$A:$A, "Tiệm Vàng Online", 'Full month Pivot'!$C:$C, $B$93:$B$97)</f>
        <v/>
      </c>
      <c r="L93" s="165">
        <f>SUMIFS('Full month Pivot'!E:E, 'Full month Pivot'!$A:$A, "Tiệm Vàng Online", 'Full month Pivot'!$C:$C, $B$93:$B$97)</f>
        <v/>
      </c>
      <c r="M93" s="165">
        <f>SUMIFS('Full month Pivot'!F:F, 'Full month Pivot'!$A:$A, "Tiệm Vàng Online", 'Full month Pivot'!$C:$C, $B$93:$B$97)</f>
        <v/>
      </c>
      <c r="N93" s="165">
        <f>SUMIFS('Full month Pivot'!G:G, 'Full month Pivot'!$A:$A, "Tiệm Vàng Online", 'Full month Pivot'!$C:$C, $B$93:$B$97)</f>
        <v/>
      </c>
      <c r="O93" s="165">
        <f>SUMIFS('Full month Pivot'!H:H, 'Full month Pivot'!$A:$A, "Tiệm Vàng Online", 'Full month Pivot'!$C:$C, $B$93:$B$97)</f>
        <v/>
      </c>
      <c r="P93" s="165">
        <f>SUMIFS('Full month Pivot'!I:I, 'Full month Pivot'!$A:$A, "Tiệm Vàng Online", 'Full month Pivot'!$C:$C, $B$93:$B$97)</f>
        <v/>
      </c>
      <c r="Q93" s="165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165" t="n"/>
      <c r="B94" s="165" t="inlineStr">
        <is>
          <t>Direct</t>
        </is>
      </c>
      <c r="C94" s="165">
        <f>SUMIFS('MTD Pivot'!D:D, 'MTD Pivot'!$A:$A, "Tiệm Vàng Online", 'MTD Pivot'!$C:$C, $B$93:$B$97)</f>
        <v/>
      </c>
      <c r="D94" s="165">
        <f>SUMIFS('MTD Pivot'!E:E, 'MTD Pivot'!$A:$A, "Tiệm Vàng Online", 'MTD Pivot'!$C:$C, $B$93:$B$97)</f>
        <v/>
      </c>
      <c r="E94" s="165">
        <f>SUMIFS('MTD Pivot'!F:F, 'MTD Pivot'!$A:$A, "Tiệm Vàng Online", 'MTD Pivot'!$C:$C, $B$93:$B$97)</f>
        <v/>
      </c>
      <c r="F94" s="165">
        <f>SUMIFS('MTD Pivot'!G:G, 'MTD Pivot'!$A:$A, "Tiệm Vàng Online", 'MTD Pivot'!$C:$C, $B$93:$B$97)</f>
        <v/>
      </c>
      <c r="G94" s="165">
        <f>SUMIFS('MTD Pivot'!H:H, 'MTD Pivot'!$A:$A, "Tiệm Vàng Online", 'MTD Pivot'!$C:$C, $B$93:$B$97)</f>
        <v/>
      </c>
      <c r="H94" s="165">
        <f>SUMIFS('MTD Pivot'!I:I, 'MTD Pivot'!$A:$A, "Tiệm Vàng Online", 'MTD Pivot'!$C:$C, $B$93:$B$97)</f>
        <v/>
      </c>
      <c r="I94" s="165">
        <f>H94-G94</f>
        <v/>
      </c>
      <c r="J94" s="165" t="n"/>
      <c r="K94" s="165">
        <f>SUMIFS('Full month Pivot'!D:D, 'Full month Pivot'!$A:$A, "Tiệm Vàng Online", 'Full month Pivot'!$C:$C, $B$93:$B$97)</f>
        <v/>
      </c>
      <c r="L94" s="165">
        <f>SUMIFS('Full month Pivot'!E:E, 'Full month Pivot'!$A:$A, "Tiệm Vàng Online", 'Full month Pivot'!$C:$C, $B$93:$B$97)</f>
        <v/>
      </c>
      <c r="M94" s="165">
        <f>SUMIFS('Full month Pivot'!F:F, 'Full month Pivot'!$A:$A, "Tiệm Vàng Online", 'Full month Pivot'!$C:$C, $B$93:$B$97)</f>
        <v/>
      </c>
      <c r="N94" s="165">
        <f>SUMIFS('Full month Pivot'!G:G, 'Full month Pivot'!$A:$A, "Tiệm Vàng Online", 'Full month Pivot'!$C:$C, $B$93:$B$97)</f>
        <v/>
      </c>
      <c r="O94" s="165">
        <f>SUMIFS('Full month Pivot'!H:H, 'Full month Pivot'!$A:$A, "Tiệm Vàng Online", 'Full month Pivot'!$C:$C, $B$93:$B$97)</f>
        <v/>
      </c>
      <c r="P94" s="165">
        <f>SUMIFS('Full month Pivot'!I:I, 'Full month Pivot'!$A:$A, "Tiệm Vàng Online", 'Full month Pivot'!$C:$C, $B$93:$B$97)</f>
        <v/>
      </c>
      <c r="Q94" s="165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165" t="n"/>
      <c r="B95" s="165" t="inlineStr">
        <is>
          <t>Referral</t>
        </is>
      </c>
      <c r="C95" s="165">
        <f>SUMIFS('MTD Pivot'!D:D, 'MTD Pivot'!$A:$A, "Tiệm Vàng Online", 'MTD Pivot'!$C:$C, $B$93:$B$97)</f>
        <v/>
      </c>
      <c r="D95" s="165">
        <f>SUMIFS('MTD Pivot'!E:E, 'MTD Pivot'!$A:$A, "Tiệm Vàng Online", 'MTD Pivot'!$C:$C, $B$93:$B$97)</f>
        <v/>
      </c>
      <c r="E95" s="165">
        <f>SUMIFS('MTD Pivot'!F:F, 'MTD Pivot'!$A:$A, "Tiệm Vàng Online", 'MTD Pivot'!$C:$C, $B$93:$B$97)</f>
        <v/>
      </c>
      <c r="F95" s="165">
        <f>SUMIFS('MTD Pivot'!G:G, 'MTD Pivot'!$A:$A, "Tiệm Vàng Online", 'MTD Pivot'!$C:$C, $B$93:$B$97)</f>
        <v/>
      </c>
      <c r="G95" s="165">
        <f>SUMIFS('MTD Pivot'!H:H, 'MTD Pivot'!$A:$A, "Tiệm Vàng Online", 'MTD Pivot'!$C:$C, $B$93:$B$97)</f>
        <v/>
      </c>
      <c r="H95" s="165">
        <f>SUMIFS('MTD Pivot'!I:I, 'MTD Pivot'!$A:$A, "Tiệm Vàng Online", 'MTD Pivot'!$C:$C, $B$93:$B$97)</f>
        <v/>
      </c>
      <c r="I95" s="165">
        <f>H95-G95</f>
        <v/>
      </c>
      <c r="J95" s="165" t="n"/>
      <c r="K95" s="165">
        <f>SUMIFS('Full month Pivot'!D:D, 'Full month Pivot'!$A:$A, "Tiệm Vàng Online", 'Full month Pivot'!$C:$C, $B$93:$B$97)</f>
        <v/>
      </c>
      <c r="L95" s="165">
        <f>SUMIFS('Full month Pivot'!E:E, 'Full month Pivot'!$A:$A, "Tiệm Vàng Online", 'Full month Pivot'!$C:$C, $B$93:$B$97)</f>
        <v/>
      </c>
      <c r="M95" s="165">
        <f>SUMIFS('Full month Pivot'!F:F, 'Full month Pivot'!$A:$A, "Tiệm Vàng Online", 'Full month Pivot'!$C:$C, $B$93:$B$97)</f>
        <v/>
      </c>
      <c r="N95" s="165">
        <f>SUMIFS('Full month Pivot'!G:G, 'Full month Pivot'!$A:$A, "Tiệm Vàng Online", 'Full month Pivot'!$C:$C, $B$93:$B$97)</f>
        <v/>
      </c>
      <c r="O95" s="165">
        <f>SUMIFS('Full month Pivot'!H:H, 'Full month Pivot'!$A:$A, "Tiệm Vàng Online", 'Full month Pivot'!$C:$C, $B$93:$B$97)</f>
        <v/>
      </c>
      <c r="P95" s="165">
        <f>SUMIFS('Full month Pivot'!I:I, 'Full month Pivot'!$A:$A, "Tiệm Vàng Online", 'Full month Pivot'!$C:$C, $B$93:$B$97)</f>
        <v/>
      </c>
      <c r="Q95" s="165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165" t="n"/>
      <c r="B96" s="165" t="inlineStr">
        <is>
          <t>Others</t>
        </is>
      </c>
      <c r="C96" s="165">
        <f>SUMIFS('MTD Pivot'!D:D, 'MTD Pivot'!$A:$A, "Tiệm Vàng Online", 'MTD Pivot'!$C:$C, $B$93:$B$97)</f>
        <v/>
      </c>
      <c r="D96" s="165">
        <f>SUMIFS('MTD Pivot'!E:E, 'MTD Pivot'!$A:$A, "Tiệm Vàng Online", 'MTD Pivot'!$C:$C, $B$93:$B$97)</f>
        <v/>
      </c>
      <c r="E96" s="165">
        <f>SUMIFS('MTD Pivot'!F:F, 'MTD Pivot'!$A:$A, "Tiệm Vàng Online", 'MTD Pivot'!$C:$C, $B$93:$B$97)</f>
        <v/>
      </c>
      <c r="F96" s="165">
        <f>SUMIFS('MTD Pivot'!G:G, 'MTD Pivot'!$A:$A, "Tiệm Vàng Online", 'MTD Pivot'!$C:$C, $B$93:$B$97)</f>
        <v/>
      </c>
      <c r="G96" s="165">
        <f>SUMIFS('MTD Pivot'!H:H, 'MTD Pivot'!$A:$A, "Tiệm Vàng Online", 'MTD Pivot'!$C:$C, $B$93:$B$97)</f>
        <v/>
      </c>
      <c r="H96" s="165">
        <f>SUMIFS('MTD Pivot'!I:I, 'MTD Pivot'!$A:$A, "Tiệm Vàng Online", 'MTD Pivot'!$C:$C, $B$93:$B$97)</f>
        <v/>
      </c>
      <c r="I96" s="165">
        <f>H96-G96</f>
        <v/>
      </c>
      <c r="J96" s="165" t="n"/>
      <c r="K96" s="165">
        <f>SUMIFS('Full month Pivot'!D:D, 'Full month Pivot'!$A:$A, "Tiệm Vàng Online", 'Full month Pivot'!$C:$C, $B$93:$B$97)</f>
        <v/>
      </c>
      <c r="L96" s="165">
        <f>SUMIFS('Full month Pivot'!E:E, 'Full month Pivot'!$A:$A, "Tiệm Vàng Online", 'Full month Pivot'!$C:$C, $B$93:$B$97)</f>
        <v/>
      </c>
      <c r="M96" s="165">
        <f>SUMIFS('Full month Pivot'!F:F, 'Full month Pivot'!$A:$A, "Tiệm Vàng Online", 'Full month Pivot'!$C:$C, $B$93:$B$97)</f>
        <v/>
      </c>
      <c r="N96" s="165">
        <f>SUMIFS('Full month Pivot'!G:G, 'Full month Pivot'!$A:$A, "Tiệm Vàng Online", 'Full month Pivot'!$C:$C, $B$93:$B$97)</f>
        <v/>
      </c>
      <c r="O96" s="165">
        <f>SUMIFS('Full month Pivot'!H:H, 'Full month Pivot'!$A:$A, "Tiệm Vàng Online", 'Full month Pivot'!$C:$C, $B$93:$B$97)</f>
        <v/>
      </c>
      <c r="P96" s="165">
        <f>SUMIFS('Full month Pivot'!I:I, 'Full month Pivot'!$A:$A, "Tiệm Vàng Online", 'Full month Pivot'!$C:$C, $B$93:$B$97)</f>
        <v/>
      </c>
      <c r="Q96" s="165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inlineStr">
        <is>
          <t>Paid</t>
        </is>
      </c>
      <c r="C97" s="165">
        <f>SUMIFS('MTD Pivot'!D:D, 'MTD Pivot'!$A:$A, "Tiệm Vàng Online", 'MTD Pivot'!$C:$C, $B$93:$B$97)</f>
        <v/>
      </c>
      <c r="D97" s="165">
        <f>SUMIFS('MTD Pivot'!E:E, 'MTD Pivot'!$A:$A, "Tiệm Vàng Online", 'MTD Pivot'!$C:$C, $B$93:$B$97)</f>
        <v/>
      </c>
      <c r="E97" s="165">
        <f>SUMIFS('MTD Pivot'!F:F, 'MTD Pivot'!$A:$A, "Tiệm Vàng Online", 'MTD Pivot'!$C:$C, $B$93:$B$97)</f>
        <v/>
      </c>
      <c r="F97" s="165">
        <f>SUMIFS('MTD Pivot'!G:G, 'MTD Pivot'!$A:$A, "Tiệm Vàng Online", 'MTD Pivot'!$C:$C, $B$93:$B$97)</f>
        <v/>
      </c>
      <c r="G97" s="165">
        <f>SUMIFS('MTD Pivot'!H:H, 'MTD Pivot'!$A:$A, "Tiệm Vàng Online", 'MTD Pivot'!$C:$C, $B$93:$B$97)</f>
        <v/>
      </c>
      <c r="H97" s="165">
        <f>SUMIFS('MTD Pivot'!I:I, 'MTD Pivot'!$A:$A, "Tiệm Vàng Online", 'MTD Pivot'!$C:$C, $B$93:$B$97)</f>
        <v/>
      </c>
      <c r="I97" s="165">
        <f>H97-G97</f>
        <v/>
      </c>
      <c r="J97" s="165" t="n"/>
      <c r="K97" s="165">
        <f>SUMIFS('Full month Pivot'!D:D, 'Full month Pivot'!$A:$A, "Tiệm Vàng Online", 'Full month Pivot'!$C:$C, $B$93:$B$97)</f>
        <v/>
      </c>
      <c r="L97" s="165">
        <f>SUMIFS('Full month Pivot'!E:E, 'Full month Pivot'!$A:$A, "Tiệm Vàng Online", 'Full month Pivot'!$C:$C, $B$93:$B$97)</f>
        <v/>
      </c>
      <c r="M97" s="165">
        <f>SUMIFS('Full month Pivot'!F:F, 'Full month Pivot'!$A:$A, "Tiệm Vàng Online", 'Full month Pivot'!$C:$C, $B$93:$B$97)</f>
        <v/>
      </c>
      <c r="N97" s="165">
        <f>SUMIFS('Full month Pivot'!G:G, 'Full month Pivot'!$A:$A, "Tiệm Vàng Online", 'Full month Pivot'!$C:$C, $B$93:$B$97)</f>
        <v/>
      </c>
      <c r="O97" s="165">
        <f>SUMIFS('Full month Pivot'!H:H, 'Full month Pivot'!$A:$A, "Tiệm Vàng Online", 'Full month Pivot'!$C:$C, $B$93:$B$97)</f>
        <v/>
      </c>
      <c r="P97" s="165">
        <f>SUMIFS('Full month Pivot'!I:I, 'Full month Pivot'!$A:$A, "Tiệm Vàng Online", 'Full month Pivot'!$C:$C, $B$93:$B$97)</f>
        <v/>
      </c>
      <c r="Q97" s="165">
        <f>P97-O97</f>
        <v/>
      </c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5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6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Phạt Nguội</t>
        </is>
      </c>
      <c r="B7" s="164" t="inlineStr">
        <is>
          <t>Paid</t>
        </is>
      </c>
      <c r="C7" s="164">
        <f>SUMIFS('MTD Pivot'!D:D, 'MTD Pivot'!$A:$A, $A$7, 'MTD Pivot'!$C:$C, $B7)</f>
        <v/>
      </c>
      <c r="D7" s="164">
        <f>SUMIFS('MTD Pivot'!E:E, 'MTD Pivot'!$A:$A, $A$7, 'MTD Pivot'!$C:$C, $B7)</f>
        <v/>
      </c>
      <c r="E7" s="164">
        <f>SUMIFS('MTD Pivot'!F:F, 'MTD Pivot'!$A:$A, $A$7, 'MTD Pivot'!$C:$C, $B7)</f>
        <v/>
      </c>
      <c r="F7" s="164">
        <f>SUMIFS('MTD Pivot'!G:G, 'MTD Pivot'!$A:$A, $A$7, 'MTD Pivot'!$C:$C, $B7)</f>
        <v/>
      </c>
      <c r="G7" s="164">
        <f>SUMIFS('MTD Pivot'!H:H, 'MTD Pivot'!$A:$A, $A$7, 'MTD Pivot'!$C:$C, $B7)</f>
        <v/>
      </c>
      <c r="H7" s="164">
        <f>SUMIFS('MTD Pivot'!I:I, 'MTD Pivot'!$A:$A, $A$7, 'MTD Pivot'!$C:$C, $B7)</f>
        <v/>
      </c>
      <c r="I7" s="39">
        <f>H7-G7</f>
        <v/>
      </c>
      <c r="J7" s="165" t="n"/>
      <c r="K7" s="164">
        <f>SUMIFS('Full month Pivot'!D:D, 'Full month Pivot'!$A:$A, "Phạt Nguội", 'Full month Pivot'!$C:$C, $B7)</f>
        <v/>
      </c>
      <c r="L7" s="164">
        <f>SUMIFS('Full month Pivot'!E:E, 'Full month Pivot'!$A:$A, "Phạt Nguội", 'Full month Pivot'!$C:$C, $B7)</f>
        <v/>
      </c>
      <c r="M7" s="164">
        <f>SUMIFS('Full month Pivot'!F:F, 'Full month Pivot'!$A:$A, "Phạt Nguội", 'Full month Pivot'!$C:$C, $B7)</f>
        <v/>
      </c>
      <c r="N7" s="164">
        <f>SUMIFS('Full month Pivot'!G:G, 'Full month Pivot'!$A:$A, "Phạt Nguội", 'Full month Pivot'!$C:$C, $B7)</f>
        <v/>
      </c>
      <c r="O7" s="164">
        <f>SUMIFS('Full month Pivot'!H:H, 'Full month Pivot'!$A:$A, "Phạt Nguội", 'Full month Pivot'!$C:$C, $B7)</f>
        <v/>
      </c>
      <c r="P7" s="164">
        <f>SUMIFS('Full month Pivot'!I:I, 'Full month Pivot'!$A:$A, "Phạt Nguội",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$A$7, 'MTD Pivot'!$C:$C, $B8)</f>
        <v/>
      </c>
      <c r="D8" s="164">
        <f>SUMIFS('MTD Pivot'!E:E, 'MTD Pivot'!$A:$A, $A$7, 'MTD Pivot'!$C:$C, $B8)</f>
        <v/>
      </c>
      <c r="E8" s="164">
        <f>SUMIFS('MTD Pivot'!F:F, 'MTD Pivot'!$A:$A, $A$7, 'MTD Pivot'!$C:$C, $B8)</f>
        <v/>
      </c>
      <c r="F8" s="164">
        <f>SUMIFS('MTD Pivot'!G:G, 'MTD Pivot'!$A:$A, $A$7, 'MTD Pivot'!$C:$C, $B8)</f>
        <v/>
      </c>
      <c r="G8" s="164">
        <f>SUMIFS('MTD Pivot'!H:H, 'MTD Pivot'!$A:$A, $A$7, 'MTD Pivot'!$C:$C, $B8)</f>
        <v/>
      </c>
      <c r="H8" s="164">
        <f>SUMIFS('MTD Pivot'!I:I, 'MTD Pivot'!$A:$A, $A$7, 'MTD Pivot'!$C:$C, $B8)</f>
        <v/>
      </c>
      <c r="I8" s="39">
        <f>H8-G8</f>
        <v/>
      </c>
      <c r="J8" s="165" t="n"/>
      <c r="K8" s="164">
        <f>SUMIFS('Full month Pivot'!D:D, 'Full month Pivot'!$A:$A, "Phạt Nguội", 'Full month Pivot'!$C:$C, $B8)</f>
        <v/>
      </c>
      <c r="L8" s="164">
        <f>SUMIFS('Full month Pivot'!E:E, 'Full month Pivot'!$A:$A, "Phạt Nguội", 'Full month Pivot'!$C:$C, $B8)</f>
        <v/>
      </c>
      <c r="M8" s="164">
        <f>SUMIFS('Full month Pivot'!F:F, 'Full month Pivot'!$A:$A, "Phạt Nguội", 'Full month Pivot'!$C:$C, $B8)</f>
        <v/>
      </c>
      <c r="N8" s="164">
        <f>SUMIFS('Full month Pivot'!G:G, 'Full month Pivot'!$A:$A, "Phạt Nguội", 'Full month Pivot'!$C:$C, $B8)</f>
        <v/>
      </c>
      <c r="O8" s="164">
        <f>SUMIFS('Full month Pivot'!H:H, 'Full month Pivot'!$A:$A, "Phạt Nguội", 'Full month Pivot'!$C:$C, $B8)</f>
        <v/>
      </c>
      <c r="P8" s="164">
        <f>SUMIFS('Full month Pivot'!I:I, 'Full month Pivot'!$A:$A, "Phạt Nguội",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Organic</t>
        </is>
      </c>
      <c r="C9" s="164">
        <f>SUMIFS('MTD Pivot'!D:D, 'MTD Pivot'!$A:$A, $A$7, 'MTD Pivot'!$C:$C, $B9)</f>
        <v/>
      </c>
      <c r="D9" s="164">
        <f>SUMIFS('MTD Pivot'!E:E, 'MTD Pivot'!$A:$A, $A$7, 'MTD Pivot'!$C:$C, $B9)</f>
        <v/>
      </c>
      <c r="E9" s="164">
        <f>SUMIFS('MTD Pivot'!F:F, 'MTD Pivot'!$A:$A, $A$7, 'MTD Pivot'!$C:$C, $B9)</f>
        <v/>
      </c>
      <c r="F9" s="164">
        <f>SUMIFS('MTD Pivot'!G:G, 'MTD Pivot'!$A:$A, $A$7, 'MTD Pivot'!$C:$C, $B9)</f>
        <v/>
      </c>
      <c r="G9" s="164">
        <f>SUMIFS('MTD Pivot'!H:H, 'MTD Pivot'!$A:$A, $A$7, 'MTD Pivot'!$C:$C, $B9)</f>
        <v/>
      </c>
      <c r="H9" s="164">
        <f>SUMIFS('MTD Pivot'!I:I, 'MTD Pivot'!$A:$A, $A$7, 'MTD Pivot'!$C:$C, $B9)</f>
        <v/>
      </c>
      <c r="I9" s="39">
        <f>H9-G9</f>
        <v/>
      </c>
      <c r="J9" s="165" t="n"/>
      <c r="K9" s="164">
        <f>SUMIFS('Full month Pivot'!D:D, 'Full month Pivot'!$A:$A, "Phạt Nguội", 'Full month Pivot'!$C:$C, $B9)</f>
        <v/>
      </c>
      <c r="L9" s="164">
        <f>SUMIFS('Full month Pivot'!E:E, 'Full month Pivot'!$A:$A, "Phạt Nguội", 'Full month Pivot'!$C:$C, $B9)</f>
        <v/>
      </c>
      <c r="M9" s="164">
        <f>SUMIFS('Full month Pivot'!F:F, 'Full month Pivot'!$A:$A, "Phạt Nguội", 'Full month Pivot'!$C:$C, $B9)</f>
        <v/>
      </c>
      <c r="N9" s="164">
        <f>SUMIFS('Full month Pivot'!G:G, 'Full month Pivot'!$A:$A, "Phạt Nguội", 'Full month Pivot'!$C:$C, $B9)</f>
        <v/>
      </c>
      <c r="O9" s="164">
        <f>SUMIFS('Full month Pivot'!H:H, 'Full month Pivot'!$A:$A, "Phạt Nguội", 'Full month Pivot'!$C:$C, $B9)</f>
        <v/>
      </c>
      <c r="P9" s="164">
        <f>SUMIFS('Full month Pivot'!I:I, 'Full month Pivot'!$A:$A, "Phạt Nguội",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Others</t>
        </is>
      </c>
      <c r="C10" s="164">
        <f>SUMIFS('MTD Pivot'!D:D, 'MTD Pivot'!$A:$A, $A$7, 'MTD Pivot'!$C:$C, $B10)</f>
        <v/>
      </c>
      <c r="D10" s="164">
        <f>SUMIFS('MTD Pivot'!E:E, 'MTD Pivot'!$A:$A, $A$7, 'MTD Pivot'!$C:$C, $B10)</f>
        <v/>
      </c>
      <c r="E10" s="164">
        <f>SUMIFS('MTD Pivot'!F:F, 'MTD Pivot'!$A:$A, $A$7, 'MTD Pivot'!$C:$C, $B10)</f>
        <v/>
      </c>
      <c r="F10" s="164">
        <f>SUMIFS('MTD Pivot'!G:G, 'MTD Pivot'!$A:$A, $A$7, 'MTD Pivot'!$C:$C, $B10)</f>
        <v/>
      </c>
      <c r="G10" s="164">
        <f>SUMIFS('MTD Pivot'!H:H, 'MTD Pivot'!$A:$A, $A$7, 'MTD Pivot'!$C:$C, $B10)</f>
        <v/>
      </c>
      <c r="H10" s="164">
        <f>SUMIFS('MTD Pivot'!I:I, 'MTD Pivot'!$A:$A, $A$7, 'MTD Pivot'!$C:$C, $B10)</f>
        <v/>
      </c>
      <c r="I10" s="39">
        <f>H10-G10</f>
        <v/>
      </c>
      <c r="J10" s="165" t="n"/>
      <c r="K10" s="164">
        <f>SUMIFS('Full month Pivot'!D:D, 'Full month Pivot'!$A:$A, "Phạt Nguội", 'Full month Pivot'!$C:$C, $B10)</f>
        <v/>
      </c>
      <c r="L10" s="164">
        <f>SUMIFS('Full month Pivot'!E:E, 'Full month Pivot'!$A:$A, "Phạt Nguội", 'Full month Pivot'!$C:$C, $B10)</f>
        <v/>
      </c>
      <c r="M10" s="164">
        <f>SUMIFS('Full month Pivot'!F:F, 'Full month Pivot'!$A:$A, "Phạt Nguội", 'Full month Pivot'!$C:$C, $B10)</f>
        <v/>
      </c>
      <c r="N10" s="164">
        <f>SUMIFS('Full month Pivot'!G:G, 'Full month Pivot'!$A:$A, "Phạt Nguội", 'Full month Pivot'!$C:$C, $B10)</f>
        <v/>
      </c>
      <c r="O10" s="164">
        <f>SUMIFS('Full month Pivot'!H:H, 'Full month Pivot'!$A:$A, "Phạt Nguội", 'Full month Pivot'!$C:$C, $B10)</f>
        <v/>
      </c>
      <c r="P10" s="164">
        <f>SUMIFS('Full month Pivot'!I:I, 'Full month Pivot'!$A:$A, "Phạt Nguội",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Referral</t>
        </is>
      </c>
      <c r="C11" s="164">
        <f>SUMIFS('MTD Pivot'!D:D, 'MTD Pivot'!$A:$A, $A$7, 'MTD Pivot'!$C:$C, $B11)</f>
        <v/>
      </c>
      <c r="D11" s="164">
        <f>SUMIFS('MTD Pivot'!E:E, 'MTD Pivot'!$A:$A, $A$7, 'MTD Pivot'!$C:$C, $B11)</f>
        <v/>
      </c>
      <c r="E11" s="164">
        <f>SUMIFS('MTD Pivot'!F:F, 'MTD Pivot'!$A:$A, $A$7, 'MTD Pivot'!$C:$C, $B11)</f>
        <v/>
      </c>
      <c r="F11" s="164">
        <f>SUMIFS('MTD Pivot'!G:G, 'MTD Pivot'!$A:$A, $A$7, 'MTD Pivot'!$C:$C, $B11)</f>
        <v/>
      </c>
      <c r="G11" s="164">
        <f>SUMIFS('MTD Pivot'!H:H, 'MTD Pivot'!$A:$A, $A$7, 'MTD Pivot'!$C:$C, $B11)</f>
        <v/>
      </c>
      <c r="H11" s="164">
        <f>SUMIFS('MTD Pivot'!I:I, 'MTD Pivot'!$A:$A, $A$7, 'MTD Pivot'!$C:$C, $B11)</f>
        <v/>
      </c>
      <c r="I11" s="39">
        <f>H11-G11</f>
        <v/>
      </c>
      <c r="J11" s="165" t="n"/>
      <c r="K11" s="164">
        <f>SUMIFS('Full month Pivot'!D:D, 'Full month Pivot'!$A:$A, "Phạt Nguội", 'Full month Pivot'!$C:$C, $B11)</f>
        <v/>
      </c>
      <c r="L11" s="164">
        <f>SUMIFS('Full month Pivot'!E:E, 'Full month Pivot'!$A:$A, "Phạt Nguội", 'Full month Pivot'!$C:$C, $B11)</f>
        <v/>
      </c>
      <c r="M11" s="164">
        <f>SUMIFS('Full month Pivot'!F:F, 'Full month Pivot'!$A:$A, "Phạt Nguội", 'Full month Pivot'!$C:$C, $B11)</f>
        <v/>
      </c>
      <c r="N11" s="164">
        <f>SUMIFS('Full month Pivot'!G:G, 'Full month Pivot'!$A:$A, "Phạt Nguội", 'Full month Pivot'!$C:$C, $B11)</f>
        <v/>
      </c>
      <c r="O11" s="164">
        <f>SUMIFS('Full month Pivot'!H:H, 'Full month Pivot'!$A:$A, "Phạt Nguội", 'Full month Pivot'!$C:$C, $B11)</f>
        <v/>
      </c>
      <c r="P11" s="164">
        <f>SUMIFS('Full month Pivot'!I:I, 'Full month Pivot'!$A:$A, "Phạt Nguội",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Bảo Hiểm Ô Tô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"Bảo Hiểm Ô Tô", 'MTD Pivot'!$C:$C, $B14)</f>
        <v/>
      </c>
      <c r="D14" s="164">
        <f>SUMIFS('MTD Pivot'!E:E, 'MTD Pivot'!$A:$A, "Bảo Hiểm Ô Tô", 'MTD Pivot'!$C:$C, $B14)</f>
        <v/>
      </c>
      <c r="E14" s="164">
        <f>SUMIFS('MTD Pivot'!F:F, 'MTD Pivot'!$A:$A, "Bảo Hiểm Ô Tô", 'MTD Pivot'!$C:$C, $B14)</f>
        <v/>
      </c>
      <c r="F14" s="164">
        <f>SUMIFS('MTD Pivot'!G:G, 'MTD Pivot'!$A:$A, "Bảo Hiểm Ô Tô", 'MTD Pivot'!$C:$C, $B14)</f>
        <v/>
      </c>
      <c r="G14" s="164">
        <f>SUMIFS('MTD Pivot'!H:H, 'MTD Pivot'!$A:$A, "Bảo Hiểm Ô Tô", 'MTD Pivot'!$C:$C, $B14)</f>
        <v/>
      </c>
      <c r="H14" s="164">
        <f>SUMIFS('MTD Pivot'!I:I, 'MTD Pivot'!$A:$A, "Bảo Hiểm Ô Tô", 'MTD Pivot'!$C:$C, $B14)</f>
        <v/>
      </c>
      <c r="I14" s="39">
        <f>H14-G14</f>
        <v/>
      </c>
      <c r="J14" s="165" t="n"/>
      <c r="K14" s="164">
        <f>SUMIFS('Full month Pivot'!D:D, 'Full month Pivot'!$A:$A, "Bảo Hiểm Ô Tô", 'Full month Pivot'!$C:$C, $B14)</f>
        <v/>
      </c>
      <c r="L14" s="164">
        <f>SUMIFS('Full month Pivot'!E:E, 'Full month Pivot'!$A:$A, "Bảo Hiểm Ô Tô", 'Full month Pivot'!$C:$C, $B14)</f>
        <v/>
      </c>
      <c r="M14" s="164">
        <f>SUMIFS('Full month Pivot'!F:F, 'Full month Pivot'!$A:$A, "Bảo Hiểm Ô Tô", 'Full month Pivot'!$C:$C, $B14)</f>
        <v/>
      </c>
      <c r="N14" s="164">
        <f>SUMIFS('Full month Pivot'!G:G, 'Full month Pivot'!$A:$A, "Bảo Hiểm Ô Tô", 'Full month Pivot'!$C:$C, $B14)</f>
        <v/>
      </c>
      <c r="O14" s="164">
        <f>SUMIFS('Full month Pivot'!H:H, 'Full month Pivot'!$A:$A, "Bảo Hiểm Ô Tô", 'Full month Pivot'!$C:$C, $B14)</f>
        <v/>
      </c>
      <c r="P14" s="164">
        <f>SUMIFS('Full month Pivot'!I:I, 'Full month Pivot'!$A:$A, "Bảo Hiểm Ô Tô",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"Bảo Hiểm Ô Tô", 'MTD Pivot'!$C:$C, $B15)</f>
        <v/>
      </c>
      <c r="D15" s="164">
        <f>SUMIFS('MTD Pivot'!E:E, 'MTD Pivot'!$A:$A, "Bảo Hiểm Ô Tô", 'MTD Pivot'!$C:$C, $B15)</f>
        <v/>
      </c>
      <c r="E15" s="164">
        <f>SUMIFS('MTD Pivot'!F:F, 'MTD Pivot'!$A:$A, "Bảo Hiểm Ô Tô", 'MTD Pivot'!$C:$C, $B15)</f>
        <v/>
      </c>
      <c r="F15" s="164">
        <f>SUMIFS('MTD Pivot'!G:G, 'MTD Pivot'!$A:$A, "Bảo Hiểm Ô Tô", 'MTD Pivot'!$C:$C, $B15)</f>
        <v/>
      </c>
      <c r="G15" s="164">
        <f>SUMIFS('MTD Pivot'!H:H, 'MTD Pivot'!$A:$A, "Bảo Hiểm Ô Tô", 'MTD Pivot'!$C:$C, $B15)</f>
        <v/>
      </c>
      <c r="H15" s="164">
        <f>SUMIFS('MTD Pivot'!I:I, 'MTD Pivot'!$A:$A, "Bảo Hiểm Ô Tô", 'MTD Pivot'!$C:$C, $B15)</f>
        <v/>
      </c>
      <c r="I15" s="39">
        <f>H15-G15</f>
        <v/>
      </c>
      <c r="J15" s="165" t="n"/>
      <c r="K15" s="164">
        <f>SUMIFS('Full month Pivot'!D:D, 'Full month Pivot'!$A:$A, "Bảo Hiểm Ô Tô", 'Full month Pivot'!$C:$C, $B15)</f>
        <v/>
      </c>
      <c r="L15" s="164">
        <f>SUMIFS('Full month Pivot'!E:E, 'Full month Pivot'!$A:$A, "Bảo Hiểm Ô Tô", 'Full month Pivot'!$C:$C, $B15)</f>
        <v/>
      </c>
      <c r="M15" s="164">
        <f>SUMIFS('Full month Pivot'!F:F, 'Full month Pivot'!$A:$A, "Bảo Hiểm Ô Tô", 'Full month Pivot'!$C:$C, $B15)</f>
        <v/>
      </c>
      <c r="N15" s="164">
        <f>SUMIFS('Full month Pivot'!G:G, 'Full month Pivot'!$A:$A, "Bảo Hiểm Ô Tô", 'Full month Pivot'!$C:$C, $B15)</f>
        <v/>
      </c>
      <c r="O15" s="164">
        <f>SUMIFS('Full month Pivot'!H:H, 'Full month Pivot'!$A:$A, "Bảo Hiểm Ô Tô", 'Full month Pivot'!$C:$C, $B15)</f>
        <v/>
      </c>
      <c r="P15" s="164">
        <f>SUMIFS('Full month Pivot'!I:I, 'Full month Pivot'!$A:$A, "Bảo Hiểm Ô Tô",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"Bảo Hiểm Ô Tô", 'MTD Pivot'!$C:$C, $B16)</f>
        <v/>
      </c>
      <c r="D16" s="164">
        <f>SUMIFS('MTD Pivot'!E:E, 'MTD Pivot'!$A:$A, "Bảo Hiểm Ô Tô", 'MTD Pivot'!$C:$C, $B16)</f>
        <v/>
      </c>
      <c r="E16" s="164">
        <f>SUMIFS('MTD Pivot'!F:F, 'MTD Pivot'!$A:$A, "Bảo Hiểm Ô Tô", 'MTD Pivot'!$C:$C, $B16)</f>
        <v/>
      </c>
      <c r="F16" s="164">
        <f>SUMIFS('MTD Pivot'!G:G, 'MTD Pivot'!$A:$A, "Bảo Hiểm Ô Tô", 'MTD Pivot'!$C:$C, $B16)</f>
        <v/>
      </c>
      <c r="G16" s="164">
        <f>SUMIFS('MTD Pivot'!H:H, 'MTD Pivot'!$A:$A, "Bảo Hiểm Ô Tô", 'MTD Pivot'!$C:$C, $B16)</f>
        <v/>
      </c>
      <c r="H16" s="164">
        <f>SUMIFS('MTD Pivot'!I:I, 'MTD Pivot'!$A:$A, "Bảo Hiểm Ô Tô", 'MTD Pivot'!$C:$C, $B16)</f>
        <v/>
      </c>
      <c r="I16" s="39">
        <f>H16-G16</f>
        <v/>
      </c>
      <c r="J16" s="165" t="n"/>
      <c r="K16" s="164">
        <f>SUMIFS('Full month Pivot'!D:D, 'Full month Pivot'!$A:$A, "Bảo Hiểm Ô Tô", 'Full month Pivot'!$C:$C, $B16)</f>
        <v/>
      </c>
      <c r="L16" s="164">
        <f>SUMIFS('Full month Pivot'!E:E, 'Full month Pivot'!$A:$A, "Bảo Hiểm Ô Tô", 'Full month Pivot'!$C:$C, $B16)</f>
        <v/>
      </c>
      <c r="M16" s="164">
        <f>SUMIFS('Full month Pivot'!F:F, 'Full month Pivot'!$A:$A, "Bảo Hiểm Ô Tô", 'Full month Pivot'!$C:$C, $B16)</f>
        <v/>
      </c>
      <c r="N16" s="164">
        <f>SUMIFS('Full month Pivot'!G:G, 'Full month Pivot'!$A:$A, "Bảo Hiểm Ô Tô", 'Full month Pivot'!$C:$C, $B16)</f>
        <v/>
      </c>
      <c r="O16" s="164">
        <f>SUMIFS('Full month Pivot'!H:H, 'Full month Pivot'!$A:$A, "Bảo Hiểm Ô Tô", 'Full month Pivot'!$C:$C, $B16)</f>
        <v/>
      </c>
      <c r="P16" s="164">
        <f>SUMIFS('Full month Pivot'!I:I, 'Full month Pivot'!$A:$A, "Bảo Hiểm Ô Tô",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"Bảo Hiểm Ô Tô", 'MTD Pivot'!$C:$C, $B17)</f>
        <v/>
      </c>
      <c r="D17" s="164">
        <f>SUMIFS('MTD Pivot'!E:E, 'MTD Pivot'!$A:$A, "Bảo Hiểm Ô Tô", 'MTD Pivot'!$C:$C, $B17)</f>
        <v/>
      </c>
      <c r="E17" s="164">
        <f>SUMIFS('MTD Pivot'!F:F, 'MTD Pivot'!$A:$A, "Bảo Hiểm Ô Tô", 'MTD Pivot'!$C:$C, $B17)</f>
        <v/>
      </c>
      <c r="F17" s="164">
        <f>SUMIFS('MTD Pivot'!G:G, 'MTD Pivot'!$A:$A, "Bảo Hiểm Ô Tô", 'MTD Pivot'!$C:$C, $B17)</f>
        <v/>
      </c>
      <c r="G17" s="164">
        <f>SUMIFS('MTD Pivot'!H:H, 'MTD Pivot'!$A:$A, "Bảo Hiểm Ô Tô", 'MTD Pivot'!$C:$C, $B17)</f>
        <v/>
      </c>
      <c r="H17" s="164">
        <f>SUMIFS('MTD Pivot'!I:I, 'MTD Pivot'!$A:$A, "Bảo Hiểm Ô Tô", 'MTD Pivot'!$C:$C, $B17)</f>
        <v/>
      </c>
      <c r="I17" s="39">
        <f>H17-G17</f>
        <v/>
      </c>
      <c r="J17" s="165" t="n"/>
      <c r="K17" s="164">
        <f>SUMIFS('Full month Pivot'!D:D, 'Full month Pivot'!$A:$A, "Bảo Hiểm Ô Tô", 'Full month Pivot'!$C:$C, $B17)</f>
        <v/>
      </c>
      <c r="L17" s="164">
        <f>SUMIFS('Full month Pivot'!E:E, 'Full month Pivot'!$A:$A, "Bảo Hiểm Ô Tô", 'Full month Pivot'!$C:$C, $B17)</f>
        <v/>
      </c>
      <c r="M17" s="164">
        <f>SUMIFS('Full month Pivot'!F:F, 'Full month Pivot'!$A:$A, "Bảo Hiểm Ô Tô", 'Full month Pivot'!$C:$C, $B17)</f>
        <v/>
      </c>
      <c r="N17" s="164">
        <f>SUMIFS('Full month Pivot'!G:G, 'Full month Pivot'!$A:$A, "Bảo Hiểm Ô Tô", 'Full month Pivot'!$C:$C, $B17)</f>
        <v/>
      </c>
      <c r="O17" s="164">
        <f>SUMIFS('Full month Pivot'!H:H, 'Full month Pivot'!$A:$A, "Bảo Hiểm Ô Tô", 'Full month Pivot'!$C:$C, $B17)</f>
        <v/>
      </c>
      <c r="P17" s="164">
        <f>SUMIFS('Full month Pivot'!I:I, 'Full month Pivot'!$A:$A, "Bảo Hiểm Ô Tô",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"Bảo Hiểm Ô Tô", 'MTD Pivot'!$C:$C, $B18)</f>
        <v/>
      </c>
      <c r="D18" s="164">
        <f>SUMIFS('MTD Pivot'!E:E, 'MTD Pivot'!$A:$A, "Bảo Hiểm Ô Tô", 'MTD Pivot'!$C:$C, $B18)</f>
        <v/>
      </c>
      <c r="E18" s="164">
        <f>SUMIFS('MTD Pivot'!F:F, 'MTD Pivot'!$A:$A, "Bảo Hiểm Ô Tô", 'MTD Pivot'!$C:$C, $B18)</f>
        <v/>
      </c>
      <c r="F18" s="164">
        <f>SUMIFS('MTD Pivot'!G:G, 'MTD Pivot'!$A:$A, "Bảo Hiểm Ô Tô", 'MTD Pivot'!$C:$C, $B18)</f>
        <v/>
      </c>
      <c r="G18" s="164">
        <f>SUMIFS('MTD Pivot'!H:H, 'MTD Pivot'!$A:$A, "Bảo Hiểm Ô Tô", 'MTD Pivot'!$C:$C, $B18)</f>
        <v/>
      </c>
      <c r="H18" s="164">
        <f>SUMIFS('MTD Pivot'!I:I, 'MTD Pivot'!$A:$A, "Bảo Hiểm Ô Tô", 'MTD Pivot'!$C:$C, $B18)</f>
        <v/>
      </c>
      <c r="I18" s="39">
        <f>H18-G18</f>
        <v/>
      </c>
      <c r="J18" s="165" t="n"/>
      <c r="K18" s="164">
        <f>SUMIFS('Full month Pivot'!D:D, 'Full month Pivot'!$A:$A, "Bảo Hiểm Ô Tô", 'Full month Pivot'!$C:$C, $B18)</f>
        <v/>
      </c>
      <c r="L18" s="164">
        <f>SUMIFS('Full month Pivot'!E:E, 'Full month Pivot'!$A:$A, "Bảo Hiểm Ô Tô", 'Full month Pivot'!$C:$C, $B18)</f>
        <v/>
      </c>
      <c r="M18" s="164">
        <f>SUMIFS('Full month Pivot'!F:F, 'Full month Pivot'!$A:$A, "Bảo Hiểm Ô Tô", 'Full month Pivot'!$C:$C, $B18)</f>
        <v/>
      </c>
      <c r="N18" s="164">
        <f>SUMIFS('Full month Pivot'!G:G, 'Full month Pivot'!$A:$A, "Bảo Hiểm Ô Tô", 'Full month Pivot'!$C:$C, $B18)</f>
        <v/>
      </c>
      <c r="O18" s="164">
        <f>SUMIFS('Full month Pivot'!H:H, 'Full month Pivot'!$A:$A, "Bảo Hiểm Ô Tô", 'Full month Pivot'!$C:$C, $B18)</f>
        <v/>
      </c>
      <c r="P18" s="164">
        <f>SUMIFS('Full month Pivot'!I:I, 'Full month Pivot'!$A:$A, "Bảo Hiểm Ô Tô",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3" t="inlineStr">
        <is>
          <t>Bảo Hiểm Xe Máy</t>
        </is>
      </c>
      <c r="B20" s="165" t="n"/>
      <c r="C20" s="172">
        <f>sum(C21:C25)</f>
        <v/>
      </c>
      <c r="D20" s="172">
        <f>sum(D21:D25)</f>
        <v/>
      </c>
      <c r="E20" s="172">
        <f>sum(E21:E25)</f>
        <v/>
      </c>
      <c r="F20" s="172">
        <f>sum(F21:F25)</f>
        <v/>
      </c>
      <c r="G20" s="172">
        <f>sum(G21:G25)</f>
        <v/>
      </c>
      <c r="H20" s="172">
        <f>sum(H21:H25)</f>
        <v/>
      </c>
      <c r="I20" s="39">
        <f>H20-G20</f>
        <v/>
      </c>
      <c r="J20" s="165" t="n"/>
      <c r="K20" s="172">
        <f>sum(K21:K25)</f>
        <v/>
      </c>
      <c r="L20" s="172">
        <f>sum(L21:L25)</f>
        <v/>
      </c>
      <c r="M20" s="172">
        <f>sum(M21:M25)</f>
        <v/>
      </c>
      <c r="N20" s="172">
        <f>sum(N21:N25)</f>
        <v/>
      </c>
      <c r="O20" s="172">
        <f>sum(O21:O25)</f>
        <v/>
      </c>
      <c r="P20" s="172">
        <f>sum(P21:P25)</f>
        <v/>
      </c>
      <c r="Q20" s="204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4" t="inlineStr">
        <is>
          <t>Organic</t>
        </is>
      </c>
      <c r="C21" s="164">
        <f>SUMIFS('MTD Pivot'!D:D, 'MTD Pivot'!$A:$A, "Bảo Hiểm Xe Máy", 'MTD Pivot'!$C:$C, $B21)</f>
        <v/>
      </c>
      <c r="D21" s="164">
        <f>SUMIFS('MTD Pivot'!E:E, 'MTD Pivot'!$A:$A, "Bảo Hiểm Xe Máy", 'MTD Pivot'!$C:$C, $B21)</f>
        <v/>
      </c>
      <c r="E21" s="164">
        <f>SUMIFS('MTD Pivot'!F:F, 'MTD Pivot'!$A:$A, "Bảo Hiểm Xe Máy", 'MTD Pivot'!$C:$C, $B21)</f>
        <v/>
      </c>
      <c r="F21" s="164">
        <f>SUMIFS('MTD Pivot'!G:G, 'MTD Pivot'!$A:$A, "Bảo Hiểm Xe Máy", 'MTD Pivot'!$C:$C, $B21)</f>
        <v/>
      </c>
      <c r="G21" s="164">
        <f>SUMIFS('MTD Pivot'!H:H, 'MTD Pivot'!$A:$A, "Bảo Hiểm Xe Máy", 'MTD Pivot'!$C:$C, $B21)</f>
        <v/>
      </c>
      <c r="H21" s="164">
        <f>SUMIFS('MTD Pivot'!I:I, 'MTD Pivot'!$A:$A, "Bảo Hiểm Xe Máy", 'MTD Pivot'!$C:$C, $B21)</f>
        <v/>
      </c>
      <c r="I21" s="39">
        <f>H21-G21</f>
        <v/>
      </c>
      <c r="J21" s="165" t="n"/>
      <c r="K21" s="164">
        <f>SUMIFS('Full month Pivot'!D:D, 'Full month Pivot'!$A:$A, "Bảo Hiểm Xe Máy", 'Full month Pivot'!$C:$C, $B21)</f>
        <v/>
      </c>
      <c r="L21" s="164">
        <f>SUMIFS('Full month Pivot'!E:E, 'Full month Pivot'!$A:$A, "Bảo Hiểm Xe Máy", 'Full month Pivot'!$C:$C, $B21)</f>
        <v/>
      </c>
      <c r="M21" s="164">
        <f>SUMIFS('Full month Pivot'!F:F, 'Full month Pivot'!$A:$A, "Bảo Hiểm Xe Máy", 'Full month Pivot'!$C:$C, $B21)</f>
        <v/>
      </c>
      <c r="N21" s="164">
        <f>SUMIFS('Full month Pivot'!G:G, 'Full month Pivot'!$A:$A, "Bảo Hiểm Xe Máy", 'Full month Pivot'!$C:$C, $B21)</f>
        <v/>
      </c>
      <c r="O21" s="164">
        <f>SUMIFS('Full month Pivot'!H:H, 'Full month Pivot'!$A:$A, "Bảo Hiểm Xe Máy", 'Full month Pivot'!$C:$C, $B21)</f>
        <v/>
      </c>
      <c r="P21" s="164">
        <f>SUMIFS('Full month Pivot'!I:I, 'Full month Pivot'!$A:$A, "Bảo Hiểm Xe Máy", 'Full month Pivot'!$C:$C, $B21)</f>
        <v/>
      </c>
      <c r="Q21" s="204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4" t="inlineStr">
        <is>
          <t>Direct</t>
        </is>
      </c>
      <c r="C22" s="164">
        <f>SUMIFS('MTD Pivot'!D:D, 'MTD Pivot'!$A:$A, "Bảo Hiểm Xe Máy", 'MTD Pivot'!$C:$C, $B22)</f>
        <v/>
      </c>
      <c r="D22" s="164">
        <f>SUMIFS('MTD Pivot'!E:E, 'MTD Pivot'!$A:$A, "Bảo Hiểm Xe Máy", 'MTD Pivot'!$C:$C, $B22)</f>
        <v/>
      </c>
      <c r="E22" s="164">
        <f>SUMIFS('MTD Pivot'!F:F, 'MTD Pivot'!$A:$A, "Bảo Hiểm Xe Máy", 'MTD Pivot'!$C:$C, $B22)</f>
        <v/>
      </c>
      <c r="F22" s="164">
        <f>SUMIFS('MTD Pivot'!G:G, 'MTD Pivot'!$A:$A, "Bảo Hiểm Xe Máy", 'MTD Pivot'!$C:$C, $B22)</f>
        <v/>
      </c>
      <c r="G22" s="164">
        <f>SUMIFS('MTD Pivot'!H:H, 'MTD Pivot'!$A:$A, "Bảo Hiểm Xe Máy", 'MTD Pivot'!$C:$C, $B22)</f>
        <v/>
      </c>
      <c r="H22" s="164">
        <f>SUMIFS('MTD Pivot'!I:I, 'MTD Pivot'!$A:$A, "Bảo Hiểm Xe Máy", 'MTD Pivot'!$C:$C, $B22)</f>
        <v/>
      </c>
      <c r="I22" s="39">
        <f>H22-G22</f>
        <v/>
      </c>
      <c r="J22" s="165" t="n"/>
      <c r="K22" s="164">
        <f>SUMIFS('Full month Pivot'!D:D, 'Full month Pivot'!$A:$A, "Bảo Hiểm Xe Máy", 'Full month Pivot'!$C:$C, $B22)</f>
        <v/>
      </c>
      <c r="L22" s="164">
        <f>SUMIFS('Full month Pivot'!E:E, 'Full month Pivot'!$A:$A, "Bảo Hiểm Xe Máy", 'Full month Pivot'!$C:$C, $B22)</f>
        <v/>
      </c>
      <c r="M22" s="164">
        <f>SUMIFS('Full month Pivot'!F:F, 'Full month Pivot'!$A:$A, "Bảo Hiểm Xe Máy", 'Full month Pivot'!$C:$C, $B22)</f>
        <v/>
      </c>
      <c r="N22" s="164">
        <f>SUMIFS('Full month Pivot'!G:G, 'Full month Pivot'!$A:$A, "Bảo Hiểm Xe Máy", 'Full month Pivot'!$C:$C, $B22)</f>
        <v/>
      </c>
      <c r="O22" s="164">
        <f>SUMIFS('Full month Pivot'!H:H, 'Full month Pivot'!$A:$A, "Bảo Hiểm Xe Máy", 'Full month Pivot'!$C:$C, $B22)</f>
        <v/>
      </c>
      <c r="P22" s="164">
        <f>SUMIFS('Full month Pivot'!I:I, 'Full month Pivot'!$A:$A, "Bảo Hiểm Xe Máy", 'Full month Pivot'!$C:$C, $B22)</f>
        <v/>
      </c>
      <c r="Q22" s="204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4" t="inlineStr">
        <is>
          <t>Referral</t>
        </is>
      </c>
      <c r="C23" s="164">
        <f>SUMIFS('MTD Pivot'!D:D, 'MTD Pivot'!$A:$A, "Bảo Hiểm Xe Máy", 'MTD Pivot'!$C:$C, $B23)</f>
        <v/>
      </c>
      <c r="D23" s="164">
        <f>SUMIFS('MTD Pivot'!E:E, 'MTD Pivot'!$A:$A, "Bảo Hiểm Xe Máy", 'MTD Pivot'!$C:$C, $B23)</f>
        <v/>
      </c>
      <c r="E23" s="164">
        <f>SUMIFS('MTD Pivot'!F:F, 'MTD Pivot'!$A:$A, "Bảo Hiểm Xe Máy", 'MTD Pivot'!$C:$C, $B23)</f>
        <v/>
      </c>
      <c r="F23" s="164">
        <f>SUMIFS('MTD Pivot'!G:G, 'MTD Pivot'!$A:$A, "Bảo Hiểm Xe Máy", 'MTD Pivot'!$C:$C, $B23)</f>
        <v/>
      </c>
      <c r="G23" s="164">
        <f>SUMIFS('MTD Pivot'!H:H, 'MTD Pivot'!$A:$A, "Bảo Hiểm Xe Máy", 'MTD Pivot'!$C:$C, $B23)</f>
        <v/>
      </c>
      <c r="H23" s="164">
        <f>SUMIFS('MTD Pivot'!I:I, 'MTD Pivot'!$A:$A, "Bảo Hiểm Xe Máy", 'MTD Pivot'!$C:$C, $B23)</f>
        <v/>
      </c>
      <c r="I23" s="39">
        <f>H23-G23</f>
        <v/>
      </c>
      <c r="J23" s="165" t="n"/>
      <c r="K23" s="164">
        <f>SUMIFS('Full month Pivot'!D:D, 'Full month Pivot'!$A:$A, "Bảo Hiểm Xe Máy", 'Full month Pivot'!$C:$C, $B23)</f>
        <v/>
      </c>
      <c r="L23" s="164">
        <f>SUMIFS('Full month Pivot'!E:E, 'Full month Pivot'!$A:$A, "Bảo Hiểm Xe Máy", 'Full month Pivot'!$C:$C, $B23)</f>
        <v/>
      </c>
      <c r="M23" s="164">
        <f>SUMIFS('Full month Pivot'!F:F, 'Full month Pivot'!$A:$A, "Bảo Hiểm Xe Máy", 'Full month Pivot'!$C:$C, $B23)</f>
        <v/>
      </c>
      <c r="N23" s="164">
        <f>SUMIFS('Full month Pivot'!G:G, 'Full month Pivot'!$A:$A, "Bảo Hiểm Xe Máy", 'Full month Pivot'!$C:$C, $B23)</f>
        <v/>
      </c>
      <c r="O23" s="164">
        <f>SUMIFS('Full month Pivot'!H:H, 'Full month Pivot'!$A:$A, "Bảo Hiểm Xe Máy", 'Full month Pivot'!$C:$C, $B23)</f>
        <v/>
      </c>
      <c r="P23" s="164">
        <f>SUMIFS('Full month Pivot'!I:I, 'Full month Pivot'!$A:$A, "Bảo Hiểm Xe Máy", 'Full month Pivot'!$C:$C, $B23)</f>
        <v/>
      </c>
      <c r="Q23" s="204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4" t="inlineStr">
        <is>
          <t>Paid</t>
        </is>
      </c>
      <c r="C24" s="164">
        <f>SUMIFS('MTD Pivot'!D:D, 'MTD Pivot'!$A:$A, "Bảo Hiểm Xe Máy", 'MTD Pivot'!$C:$C, $B24)</f>
        <v/>
      </c>
      <c r="D24" s="164">
        <f>SUMIFS('MTD Pivot'!E:E, 'MTD Pivot'!$A:$A, "Bảo Hiểm Xe Máy", 'MTD Pivot'!$C:$C, $B24)</f>
        <v/>
      </c>
      <c r="E24" s="164">
        <f>SUMIFS('MTD Pivot'!F:F, 'MTD Pivot'!$A:$A, "Bảo Hiểm Xe Máy", 'MTD Pivot'!$C:$C, $B24)</f>
        <v/>
      </c>
      <c r="F24" s="164">
        <f>SUMIFS('MTD Pivot'!G:G, 'MTD Pivot'!$A:$A, "Bảo Hiểm Xe Máy", 'MTD Pivot'!$C:$C, $B24)</f>
        <v/>
      </c>
      <c r="G24" s="164">
        <f>SUMIFS('MTD Pivot'!H:H, 'MTD Pivot'!$A:$A, "Bảo Hiểm Xe Máy", 'MTD Pivot'!$C:$C, $B24)</f>
        <v/>
      </c>
      <c r="H24" s="164">
        <f>SUMIFS('MTD Pivot'!I:I, 'MTD Pivot'!$A:$A, "Bảo Hiểm Xe Máy", 'MTD Pivot'!$C:$C, $B24)</f>
        <v/>
      </c>
      <c r="I24" s="39">
        <f>H24-G24</f>
        <v/>
      </c>
      <c r="J24" s="165" t="n"/>
      <c r="K24" s="164">
        <f>SUMIFS('Full month Pivot'!D:D, 'Full month Pivot'!$A:$A, "Bảo Hiểm Xe Máy", 'Full month Pivot'!$C:$C, $B24)</f>
        <v/>
      </c>
      <c r="L24" s="164">
        <f>SUMIFS('Full month Pivot'!E:E, 'Full month Pivot'!$A:$A, "Bảo Hiểm Xe Máy", 'Full month Pivot'!$C:$C, $B24)</f>
        <v/>
      </c>
      <c r="M24" s="164">
        <f>SUMIFS('Full month Pivot'!F:F, 'Full month Pivot'!$A:$A, "Bảo Hiểm Xe Máy", 'Full month Pivot'!$C:$C, $B24)</f>
        <v/>
      </c>
      <c r="N24" s="164">
        <f>SUMIFS('Full month Pivot'!G:G, 'Full month Pivot'!$A:$A, "Bảo Hiểm Xe Máy", 'Full month Pivot'!$C:$C, $B24)</f>
        <v/>
      </c>
      <c r="O24" s="164">
        <f>SUMIFS('Full month Pivot'!H:H, 'Full month Pivot'!$A:$A, "Bảo Hiểm Xe Máy", 'Full month Pivot'!$C:$C, $B24)</f>
        <v/>
      </c>
      <c r="P24" s="164">
        <f>SUMIFS('Full month Pivot'!I:I, 'Full month Pivot'!$A:$A, "Bảo Hiểm Xe Máy", 'Full month Pivot'!$C:$C, $B24)</f>
        <v/>
      </c>
      <c r="Q24" s="204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4" t="inlineStr">
        <is>
          <t>Others</t>
        </is>
      </c>
      <c r="C25" s="164">
        <f>SUMIFS('MTD Pivot'!D:D, 'MTD Pivot'!$A:$A, "Bảo Hiểm Xe Máy", 'MTD Pivot'!$C:$C, $B25)</f>
        <v/>
      </c>
      <c r="D25" s="164">
        <f>SUMIFS('MTD Pivot'!E:E, 'MTD Pivot'!$A:$A, "Bảo Hiểm Xe Máy", 'MTD Pivot'!$C:$C, $B25)</f>
        <v/>
      </c>
      <c r="E25" s="164">
        <f>SUMIFS('MTD Pivot'!F:F, 'MTD Pivot'!$A:$A, "Bảo Hiểm Xe Máy", 'MTD Pivot'!$C:$C, $B25)</f>
        <v/>
      </c>
      <c r="F25" s="164">
        <f>SUMIFS('MTD Pivot'!G:G, 'MTD Pivot'!$A:$A, "Bảo Hiểm Xe Máy", 'MTD Pivot'!$C:$C, $B25)</f>
        <v/>
      </c>
      <c r="G25" s="164">
        <f>SUMIFS('MTD Pivot'!H:H, 'MTD Pivot'!$A:$A, "Bảo Hiểm Xe Máy", 'MTD Pivot'!$C:$C, $B25)</f>
        <v/>
      </c>
      <c r="H25" s="164">
        <f>SUMIFS('MTD Pivot'!I:I, 'MTD Pivot'!$A:$A, "Bảo Hiểm Xe Máy", 'MTD Pivot'!$C:$C, $B25)</f>
        <v/>
      </c>
      <c r="I25" s="39">
        <f>H25-G25</f>
        <v/>
      </c>
      <c r="J25" s="165" t="n"/>
      <c r="K25" s="164">
        <f>SUMIFS('Full month Pivot'!D:D, 'Full month Pivot'!$A:$A, "Bảo Hiểm Xe Máy", 'Full month Pivot'!$C:$C, $B25)</f>
        <v/>
      </c>
      <c r="L25" s="164">
        <f>SUMIFS('Full month Pivot'!E:E, 'Full month Pivot'!$A:$A, "Bảo Hiểm Xe Máy", 'Full month Pivot'!$C:$C, $B25)</f>
        <v/>
      </c>
      <c r="M25" s="164">
        <f>SUMIFS('Full month Pivot'!F:F, 'Full month Pivot'!$A:$A, "Bảo Hiểm Xe Máy", 'Full month Pivot'!$C:$C, $B25)</f>
        <v/>
      </c>
      <c r="N25" s="164">
        <f>SUMIFS('Full month Pivot'!G:G, 'Full month Pivot'!$A:$A, "Bảo Hiểm Xe Máy", 'Full month Pivot'!$C:$C, $B25)</f>
        <v/>
      </c>
      <c r="O25" s="164">
        <f>SUMIFS('Full month Pivot'!H:H, 'Full month Pivot'!$A:$A, "Bảo Hiểm Xe Máy", 'Full month Pivot'!$C:$C, $B25)</f>
        <v/>
      </c>
      <c r="P25" s="164">
        <f>SUMIFS('Full month Pivot'!I:I, 'Full month Pivot'!$A:$A, "Bảo Hiểm Xe Máy", 'Full month Pivot'!$C:$C, $B25)</f>
        <v/>
      </c>
      <c r="Q25" s="204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3">
        <f>sum(C28:C32)</f>
        <v/>
      </c>
      <c r="D27" s="163">
        <f>sum(D28:D32)</f>
        <v/>
      </c>
      <c r="E27" s="163">
        <f>sum(E28:E32)</f>
        <v/>
      </c>
      <c r="F27" s="163">
        <f>sum(F28:F32)</f>
        <v/>
      </c>
      <c r="G27" s="163">
        <f>sum(G28:G32)</f>
        <v/>
      </c>
      <c r="H27" s="163">
        <f>sum(H28:H32)</f>
        <v/>
      </c>
      <c r="I27" s="165">
        <f>H27-G27</f>
        <v/>
      </c>
      <c r="J27" s="165" t="n"/>
      <c r="K27" s="163">
        <f>sum(K28:K32)</f>
        <v/>
      </c>
      <c r="L27" s="163">
        <f>sum(L28:L32)</f>
        <v/>
      </c>
      <c r="M27" s="163">
        <f>sum(M28:M32)</f>
        <v/>
      </c>
      <c r="N27" s="163">
        <f>sum(N28:N32)</f>
        <v/>
      </c>
      <c r="O27" s="163">
        <f>sum(O28:O32)</f>
        <v/>
      </c>
      <c r="P27" s="163">
        <f>sum(P28:P32)</f>
        <v/>
      </c>
      <c r="Q27" s="205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3" t="inlineStr">
        <is>
          <t>Phí Không Dừng</t>
        </is>
      </c>
      <c r="B28" s="164" t="inlineStr">
        <is>
          <t>Organic</t>
        </is>
      </c>
      <c r="C28" s="165">
        <f>SUMIFS('MTD Pivot'!D:D, 'MTD Pivot'!$A:$A, "Phí Không Dừng", 'MTD Pivot'!$C:$C, $B28)</f>
        <v/>
      </c>
      <c r="D28" s="165">
        <f>SUMIFS('MTD Pivot'!E:E, 'MTD Pivot'!$A:$A, "Phí Không Dừng", 'MTD Pivot'!$C:$C, $B28)</f>
        <v/>
      </c>
      <c r="E28" s="165">
        <f>SUMIFS('MTD Pivot'!F:F, 'MTD Pivot'!$A:$A, "Phí Không Dừng", 'MTD Pivot'!$C:$C, $B28)</f>
        <v/>
      </c>
      <c r="F28" s="165">
        <f>SUMIFS('MTD Pivot'!G:G, 'MTD Pivot'!$A:$A, "Phí Không Dừng", 'MTD Pivot'!$C:$C, $B28)</f>
        <v/>
      </c>
      <c r="G28" s="165">
        <f>SUMIFS('MTD Pivot'!H:H, 'MTD Pivot'!$A:$A, "Phí Không Dừng", 'MTD Pivot'!$C:$C, $B28)</f>
        <v/>
      </c>
      <c r="H28" s="165">
        <f>SUMIFS('MTD Pivot'!I:I, 'MTD Pivot'!$A:$A, "Phí Không Dừng", 'MTD Pivot'!$C:$C, $B28)</f>
        <v/>
      </c>
      <c r="I28" s="165">
        <f>H28-G28</f>
        <v/>
      </c>
      <c r="J28" s="165" t="n"/>
      <c r="K28" s="165">
        <f>SUMIFS('Full month Pivot'!D:D, 'Full month Pivot'!$A:$A, "Phí Không Dừng", 'Full month Pivot'!$C:$C, $B28)</f>
        <v/>
      </c>
      <c r="L28" s="165">
        <f>SUMIFS('Full month Pivot'!E:E, 'Full month Pivot'!$A:$A, "Phí Không Dừng", 'Full month Pivot'!$C:$C, $B28)</f>
        <v/>
      </c>
      <c r="M28" s="165">
        <f>SUMIFS('Full month Pivot'!F:F, 'Full month Pivot'!$A:$A, "Phí Không Dừng", 'Full month Pivot'!$C:$C, $B28)</f>
        <v/>
      </c>
      <c r="N28" s="165">
        <f>SUMIFS('Full month Pivot'!G:G, 'Full month Pivot'!$A:$A, "Phí Không Dừng", 'Full month Pivot'!$C:$C, $B28)</f>
        <v/>
      </c>
      <c r="O28" s="165">
        <f>SUMIFS('Full month Pivot'!H:H, 'Full month Pivot'!$A:$A, "Phí Không Dừng", 'Full month Pivot'!$C:$C, $B28)</f>
        <v/>
      </c>
      <c r="P28" s="165">
        <f>SUMIFS('Full month Pivot'!I:I, 'Full month Pivot'!$A:$A, "Phí Không Dừng", 'Full month Pivot'!$C:$C, $B28)</f>
        <v/>
      </c>
      <c r="Q28" s="205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4" t="inlineStr">
        <is>
          <t>Direct</t>
        </is>
      </c>
      <c r="C29" s="165">
        <f>SUMIFS('MTD Pivot'!D:D, 'MTD Pivot'!$A:$A, "Phí Không Dừng", 'MTD Pivot'!$C:$C, $B29)</f>
        <v/>
      </c>
      <c r="D29" s="165">
        <f>SUMIFS('MTD Pivot'!E:E, 'MTD Pivot'!$A:$A, "Phí Không Dừng", 'MTD Pivot'!$C:$C, $B29)</f>
        <v/>
      </c>
      <c r="E29" s="165">
        <f>SUMIFS('MTD Pivot'!F:F, 'MTD Pivot'!$A:$A, "Phí Không Dừng", 'MTD Pivot'!$C:$C, $B29)</f>
        <v/>
      </c>
      <c r="F29" s="165">
        <f>SUMIFS('MTD Pivot'!G:G, 'MTD Pivot'!$A:$A, "Phí Không Dừng", 'MTD Pivot'!$C:$C, $B29)</f>
        <v/>
      </c>
      <c r="G29" s="165">
        <f>SUMIFS('MTD Pivot'!H:H, 'MTD Pivot'!$A:$A, "Phí Không Dừng", 'MTD Pivot'!$C:$C, $B29)</f>
        <v/>
      </c>
      <c r="H29" s="165">
        <f>SUMIFS('MTD Pivot'!I:I, 'MTD Pivot'!$A:$A, "Phí Không Dừng", 'MTD Pivot'!$C:$C, $B29)</f>
        <v/>
      </c>
      <c r="I29" s="165">
        <f>H29-G29</f>
        <v/>
      </c>
      <c r="J29" s="165" t="n"/>
      <c r="K29" s="165">
        <f>SUMIFS('Full month Pivot'!D:D, 'Full month Pivot'!$A:$A, "Phí Không Dừng", 'Full month Pivot'!$C:$C, $B29)</f>
        <v/>
      </c>
      <c r="L29" s="165">
        <f>SUMIFS('Full month Pivot'!E:E, 'Full month Pivot'!$A:$A, "Phí Không Dừng", 'Full month Pivot'!$C:$C, $B29)</f>
        <v/>
      </c>
      <c r="M29" s="165">
        <f>SUMIFS('Full month Pivot'!F:F, 'Full month Pivot'!$A:$A, "Phí Không Dừng", 'Full month Pivot'!$C:$C, $B29)</f>
        <v/>
      </c>
      <c r="N29" s="165">
        <f>SUMIFS('Full month Pivot'!G:G, 'Full month Pivot'!$A:$A, "Phí Không Dừng", 'Full month Pivot'!$C:$C, $B29)</f>
        <v/>
      </c>
      <c r="O29" s="165">
        <f>SUMIFS('Full month Pivot'!H:H, 'Full month Pivot'!$A:$A, "Phí Không Dừng", 'Full month Pivot'!$C:$C, $B29)</f>
        <v/>
      </c>
      <c r="P29" s="165">
        <f>SUMIFS('Full month Pivot'!I:I, 'Full month Pivot'!$A:$A, "Phí Không Dừng", 'Full month Pivot'!$C:$C, $B29)</f>
        <v/>
      </c>
      <c r="Q29" s="205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4" t="inlineStr">
        <is>
          <t>Referral</t>
        </is>
      </c>
      <c r="C30" s="165">
        <f>SUMIFS('MTD Pivot'!D:D, 'MTD Pivot'!$A:$A, "Phí Không Dừng", 'MTD Pivot'!$C:$C, $B30)</f>
        <v/>
      </c>
      <c r="D30" s="165">
        <f>SUMIFS('MTD Pivot'!E:E, 'MTD Pivot'!$A:$A, "Phí Không Dừng", 'MTD Pivot'!$C:$C, $B30)</f>
        <v/>
      </c>
      <c r="E30" s="165">
        <f>SUMIFS('MTD Pivot'!F:F, 'MTD Pivot'!$A:$A, "Phí Không Dừng", 'MTD Pivot'!$C:$C, $B30)</f>
        <v/>
      </c>
      <c r="F30" s="165">
        <f>SUMIFS('MTD Pivot'!G:G, 'MTD Pivot'!$A:$A, "Phí Không Dừng", 'MTD Pivot'!$C:$C, $B30)</f>
        <v/>
      </c>
      <c r="G30" s="165">
        <f>SUMIFS('MTD Pivot'!H:H, 'MTD Pivot'!$A:$A, "Phí Không Dừng", 'MTD Pivot'!$C:$C, $B30)</f>
        <v/>
      </c>
      <c r="H30" s="165">
        <f>SUMIFS('MTD Pivot'!I:I, 'MTD Pivot'!$A:$A, "Phí Không Dừng", 'MTD Pivot'!$C:$C, $B30)</f>
        <v/>
      </c>
      <c r="I30" s="165">
        <f>H30-G30</f>
        <v/>
      </c>
      <c r="J30" s="165" t="n"/>
      <c r="K30" s="165">
        <f>SUMIFS('Full month Pivot'!D:D, 'Full month Pivot'!$A:$A, "Phí Không Dừng", 'Full month Pivot'!$C:$C, $B30)</f>
        <v/>
      </c>
      <c r="L30" s="165">
        <f>SUMIFS('Full month Pivot'!E:E, 'Full month Pivot'!$A:$A, "Phí Không Dừng", 'Full month Pivot'!$C:$C, $B30)</f>
        <v/>
      </c>
      <c r="M30" s="165">
        <f>SUMIFS('Full month Pivot'!F:F, 'Full month Pivot'!$A:$A, "Phí Không Dừng", 'Full month Pivot'!$C:$C, $B30)</f>
        <v/>
      </c>
      <c r="N30" s="165">
        <f>SUMIFS('Full month Pivot'!G:G, 'Full month Pivot'!$A:$A, "Phí Không Dừng", 'Full month Pivot'!$C:$C, $B30)</f>
        <v/>
      </c>
      <c r="O30" s="165">
        <f>SUMIFS('Full month Pivot'!H:H, 'Full month Pivot'!$A:$A, "Phí Không Dừng", 'Full month Pivot'!$C:$C, $B30)</f>
        <v/>
      </c>
      <c r="P30" s="165">
        <f>SUMIFS('Full month Pivot'!I:I, 'Full month Pivot'!$A:$A, "Phí Không Dừng", 'Full month Pivot'!$C:$C, $B30)</f>
        <v/>
      </c>
      <c r="Q30" s="205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4" t="inlineStr">
        <is>
          <t>Paid</t>
        </is>
      </c>
      <c r="C31" s="165">
        <f>SUMIFS('MTD Pivot'!D:D, 'MTD Pivot'!$A:$A, "Phí Không Dừng", 'MTD Pivot'!$C:$C, $B31)</f>
        <v/>
      </c>
      <c r="D31" s="165">
        <f>SUMIFS('MTD Pivot'!E:E, 'MTD Pivot'!$A:$A, "Phí Không Dừng", 'MTD Pivot'!$C:$C, $B31)</f>
        <v/>
      </c>
      <c r="E31" s="165">
        <f>SUMIFS('MTD Pivot'!F:F, 'MTD Pivot'!$A:$A, "Phí Không Dừng", 'MTD Pivot'!$C:$C, $B31)</f>
        <v/>
      </c>
      <c r="F31" s="165">
        <f>SUMIFS('MTD Pivot'!G:G, 'MTD Pivot'!$A:$A, "Phí Không Dừng", 'MTD Pivot'!$C:$C, $B31)</f>
        <v/>
      </c>
      <c r="G31" s="165">
        <f>SUMIFS('MTD Pivot'!H:H, 'MTD Pivot'!$A:$A, "Phí Không Dừng", 'MTD Pivot'!$C:$C, $B31)</f>
        <v/>
      </c>
      <c r="H31" s="165">
        <f>SUMIFS('MTD Pivot'!I:I, 'MTD Pivot'!$A:$A, "Phí Không Dừng", 'MTD Pivot'!$C:$C, $B31)</f>
        <v/>
      </c>
      <c r="I31" s="165">
        <f>H31-G31</f>
        <v/>
      </c>
      <c r="J31" s="165" t="n"/>
      <c r="K31" s="165">
        <f>SUMIFS('Full month Pivot'!D:D, 'Full month Pivot'!$A:$A, "Phí Không Dừng", 'Full month Pivot'!$C:$C, $B31)</f>
        <v/>
      </c>
      <c r="L31" s="165">
        <f>SUMIFS('Full month Pivot'!E:E, 'Full month Pivot'!$A:$A, "Phí Không Dừng", 'Full month Pivot'!$C:$C, $B31)</f>
        <v/>
      </c>
      <c r="M31" s="165">
        <f>SUMIFS('Full month Pivot'!F:F, 'Full month Pivot'!$A:$A, "Phí Không Dừng", 'Full month Pivot'!$C:$C, $B31)</f>
        <v/>
      </c>
      <c r="N31" s="165">
        <f>SUMIFS('Full month Pivot'!G:G, 'Full month Pivot'!$A:$A, "Phí Không Dừng", 'Full month Pivot'!$C:$C, $B31)</f>
        <v/>
      </c>
      <c r="O31" s="165">
        <f>SUMIFS('Full month Pivot'!H:H, 'Full month Pivot'!$A:$A, "Phí Không Dừng", 'Full month Pivot'!$C:$C, $B31)</f>
        <v/>
      </c>
      <c r="P31" s="165">
        <f>SUMIFS('Full month Pivot'!I:I, 'Full month Pivot'!$A:$A, "Phí Không Dừng", 'Full month Pivot'!$C:$C, $B31)</f>
        <v/>
      </c>
      <c r="Q31" s="205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4" t="inlineStr">
        <is>
          <t>Others</t>
        </is>
      </c>
      <c r="C32" s="165">
        <f>SUMIFS('MTD Pivot'!D:D, 'MTD Pivot'!$A:$A, "Phí Không Dừng", 'MTD Pivot'!$C:$C, $B32)</f>
        <v/>
      </c>
      <c r="D32" s="165">
        <f>SUMIFS('MTD Pivot'!E:E, 'MTD Pivot'!$A:$A, "Phí Không Dừng", 'MTD Pivot'!$C:$C, $B32)</f>
        <v/>
      </c>
      <c r="E32" s="165">
        <f>SUMIFS('MTD Pivot'!F:F, 'MTD Pivot'!$A:$A, "Phí Không Dừng", 'MTD Pivot'!$C:$C, $B32)</f>
        <v/>
      </c>
      <c r="F32" s="165">
        <f>SUMIFS('MTD Pivot'!G:G, 'MTD Pivot'!$A:$A, "Phí Không Dừng", 'MTD Pivot'!$C:$C, $B32)</f>
        <v/>
      </c>
      <c r="G32" s="165">
        <f>SUMIFS('MTD Pivot'!H:H, 'MTD Pivot'!$A:$A, "Phí Không Dừng", 'MTD Pivot'!$C:$C, $B32)</f>
        <v/>
      </c>
      <c r="H32" s="165">
        <f>SUMIFS('MTD Pivot'!I:I, 'MTD Pivot'!$A:$A, "Phí Không Dừng", 'MTD Pivot'!$C:$C, $B32)</f>
        <v/>
      </c>
      <c r="I32" s="165">
        <f>H32-G32</f>
        <v/>
      </c>
      <c r="J32" s="165" t="n"/>
      <c r="K32" s="165">
        <f>SUMIFS('Full month Pivot'!D:D, 'Full month Pivot'!$A:$A, "Phí Không Dừng", 'Full month Pivot'!$C:$C, $B32)</f>
        <v/>
      </c>
      <c r="L32" s="165">
        <f>SUMIFS('Full month Pivot'!E:E, 'Full month Pivot'!$A:$A, "Phí Không Dừng", 'Full month Pivot'!$C:$C, $B32)</f>
        <v/>
      </c>
      <c r="M32" s="165">
        <f>SUMIFS('Full month Pivot'!F:F, 'Full month Pivot'!$A:$A, "Phí Không Dừng", 'Full month Pivot'!$C:$C, $B32)</f>
        <v/>
      </c>
      <c r="N32" s="165">
        <f>SUMIFS('Full month Pivot'!G:G, 'Full month Pivot'!$A:$A, "Phí Không Dừng", 'Full month Pivot'!$C:$C, $B32)</f>
        <v/>
      </c>
      <c r="O32" s="165">
        <f>SUMIFS('Full month Pivot'!H:H, 'Full month Pivot'!$A:$A, "Phí Không Dừng", 'Full month Pivot'!$C:$C, $B32)</f>
        <v/>
      </c>
      <c r="P32" s="165">
        <f>SUMIFS('Full month Pivot'!I:I, 'Full month Pivot'!$A:$A, "Phí Không Dừng", 'Full month Pivot'!$C:$C, $B32)</f>
        <v/>
      </c>
      <c r="Q32" s="205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3">
        <f>SUM(C35:C39)</f>
        <v/>
      </c>
      <c r="D34" s="163">
        <f>SUM(D35:D39)</f>
        <v/>
      </c>
      <c r="E34" s="163">
        <f>SUM(E35:E39)</f>
        <v/>
      </c>
      <c r="F34" s="163">
        <f>SUM(F35:F39)</f>
        <v/>
      </c>
      <c r="G34" s="163">
        <f>SUM(G35:G39)</f>
        <v/>
      </c>
      <c r="H34" s="163">
        <f>SUM(H35:H39)</f>
        <v/>
      </c>
      <c r="I34" s="165">
        <f>H34-G34</f>
        <v/>
      </c>
      <c r="J34" s="165" t="n"/>
      <c r="K34" s="163">
        <f>sum(K35:K39)</f>
        <v/>
      </c>
      <c r="L34" s="163">
        <f>sum(L35:L39)</f>
        <v/>
      </c>
      <c r="M34" s="163">
        <f>sum(M35:M39)</f>
        <v/>
      </c>
      <c r="N34" s="163">
        <f>sum(N35:N39)</f>
        <v/>
      </c>
      <c r="O34" s="163">
        <f>sum(O35:O39)</f>
        <v/>
      </c>
      <c r="P34" s="163">
        <f>sum(P35:P39)</f>
        <v/>
      </c>
      <c r="Q34" s="205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3" t="inlineStr">
        <is>
          <t>Tiện Ích Giao Thông</t>
        </is>
      </c>
      <c r="B35" s="164" t="inlineStr">
        <is>
          <t>Organic</t>
        </is>
      </c>
      <c r="C35" s="165">
        <f>SUMIFS('MTD Pivot'!D:D, 'MTD Pivot'!$A:$A, "Tiện Ích Giao Thông", 'MTD Pivot'!$C:$C, $B$35:$B$39)</f>
        <v/>
      </c>
      <c r="D35" s="165">
        <f>SUMIFS('MTD Pivot'!E:E, 'MTD Pivot'!$A:$A, "Tiện Ích Giao Thông", 'MTD Pivot'!$C:$C, $B$35:$B$39)</f>
        <v/>
      </c>
      <c r="E35" s="165">
        <f>SUMIFS('MTD Pivot'!F:F, 'MTD Pivot'!$A:$A, "Tiện Ích Giao Thông", 'MTD Pivot'!$C:$C, $B$35:$B$39)</f>
        <v/>
      </c>
      <c r="F35" s="165">
        <f>SUMIFS('MTD Pivot'!G:G, 'MTD Pivot'!$A:$A, "Tiện Ích Giao Thông", 'MTD Pivot'!$C:$C, $B$35:$B$39)</f>
        <v/>
      </c>
      <c r="G35" s="165">
        <f>SUMIFS('MTD Pivot'!H:H, 'MTD Pivot'!$A:$A, "Tiện Ích Giao Thông", 'MTD Pivot'!$C:$C, $B$35:$B$39)</f>
        <v/>
      </c>
      <c r="H35" s="165">
        <f>SUMIFS('MTD Pivot'!I:I, 'MTD Pivot'!$A:$A, "Tiện Ích Giao Thông", 'MTD Pivot'!$C:$C, $B$35:$B$39)</f>
        <v/>
      </c>
      <c r="I35" s="165">
        <f>H35-G35</f>
        <v/>
      </c>
      <c r="J35" s="165" t="n"/>
      <c r="K35" s="165">
        <f>SUMIFS('Full month Pivot'!D:D, 'Full month Pivot'!$A:$A, "Tiện Ích Giao Thông", 'Full month Pivot'!$C:$C, $B35)</f>
        <v/>
      </c>
      <c r="L35" s="165">
        <f>SUMIFS('Full month Pivot'!E:E, 'Full month Pivot'!$A:$A, "Tiện Ích Giao Thông", 'Full month Pivot'!$C:$C, $B35)</f>
        <v/>
      </c>
      <c r="M35" s="165">
        <f>SUMIFS('Full month Pivot'!F:F, 'Full month Pivot'!$A:$A, "Tiện Ích Giao Thông", 'Full month Pivot'!$C:$C, $B35)</f>
        <v/>
      </c>
      <c r="N35" s="165">
        <f>SUMIFS('Full month Pivot'!G:G, 'Full month Pivot'!$A:$A, "Tiện Ích Giao Thông", 'Full month Pivot'!$C:$C, $B35)</f>
        <v/>
      </c>
      <c r="O35" s="165">
        <f>SUMIFS('Full month Pivot'!H:H, 'Full month Pivot'!$A:$A, "Tiện Ích Giao Thông", 'Full month Pivot'!$C:$C, $B35)</f>
        <v/>
      </c>
      <c r="P35" s="165">
        <f>SUMIFS('Full month Pivot'!I:I, 'Full month Pivot'!$A:$A, "Tiện Ích Giao Thông", 'Full month Pivot'!$C:$C, $B35)</f>
        <v/>
      </c>
      <c r="Q35" s="205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4" t="inlineStr">
        <is>
          <t>Direct</t>
        </is>
      </c>
      <c r="C36" s="165">
        <f>SUMIFS('MTD Pivot'!D:D, 'MTD Pivot'!$A:$A, "Tiện Ích Giao Thông", 'MTD Pivot'!$C:$C, $B$35:$B$39)</f>
        <v/>
      </c>
      <c r="D36" s="165">
        <f>SUMIFS('MTD Pivot'!E:E, 'MTD Pivot'!$A:$A, "Tiện Ích Giao Thông", 'MTD Pivot'!$C:$C, $B$35:$B$39)</f>
        <v/>
      </c>
      <c r="E36" s="165">
        <f>SUMIFS('MTD Pivot'!F:F, 'MTD Pivot'!$A:$A, "Tiện Ích Giao Thông", 'MTD Pivot'!$C:$C, $B$35:$B$39)</f>
        <v/>
      </c>
      <c r="F36" s="165">
        <f>SUMIFS('MTD Pivot'!G:G, 'MTD Pivot'!$A:$A, "Tiện Ích Giao Thông", 'MTD Pivot'!$C:$C, $B$35:$B$39)</f>
        <v/>
      </c>
      <c r="G36" s="165">
        <f>SUMIFS('MTD Pivot'!H:H, 'MTD Pivot'!$A:$A, "Tiện Ích Giao Thông", 'MTD Pivot'!$C:$C, $B$35:$B$39)</f>
        <v/>
      </c>
      <c r="H36" s="165">
        <f>SUMIFS('MTD Pivot'!I:I, 'MTD Pivot'!$A:$A, "Tiện Ích Giao Thông", 'MTD Pivot'!$C:$C, $B$35:$B$39)</f>
        <v/>
      </c>
      <c r="I36" s="165">
        <f>H36-G36</f>
        <v/>
      </c>
      <c r="J36" s="165" t="n"/>
      <c r="K36" s="165">
        <f>SUMIFS('Full month Pivot'!D:D, 'Full month Pivot'!$A:$A, "Tiện Ích Giao Thông", 'Full month Pivot'!$C:$C, $B36)</f>
        <v/>
      </c>
      <c r="L36" s="165">
        <f>SUMIFS('Full month Pivot'!E:E, 'Full month Pivot'!$A:$A, "Tiện Ích Giao Thông", 'Full month Pivot'!$C:$C, $B36)</f>
        <v/>
      </c>
      <c r="M36" s="165">
        <f>SUMIFS('Full month Pivot'!F:F, 'Full month Pivot'!$A:$A, "Tiện Ích Giao Thông", 'Full month Pivot'!$C:$C, $B36)</f>
        <v/>
      </c>
      <c r="N36" s="165">
        <f>SUMIFS('Full month Pivot'!G:G, 'Full month Pivot'!$A:$A, "Tiện Ích Giao Thông", 'Full month Pivot'!$C:$C, $B36)</f>
        <v/>
      </c>
      <c r="O36" s="165">
        <f>SUMIFS('Full month Pivot'!H:H, 'Full month Pivot'!$A:$A, "Tiện Ích Giao Thông", 'Full month Pivot'!$C:$C, $B36)</f>
        <v/>
      </c>
      <c r="P36" s="165">
        <f>SUMIFS('Full month Pivot'!I:I, 'Full month Pivot'!$A:$A, "Tiện Ích Giao Thông", 'Full month Pivot'!$C:$C, $B36)</f>
        <v/>
      </c>
      <c r="Q36" s="205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4" t="inlineStr">
        <is>
          <t>Referral</t>
        </is>
      </c>
      <c r="C37" s="165">
        <f>SUMIFS('MTD Pivot'!D:D, 'MTD Pivot'!$A:$A, "Tiện Ích Giao Thông", 'MTD Pivot'!$C:$C, $B$35:$B$39)</f>
        <v/>
      </c>
      <c r="D37" s="165">
        <f>SUMIFS('MTD Pivot'!E:E, 'MTD Pivot'!$A:$A, "Tiện Ích Giao Thông", 'MTD Pivot'!$C:$C, $B$35:$B$39)</f>
        <v/>
      </c>
      <c r="E37" s="165">
        <f>SUMIFS('MTD Pivot'!F:F, 'MTD Pivot'!$A:$A, "Tiện Ích Giao Thông", 'MTD Pivot'!$C:$C, $B$35:$B$39)</f>
        <v/>
      </c>
      <c r="F37" s="165">
        <f>SUMIFS('MTD Pivot'!G:G, 'MTD Pivot'!$A:$A, "Tiện Ích Giao Thông", 'MTD Pivot'!$C:$C, $B$35:$B$39)</f>
        <v/>
      </c>
      <c r="G37" s="165">
        <f>SUMIFS('MTD Pivot'!H:H, 'MTD Pivot'!$A:$A, "Tiện Ích Giao Thông", 'MTD Pivot'!$C:$C, $B$35:$B$39)</f>
        <v/>
      </c>
      <c r="H37" s="165">
        <f>SUMIFS('MTD Pivot'!I:I, 'MTD Pivot'!$A:$A, "Tiện Ích Giao Thông", 'MTD Pivot'!$C:$C, $B$35:$B$39)</f>
        <v/>
      </c>
      <c r="I37" s="165">
        <f>H37-G37</f>
        <v/>
      </c>
      <c r="J37" s="165" t="n"/>
      <c r="K37" s="165">
        <f>SUMIFS('Full month Pivot'!D:D, 'Full month Pivot'!$A:$A, "Tiện Ích Giao Thông", 'Full month Pivot'!$C:$C, $B37)</f>
        <v/>
      </c>
      <c r="L37" s="165">
        <f>SUMIFS('Full month Pivot'!E:E, 'Full month Pivot'!$A:$A, "Tiện Ích Giao Thông", 'Full month Pivot'!$C:$C, $B37)</f>
        <v/>
      </c>
      <c r="M37" s="165">
        <f>SUMIFS('Full month Pivot'!F:F, 'Full month Pivot'!$A:$A, "Tiện Ích Giao Thông", 'Full month Pivot'!$C:$C, $B37)</f>
        <v/>
      </c>
      <c r="N37" s="165">
        <f>SUMIFS('Full month Pivot'!G:G, 'Full month Pivot'!$A:$A, "Tiện Ích Giao Thông", 'Full month Pivot'!$C:$C, $B37)</f>
        <v/>
      </c>
      <c r="O37" s="165">
        <f>SUMIFS('Full month Pivot'!H:H, 'Full month Pivot'!$A:$A, "Tiện Ích Giao Thông", 'Full month Pivot'!$C:$C, $B37)</f>
        <v/>
      </c>
      <c r="P37" s="165">
        <f>SUMIFS('Full month Pivot'!I:I, 'Full month Pivot'!$A:$A, "Tiện Ích Giao Thông", 'Full month Pivot'!$C:$C, $B37)</f>
        <v/>
      </c>
      <c r="Q37" s="205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4" t="inlineStr">
        <is>
          <t>Paid</t>
        </is>
      </c>
      <c r="C38" s="165">
        <f>SUMIFS('MTD Pivot'!D:D, 'MTD Pivot'!$A:$A, "Tiện Ích Giao Thông", 'MTD Pivot'!$C:$C, $B$35:$B$39)</f>
        <v/>
      </c>
      <c r="D38" s="165">
        <f>SUMIFS('MTD Pivot'!E:E, 'MTD Pivot'!$A:$A, "Tiện Ích Giao Thông", 'MTD Pivot'!$C:$C, $B$35:$B$39)</f>
        <v/>
      </c>
      <c r="E38" s="165">
        <f>SUMIFS('MTD Pivot'!F:F, 'MTD Pivot'!$A:$A, "Tiện Ích Giao Thông", 'MTD Pivot'!$C:$C, $B$35:$B$39)</f>
        <v/>
      </c>
      <c r="F38" s="165">
        <f>SUMIFS('MTD Pivot'!G:G, 'MTD Pivot'!$A:$A, "Tiện Ích Giao Thông", 'MTD Pivot'!$C:$C, $B$35:$B$39)</f>
        <v/>
      </c>
      <c r="G38" s="165">
        <f>SUMIFS('MTD Pivot'!H:H, 'MTD Pivot'!$A:$A, "Tiện Ích Giao Thông", 'MTD Pivot'!$C:$C, $B$35:$B$39)</f>
        <v/>
      </c>
      <c r="H38" s="165">
        <f>SUMIFS('MTD Pivot'!I:I, 'MTD Pivot'!$A:$A, "Tiện Ích Giao Thông", 'MTD Pivot'!$C:$C, $B$35:$B$39)</f>
        <v/>
      </c>
      <c r="I38" s="165">
        <f>H38-G38</f>
        <v/>
      </c>
      <c r="J38" s="165" t="n"/>
      <c r="K38" s="165">
        <f>SUMIFS('Full month Pivot'!D:D, 'Full month Pivot'!$A:$A, "Tiện Ích Giao Thông", 'Full month Pivot'!$C:$C, $B38)</f>
        <v/>
      </c>
      <c r="L38" s="165">
        <f>SUMIFS('Full month Pivot'!E:E, 'Full month Pivot'!$A:$A, "Tiện Ích Giao Thông", 'Full month Pivot'!$C:$C, $B38)</f>
        <v/>
      </c>
      <c r="M38" s="165">
        <f>SUMIFS('Full month Pivot'!F:F, 'Full month Pivot'!$A:$A, "Tiện Ích Giao Thông", 'Full month Pivot'!$C:$C, $B38)</f>
        <v/>
      </c>
      <c r="N38" s="165">
        <f>SUMIFS('Full month Pivot'!G:G, 'Full month Pivot'!$A:$A, "Tiện Ích Giao Thông", 'Full month Pivot'!$C:$C, $B38)</f>
        <v/>
      </c>
      <c r="O38" s="165">
        <f>SUMIFS('Full month Pivot'!H:H, 'Full month Pivot'!$A:$A, "Tiện Ích Giao Thông", 'Full month Pivot'!$C:$C, $B38)</f>
        <v/>
      </c>
      <c r="P38" s="165">
        <f>SUMIFS('Full month Pivot'!I:I, 'Full month Pivot'!$A:$A, "Tiện Ích Giao Thông", 'Full month Pivot'!$C:$C, $B38)</f>
        <v/>
      </c>
      <c r="Q38" s="205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4" t="inlineStr">
        <is>
          <t>Others</t>
        </is>
      </c>
      <c r="C39" s="165">
        <f>SUMIFS('MTD Pivot'!D:D, 'MTD Pivot'!$A:$A, "Tiện Ích Giao Thông", 'MTD Pivot'!$C:$C, $B$35:$B$39)</f>
        <v/>
      </c>
      <c r="D39" s="165">
        <f>SUMIFS('MTD Pivot'!E:E, 'MTD Pivot'!$A:$A, "Tiện Ích Giao Thông", 'MTD Pivot'!$C:$C, $B$35:$B$39)</f>
        <v/>
      </c>
      <c r="E39" s="165">
        <f>SUMIFS('MTD Pivot'!F:F, 'MTD Pivot'!$A:$A, "Tiện Ích Giao Thông", 'MTD Pivot'!$C:$C, $B$35:$B$39)</f>
        <v/>
      </c>
      <c r="F39" s="165">
        <f>SUMIFS('MTD Pivot'!G:G, 'MTD Pivot'!$A:$A, "Tiện Ích Giao Thông", 'MTD Pivot'!$C:$C, $B$35:$B$39)</f>
        <v/>
      </c>
      <c r="G39" s="165">
        <f>SUMIFS('MTD Pivot'!H:H, 'MTD Pivot'!$A:$A, "Tiện Ích Giao Thông", 'MTD Pivot'!$C:$C, $B$35:$B$39)</f>
        <v/>
      </c>
      <c r="H39" s="165">
        <f>SUMIFS('MTD Pivot'!I:I, 'MTD Pivot'!$A:$A, "Tiện Ích Giao Thông", 'MTD Pivot'!$C:$C, $B$35:$B$39)</f>
        <v/>
      </c>
      <c r="I39" s="165">
        <f>H39-G39</f>
        <v/>
      </c>
      <c r="J39" s="165" t="n"/>
      <c r="K39" s="165">
        <f>SUMIFS('Full month Pivot'!D:D, 'Full month Pivot'!$A:$A, "Tiện Ích Giao Thông", 'Full month Pivot'!$C:$C, $B39)</f>
        <v/>
      </c>
      <c r="L39" s="165">
        <f>SUMIFS('Full month Pivot'!E:E, 'Full month Pivot'!$A:$A, "Tiện Ích Giao Thông", 'Full month Pivot'!$C:$C, $B39)</f>
        <v/>
      </c>
      <c r="M39" s="165">
        <f>SUMIFS('Full month Pivot'!F:F, 'Full month Pivot'!$A:$A, "Tiện Ích Giao Thông", 'Full month Pivot'!$C:$C, $B39)</f>
        <v/>
      </c>
      <c r="N39" s="165">
        <f>SUMIFS('Full month Pivot'!G:G, 'Full month Pivot'!$A:$A, "Tiện Ích Giao Thông", 'Full month Pivot'!$C:$C, $B39)</f>
        <v/>
      </c>
      <c r="O39" s="165">
        <f>SUMIFS('Full month Pivot'!H:H, 'Full month Pivot'!$A:$A, "Tiện Ích Giao Thông", 'Full month Pivot'!$C:$C, $B39)</f>
        <v/>
      </c>
      <c r="P39" s="165">
        <f>SUMIFS('Full month Pivot'!I:I, 'Full month Pivot'!$A:$A, "Tiện Ích Giao Thông", 'Full month Pivot'!$C:$C, $B39)</f>
        <v/>
      </c>
      <c r="Q39" s="205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42284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37182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17294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7490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10582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492646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16834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9701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4133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12328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253370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5150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27333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5323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1022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66271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8246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11710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1167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969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109363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38484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33134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3265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1684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63539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123261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22489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4907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4501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1983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4509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9242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95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389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88128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60203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4246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635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361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4571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129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107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22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42765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8012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1662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189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124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43238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8901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1971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928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307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54071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5962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3855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1298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312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11945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1512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1066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63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72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256720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41997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3278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2653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439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51479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5807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492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304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210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21511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2664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1706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1057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66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21033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4253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726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350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136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29096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1307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1148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4016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158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14644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6580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20090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12171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4994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1125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221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7767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1375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518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193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29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262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4201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1856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473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64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5382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6345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5480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470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542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19424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1637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816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622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122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10465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2085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8135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697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158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4065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1359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642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619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45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467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1487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1411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243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25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5556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8379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1237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308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127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1185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2524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4369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150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159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11800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3981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225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88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29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9752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1839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418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409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106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2911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4829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913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339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89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1141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100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70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44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477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3660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266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181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28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4134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1536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137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145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28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4026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848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498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215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49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30877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1744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123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96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50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1963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811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277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190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27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2734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87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301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56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16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390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675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17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72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12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2028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163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197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17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1620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127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102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26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1786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975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74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74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17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886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149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516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128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1305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111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130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5240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2231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1728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719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185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1894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337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113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115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14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7008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1325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107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149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80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26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299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45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38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1043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74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105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169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13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343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19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38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17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1572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1263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841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471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70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753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158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195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38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2134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251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94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61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279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17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15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16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634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18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52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27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1103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391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192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45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500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23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29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242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21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15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51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1060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135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65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34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150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41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282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106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14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152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141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13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121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15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46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19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31140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6900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887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2230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757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6311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866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1729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639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311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684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163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127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2685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267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171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36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15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2624335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17294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42284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10582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37182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7490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16834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492646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12328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9701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4133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27333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253370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1022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5150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5323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66271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11710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1167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969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8246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3265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33134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1684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38484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109363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123261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63539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4501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4907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22489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4509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9242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95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1983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389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4246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60203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361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88128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635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129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4571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22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107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8012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42765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189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124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1662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8901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43238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307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928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1971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256720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3278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2653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439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41997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5962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54071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312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1298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3855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1066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11945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63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72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1512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492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5807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210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51479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304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2664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21511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66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1057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1706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4253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21033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136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350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726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4016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29096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158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1307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1148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14644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6580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20090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12171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221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4994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1125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518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7767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29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1375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193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4201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1856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64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262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473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5480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5382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542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470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6345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642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4065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45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1359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619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816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19424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122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1637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622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1237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5556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127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8379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308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8135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2085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158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10465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697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1411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1487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25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467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243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1839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9752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106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409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418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225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3981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29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11800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88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4369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2524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159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150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1185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913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2911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89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4829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339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477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3660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28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181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266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100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1141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70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44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4134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1536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28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145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137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30877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1744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123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50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96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848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4026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49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215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498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277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1963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27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811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190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301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2734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16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87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56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390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675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12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17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72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197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2028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17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163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127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1620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26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102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975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1786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74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17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74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2231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5240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185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719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1728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516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886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149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128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7008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1325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107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80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149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130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1305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111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115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1894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14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337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113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26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45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299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38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1263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1572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471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70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841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105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1043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13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169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74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38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343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17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19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158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753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195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38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94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2134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251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61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17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279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16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15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391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1103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45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192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52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634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18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27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135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1060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34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65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29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500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23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21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242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51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15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41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150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282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106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14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152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141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21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121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15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13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46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19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2230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31140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757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887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6900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1729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6311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311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866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639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127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163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684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267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2685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15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36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171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2624335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2026-10-23T06:30:18Z</dcterms:modified>
</cp:coreProperties>
</file>