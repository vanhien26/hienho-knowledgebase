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0.0%"/>
    <numFmt numFmtId="166" formatCode="_(* #,##0_);_(* \(#,##0\);_(* &quot;-&quot;??_);_(@_)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rgb="FF000000"/>
      <sz val="11"/>
    </font>
    <font>
      <name val="Arial"/>
      <b val="1"/>
      <color rgb="FFFFFFFF"/>
      <sz val="12"/>
      <scheme val="minor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theme="0"/>
      <sz val="13"/>
    </font>
    <font>
      <name val="Momo Trust Sans"/>
      <color rgb="FFFFFFFF"/>
      <sz val="11"/>
    </font>
    <font>
      <name val="Arial"/>
      <b val="1"/>
      <color rgb="FF000000"/>
      <sz val="13"/>
    </font>
    <font>
      <name val="Arial"/>
      <b val="1"/>
      <color rgb="FF000000"/>
      <sz val="12"/>
      <scheme val="minor"/>
    </font>
    <font>
      <name val="Arial"/>
      <b val="1"/>
      <color rgb="FFFFFFFF"/>
      <sz val="11"/>
    </font>
    <font>
      <name val="Arial"/>
      <color theme="1"/>
      <sz val="12"/>
      <scheme val="minor"/>
    </font>
    <font>
      <name val="Momo Trust Sans"/>
      <color theme="1"/>
      <sz val="11"/>
    </font>
    <font>
      <name val="Arial"/>
      <i val="1"/>
      <color rgb="FF000000"/>
      <sz val="12"/>
      <scheme val="minor"/>
    </font>
    <font>
      <name val="Arial"/>
      <i val="1"/>
      <color rgb="FF000000"/>
      <sz val="13"/>
    </font>
    <font>
      <name val="Arial"/>
      <color theme="1"/>
      <sz val="11"/>
    </font>
    <font>
      <name val="Arial"/>
      <color rgb="FFFFFFFF"/>
      <sz val="11"/>
    </font>
    <font>
      <name val="Arial"/>
      <i val="1"/>
      <color theme="1"/>
      <sz val="12"/>
      <scheme val="minor"/>
    </font>
    <font/>
    <font>
      <name val="Momo Trust Sans"/>
      <i val="1"/>
      <color rgb="FF000000"/>
      <sz val="11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Momo Trust Sans"/>
      <i val="1"/>
      <color theme="1"/>
      <sz val="11"/>
    </font>
    <font>
      <name val="Arial"/>
      <color theme="4"/>
      <sz val="12"/>
      <scheme val="minor"/>
    </font>
    <font>
      <name val="Arial"/>
      <b val="1"/>
      <i val="1"/>
      <color rgb="FFFFFFFF"/>
      <sz val="11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3C4043"/>
      <sz val="10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  <fill>
      <patternFill patternType="solid">
        <fgColor rgb="FF3D85C6"/>
        <bgColor rgb="FF3D85C6"/>
      </patternFill>
    </fill>
    <fill>
      <patternFill patternType="solid">
        <fgColor rgb="FFFCE5CD"/>
        <bgColor rgb="FFFCE5CD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4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4" fillId="3" borderId="0" pivotButton="0" quotePrefix="0" xfId="0"/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4" borderId="0" pivotButton="0" quotePrefix="0" xfId="0"/>
    <xf numFmtId="0" fontId="6" fillId="5" borderId="0" applyAlignment="1" pivotButton="0" quotePrefix="0" xfId="0">
      <alignment vertical="center"/>
    </xf>
    <xf numFmtId="0" fontId="7" fillId="6" borderId="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4" fillId="4" borderId="0" pivotButton="0" quotePrefix="0" xfId="0"/>
    <xf numFmtId="0" fontId="9" fillId="0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5" borderId="1" applyAlignment="1" pivotButton="0" quotePrefix="0" xfId="0">
      <alignment horizontal="center" vertical="center" wrapText="1"/>
    </xf>
    <xf numFmtId="3" fontId="12" fillId="0" borderId="0" pivotButton="0" quotePrefix="0" xfId="0"/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1" fillId="5" borderId="1" applyAlignment="1" pivotButton="0" quotePrefix="0" xfId="0">
      <alignment horizontal="center" vertical="center" wrapText="1"/>
    </xf>
    <xf numFmtId="3" fontId="12" fillId="7" borderId="0" pivotButton="0" quotePrefix="0" xfId="0"/>
    <xf numFmtId="3" fontId="13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6" fillId="0" borderId="0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10" fontId="13" fillId="0" borderId="0" applyAlignment="1" pivotButton="0" quotePrefix="0" xfId="0">
      <alignment vertical="center"/>
    </xf>
    <xf numFmtId="0" fontId="17" fillId="5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18" fillId="0" borderId="0" pivotButton="0" quotePrefix="0" xfId="0"/>
    <xf numFmtId="165" fontId="18" fillId="0" borderId="0" pivotButton="0" quotePrefix="0" xfId="0"/>
    <xf numFmtId="0" fontId="5" fillId="9" borderId="0" applyAlignment="1" pivotButton="0" quotePrefix="0" xfId="0">
      <alignment vertical="center"/>
    </xf>
    <xf numFmtId="0" fontId="11" fillId="10" borderId="3" applyAlignment="1" pivotButton="0" quotePrefix="0" xfId="0">
      <alignment vertical="center"/>
    </xf>
    <xf numFmtId="3" fontId="13" fillId="9" borderId="0" applyAlignment="1" pivotButton="0" quotePrefix="0" xfId="0">
      <alignment vertical="center"/>
    </xf>
    <xf numFmtId="0" fontId="19" fillId="0" borderId="4" pivotButton="0" quotePrefix="0" xfId="0"/>
    <xf numFmtId="0" fontId="14" fillId="11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0" fontId="18" fillId="11" borderId="0" pivotButton="0" quotePrefix="0" xfId="0"/>
    <xf numFmtId="165" fontId="18" fillId="11" borderId="0" pivotButton="0" quotePrefix="0" xfId="0"/>
    <xf numFmtId="0" fontId="1" fillId="0" borderId="0" applyAlignment="1" pivotButton="0" quotePrefix="0" xfId="0">
      <alignment horizontal="right" vertical="center"/>
    </xf>
    <xf numFmtId="3" fontId="18" fillId="11" borderId="0" pivotButton="0" quotePrefix="0" xfId="0"/>
    <xf numFmtId="0" fontId="11" fillId="10" borderId="1" applyAlignment="1" pivotButton="0" quotePrefix="0" xfId="0">
      <alignment vertical="center"/>
    </xf>
    <xf numFmtId="3" fontId="18" fillId="11" borderId="0" pivotButton="0" quotePrefix="0" xfId="0"/>
    <xf numFmtId="3" fontId="12" fillId="11" borderId="0" pivotButton="0" quotePrefix="0" xfId="0"/>
    <xf numFmtId="3" fontId="13" fillId="0" borderId="0" applyAlignment="1" pivotButton="0" quotePrefix="0" xfId="0">
      <alignment vertical="center"/>
    </xf>
    <xf numFmtId="0" fontId="7" fillId="12" borderId="2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3" fillId="9" borderId="0" applyAlignment="1" pivotButton="0" quotePrefix="0" xfId="0">
      <alignment vertical="center"/>
    </xf>
    <xf numFmtId="3" fontId="16" fillId="11" borderId="0" applyAlignment="1" pivotButton="0" quotePrefix="0" xfId="0">
      <alignment horizontal="right" vertical="center"/>
    </xf>
    <xf numFmtId="3" fontId="16" fillId="9" borderId="0" applyAlignment="1" pivotButton="0" quotePrefix="0" xfId="0">
      <alignment horizontal="right" vertical="center"/>
    </xf>
    <xf numFmtId="10" fontId="16" fillId="11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165" fontId="16" fillId="11" borderId="0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18" fillId="11" borderId="0" applyAlignment="1" pivotButton="0" quotePrefix="0" xfId="0">
      <alignment horizontal="left"/>
    </xf>
    <xf numFmtId="165" fontId="18" fillId="11" borderId="0" applyAlignment="1" pivotButton="0" quotePrefix="0" xfId="0">
      <alignment horizontal="left"/>
    </xf>
    <xf numFmtId="0" fontId="24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0" fontId="25" fillId="9" borderId="0" applyAlignment="1" pivotButton="0" quotePrefix="0" xfId="0">
      <alignment vertical="center"/>
    </xf>
    <xf numFmtId="165" fontId="25" fillId="9" borderId="0" applyAlignment="1" pivotButton="0" quotePrefix="0" xfId="0">
      <alignment vertical="center"/>
    </xf>
    <xf numFmtId="0" fontId="26" fillId="11" borderId="0" applyAlignment="1" pivotButton="0" quotePrefix="0" xfId="0">
      <alignment horizontal="left"/>
    </xf>
    <xf numFmtId="0" fontId="27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2" fillId="13" borderId="0" pivotButton="0" quotePrefix="0" xfId="0"/>
    <xf numFmtId="165" fontId="13" fillId="0" borderId="0" applyAlignment="1" pivotButton="0" quotePrefix="0" xfId="0">
      <alignment vertical="center"/>
    </xf>
    <xf numFmtId="3" fontId="12" fillId="13" borderId="0" pivotButton="0" quotePrefix="0" xfId="0"/>
    <xf numFmtId="0" fontId="20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165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165" fontId="16" fillId="0" borderId="0" applyAlignment="1" pivotButton="0" quotePrefix="0" xfId="0">
      <alignment vertical="center"/>
    </xf>
    <xf numFmtId="0" fontId="13" fillId="14" borderId="0" applyAlignment="1" pivotButton="0" quotePrefix="0" xfId="0">
      <alignment vertical="center"/>
    </xf>
    <xf numFmtId="0" fontId="12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5" fontId="3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11" fillId="5" borderId="0" applyAlignment="1" pivotButton="0" quotePrefix="0" xfId="0">
      <alignment horizontal="center"/>
    </xf>
    <xf numFmtId="0" fontId="11" fillId="5" borderId="0" applyAlignment="1" pivotButton="0" quotePrefix="0" xfId="0">
      <alignment horizontal="left"/>
    </xf>
    <xf numFmtId="0" fontId="3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11" fillId="5" borderId="0" applyAlignment="1" pivotButton="0" quotePrefix="0" xfId="0">
      <alignment horizontal="center"/>
    </xf>
    <xf numFmtId="164" fontId="11" fillId="5" borderId="0" applyAlignment="1" pivotButton="0" quotePrefix="0" xfId="0">
      <alignment horizontal="center"/>
    </xf>
    <xf numFmtId="0" fontId="16" fillId="0" borderId="0" pivotButton="0" quotePrefix="0" xfId="0"/>
    <xf numFmtId="0" fontId="38" fillId="0" borderId="0" pivotButton="0" quotePrefix="0" xfId="0"/>
    <xf numFmtId="0" fontId="21" fillId="0" borderId="0" applyAlignment="1" pivotButton="0" quotePrefix="0" xfId="0">
      <alignment vertical="bottom"/>
    </xf>
    <xf numFmtId="3" fontId="16" fillId="0" borderId="0" applyAlignment="1" pivotButton="0" quotePrefix="0" xfId="0">
      <alignment horizontal="right" vertical="bottom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bottom"/>
    </xf>
    <xf numFmtId="0" fontId="22" fillId="0" borderId="0" applyAlignment="1" pivotButton="0" quotePrefix="0" xfId="0">
      <alignment horizontal="right" vertical="bottom"/>
    </xf>
    <xf numFmtId="165" fontId="16" fillId="0" borderId="0" applyAlignment="1" pivotButton="0" quotePrefix="0" xfId="0">
      <alignment vertical="bottom"/>
    </xf>
    <xf numFmtId="3" fontId="16" fillId="0" borderId="0" applyAlignment="1" pivotButton="0" quotePrefix="0" xfId="0">
      <alignment vertical="bottom"/>
    </xf>
    <xf numFmtId="3" fontId="24" fillId="0" borderId="0" applyAlignment="1" pivotButton="0" quotePrefix="0" xfId="0">
      <alignment vertical="bottom"/>
    </xf>
    <xf numFmtId="3" fontId="24" fillId="16" borderId="0" applyAlignment="1" pivotButton="0" quotePrefix="0" xfId="0">
      <alignment vertical="bottom"/>
    </xf>
    <xf numFmtId="0" fontId="16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0" fontId="44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5" fillId="17" borderId="0" applyAlignment="1" pivotButton="0" quotePrefix="0" xfId="0">
      <alignment horizontal="right" vertical="bottom"/>
    </xf>
    <xf numFmtId="0" fontId="45" fillId="17" borderId="0" applyAlignment="1" pivotButton="0" quotePrefix="0" xfId="0">
      <alignment horizontal="right" vertical="bottom"/>
    </xf>
    <xf numFmtId="0" fontId="11" fillId="5" borderId="0" applyAlignment="1" pivotButton="0" quotePrefix="0" xfId="0">
      <alignment horizontal="center" vertical="center"/>
    </xf>
    <xf numFmtId="167" fontId="6" fillId="5" borderId="0" applyAlignment="1" pivotButton="0" quotePrefix="0" xfId="0">
      <alignment vertical="center"/>
    </xf>
    <xf numFmtId="0" fontId="11" fillId="5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3" fontId="25" fillId="0" borderId="0" applyAlignment="1" pivotButton="0" quotePrefix="0" xfId="0">
      <alignment vertical="center"/>
    </xf>
    <xf numFmtId="0" fontId="11" fillId="5" borderId="5" applyAlignment="1" pivotButton="0" quotePrefix="0" xfId="0">
      <alignment horizontal="center" vertical="center" wrapText="1"/>
    </xf>
    <xf numFmtId="0" fontId="47" fillId="5" borderId="0" applyAlignment="1" pivotButton="0" quotePrefix="0" xfId="0">
      <alignment vertical="center"/>
    </xf>
    <xf numFmtId="10" fontId="25" fillId="0" borderId="0" applyAlignment="1" pivotButton="0" quotePrefix="0" xfId="0">
      <alignment vertical="center"/>
    </xf>
    <xf numFmtId="164" fontId="11" fillId="5" borderId="5" applyAlignment="1" pivotButton="0" quotePrefix="0" xfId="0">
      <alignment horizontal="center" vertical="center" wrapText="1"/>
    </xf>
    <xf numFmtId="164" fontId="11" fillId="5" borderId="0" applyAlignment="1" pivotButton="0" quotePrefix="0" xfId="0">
      <alignment horizontal="center" vertical="center" wrapText="1"/>
    </xf>
    <xf numFmtId="0" fontId="11" fillId="5" borderId="5" applyAlignment="1" pivotButton="0" quotePrefix="0" xfId="0">
      <alignment horizontal="center" vertical="center" wrapText="1"/>
    </xf>
    <xf numFmtId="0" fontId="17" fillId="0" borderId="5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3" fontId="45" fillId="17" borderId="0" applyAlignment="1" pivotButton="0" quotePrefix="0" xfId="0">
      <alignment vertical="bottom"/>
    </xf>
    <xf numFmtId="3" fontId="16" fillId="0" borderId="0" applyAlignment="1" pivotButton="0" quotePrefix="0" xfId="0">
      <alignment vertical="center"/>
    </xf>
    <xf numFmtId="3" fontId="16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vertical="center"/>
    </xf>
    <xf numFmtId="0" fontId="45" fillId="17" borderId="0" applyAlignment="1" pivotButton="0" quotePrefix="0" xfId="0">
      <alignment vertical="bottom"/>
    </xf>
    <xf numFmtId="0" fontId="48" fillId="0" borderId="0" applyAlignment="1" pivotButton="0" quotePrefix="0" xfId="0">
      <alignment vertical="center"/>
    </xf>
    <xf numFmtId="165" fontId="22" fillId="0" borderId="0" applyAlignment="1" pivotButton="0" quotePrefix="0" xfId="0">
      <alignment vertical="center"/>
    </xf>
    <xf numFmtId="165" fontId="22" fillId="0" borderId="0" applyAlignment="1" pivotButton="0" quotePrefix="0" xfId="0">
      <alignment horizontal="center" vertical="center"/>
    </xf>
    <xf numFmtId="0" fontId="42" fillId="17" borderId="0" pivotButton="0" quotePrefix="0" xfId="0"/>
    <xf numFmtId="3" fontId="2" fillId="0" borderId="0" applyAlignment="1" pivotButton="0" quotePrefix="0" xfId="0">
      <alignment vertical="center"/>
    </xf>
    <xf numFmtId="3" fontId="21" fillId="0" borderId="0" applyAlignment="1" pivotButton="0" quotePrefix="0" xfId="0">
      <alignment horizontal="center" vertical="center"/>
    </xf>
    <xf numFmtId="10" fontId="25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3" fontId="23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13" fillId="0" borderId="0" pivotButton="0" quotePrefix="0" xfId="0"/>
    <xf numFmtId="0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13" fillId="18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3" fillId="0" borderId="0" pivotButton="0" quotePrefix="0" xfId="0"/>
    <xf numFmtId="0" fontId="46" fillId="18" borderId="0" applyAlignment="1" pivotButton="0" quotePrefix="0" xfId="0">
      <alignment vertical="center"/>
    </xf>
    <xf numFmtId="3" fontId="46" fillId="0" borderId="0" pivotButton="0" quotePrefix="0" xfId="0"/>
    <xf numFmtId="0" fontId="49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0" fontId="42" fillId="17" borderId="0" applyAlignment="1" pivotButton="0" quotePrefix="0" xfId="0">
      <alignment horizontal="right"/>
    </xf>
    <xf numFmtId="0" fontId="22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5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2" fillId="19" borderId="0" applyAlignment="1" pivotButton="0" quotePrefix="0" xfId="0">
      <alignment vertical="bottom"/>
    </xf>
    <xf numFmtId="3" fontId="10" fillId="19" borderId="0" applyAlignment="1" pivotButton="0" quotePrefix="0" xfId="0">
      <alignment horizontal="right"/>
    </xf>
    <xf numFmtId="3" fontId="10" fillId="7" borderId="0" applyAlignment="1" pivotButton="0" quotePrefix="0" xfId="0">
      <alignment horizontal="right"/>
    </xf>
    <xf numFmtId="0" fontId="13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2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3" fillId="18" borderId="0" pivotButton="0" quotePrefix="0" xfId="0"/>
    <xf numFmtId="0" fontId="46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8" fontId="6" fillId="5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47" fillId="0" borderId="0" pivotButton="0" quotePrefix="0" xfId="0"/>
    <xf numFmtId="3" fontId="47" fillId="0" borderId="0" pivotButton="0" quotePrefix="0" xfId="0"/>
    <xf numFmtId="169" fontId="47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3" borderId="7" applyAlignment="1" pivotButton="0" quotePrefix="0" xfId="0">
      <alignment horizontal="left" vertical="center" wrapText="1"/>
    </xf>
    <xf numFmtId="0" fontId="64" fillId="23" borderId="7" applyAlignment="1" pivotButton="0" quotePrefix="0" xfId="0">
      <alignment horizontal="center" vertical="center" wrapText="1"/>
    </xf>
    <xf numFmtId="0" fontId="65" fillId="24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vertical="center" wrapText="1"/>
    </xf>
    <xf numFmtId="0" fontId="63" fillId="0" borderId="0" pivotButton="0" quotePrefix="0" xfId="0"/>
    <xf numFmtId="0" fontId="64" fillId="25" borderId="8" applyAlignment="1" pivotButton="0" quotePrefix="0" xfId="0">
      <alignment horizontal="left" vertical="center" wrapText="1"/>
    </xf>
    <xf numFmtId="0" fontId="19" fillId="0" borderId="9" pivotButton="0" quotePrefix="0" xfId="0"/>
    <xf numFmtId="0" fontId="65" fillId="26" borderId="7" applyAlignment="1" pivotButton="0" quotePrefix="0" xfId="0">
      <alignment horizontal="left" vertical="top" wrapText="1"/>
    </xf>
    <xf numFmtId="0" fontId="66" fillId="0" borderId="7" applyAlignment="1" pivotButton="0" quotePrefix="0" xfId="0">
      <alignment horizontal="left" vertical="top" wrapText="1"/>
    </xf>
    <xf numFmtId="0" fontId="64" fillId="27" borderId="10" applyAlignment="1" pivotButton="0" quotePrefix="0" xfId="0">
      <alignment horizontal="left" vertical="center" wrapText="1"/>
    </xf>
    <xf numFmtId="0" fontId="19" fillId="0" borderId="11" pivotButton="0" quotePrefix="0" xfId="0"/>
    <xf numFmtId="0" fontId="65" fillId="28" borderId="7" applyAlignment="1" pivotButton="0" quotePrefix="0" xfId="0">
      <alignment horizontal="left" vertical="top" wrapText="1"/>
    </xf>
    <xf numFmtId="0" fontId="65" fillId="28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center" vertical="center" wrapText="1"/>
    </xf>
    <xf numFmtId="14" fontId="67" fillId="19" borderId="0" applyAlignment="1" pivotButton="0" quotePrefix="0" xfId="0">
      <alignment horizontal="right" vertical="top"/>
    </xf>
    <xf numFmtId="49" fontId="67" fillId="19" borderId="0" applyAlignment="1" pivotButton="0" quotePrefix="0" xfId="0">
      <alignment horizontal="left" vertical="top"/>
    </xf>
    <xf numFmtId="0" fontId="67" fillId="19" borderId="0" applyAlignment="1" pivotButton="0" quotePrefix="0" xfId="0">
      <alignment horizontal="right" vertical="top"/>
    </xf>
    <xf numFmtId="14" fontId="67" fillId="29" borderId="0" applyAlignment="1" pivotButton="0" quotePrefix="0" xfId="0">
      <alignment horizontal="right" vertical="top"/>
    </xf>
    <xf numFmtId="49" fontId="67" fillId="29" borderId="0" applyAlignment="1" pivotButton="0" quotePrefix="0" xfId="0">
      <alignment horizontal="left" vertical="top"/>
    </xf>
    <xf numFmtId="0" fontId="67" fillId="29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5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4" fillId="27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 outlineLevelRow="1"/>
  <cols>
    <col width="35" customWidth="1" style="239" min="1" max="1"/>
    <col width="13.13" customWidth="1" style="239" min="2" max="13"/>
    <col width="8.630000000000001" customWidth="1" style="239" min="14" max="25"/>
  </cols>
  <sheetData>
    <row r="1" ht="18.75" customHeight="1" s="239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 ht="18.75" customHeight="1" s="239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</row>
    <row r="3" ht="18.75" customHeight="1" s="239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 ht="18.75" customHeight="1" s="239">
      <c r="A4" s="15" t="inlineStr">
        <is>
          <t>Total page views (traffic)</t>
        </is>
      </c>
      <c r="B4" s="13">
        <f>SUM(B7:B11)</f>
        <v/>
      </c>
      <c r="C4" s="13">
        <f>SUM(C7:C11)</f>
        <v/>
      </c>
      <c r="D4" s="13">
        <f>SUM(D7:D11)</f>
        <v/>
      </c>
      <c r="E4" s="13">
        <f>SUM(E7:E11)</f>
        <v/>
      </c>
      <c r="F4" s="13">
        <f>SUM(F7:F11)</f>
        <v/>
      </c>
      <c r="G4" s="13">
        <f>SUM(G7:G11)</f>
        <v/>
      </c>
      <c r="H4" s="13">
        <f>SUM(H7:H11)</f>
        <v/>
      </c>
      <c r="I4" s="13">
        <f>SUM(I7:I11)</f>
        <v/>
      </c>
      <c r="J4" s="13">
        <f>SUM(J7:J11)</f>
        <v/>
      </c>
      <c r="K4" s="13">
        <f>SUM(K7:K11)</f>
        <v/>
      </c>
      <c r="L4" s="13">
        <f>SUM(L7:L11)</f>
        <v/>
      </c>
      <c r="M4" s="23" t="n">
        <v>4000000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</row>
    <row r="5" ht="18.75" customHeight="1" s="239">
      <c r="A5" s="28" t="inlineStr">
        <is>
          <t xml:space="preserve">    Net add</t>
        </is>
      </c>
      <c r="B5" s="13" t="n"/>
      <c r="C5" s="13">
        <f>C4-B4</f>
        <v/>
      </c>
      <c r="D5" s="13">
        <f>D4-C4</f>
        <v/>
      </c>
      <c r="E5" s="13">
        <f>E4-D4</f>
        <v/>
      </c>
      <c r="F5" s="13">
        <f>F4-E4</f>
        <v/>
      </c>
      <c r="G5" s="13">
        <f>G4-F4</f>
        <v/>
      </c>
      <c r="H5" s="13">
        <f>H4-G4</f>
        <v/>
      </c>
      <c r="I5" s="13">
        <f>I4-H4</f>
        <v/>
      </c>
      <c r="J5" s="13">
        <f>J4-I4</f>
        <v/>
      </c>
      <c r="K5" s="13">
        <f>K4-J4</f>
        <v/>
      </c>
      <c r="L5" s="13">
        <f>L4-K4</f>
        <v/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</row>
    <row r="6" ht="18.75" customHeight="1" s="239">
      <c r="A6" s="28" t="inlineStr">
        <is>
          <t xml:space="preserve">   % Growth Rate</t>
        </is>
      </c>
      <c r="B6" s="13" t="n"/>
      <c r="C6" s="13" t="n"/>
      <c r="D6" s="13" t="n"/>
      <c r="E6" s="13" t="n"/>
      <c r="F6" s="13" t="n"/>
      <c r="G6" s="13" t="n"/>
      <c r="H6" s="42" t="n"/>
      <c r="I6" s="42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</row>
    <row r="7" ht="18.75" customHeight="1" s="239">
      <c r="A7" s="45" t="inlineStr">
        <is>
          <t>Organic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</row>
    <row r="8" ht="18.75" customHeight="1" s="239">
      <c r="A8" s="45" t="inlineStr">
        <is>
          <t>Paids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</row>
    <row r="9" ht="18.75" customHeight="1" s="239">
      <c r="A9" s="45" t="inlineStr">
        <is>
          <t>Direct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</row>
    <row r="10" ht="18.75" customHeight="1" s="239">
      <c r="A10" s="45" t="inlineStr">
        <is>
          <t xml:space="preserve">Social 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</row>
    <row r="11" ht="18.75" customHeight="1" s="239">
      <c r="A11" s="45" t="inlineStr">
        <is>
          <t>Others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</row>
    <row r="12" ht="18.75" customHeight="1" s="239">
      <c r="A12" s="51" t="inlineStr">
        <is>
          <t>Actual</t>
        </is>
      </c>
      <c r="B12" s="51" t="inlineStr">
        <is>
          <t>Jan</t>
        </is>
      </c>
      <c r="C12" s="51" t="inlineStr">
        <is>
          <t>Feb</t>
        </is>
      </c>
      <c r="D12" s="51" t="inlineStr">
        <is>
          <t>Mar</t>
        </is>
      </c>
      <c r="E12" s="51" t="inlineStr">
        <is>
          <t>Apr</t>
        </is>
      </c>
      <c r="F12" s="51" t="inlineStr">
        <is>
          <t>May</t>
        </is>
      </c>
      <c r="G12" s="51" t="inlineStr">
        <is>
          <t>Jun</t>
        </is>
      </c>
      <c r="H12" s="51" t="inlineStr">
        <is>
          <t>Jul</t>
        </is>
      </c>
      <c r="I12" s="51" t="inlineStr">
        <is>
          <t>Aug</t>
        </is>
      </c>
      <c r="J12" s="51" t="inlineStr">
        <is>
          <t>Sep</t>
        </is>
      </c>
      <c r="K12" s="51" t="inlineStr">
        <is>
          <t>Oct</t>
        </is>
      </c>
      <c r="L12" s="51" t="inlineStr">
        <is>
          <t>Nov</t>
        </is>
      </c>
      <c r="M12" s="51" t="inlineStr">
        <is>
          <t>Dec</t>
        </is>
      </c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</row>
    <row r="13" ht="18.75" customHeight="1" s="239">
      <c r="A13" s="15" t="inlineStr">
        <is>
          <t>Total page views</t>
        </is>
      </c>
      <c r="B13" s="13">
        <f>SUM(B16:B20)</f>
        <v/>
      </c>
      <c r="C13" s="13">
        <f>SUM(C16:C20)</f>
        <v/>
      </c>
      <c r="D13" s="13">
        <f>SUM(D16:D20)</f>
        <v/>
      </c>
      <c r="E13" s="13">
        <f>SUM(E16:E20)</f>
        <v/>
      </c>
      <c r="F13" s="13">
        <f>SUM(F16:F20)</f>
        <v/>
      </c>
      <c r="G13" s="13">
        <f>SUM(G16:G20)</f>
        <v/>
      </c>
      <c r="H13" s="13">
        <f>SUM(H16:H20)</f>
        <v/>
      </c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</row>
    <row r="14" ht="18.75" customHeight="1" s="239">
      <c r="A14" s="28" t="inlineStr">
        <is>
          <t xml:space="preserve">   Net add</t>
        </is>
      </c>
      <c r="B14" s="13" t="n"/>
      <c r="C14" s="13">
        <f>C13-B13</f>
        <v/>
      </c>
      <c r="D14" s="13">
        <f>D13-C13</f>
        <v/>
      </c>
      <c r="E14" s="13">
        <f>E13-D13</f>
        <v/>
      </c>
      <c r="F14" s="13">
        <f>F13-E13</f>
        <v/>
      </c>
      <c r="G14" s="13">
        <f>G13-F13</f>
        <v/>
      </c>
      <c r="H14" s="13">
        <f>H13-G13</f>
        <v/>
      </c>
      <c r="I14" s="13" t="n"/>
      <c r="J14" s="13" t="n"/>
      <c r="K14" s="13" t="n"/>
      <c r="L14" s="13" t="n"/>
      <c r="M14" s="2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</row>
    <row r="15" ht="18.75" customHeight="1" s="239">
      <c r="A15" s="28" t="inlineStr">
        <is>
          <t xml:space="preserve">  % Growth Rate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2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</row>
    <row r="16" ht="18.75" customHeight="1" s="239">
      <c r="A16" s="45" t="inlineStr">
        <is>
          <t>Organic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</row>
    <row r="17" ht="18.75" customHeight="1" s="239">
      <c r="A17" s="45" t="inlineStr">
        <is>
          <t>Paids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</row>
    <row r="18" ht="18.75" customHeight="1" s="239">
      <c r="A18" s="45" t="inlineStr">
        <is>
          <t>Direct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</row>
    <row r="19" ht="18.75" customHeight="1" s="239">
      <c r="A19" s="45" t="inlineStr">
        <is>
          <t xml:space="preserve">Social 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</row>
    <row r="20" ht="18.75" customHeight="1" s="239">
      <c r="A20" s="45" t="inlineStr">
        <is>
          <t>Others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</row>
    <row r="21" ht="13.5" customHeight="1" s="239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 ht="13.5" customHeight="1" s="239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 ht="13.5" customHeight="1" s="239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 ht="13.5" customHeight="1" s="239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 ht="13.5" customHeight="1" s="239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 ht="13.5" customHeight="1" s="239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  <row r="27" ht="13.5" customHeight="1" s="239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</row>
    <row r="28" ht="13.5" customHeight="1" s="239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</row>
    <row r="29" ht="13.5" customHeight="1" s="23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</row>
    <row r="30" ht="13.5" customHeight="1" s="239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</row>
    <row r="31" ht="13.5" customHeight="1" s="239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</row>
    <row r="32" ht="13.5" customHeight="1" s="239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</row>
    <row r="33" ht="13.5" customHeight="1" s="239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</row>
    <row r="34" ht="13.5" customHeight="1" s="239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</row>
    <row r="35" ht="13.5" customHeight="1" s="239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</row>
    <row r="36" ht="13.5" customHeight="1" s="239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</row>
    <row r="37" ht="13.5" customHeight="1" s="239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</row>
    <row r="38" ht="13.5" customHeight="1" s="239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</row>
    <row r="39" ht="13.5" customHeight="1" s="2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</row>
    <row r="40" ht="13.5" customHeight="1" s="239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</row>
    <row r="41" ht="13.5" customHeight="1" s="239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</row>
    <row r="42" ht="13.5" customHeight="1" s="239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</row>
    <row r="43" ht="13.5" customHeight="1" s="239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</row>
    <row r="44" ht="13.5" customHeight="1" s="239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</row>
    <row r="45" ht="13.5" customHeight="1" s="239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</row>
    <row r="46" ht="13.5" customHeight="1" s="239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</row>
    <row r="47" ht="13.5" customHeight="1" s="239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</row>
    <row r="48" ht="13.5" customHeight="1" s="239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</row>
    <row r="49" ht="13.5" customHeight="1" s="23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</row>
    <row r="50" ht="13.5" customHeight="1" s="239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</row>
    <row r="51" ht="13.5" customHeight="1" s="239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</row>
    <row r="52" ht="13.5" customHeight="1" s="239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</row>
    <row r="53" ht="13.5" customHeight="1" s="239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</row>
    <row r="54" ht="13.5" customHeight="1" s="239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</row>
    <row r="55" ht="13.5" customHeight="1" s="239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</row>
    <row r="56" ht="13.5" customHeight="1" s="239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</row>
    <row r="57" ht="13.5" customHeight="1" s="239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</row>
    <row r="58" ht="13.5" customHeight="1" s="239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</row>
    <row r="59" ht="13.5" customHeight="1" s="23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</row>
    <row r="60" ht="13.5" customHeight="1" s="239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</row>
    <row r="61" ht="13.5" customHeight="1" s="239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</row>
    <row r="62" ht="13.5" customHeight="1" s="239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</row>
    <row r="63" ht="13.5" customHeight="1" s="239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</row>
    <row r="64" ht="13.5" customHeight="1" s="239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</row>
    <row r="65" ht="13.5" customHeight="1" s="239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</row>
    <row r="66" ht="13.5" customHeight="1" s="239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</row>
    <row r="67" ht="13.5" customHeight="1" s="239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</row>
    <row r="68" ht="13.5" customHeight="1" s="239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</row>
    <row r="69" ht="13.5" customHeight="1" s="23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</row>
    <row r="70" ht="13.5" customHeight="1" s="239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</row>
    <row r="71" ht="13.5" customHeight="1" s="239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</row>
    <row r="72" ht="13.5" customHeight="1" s="239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</row>
    <row r="73" ht="13.5" customHeight="1" s="239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</row>
    <row r="74" ht="13.5" customHeight="1" s="239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</row>
    <row r="75" ht="13.5" customHeight="1" s="239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</row>
    <row r="76" ht="13.5" customHeight="1" s="239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</row>
    <row r="77" ht="13.5" customHeight="1" s="239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</row>
    <row r="78" ht="13.5" customHeight="1" s="239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</row>
    <row r="79" ht="13.5" customHeight="1" s="23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</row>
    <row r="80" ht="13.5" customHeight="1" s="239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</row>
    <row r="81" ht="13.5" customHeight="1" s="239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</row>
    <row r="82" ht="13.5" customHeight="1" s="239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</row>
    <row r="83" ht="13.5" customHeight="1" s="239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</row>
    <row r="84" ht="13.5" customHeight="1" s="239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</row>
    <row r="85" ht="13.5" customHeight="1" s="239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</row>
    <row r="86" ht="13.5" customHeight="1" s="239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</row>
    <row r="87" ht="13.5" customHeight="1" s="239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</row>
    <row r="88" ht="13.5" customHeight="1" s="239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</row>
    <row r="89" ht="13.5" customHeight="1" s="23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</row>
    <row r="90" ht="13.5" customHeight="1" s="239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</row>
    <row r="91" ht="13.5" customHeight="1" s="239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</row>
    <row r="92" ht="13.5" customHeight="1" s="239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</row>
    <row r="93" ht="13.5" customHeight="1" s="239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</row>
    <row r="94" ht="13.5" customHeight="1" s="239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</row>
    <row r="95" ht="13.5" customHeight="1" s="239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</row>
    <row r="96" ht="13.5" customHeight="1" s="239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</row>
    <row r="97" ht="13.5" customHeight="1" s="239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</row>
    <row r="98" ht="13.5" customHeight="1" s="239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</row>
    <row r="99" ht="13.5" customHeight="1" s="23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</row>
    <row r="100" ht="13.5" customHeight="1" s="239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</row>
    <row r="101" ht="13.5" customHeight="1" s="239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</row>
    <row r="102" ht="13.5" customHeight="1" s="239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</row>
    <row r="103" ht="13.5" customHeight="1" s="239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</row>
    <row r="104" ht="13.5" customHeight="1" s="239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</row>
    <row r="105" ht="13.5" customHeight="1" s="239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</row>
    <row r="106" ht="13.5" customHeight="1" s="239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</row>
    <row r="107" ht="13.5" customHeight="1" s="239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</row>
    <row r="108" ht="13.5" customHeight="1" s="239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</row>
    <row r="109" ht="13.5" customHeight="1" s="23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</row>
    <row r="110" ht="13.5" customHeight="1" s="239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</row>
    <row r="111" ht="13.5" customHeight="1" s="239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</row>
    <row r="112" ht="13.5" customHeight="1" s="239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</row>
    <row r="113" ht="13.5" customHeight="1" s="239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</row>
    <row r="114" ht="13.5" customHeight="1" s="239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</row>
    <row r="115" ht="13.5" customHeight="1" s="239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</row>
    <row r="116" ht="13.5" customHeight="1" s="239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</row>
    <row r="117" ht="13.5" customHeight="1" s="239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</row>
    <row r="118" ht="13.5" customHeight="1" s="239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</row>
    <row r="119" ht="13.5" customHeight="1" s="23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</row>
    <row r="120" ht="13.5" customHeight="1" s="239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</row>
    <row r="121" ht="13.5" customHeight="1" s="239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</row>
    <row r="122" ht="13.5" customHeight="1" s="239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</row>
    <row r="123" ht="13.5" customHeight="1" s="239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</row>
    <row r="124" ht="13.5" customHeight="1" s="239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</row>
    <row r="125" ht="13.5" customHeight="1" s="239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</row>
    <row r="126" ht="13.5" customHeight="1" s="239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</row>
    <row r="127" ht="13.5" customHeight="1" s="239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</row>
    <row r="128" ht="13.5" customHeight="1" s="239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</row>
    <row r="129" ht="13.5" customHeight="1" s="23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</row>
    <row r="130" ht="13.5" customHeight="1" s="239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</row>
    <row r="131" ht="13.5" customHeight="1" s="239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</row>
    <row r="132" ht="13.5" customHeight="1" s="239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</row>
    <row r="133" ht="13.5" customHeight="1" s="239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</row>
    <row r="134" ht="13.5" customHeight="1" s="239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</row>
    <row r="135" ht="13.5" customHeight="1" s="239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</row>
    <row r="136" ht="13.5" customHeight="1" s="239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</row>
    <row r="137" ht="13.5" customHeight="1" s="239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</row>
    <row r="138" ht="13.5" customHeight="1" s="239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</row>
    <row r="139" ht="13.5" customHeight="1" s="2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</row>
    <row r="140" ht="13.5" customHeight="1" s="239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</row>
    <row r="141" ht="13.5" customHeight="1" s="239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</row>
    <row r="142" ht="13.5" customHeight="1" s="239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</row>
    <row r="143" ht="13.5" customHeight="1" s="239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</row>
    <row r="144" ht="13.5" customHeight="1" s="239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</row>
    <row r="145" ht="13.5" customHeight="1" s="239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</row>
    <row r="146" ht="13.5" customHeight="1" s="239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</row>
    <row r="147" ht="13.5" customHeight="1" s="239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</row>
    <row r="148" ht="13.5" customHeight="1" s="239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</row>
    <row r="149" ht="13.5" customHeight="1" s="23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</row>
    <row r="150" ht="13.5" customHeight="1" s="239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</row>
    <row r="151" ht="13.5" customHeight="1" s="239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</row>
    <row r="152" ht="13.5" customHeight="1" s="239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</row>
    <row r="153" ht="13.5" customHeight="1" s="239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</row>
    <row r="154" ht="13.5" customHeight="1" s="239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</row>
    <row r="155" ht="13.5" customHeight="1" s="239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</row>
    <row r="156" ht="13.5" customHeight="1" s="239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</row>
    <row r="157" ht="13.5" customHeight="1" s="239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</row>
    <row r="158" ht="13.5" customHeight="1" s="239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</row>
    <row r="159" ht="13.5" customHeight="1" s="23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</row>
    <row r="160" ht="13.5" customHeight="1" s="239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</row>
    <row r="161" ht="13.5" customHeight="1" s="239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</row>
    <row r="162" ht="13.5" customHeight="1" s="239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</row>
    <row r="163" ht="13.5" customHeight="1" s="239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</row>
    <row r="164" ht="13.5" customHeight="1" s="239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</row>
    <row r="165" ht="13.5" customHeight="1" s="239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</row>
    <row r="166" ht="13.5" customHeight="1" s="239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</row>
    <row r="167" ht="13.5" customHeight="1" s="239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</row>
    <row r="168" ht="13.5" customHeight="1" s="239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</row>
    <row r="169" ht="13.5" customHeight="1" s="23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</row>
    <row r="170" ht="13.5" customHeight="1" s="239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</row>
    <row r="171" ht="13.5" customHeight="1" s="239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</row>
    <row r="172" ht="13.5" customHeight="1" s="239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</row>
    <row r="173" ht="13.5" customHeight="1" s="239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</row>
    <row r="174" ht="13.5" customHeight="1" s="239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</row>
    <row r="175" ht="13.5" customHeight="1" s="239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</row>
    <row r="176" ht="13.5" customHeight="1" s="239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</row>
    <row r="177" ht="13.5" customHeight="1" s="239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</row>
    <row r="178" ht="13.5" customHeight="1" s="239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</row>
    <row r="179" ht="13.5" customHeight="1" s="23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</row>
    <row r="180" ht="13.5" customHeight="1" s="239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</row>
    <row r="181" ht="13.5" customHeight="1" s="239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</row>
    <row r="182" ht="13.5" customHeight="1" s="239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</row>
    <row r="183" ht="13.5" customHeight="1" s="239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</row>
    <row r="184" ht="13.5" customHeight="1" s="239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</row>
    <row r="185" ht="13.5" customHeight="1" s="239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</row>
    <row r="186" ht="13.5" customHeight="1" s="239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</row>
    <row r="187" ht="13.5" customHeight="1" s="239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</row>
    <row r="188" ht="13.5" customHeight="1" s="239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</row>
    <row r="189" ht="13.5" customHeight="1" s="23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</row>
    <row r="190" ht="13.5" customHeight="1" s="239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</row>
    <row r="191" ht="13.5" customHeight="1" s="239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</row>
    <row r="192" ht="13.5" customHeight="1" s="239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</row>
    <row r="193" ht="13.5" customHeight="1" s="239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</row>
    <row r="194" ht="13.5" customHeight="1" s="239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</row>
    <row r="195" ht="13.5" customHeight="1" s="239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</row>
    <row r="196" ht="13.5" customHeight="1" s="239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</row>
    <row r="197" ht="13.5" customHeight="1" s="239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</row>
    <row r="198" ht="13.5" customHeight="1" s="239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</row>
    <row r="199" ht="13.5" customHeight="1" s="23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</row>
    <row r="200" ht="13.5" customHeight="1" s="239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</row>
    <row r="201" ht="13.5" customHeight="1" s="239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</row>
    <row r="202" ht="13.5" customHeight="1" s="239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</row>
    <row r="203" ht="13.5" customHeight="1" s="239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</row>
    <row r="204" ht="13.5" customHeight="1" s="239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</row>
    <row r="205" ht="13.5" customHeight="1" s="239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</row>
    <row r="206" ht="13.5" customHeight="1" s="239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</row>
    <row r="207" ht="13.5" customHeight="1" s="239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</row>
    <row r="208" ht="13.5" customHeight="1" s="239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</row>
    <row r="209" ht="13.5" customHeight="1" s="23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</row>
    <row r="210" ht="13.5" customHeight="1" s="239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</row>
    <row r="211" ht="13.5" customHeight="1" s="239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</row>
    <row r="212" ht="13.5" customHeight="1" s="239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</row>
    <row r="213" ht="13.5" customHeight="1" s="239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</row>
    <row r="214" ht="13.5" customHeight="1" s="239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</row>
    <row r="215" ht="13.5" customHeight="1" s="239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</row>
    <row r="216" ht="13.5" customHeight="1" s="239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</row>
    <row r="217" ht="13.5" customHeight="1" s="239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</row>
    <row r="218" ht="13.5" customHeight="1" s="239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</row>
    <row r="219" ht="13.5" customHeight="1" s="23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</row>
    <row r="220" ht="13.5" customHeight="1" s="239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</row>
    <row r="221" ht="13.5" customHeight="1" s="23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</row>
    <row r="222" ht="13.5" customHeight="1" s="23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</row>
    <row r="223" ht="13.5" customHeight="1" s="23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</row>
    <row r="224" ht="13.5" customHeight="1" s="23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</row>
    <row r="225" ht="13.5" customHeight="1" s="23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</row>
    <row r="226" ht="13.5" customHeight="1" s="23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</row>
    <row r="227" ht="13.5" customHeight="1" s="23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</row>
    <row r="228" ht="13.5" customHeight="1" s="23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</row>
    <row r="229" ht="13.5" customHeight="1" s="23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</row>
    <row r="230" ht="13.5" customHeight="1" s="23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</row>
    <row r="231" ht="13.5" customHeight="1" s="23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</row>
    <row r="232" ht="13.5" customHeight="1" s="23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</row>
    <row r="233" ht="13.5" customHeight="1" s="23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</row>
    <row r="234" ht="13.5" customHeight="1" s="23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</row>
    <row r="235" ht="13.5" customHeight="1" s="23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</row>
    <row r="236" ht="13.5" customHeight="1" s="23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</row>
    <row r="237" ht="13.5" customHeight="1" s="23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</row>
    <row r="238" ht="13.5" customHeight="1" s="23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</row>
    <row r="239" ht="13.5" customHeight="1" s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</row>
    <row r="240" ht="13.5" customHeight="1" s="23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</row>
    <row r="241" ht="13.5" customHeight="1" s="23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</row>
    <row r="242" ht="13.5" customHeight="1" s="23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</row>
    <row r="243" ht="13.5" customHeight="1" s="23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</row>
    <row r="244" ht="13.5" customHeight="1" s="23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</row>
    <row r="245" ht="13.5" customHeight="1" s="23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</row>
    <row r="246" ht="13.5" customHeight="1" s="23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</row>
    <row r="247" ht="13.5" customHeight="1" s="23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</row>
    <row r="248" ht="13.5" customHeight="1" s="23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</row>
    <row r="249" ht="13.5" customHeight="1" s="23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</row>
    <row r="250" ht="13.5" customHeight="1" s="23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</row>
    <row r="251" ht="13.5" customHeight="1" s="23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</row>
    <row r="252" ht="13.5" customHeight="1" s="23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</row>
    <row r="253" ht="13.5" customHeight="1" s="23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</row>
    <row r="254" ht="13.5" customHeight="1" s="23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</row>
    <row r="255" ht="13.5" customHeight="1" s="23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</row>
    <row r="256" ht="13.5" customHeight="1" s="23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</row>
    <row r="257" ht="13.5" customHeight="1" s="23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</row>
    <row r="258" ht="13.5" customHeight="1" s="23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</row>
    <row r="259" ht="13.5" customHeight="1" s="23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</row>
    <row r="260" ht="13.5" customHeight="1" s="23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</row>
    <row r="261" ht="13.5" customHeight="1" s="23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</row>
    <row r="262" ht="13.5" customHeight="1" s="23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</row>
    <row r="263" ht="13.5" customHeight="1" s="23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</row>
    <row r="264" ht="13.5" customHeight="1" s="23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</row>
    <row r="265" ht="13.5" customHeight="1" s="23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</row>
    <row r="266" ht="13.5" customHeight="1" s="23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</row>
    <row r="267" ht="13.5" customHeight="1" s="23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</row>
    <row r="268" ht="13.5" customHeight="1" s="239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</row>
    <row r="269" ht="13.5" customHeight="1" s="23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</row>
    <row r="270" ht="13.5" customHeight="1" s="239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</row>
    <row r="271" ht="13.5" customHeight="1" s="239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</row>
    <row r="272" ht="13.5" customHeight="1" s="239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</row>
    <row r="273" ht="13.5" customHeight="1" s="239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</row>
    <row r="274" ht="13.5" customHeight="1" s="239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</row>
    <row r="275" ht="13.5" customHeight="1" s="239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</row>
    <row r="276" ht="13.5" customHeight="1" s="239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</row>
    <row r="277" ht="13.5" customHeight="1" s="239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</row>
    <row r="278" ht="13.5" customHeight="1" s="239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</row>
    <row r="279" ht="13.5" customHeight="1" s="23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</row>
    <row r="280" ht="13.5" customHeight="1" s="239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</row>
    <row r="281" ht="13.5" customHeight="1" s="239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</row>
    <row r="282" ht="13.5" customHeight="1" s="239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</row>
    <row r="283" ht="13.5" customHeight="1" s="239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</row>
    <row r="284" ht="13.5" customHeight="1" s="239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</row>
    <row r="285" ht="13.5" customHeight="1" s="239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</row>
    <row r="286" ht="13.5" customHeight="1" s="239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</row>
    <row r="287" ht="13.5" customHeight="1" s="239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</row>
    <row r="288" ht="13.5" customHeight="1" s="239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</row>
    <row r="289" ht="13.5" customHeight="1" s="23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</row>
    <row r="290" ht="13.5" customHeight="1" s="239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</row>
    <row r="291" ht="13.5" customHeight="1" s="239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</row>
    <row r="292" ht="13.5" customHeight="1" s="239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</row>
    <row r="293" ht="13.5" customHeight="1" s="239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</row>
    <row r="294" ht="13.5" customHeight="1" s="239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</row>
    <row r="295" ht="13.5" customHeight="1" s="239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</row>
    <row r="296" ht="13.5" customHeight="1" s="239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</row>
    <row r="297" ht="13.5" customHeight="1" s="239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</row>
    <row r="298" ht="13.5" customHeight="1" s="239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</row>
    <row r="299" ht="13.5" customHeight="1" s="23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</row>
    <row r="300" ht="13.5" customHeight="1" s="239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</row>
    <row r="301" ht="13.5" customHeight="1" s="239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</row>
    <row r="302" ht="13.5" customHeight="1" s="239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</row>
    <row r="303" ht="13.5" customHeight="1" s="239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</row>
    <row r="304" ht="13.5" customHeight="1" s="239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</row>
    <row r="305" ht="13.5" customHeight="1" s="239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</row>
    <row r="306" ht="13.5" customHeight="1" s="239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</row>
    <row r="307" ht="13.5" customHeight="1" s="239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</row>
    <row r="308" ht="13.5" customHeight="1" s="239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</row>
    <row r="309" ht="13.5" customHeight="1" s="23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</row>
    <row r="310" ht="13.5" customHeight="1" s="239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</row>
    <row r="311" ht="13.5" customHeight="1" s="239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</row>
    <row r="312" ht="13.5" customHeight="1" s="239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</row>
    <row r="313" ht="13.5" customHeight="1" s="239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</row>
    <row r="314" ht="13.5" customHeight="1" s="239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</row>
    <row r="315" ht="13.5" customHeight="1" s="239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</row>
    <row r="316" ht="13.5" customHeight="1" s="239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</row>
    <row r="317" ht="13.5" customHeight="1" s="239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</row>
    <row r="318" ht="13.5" customHeight="1" s="239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</row>
    <row r="319" ht="13.5" customHeight="1" s="23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</row>
    <row r="320" ht="13.5" customHeight="1" s="239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</row>
    <row r="321" ht="13.5" customHeight="1" s="239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</row>
    <row r="322" ht="13.5" customHeight="1" s="239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</row>
    <row r="323" ht="13.5" customHeight="1" s="239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</row>
    <row r="324" ht="13.5" customHeight="1" s="239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</row>
    <row r="325" ht="13.5" customHeight="1" s="239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</row>
    <row r="326" ht="13.5" customHeight="1" s="239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</row>
    <row r="327" ht="13.5" customHeight="1" s="239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</row>
    <row r="328" ht="13.5" customHeight="1" s="239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</row>
    <row r="329" ht="13.5" customHeight="1" s="23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</row>
    <row r="330" ht="13.5" customHeight="1" s="239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</row>
    <row r="331" ht="13.5" customHeight="1" s="239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</row>
    <row r="332" ht="13.5" customHeight="1" s="239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</row>
    <row r="333" ht="13.5" customHeight="1" s="239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</row>
    <row r="334" ht="13.5" customHeight="1" s="239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</row>
    <row r="335" ht="13.5" customHeight="1" s="239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</row>
    <row r="336" ht="13.5" customHeight="1" s="239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</row>
    <row r="337" ht="13.5" customHeight="1" s="239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</row>
    <row r="338" ht="13.5" customHeight="1" s="239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</row>
    <row r="339" ht="13.5" customHeight="1" s="2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</row>
    <row r="340" ht="13.5" customHeight="1" s="239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</row>
    <row r="341" ht="13.5" customHeight="1" s="239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</row>
    <row r="342" ht="13.5" customHeight="1" s="239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</row>
    <row r="343" ht="13.5" customHeight="1" s="239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</row>
    <row r="344" ht="13.5" customHeight="1" s="239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</row>
    <row r="345" ht="13.5" customHeight="1" s="239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</row>
    <row r="346" ht="13.5" customHeight="1" s="239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</row>
    <row r="347" ht="13.5" customHeight="1" s="239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</row>
    <row r="348" ht="13.5" customHeight="1" s="239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</row>
    <row r="349" ht="13.5" customHeight="1" s="23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</row>
    <row r="350" ht="13.5" customHeight="1" s="239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</row>
    <row r="351" ht="13.5" customHeight="1" s="239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</row>
    <row r="352" ht="13.5" customHeight="1" s="239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</row>
    <row r="353" ht="13.5" customHeight="1" s="239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</row>
    <row r="354" ht="13.5" customHeight="1" s="239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</row>
    <row r="355" ht="13.5" customHeight="1" s="239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</row>
    <row r="356" ht="13.5" customHeight="1" s="239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</row>
    <row r="357" ht="13.5" customHeight="1" s="239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</row>
    <row r="358" ht="13.5" customHeight="1" s="239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</row>
    <row r="359" ht="13.5" customHeight="1" s="23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</row>
    <row r="360" ht="13.5" customHeight="1" s="239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</row>
    <row r="361" ht="13.5" customHeight="1" s="239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</row>
    <row r="362" ht="13.5" customHeight="1" s="239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</row>
    <row r="363" ht="13.5" customHeight="1" s="239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</row>
    <row r="364" ht="13.5" customHeight="1" s="239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</row>
    <row r="365" ht="13.5" customHeight="1" s="239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</row>
    <row r="366" ht="13.5" customHeight="1" s="239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</row>
    <row r="367" ht="13.5" customHeight="1" s="239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</row>
    <row r="368" ht="13.5" customHeight="1" s="239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</row>
    <row r="369" ht="13.5" customHeight="1" s="23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</row>
    <row r="370" ht="13.5" customHeight="1" s="239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</row>
    <row r="371" ht="13.5" customHeight="1" s="239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</row>
    <row r="372" ht="13.5" customHeight="1" s="239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</row>
    <row r="373" ht="13.5" customHeight="1" s="239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</row>
    <row r="374" ht="13.5" customHeight="1" s="239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</row>
    <row r="375" ht="13.5" customHeight="1" s="239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</row>
    <row r="376" ht="13.5" customHeight="1" s="239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</row>
    <row r="377" ht="13.5" customHeight="1" s="239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</row>
    <row r="378" ht="13.5" customHeight="1" s="239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</row>
    <row r="379" ht="13.5" customHeight="1" s="23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</row>
    <row r="380" ht="13.5" customHeight="1" s="239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</row>
    <row r="381" ht="13.5" customHeight="1" s="239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</row>
    <row r="382" ht="13.5" customHeight="1" s="239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</row>
    <row r="383" ht="13.5" customHeight="1" s="239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</row>
    <row r="384" ht="13.5" customHeight="1" s="239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</row>
    <row r="385" ht="13.5" customHeight="1" s="239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</row>
    <row r="386" ht="13.5" customHeight="1" s="239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</row>
    <row r="387" ht="13.5" customHeight="1" s="239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</row>
    <row r="388" ht="13.5" customHeight="1" s="239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</row>
    <row r="389" ht="13.5" customHeight="1" s="23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</row>
    <row r="390" ht="13.5" customHeight="1" s="239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</row>
    <row r="391" ht="13.5" customHeight="1" s="239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</row>
    <row r="392" ht="13.5" customHeight="1" s="239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</row>
    <row r="393" ht="13.5" customHeight="1" s="239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</row>
    <row r="394" ht="13.5" customHeight="1" s="239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</row>
    <row r="395" ht="13.5" customHeight="1" s="239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</row>
    <row r="396" ht="13.5" customHeight="1" s="239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</row>
    <row r="397" ht="13.5" customHeight="1" s="239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</row>
    <row r="398" ht="13.5" customHeight="1" s="239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</row>
    <row r="399" ht="13.5" customHeight="1" s="23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</row>
    <row r="400" ht="13.5" customHeight="1" s="239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</row>
    <row r="401" ht="13.5" customHeight="1" s="239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</row>
    <row r="402" ht="13.5" customHeight="1" s="239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</row>
    <row r="403" ht="13.5" customHeight="1" s="239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</row>
    <row r="404" ht="13.5" customHeight="1" s="239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</row>
    <row r="405" ht="13.5" customHeight="1" s="239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</row>
    <row r="406" ht="13.5" customHeight="1" s="239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</row>
    <row r="407" ht="13.5" customHeight="1" s="239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</row>
    <row r="408" ht="13.5" customHeight="1" s="239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</row>
    <row r="409" ht="13.5" customHeight="1" s="23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</row>
    <row r="410" ht="13.5" customHeight="1" s="239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</row>
    <row r="411" ht="13.5" customHeight="1" s="239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</row>
    <row r="412" ht="13.5" customHeight="1" s="239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</row>
    <row r="413" ht="13.5" customHeight="1" s="239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</row>
    <row r="414" ht="13.5" customHeight="1" s="239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</row>
    <row r="415" ht="13.5" customHeight="1" s="239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</row>
    <row r="416" ht="13.5" customHeight="1" s="239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</row>
    <row r="417" ht="13.5" customHeight="1" s="239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</row>
    <row r="418" ht="13.5" customHeight="1" s="239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</row>
    <row r="419" ht="13.5" customHeight="1" s="23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</row>
    <row r="420" ht="13.5" customHeight="1" s="239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</row>
    <row r="421" ht="13.5" customHeight="1" s="239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</row>
    <row r="422" ht="13.5" customHeight="1" s="239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</row>
    <row r="423" ht="13.5" customHeight="1" s="239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</row>
    <row r="424" ht="13.5" customHeight="1" s="239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</row>
    <row r="425" ht="13.5" customHeight="1" s="239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</row>
    <row r="426" ht="13.5" customHeight="1" s="239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</row>
    <row r="427" ht="13.5" customHeight="1" s="239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</row>
    <row r="428" ht="13.5" customHeight="1" s="239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</row>
    <row r="429" ht="13.5" customHeight="1" s="23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</row>
    <row r="430" ht="13.5" customHeight="1" s="239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</row>
    <row r="431" ht="13.5" customHeight="1" s="239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</row>
    <row r="432" ht="13.5" customHeight="1" s="239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</row>
    <row r="433" ht="13.5" customHeight="1" s="239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</row>
    <row r="434" ht="13.5" customHeight="1" s="239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</row>
    <row r="435" ht="13.5" customHeight="1" s="239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</row>
    <row r="436" ht="13.5" customHeight="1" s="239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</row>
    <row r="437" ht="13.5" customHeight="1" s="239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</row>
    <row r="438" ht="13.5" customHeight="1" s="239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</row>
    <row r="439" ht="13.5" customHeight="1" s="2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</row>
    <row r="440" ht="13.5" customHeight="1" s="239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</row>
    <row r="441" ht="13.5" customHeight="1" s="239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</row>
    <row r="442" ht="13.5" customHeight="1" s="239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</row>
    <row r="443" ht="13.5" customHeight="1" s="239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</row>
    <row r="444" ht="13.5" customHeight="1" s="239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</row>
    <row r="445" ht="13.5" customHeight="1" s="239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</row>
    <row r="446" ht="13.5" customHeight="1" s="239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</row>
    <row r="447" ht="13.5" customHeight="1" s="239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</row>
    <row r="448" ht="13.5" customHeight="1" s="239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</row>
    <row r="449" ht="13.5" customHeight="1" s="23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</row>
    <row r="450" ht="13.5" customHeight="1" s="239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</row>
    <row r="451" ht="13.5" customHeight="1" s="239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</row>
    <row r="452" ht="13.5" customHeight="1" s="239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</row>
    <row r="453" ht="13.5" customHeight="1" s="239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</row>
    <row r="454" ht="13.5" customHeight="1" s="239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</row>
    <row r="455" ht="13.5" customHeight="1" s="239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</row>
    <row r="456" ht="13.5" customHeight="1" s="239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</row>
    <row r="457" ht="13.5" customHeight="1" s="239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</row>
    <row r="458" ht="13.5" customHeight="1" s="239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</row>
    <row r="459" ht="13.5" customHeight="1" s="23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</row>
    <row r="460" ht="13.5" customHeight="1" s="239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</row>
    <row r="461" ht="13.5" customHeight="1" s="239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</row>
    <row r="462" ht="13.5" customHeight="1" s="239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</row>
    <row r="463" ht="13.5" customHeight="1" s="239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</row>
    <row r="464" ht="13.5" customHeight="1" s="239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</row>
    <row r="465" ht="13.5" customHeight="1" s="239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</row>
    <row r="466" ht="13.5" customHeight="1" s="239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</row>
    <row r="467" ht="13.5" customHeight="1" s="239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</row>
    <row r="468" ht="13.5" customHeight="1" s="239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</row>
    <row r="469" ht="13.5" customHeight="1" s="23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</row>
    <row r="470" ht="13.5" customHeight="1" s="239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</row>
    <row r="471" ht="13.5" customHeight="1" s="239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</row>
    <row r="472" ht="13.5" customHeight="1" s="239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</row>
    <row r="473" ht="13.5" customHeight="1" s="239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</row>
    <row r="474" ht="13.5" customHeight="1" s="239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</row>
    <row r="475" ht="13.5" customHeight="1" s="239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</row>
    <row r="476" ht="13.5" customHeight="1" s="239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</row>
    <row r="477" ht="13.5" customHeight="1" s="239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</row>
    <row r="478" ht="13.5" customHeight="1" s="239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</row>
    <row r="479" ht="13.5" customHeight="1" s="23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</row>
    <row r="480" ht="13.5" customHeight="1" s="239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</row>
    <row r="481" ht="13.5" customHeight="1" s="239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</row>
    <row r="482" ht="13.5" customHeight="1" s="239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</row>
    <row r="483" ht="13.5" customHeight="1" s="239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</row>
    <row r="484" ht="13.5" customHeight="1" s="239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</row>
    <row r="485" ht="13.5" customHeight="1" s="239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</row>
    <row r="486" ht="13.5" customHeight="1" s="239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</row>
    <row r="487" ht="13.5" customHeight="1" s="239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</row>
    <row r="488" ht="13.5" customHeight="1" s="239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</row>
    <row r="489" ht="13.5" customHeight="1" s="23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</row>
    <row r="490" ht="13.5" customHeight="1" s="239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</row>
    <row r="491" ht="13.5" customHeight="1" s="239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</row>
    <row r="492" ht="13.5" customHeight="1" s="239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</row>
    <row r="493" ht="13.5" customHeight="1" s="239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</row>
    <row r="494" ht="13.5" customHeight="1" s="239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</row>
    <row r="495" ht="13.5" customHeight="1" s="239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</row>
    <row r="496" ht="13.5" customHeight="1" s="239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</row>
    <row r="497" ht="13.5" customHeight="1" s="239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</row>
    <row r="498" ht="13.5" customHeight="1" s="239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</row>
    <row r="499" ht="13.5" customHeight="1" s="23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</row>
    <row r="500" ht="13.5" customHeight="1" s="239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</row>
    <row r="501" ht="13.5" customHeight="1" s="239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</row>
    <row r="502" ht="13.5" customHeight="1" s="239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</row>
    <row r="503" ht="13.5" customHeight="1" s="239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</row>
    <row r="504" ht="13.5" customHeight="1" s="239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</row>
    <row r="505" ht="13.5" customHeight="1" s="239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</row>
    <row r="506" ht="13.5" customHeight="1" s="239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</row>
    <row r="507" ht="13.5" customHeight="1" s="239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</row>
    <row r="508" ht="13.5" customHeight="1" s="239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</row>
    <row r="509" ht="13.5" customHeight="1" s="23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</row>
    <row r="510" ht="13.5" customHeight="1" s="239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</row>
    <row r="511" ht="13.5" customHeight="1" s="239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</row>
    <row r="512" ht="13.5" customHeight="1" s="239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</row>
    <row r="513" ht="13.5" customHeight="1" s="239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</row>
    <row r="514" ht="13.5" customHeight="1" s="239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</row>
    <row r="515" ht="13.5" customHeight="1" s="239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</row>
    <row r="516" ht="13.5" customHeight="1" s="239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</row>
    <row r="517" ht="13.5" customHeight="1" s="239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</row>
    <row r="518" ht="13.5" customHeight="1" s="239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</row>
    <row r="519" ht="13.5" customHeight="1" s="23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</row>
    <row r="520" ht="13.5" customHeight="1" s="239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</row>
    <row r="521" ht="13.5" customHeight="1" s="239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</row>
    <row r="522" ht="13.5" customHeight="1" s="239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</row>
    <row r="523" ht="13.5" customHeight="1" s="239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</row>
    <row r="524" ht="13.5" customHeight="1" s="239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</row>
    <row r="525" ht="13.5" customHeight="1" s="239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</row>
    <row r="526" ht="13.5" customHeight="1" s="239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</row>
    <row r="527" ht="13.5" customHeight="1" s="239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</row>
    <row r="528" ht="13.5" customHeight="1" s="239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</row>
    <row r="529" ht="13.5" customHeight="1" s="23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</row>
    <row r="530" ht="13.5" customHeight="1" s="239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</row>
    <row r="531" ht="13.5" customHeight="1" s="239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</row>
    <row r="532" ht="13.5" customHeight="1" s="239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</row>
    <row r="533" ht="13.5" customHeight="1" s="239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</row>
    <row r="534" ht="13.5" customHeight="1" s="239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</row>
    <row r="535" ht="13.5" customHeight="1" s="239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</row>
    <row r="536" ht="13.5" customHeight="1" s="239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</row>
    <row r="537" ht="13.5" customHeight="1" s="239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</row>
    <row r="538" ht="13.5" customHeight="1" s="239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</row>
    <row r="539" ht="13.5" customHeight="1" s="2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</row>
    <row r="540" ht="13.5" customHeight="1" s="239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</row>
    <row r="541" ht="13.5" customHeight="1" s="239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</row>
    <row r="542" ht="13.5" customHeight="1" s="239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</row>
    <row r="543" ht="13.5" customHeight="1" s="239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</row>
    <row r="544" ht="13.5" customHeight="1" s="239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</row>
    <row r="545" ht="13.5" customHeight="1" s="239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</row>
    <row r="546" ht="13.5" customHeight="1" s="239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</row>
    <row r="547" ht="13.5" customHeight="1" s="239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</row>
    <row r="548" ht="13.5" customHeight="1" s="239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</row>
    <row r="549" ht="13.5" customHeight="1" s="23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</row>
    <row r="550" ht="13.5" customHeight="1" s="239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</row>
    <row r="551" ht="13.5" customHeight="1" s="239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</row>
    <row r="552" ht="13.5" customHeight="1" s="239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</row>
    <row r="553" ht="13.5" customHeight="1" s="239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</row>
    <row r="554" ht="13.5" customHeight="1" s="239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</row>
    <row r="555" ht="13.5" customHeight="1" s="239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</row>
    <row r="556" ht="13.5" customHeight="1" s="239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</row>
    <row r="557" ht="13.5" customHeight="1" s="239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</row>
    <row r="558" ht="13.5" customHeight="1" s="239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</row>
    <row r="559" ht="13.5" customHeight="1" s="23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</row>
    <row r="560" ht="13.5" customHeight="1" s="239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</row>
    <row r="561" ht="13.5" customHeight="1" s="239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</row>
    <row r="562" ht="13.5" customHeight="1" s="239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</row>
    <row r="563" ht="13.5" customHeight="1" s="239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</row>
    <row r="564" ht="13.5" customHeight="1" s="239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</row>
    <row r="565" ht="13.5" customHeight="1" s="239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</row>
    <row r="566" ht="13.5" customHeight="1" s="239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</row>
    <row r="567" ht="13.5" customHeight="1" s="239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</row>
    <row r="568" ht="13.5" customHeight="1" s="239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</row>
    <row r="569" ht="13.5" customHeight="1" s="23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</row>
    <row r="570" ht="13.5" customHeight="1" s="239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</row>
    <row r="571" ht="13.5" customHeight="1" s="239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</row>
    <row r="572" ht="13.5" customHeight="1" s="239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</row>
    <row r="573" ht="13.5" customHeight="1" s="239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</row>
    <row r="574" ht="13.5" customHeight="1" s="239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</row>
    <row r="575" ht="13.5" customHeight="1" s="239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</row>
    <row r="576" ht="13.5" customHeight="1" s="239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</row>
    <row r="577" ht="13.5" customHeight="1" s="239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</row>
    <row r="578" ht="13.5" customHeight="1" s="239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</row>
    <row r="579" ht="13.5" customHeight="1" s="23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</row>
    <row r="580" ht="13.5" customHeight="1" s="239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</row>
    <row r="581" ht="13.5" customHeight="1" s="239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</row>
    <row r="582" ht="13.5" customHeight="1" s="239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</row>
    <row r="583" ht="13.5" customHeight="1" s="239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</row>
    <row r="584" ht="13.5" customHeight="1" s="239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</row>
    <row r="585" ht="13.5" customHeight="1" s="239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</row>
    <row r="586" ht="13.5" customHeight="1" s="239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</row>
    <row r="587" ht="13.5" customHeight="1" s="239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</row>
    <row r="588" ht="13.5" customHeight="1" s="239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</row>
    <row r="589" ht="13.5" customHeight="1" s="23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</row>
    <row r="590" ht="13.5" customHeight="1" s="239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</row>
    <row r="591" ht="13.5" customHeight="1" s="239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</row>
    <row r="592" ht="13.5" customHeight="1" s="239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</row>
    <row r="593" ht="13.5" customHeight="1" s="239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</row>
    <row r="594" ht="13.5" customHeight="1" s="239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</row>
    <row r="595" ht="13.5" customHeight="1" s="239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</row>
    <row r="596" ht="13.5" customHeight="1" s="239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</row>
    <row r="597" ht="13.5" customHeight="1" s="239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</row>
    <row r="598" ht="13.5" customHeight="1" s="239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</row>
    <row r="599" ht="13.5" customHeight="1" s="23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</row>
    <row r="600" ht="13.5" customHeight="1" s="239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</row>
    <row r="601" ht="13.5" customHeight="1" s="239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</row>
    <row r="602" ht="13.5" customHeight="1" s="239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</row>
    <row r="603" ht="13.5" customHeight="1" s="239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</row>
    <row r="604" ht="13.5" customHeight="1" s="239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</row>
    <row r="605" ht="13.5" customHeight="1" s="239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</row>
    <row r="606" ht="13.5" customHeight="1" s="239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</row>
    <row r="607" ht="13.5" customHeight="1" s="239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</row>
    <row r="608" ht="13.5" customHeight="1" s="239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</row>
    <row r="609" ht="13.5" customHeight="1" s="23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</row>
    <row r="610" ht="13.5" customHeight="1" s="239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</row>
    <row r="611" ht="13.5" customHeight="1" s="239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</row>
    <row r="612" ht="13.5" customHeight="1" s="239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</row>
    <row r="613" ht="13.5" customHeight="1" s="239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</row>
    <row r="614" ht="13.5" customHeight="1" s="239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</row>
    <row r="615" ht="13.5" customHeight="1" s="239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</row>
    <row r="616" ht="13.5" customHeight="1" s="239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</row>
    <row r="617" ht="13.5" customHeight="1" s="239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</row>
    <row r="618" ht="13.5" customHeight="1" s="239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</row>
    <row r="619" ht="13.5" customHeight="1" s="23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</row>
    <row r="620" ht="13.5" customHeight="1" s="239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</row>
    <row r="621" ht="13.5" customHeight="1" s="239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</row>
    <row r="622" ht="13.5" customHeight="1" s="239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</row>
    <row r="623" ht="13.5" customHeight="1" s="239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</row>
    <row r="624" ht="13.5" customHeight="1" s="239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</row>
    <row r="625" ht="13.5" customHeight="1" s="239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</row>
    <row r="626" ht="13.5" customHeight="1" s="239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</row>
    <row r="627" ht="13.5" customHeight="1" s="239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</row>
    <row r="628" ht="13.5" customHeight="1" s="239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</row>
    <row r="629" ht="13.5" customHeight="1" s="23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</row>
    <row r="630" ht="13.5" customHeight="1" s="239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</row>
    <row r="631" ht="13.5" customHeight="1" s="239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</row>
    <row r="632" ht="13.5" customHeight="1" s="239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</row>
    <row r="633" ht="13.5" customHeight="1" s="239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</row>
    <row r="634" ht="13.5" customHeight="1" s="239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</row>
    <row r="635" ht="13.5" customHeight="1" s="239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</row>
    <row r="636" ht="13.5" customHeight="1" s="239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</row>
    <row r="637" ht="13.5" customHeight="1" s="239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</row>
    <row r="638" ht="13.5" customHeight="1" s="239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</row>
    <row r="639" ht="13.5" customHeight="1" s="2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</row>
    <row r="640" ht="13.5" customHeight="1" s="239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</row>
    <row r="641" ht="13.5" customHeight="1" s="239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</row>
    <row r="642" ht="13.5" customHeight="1" s="239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</row>
    <row r="643" ht="13.5" customHeight="1" s="239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</row>
    <row r="644" ht="13.5" customHeight="1" s="239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</row>
    <row r="645" ht="13.5" customHeight="1" s="239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</row>
    <row r="646" ht="13.5" customHeight="1" s="239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</row>
    <row r="647" ht="13.5" customHeight="1" s="239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</row>
    <row r="648" ht="13.5" customHeight="1" s="239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</row>
    <row r="649" ht="13.5" customHeight="1" s="23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</row>
    <row r="650" ht="13.5" customHeight="1" s="239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</row>
    <row r="651" ht="13.5" customHeight="1" s="239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</row>
    <row r="652" ht="13.5" customHeight="1" s="239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</row>
    <row r="653" ht="13.5" customHeight="1" s="239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</row>
    <row r="654" ht="13.5" customHeight="1" s="239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</row>
    <row r="655" ht="13.5" customHeight="1" s="239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</row>
    <row r="656" ht="13.5" customHeight="1" s="239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</row>
    <row r="657" ht="13.5" customHeight="1" s="239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</row>
    <row r="658" ht="13.5" customHeight="1" s="239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</row>
    <row r="659" ht="13.5" customHeight="1" s="23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</row>
    <row r="660" ht="13.5" customHeight="1" s="239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</row>
    <row r="661" ht="13.5" customHeight="1" s="239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</row>
    <row r="662" ht="13.5" customHeight="1" s="239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</row>
    <row r="663" ht="13.5" customHeight="1" s="239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</row>
    <row r="664" ht="13.5" customHeight="1" s="239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</row>
    <row r="665" ht="13.5" customHeight="1" s="239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</row>
    <row r="666" ht="13.5" customHeight="1" s="239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</row>
    <row r="667" ht="13.5" customHeight="1" s="239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</row>
    <row r="668" ht="13.5" customHeight="1" s="239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</row>
    <row r="669" ht="13.5" customHeight="1" s="23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</row>
    <row r="670" ht="13.5" customHeight="1" s="239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</row>
    <row r="671" ht="13.5" customHeight="1" s="239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</row>
    <row r="672" ht="13.5" customHeight="1" s="239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</row>
    <row r="673" ht="13.5" customHeight="1" s="239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</row>
    <row r="674" ht="13.5" customHeight="1" s="239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</row>
    <row r="675" ht="13.5" customHeight="1" s="239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</row>
    <row r="676" ht="13.5" customHeight="1" s="239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</row>
    <row r="677" ht="13.5" customHeight="1" s="239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</row>
    <row r="678" ht="13.5" customHeight="1" s="239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</row>
    <row r="679" ht="13.5" customHeight="1" s="23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</row>
    <row r="680" ht="13.5" customHeight="1" s="239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</row>
    <row r="681" ht="13.5" customHeight="1" s="239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</row>
    <row r="682" ht="13.5" customHeight="1" s="239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</row>
    <row r="683" ht="13.5" customHeight="1" s="239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</row>
    <row r="684" ht="13.5" customHeight="1" s="239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</row>
    <row r="685" ht="13.5" customHeight="1" s="239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</row>
    <row r="686" ht="13.5" customHeight="1" s="239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</row>
    <row r="687" ht="13.5" customHeight="1" s="239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</row>
    <row r="688" ht="13.5" customHeight="1" s="239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</row>
    <row r="689" ht="13.5" customHeight="1" s="23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</row>
    <row r="690" ht="13.5" customHeight="1" s="239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</row>
    <row r="691" ht="13.5" customHeight="1" s="239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</row>
    <row r="692" ht="13.5" customHeight="1" s="239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</row>
    <row r="693" ht="13.5" customHeight="1" s="239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</row>
    <row r="694" ht="13.5" customHeight="1" s="239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</row>
    <row r="695" ht="13.5" customHeight="1" s="239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</row>
    <row r="696" ht="13.5" customHeight="1" s="239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</row>
    <row r="697" ht="13.5" customHeight="1" s="239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</row>
    <row r="698" ht="13.5" customHeight="1" s="239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</row>
    <row r="699" ht="13.5" customHeight="1" s="23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</row>
    <row r="700" ht="13.5" customHeight="1" s="239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</row>
    <row r="701" ht="13.5" customHeight="1" s="239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</row>
    <row r="702" ht="13.5" customHeight="1" s="239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</row>
    <row r="703" ht="13.5" customHeight="1" s="239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</row>
    <row r="704" ht="13.5" customHeight="1" s="239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</row>
    <row r="705" ht="13.5" customHeight="1" s="239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</row>
    <row r="706" ht="13.5" customHeight="1" s="239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</row>
    <row r="707" ht="13.5" customHeight="1" s="239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</row>
    <row r="708" ht="13.5" customHeight="1" s="239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</row>
    <row r="709" ht="13.5" customHeight="1" s="23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</row>
    <row r="710" ht="13.5" customHeight="1" s="239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</row>
    <row r="711" ht="13.5" customHeight="1" s="239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</row>
    <row r="712" ht="13.5" customHeight="1" s="239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</row>
    <row r="713" ht="13.5" customHeight="1" s="239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</row>
    <row r="714" ht="13.5" customHeight="1" s="239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</row>
    <row r="715" ht="13.5" customHeight="1" s="239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</row>
    <row r="716" ht="13.5" customHeight="1" s="239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</row>
    <row r="717" ht="13.5" customHeight="1" s="239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</row>
    <row r="718" ht="13.5" customHeight="1" s="239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</row>
    <row r="719" ht="13.5" customHeight="1" s="23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</row>
    <row r="720" ht="13.5" customHeight="1" s="239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</row>
    <row r="721" ht="13.5" customHeight="1" s="239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</row>
    <row r="722" ht="13.5" customHeight="1" s="239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</row>
    <row r="723" ht="13.5" customHeight="1" s="239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</row>
    <row r="724" ht="13.5" customHeight="1" s="239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</row>
    <row r="725" ht="13.5" customHeight="1" s="239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</row>
    <row r="726" ht="13.5" customHeight="1" s="239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</row>
    <row r="727" ht="13.5" customHeight="1" s="239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</row>
    <row r="728" ht="13.5" customHeight="1" s="239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</row>
    <row r="729" ht="13.5" customHeight="1" s="23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</row>
    <row r="730" ht="13.5" customHeight="1" s="239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</row>
    <row r="731" ht="13.5" customHeight="1" s="239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</row>
    <row r="732" ht="13.5" customHeight="1" s="239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</row>
    <row r="733" ht="13.5" customHeight="1" s="239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</row>
    <row r="734" ht="13.5" customHeight="1" s="239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</row>
    <row r="735" ht="13.5" customHeight="1" s="239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</row>
    <row r="736" ht="13.5" customHeight="1" s="239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</row>
    <row r="737" ht="13.5" customHeight="1" s="239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</row>
    <row r="738" ht="13.5" customHeight="1" s="239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</row>
    <row r="739" ht="13.5" customHeight="1" s="2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</row>
    <row r="740" ht="13.5" customHeight="1" s="239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</row>
    <row r="741" ht="13.5" customHeight="1" s="239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</row>
    <row r="742" ht="13.5" customHeight="1" s="239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</row>
    <row r="743" ht="13.5" customHeight="1" s="239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</row>
    <row r="744" ht="13.5" customHeight="1" s="239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</row>
    <row r="745" ht="13.5" customHeight="1" s="239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</row>
    <row r="746" ht="13.5" customHeight="1" s="239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</row>
    <row r="747" ht="13.5" customHeight="1" s="239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</row>
    <row r="748" ht="13.5" customHeight="1" s="239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</row>
    <row r="749" ht="13.5" customHeight="1" s="23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</row>
    <row r="750" ht="13.5" customHeight="1" s="239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</row>
    <row r="751" ht="13.5" customHeight="1" s="239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</row>
    <row r="752" ht="13.5" customHeight="1" s="239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</row>
    <row r="753" ht="13.5" customHeight="1" s="239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</row>
    <row r="754" ht="13.5" customHeight="1" s="239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</row>
    <row r="755" ht="13.5" customHeight="1" s="239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</row>
    <row r="756" ht="13.5" customHeight="1" s="239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</row>
    <row r="757" ht="13.5" customHeight="1" s="239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</row>
    <row r="758" ht="13.5" customHeight="1" s="239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</row>
    <row r="759" ht="13.5" customHeight="1" s="23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</row>
    <row r="760" ht="13.5" customHeight="1" s="239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</row>
    <row r="761" ht="13.5" customHeight="1" s="239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</row>
    <row r="762" ht="13.5" customHeight="1" s="239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</row>
    <row r="763" ht="13.5" customHeight="1" s="239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</row>
    <row r="764" ht="13.5" customHeight="1" s="239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</row>
    <row r="765" ht="13.5" customHeight="1" s="239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</row>
    <row r="766" ht="13.5" customHeight="1" s="239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</row>
    <row r="767" ht="13.5" customHeight="1" s="239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</row>
    <row r="768" ht="13.5" customHeight="1" s="239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</row>
    <row r="769" ht="13.5" customHeight="1" s="23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</row>
    <row r="770" ht="13.5" customHeight="1" s="239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</row>
    <row r="771" ht="13.5" customHeight="1" s="239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</row>
    <row r="772" ht="13.5" customHeight="1" s="239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</row>
    <row r="773" ht="13.5" customHeight="1" s="239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</row>
    <row r="774" ht="13.5" customHeight="1" s="239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</row>
    <row r="775" ht="13.5" customHeight="1" s="239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</row>
    <row r="776" ht="13.5" customHeight="1" s="239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</row>
    <row r="777" ht="13.5" customHeight="1" s="239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</row>
    <row r="778" ht="13.5" customHeight="1" s="239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</row>
    <row r="779" ht="13.5" customHeight="1" s="23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</row>
    <row r="780" ht="13.5" customHeight="1" s="239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</row>
    <row r="781" ht="13.5" customHeight="1" s="239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</row>
    <row r="782" ht="13.5" customHeight="1" s="239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</row>
    <row r="783" ht="13.5" customHeight="1" s="239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</row>
    <row r="784" ht="13.5" customHeight="1" s="239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</row>
    <row r="785" ht="13.5" customHeight="1" s="239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</row>
    <row r="786" ht="13.5" customHeight="1" s="239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</row>
    <row r="787" ht="13.5" customHeight="1" s="239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</row>
    <row r="788" ht="13.5" customHeight="1" s="239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</row>
    <row r="789" ht="13.5" customHeight="1" s="23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</row>
    <row r="790" ht="13.5" customHeight="1" s="239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</row>
    <row r="791" ht="13.5" customHeight="1" s="239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</row>
    <row r="792" ht="13.5" customHeight="1" s="239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</row>
    <row r="793" ht="13.5" customHeight="1" s="239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</row>
    <row r="794" ht="13.5" customHeight="1" s="239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</row>
    <row r="795" ht="13.5" customHeight="1" s="239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</row>
    <row r="796" ht="13.5" customHeight="1" s="239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</row>
    <row r="797" ht="13.5" customHeight="1" s="239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</row>
    <row r="798" ht="13.5" customHeight="1" s="239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</row>
    <row r="799" ht="13.5" customHeight="1" s="23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</row>
    <row r="800" ht="13.5" customHeight="1" s="239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</row>
    <row r="801" ht="13.5" customHeight="1" s="239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</row>
    <row r="802" ht="13.5" customHeight="1" s="239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</row>
    <row r="803" ht="13.5" customHeight="1" s="239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</row>
    <row r="804" ht="13.5" customHeight="1" s="239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</row>
    <row r="805" ht="13.5" customHeight="1" s="239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</row>
    <row r="806" ht="13.5" customHeight="1" s="239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</row>
    <row r="807" ht="13.5" customHeight="1" s="239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</row>
    <row r="808" ht="13.5" customHeight="1" s="239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</row>
    <row r="809" ht="13.5" customHeight="1" s="23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</row>
    <row r="810" ht="13.5" customHeight="1" s="239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</row>
    <row r="811" ht="13.5" customHeight="1" s="239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</row>
    <row r="812" ht="13.5" customHeight="1" s="239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</row>
    <row r="813" ht="13.5" customHeight="1" s="239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</row>
    <row r="814" ht="13.5" customHeight="1" s="239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</row>
    <row r="815" ht="13.5" customHeight="1" s="239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</row>
    <row r="816" ht="13.5" customHeight="1" s="239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</row>
    <row r="817" ht="13.5" customHeight="1" s="239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</row>
    <row r="818" ht="13.5" customHeight="1" s="239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</row>
    <row r="819" ht="13.5" customHeight="1" s="23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</row>
    <row r="820" ht="13.5" customHeight="1" s="239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</row>
    <row r="821" ht="13.5" customHeight="1" s="239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</row>
    <row r="822" ht="13.5" customHeight="1" s="239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</row>
    <row r="823" ht="13.5" customHeight="1" s="239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</row>
    <row r="824" ht="13.5" customHeight="1" s="239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</row>
    <row r="825" ht="13.5" customHeight="1" s="239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</row>
    <row r="826" ht="13.5" customHeight="1" s="239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</row>
    <row r="827" ht="13.5" customHeight="1" s="239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</row>
    <row r="828" ht="13.5" customHeight="1" s="239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</row>
    <row r="829" ht="13.5" customHeight="1" s="23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</row>
    <row r="830" ht="13.5" customHeight="1" s="239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</row>
    <row r="831" ht="13.5" customHeight="1" s="239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</row>
    <row r="832" ht="13.5" customHeight="1" s="239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</row>
    <row r="833" ht="13.5" customHeight="1" s="239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</row>
    <row r="834" ht="13.5" customHeight="1" s="239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</row>
    <row r="835" ht="13.5" customHeight="1" s="239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</row>
    <row r="836" ht="13.5" customHeight="1" s="239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</row>
    <row r="837" ht="13.5" customHeight="1" s="239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</row>
    <row r="838" ht="13.5" customHeight="1" s="239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</row>
    <row r="839" ht="13.5" customHeight="1" s="2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</row>
    <row r="840" ht="13.5" customHeight="1" s="239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</row>
    <row r="841" ht="13.5" customHeight="1" s="239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</row>
    <row r="842" ht="13.5" customHeight="1" s="239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</row>
    <row r="843" ht="13.5" customHeight="1" s="239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</row>
    <row r="844" ht="13.5" customHeight="1" s="239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</row>
    <row r="845" ht="13.5" customHeight="1" s="239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</row>
    <row r="846" ht="13.5" customHeight="1" s="239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</row>
    <row r="847" ht="13.5" customHeight="1" s="239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</row>
    <row r="848" ht="13.5" customHeight="1" s="239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</row>
    <row r="849" ht="13.5" customHeight="1" s="23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</row>
    <row r="850" ht="13.5" customHeight="1" s="239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</row>
    <row r="851" ht="13.5" customHeight="1" s="239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</row>
    <row r="852" ht="13.5" customHeight="1" s="239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</row>
    <row r="853" ht="13.5" customHeight="1" s="239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</row>
    <row r="854" ht="13.5" customHeight="1" s="239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</row>
    <row r="855" ht="13.5" customHeight="1" s="239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</row>
    <row r="856" ht="13.5" customHeight="1" s="239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</row>
    <row r="857" ht="13.5" customHeight="1" s="239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</row>
    <row r="858" ht="13.5" customHeight="1" s="239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</row>
    <row r="859" ht="13.5" customHeight="1" s="23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</row>
    <row r="860" ht="13.5" customHeight="1" s="239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</row>
    <row r="861" ht="13.5" customHeight="1" s="239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</row>
    <row r="862" ht="13.5" customHeight="1" s="239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</row>
    <row r="863" ht="13.5" customHeight="1" s="239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</row>
    <row r="864" ht="13.5" customHeight="1" s="239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</row>
    <row r="865" ht="13.5" customHeight="1" s="239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</row>
    <row r="866" ht="13.5" customHeight="1" s="239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</row>
    <row r="867" ht="13.5" customHeight="1" s="239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</row>
    <row r="868" ht="13.5" customHeight="1" s="239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</row>
    <row r="869" ht="13.5" customHeight="1" s="23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</row>
    <row r="870" ht="13.5" customHeight="1" s="239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</row>
    <row r="871" ht="13.5" customHeight="1" s="239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</row>
    <row r="872" ht="13.5" customHeight="1" s="239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</row>
    <row r="873" ht="13.5" customHeight="1" s="239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</row>
    <row r="874" ht="13.5" customHeight="1" s="239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</row>
    <row r="875" ht="13.5" customHeight="1" s="239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</row>
    <row r="876" ht="13.5" customHeight="1" s="239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</row>
    <row r="877" ht="13.5" customHeight="1" s="239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</row>
    <row r="878" ht="13.5" customHeight="1" s="239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</row>
    <row r="879" ht="13.5" customHeight="1" s="23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</row>
    <row r="880" ht="13.5" customHeight="1" s="239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</row>
    <row r="881" ht="13.5" customHeight="1" s="239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</row>
    <row r="882" ht="13.5" customHeight="1" s="239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</row>
    <row r="883" ht="13.5" customHeight="1" s="239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</row>
    <row r="884" ht="13.5" customHeight="1" s="239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</row>
    <row r="885" ht="13.5" customHeight="1" s="239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</row>
    <row r="886" ht="13.5" customHeight="1" s="239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</row>
    <row r="887" ht="13.5" customHeight="1" s="239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</row>
    <row r="888" ht="13.5" customHeight="1" s="239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</row>
    <row r="889" ht="13.5" customHeight="1" s="23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</row>
    <row r="890" ht="13.5" customHeight="1" s="239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</row>
    <row r="891" ht="13.5" customHeight="1" s="239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</row>
    <row r="892" ht="13.5" customHeight="1" s="239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</row>
    <row r="893" ht="13.5" customHeight="1" s="239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</row>
    <row r="894" ht="13.5" customHeight="1" s="239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</row>
    <row r="895" ht="13.5" customHeight="1" s="239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</row>
    <row r="896" ht="13.5" customHeight="1" s="239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</row>
    <row r="897" ht="13.5" customHeight="1" s="239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</row>
    <row r="898" ht="13.5" customHeight="1" s="239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</row>
    <row r="899" ht="13.5" customHeight="1" s="23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</row>
    <row r="900" ht="13.5" customHeight="1" s="239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</row>
    <row r="901" ht="13.5" customHeight="1" s="239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</row>
    <row r="902" ht="13.5" customHeight="1" s="239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</row>
    <row r="903" ht="13.5" customHeight="1" s="239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</row>
    <row r="904" ht="13.5" customHeight="1" s="239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</row>
    <row r="905" ht="13.5" customHeight="1" s="239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</row>
    <row r="906" ht="13.5" customHeight="1" s="239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</row>
    <row r="907" ht="13.5" customHeight="1" s="239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</row>
    <row r="908" ht="13.5" customHeight="1" s="239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</row>
    <row r="909" ht="13.5" customHeight="1" s="23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</row>
    <row r="910" ht="13.5" customHeight="1" s="239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</row>
    <row r="911" ht="13.5" customHeight="1" s="239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</row>
    <row r="912" ht="13.5" customHeight="1" s="239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</row>
    <row r="913" ht="13.5" customHeight="1" s="239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</row>
    <row r="914" ht="13.5" customHeight="1" s="239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</row>
    <row r="915" ht="13.5" customHeight="1" s="239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</row>
    <row r="916" ht="13.5" customHeight="1" s="239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</row>
    <row r="917" ht="13.5" customHeight="1" s="239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</row>
    <row r="918" ht="13.5" customHeight="1" s="239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</row>
    <row r="919" ht="13.5" customHeight="1" s="23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</row>
    <row r="920" ht="13.5" customHeight="1" s="239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</row>
    <row r="921" ht="13.5" customHeight="1" s="239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</row>
    <row r="922" ht="13.5" customHeight="1" s="239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</row>
    <row r="923" ht="13.5" customHeight="1" s="239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</row>
    <row r="924" ht="13.5" customHeight="1" s="239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</row>
    <row r="925" ht="13.5" customHeight="1" s="239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</row>
    <row r="926" ht="13.5" customHeight="1" s="239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</row>
    <row r="927" ht="13.5" customHeight="1" s="239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</row>
    <row r="928" ht="13.5" customHeight="1" s="239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</row>
    <row r="929" ht="13.5" customHeight="1" s="23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</row>
    <row r="930" ht="13.5" customHeight="1" s="239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</row>
    <row r="931" ht="13.5" customHeight="1" s="239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</row>
    <row r="932" ht="13.5" customHeight="1" s="239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</row>
    <row r="933" ht="13.5" customHeight="1" s="239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</row>
    <row r="934" ht="13.5" customHeight="1" s="239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</row>
    <row r="935" ht="13.5" customHeight="1" s="239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</row>
    <row r="936" ht="13.5" customHeight="1" s="239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</row>
    <row r="937" ht="13.5" customHeight="1" s="239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</row>
    <row r="938" ht="13.5" customHeight="1" s="239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</row>
    <row r="939" ht="13.5" customHeight="1" s="2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</row>
    <row r="940" ht="13.5" customHeight="1" s="239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</row>
    <row r="941" ht="13.5" customHeight="1" s="239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</row>
    <row r="942" ht="13.5" customHeight="1" s="239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</row>
    <row r="943" ht="13.5" customHeight="1" s="239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</row>
    <row r="944" ht="13.5" customHeight="1" s="239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</row>
    <row r="945" ht="13.5" customHeight="1" s="239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</row>
    <row r="946" ht="13.5" customHeight="1" s="239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</row>
    <row r="947" ht="13.5" customHeight="1" s="239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</row>
    <row r="948" ht="13.5" customHeight="1" s="239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</row>
    <row r="949" ht="13.5" customHeight="1" s="23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</row>
    <row r="950" ht="13.5" customHeight="1" s="239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</row>
    <row r="951" ht="13.5" customHeight="1" s="239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</row>
    <row r="952" ht="13.5" customHeight="1" s="239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</row>
    <row r="953" ht="13.5" customHeight="1" s="239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</row>
    <row r="954" ht="13.5" customHeight="1" s="239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</row>
    <row r="955" ht="13.5" customHeight="1" s="239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</row>
    <row r="956" ht="13.5" customHeight="1" s="239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</row>
    <row r="957" ht="13.5" customHeight="1" s="239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</row>
    <row r="958" ht="13.5" customHeight="1" s="239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</row>
    <row r="959" ht="13.5" customHeight="1" s="23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</row>
    <row r="960" ht="13.5" customHeight="1" s="239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</row>
    <row r="961" ht="13.5" customHeight="1" s="239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</row>
    <row r="962" ht="13.5" customHeight="1" s="239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</row>
    <row r="963" ht="13.5" customHeight="1" s="239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</row>
    <row r="964" ht="13.5" customHeight="1" s="239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</row>
    <row r="965" ht="13.5" customHeight="1" s="239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</row>
    <row r="966" ht="13.5" customHeight="1" s="239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</row>
    <row r="967" ht="13.5" customHeight="1" s="239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</row>
    <row r="968" ht="13.5" customHeight="1" s="239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</row>
    <row r="969" ht="13.5" customHeight="1" s="23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</row>
    <row r="970" ht="13.5" customHeight="1" s="239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</row>
    <row r="971" ht="13.5" customHeight="1" s="239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</row>
    <row r="972" ht="13.5" customHeight="1" s="239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</row>
    <row r="973" ht="13.5" customHeight="1" s="239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</row>
    <row r="974" ht="13.5" customHeight="1" s="239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</row>
    <row r="975" ht="13.5" customHeight="1" s="239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</row>
    <row r="976" ht="13.5" customHeight="1" s="239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</row>
    <row r="977" ht="13.5" customHeight="1" s="239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</row>
    <row r="978" ht="13.5" customHeight="1" s="239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</row>
    <row r="979" ht="13.5" customHeight="1" s="23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</row>
    <row r="980" ht="13.5" customHeight="1" s="239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</row>
    <row r="981" ht="13.5" customHeight="1" s="239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</row>
    <row r="982" ht="13.5" customHeight="1" s="239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</row>
    <row r="983" ht="13.5" customHeight="1" s="239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</row>
    <row r="984" ht="13.5" customHeight="1" s="239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</row>
    <row r="985" ht="13.5" customHeight="1" s="239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</row>
    <row r="986" ht="13.5" customHeight="1" s="239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</row>
    <row r="987" ht="13.5" customHeight="1" s="239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</row>
    <row r="988" ht="13.5" customHeight="1" s="239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</row>
    <row r="989" ht="13.5" customHeight="1" s="23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</row>
    <row r="990" ht="13.5" customHeight="1" s="239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</row>
    <row r="991" ht="13.5" customHeight="1" s="239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</row>
    <row r="992" ht="13.5" customHeight="1" s="239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</row>
    <row r="993" ht="13.5" customHeight="1" s="239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</row>
    <row r="994" ht="13.5" customHeight="1" s="239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</row>
    <row r="995" ht="13.5" customHeight="1" s="239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</row>
    <row r="996" ht="13.5" customHeight="1" s="239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</row>
    <row r="997" ht="13.5" customHeight="1" s="239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</row>
    <row r="998" ht="13.5" customHeight="1" s="239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</row>
    <row r="999" ht="13.5" customHeight="1" s="23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</row>
    <row r="1000" ht="13.5" customHeight="1" s="239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 outlineLevelRow="1"/>
  <cols>
    <col width="20.25" customWidth="1" style="239" min="1" max="1"/>
    <col width="14.63" customWidth="1" style="239" min="2" max="3"/>
    <col width="11.88" customWidth="1" style="239" min="4" max="10"/>
    <col width="12.63" customWidth="1" style="239" min="11" max="11"/>
    <col width="3" customWidth="1" style="239" min="12" max="12"/>
    <col width="11.25" customWidth="1" style="239" min="13" max="13"/>
    <col width="13.63" customWidth="1" style="239" min="14" max="21"/>
    <col width="12.63" customWidth="1" style="239" min="22" max="27"/>
  </cols>
  <sheetData>
    <row r="1" ht="15.75" customHeight="1" s="239">
      <c r="A1" s="4" t="inlineStr">
        <is>
          <t>Góc view để so sánh và nhìn trend theo cùng kỳ và full month theo perf của từng nhóm để xem impact và perf</t>
        </is>
      </c>
      <c r="B1" s="4" t="n"/>
      <c r="C1" s="4" t="n"/>
      <c r="D1" s="4" t="n"/>
      <c r="E1" s="4" t="n"/>
      <c r="F1" s="4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15.75" customHeight="1" s="239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</row>
    <row r="3" ht="15.75" customHeight="1" s="239">
      <c r="A3" s="18" t="inlineStr">
        <is>
          <t>Project Group</t>
        </is>
      </c>
      <c r="B3" s="18" t="inlineStr">
        <is>
          <t xml:space="preserve">Update to: </t>
        </is>
      </c>
      <c r="C3" s="24" t="n">
        <v>46048</v>
      </c>
      <c r="D3" s="24" t="n">
        <v>46054</v>
      </c>
      <c r="E3" s="24" t="n">
        <v>46082</v>
      </c>
      <c r="F3" s="24" t="n">
        <v>46113</v>
      </c>
      <c r="G3" s="24" t="n">
        <v>46143</v>
      </c>
      <c r="H3" s="24" t="n">
        <v>46174</v>
      </c>
      <c r="I3" s="24" t="n">
        <v>46204</v>
      </c>
      <c r="J3" s="24" t="n">
        <v>46235</v>
      </c>
      <c r="K3" s="30" t="inlineStr">
        <is>
          <t>Vs. SPLM</t>
        </is>
      </c>
      <c r="L3" s="31" t="n"/>
      <c r="M3" s="18" t="inlineStr">
        <is>
          <t>Full month</t>
        </is>
      </c>
      <c r="N3" s="24" t="n">
        <v>46023</v>
      </c>
      <c r="O3" s="24" t="n">
        <v>46054</v>
      </c>
      <c r="P3" s="24" t="n">
        <v>46082</v>
      </c>
      <c r="Q3" s="24" t="n">
        <v>46113</v>
      </c>
      <c r="R3" s="24" t="n">
        <v>46143</v>
      </c>
      <c r="S3" s="24" t="n">
        <v>46174</v>
      </c>
      <c r="T3" s="24" t="n">
        <v>46204</v>
      </c>
      <c r="U3" s="24" t="inlineStr">
        <is>
          <t>Vs. LM</t>
        </is>
      </c>
      <c r="V3" s="33" t="n"/>
      <c r="W3" s="33" t="n"/>
      <c r="X3" s="33" t="n"/>
      <c r="Y3" s="33" t="n"/>
      <c r="Z3" s="33" t="n"/>
      <c r="AA3" s="33" t="n"/>
    </row>
    <row r="4" ht="15.75" customHeight="1" s="239">
      <c r="A4" s="47" t="inlineStr">
        <is>
          <t>Traffic (Page Views)</t>
        </is>
      </c>
      <c r="C4" s="47">
        <f>SUM(C7,C14,M14)</f>
        <v/>
      </c>
      <c r="D4" s="47">
        <f>SUM(D7,D14,N14)</f>
        <v/>
      </c>
      <c r="E4" s="47">
        <f>SUM(E7,E14,O14)</f>
        <v/>
      </c>
      <c r="F4" s="47">
        <f>SUM(F7,F14,P14)</f>
        <v/>
      </c>
      <c r="G4" s="47">
        <f>SUM(G7,G14,Q14)</f>
        <v/>
      </c>
      <c r="H4" s="47">
        <f>SUM(H7,H14,R14)</f>
        <v/>
      </c>
      <c r="I4" s="47">
        <f>SUM(I7,I14,S14)</f>
        <v/>
      </c>
      <c r="J4" s="47">
        <f>SUM(J7,J14,T14)</f>
        <v/>
      </c>
      <c r="K4" s="47">
        <f>SUM(K7,K14,U14)</f>
        <v/>
      </c>
      <c r="L4" s="47" t="n"/>
      <c r="M4" s="47" t="n"/>
      <c r="N4" s="47">
        <f>SUM(N7,N14,X14)</f>
        <v/>
      </c>
      <c r="O4" s="47">
        <f>SUM(O7,O14,Y14)</f>
        <v/>
      </c>
      <c r="P4" s="47">
        <f>SUM(P7,P14,Z14)</f>
        <v/>
      </c>
      <c r="Q4" s="47">
        <f>SUM(Q7,Q14,AA14)</f>
        <v/>
      </c>
      <c r="R4" s="47">
        <f>SUM(R7,R14,AB14)</f>
        <v/>
      </c>
      <c r="S4" s="47">
        <f>SUM(S7,S14,AC14)</f>
        <v/>
      </c>
      <c r="T4" s="47">
        <f>SUM(T7,T14,AD14)</f>
        <v/>
      </c>
      <c r="U4" s="208">
        <f>T4-S4</f>
        <v/>
      </c>
      <c r="V4" s="47" t="n"/>
      <c r="W4" s="47" t="n"/>
      <c r="X4" s="47" t="n"/>
      <c r="Y4" s="47" t="n"/>
      <c r="Z4" s="47" t="n"/>
      <c r="AA4" s="47" t="n"/>
    </row>
    <row r="5" ht="15.75" customHeight="1" s="239">
      <c r="A5" s="59" t="inlineStr">
        <is>
          <t xml:space="preserve">   Net change</t>
        </is>
      </c>
      <c r="B5" s="60" t="n"/>
      <c r="C5" s="63" t="n"/>
      <c r="D5" s="63">
        <f>D4-C4</f>
        <v/>
      </c>
      <c r="E5" s="63">
        <f>E4-D4</f>
        <v/>
      </c>
      <c r="F5" s="63">
        <f>F4-E4</f>
        <v/>
      </c>
      <c r="G5" s="63">
        <f>G4-F4</f>
        <v/>
      </c>
      <c r="H5" s="63">
        <f>H4-G4</f>
        <v/>
      </c>
      <c r="I5" s="63">
        <f>I4-H4</f>
        <v/>
      </c>
      <c r="J5" s="63">
        <f>J4-I4</f>
        <v/>
      </c>
      <c r="K5" s="63">
        <f>K4-J4</f>
        <v/>
      </c>
      <c r="L5" s="68" t="n"/>
      <c r="M5" s="68" t="n"/>
      <c r="N5" s="63">
        <f>N4-M4</f>
        <v/>
      </c>
      <c r="O5" s="63">
        <f>O4-N4</f>
        <v/>
      </c>
      <c r="P5" s="63">
        <f>P4-O4</f>
        <v/>
      </c>
      <c r="Q5" s="63">
        <f>Q4-P4</f>
        <v/>
      </c>
      <c r="R5" s="63">
        <f>R4-Q4</f>
        <v/>
      </c>
      <c r="S5" s="63">
        <f>S4-R4</f>
        <v/>
      </c>
      <c r="T5" s="63">
        <f>T4-S4</f>
        <v/>
      </c>
      <c r="U5" s="208">
        <f>T5-S5</f>
        <v/>
      </c>
      <c r="V5" s="68" t="n"/>
      <c r="W5" s="68" t="n"/>
      <c r="X5" s="68" t="n"/>
      <c r="Y5" s="68" t="n"/>
      <c r="Z5" s="68" t="n"/>
      <c r="AA5" s="68" t="n"/>
    </row>
    <row r="6" ht="15.75" customHeight="1" s="239">
      <c r="A6" s="59" t="inlineStr">
        <is>
          <t xml:space="preserve">  Growth Rate (%)</t>
        </is>
      </c>
      <c r="B6" s="60" t="n"/>
      <c r="C6" s="68" t="n"/>
      <c r="D6" s="78">
        <f>D4/C4-1</f>
        <v/>
      </c>
      <c r="E6" s="78">
        <f>E4/D4-1</f>
        <v/>
      </c>
      <c r="F6" s="78">
        <f>F4/E4-1</f>
        <v/>
      </c>
      <c r="G6" s="78">
        <f>G4/F4-1</f>
        <v/>
      </c>
      <c r="H6" s="78">
        <f>H4/G4-1</f>
        <v/>
      </c>
      <c r="I6" s="78">
        <f>I4/H4-1</f>
        <v/>
      </c>
      <c r="J6" s="78">
        <f>J4/I4-1</f>
        <v/>
      </c>
      <c r="K6" s="78">
        <f>K4/J4-1</f>
        <v/>
      </c>
      <c r="L6" s="68" t="n"/>
      <c r="M6" s="68" t="n"/>
      <c r="N6" s="78">
        <f>N4/M4-1</f>
        <v/>
      </c>
      <c r="O6" s="78">
        <f>O4/N4-1</f>
        <v/>
      </c>
      <c r="P6" s="78">
        <f>P4/O4-1</f>
        <v/>
      </c>
      <c r="Q6" s="78">
        <f>Q4/P4-1</f>
        <v/>
      </c>
      <c r="R6" s="78">
        <f>R4/Q4-1</f>
        <v/>
      </c>
      <c r="S6" s="78">
        <f>S4/R4-1</f>
        <v/>
      </c>
      <c r="T6" s="78">
        <f>T4/S4-1</f>
        <v/>
      </c>
      <c r="U6" s="208">
        <f>T6-S6</f>
        <v/>
      </c>
      <c r="V6" s="68" t="n"/>
      <c r="W6" s="68" t="n"/>
      <c r="X6" s="68" t="n"/>
      <c r="Y6" s="68" t="n"/>
      <c r="Z6" s="68" t="n"/>
      <c r="AA6" s="68" t="n"/>
    </row>
    <row r="7" ht="15.75" customHeight="1" s="239">
      <c r="A7" s="208" t="inlineStr">
        <is>
          <t>Organic</t>
        </is>
      </c>
      <c r="B7" s="59" t="n"/>
      <c r="C7" s="8">
        <f>SUM(C9,C11,C13)</f>
        <v/>
      </c>
      <c r="D7" s="8">
        <f>SUM(D9,D11,D13)</f>
        <v/>
      </c>
      <c r="E7" s="8">
        <f>SUM(E9,E11,E13)</f>
        <v/>
      </c>
      <c r="F7" s="8">
        <f>SUM(F9,F11,F13)</f>
        <v/>
      </c>
      <c r="G7" s="8">
        <f>SUM(G9,G11,G13)</f>
        <v/>
      </c>
      <c r="H7" s="8">
        <f>SUM(H9,H11,H13)</f>
        <v/>
      </c>
      <c r="I7" s="8">
        <f>SUM(I9,I11,I13)</f>
        <v/>
      </c>
      <c r="J7" s="8">
        <f>SUM(J9,J11,J13)</f>
        <v/>
      </c>
      <c r="K7" s="8">
        <f>SUM(K9,K11)</f>
        <v/>
      </c>
      <c r="L7" s="8" t="n"/>
      <c r="M7" s="8" t="n"/>
      <c r="N7" s="8">
        <f>SUM(N9,N11,N13)</f>
        <v/>
      </c>
      <c r="O7" s="8">
        <f>SUM(O9,O11,O13)</f>
        <v/>
      </c>
      <c r="P7" s="8">
        <f>SUM(P9,P11,P13)</f>
        <v/>
      </c>
      <c r="Q7" s="8">
        <f>SUM(Q9,Q11,Q13)</f>
        <v/>
      </c>
      <c r="R7" s="8">
        <f>SUM(R9,R11,R13)</f>
        <v/>
      </c>
      <c r="S7" s="8">
        <f>SUM(S9,S11,S13)</f>
        <v/>
      </c>
      <c r="T7" s="8">
        <f>SUM(T9,T11,T13)</f>
        <v/>
      </c>
      <c r="U7" s="208">
        <f>T7-S7</f>
        <v/>
      </c>
      <c r="V7" s="8" t="n"/>
      <c r="W7" s="8" t="n"/>
      <c r="X7" s="8" t="n"/>
      <c r="Y7" s="8" t="n"/>
      <c r="Z7" s="8" t="n"/>
      <c r="AA7" s="8" t="n"/>
    </row>
    <row r="8" ht="15.75" customHeight="1" s="239">
      <c r="A8" s="59" t="inlineStr">
        <is>
          <t xml:space="preserve">  Net change</t>
        </is>
      </c>
      <c r="B8" s="59" t="n"/>
      <c r="C8" s="8" t="n"/>
      <c r="D8" s="8">
        <f>D7-C7</f>
        <v/>
      </c>
      <c r="E8" s="8">
        <f>E7-D7</f>
        <v/>
      </c>
      <c r="F8" s="8">
        <f>F7-E7</f>
        <v/>
      </c>
      <c r="G8" s="8">
        <f>G7-F7</f>
        <v/>
      </c>
      <c r="H8" s="8">
        <f>H7-G7</f>
        <v/>
      </c>
      <c r="I8" s="8">
        <f>I7-H7</f>
        <v/>
      </c>
      <c r="J8" s="8">
        <f>J7-I7</f>
        <v/>
      </c>
      <c r="K8" s="8">
        <f>K7-J7</f>
        <v/>
      </c>
      <c r="L8" s="8" t="n"/>
      <c r="M8" s="8" t="n"/>
      <c r="N8" s="8">
        <f>N7-M7</f>
        <v/>
      </c>
      <c r="O8" s="8">
        <f>O7-N7</f>
        <v/>
      </c>
      <c r="P8" s="8">
        <f>P7-O7</f>
        <v/>
      </c>
      <c r="Q8" s="8">
        <f>Q7-P7</f>
        <v/>
      </c>
      <c r="R8" s="8">
        <f>R7-Q7</f>
        <v/>
      </c>
      <c r="S8" s="8">
        <f>S7-R7</f>
        <v/>
      </c>
      <c r="T8" s="8">
        <f>T7-S7</f>
        <v/>
      </c>
      <c r="U8" s="208">
        <f>T8-S8</f>
        <v/>
      </c>
      <c r="V8" s="8" t="n"/>
      <c r="W8" s="8" t="n"/>
      <c r="X8" s="8" t="n"/>
      <c r="Y8" s="8" t="n"/>
      <c r="Z8" s="8" t="n"/>
      <c r="AA8" s="8" t="n"/>
    </row>
    <row r="9" ht="15.75" customHeight="1" s="239">
      <c r="A9" s="59" t="n"/>
      <c r="B9" s="208" t="inlineStr">
        <is>
          <t>SEO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208" t="n"/>
      <c r="V9" s="8" t="n"/>
      <c r="W9" s="8" t="n"/>
      <c r="X9" s="8" t="n"/>
      <c r="Y9" s="8" t="n"/>
      <c r="Z9" s="8" t="n"/>
      <c r="AA9" s="8" t="n"/>
    </row>
    <row r="10" ht="15.75" customHeight="1" s="239">
      <c r="A10" s="59" t="n"/>
      <c r="B10" s="59" t="inlineStr">
        <is>
          <t xml:space="preserve">  Net change</t>
        </is>
      </c>
      <c r="C10" s="8" t="n"/>
      <c r="D10" s="8">
        <f>D9-C9</f>
        <v/>
      </c>
      <c r="E10" s="8">
        <f>E9-D9</f>
        <v/>
      </c>
      <c r="F10" s="8">
        <f>F9-E9</f>
        <v/>
      </c>
      <c r="G10" s="8">
        <f>G9-F9</f>
        <v/>
      </c>
      <c r="H10" s="8">
        <f>H9-G9</f>
        <v/>
      </c>
      <c r="I10" s="8">
        <f>I9-H9</f>
        <v/>
      </c>
      <c r="J10" s="8">
        <f>J9-I9</f>
        <v/>
      </c>
      <c r="K10" s="8">
        <f>K9-J9</f>
        <v/>
      </c>
      <c r="L10" s="8" t="n"/>
      <c r="M10" s="8" t="n"/>
      <c r="N10" s="8">
        <f>N9-M9</f>
        <v/>
      </c>
      <c r="O10" s="8">
        <f>O9-N9</f>
        <v/>
      </c>
      <c r="P10" s="8">
        <f>P9-O9</f>
        <v/>
      </c>
      <c r="Q10" s="8">
        <f>Q9-P9</f>
        <v/>
      </c>
      <c r="R10" s="8">
        <f>R9-Q9</f>
        <v/>
      </c>
      <c r="S10" s="8">
        <f>S9-R9</f>
        <v/>
      </c>
      <c r="T10" s="8">
        <f>T9-S9</f>
        <v/>
      </c>
      <c r="U10" s="208">
        <f>T10-S10</f>
        <v/>
      </c>
      <c r="V10" s="8" t="n"/>
      <c r="W10" s="8" t="n"/>
      <c r="X10" s="8" t="n"/>
      <c r="Y10" s="8" t="n"/>
      <c r="Z10" s="8" t="n"/>
      <c r="AA10" s="8" t="n"/>
    </row>
    <row r="11" ht="15.75" customHeight="1" s="239">
      <c r="A11" s="59" t="n"/>
      <c r="B11" s="208" t="inlineStr">
        <is>
          <t>Blog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208" t="n"/>
      <c r="V11" s="8" t="n"/>
      <c r="W11" s="8" t="n"/>
      <c r="X11" s="8" t="n"/>
      <c r="Y11" s="8" t="n"/>
      <c r="Z11" s="8" t="n"/>
      <c r="AA11" s="8" t="n"/>
    </row>
    <row r="12" ht="15.75" customHeight="1" s="239">
      <c r="A12" s="59" t="n"/>
      <c r="B12" s="59" t="inlineStr">
        <is>
          <t xml:space="preserve">  Net change</t>
        </is>
      </c>
      <c r="C12" s="8" t="n"/>
      <c r="D12" s="8">
        <f>D11-C11</f>
        <v/>
      </c>
      <c r="E12" s="8">
        <f>E11-D11</f>
        <v/>
      </c>
      <c r="F12" s="8">
        <f>F11-E11</f>
        <v/>
      </c>
      <c r="G12" s="8">
        <f>G11-F11</f>
        <v/>
      </c>
      <c r="H12" s="8">
        <f>H11-G11</f>
        <v/>
      </c>
      <c r="I12" s="8">
        <f>I11-H11</f>
        <v/>
      </c>
      <c r="J12" s="8">
        <f>J11-I11</f>
        <v/>
      </c>
      <c r="K12" s="8">
        <f>K11-J11</f>
        <v/>
      </c>
      <c r="L12" s="8" t="n"/>
      <c r="M12" s="8" t="n"/>
      <c r="N12" s="8">
        <f>N11-M11</f>
        <v/>
      </c>
      <c r="O12" s="8">
        <f>O11-N11</f>
        <v/>
      </c>
      <c r="P12" s="8">
        <f>P11-O11</f>
        <v/>
      </c>
      <c r="Q12" s="8">
        <f>Q11-P11</f>
        <v/>
      </c>
      <c r="R12" s="8">
        <f>R11-Q11</f>
        <v/>
      </c>
      <c r="S12" s="8">
        <f>S11-R11</f>
        <v/>
      </c>
      <c r="T12" s="8">
        <f>T11-S11</f>
        <v/>
      </c>
      <c r="U12" s="208">
        <f>T12-S12</f>
        <v/>
      </c>
      <c r="V12" s="8" t="n"/>
      <c r="W12" s="8" t="n"/>
      <c r="X12" s="8" t="n"/>
      <c r="Y12" s="8" t="n"/>
      <c r="Z12" s="8" t="n"/>
      <c r="AA12" s="8" t="n"/>
    </row>
    <row r="13" ht="15.75" customHeight="1" s="239">
      <c r="A13" s="59" t="n"/>
      <c r="B13" s="20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208" t="n"/>
      <c r="V13" s="8" t="n"/>
      <c r="W13" s="8" t="n"/>
      <c r="X13" s="8" t="n"/>
      <c r="Y13" s="8" t="n"/>
      <c r="Z13" s="8" t="n"/>
      <c r="AA13" s="8" t="n"/>
    </row>
    <row r="14">
      <c r="A14" s="208" t="inlineStr">
        <is>
          <t>Paid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208" t="n"/>
      <c r="V14" s="8" t="n"/>
      <c r="W14" s="8" t="n"/>
      <c r="X14" s="8" t="n"/>
      <c r="Y14" s="8" t="n"/>
      <c r="Z14" s="8" t="n"/>
      <c r="AA14" s="8" t="n"/>
    </row>
    <row r="15" ht="15.75" customHeight="1" s="239">
      <c r="A15" s="59" t="inlineStr">
        <is>
          <t xml:space="preserve">  Net change</t>
        </is>
      </c>
      <c r="B15" s="59" t="n"/>
      <c r="C15" s="8" t="n"/>
      <c r="D15" s="8">
        <f>D14-C14</f>
        <v/>
      </c>
      <c r="E15" s="8">
        <f>E14-D14</f>
        <v/>
      </c>
      <c r="F15" s="8">
        <f>F14-E14</f>
        <v/>
      </c>
      <c r="G15" s="8">
        <f>G14-F14</f>
        <v/>
      </c>
      <c r="H15" s="8">
        <f>H14-G14</f>
        <v/>
      </c>
      <c r="I15" s="8">
        <f>I14-H14</f>
        <v/>
      </c>
      <c r="J15" s="8">
        <f>J14-I14</f>
        <v/>
      </c>
      <c r="K15" s="8">
        <f>K14-J14</f>
        <v/>
      </c>
      <c r="L15" s="8" t="n"/>
      <c r="M15" s="8" t="n"/>
      <c r="N15" s="8">
        <f>N14-M14</f>
        <v/>
      </c>
      <c r="O15" s="8">
        <f>O14-N14</f>
        <v/>
      </c>
      <c r="P15" s="8">
        <f>P14-O14</f>
        <v/>
      </c>
      <c r="Q15" s="8">
        <f>Q14-P14</f>
        <v/>
      </c>
      <c r="R15" s="8">
        <f>R14-Q14</f>
        <v/>
      </c>
      <c r="S15" s="8">
        <f>S14-R14</f>
        <v/>
      </c>
      <c r="T15" s="8">
        <f>T14-S14</f>
        <v/>
      </c>
      <c r="U15" s="208">
        <f>T15-S15</f>
        <v/>
      </c>
      <c r="V15" s="8" t="n"/>
      <c r="W15" s="8" t="n"/>
      <c r="X15" s="8" t="n"/>
      <c r="Y15" s="8" t="n"/>
      <c r="Z15" s="8" t="n"/>
      <c r="AA15" s="8" t="n"/>
    </row>
    <row r="16" ht="12.75" customHeight="1" s="239">
      <c r="A16" s="8" t="n"/>
      <c r="B16" s="8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208" t="n"/>
      <c r="V16" s="8" t="n"/>
      <c r="W16" s="8" t="n"/>
      <c r="X16" s="8" t="n"/>
      <c r="Y16" s="8" t="n"/>
      <c r="Z16" s="8" t="n"/>
      <c r="AA16" s="8" t="n"/>
    </row>
    <row r="17" ht="12.75" customHeight="1" s="239">
      <c r="A17" s="8" t="n"/>
      <c r="B17" s="88" t="inlineStr">
        <is>
          <t>….....</t>
        </is>
      </c>
      <c r="C17" s="8" t="n"/>
      <c r="D17" s="8">
        <f>D16-C16</f>
        <v/>
      </c>
      <c r="E17" s="8">
        <f>E16-D16</f>
        <v/>
      </c>
      <c r="F17" s="8">
        <f>F16-E16</f>
        <v/>
      </c>
      <c r="G17" s="8">
        <f>G16-F16</f>
        <v/>
      </c>
      <c r="H17" s="8">
        <f>H16-G16</f>
        <v/>
      </c>
      <c r="I17" s="8">
        <f>I16-H16</f>
        <v/>
      </c>
      <c r="J17" s="8">
        <f>J16-I16</f>
        <v/>
      </c>
      <c r="K17" s="8">
        <f>K16-J16</f>
        <v/>
      </c>
      <c r="L17" s="8" t="n"/>
      <c r="M17" s="8" t="n"/>
      <c r="N17" s="8">
        <f>N16-M16</f>
        <v/>
      </c>
      <c r="O17" s="8">
        <f>O16-N16</f>
        <v/>
      </c>
      <c r="P17" s="8">
        <f>P16-O16</f>
        <v/>
      </c>
      <c r="Q17" s="8">
        <f>Q16-P16</f>
        <v/>
      </c>
      <c r="R17" s="8">
        <f>R16-Q16</f>
        <v/>
      </c>
      <c r="S17" s="8">
        <f>S16-R16</f>
        <v/>
      </c>
      <c r="T17" s="8">
        <f>T16-S16</f>
        <v/>
      </c>
      <c r="U17" s="208">
        <f>T17-S17</f>
        <v/>
      </c>
      <c r="V17" s="8" t="n"/>
      <c r="W17" s="8" t="n"/>
      <c r="X17" s="8" t="n"/>
      <c r="Y17" s="8" t="n"/>
      <c r="Z17" s="8" t="n"/>
      <c r="AA17" s="8" t="n"/>
    </row>
    <row r="18" ht="15.75" customHeight="1" s="239">
      <c r="A18" s="59" t="n"/>
      <c r="B18" s="8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208" t="n"/>
      <c r="V18" s="8" t="n"/>
      <c r="W18" s="8" t="n"/>
      <c r="X18" s="8" t="n"/>
      <c r="Y18" s="8" t="n"/>
      <c r="Z18" s="8" t="n"/>
      <c r="AA18" s="8" t="n"/>
    </row>
    <row r="19" ht="15.75" customHeight="1" s="239">
      <c r="A19" s="59" t="n"/>
      <c r="B19" s="88" t="n"/>
      <c r="C19" s="8" t="n"/>
      <c r="D19" s="8">
        <f>D18-C18</f>
        <v/>
      </c>
      <c r="E19" s="8">
        <f>E18-D18</f>
        <v/>
      </c>
      <c r="F19" s="8">
        <f>F18-E18</f>
        <v/>
      </c>
      <c r="G19" s="8">
        <f>G18-F18</f>
        <v/>
      </c>
      <c r="H19" s="8">
        <f>H18-G18</f>
        <v/>
      </c>
      <c r="I19" s="8">
        <f>I18-H18</f>
        <v/>
      </c>
      <c r="J19" s="8">
        <f>J18-I18</f>
        <v/>
      </c>
      <c r="K19" s="8">
        <f>K18-J18</f>
        <v/>
      </c>
      <c r="L19" s="8" t="n"/>
      <c r="M19" s="8" t="n"/>
      <c r="N19" s="8">
        <f>N18-M18</f>
        <v/>
      </c>
      <c r="O19" s="8">
        <f>O18-N18</f>
        <v/>
      </c>
      <c r="P19" s="8">
        <f>P18-O18</f>
        <v/>
      </c>
      <c r="Q19" s="8">
        <f>Q18-P18</f>
        <v/>
      </c>
      <c r="R19" s="8">
        <f>R18-Q18</f>
        <v/>
      </c>
      <c r="S19" s="8">
        <f>S18-R18</f>
        <v/>
      </c>
      <c r="T19" s="8">
        <f>T18-S18</f>
        <v/>
      </c>
      <c r="U19" s="208">
        <f>T19-S19</f>
        <v/>
      </c>
      <c r="V19" s="8" t="n"/>
      <c r="W19" s="8" t="n"/>
      <c r="X19" s="8" t="n"/>
      <c r="Y19" s="8" t="n"/>
      <c r="Z19" s="8" t="n"/>
      <c r="AA19" s="8" t="n"/>
    </row>
    <row r="20" ht="15.75" customHeight="1" s="239">
      <c r="A20" s="59" t="n"/>
      <c r="B20" s="8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208" t="n"/>
      <c r="V20" s="8" t="n"/>
      <c r="W20" s="8" t="n"/>
      <c r="X20" s="8" t="n"/>
      <c r="Y20" s="8" t="n"/>
      <c r="Z20" s="8" t="n"/>
      <c r="AA20" s="8" t="n"/>
    </row>
    <row r="21" ht="15.75" customHeight="1" s="239">
      <c r="A21" s="59" t="n"/>
      <c r="B21" s="88" t="n"/>
      <c r="C21" s="8" t="n"/>
      <c r="D21" s="8">
        <f>D20-C20</f>
        <v/>
      </c>
      <c r="E21" s="8">
        <f>E20-D20</f>
        <v/>
      </c>
      <c r="F21" s="8">
        <f>F20-E20</f>
        <v/>
      </c>
      <c r="G21" s="8">
        <f>G20-F20</f>
        <v/>
      </c>
      <c r="H21" s="8">
        <f>H20-G20</f>
        <v/>
      </c>
      <c r="I21" s="8">
        <f>I20-H20</f>
        <v/>
      </c>
      <c r="J21" s="8">
        <f>J20-I20</f>
        <v/>
      </c>
      <c r="K21" s="8">
        <f>K20-J20</f>
        <v/>
      </c>
      <c r="L21" s="8" t="n"/>
      <c r="M21" s="8" t="n"/>
      <c r="N21" s="8">
        <f>N20-M20</f>
        <v/>
      </c>
      <c r="O21" s="8">
        <f>O20-N20</f>
        <v/>
      </c>
      <c r="P21" s="8">
        <f>P20-O20</f>
        <v/>
      </c>
      <c r="Q21" s="8">
        <f>Q20-P20</f>
        <v/>
      </c>
      <c r="R21" s="8">
        <f>R20-Q20</f>
        <v/>
      </c>
      <c r="S21" s="8">
        <f>S20-R20</f>
        <v/>
      </c>
      <c r="T21" s="8">
        <f>T20-S20</f>
        <v/>
      </c>
      <c r="U21" s="208">
        <f>T21-S21</f>
        <v/>
      </c>
      <c r="V21" s="8" t="n"/>
      <c r="W21" s="8" t="n"/>
      <c r="X21" s="8" t="n"/>
      <c r="Y21" s="8" t="n"/>
      <c r="Z21" s="8" t="n"/>
      <c r="AA21" s="8" t="n"/>
    </row>
    <row r="22" ht="15.75" customHeight="1" s="239">
      <c r="A22" s="59" t="n"/>
      <c r="B22" s="8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208" t="n"/>
      <c r="V22" s="8" t="n"/>
      <c r="W22" s="8" t="n"/>
      <c r="X22" s="8" t="n"/>
      <c r="Y22" s="8" t="n"/>
      <c r="Z22" s="8" t="n"/>
      <c r="AA22" s="8" t="n"/>
    </row>
    <row r="23" ht="15.75" customHeight="1" s="239">
      <c r="A23" s="59" t="n"/>
      <c r="B23" s="88" t="n"/>
      <c r="C23" s="8" t="n"/>
      <c r="D23" s="8">
        <f>D22-C22</f>
        <v/>
      </c>
      <c r="E23" s="8">
        <f>E22-D22</f>
        <v/>
      </c>
      <c r="F23" s="8">
        <f>F22-E22</f>
        <v/>
      </c>
      <c r="G23" s="8">
        <f>G22-F22</f>
        <v/>
      </c>
      <c r="H23" s="8">
        <f>H22-G22</f>
        <v/>
      </c>
      <c r="I23" s="8">
        <f>I22-H22</f>
        <v/>
      </c>
      <c r="J23" s="8">
        <f>J22-I22</f>
        <v/>
      </c>
      <c r="K23" s="8">
        <f>K22-J22</f>
        <v/>
      </c>
      <c r="L23" s="8" t="n"/>
      <c r="M23" s="8" t="n"/>
      <c r="N23" s="8">
        <f>N22-M22</f>
        <v/>
      </c>
      <c r="O23" s="8">
        <f>O22-N22</f>
        <v/>
      </c>
      <c r="P23" s="8">
        <f>P22-O22</f>
        <v/>
      </c>
      <c r="Q23" s="8">
        <f>Q22-P22</f>
        <v/>
      </c>
      <c r="R23" s="8">
        <f>R22-Q22</f>
        <v/>
      </c>
      <c r="S23" s="8">
        <f>S22-R22</f>
        <v/>
      </c>
      <c r="T23" s="8">
        <f>T22-S22</f>
        <v/>
      </c>
      <c r="U23" s="208">
        <f>T23-S23</f>
        <v/>
      </c>
      <c r="V23" s="8" t="n"/>
      <c r="W23" s="8" t="n"/>
      <c r="X23" s="8" t="n"/>
      <c r="Y23" s="8" t="n"/>
      <c r="Z23" s="8" t="n"/>
      <c r="AA23" s="8" t="n"/>
    </row>
    <row r="24" ht="15.75" customHeight="1" s="239">
      <c r="A24" s="59" t="n"/>
      <c r="B24" s="8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208" t="n"/>
      <c r="V24" s="8" t="n"/>
      <c r="W24" s="8" t="n"/>
      <c r="X24" s="8" t="n"/>
      <c r="Y24" s="8" t="n"/>
      <c r="Z24" s="8" t="n"/>
      <c r="AA24" s="8" t="n"/>
    </row>
    <row r="25" ht="15.75" customHeight="1" s="239">
      <c r="A25" s="59" t="n"/>
      <c r="B25" s="88" t="n"/>
      <c r="C25" s="8" t="n"/>
      <c r="D25" s="8">
        <f>D24-C24</f>
        <v/>
      </c>
      <c r="E25" s="8">
        <f>E24-D24</f>
        <v/>
      </c>
      <c r="F25" s="8">
        <f>F24-E24</f>
        <v/>
      </c>
      <c r="G25" s="8">
        <f>G24-F24</f>
        <v/>
      </c>
      <c r="H25" s="8">
        <f>H24-G24</f>
        <v/>
      </c>
      <c r="I25" s="8">
        <f>I24-H24</f>
        <v/>
      </c>
      <c r="J25" s="8">
        <f>J24-I24</f>
        <v/>
      </c>
      <c r="K25" s="8">
        <f>K24-J24</f>
        <v/>
      </c>
      <c r="L25" s="8" t="n"/>
      <c r="M25" s="8" t="n"/>
      <c r="N25" s="8">
        <f>N24-M24</f>
        <v/>
      </c>
      <c r="O25" s="8">
        <f>O24-N24</f>
        <v/>
      </c>
      <c r="P25" s="8">
        <f>P24-O24</f>
        <v/>
      </c>
      <c r="Q25" s="8">
        <f>Q24-P24</f>
        <v/>
      </c>
      <c r="R25" s="8">
        <f>R24-Q24</f>
        <v/>
      </c>
      <c r="S25" s="8">
        <f>S24-R24</f>
        <v/>
      </c>
      <c r="T25" s="8">
        <f>T24-S24</f>
        <v/>
      </c>
      <c r="U25" s="208">
        <f>T25-S25</f>
        <v/>
      </c>
      <c r="V25" s="8" t="n"/>
      <c r="W25" s="8" t="n"/>
      <c r="X25" s="8" t="n"/>
      <c r="Y25" s="8" t="n"/>
      <c r="Z25" s="8" t="n"/>
      <c r="AA25" s="8" t="n"/>
    </row>
    <row r="26" ht="15.75" customHeight="1" s="239">
      <c r="A26" s="208" t="inlineStr">
        <is>
          <t>…..</t>
        </is>
      </c>
      <c r="B26" s="59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208" t="n"/>
      <c r="V26" s="8" t="n"/>
      <c r="W26" s="8" t="n"/>
      <c r="X26" s="8" t="n"/>
      <c r="Y26" s="8" t="n"/>
      <c r="Z26" s="8" t="n"/>
      <c r="AA26" s="8" t="n"/>
    </row>
    <row r="27" ht="15.75" customHeight="1" s="239">
      <c r="A27" s="59" t="inlineStr">
        <is>
          <t xml:space="preserve">  Net change</t>
        </is>
      </c>
      <c r="B27" s="59" t="n"/>
      <c r="C27" s="8" t="n"/>
      <c r="D27" s="8">
        <f>D26-C26</f>
        <v/>
      </c>
      <c r="E27" s="8">
        <f>E26-D26</f>
        <v/>
      </c>
      <c r="F27" s="8">
        <f>F26-E26</f>
        <v/>
      </c>
      <c r="G27" s="8">
        <f>G26-F26</f>
        <v/>
      </c>
      <c r="H27" s="8">
        <f>H26-G26</f>
        <v/>
      </c>
      <c r="I27" s="8">
        <f>I26-H26</f>
        <v/>
      </c>
      <c r="J27" s="8">
        <f>J26-I26</f>
        <v/>
      </c>
      <c r="K27" s="8">
        <f>K26-J26</f>
        <v/>
      </c>
      <c r="L27" s="8" t="n"/>
      <c r="M27" s="8" t="n"/>
      <c r="N27" s="8">
        <f>N26-M26</f>
        <v/>
      </c>
      <c r="O27" s="8">
        <f>O26-N26</f>
        <v/>
      </c>
      <c r="P27" s="8">
        <f>P26-O26</f>
        <v/>
      </c>
      <c r="Q27" s="8">
        <f>Q26-P26</f>
        <v/>
      </c>
      <c r="R27" s="8">
        <f>R26-Q26</f>
        <v/>
      </c>
      <c r="S27" s="8">
        <f>S26-R26</f>
        <v/>
      </c>
      <c r="T27" s="8">
        <f>T26-S26</f>
        <v/>
      </c>
      <c r="U27" s="208">
        <f>T27-S27</f>
        <v/>
      </c>
      <c r="V27" s="8" t="n"/>
      <c r="W27" s="8" t="n"/>
      <c r="X27" s="8" t="n"/>
      <c r="Y27" s="8" t="n"/>
      <c r="Z27" s="8" t="n"/>
      <c r="AA27" s="8" t="n"/>
    </row>
    <row r="28" ht="15.75" customHeight="1" s="239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</row>
    <row r="29" ht="15.75" customHeight="1" s="23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</row>
    <row r="30" ht="15.75" customHeight="1" s="239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</row>
    <row r="31" ht="15.75" customHeight="1" s="239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</row>
    <row r="32" ht="15.75" customHeight="1" s="239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</row>
    <row r="33" ht="15.75" customHeight="1" s="239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</row>
    <row r="34" ht="15.75" customHeight="1" s="239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</row>
    <row r="35" ht="15.75" customHeight="1" s="239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</row>
    <row r="36" ht="15.75" customHeight="1" s="239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</row>
    <row r="37" ht="15.75" customHeight="1" s="239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</row>
    <row r="38" ht="15.75" customHeight="1" s="239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</row>
    <row r="39" ht="15.75" customHeight="1" s="2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</row>
    <row r="40" ht="15.75" customHeight="1" s="239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</row>
    <row r="41" ht="15.75" customHeight="1" s="239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</row>
    <row r="42" ht="15.75" customHeight="1" s="239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</row>
    <row r="43" ht="15.75" customHeight="1" s="239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</row>
    <row r="44" ht="15.75" customHeight="1" s="239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</row>
    <row r="45" ht="15.75" customHeight="1" s="239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</row>
    <row r="46" ht="15.75" customHeight="1" s="239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</row>
    <row r="47" ht="15.75" customHeight="1" s="239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</row>
    <row r="48" ht="15.75" customHeight="1" s="239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</row>
    <row r="49" ht="15.75" customHeight="1" s="23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</row>
    <row r="50" ht="15.75" customHeight="1" s="239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</row>
    <row r="51" ht="15.75" customHeight="1" s="239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</row>
    <row r="52" ht="15.75" customHeight="1" s="239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</row>
    <row r="53" ht="15.75" customHeight="1" s="239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</row>
    <row r="54" ht="15.75" customHeight="1" s="239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</row>
    <row r="55" ht="15.75" customHeight="1" s="239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</row>
    <row r="56" ht="15.75" customHeight="1" s="239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</row>
    <row r="57" ht="15.75" customHeight="1" s="239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</row>
    <row r="58" ht="15.75" customHeight="1" s="239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</row>
    <row r="59" ht="15.75" customHeight="1" s="23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</row>
    <row r="60" ht="15.75" customHeight="1" s="239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</row>
    <row r="61" ht="15.75" customHeight="1" s="239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</row>
    <row r="62" ht="15.75" customHeight="1" s="239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</row>
    <row r="63" ht="15.75" customHeight="1" s="239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</row>
    <row r="64" ht="15.75" customHeight="1" s="239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</row>
    <row r="65" ht="15.75" customHeight="1" s="239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</row>
    <row r="66" ht="15.75" customHeight="1" s="239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</row>
    <row r="67" ht="15.75" customHeight="1" s="239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</row>
    <row r="68" ht="15.75" customHeight="1" s="239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</row>
    <row r="69" ht="15.75" customHeight="1" s="23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</row>
    <row r="70" ht="15.75" customHeight="1" s="239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</row>
    <row r="71" ht="15.75" customHeight="1" s="239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</row>
    <row r="72" ht="15.75" customHeight="1" s="239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</row>
    <row r="73" ht="15.75" customHeight="1" s="239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</row>
    <row r="74" ht="15.75" customHeight="1" s="239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</row>
    <row r="75" ht="15.75" customHeight="1" s="239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</row>
    <row r="76" ht="15.75" customHeight="1" s="239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</row>
    <row r="77" ht="15.75" customHeight="1" s="239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</row>
    <row r="78" ht="15.75" customHeight="1" s="239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</row>
    <row r="79" ht="15.75" customHeight="1" s="23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</row>
    <row r="80" ht="15.75" customHeight="1" s="239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</row>
    <row r="81" ht="15.75" customHeight="1" s="239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</row>
    <row r="82" ht="15.75" customHeight="1" s="239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</row>
    <row r="83" ht="15.75" customHeight="1" s="239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</row>
    <row r="84" ht="15.75" customHeight="1" s="239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</row>
    <row r="85" ht="15.75" customHeight="1" s="239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</row>
    <row r="86" ht="15.75" customHeight="1" s="239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</row>
    <row r="87" ht="15.75" customHeight="1" s="239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</row>
    <row r="88" ht="15.75" customHeight="1" s="239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</row>
    <row r="89" ht="15.75" customHeight="1" s="23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</row>
    <row r="90" ht="15.75" customHeight="1" s="239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</row>
    <row r="91" ht="15.75" customHeight="1" s="239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</row>
    <row r="92" ht="15.75" customHeight="1" s="239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</row>
    <row r="93" ht="15.75" customHeight="1" s="239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</row>
    <row r="94" ht="15.75" customHeight="1" s="239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</row>
    <row r="95" ht="15.75" customHeight="1" s="239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</row>
    <row r="96" ht="15.75" customHeight="1" s="239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</row>
    <row r="97" ht="15.75" customHeight="1" s="239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</row>
    <row r="98" ht="15.75" customHeight="1" s="239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</row>
    <row r="99" ht="15.75" customHeight="1" s="23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</row>
    <row r="100" ht="15.75" customHeight="1" s="239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</row>
    <row r="101" ht="15.75" customHeight="1" s="239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</row>
    <row r="102" ht="15.75" customHeight="1" s="239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</row>
    <row r="103" ht="15.75" customHeight="1" s="239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</row>
    <row r="104" ht="15.75" customHeight="1" s="239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</row>
    <row r="105" ht="15.75" customHeight="1" s="239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</row>
    <row r="106" ht="15.75" customHeight="1" s="239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</row>
    <row r="107" ht="15.75" customHeight="1" s="239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</row>
    <row r="108" ht="15.75" customHeight="1" s="239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</row>
    <row r="109" ht="15.75" customHeight="1" s="23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</row>
    <row r="110" ht="15.75" customHeight="1" s="239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</row>
    <row r="111" ht="15.75" customHeight="1" s="239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</row>
    <row r="112" ht="15.75" customHeight="1" s="239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</row>
    <row r="113" ht="15.75" customHeight="1" s="239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</row>
    <row r="114" ht="15.75" customHeight="1" s="239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</row>
    <row r="115" ht="15.75" customHeight="1" s="239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</row>
    <row r="116" ht="15.75" customHeight="1" s="239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</row>
    <row r="117" ht="15.75" customHeight="1" s="239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</row>
    <row r="118" ht="15.75" customHeight="1" s="239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</row>
    <row r="119" ht="15.75" customHeight="1" s="23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</row>
    <row r="120" ht="15.75" customHeight="1" s="239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</row>
    <row r="121" ht="15.75" customHeight="1" s="239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</row>
    <row r="122" ht="15.75" customHeight="1" s="239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</row>
    <row r="123" ht="15.75" customHeight="1" s="239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</row>
    <row r="124" ht="15.75" customHeight="1" s="239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</row>
    <row r="125" ht="15.75" customHeight="1" s="239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</row>
    <row r="126" ht="15.75" customHeight="1" s="239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</row>
    <row r="127" ht="15.75" customHeight="1" s="239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</row>
    <row r="128" ht="15.75" customHeight="1" s="239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</row>
    <row r="129" ht="15.75" customHeight="1" s="23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</row>
    <row r="130" ht="15.75" customHeight="1" s="239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</row>
    <row r="131" ht="15.75" customHeight="1" s="239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</row>
    <row r="132" ht="15.75" customHeight="1" s="239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</row>
    <row r="133" ht="15.75" customHeight="1" s="239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</row>
    <row r="134" ht="15.75" customHeight="1" s="239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</row>
    <row r="135" ht="15.75" customHeight="1" s="239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</row>
    <row r="136" ht="15.75" customHeight="1" s="239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</row>
    <row r="137" ht="15.75" customHeight="1" s="239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</row>
    <row r="138" ht="15.75" customHeight="1" s="239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</row>
    <row r="139" ht="15.75" customHeight="1" s="2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</row>
    <row r="140" ht="15.75" customHeight="1" s="239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</row>
    <row r="141" ht="15.75" customHeight="1" s="239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</row>
    <row r="142" ht="15.75" customHeight="1" s="239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</row>
    <row r="143" ht="15.75" customHeight="1" s="239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</row>
    <row r="144" ht="15.75" customHeight="1" s="239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</row>
    <row r="145" ht="15.75" customHeight="1" s="239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</row>
    <row r="146" ht="15.75" customHeight="1" s="239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</row>
    <row r="147" ht="15.75" customHeight="1" s="239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</row>
    <row r="148" ht="15.75" customHeight="1" s="239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</row>
    <row r="149" ht="15.75" customHeight="1" s="23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</row>
    <row r="150" ht="15.75" customHeight="1" s="239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</row>
    <row r="151" ht="15.75" customHeight="1" s="239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</row>
    <row r="152" ht="15.75" customHeight="1" s="239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</row>
    <row r="153" ht="15.75" customHeight="1" s="239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</row>
    <row r="154" ht="15.75" customHeight="1" s="239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</row>
    <row r="155" ht="15.75" customHeight="1" s="239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</row>
    <row r="156" ht="15.75" customHeight="1" s="239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</row>
    <row r="157" ht="15.75" customHeight="1" s="239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</row>
    <row r="158" ht="15.75" customHeight="1" s="239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</row>
    <row r="159" ht="15.75" customHeight="1" s="23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</row>
    <row r="160" ht="15.75" customHeight="1" s="239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</row>
    <row r="161" ht="15.75" customHeight="1" s="239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</row>
    <row r="162" ht="15.75" customHeight="1" s="239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</row>
    <row r="163" ht="15.75" customHeight="1" s="239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</row>
    <row r="164" ht="15.75" customHeight="1" s="239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</row>
    <row r="165" ht="15.75" customHeight="1" s="239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</row>
    <row r="166" ht="15.75" customHeight="1" s="239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</row>
    <row r="167" ht="15.75" customHeight="1" s="239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</row>
    <row r="168" ht="15.75" customHeight="1" s="239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</row>
    <row r="169" ht="15.75" customHeight="1" s="23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</row>
    <row r="170" ht="15.75" customHeight="1" s="239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</row>
    <row r="171" ht="15.75" customHeight="1" s="239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</row>
    <row r="172" ht="15.75" customHeight="1" s="239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</row>
    <row r="173" ht="15.75" customHeight="1" s="239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</row>
    <row r="174" ht="15.75" customHeight="1" s="239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</row>
    <row r="175" ht="15.75" customHeight="1" s="239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</row>
    <row r="176" ht="15.75" customHeight="1" s="239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</row>
    <row r="177" ht="15.75" customHeight="1" s="239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</row>
    <row r="178" ht="15.75" customHeight="1" s="239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</row>
    <row r="179" ht="15.75" customHeight="1" s="23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</row>
    <row r="180" ht="15.75" customHeight="1" s="239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</row>
    <row r="181" ht="15.75" customHeight="1" s="239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</row>
    <row r="182" ht="15.75" customHeight="1" s="239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</row>
    <row r="183" ht="15.75" customHeight="1" s="239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</row>
    <row r="184" ht="15.75" customHeight="1" s="239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</row>
    <row r="185" ht="15.75" customHeight="1" s="239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</row>
    <row r="186" ht="15.75" customHeight="1" s="239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</row>
    <row r="187" ht="15.75" customHeight="1" s="239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</row>
    <row r="188" ht="15.75" customHeight="1" s="239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</row>
    <row r="189" ht="15.75" customHeight="1" s="23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</row>
    <row r="190" ht="15.75" customHeight="1" s="239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</row>
    <row r="191" ht="15.75" customHeight="1" s="239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</row>
    <row r="192" ht="15.75" customHeight="1" s="239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</row>
    <row r="193" ht="15.75" customHeight="1" s="239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</row>
    <row r="194" ht="15.75" customHeight="1" s="239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</row>
    <row r="195" ht="15.75" customHeight="1" s="239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</row>
    <row r="196" ht="15.75" customHeight="1" s="239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</row>
    <row r="197" ht="15.75" customHeight="1" s="239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</row>
    <row r="198" ht="15.75" customHeight="1" s="239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</row>
    <row r="199" ht="15.75" customHeight="1" s="23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</row>
    <row r="200" ht="15.75" customHeight="1" s="239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</row>
    <row r="201" ht="15.75" customHeight="1" s="239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</row>
    <row r="202" ht="15.75" customHeight="1" s="239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</row>
    <row r="203" ht="15.75" customHeight="1" s="239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</row>
    <row r="204" ht="15.75" customHeight="1" s="239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</row>
    <row r="205" ht="15.75" customHeight="1" s="239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</row>
    <row r="206" ht="15.75" customHeight="1" s="239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</row>
    <row r="207" ht="15.75" customHeight="1" s="239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</row>
    <row r="208" ht="15.75" customHeight="1" s="239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</row>
    <row r="209" ht="15.75" customHeight="1" s="23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</row>
    <row r="210" ht="15.75" customHeight="1" s="239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</row>
    <row r="211" ht="15.75" customHeight="1" s="239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</row>
    <row r="212" ht="15.75" customHeight="1" s="239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</row>
    <row r="213" ht="15.75" customHeight="1" s="239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</row>
    <row r="214" ht="15.75" customHeight="1" s="239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</row>
    <row r="215" ht="15.75" customHeight="1" s="239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</row>
    <row r="216" ht="15.75" customHeight="1" s="239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</row>
    <row r="217" ht="15.75" customHeight="1" s="239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</row>
    <row r="218" ht="15.75" customHeight="1" s="239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</row>
    <row r="219" ht="15.75" customHeight="1" s="23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</row>
    <row r="220" ht="15.75" customHeight="1" s="239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</row>
    <row r="221" ht="15.75" customHeight="1" s="239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</row>
    <row r="222" ht="15.75" customHeight="1" s="239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</row>
    <row r="223" ht="15.75" customHeight="1" s="239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</row>
    <row r="224" ht="15.75" customHeight="1" s="239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</row>
    <row r="225" ht="15.75" customHeight="1" s="239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</row>
    <row r="226" ht="15.75" customHeight="1" s="239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</row>
    <row r="227" ht="15.75" customHeight="1" s="239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</row>
    <row r="228" ht="15.75" customHeight="1" s="239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</row>
    <row r="229" ht="15.75" customHeight="1" s="23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</row>
    <row r="230" ht="15.75" customHeight="1" s="239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</row>
    <row r="231" ht="15.75" customHeight="1" s="239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</row>
    <row r="232" ht="15.75" customHeight="1" s="239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</row>
    <row r="233" ht="15.75" customHeight="1" s="239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</row>
    <row r="234" ht="15.75" customHeight="1" s="239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</row>
    <row r="235" ht="15.75" customHeight="1" s="239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</row>
    <row r="236" ht="15.75" customHeight="1" s="239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</row>
    <row r="237" ht="15.75" customHeight="1" s="239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</row>
    <row r="238" ht="15.75" customHeight="1" s="239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</row>
    <row r="239" ht="15.75" customHeight="1" s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</row>
    <row r="240" ht="15.75" customHeight="1" s="239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</row>
    <row r="241" ht="15.75" customHeight="1" s="239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</row>
    <row r="242" ht="15.75" customHeight="1" s="239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</row>
    <row r="243" ht="15.75" customHeight="1" s="239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</row>
    <row r="244" ht="15.75" customHeight="1" s="239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</row>
    <row r="245" ht="15.75" customHeight="1" s="239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</row>
    <row r="246" ht="15.75" customHeight="1" s="239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</row>
    <row r="247" ht="15.75" customHeight="1" s="239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</row>
    <row r="248" ht="15.75" customHeight="1" s="239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</row>
    <row r="249" ht="15.75" customHeight="1" s="23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</row>
    <row r="250" ht="15.75" customHeight="1" s="239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</row>
    <row r="251" ht="15.75" customHeight="1" s="239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</row>
    <row r="252" ht="15.75" customHeight="1" s="239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</row>
    <row r="253" ht="15.75" customHeight="1" s="239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</row>
    <row r="254" ht="15.75" customHeight="1" s="239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</row>
    <row r="255" ht="15.75" customHeight="1" s="239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</row>
    <row r="256" ht="15.75" customHeight="1" s="239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</row>
    <row r="257" ht="15.75" customHeight="1" s="239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</row>
    <row r="258" ht="15.75" customHeight="1" s="239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</row>
    <row r="259" ht="15.75" customHeight="1" s="23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</row>
    <row r="260" ht="15.75" customHeight="1" s="239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</row>
    <row r="261" ht="15.75" customHeight="1" s="239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</row>
    <row r="262" ht="15.75" customHeight="1" s="239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</row>
    <row r="263" ht="15.75" customHeight="1" s="239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</row>
    <row r="264" ht="15.75" customHeight="1" s="239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</row>
    <row r="265" ht="15.75" customHeight="1" s="239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</row>
    <row r="266" ht="15.75" customHeight="1" s="239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</row>
    <row r="267" ht="15.75" customHeight="1" s="239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</row>
    <row r="268" ht="15.75" customHeight="1" s="239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</row>
    <row r="269" ht="15.75" customHeight="1" s="23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</row>
    <row r="270" ht="15.75" customHeight="1" s="239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</row>
    <row r="271" ht="15.75" customHeight="1" s="239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</row>
    <row r="272" ht="15.75" customHeight="1" s="239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</row>
    <row r="273" ht="15.75" customHeight="1" s="239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</row>
    <row r="274" ht="15.75" customHeight="1" s="239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</row>
    <row r="275" ht="15.75" customHeight="1" s="239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</row>
    <row r="276" ht="15.75" customHeight="1" s="239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</row>
    <row r="277" ht="15.75" customHeight="1" s="239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</row>
    <row r="278" ht="15.75" customHeight="1" s="239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</row>
    <row r="279" ht="15.75" customHeight="1" s="23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</row>
    <row r="280" ht="15.75" customHeight="1" s="239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</row>
    <row r="281" ht="15.75" customHeight="1" s="239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</row>
    <row r="282" ht="15.75" customHeight="1" s="239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</row>
    <row r="283" ht="15.75" customHeight="1" s="239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</row>
    <row r="284" ht="15.75" customHeight="1" s="239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</row>
    <row r="285" ht="15.75" customHeight="1" s="239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</row>
    <row r="286" ht="15.75" customHeight="1" s="239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</row>
    <row r="287" ht="15.75" customHeight="1" s="239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</row>
    <row r="288" ht="15.75" customHeight="1" s="239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</row>
    <row r="289" ht="15.75" customHeight="1" s="23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</row>
    <row r="290" ht="15.75" customHeight="1" s="239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</row>
    <row r="291" ht="15.75" customHeight="1" s="239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</row>
    <row r="292" ht="15.75" customHeight="1" s="239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</row>
    <row r="293" ht="15.75" customHeight="1" s="239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</row>
    <row r="294" ht="15.75" customHeight="1" s="239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</row>
    <row r="295" ht="15.75" customHeight="1" s="239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</row>
    <row r="296" ht="15.75" customHeight="1" s="239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</row>
    <row r="297" ht="15.75" customHeight="1" s="239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</row>
    <row r="298" ht="15.75" customHeight="1" s="239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</row>
    <row r="299" ht="15.75" customHeight="1" s="23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</row>
    <row r="300" ht="15.75" customHeight="1" s="239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</row>
    <row r="301" ht="15.75" customHeight="1" s="239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</row>
    <row r="302" ht="15.75" customHeight="1" s="239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</row>
    <row r="303" ht="15.75" customHeight="1" s="239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</row>
    <row r="304" ht="15.75" customHeight="1" s="239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</row>
    <row r="305" ht="15.75" customHeight="1" s="239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</row>
    <row r="306" ht="15.75" customHeight="1" s="239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</row>
    <row r="307" ht="15.75" customHeight="1" s="239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</row>
    <row r="308" ht="15.75" customHeight="1" s="239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</row>
    <row r="309" ht="15.75" customHeight="1" s="23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</row>
    <row r="310" ht="15.75" customHeight="1" s="239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</row>
    <row r="311" ht="15.75" customHeight="1" s="239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</row>
    <row r="312" ht="15.75" customHeight="1" s="239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</row>
    <row r="313" ht="15.75" customHeight="1" s="239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</row>
    <row r="314" ht="15.75" customHeight="1" s="239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</row>
    <row r="315" ht="15.75" customHeight="1" s="239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</row>
    <row r="316" ht="15.75" customHeight="1" s="239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</row>
    <row r="317" ht="15.75" customHeight="1" s="239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</row>
    <row r="318" ht="15.75" customHeight="1" s="239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</row>
    <row r="319" ht="15.75" customHeight="1" s="23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</row>
    <row r="320" ht="15.75" customHeight="1" s="239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</row>
    <row r="321" ht="15.75" customHeight="1" s="239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</row>
    <row r="322" ht="15.75" customHeight="1" s="239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</row>
    <row r="323" ht="15.75" customHeight="1" s="239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</row>
    <row r="324" ht="15.75" customHeight="1" s="239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</row>
    <row r="325" ht="15.75" customHeight="1" s="239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</row>
    <row r="326" ht="15.75" customHeight="1" s="239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</row>
    <row r="327" ht="15.75" customHeight="1" s="239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</row>
    <row r="328" ht="15.75" customHeight="1" s="239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</row>
    <row r="329" ht="15.75" customHeight="1" s="23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</row>
    <row r="330" ht="15.75" customHeight="1" s="239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</row>
    <row r="331" ht="15.75" customHeight="1" s="239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</row>
    <row r="332" ht="15.75" customHeight="1" s="239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</row>
    <row r="333" ht="15.75" customHeight="1" s="239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</row>
    <row r="334" ht="15.75" customHeight="1" s="239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</row>
    <row r="335" ht="15.75" customHeight="1" s="239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</row>
    <row r="336" ht="15.75" customHeight="1" s="239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</row>
    <row r="337" ht="15.75" customHeight="1" s="239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</row>
    <row r="338" ht="15.75" customHeight="1" s="239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</row>
    <row r="339" ht="15.75" customHeight="1" s="2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</row>
    <row r="340" ht="15.75" customHeight="1" s="239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</row>
    <row r="341" ht="15.75" customHeight="1" s="239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</row>
    <row r="342" ht="15.75" customHeight="1" s="239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</row>
    <row r="343" ht="15.75" customHeight="1" s="239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</row>
    <row r="344" ht="15.75" customHeight="1" s="239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</row>
    <row r="345" ht="15.75" customHeight="1" s="239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</row>
    <row r="346" ht="15.75" customHeight="1" s="239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</row>
    <row r="347" ht="15.75" customHeight="1" s="239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</row>
    <row r="348" ht="15.75" customHeight="1" s="239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</row>
    <row r="349" ht="15.75" customHeight="1" s="23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</row>
    <row r="350" ht="15.75" customHeight="1" s="239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</row>
    <row r="351" ht="15.75" customHeight="1" s="239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</row>
    <row r="352" ht="15.75" customHeight="1" s="239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</row>
    <row r="353" ht="15.75" customHeight="1" s="239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</row>
    <row r="354" ht="15.75" customHeight="1" s="239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</row>
    <row r="355" ht="15.75" customHeight="1" s="239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</row>
    <row r="356" ht="15.75" customHeight="1" s="239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</row>
    <row r="357" ht="15.75" customHeight="1" s="239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</row>
    <row r="358" ht="15.75" customHeight="1" s="239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</row>
    <row r="359" ht="15.75" customHeight="1" s="23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</row>
    <row r="360" ht="15.75" customHeight="1" s="239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</row>
    <row r="361" ht="15.75" customHeight="1" s="239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</row>
    <row r="362" ht="15.75" customHeight="1" s="239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</row>
    <row r="363" ht="15.75" customHeight="1" s="239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</row>
    <row r="364" ht="15.75" customHeight="1" s="239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</row>
    <row r="365" ht="15.75" customHeight="1" s="239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</row>
    <row r="366" ht="15.75" customHeight="1" s="239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</row>
    <row r="367" ht="15.75" customHeight="1" s="239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</row>
    <row r="368" ht="15.75" customHeight="1" s="239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</row>
    <row r="369" ht="15.75" customHeight="1" s="23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</row>
    <row r="370" ht="15.75" customHeight="1" s="239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</row>
    <row r="371" ht="15.75" customHeight="1" s="239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</row>
    <row r="372" ht="15.75" customHeight="1" s="239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</row>
    <row r="373" ht="15.75" customHeight="1" s="239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</row>
    <row r="374" ht="15.75" customHeight="1" s="239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</row>
    <row r="375" ht="15.75" customHeight="1" s="239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</row>
    <row r="376" ht="15.75" customHeight="1" s="239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</row>
    <row r="377" ht="15.75" customHeight="1" s="239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</row>
    <row r="378" ht="15.75" customHeight="1" s="239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</row>
    <row r="379" ht="15.75" customHeight="1" s="23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</row>
    <row r="380" ht="15.75" customHeight="1" s="239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</row>
    <row r="381" ht="15.75" customHeight="1" s="239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</row>
    <row r="382" ht="15.75" customHeight="1" s="239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</row>
    <row r="383" ht="15.75" customHeight="1" s="239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</row>
    <row r="384" ht="15.75" customHeight="1" s="239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</row>
    <row r="385" ht="15.75" customHeight="1" s="239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</row>
    <row r="386" ht="15.75" customHeight="1" s="239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</row>
    <row r="387" ht="15.75" customHeight="1" s="239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</row>
    <row r="388" ht="15.75" customHeight="1" s="239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</row>
    <row r="389" ht="15.75" customHeight="1" s="23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</row>
    <row r="390" ht="15.75" customHeight="1" s="239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</row>
    <row r="391" ht="15.75" customHeight="1" s="239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</row>
    <row r="392" ht="15.75" customHeight="1" s="239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</row>
    <row r="393" ht="15.75" customHeight="1" s="239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</row>
    <row r="394" ht="15.75" customHeight="1" s="239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</row>
    <row r="395" ht="15.75" customHeight="1" s="239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</row>
    <row r="396" ht="15.75" customHeight="1" s="239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</row>
    <row r="397" ht="15.75" customHeight="1" s="239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</row>
    <row r="398" ht="15.75" customHeight="1" s="239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</row>
    <row r="399" ht="15.75" customHeight="1" s="23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</row>
    <row r="400" ht="15.75" customHeight="1" s="239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</row>
    <row r="401" ht="15.75" customHeight="1" s="239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</row>
    <row r="402" ht="15.75" customHeight="1" s="239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</row>
    <row r="403" ht="15.75" customHeight="1" s="239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</row>
    <row r="404" ht="15.75" customHeight="1" s="239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</row>
    <row r="405" ht="15.75" customHeight="1" s="239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</row>
    <row r="406" ht="15.75" customHeight="1" s="239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</row>
    <row r="407" ht="15.75" customHeight="1" s="239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</row>
    <row r="408" ht="15.75" customHeight="1" s="239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</row>
    <row r="409" ht="15.75" customHeight="1" s="23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</row>
    <row r="410" ht="15.75" customHeight="1" s="239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</row>
    <row r="411" ht="15.75" customHeight="1" s="239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</row>
    <row r="412" ht="15.75" customHeight="1" s="239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</row>
    <row r="413" ht="15.75" customHeight="1" s="239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</row>
    <row r="414" ht="15.75" customHeight="1" s="239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</row>
    <row r="415" ht="15.75" customHeight="1" s="239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</row>
    <row r="416" ht="15.75" customHeight="1" s="239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</row>
    <row r="417" ht="15.75" customHeight="1" s="239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</row>
    <row r="418" ht="15.75" customHeight="1" s="239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</row>
    <row r="419" ht="15.75" customHeight="1" s="23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</row>
    <row r="420" ht="15.75" customHeight="1" s="239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</row>
    <row r="421" ht="15.75" customHeight="1" s="239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</row>
    <row r="422" ht="15.75" customHeight="1" s="239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</row>
    <row r="423" ht="15.75" customHeight="1" s="239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</row>
    <row r="424" ht="15.75" customHeight="1" s="239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</row>
    <row r="425" ht="15.75" customHeight="1" s="239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</row>
    <row r="426" ht="15.75" customHeight="1" s="239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</row>
    <row r="427" ht="15.75" customHeight="1" s="239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</row>
    <row r="428" ht="15.75" customHeight="1" s="239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</row>
    <row r="429" ht="15.75" customHeight="1" s="23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</row>
    <row r="430" ht="15.75" customHeight="1" s="239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</row>
    <row r="431" ht="15.75" customHeight="1" s="239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</row>
    <row r="432" ht="15.75" customHeight="1" s="239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</row>
    <row r="433" ht="15.75" customHeight="1" s="239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</row>
    <row r="434" ht="15.75" customHeight="1" s="239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</row>
    <row r="435" ht="15.75" customHeight="1" s="239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</row>
    <row r="436" ht="15.75" customHeight="1" s="239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</row>
    <row r="437" ht="15.75" customHeight="1" s="239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</row>
    <row r="438" ht="15.75" customHeight="1" s="239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</row>
    <row r="439" ht="15.75" customHeight="1" s="2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</row>
    <row r="440" ht="15.75" customHeight="1" s="239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</row>
    <row r="441" ht="15.75" customHeight="1" s="239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</row>
    <row r="442" ht="15.75" customHeight="1" s="239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</row>
    <row r="443" ht="15.75" customHeight="1" s="239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</row>
    <row r="444" ht="15.75" customHeight="1" s="239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</row>
    <row r="445" ht="15.75" customHeight="1" s="239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</row>
    <row r="446" ht="15.75" customHeight="1" s="239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</row>
    <row r="447" ht="15.75" customHeight="1" s="239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</row>
    <row r="448" ht="15.75" customHeight="1" s="239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</row>
    <row r="449" ht="15.75" customHeight="1" s="23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</row>
    <row r="450" ht="15.75" customHeight="1" s="239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</row>
    <row r="451" ht="15.75" customHeight="1" s="239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</row>
    <row r="452" ht="15.75" customHeight="1" s="239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</row>
    <row r="453" ht="15.75" customHeight="1" s="239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</row>
    <row r="454" ht="15.75" customHeight="1" s="239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</row>
    <row r="455" ht="15.75" customHeight="1" s="239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</row>
    <row r="456" ht="15.75" customHeight="1" s="239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</row>
    <row r="457" ht="15.75" customHeight="1" s="239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</row>
    <row r="458" ht="15.75" customHeight="1" s="239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</row>
    <row r="459" ht="15.75" customHeight="1" s="23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</row>
    <row r="460" ht="15.75" customHeight="1" s="239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</row>
    <row r="461" ht="15.75" customHeight="1" s="239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</row>
    <row r="462" ht="15.75" customHeight="1" s="239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</row>
    <row r="463" ht="15.75" customHeight="1" s="239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</row>
    <row r="464" ht="15.75" customHeight="1" s="239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</row>
    <row r="465" ht="15.75" customHeight="1" s="239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</row>
    <row r="466" ht="15.75" customHeight="1" s="239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</row>
    <row r="467" ht="15.75" customHeight="1" s="239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</row>
    <row r="468" ht="15.75" customHeight="1" s="239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</row>
    <row r="469" ht="15.75" customHeight="1" s="23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</row>
    <row r="470" ht="15.75" customHeight="1" s="239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</row>
    <row r="471" ht="15.75" customHeight="1" s="239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</row>
    <row r="472" ht="15.75" customHeight="1" s="239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</row>
    <row r="473" ht="15.75" customHeight="1" s="239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</row>
    <row r="474" ht="15.75" customHeight="1" s="239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</row>
    <row r="475" ht="15.75" customHeight="1" s="239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</row>
    <row r="476" ht="15.75" customHeight="1" s="239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</row>
    <row r="477" ht="15.75" customHeight="1" s="239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</row>
    <row r="478" ht="15.75" customHeight="1" s="239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</row>
    <row r="479" ht="15.75" customHeight="1" s="23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</row>
    <row r="480" ht="15.75" customHeight="1" s="239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</row>
    <row r="481" ht="15.75" customHeight="1" s="239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</row>
    <row r="482" ht="15.75" customHeight="1" s="239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</row>
    <row r="483" ht="15.75" customHeight="1" s="239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</row>
    <row r="484" ht="15.75" customHeight="1" s="239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</row>
    <row r="485" ht="15.75" customHeight="1" s="239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</row>
    <row r="486" ht="15.75" customHeight="1" s="239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</row>
    <row r="487" ht="15.75" customHeight="1" s="239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</row>
    <row r="488" ht="15.75" customHeight="1" s="239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</row>
    <row r="489" ht="15.75" customHeight="1" s="23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</row>
    <row r="490" ht="15.75" customHeight="1" s="239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</row>
    <row r="491" ht="15.75" customHeight="1" s="239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</row>
    <row r="492" ht="15.75" customHeight="1" s="239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</row>
    <row r="493" ht="15.75" customHeight="1" s="239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</row>
    <row r="494" ht="15.75" customHeight="1" s="239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</row>
    <row r="495" ht="15.75" customHeight="1" s="239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</row>
    <row r="496" ht="15.75" customHeight="1" s="239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</row>
    <row r="497" ht="15.75" customHeight="1" s="239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</row>
    <row r="498" ht="15.75" customHeight="1" s="239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</row>
    <row r="499" ht="15.75" customHeight="1" s="23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</row>
    <row r="500" ht="15.75" customHeight="1" s="239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</row>
    <row r="501" ht="15.75" customHeight="1" s="239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</row>
    <row r="502" ht="15.75" customHeight="1" s="239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</row>
    <row r="503" ht="15.75" customHeight="1" s="239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</row>
    <row r="504" ht="15.75" customHeight="1" s="239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</row>
    <row r="505" ht="15.75" customHeight="1" s="239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</row>
    <row r="506" ht="15.75" customHeight="1" s="239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</row>
    <row r="507" ht="15.75" customHeight="1" s="239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</row>
    <row r="508" ht="15.75" customHeight="1" s="239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</row>
    <row r="509" ht="15.75" customHeight="1" s="23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</row>
    <row r="510" ht="15.75" customHeight="1" s="239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</row>
    <row r="511" ht="15.75" customHeight="1" s="239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</row>
    <row r="512" ht="15.75" customHeight="1" s="239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</row>
    <row r="513" ht="15.75" customHeight="1" s="239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</row>
    <row r="514" ht="15.75" customHeight="1" s="239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</row>
    <row r="515" ht="15.75" customHeight="1" s="239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</row>
    <row r="516" ht="15.75" customHeight="1" s="239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</row>
    <row r="517" ht="15.75" customHeight="1" s="239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</row>
    <row r="518" ht="15.75" customHeight="1" s="239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</row>
    <row r="519" ht="15.75" customHeight="1" s="23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</row>
    <row r="520" ht="15.75" customHeight="1" s="239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</row>
    <row r="521" ht="15.75" customHeight="1" s="239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</row>
    <row r="522" ht="15.75" customHeight="1" s="239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</row>
    <row r="523" ht="15.75" customHeight="1" s="239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</row>
    <row r="524" ht="15.75" customHeight="1" s="239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</row>
    <row r="525" ht="15.75" customHeight="1" s="239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</row>
    <row r="526" ht="15.75" customHeight="1" s="239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</row>
    <row r="527" ht="15.75" customHeight="1" s="239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</row>
    <row r="528" ht="15.75" customHeight="1" s="239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</row>
    <row r="529" ht="15.75" customHeight="1" s="23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</row>
    <row r="530" ht="15.75" customHeight="1" s="239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</row>
    <row r="531" ht="15.75" customHeight="1" s="239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</row>
    <row r="532" ht="15.75" customHeight="1" s="239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</row>
    <row r="533" ht="15.75" customHeight="1" s="239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</row>
    <row r="534" ht="15.75" customHeight="1" s="239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</row>
    <row r="535" ht="15.75" customHeight="1" s="239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</row>
    <row r="536" ht="15.75" customHeight="1" s="239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</row>
    <row r="537" ht="15.75" customHeight="1" s="239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</row>
    <row r="538" ht="15.75" customHeight="1" s="239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</row>
    <row r="539" ht="15.75" customHeight="1" s="2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</row>
    <row r="540" ht="15.75" customHeight="1" s="239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</row>
    <row r="541" ht="15.75" customHeight="1" s="239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</row>
    <row r="542" ht="15.75" customHeight="1" s="239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</row>
    <row r="543" ht="15.75" customHeight="1" s="239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</row>
    <row r="544" ht="15.75" customHeight="1" s="239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</row>
    <row r="545" ht="15.75" customHeight="1" s="239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</row>
    <row r="546" ht="15.75" customHeight="1" s="239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</row>
    <row r="547" ht="15.75" customHeight="1" s="239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</row>
    <row r="548" ht="15.75" customHeight="1" s="239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</row>
    <row r="549" ht="15.75" customHeight="1" s="23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</row>
    <row r="550" ht="15.75" customHeight="1" s="239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</row>
    <row r="551" ht="15.75" customHeight="1" s="239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</row>
    <row r="552" ht="15.75" customHeight="1" s="239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</row>
    <row r="553" ht="15.75" customHeight="1" s="239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</row>
    <row r="554" ht="15.75" customHeight="1" s="239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</row>
    <row r="555" ht="15.75" customHeight="1" s="239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</row>
    <row r="556" ht="15.75" customHeight="1" s="239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</row>
    <row r="557" ht="15.75" customHeight="1" s="239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</row>
    <row r="558" ht="15.75" customHeight="1" s="239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</row>
    <row r="559" ht="15.75" customHeight="1" s="23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</row>
    <row r="560" ht="15.75" customHeight="1" s="239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</row>
    <row r="561" ht="15.75" customHeight="1" s="239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</row>
    <row r="562" ht="15.75" customHeight="1" s="239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</row>
    <row r="563" ht="15.75" customHeight="1" s="239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</row>
    <row r="564" ht="15.75" customHeight="1" s="239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</row>
    <row r="565" ht="15.75" customHeight="1" s="239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</row>
    <row r="566" ht="15.75" customHeight="1" s="239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</row>
    <row r="567" ht="15.75" customHeight="1" s="239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</row>
    <row r="568" ht="15.75" customHeight="1" s="239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</row>
    <row r="569" ht="15.75" customHeight="1" s="23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</row>
    <row r="570" ht="15.75" customHeight="1" s="239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</row>
    <row r="571" ht="15.75" customHeight="1" s="239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</row>
    <row r="572" ht="15.75" customHeight="1" s="239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</row>
    <row r="573" ht="15.75" customHeight="1" s="239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</row>
    <row r="574" ht="15.75" customHeight="1" s="239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</row>
    <row r="575" ht="15.75" customHeight="1" s="239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</row>
    <row r="576" ht="15.75" customHeight="1" s="239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</row>
    <row r="577" ht="15.75" customHeight="1" s="239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</row>
    <row r="578" ht="15.75" customHeight="1" s="239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</row>
    <row r="579" ht="15.75" customHeight="1" s="23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</row>
    <row r="580" ht="15.75" customHeight="1" s="239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</row>
    <row r="581" ht="15.75" customHeight="1" s="239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</row>
    <row r="582" ht="15.75" customHeight="1" s="239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</row>
    <row r="583" ht="15.75" customHeight="1" s="239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</row>
    <row r="584" ht="15.75" customHeight="1" s="239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</row>
    <row r="585" ht="15.75" customHeight="1" s="239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</row>
    <row r="586" ht="15.75" customHeight="1" s="239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</row>
    <row r="587" ht="15.75" customHeight="1" s="239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</row>
    <row r="588" ht="15.75" customHeight="1" s="239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</row>
    <row r="589" ht="15.75" customHeight="1" s="23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</row>
    <row r="590" ht="15.75" customHeight="1" s="239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</row>
    <row r="591" ht="15.75" customHeight="1" s="239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</row>
    <row r="592" ht="15.75" customHeight="1" s="239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</row>
    <row r="593" ht="15.75" customHeight="1" s="239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</row>
    <row r="594" ht="15.75" customHeight="1" s="239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</row>
    <row r="595" ht="15.75" customHeight="1" s="239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</row>
    <row r="596" ht="15.75" customHeight="1" s="239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</row>
    <row r="597" ht="15.75" customHeight="1" s="239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</row>
    <row r="598" ht="15.75" customHeight="1" s="239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</row>
    <row r="599" ht="15.75" customHeight="1" s="23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</row>
    <row r="600" ht="15.75" customHeight="1" s="239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</row>
    <row r="601" ht="15.75" customHeight="1" s="239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</row>
    <row r="602" ht="15.75" customHeight="1" s="239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</row>
    <row r="603" ht="15.75" customHeight="1" s="239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</row>
    <row r="604" ht="15.75" customHeight="1" s="239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</row>
    <row r="605" ht="15.75" customHeight="1" s="239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</row>
    <row r="606" ht="15.75" customHeight="1" s="239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</row>
    <row r="607" ht="15.75" customHeight="1" s="239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</row>
    <row r="608" ht="15.75" customHeight="1" s="239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</row>
    <row r="609" ht="15.75" customHeight="1" s="23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</row>
    <row r="610" ht="15.75" customHeight="1" s="239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</row>
    <row r="611" ht="15.75" customHeight="1" s="239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</row>
    <row r="612" ht="15.75" customHeight="1" s="239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</row>
    <row r="613" ht="15.75" customHeight="1" s="239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</row>
    <row r="614" ht="15.75" customHeight="1" s="239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</row>
    <row r="615" ht="15.75" customHeight="1" s="239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</row>
    <row r="616" ht="15.75" customHeight="1" s="239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</row>
    <row r="617" ht="15.75" customHeight="1" s="239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</row>
    <row r="618" ht="15.75" customHeight="1" s="239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</row>
    <row r="619" ht="15.75" customHeight="1" s="23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</row>
    <row r="620" ht="15.75" customHeight="1" s="239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</row>
    <row r="621" ht="15.75" customHeight="1" s="239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</row>
    <row r="622" ht="15.75" customHeight="1" s="239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</row>
    <row r="623" ht="15.75" customHeight="1" s="239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</row>
    <row r="624" ht="15.75" customHeight="1" s="239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</row>
    <row r="625" ht="15.75" customHeight="1" s="239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</row>
    <row r="626" ht="15.75" customHeight="1" s="239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</row>
    <row r="627" ht="15.75" customHeight="1" s="239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</row>
    <row r="628" ht="15.75" customHeight="1" s="239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</row>
    <row r="629" ht="15.75" customHeight="1" s="23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</row>
    <row r="630" ht="15.75" customHeight="1" s="239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</row>
    <row r="631" ht="15.75" customHeight="1" s="239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</row>
    <row r="632" ht="15.75" customHeight="1" s="239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</row>
    <row r="633" ht="15.75" customHeight="1" s="239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</row>
    <row r="634" ht="15.75" customHeight="1" s="239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</row>
    <row r="635" ht="15.75" customHeight="1" s="239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</row>
    <row r="636" ht="15.75" customHeight="1" s="239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</row>
    <row r="637" ht="15.75" customHeight="1" s="239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</row>
    <row r="638" ht="15.75" customHeight="1" s="239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</row>
    <row r="639" ht="15.75" customHeight="1" s="2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</row>
    <row r="640" ht="15.75" customHeight="1" s="239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</row>
    <row r="641" ht="15.75" customHeight="1" s="239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</row>
    <row r="642" ht="15.75" customHeight="1" s="239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</row>
    <row r="643" ht="15.75" customHeight="1" s="239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</row>
    <row r="644" ht="15.75" customHeight="1" s="239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</row>
    <row r="645" ht="15.75" customHeight="1" s="239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</row>
    <row r="646" ht="15.75" customHeight="1" s="239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</row>
    <row r="647" ht="15.75" customHeight="1" s="239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</row>
    <row r="648" ht="15.75" customHeight="1" s="239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</row>
    <row r="649" ht="15.75" customHeight="1" s="23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</row>
    <row r="650" ht="15.75" customHeight="1" s="239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</row>
    <row r="651" ht="15.75" customHeight="1" s="239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</row>
    <row r="652" ht="15.75" customHeight="1" s="239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</row>
    <row r="653" ht="15.75" customHeight="1" s="239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</row>
    <row r="654" ht="15.75" customHeight="1" s="239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</row>
    <row r="655" ht="15.75" customHeight="1" s="239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</row>
    <row r="656" ht="15.75" customHeight="1" s="239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</row>
    <row r="657" ht="15.75" customHeight="1" s="239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</row>
    <row r="658" ht="15.75" customHeight="1" s="239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</row>
    <row r="659" ht="15.75" customHeight="1" s="23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</row>
    <row r="660" ht="15.75" customHeight="1" s="239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</row>
    <row r="661" ht="15.75" customHeight="1" s="239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</row>
    <row r="662" ht="15.75" customHeight="1" s="239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</row>
    <row r="663" ht="15.75" customHeight="1" s="239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</row>
    <row r="664" ht="15.75" customHeight="1" s="239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</row>
    <row r="665" ht="15.75" customHeight="1" s="239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</row>
    <row r="666" ht="15.75" customHeight="1" s="239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</row>
    <row r="667" ht="15.75" customHeight="1" s="239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</row>
    <row r="668" ht="15.75" customHeight="1" s="239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</row>
    <row r="669" ht="15.75" customHeight="1" s="23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</row>
    <row r="670" ht="15.75" customHeight="1" s="239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</row>
    <row r="671" ht="15.75" customHeight="1" s="239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</row>
    <row r="672" ht="15.75" customHeight="1" s="239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</row>
    <row r="673" ht="15.75" customHeight="1" s="239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</row>
    <row r="674" ht="15.75" customHeight="1" s="239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</row>
    <row r="675" ht="15.75" customHeight="1" s="239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</row>
    <row r="676" ht="15.75" customHeight="1" s="239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</row>
    <row r="677" ht="15.75" customHeight="1" s="239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</row>
    <row r="678" ht="15.75" customHeight="1" s="239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</row>
    <row r="679" ht="15.75" customHeight="1" s="23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</row>
    <row r="680" ht="15.75" customHeight="1" s="239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</row>
    <row r="681" ht="15.75" customHeight="1" s="239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</row>
    <row r="682" ht="15.75" customHeight="1" s="239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</row>
    <row r="683" ht="15.75" customHeight="1" s="239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</row>
    <row r="684" ht="15.75" customHeight="1" s="239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</row>
    <row r="685" ht="15.75" customHeight="1" s="239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</row>
    <row r="686" ht="15.75" customHeight="1" s="239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</row>
    <row r="687" ht="15.75" customHeight="1" s="239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</row>
    <row r="688" ht="15.75" customHeight="1" s="239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</row>
    <row r="689" ht="15.75" customHeight="1" s="23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</row>
    <row r="690" ht="15.75" customHeight="1" s="239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</row>
    <row r="691" ht="15.75" customHeight="1" s="239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</row>
    <row r="692" ht="15.75" customHeight="1" s="239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</row>
    <row r="693" ht="15.75" customHeight="1" s="239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</row>
    <row r="694" ht="15.75" customHeight="1" s="239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</row>
    <row r="695" ht="15.75" customHeight="1" s="239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</row>
    <row r="696" ht="15.75" customHeight="1" s="239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</row>
    <row r="697" ht="15.75" customHeight="1" s="239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</row>
    <row r="698" ht="15.75" customHeight="1" s="239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</row>
    <row r="699" ht="15.75" customHeight="1" s="23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</row>
    <row r="700" ht="15.75" customHeight="1" s="239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</row>
    <row r="701" ht="15.75" customHeight="1" s="239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</row>
    <row r="702" ht="15.75" customHeight="1" s="239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</row>
    <row r="703" ht="15.75" customHeight="1" s="239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</row>
    <row r="704" ht="15.75" customHeight="1" s="239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</row>
    <row r="705" ht="15.75" customHeight="1" s="239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</row>
    <row r="706" ht="15.75" customHeight="1" s="239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</row>
    <row r="707" ht="15.75" customHeight="1" s="239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</row>
    <row r="708" ht="15.75" customHeight="1" s="239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</row>
    <row r="709" ht="15.75" customHeight="1" s="23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</row>
    <row r="710" ht="15.75" customHeight="1" s="239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</row>
    <row r="711" ht="15.75" customHeight="1" s="239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</row>
    <row r="712" ht="15.75" customHeight="1" s="239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</row>
    <row r="713" ht="15.75" customHeight="1" s="239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</row>
    <row r="714" ht="15.75" customHeight="1" s="239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</row>
    <row r="715" ht="15.75" customHeight="1" s="239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</row>
    <row r="716" ht="15.75" customHeight="1" s="239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</row>
    <row r="717" ht="15.75" customHeight="1" s="239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</row>
    <row r="718" ht="15.75" customHeight="1" s="239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</row>
    <row r="719" ht="15.75" customHeight="1" s="23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</row>
    <row r="720" ht="15.75" customHeight="1" s="239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</row>
    <row r="721" ht="15.75" customHeight="1" s="239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</row>
    <row r="722" ht="15.75" customHeight="1" s="239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</row>
    <row r="723" ht="15.75" customHeight="1" s="239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</row>
    <row r="724" ht="15.75" customHeight="1" s="239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</row>
    <row r="725" ht="15.75" customHeight="1" s="239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</row>
    <row r="726" ht="15.75" customHeight="1" s="239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</row>
    <row r="727" ht="15.75" customHeight="1" s="239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</row>
    <row r="728" ht="15.75" customHeight="1" s="239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</row>
    <row r="729" ht="15.75" customHeight="1" s="23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</row>
    <row r="730" ht="15.75" customHeight="1" s="239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</row>
    <row r="731" ht="15.75" customHeight="1" s="239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</row>
    <row r="732" ht="15.75" customHeight="1" s="239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</row>
    <row r="733" ht="15.75" customHeight="1" s="239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</row>
    <row r="734" ht="15.75" customHeight="1" s="239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</row>
    <row r="735" ht="15.75" customHeight="1" s="239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</row>
    <row r="736" ht="15.75" customHeight="1" s="239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</row>
    <row r="737" ht="15.75" customHeight="1" s="239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</row>
    <row r="738" ht="15.75" customHeight="1" s="239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</row>
    <row r="739" ht="15.75" customHeight="1" s="2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</row>
    <row r="740" ht="15.75" customHeight="1" s="239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</row>
    <row r="741" ht="15.75" customHeight="1" s="239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</row>
    <row r="742" ht="15.75" customHeight="1" s="239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</row>
    <row r="743" ht="15.75" customHeight="1" s="239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</row>
    <row r="744" ht="15.75" customHeight="1" s="239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</row>
    <row r="745" ht="15.75" customHeight="1" s="239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</row>
    <row r="746" ht="15.75" customHeight="1" s="239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</row>
    <row r="747" ht="15.75" customHeight="1" s="239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</row>
    <row r="748" ht="15.75" customHeight="1" s="239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</row>
    <row r="749" ht="15.75" customHeight="1" s="23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</row>
    <row r="750" ht="15.75" customHeight="1" s="239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</row>
    <row r="751" ht="15.75" customHeight="1" s="239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</row>
    <row r="752" ht="15.75" customHeight="1" s="239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</row>
    <row r="753" ht="15.75" customHeight="1" s="239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</row>
    <row r="754" ht="15.75" customHeight="1" s="239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</row>
    <row r="755" ht="15.75" customHeight="1" s="239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</row>
    <row r="756" ht="15.75" customHeight="1" s="239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</row>
    <row r="757" ht="15.75" customHeight="1" s="239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</row>
    <row r="758" ht="15.75" customHeight="1" s="239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</row>
    <row r="759" ht="15.75" customHeight="1" s="23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</row>
    <row r="760" ht="15.75" customHeight="1" s="239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</row>
    <row r="761" ht="15.75" customHeight="1" s="239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</row>
    <row r="762" ht="15.75" customHeight="1" s="239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</row>
    <row r="763" ht="15.75" customHeight="1" s="239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</row>
    <row r="764" ht="15.75" customHeight="1" s="239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</row>
    <row r="765" ht="15.75" customHeight="1" s="239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</row>
    <row r="766" ht="15.75" customHeight="1" s="239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</row>
    <row r="767" ht="15.75" customHeight="1" s="239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</row>
    <row r="768" ht="15.75" customHeight="1" s="239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</row>
    <row r="769" ht="15.75" customHeight="1" s="23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</row>
    <row r="770" ht="15.75" customHeight="1" s="239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</row>
    <row r="771" ht="15.75" customHeight="1" s="239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</row>
    <row r="772" ht="15.75" customHeight="1" s="239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</row>
    <row r="773" ht="15.75" customHeight="1" s="239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</row>
    <row r="774" ht="15.75" customHeight="1" s="239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</row>
    <row r="775" ht="15.75" customHeight="1" s="239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</row>
    <row r="776" ht="15.75" customHeight="1" s="239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</row>
    <row r="777" ht="15.75" customHeight="1" s="239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</row>
    <row r="778" ht="15.75" customHeight="1" s="239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</row>
    <row r="779" ht="15.75" customHeight="1" s="23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</row>
    <row r="780" ht="15.75" customHeight="1" s="239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</row>
    <row r="781" ht="15.75" customHeight="1" s="239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</row>
    <row r="782" ht="15.75" customHeight="1" s="239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</row>
    <row r="783" ht="15.75" customHeight="1" s="239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</row>
    <row r="784" ht="15.75" customHeight="1" s="239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</row>
    <row r="785" ht="15.75" customHeight="1" s="239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</row>
    <row r="786" ht="15.75" customHeight="1" s="239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</row>
    <row r="787" ht="15.75" customHeight="1" s="239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</row>
    <row r="788" ht="15.75" customHeight="1" s="239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</row>
    <row r="789" ht="15.75" customHeight="1" s="23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</row>
    <row r="790" ht="15.75" customHeight="1" s="239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</row>
    <row r="791" ht="15.75" customHeight="1" s="239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</row>
    <row r="792" ht="15.75" customHeight="1" s="239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</row>
    <row r="793" ht="15.75" customHeight="1" s="239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</row>
    <row r="794" ht="15.75" customHeight="1" s="239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</row>
    <row r="795" ht="15.75" customHeight="1" s="239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</row>
    <row r="796" ht="15.75" customHeight="1" s="239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</row>
    <row r="797" ht="15.75" customHeight="1" s="239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</row>
    <row r="798" ht="15.75" customHeight="1" s="239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</row>
    <row r="799" ht="15.75" customHeight="1" s="23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</row>
    <row r="800" ht="15.75" customHeight="1" s="239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</row>
    <row r="801" ht="15.75" customHeight="1" s="239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</row>
    <row r="802" ht="15.75" customHeight="1" s="239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</row>
    <row r="803" ht="15.75" customHeight="1" s="239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</row>
    <row r="804" ht="15.75" customHeight="1" s="239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</row>
    <row r="805" ht="15.75" customHeight="1" s="239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</row>
    <row r="806" ht="15.75" customHeight="1" s="239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</row>
    <row r="807" ht="15.75" customHeight="1" s="239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</row>
    <row r="808" ht="15.75" customHeight="1" s="239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</row>
    <row r="809" ht="15.75" customHeight="1" s="23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</row>
    <row r="810" ht="15.75" customHeight="1" s="239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</row>
    <row r="811" ht="15.75" customHeight="1" s="239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</row>
    <row r="812" ht="15.75" customHeight="1" s="239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</row>
    <row r="813" ht="15.75" customHeight="1" s="239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</row>
    <row r="814" ht="15.75" customHeight="1" s="239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</row>
    <row r="815" ht="15.75" customHeight="1" s="239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</row>
    <row r="816" ht="15.75" customHeight="1" s="239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</row>
    <row r="817" ht="15.75" customHeight="1" s="239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</row>
    <row r="818" ht="15.75" customHeight="1" s="239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</row>
    <row r="819" ht="15.75" customHeight="1" s="23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</row>
    <row r="820" ht="15.75" customHeight="1" s="239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</row>
    <row r="821" ht="15.75" customHeight="1" s="239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</row>
    <row r="822" ht="15.75" customHeight="1" s="239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</row>
    <row r="823" ht="15.75" customHeight="1" s="239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</row>
    <row r="824" ht="15.75" customHeight="1" s="239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</row>
    <row r="825" ht="15.75" customHeight="1" s="239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</row>
    <row r="826" ht="15.75" customHeight="1" s="239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</row>
    <row r="827" ht="15.75" customHeight="1" s="239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</row>
    <row r="828" ht="15.75" customHeight="1" s="239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</row>
    <row r="829" ht="15.75" customHeight="1" s="23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</row>
    <row r="830" ht="15.75" customHeight="1" s="239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</row>
    <row r="831" ht="15.75" customHeight="1" s="239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</row>
    <row r="832" ht="15.75" customHeight="1" s="239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</row>
    <row r="833" ht="15.75" customHeight="1" s="239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</row>
    <row r="834" ht="15.75" customHeight="1" s="239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</row>
    <row r="835" ht="15.75" customHeight="1" s="239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</row>
    <row r="836" ht="15.75" customHeight="1" s="239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</row>
    <row r="837" ht="15.75" customHeight="1" s="239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</row>
    <row r="838" ht="15.75" customHeight="1" s="239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</row>
    <row r="839" ht="15.75" customHeight="1" s="2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</row>
    <row r="840" ht="15.75" customHeight="1" s="239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</row>
    <row r="841" ht="15.75" customHeight="1" s="239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</row>
    <row r="842" ht="15.75" customHeight="1" s="239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</row>
    <row r="843" ht="15.75" customHeight="1" s="239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</row>
    <row r="844" ht="15.75" customHeight="1" s="239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</row>
    <row r="845" ht="15.75" customHeight="1" s="239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</row>
    <row r="846" ht="15.75" customHeight="1" s="239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</row>
    <row r="847" ht="15.75" customHeight="1" s="239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</row>
    <row r="848" ht="15.75" customHeight="1" s="239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</row>
    <row r="849" ht="15.75" customHeight="1" s="23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</row>
    <row r="850" ht="15.75" customHeight="1" s="239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</row>
    <row r="851" ht="15.75" customHeight="1" s="239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</row>
    <row r="852" ht="15.75" customHeight="1" s="239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</row>
    <row r="853" ht="15.75" customHeight="1" s="239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</row>
    <row r="854" ht="15.75" customHeight="1" s="239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</row>
    <row r="855" ht="15.75" customHeight="1" s="239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</row>
    <row r="856" ht="15.75" customHeight="1" s="239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</row>
    <row r="857" ht="15.75" customHeight="1" s="239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</row>
    <row r="858" ht="15.75" customHeight="1" s="239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</row>
    <row r="859" ht="15.75" customHeight="1" s="23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</row>
    <row r="860" ht="15.75" customHeight="1" s="239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</row>
    <row r="861" ht="15.75" customHeight="1" s="239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</row>
    <row r="862" ht="15.75" customHeight="1" s="239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</row>
    <row r="863" ht="15.75" customHeight="1" s="239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</row>
    <row r="864" ht="15.75" customHeight="1" s="239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</row>
    <row r="865" ht="15.75" customHeight="1" s="239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</row>
    <row r="866" ht="15.75" customHeight="1" s="239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</row>
    <row r="867" ht="15.75" customHeight="1" s="239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</row>
    <row r="868" ht="15.75" customHeight="1" s="239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</row>
    <row r="869" ht="15.75" customHeight="1" s="23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</row>
    <row r="870" ht="15.75" customHeight="1" s="239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</row>
    <row r="871" ht="15.75" customHeight="1" s="239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</row>
    <row r="872" ht="15.75" customHeight="1" s="239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</row>
    <row r="873" ht="15.75" customHeight="1" s="239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</row>
    <row r="874" ht="15.75" customHeight="1" s="239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</row>
    <row r="875" ht="15.75" customHeight="1" s="239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</row>
    <row r="876" ht="15.75" customHeight="1" s="239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</row>
    <row r="877" ht="15.75" customHeight="1" s="239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</row>
    <row r="878" ht="15.75" customHeight="1" s="239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</row>
    <row r="879" ht="15.75" customHeight="1" s="23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</row>
    <row r="880" ht="15.75" customHeight="1" s="239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</row>
    <row r="881" ht="15.75" customHeight="1" s="239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</row>
    <row r="882" ht="15.75" customHeight="1" s="239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</row>
    <row r="883" ht="15.75" customHeight="1" s="239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</row>
    <row r="884" ht="15.75" customHeight="1" s="239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</row>
    <row r="885" ht="15.75" customHeight="1" s="239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</row>
    <row r="886" ht="15.75" customHeight="1" s="239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</row>
    <row r="887" ht="15.75" customHeight="1" s="239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</row>
    <row r="888" ht="15.75" customHeight="1" s="239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</row>
    <row r="889" ht="15.75" customHeight="1" s="23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</row>
    <row r="890" ht="15.75" customHeight="1" s="239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</row>
    <row r="891" ht="15.75" customHeight="1" s="239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</row>
    <row r="892" ht="15.75" customHeight="1" s="239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</row>
    <row r="893" ht="15.75" customHeight="1" s="239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</row>
    <row r="894" ht="15.75" customHeight="1" s="239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</row>
    <row r="895" ht="15.75" customHeight="1" s="239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</row>
    <row r="896" ht="15.75" customHeight="1" s="239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</row>
    <row r="897" ht="15.75" customHeight="1" s="239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</row>
    <row r="898" ht="15.75" customHeight="1" s="239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</row>
    <row r="899" ht="15.75" customHeight="1" s="23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</row>
    <row r="900" ht="15.75" customHeight="1" s="239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</row>
    <row r="901" ht="15.75" customHeight="1" s="239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</row>
    <row r="902" ht="15.75" customHeight="1" s="239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</row>
    <row r="903" ht="15.75" customHeight="1" s="239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</row>
    <row r="904" ht="15.75" customHeight="1" s="239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</row>
    <row r="905" ht="15.75" customHeight="1" s="239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</row>
    <row r="906" ht="15.75" customHeight="1" s="239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</row>
    <row r="907" ht="15.75" customHeight="1" s="239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</row>
    <row r="908" ht="15.75" customHeight="1" s="239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</row>
    <row r="909" ht="15.75" customHeight="1" s="23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</row>
    <row r="910" ht="15.75" customHeight="1" s="239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</row>
    <row r="911" ht="15.75" customHeight="1" s="239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</row>
    <row r="912" ht="15.75" customHeight="1" s="239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</row>
    <row r="913" ht="15.75" customHeight="1" s="239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</row>
    <row r="914" ht="15.75" customHeight="1" s="239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</row>
    <row r="915" ht="15.75" customHeight="1" s="239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</row>
    <row r="916" ht="15.75" customHeight="1" s="239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</row>
    <row r="917" ht="15.75" customHeight="1" s="239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</row>
    <row r="918" ht="15.75" customHeight="1" s="239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</row>
    <row r="919" ht="15.75" customHeight="1" s="23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</row>
    <row r="920" ht="15.75" customHeight="1" s="239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</row>
    <row r="921" ht="15.75" customHeight="1" s="239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</row>
    <row r="922" ht="15.75" customHeight="1" s="239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</row>
    <row r="923" ht="15.75" customHeight="1" s="239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</row>
    <row r="924" ht="15.75" customHeight="1" s="239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</row>
    <row r="925" ht="15.75" customHeight="1" s="239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</row>
    <row r="926" ht="15.75" customHeight="1" s="239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</row>
    <row r="927" ht="15.75" customHeight="1" s="239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</row>
    <row r="928" ht="15.75" customHeight="1" s="239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</row>
    <row r="929" ht="15.75" customHeight="1" s="23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</row>
    <row r="930" ht="15.75" customHeight="1" s="239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</row>
    <row r="931" ht="15.75" customHeight="1" s="239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</row>
    <row r="932" ht="15.75" customHeight="1" s="239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</row>
    <row r="933" ht="15.75" customHeight="1" s="239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</row>
    <row r="934" ht="15.75" customHeight="1" s="239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</row>
    <row r="935" ht="15.75" customHeight="1" s="239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</row>
    <row r="936" ht="15.75" customHeight="1" s="239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</row>
    <row r="937" ht="15.75" customHeight="1" s="239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</row>
    <row r="938" ht="15.75" customHeight="1" s="239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</row>
    <row r="939" ht="15.75" customHeight="1" s="2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</row>
    <row r="940" ht="15.75" customHeight="1" s="239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</row>
    <row r="941" ht="15.75" customHeight="1" s="239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</row>
    <row r="942" ht="15.75" customHeight="1" s="239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</row>
    <row r="943" ht="15.75" customHeight="1" s="239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</row>
    <row r="944" ht="15.75" customHeight="1" s="239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</row>
    <row r="945" ht="15.75" customHeight="1" s="239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</row>
    <row r="946" ht="15.75" customHeight="1" s="239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</row>
    <row r="947" ht="15.75" customHeight="1" s="239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</row>
    <row r="948" ht="15.75" customHeight="1" s="239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</row>
    <row r="949" ht="15.75" customHeight="1" s="23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</row>
    <row r="950" ht="15.75" customHeight="1" s="239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</row>
    <row r="951" ht="15.75" customHeight="1" s="239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</row>
    <row r="952" ht="15.75" customHeight="1" s="239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</row>
    <row r="953" ht="15.75" customHeight="1" s="239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</row>
    <row r="954" ht="15.75" customHeight="1" s="239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</row>
    <row r="955" ht="15.75" customHeight="1" s="239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</row>
    <row r="956" ht="15.75" customHeight="1" s="239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</row>
    <row r="957" ht="15.75" customHeight="1" s="239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</row>
    <row r="958" ht="15.75" customHeight="1" s="239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</row>
    <row r="959" ht="15.75" customHeight="1" s="23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</row>
    <row r="960" ht="15.75" customHeight="1" s="239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</row>
    <row r="961" ht="15.75" customHeight="1" s="239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</row>
    <row r="962" ht="15.75" customHeight="1" s="239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</row>
    <row r="963" ht="15.75" customHeight="1" s="239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</row>
    <row r="964" ht="15.75" customHeight="1" s="239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</row>
    <row r="965" ht="15.75" customHeight="1" s="239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</row>
    <row r="966" ht="15.75" customHeight="1" s="239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</row>
    <row r="967" ht="15.75" customHeight="1" s="239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</row>
    <row r="968" ht="15.75" customHeight="1" s="239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</row>
    <row r="969" ht="15.75" customHeight="1" s="23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</row>
    <row r="970" ht="15.75" customHeight="1" s="239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</row>
    <row r="971" ht="15.75" customHeight="1" s="239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</row>
    <row r="972" ht="15.75" customHeight="1" s="239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</row>
    <row r="973" ht="15.75" customHeight="1" s="239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</row>
    <row r="974" ht="15.75" customHeight="1" s="239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</row>
    <row r="975" ht="15.75" customHeight="1" s="239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</row>
    <row r="976" ht="15.75" customHeight="1" s="239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</row>
    <row r="977" ht="15.75" customHeight="1" s="239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</row>
    <row r="978" ht="15.75" customHeight="1" s="239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</row>
    <row r="979" ht="15.75" customHeight="1" s="23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</row>
    <row r="980" ht="15.75" customHeight="1" s="239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</row>
    <row r="981" ht="15.75" customHeight="1" s="239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</row>
    <row r="982" ht="15.75" customHeight="1" s="239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</row>
    <row r="983" ht="15.75" customHeight="1" s="239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</row>
    <row r="984" ht="15.75" customHeight="1" s="239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</row>
    <row r="985" ht="15.75" customHeight="1" s="239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</row>
    <row r="986" ht="15.75" customHeight="1" s="239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</row>
    <row r="987" ht="15.75" customHeight="1" s="239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</row>
    <row r="988" ht="15.75" customHeight="1" s="239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</row>
    <row r="989" ht="15.75" customHeight="1" s="23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</row>
    <row r="990" ht="15.75" customHeight="1" s="239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</row>
    <row r="991" ht="15.75" customHeight="1" s="239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</row>
    <row r="992" ht="15.75" customHeight="1" s="239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</row>
    <row r="993" ht="15.75" customHeight="1" s="239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</row>
    <row r="994" ht="15.75" customHeight="1" s="239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</row>
    <row r="995" ht="15.75" customHeight="1" s="239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</row>
    <row r="996" ht="15.75" customHeight="1" s="239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</row>
    <row r="997" ht="15.75" customHeight="1" s="239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</row>
    <row r="998" ht="15.75" customHeight="1" s="239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</row>
    <row r="999" ht="15.75" customHeight="1" s="23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</row>
    <row r="1000" ht="15.75" customHeight="1" s="239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collapsed="1" width="29.63" customWidth="1" style="239" min="1" max="1"/>
    <col hidden="1" outlineLevel="1" width="12.63" customWidth="1" style="239" min="2" max="5"/>
    <col width="15.25" customWidth="1" style="239" min="10" max="10"/>
    <col width="1.88" customWidth="1" style="239" min="14" max="14"/>
  </cols>
  <sheetData>
    <row r="1">
      <c r="A1" s="7">
        <f>"Update to: " &amp; DAY(NOW())</f>
        <v/>
      </c>
      <c r="B1" s="127" t="inlineStr">
        <is>
          <t>Full Month</t>
        </is>
      </c>
      <c r="N1" s="12" t="n"/>
      <c r="O1" s="127" t="inlineStr">
        <is>
          <t>Month to Date</t>
        </is>
      </c>
    </row>
    <row r="2">
      <c r="A2" s="127" t="inlineStr">
        <is>
          <t>Actual</t>
        </is>
      </c>
      <c r="B2" s="16" t="n">
        <v>46023</v>
      </c>
      <c r="C2" s="16" t="n">
        <v>46054</v>
      </c>
      <c r="D2" s="16" t="n">
        <v>46082</v>
      </c>
      <c r="E2" s="16" t="n">
        <v>46113</v>
      </c>
      <c r="F2" s="16" t="n">
        <v>46143</v>
      </c>
      <c r="G2" s="16" t="n">
        <v>46174</v>
      </c>
      <c r="H2" s="16" t="n">
        <v>46204</v>
      </c>
      <c r="I2" s="16" t="n">
        <v>46257</v>
      </c>
      <c r="J2" s="16" t="n">
        <v>46266</v>
      </c>
      <c r="K2" s="16" t="n">
        <v>46296</v>
      </c>
      <c r="L2" s="16" t="n">
        <v>46327</v>
      </c>
      <c r="M2" s="16" t="n">
        <v>46357</v>
      </c>
      <c r="N2" s="164" t="n"/>
      <c r="O2" s="16" t="n">
        <v>46143</v>
      </c>
      <c r="P2" s="16" t="n">
        <v>46174</v>
      </c>
      <c r="Q2" s="16" t="n">
        <v>46204</v>
      </c>
      <c r="R2" s="16" t="n">
        <v>46257</v>
      </c>
      <c r="S2" s="16" t="n">
        <v>46266</v>
      </c>
      <c r="T2" s="16" t="n">
        <v>46296</v>
      </c>
      <c r="U2" s="16" t="n">
        <v>46327</v>
      </c>
      <c r="V2" s="16" t="n">
        <v>46357</v>
      </c>
    </row>
    <row r="3">
      <c r="A3" s="21" t="inlineStr">
        <is>
          <t>Total page views (target)</t>
        </is>
      </c>
      <c r="B3" s="50" t="n"/>
      <c r="C3" s="50" t="n"/>
      <c r="D3" s="50" t="n"/>
      <c r="E3" s="50" t="n"/>
      <c r="F3" s="50">
        <f>Target!F3</f>
        <v/>
      </c>
      <c r="G3" s="50">
        <f>Target!G3</f>
        <v/>
      </c>
      <c r="H3" s="50">
        <f>Target!H3</f>
        <v/>
      </c>
      <c r="I3" s="50">
        <f>Target!I3</f>
        <v/>
      </c>
      <c r="J3" s="50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4" t="n"/>
      <c r="O3" s="164" t="n"/>
      <c r="P3" s="164" t="n"/>
      <c r="Q3" s="164" t="n"/>
      <c r="R3" s="164" t="n"/>
      <c r="S3" s="164" t="n"/>
      <c r="T3" s="164" t="n"/>
      <c r="U3" s="164" t="n"/>
      <c r="V3" s="164" t="n"/>
    </row>
    <row r="4">
      <c r="A4" s="21" t="inlineStr">
        <is>
          <t>% Growth Rate (target)</t>
        </is>
      </c>
      <c r="B4" s="50" t="n"/>
      <c r="C4" s="50" t="n"/>
      <c r="D4" s="50" t="n"/>
      <c r="E4" s="50" t="n"/>
      <c r="F4" s="50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64" t="n"/>
      <c r="O4" s="164" t="n"/>
      <c r="P4" s="164" t="n"/>
      <c r="Q4" s="164" t="n"/>
      <c r="R4" s="164" t="n"/>
      <c r="S4" s="164" t="n"/>
      <c r="T4" s="164" t="n"/>
      <c r="U4" s="164" t="n"/>
      <c r="V4" s="164" t="n"/>
    </row>
    <row r="5">
      <c r="A5" s="37" t="inlineStr">
        <is>
          <t>Total page views (Actual)</t>
        </is>
      </c>
      <c r="B5" s="53" t="n">
        <v>2601280</v>
      </c>
      <c r="C5" s="53" t="n">
        <v>3470470</v>
      </c>
      <c r="D5" s="53" t="n">
        <v>3221705</v>
      </c>
      <c r="E5" s="53" t="n">
        <v>2699883</v>
      </c>
      <c r="F5" s="53">
        <f>'Projects Detail Flow'!L3</f>
        <v/>
      </c>
      <c r="G5" s="53">
        <f>'Projects Detail Flow'!M3</f>
        <v/>
      </c>
      <c r="H5" s="53">
        <f>'Projects Detail Flow'!N3</f>
        <v/>
      </c>
      <c r="I5" s="53">
        <f>'Projects Detail Flow'!O3</f>
        <v/>
      </c>
      <c r="J5" s="53">
        <f>Target!J6</f>
        <v/>
      </c>
      <c r="K5" s="53">
        <f>'Projects Detail Flow'!Q3</f>
        <v/>
      </c>
      <c r="L5" s="53">
        <f>sum(L9:L13)</f>
        <v/>
      </c>
      <c r="M5" s="53">
        <f>sum(M9:M13)</f>
        <v/>
      </c>
      <c r="N5" s="164" t="n"/>
      <c r="O5" s="50">
        <f>sum(O9:O13)</f>
        <v/>
      </c>
      <c r="P5" s="50">
        <f>sum(P9:P13)</f>
        <v/>
      </c>
      <c r="Q5" s="50">
        <f>sum(Q9:Q13)</f>
        <v/>
      </c>
      <c r="R5" s="50">
        <f>sum(R9:R13)</f>
        <v/>
      </c>
      <c r="S5" s="50">
        <f>'Projects Detail Flow'!F3</f>
        <v/>
      </c>
      <c r="T5" s="50">
        <f>sum(T9:T13)</f>
        <v/>
      </c>
      <c r="U5" s="164">
        <f>sum(U9:U13)</f>
        <v/>
      </c>
      <c r="V5" s="164">
        <f>sum(V9:V13)</f>
        <v/>
      </c>
    </row>
    <row r="6">
      <c r="A6" s="64" t="inlineStr">
        <is>
          <t xml:space="preserve">    Net add</t>
        </is>
      </c>
      <c r="B6" s="53" t="n"/>
      <c r="C6" s="53">
        <f>C5-B5</f>
        <v/>
      </c>
      <c r="D6" s="53">
        <f>D5-C5</f>
        <v/>
      </c>
      <c r="E6" s="53">
        <f>E5-D5</f>
        <v/>
      </c>
      <c r="F6" s="55">
        <f>F5-E5</f>
        <v/>
      </c>
      <c r="G6" s="55">
        <f>G5-F5</f>
        <v/>
      </c>
      <c r="H6" s="55">
        <f>H5-G5</f>
        <v/>
      </c>
      <c r="I6" s="55">
        <f>I5-H5</f>
        <v/>
      </c>
      <c r="J6" s="55">
        <f>J5-I5</f>
        <v/>
      </c>
      <c r="K6" s="55">
        <f>K5-J5</f>
        <v/>
      </c>
      <c r="L6" s="55">
        <f>L5-K5</f>
        <v/>
      </c>
      <c r="M6" s="55">
        <f>M5-L5</f>
        <v/>
      </c>
      <c r="N6" s="164" t="n"/>
      <c r="O6" s="164" t="n"/>
      <c r="P6" s="50">
        <f>P5-O5</f>
        <v/>
      </c>
      <c r="Q6" s="50">
        <f>Q5-P5</f>
        <v/>
      </c>
      <c r="R6" s="50">
        <f>R5-Q5</f>
        <v/>
      </c>
      <c r="S6" s="50">
        <f>S5-R5</f>
        <v/>
      </c>
      <c r="T6" s="50">
        <f>T5-S5</f>
        <v/>
      </c>
      <c r="U6" s="164" t="n"/>
      <c r="V6" s="164" t="n"/>
    </row>
    <row r="7">
      <c r="A7" s="64" t="inlineStr">
        <is>
          <t xml:space="preserve">   % Growth Rate (Actual)</t>
        </is>
      </c>
      <c r="B7" s="65" t="n"/>
      <c r="C7" s="66">
        <f>IFERROR((C5/B5)-1, 0)</f>
        <v/>
      </c>
      <c r="D7" s="66">
        <f>IFERROR((D5/C5)-1, 0)</f>
        <v/>
      </c>
      <c r="E7" s="66">
        <f>IFERROR((E5/D5)-1, 0)</f>
        <v/>
      </c>
      <c r="F7" s="66" t="n"/>
      <c r="G7" s="66">
        <f>IFERROR((G5/F5)-1, 0)</f>
        <v/>
      </c>
      <c r="H7" s="66">
        <f>IFERROR((H5/G5)-1, 0)</f>
        <v/>
      </c>
      <c r="I7" s="66">
        <f>IFERROR((I5/H5)-1, 0)</f>
        <v/>
      </c>
      <c r="J7" s="66">
        <f>IFERROR((J5/I5)-1, 0)</f>
        <v/>
      </c>
      <c r="K7" s="66">
        <f>IFERROR((K5/J5)-1, 0)</f>
        <v/>
      </c>
      <c r="L7" s="66">
        <f>IFERROR((L5/K5)-1, 0)</f>
        <v/>
      </c>
      <c r="M7" s="66">
        <f>IFERROR((M5/L5)-1, 0)</f>
        <v/>
      </c>
      <c r="N7" s="164" t="n"/>
      <c r="O7" s="164" t="n"/>
      <c r="P7" s="71">
        <f>(P5/O5)-1</f>
        <v/>
      </c>
      <c r="Q7" s="71">
        <f>(Q5/P5)-1</f>
        <v/>
      </c>
      <c r="R7" s="71">
        <f>(R5/Q5)-1</f>
        <v/>
      </c>
      <c r="S7" s="71">
        <f>(S5/R5)-1</f>
        <v/>
      </c>
      <c r="T7" s="71">
        <f>(T5/S5)-1</f>
        <v/>
      </c>
      <c r="U7" s="164" t="n"/>
      <c r="V7" s="164" t="n"/>
    </row>
    <row r="8">
      <c r="A8" s="73" t="n"/>
      <c r="B8" s="130" t="n"/>
      <c r="C8" s="75" t="n"/>
      <c r="D8" s="75" t="n"/>
      <c r="E8" s="75" t="n"/>
      <c r="F8" s="76" t="n"/>
      <c r="G8" s="76" t="n"/>
      <c r="H8" s="76" t="n"/>
      <c r="I8" s="76" t="n"/>
      <c r="J8" s="76" t="n"/>
      <c r="K8" s="76" t="n"/>
      <c r="L8" s="76" t="n"/>
      <c r="M8" s="76" t="n"/>
      <c r="N8" s="164" t="n"/>
      <c r="O8" s="164" t="n"/>
      <c r="P8" s="164" t="n"/>
      <c r="Q8" s="164" t="n"/>
      <c r="R8" s="164" t="n"/>
      <c r="S8" s="164" t="n"/>
      <c r="T8" s="164" t="n"/>
      <c r="U8" s="164" t="n"/>
      <c r="V8" s="164" t="n"/>
    </row>
    <row r="9">
      <c r="A9" s="77" t="inlineStr">
        <is>
          <t>Organic</t>
        </is>
      </c>
      <c r="B9" s="50" t="n"/>
      <c r="C9" s="50" t="n"/>
      <c r="D9" s="50" t="n"/>
      <c r="E9" s="50" t="n"/>
      <c r="F9" s="50">
        <f>'Channel Detail Flow'!V7</f>
        <v/>
      </c>
      <c r="G9" s="50">
        <f>'Channel Detail Flow'!W7</f>
        <v/>
      </c>
      <c r="H9" s="50">
        <f>'Channel Detail Flow'!X7</f>
        <v/>
      </c>
      <c r="I9" s="50">
        <f>'Channel Detail Flow'!Y7</f>
        <v/>
      </c>
      <c r="J9" s="50">
        <f>'Channel Detail Flow'!Z7</f>
        <v/>
      </c>
      <c r="K9" s="50">
        <f>'Channel Detail Flow'!AA7</f>
        <v/>
      </c>
      <c r="L9" s="79" t="n"/>
      <c r="M9" s="79" t="n"/>
      <c r="N9" s="164" t="n"/>
      <c r="O9" s="50">
        <f>'Channel Detail Flow'!G7</f>
        <v/>
      </c>
      <c r="P9" s="50">
        <f>'Channel Detail Flow'!H7</f>
        <v/>
      </c>
      <c r="Q9" s="50">
        <f>'Channel Detail Flow'!I7</f>
        <v/>
      </c>
      <c r="R9" s="50">
        <f>'Channel Detail Flow'!J7</f>
        <v/>
      </c>
      <c r="S9" s="50">
        <f>'Channel Detail Flow'!K7</f>
        <v/>
      </c>
      <c r="T9" s="50">
        <f>'Channel Detail Flow'!L7</f>
        <v/>
      </c>
      <c r="U9" s="79" t="n"/>
      <c r="V9" s="79" t="n"/>
    </row>
    <row r="10">
      <c r="A10" s="77" t="inlineStr">
        <is>
          <t>Paid</t>
        </is>
      </c>
      <c r="B10" s="50" t="n"/>
      <c r="C10" s="50" t="n"/>
      <c r="D10" s="50" t="n"/>
      <c r="E10" s="50" t="n"/>
      <c r="F10" s="50">
        <f>'Channel Detail Flow'!V48</f>
        <v/>
      </c>
      <c r="G10" s="50">
        <f>'Channel Detail Flow'!W48</f>
        <v/>
      </c>
      <c r="H10" s="50">
        <f>'Channel Detail Flow'!X48</f>
        <v/>
      </c>
      <c r="I10" s="50">
        <f>'Channel Detail Flow'!Y48</f>
        <v/>
      </c>
      <c r="J10" s="50">
        <f>'Channel Detail Flow'!Z48</f>
        <v/>
      </c>
      <c r="K10" s="50">
        <f>'Channel Detail Flow'!AA48</f>
        <v/>
      </c>
      <c r="L10" s="79" t="n"/>
      <c r="M10" s="79" t="n"/>
      <c r="N10" s="164" t="n"/>
      <c r="O10" s="50">
        <f>'Channel Detail Flow'!G48</f>
        <v/>
      </c>
      <c r="P10" s="50">
        <f>'Channel Detail Flow'!H48</f>
        <v/>
      </c>
      <c r="Q10" s="50">
        <f>'Channel Detail Flow'!I48</f>
        <v/>
      </c>
      <c r="R10" s="50">
        <f>'Channel Detail Flow'!J48</f>
        <v/>
      </c>
      <c r="S10" s="50">
        <f>'Channel Detail Flow'!K48</f>
        <v/>
      </c>
      <c r="T10" s="50">
        <f>'Channel Detail Flow'!L48</f>
        <v/>
      </c>
      <c r="U10" s="79" t="n"/>
      <c r="V10" s="79" t="n"/>
    </row>
    <row r="11">
      <c r="A11" s="77" t="inlineStr">
        <is>
          <t>Direct</t>
        </is>
      </c>
      <c r="B11" s="50" t="n"/>
      <c r="C11" s="50" t="n"/>
      <c r="D11" s="50" t="n"/>
      <c r="E11" s="50" t="n"/>
      <c r="F11" s="50">
        <f>'Channel Detail Flow'!V89</f>
        <v/>
      </c>
      <c r="G11" s="50">
        <f>'Channel Detail Flow'!W89</f>
        <v/>
      </c>
      <c r="H11" s="50">
        <f>'Channel Detail Flow'!X89</f>
        <v/>
      </c>
      <c r="I11" s="50">
        <f>'Channel Detail Flow'!Y89</f>
        <v/>
      </c>
      <c r="J11" s="50">
        <f>'Channel Detail Flow'!Z89</f>
        <v/>
      </c>
      <c r="K11" s="50">
        <f>'Channel Detail Flow'!AA89</f>
        <v/>
      </c>
      <c r="L11" s="79" t="n"/>
      <c r="M11" s="79" t="n"/>
      <c r="N11" s="164" t="n"/>
      <c r="O11" s="50">
        <f>'Channel Detail Flow'!G89</f>
        <v/>
      </c>
      <c r="P11" s="50">
        <f>'Channel Detail Flow'!H89</f>
        <v/>
      </c>
      <c r="Q11" s="50">
        <f>'Channel Detail Flow'!I89</f>
        <v/>
      </c>
      <c r="R11" s="50">
        <f>'Channel Detail Flow'!J89</f>
        <v/>
      </c>
      <c r="S11" s="50">
        <f>'Channel Detail Flow'!K89</f>
        <v/>
      </c>
      <c r="T11" s="50">
        <f>'Channel Detail Flow'!L89</f>
        <v/>
      </c>
      <c r="U11" s="79" t="n"/>
      <c r="V11" s="79" t="n"/>
    </row>
    <row r="12">
      <c r="A12" s="77" t="inlineStr">
        <is>
          <t>Referral</t>
        </is>
      </c>
      <c r="B12" s="50" t="n"/>
      <c r="C12" s="50" t="n"/>
      <c r="D12" s="50" t="n"/>
      <c r="E12" s="50" t="n"/>
      <c r="F12" s="50">
        <f>'Channel Detail Flow'!V130</f>
        <v/>
      </c>
      <c r="G12" s="50">
        <f>'Channel Detail Flow'!W130</f>
        <v/>
      </c>
      <c r="H12" s="50">
        <f>'Channel Detail Flow'!X130</f>
        <v/>
      </c>
      <c r="I12" s="50">
        <f>'Channel Detail Flow'!Y130</f>
        <v/>
      </c>
      <c r="J12" s="50">
        <f>'Channel Detail Flow'!Z130</f>
        <v/>
      </c>
      <c r="K12" s="50">
        <f>'Channel Detail Flow'!AA130</f>
        <v/>
      </c>
      <c r="L12" s="79" t="n"/>
      <c r="M12" s="79" t="n"/>
      <c r="N12" s="164" t="n"/>
      <c r="O12" s="50">
        <f>'Channel Detail Flow'!G130</f>
        <v/>
      </c>
      <c r="P12" s="50">
        <f>'Channel Detail Flow'!H130</f>
        <v/>
      </c>
      <c r="Q12" s="50">
        <f>'Channel Detail Flow'!I130</f>
        <v/>
      </c>
      <c r="R12" s="50">
        <f>'Channel Detail Flow'!J130</f>
        <v/>
      </c>
      <c r="S12" s="50">
        <f>'Channel Detail Flow'!K130</f>
        <v/>
      </c>
      <c r="T12" s="50">
        <f>'Channel Detail Flow'!L130</f>
        <v/>
      </c>
      <c r="U12" s="79" t="n"/>
      <c r="V12" s="79" t="n"/>
    </row>
    <row r="13">
      <c r="A13" s="77" t="inlineStr">
        <is>
          <t>Others</t>
        </is>
      </c>
      <c r="B13" s="50" t="n"/>
      <c r="C13" s="50" t="n"/>
      <c r="D13" s="50" t="n"/>
      <c r="E13" s="50" t="n"/>
      <c r="F13" s="50">
        <f>'Channel Detail Flow'!V172</f>
        <v/>
      </c>
      <c r="G13" s="50">
        <f>'Channel Detail Flow'!W172</f>
        <v/>
      </c>
      <c r="H13" s="50">
        <f>'Channel Detail Flow'!X172</f>
        <v/>
      </c>
      <c r="I13" s="50">
        <f>'Channel Detail Flow'!Y172</f>
        <v/>
      </c>
      <c r="J13" s="50">
        <f>'Channel Detail Flow'!Z172</f>
        <v/>
      </c>
      <c r="K13" s="50">
        <f>'Channel Detail Flow'!AA172</f>
        <v/>
      </c>
      <c r="L13" s="79" t="n"/>
      <c r="M13" s="79" t="n"/>
      <c r="N13" s="164" t="n"/>
      <c r="O13" s="50">
        <f>'Channel Detail Flow'!G172</f>
        <v/>
      </c>
      <c r="P13" s="50">
        <f>'Channel Detail Flow'!H172</f>
        <v/>
      </c>
      <c r="Q13" s="50">
        <f>'Channel Detail Flow'!I172</f>
        <v/>
      </c>
      <c r="R13" s="50">
        <f>'Channel Detail Flow'!J172</f>
        <v/>
      </c>
      <c r="S13" s="50">
        <f>'Channel Detail Flow'!K172</f>
        <v/>
      </c>
      <c r="T13" s="50">
        <f>'Channel Detail Flow'!L172</f>
        <v/>
      </c>
      <c r="U13" s="79" t="n"/>
      <c r="V13" s="79" t="n"/>
    </row>
    <row r="14">
      <c r="A14" s="164" t="n"/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4" t="n"/>
      <c r="K14" s="164" t="n"/>
      <c r="L14" s="164" t="n"/>
      <c r="M14" s="164" t="n"/>
      <c r="N14" s="164" t="n"/>
      <c r="O14" s="164" t="n"/>
      <c r="P14" s="164" t="n"/>
      <c r="Q14" s="164" t="n"/>
      <c r="R14" s="164" t="n"/>
      <c r="S14" s="164" t="n"/>
      <c r="T14" s="164" t="n"/>
      <c r="U14" s="164" t="n"/>
      <c r="V14" s="164" t="n"/>
    </row>
    <row r="15">
      <c r="A15" s="85" t="inlineStr">
        <is>
          <t>%Organic</t>
        </is>
      </c>
      <c r="B15" s="86" t="n"/>
      <c r="C15" s="86" t="n"/>
      <c r="D15" s="86" t="n"/>
      <c r="E15" s="86" t="n"/>
      <c r="F15" s="87">
        <f>F9/$F$5</f>
        <v/>
      </c>
      <c r="G15" s="87">
        <f>G9/$G$5</f>
        <v/>
      </c>
      <c r="H15" s="87">
        <f>H9/$H$5</f>
        <v/>
      </c>
      <c r="I15" s="87">
        <f>I9/$H$5</f>
        <v/>
      </c>
      <c r="J15" s="87">
        <f>J9/$J$5</f>
        <v/>
      </c>
      <c r="K15" s="79" t="n"/>
      <c r="L15" s="79" t="n"/>
      <c r="M15" s="79" t="n"/>
      <c r="N15" s="164" t="n"/>
      <c r="O15" s="87">
        <f>O9/$O$5</f>
        <v/>
      </c>
      <c r="P15" s="87">
        <f>P9/$P$5</f>
        <v/>
      </c>
      <c r="Q15" s="87">
        <f>Q9/$Q$5</f>
        <v/>
      </c>
      <c r="R15" s="87">
        <f>R9/$R$5</f>
        <v/>
      </c>
      <c r="S15" s="89">
        <f>S9/$S$5</f>
        <v/>
      </c>
      <c r="T15" s="79" t="n"/>
      <c r="U15" s="79" t="n"/>
      <c r="V15" s="79" t="n"/>
    </row>
    <row r="16">
      <c r="A16" s="85" t="inlineStr">
        <is>
          <t>%Paid</t>
        </is>
      </c>
      <c r="B16" s="86" t="n"/>
      <c r="C16" s="86" t="n"/>
      <c r="D16" s="86" t="n"/>
      <c r="E16" s="86" t="n"/>
      <c r="F16" s="87">
        <f>F10/$F$5</f>
        <v/>
      </c>
      <c r="G16" s="87">
        <f>G10/$G$5</f>
        <v/>
      </c>
      <c r="H16" s="87">
        <f>H10/$H$5</f>
        <v/>
      </c>
      <c r="I16" s="87">
        <f>I10/$I$5</f>
        <v/>
      </c>
      <c r="J16" s="87">
        <f>J10/$J$5</f>
        <v/>
      </c>
      <c r="K16" s="79" t="n"/>
      <c r="L16" s="79" t="n"/>
      <c r="M16" s="79" t="n"/>
      <c r="N16" s="164" t="n"/>
      <c r="O16" s="87">
        <f>O10/$O$5</f>
        <v/>
      </c>
      <c r="P16" s="87">
        <f>P10/$P$5</f>
        <v/>
      </c>
      <c r="Q16" s="87">
        <f>Q10/$Q$5</f>
        <v/>
      </c>
      <c r="R16" s="87">
        <f>R10/$R$5</f>
        <v/>
      </c>
      <c r="S16" s="89">
        <f>S10/$S$5</f>
        <v/>
      </c>
      <c r="T16" s="79" t="n"/>
      <c r="U16" s="79" t="n"/>
      <c r="V16" s="79" t="n"/>
    </row>
    <row r="17">
      <c r="A17" s="85" t="inlineStr">
        <is>
          <t>%Direct</t>
        </is>
      </c>
      <c r="B17" s="86" t="n"/>
      <c r="C17" s="86" t="n"/>
      <c r="D17" s="86" t="n"/>
      <c r="E17" s="86" t="n"/>
      <c r="F17" s="87">
        <f>F11/$F$5</f>
        <v/>
      </c>
      <c r="G17" s="87">
        <f>G11/$G$5</f>
        <v/>
      </c>
      <c r="H17" s="87">
        <f>H11/$H$5</f>
        <v/>
      </c>
      <c r="I17" s="87">
        <f>I11/$I$5</f>
        <v/>
      </c>
      <c r="J17" s="87">
        <f>J11/$J$5</f>
        <v/>
      </c>
      <c r="K17" s="79" t="n"/>
      <c r="L17" s="79" t="n"/>
      <c r="M17" s="79" t="n"/>
      <c r="N17" s="164" t="n"/>
      <c r="O17" s="87">
        <f>O11/$O$5</f>
        <v/>
      </c>
      <c r="P17" s="87">
        <f>P11/$P$5</f>
        <v/>
      </c>
      <c r="Q17" s="87">
        <f>Q11/$Q$5</f>
        <v/>
      </c>
      <c r="R17" s="87">
        <f>R11/$R$5</f>
        <v/>
      </c>
      <c r="S17" s="89">
        <f>S11/$S$5</f>
        <v/>
      </c>
      <c r="T17" s="79" t="n"/>
      <c r="U17" s="79" t="n"/>
      <c r="V17" s="79" t="n"/>
    </row>
    <row r="18">
      <c r="A18" s="85" t="inlineStr">
        <is>
          <t>%Referral</t>
        </is>
      </c>
      <c r="B18" s="86" t="n"/>
      <c r="C18" s="86" t="n"/>
      <c r="D18" s="86" t="n"/>
      <c r="E18" s="86" t="n"/>
      <c r="F18" s="87">
        <f>F12/$F$5</f>
        <v/>
      </c>
      <c r="G18" s="87">
        <f>G12/$G$5</f>
        <v/>
      </c>
      <c r="H18" s="87">
        <f>H12/$H$5</f>
        <v/>
      </c>
      <c r="I18" s="87">
        <f>I12/$I$5</f>
        <v/>
      </c>
      <c r="J18" s="87">
        <f>J12/$J$5</f>
        <v/>
      </c>
      <c r="K18" s="79" t="n"/>
      <c r="L18" s="79" t="n"/>
      <c r="M18" s="79" t="n"/>
      <c r="N18" s="164" t="n"/>
      <c r="O18" s="87">
        <f>O12/$O$5</f>
        <v/>
      </c>
      <c r="P18" s="87">
        <f>P12/$P$5</f>
        <v/>
      </c>
      <c r="Q18" s="87">
        <f>Q12/$Q$5</f>
        <v/>
      </c>
      <c r="R18" s="87">
        <f>R12/$R$5</f>
        <v/>
      </c>
      <c r="S18" s="89">
        <f>S12/$S$5</f>
        <v/>
      </c>
      <c r="T18" s="79" t="n"/>
      <c r="U18" s="79" t="n"/>
      <c r="V18" s="79" t="n"/>
    </row>
    <row r="19">
      <c r="A19" s="85" t="inlineStr">
        <is>
          <t>%Others</t>
        </is>
      </c>
      <c r="B19" s="86" t="n"/>
      <c r="C19" s="86" t="n"/>
      <c r="D19" s="86" t="n"/>
      <c r="E19" s="86" t="n"/>
      <c r="F19" s="87">
        <f>F13/$F$5</f>
        <v/>
      </c>
      <c r="G19" s="87">
        <f>G13/$G$5</f>
        <v/>
      </c>
      <c r="H19" s="87">
        <f>H13/$H$5</f>
        <v/>
      </c>
      <c r="I19" s="87">
        <f>I13/$I$5</f>
        <v/>
      </c>
      <c r="J19" s="87">
        <f>J13/$J$5</f>
        <v/>
      </c>
      <c r="K19" s="79" t="n"/>
      <c r="L19" s="79" t="n"/>
      <c r="M19" s="79" t="n"/>
      <c r="N19" s="164" t="n"/>
      <c r="O19" s="87">
        <f>O13/$O$5</f>
        <v/>
      </c>
      <c r="P19" s="87">
        <f>P13/$P$5</f>
        <v/>
      </c>
      <c r="Q19" s="87">
        <f>Q13/$Q$5</f>
        <v/>
      </c>
      <c r="R19" s="87">
        <f>R13/$R$5</f>
        <v/>
      </c>
      <c r="S19" s="89">
        <f>S13/$S$5</f>
        <v/>
      </c>
      <c r="T19" s="79" t="n"/>
      <c r="U19" s="79" t="n"/>
      <c r="V19" s="79" t="n"/>
    </row>
    <row r="20">
      <c r="A20" s="164" t="n"/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164" t="n"/>
      <c r="U20" s="164" t="n"/>
      <c r="V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164" t="n"/>
      <c r="R21" s="164" t="n"/>
      <c r="S21" s="164" t="n"/>
      <c r="T21" s="164" t="n"/>
      <c r="U21" s="164" t="n"/>
      <c r="V21" s="164" t="n"/>
    </row>
    <row r="22">
      <c r="A22" s="91" t="inlineStr">
        <is>
          <t>Notes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164" t="n"/>
      <c r="R22" s="164" t="n"/>
      <c r="S22" s="164" t="n"/>
      <c r="T22" s="164" t="n"/>
      <c r="U22" s="164" t="n"/>
      <c r="V22" s="164" t="n"/>
    </row>
    <row r="23">
      <c r="A23" s="92" t="inlineStr">
        <is>
          <t>Organic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164" t="n"/>
      <c r="U23" s="164" t="n"/>
      <c r="V23" s="164" t="n"/>
    </row>
    <row r="24">
      <c r="A24" s="164" t="inlineStr">
        <is>
          <t>Organic Search: Người dùng tìm kiếm từ khóa trên Google / Cốc Cốc và bấm vào kết quả hiển thị tự nhiên</t>
        </is>
      </c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164" t="n"/>
      <c r="R24" s="164" t="n"/>
      <c r="S24" s="164" t="n"/>
      <c r="T24" s="164" t="n"/>
      <c r="U24" s="164" t="n"/>
      <c r="V24" s="164" t="n"/>
    </row>
    <row r="25">
      <c r="A25" s="92" t="inlineStr">
        <is>
          <t>Paid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164" t="n"/>
      <c r="R25" s="164" t="n"/>
      <c r="S25" s="164" t="n"/>
      <c r="T25" s="164" t="n"/>
      <c r="U25" s="164" t="n"/>
      <c r="V25" s="164" t="n"/>
    </row>
    <row r="26">
      <c r="A26" s="164" t="inlineStr">
        <is>
          <t>Paid Other: Lưu lượng từ các chiến dịch quảng cáo trả phí khác (quảng cáo đối tác liên kết, tài trợ Affiliate).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164" t="n"/>
      <c r="R26" s="164" t="n"/>
      <c r="S26" s="164" t="n"/>
      <c r="T26" s="164" t="n"/>
      <c r="U26" s="164" t="n"/>
      <c r="V26" s="164" t="n"/>
    </row>
    <row r="27">
      <c r="A27" s="164" t="inlineStr">
        <is>
          <t>Paid Search: Người dùng tìm kiếm trên Google và bấm vào kết quả quảng cáo tìm kiếm trả tiền (Google Search Ads).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164" t="n"/>
      <c r="R27" s="164" t="n"/>
      <c r="S27" s="164" t="n"/>
      <c r="T27" s="164" t="n"/>
      <c r="U27" s="164" t="n"/>
      <c r="V27" s="164" t="n"/>
    </row>
    <row r="28">
      <c r="A28" s="164" t="inlineStr">
        <is>
          <t>Paid Social: Khách bấm vào các bài viết / video chạy quảng cáo trả tiền trên Facebook Ads, TikTok Ads.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164" t="n"/>
      <c r="R28" s="164" t="n"/>
      <c r="S28" s="164" t="n"/>
      <c r="T28" s="164" t="n"/>
      <c r="U28" s="164" t="n"/>
      <c r="V28" s="164" t="n"/>
    </row>
    <row r="29">
      <c r="A29" s="164" t="inlineStr">
        <is>
          <t>Cross-network: Khách truy cập từ các chiến dịch quảng cáo đa kênh tự động của Google (Google Performance Max / PMax).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164" t="n"/>
      <c r="R29" s="164" t="n"/>
      <c r="S29" s="164" t="n"/>
      <c r="T29" s="164" t="n"/>
      <c r="U29" s="164" t="n"/>
      <c r="V29" s="164" t="n"/>
    </row>
    <row r="30">
      <c r="A30" s="92" t="inlineStr">
        <is>
          <t>Referral</t>
        </is>
      </c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164" t="n"/>
      <c r="R30" s="164" t="n"/>
      <c r="S30" s="164" t="n"/>
      <c r="T30" s="164" t="n"/>
      <c r="U30" s="164" t="n"/>
      <c r="V30" s="164" t="n"/>
    </row>
    <row r="31">
      <c r="A31" s="1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164" t="n"/>
      <c r="R31" s="164" t="n"/>
      <c r="S31" s="164" t="n"/>
      <c r="T31" s="164" t="n"/>
      <c r="U31" s="164" t="n"/>
      <c r="V31" s="164" t="n"/>
    </row>
    <row r="32">
      <c r="A32" s="164" t="inlineStr">
        <is>
          <t>AI Referrals: Người dùng hỏi các công cụ AI (ChatGPT, Perplexity, Claude, Gemini) và bấm vào đường link trích dẫn nguồn momo.vn.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164" t="n"/>
      <c r="R32" s="164" t="n"/>
      <c r="S32" s="164" t="n"/>
      <c r="T32" s="164" t="n"/>
      <c r="U32" s="164" t="n"/>
      <c r="V32" s="164" t="n"/>
    </row>
    <row r="33">
      <c r="A33" s="164" t="inlineStr">
        <is>
          <t>App Referral: Người dùng đang mở các ứng dụng trên điện thoại (đặc biệt là App MoMo, Zalo, Gmail) bấm link mở trang web momo.vn.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164" t="n"/>
      <c r="R33" s="164" t="n"/>
      <c r="S33" s="164" t="n"/>
      <c r="T33" s="164" t="n"/>
      <c r="U33" s="164" t="n"/>
      <c r="V33" s="164" t="n"/>
    </row>
    <row r="34">
      <c r="A34" s="92" t="inlineStr">
        <is>
          <t>Direct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164" t="n"/>
      <c r="R34" s="164" t="n"/>
      <c r="S34" s="164" t="n"/>
      <c r="T34" s="164" t="n"/>
      <c r="U34" s="164" t="n"/>
      <c r="V34" s="164" t="n"/>
    </row>
    <row r="35">
      <c r="A35" s="164" t="inlineStr">
        <is>
          <t>Direct: Người dùng tự gõ momo.vn vào trình duyệt, mở từ dấu trang (Bookmark), hoặc link không có nguồn trích dẫn.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164" t="n"/>
      <c r="R35" s="164" t="n"/>
      <c r="S35" s="164" t="n"/>
      <c r="T35" s="164" t="n"/>
      <c r="U35" s="164" t="n"/>
      <c r="V35" s="164" t="n"/>
    </row>
    <row r="36">
      <c r="A36" s="92" t="inlineStr">
        <is>
          <t>Other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164" t="n"/>
      <c r="R36" s="164" t="n"/>
      <c r="S36" s="164" t="n"/>
      <c r="T36" s="164" t="n"/>
      <c r="U36" s="164" t="n"/>
      <c r="V36" s="164" t="n"/>
    </row>
    <row r="37">
      <c r="A37" s="164" t="inlineStr">
        <is>
          <t>Display: Người dùng bấm vào các banner hình ảnh quảng cáo trên mạng lưới Google Display Network (GDN).</t>
        </is>
      </c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164" t="n"/>
      <c r="R37" s="164" t="n"/>
      <c r="S37" s="164" t="n"/>
      <c r="T37" s="164" t="n"/>
      <c r="U37" s="164" t="n"/>
      <c r="V37" s="164" t="n"/>
    </row>
    <row r="38">
      <c r="A38" s="164" t="inlineStr">
        <is>
          <t>Email: Khách bấm vào đường link đính kèm trong các email tin tức hoặc email marketing của MoMo.</t>
        </is>
      </c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164" t="n"/>
      <c r="R38" s="164" t="n"/>
      <c r="S38" s="164" t="n"/>
      <c r="T38" s="164" t="n"/>
      <c r="U38" s="164" t="n"/>
      <c r="V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164" t="n"/>
      <c r="R39" s="164" t="n"/>
      <c r="S39" s="164" t="n"/>
      <c r="T39" s="164" t="n"/>
      <c r="U39" s="164" t="n"/>
      <c r="V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164" t="n"/>
      <c r="R40" s="164" t="n"/>
      <c r="S40" s="164" t="n"/>
      <c r="T40" s="164" t="n"/>
      <c r="U40" s="164" t="n"/>
      <c r="V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164" t="n"/>
      <c r="R41" s="164" t="n"/>
      <c r="S41" s="164" t="n"/>
      <c r="T41" s="164" t="n"/>
      <c r="U41" s="164" t="n"/>
      <c r="V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164" t="n"/>
      <c r="R42" s="164" t="n"/>
      <c r="S42" s="164" t="n"/>
      <c r="T42" s="164" t="n"/>
      <c r="U42" s="164" t="n"/>
      <c r="V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164" t="n"/>
      <c r="R43" s="164" t="n"/>
      <c r="S43" s="164" t="n"/>
      <c r="T43" s="164" t="n"/>
      <c r="U43" s="164" t="n"/>
      <c r="V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164" t="n"/>
      <c r="R44" s="164" t="n"/>
      <c r="S44" s="164" t="n"/>
      <c r="T44" s="164" t="n"/>
      <c r="U44" s="164" t="n"/>
      <c r="V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164" t="n"/>
      <c r="R45" s="164" t="n"/>
      <c r="S45" s="164" t="n"/>
      <c r="T45" s="164" t="n"/>
      <c r="U45" s="164" t="n"/>
      <c r="V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164" t="n"/>
      <c r="R46" s="164" t="n"/>
      <c r="S46" s="164" t="n"/>
      <c r="T46" s="164" t="n"/>
      <c r="U46" s="164" t="n"/>
      <c r="V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164" t="n"/>
      <c r="R48" s="164" t="n"/>
      <c r="S48" s="164" t="n"/>
      <c r="T48" s="164" t="n"/>
      <c r="U48" s="164" t="n"/>
      <c r="V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164" t="n"/>
      <c r="R49" s="164" t="n"/>
      <c r="S49" s="164" t="n"/>
      <c r="T49" s="164" t="n"/>
      <c r="U49" s="164" t="n"/>
      <c r="V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164" t="n"/>
      <c r="R50" s="164" t="n"/>
      <c r="S50" s="164" t="n"/>
      <c r="T50" s="164" t="n"/>
      <c r="U50" s="164" t="n"/>
      <c r="V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164" t="n"/>
      <c r="R64" s="164" t="n"/>
      <c r="S64" s="164" t="n"/>
      <c r="T64" s="164" t="n"/>
      <c r="U64" s="164" t="n"/>
      <c r="V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39" min="1" max="1"/>
    <col width="13.63" customWidth="1" style="239" min="10" max="10"/>
  </cols>
  <sheetData>
    <row r="1">
      <c r="A1" s="3">
        <f>"Update to: " &amp; DAY(NOW())</f>
        <v/>
      </c>
      <c r="B1" s="6" t="inlineStr">
        <is>
          <t>Full Month</t>
        </is>
      </c>
    </row>
    <row r="2">
      <c r="A2" s="9" t="inlineStr">
        <is>
          <t>Target</t>
        </is>
      </c>
      <c r="B2" s="14" t="n">
        <v>46023</v>
      </c>
      <c r="C2" s="14" t="n">
        <v>46054</v>
      </c>
      <c r="D2" s="14" t="n">
        <v>46082</v>
      </c>
      <c r="E2" s="14" t="n">
        <v>46113</v>
      </c>
      <c r="F2" s="14" t="n">
        <v>46143</v>
      </c>
      <c r="G2" s="14" t="n">
        <v>46174</v>
      </c>
      <c r="H2" s="14" t="n">
        <v>46204</v>
      </c>
      <c r="I2" s="14" t="n">
        <v>46235</v>
      </c>
      <c r="J2" s="14" t="n">
        <v>46266</v>
      </c>
      <c r="K2" s="14" t="n">
        <v>46296</v>
      </c>
      <c r="L2" s="14" t="n">
        <v>46327</v>
      </c>
      <c r="M2" s="14" t="n">
        <v>46357</v>
      </c>
    </row>
    <row r="3">
      <c r="A3" s="17" t="inlineStr">
        <is>
          <t>Total page views (traffic)</t>
        </is>
      </c>
      <c r="B3" s="19" t="n">
        <v>2601280</v>
      </c>
      <c r="C3" s="19" t="n">
        <v>3470470</v>
      </c>
      <c r="D3" s="19" t="n">
        <v>3221705</v>
      </c>
      <c r="E3" s="19" t="n">
        <v>2699883</v>
      </c>
      <c r="F3" s="19">
        <f>sum(F10:F14)</f>
        <v/>
      </c>
      <c r="G3" s="19">
        <f>sum(G10:G14)</f>
        <v/>
      </c>
      <c r="H3" s="19">
        <f>sum(H10:H14)</f>
        <v/>
      </c>
      <c r="I3" s="19">
        <f>sum(I10:I14)</f>
        <v/>
      </c>
      <c r="J3" s="25" t="n">
        <v>3509044</v>
      </c>
      <c r="K3" s="25" t="n">
        <v>3665607</v>
      </c>
      <c r="L3" s="25" t="n">
        <v>3829155</v>
      </c>
      <c r="M3" s="25" t="n">
        <v>4000000</v>
      </c>
    </row>
    <row r="4">
      <c r="A4" s="34" t="inlineStr">
        <is>
          <t xml:space="preserve">    Net add</t>
        </is>
      </c>
      <c r="B4" s="29" t="n"/>
      <c r="C4" s="29">
        <f>C3-B3</f>
        <v/>
      </c>
      <c r="D4" s="29">
        <f>D3-C3</f>
        <v/>
      </c>
      <c r="E4" s="29">
        <f>E3-D3</f>
        <v/>
      </c>
      <c r="F4" s="29">
        <f>F3-E3</f>
        <v/>
      </c>
      <c r="G4" s="29">
        <f>G3-F3</f>
        <v/>
      </c>
      <c r="H4" s="29">
        <f>H3-G3</f>
        <v/>
      </c>
      <c r="I4" s="29">
        <f>I3-H3</f>
        <v/>
      </c>
      <c r="J4" s="29">
        <f>J3-I3</f>
        <v/>
      </c>
      <c r="K4" s="29">
        <f>K3-J3</f>
        <v/>
      </c>
      <c r="L4" s="29">
        <f>L3-K3</f>
        <v/>
      </c>
      <c r="M4" s="29">
        <f>M3-L3</f>
        <v/>
      </c>
    </row>
    <row r="5">
      <c r="A5" s="34" t="inlineStr">
        <is>
          <t xml:space="preserve">    % Growth Rate</t>
        </is>
      </c>
      <c r="B5" s="35" t="n"/>
      <c r="C5" s="36" t="n"/>
      <c r="D5" s="36" t="n"/>
      <c r="E5" s="36" t="n"/>
      <c r="F5" s="36" t="n"/>
      <c r="G5" s="36">
        <f>IFERROR((G3/F3)-1, 0)</f>
        <v/>
      </c>
      <c r="H5" s="36">
        <f>IFERROR((H3/G3)-1, 0)</f>
        <v/>
      </c>
      <c r="I5" s="36">
        <f>IFERROR((I3/H3)-1, 0)</f>
        <v/>
      </c>
      <c r="J5" s="36">
        <f>IFERROR((J3/I3)-1, 0)</f>
        <v/>
      </c>
      <c r="K5" s="36">
        <f>IFERROR((K3/J3)-1, 0)</f>
        <v/>
      </c>
      <c r="L5" s="36">
        <f>IFERROR((L3/K3)-1, 0)</f>
        <v/>
      </c>
      <c r="M5" s="36">
        <f>IFERROR((M3/L3)-1, 0)</f>
        <v/>
      </c>
    </row>
    <row r="6">
      <c r="A6" s="41" t="inlineStr">
        <is>
          <t xml:space="preserve">    Page Views (Actual)</t>
        </is>
      </c>
      <c r="B6" s="43" t="n"/>
      <c r="C6" s="44" t="n"/>
      <c r="D6" s="44" t="n"/>
      <c r="E6" s="44" t="n"/>
      <c r="F6" s="48">
        <f>sum(F10:F14)</f>
        <v/>
      </c>
      <c r="G6" s="48">
        <f>sum(G10:G14)</f>
        <v/>
      </c>
      <c r="H6" s="48">
        <f>sum(H10:H14)</f>
        <v/>
      </c>
      <c r="I6" s="48" t="n">
        <v>3465230</v>
      </c>
      <c r="J6" s="49">
        <f>sum(J10:J14)</f>
        <v/>
      </c>
      <c r="K6" s="49">
        <f>'Projects Detail Flow'!Q3</f>
        <v/>
      </c>
      <c r="L6" s="49">
        <f>'Projects Detail Flow'!R3</f>
        <v/>
      </c>
      <c r="M6" s="49">
        <f>'Projects Detail Flow'!S3</f>
        <v/>
      </c>
    </row>
    <row r="7">
      <c r="A7" s="41" t="inlineStr">
        <is>
          <t xml:space="preserve">    Net Add (Actual)</t>
        </is>
      </c>
      <c r="B7" s="43" t="n"/>
      <c r="C7" s="44" t="n"/>
      <c r="D7" s="44" t="n"/>
      <c r="E7" s="44" t="n"/>
      <c r="F7" s="54">
        <f>F6-E6</f>
        <v/>
      </c>
      <c r="G7" s="54">
        <f>G6-F6</f>
        <v/>
      </c>
      <c r="H7" s="54">
        <f>H6-G6</f>
        <v/>
      </c>
      <c r="I7" s="54">
        <f>I6-H6</f>
        <v/>
      </c>
      <c r="J7" s="54">
        <f>J6-I6</f>
        <v/>
      </c>
      <c r="K7" s="54">
        <f>K6-J6</f>
        <v/>
      </c>
      <c r="L7" s="54" t="n"/>
      <c r="M7" s="54" t="n"/>
    </row>
    <row r="8">
      <c r="A8" s="41" t="inlineStr">
        <is>
          <t xml:space="preserve">    % Growth Rate (Actual)</t>
        </is>
      </c>
      <c r="B8" s="43" t="n"/>
      <c r="C8" s="44" t="n"/>
      <c r="D8" s="44" t="n"/>
      <c r="E8" s="44" t="n"/>
      <c r="F8" s="56" t="n"/>
      <c r="G8" s="58">
        <f>IFERROR((G6/F6)-1, 0)</f>
        <v/>
      </c>
      <c r="H8" s="58">
        <f>IFERROR((H6/G6)-1, 0)</f>
        <v/>
      </c>
      <c r="I8" s="58">
        <f>IFERROR((I6/H6)-1, 0)</f>
        <v/>
      </c>
      <c r="J8" s="58">
        <f>IFERROR((J6/I6)-1, 0)</f>
        <v/>
      </c>
      <c r="K8" s="58">
        <f>IFERROR((K6/J6)-1, 0)</f>
        <v/>
      </c>
      <c r="L8" s="54" t="n"/>
      <c r="M8" s="54" t="n"/>
    </row>
    <row r="9">
      <c r="A9" s="41" t="inlineStr">
        <is>
          <t xml:space="preserve">    Progress (Actual)</t>
        </is>
      </c>
      <c r="B9" s="61" t="n"/>
      <c r="C9" s="62" t="n"/>
      <c r="D9" s="62" t="n"/>
      <c r="E9" s="62" t="n"/>
      <c r="F9" s="62" t="n"/>
      <c r="G9" s="62" t="n"/>
      <c r="H9" s="62" t="n"/>
      <c r="I9" s="67">
        <f>IFERROR(REPT("█", ROUND(I6/I3*4,0)) &amp; " " &amp; TEXT(I6/I3,"0%"), "")</f>
        <v/>
      </c>
      <c r="J9" s="67">
        <f>IFERROR(REPT("█", ROUND(J6/J3*4,0)) &amp; " " &amp; TEXT(J6/J3,"0%"), "")</f>
        <v/>
      </c>
      <c r="K9" s="67">
        <f>IFERROR(REPT("█", ROUND(K6/K3*4,0)) &amp; " " &amp; TEXT(K6/K3,"0%"), "")</f>
        <v/>
      </c>
      <c r="L9" s="67">
        <f>IFERROR(REPT("█", ROUND(L6/L3*4,0)) &amp; " " &amp; TEXT(L6/L3,"0%"), "")</f>
        <v/>
      </c>
      <c r="M9" s="67">
        <f>IFERROR(REPT("█", ROUND(M6/M3*4,0)) &amp; " " &amp; TEXT(M6/M3,"0%"), "")</f>
        <v/>
      </c>
    </row>
    <row r="10">
      <c r="A10" s="69" t="inlineStr">
        <is>
          <t>Organic</t>
        </is>
      </c>
      <c r="B10" s="70" t="n"/>
      <c r="C10" s="70" t="n"/>
      <c r="D10" s="70" t="n"/>
      <c r="E10" s="70" t="n"/>
      <c r="F10" s="19" t="n">
        <v>1669075</v>
      </c>
      <c r="G10" s="19" t="n">
        <v>1648550</v>
      </c>
      <c r="H10" s="19" t="n">
        <v>1875191</v>
      </c>
      <c r="I10" s="19">
        <f>'Channel Detail Flow'!Y7</f>
        <v/>
      </c>
      <c r="J10" s="19">
        <f>'Channel Detail Flow'!Z7</f>
        <v/>
      </c>
      <c r="K10" s="19">
        <f>'Channel Detail Flow'!AA7</f>
        <v/>
      </c>
      <c r="L10" s="72" t="n"/>
      <c r="M10" s="72" t="n"/>
    </row>
    <row r="11">
      <c r="A11" s="69" t="inlineStr">
        <is>
          <t>Paid</t>
        </is>
      </c>
      <c r="B11" s="70" t="n"/>
      <c r="C11" s="70" t="n"/>
      <c r="D11" s="70" t="n"/>
      <c r="E11" s="70" t="n"/>
      <c r="F11" s="19" t="n">
        <v>720883</v>
      </c>
      <c r="G11" s="19" t="n">
        <v>982489</v>
      </c>
      <c r="H11" s="19" t="n">
        <v>497958</v>
      </c>
      <c r="I11" s="19">
        <f>'Channel Detail Flow'!Y48</f>
        <v/>
      </c>
      <c r="J11" s="19">
        <f>'Channel Detail Flow'!Z48</f>
        <v/>
      </c>
      <c r="K11" s="19">
        <f>'Channel Detail Flow'!AA48</f>
        <v/>
      </c>
      <c r="L11" s="72" t="n"/>
      <c r="M11" s="72" t="n"/>
    </row>
    <row r="12">
      <c r="A12" s="69" t="inlineStr">
        <is>
          <t>Direct</t>
        </is>
      </c>
      <c r="B12" s="70" t="n"/>
      <c r="C12" s="70" t="n"/>
      <c r="D12" s="70" t="n"/>
      <c r="E12" s="70" t="n"/>
      <c r="F12" s="19" t="n">
        <v>637005</v>
      </c>
      <c r="G12" s="19" t="n">
        <v>488574</v>
      </c>
      <c r="H12" s="19" t="n">
        <v>440855</v>
      </c>
      <c r="I12" s="19">
        <f>'Channel Detail Flow'!Y89</f>
        <v/>
      </c>
      <c r="J12" s="19">
        <f>'Channel Detail Flow'!Z89</f>
        <v/>
      </c>
      <c r="K12" s="19">
        <f>'Channel Detail Flow'!AA89</f>
        <v/>
      </c>
      <c r="L12" s="72" t="n"/>
      <c r="M12" s="72" t="n"/>
    </row>
    <row r="13">
      <c r="A13" s="69" t="inlineStr">
        <is>
          <t>Referral</t>
        </is>
      </c>
      <c r="B13" s="70" t="n"/>
      <c r="C13" s="70" t="n"/>
      <c r="D13" s="70" t="n"/>
      <c r="E13" s="70" t="n"/>
      <c r="F13" s="19" t="n">
        <v>201169</v>
      </c>
      <c r="G13" s="19" t="n">
        <v>255127</v>
      </c>
      <c r="H13" s="19" t="n">
        <v>329659</v>
      </c>
      <c r="I13" s="19">
        <f>'Channel Detail Flow'!Y130</f>
        <v/>
      </c>
      <c r="J13" s="19">
        <f>'Channel Detail Flow'!Z130</f>
        <v/>
      </c>
      <c r="K13" s="19">
        <f>'Channel Detail Flow'!AA130</f>
        <v/>
      </c>
      <c r="L13" s="72" t="n"/>
      <c r="M13" s="72" t="n"/>
    </row>
    <row r="14">
      <c r="A14" s="69" t="inlineStr">
        <is>
          <t>Others</t>
        </is>
      </c>
      <c r="B14" s="70" t="n"/>
      <c r="C14" s="70" t="n"/>
      <c r="D14" s="70" t="n"/>
      <c r="E14" s="70" t="n"/>
      <c r="F14" s="19" t="n">
        <v>44735</v>
      </c>
      <c r="G14" s="19" t="n">
        <v>33218</v>
      </c>
      <c r="H14" s="19" t="n">
        <v>24158</v>
      </c>
      <c r="I14" s="19">
        <f>'Channel Detail Flow'!Y172</f>
        <v/>
      </c>
      <c r="J14" s="19">
        <f>'Channel Detail Flow'!Z172</f>
        <v/>
      </c>
      <c r="K14" s="19">
        <f>'Channel Detail Flow'!AA172</f>
        <v/>
      </c>
      <c r="L14" s="72" t="n"/>
      <c r="M14" s="72" t="n"/>
    </row>
    <row r="15">
      <c r="B15" s="80" t="n"/>
      <c r="C15" s="80" t="n"/>
      <c r="D15" s="80" t="n"/>
      <c r="E15" s="80" t="n"/>
      <c r="F15" s="80" t="n"/>
      <c r="G15" s="80" t="n"/>
      <c r="H15" s="80" t="n"/>
      <c r="I15" s="80" t="n"/>
      <c r="L15" s="80" t="n"/>
      <c r="M15" s="80" t="n"/>
    </row>
    <row r="16">
      <c r="A16" s="81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</row>
    <row r="17">
      <c r="A17" s="82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</row>
    <row r="18">
      <c r="A18" s="83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</row>
    <row r="19">
      <c r="A19" s="84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</row>
    <row r="20">
      <c r="A20" s="83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</row>
    <row r="21">
      <c r="A21" s="84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</row>
    <row r="22">
      <c r="A22" s="84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</row>
    <row r="23">
      <c r="A23" s="84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</row>
    <row r="24">
      <c r="A24" s="84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</row>
    <row r="25">
      <c r="A25" s="83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</row>
    <row r="26">
      <c r="A26" s="84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</row>
    <row r="27">
      <c r="A27" s="84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</row>
    <row r="28">
      <c r="A28" s="84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</row>
    <row r="29">
      <c r="A29" s="83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</row>
    <row r="30">
      <c r="A30" s="84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</row>
    <row r="31">
      <c r="A31" s="83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</row>
    <row r="32">
      <c r="A32" s="84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</row>
    <row r="33">
      <c r="A33" s="84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</row>
    <row r="34"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</row>
    <row r="35"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</row>
    <row r="36"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</row>
    <row r="37"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</row>
    <row r="38"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</row>
    <row r="39"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</row>
    <row r="40"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</row>
    <row r="41"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</row>
    <row r="201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</row>
    <row r="202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</row>
    <row r="203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</row>
    <row r="204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</row>
    <row r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</row>
    <row r="206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</row>
    <row r="207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</row>
    <row r="208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</row>
    <row r="209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</row>
    <row r="210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</row>
    <row r="211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</row>
    <row r="212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</row>
    <row r="213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</row>
    <row r="214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</row>
    <row r="21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</row>
    <row r="216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</row>
    <row r="217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</row>
    <row r="218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</row>
    <row r="219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</row>
    <row r="220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</row>
    <row r="221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</row>
    <row r="222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</row>
    <row r="223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</row>
    <row r="224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</row>
    <row r="22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</row>
    <row r="226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</row>
    <row r="227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</row>
    <row r="228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</row>
    <row r="229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</row>
    <row r="230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</row>
    <row r="231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</row>
    <row r="232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</row>
    <row r="233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</row>
    <row r="234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</row>
    <row r="23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</row>
    <row r="236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</row>
    <row r="237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</row>
    <row r="238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</row>
    <row r="239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</row>
    <row r="240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</row>
    <row r="241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</row>
    <row r="242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</row>
    <row r="243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</row>
    <row r="244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</row>
    <row r="24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</row>
    <row r="246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</row>
    <row r="247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</row>
    <row r="248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</row>
    <row r="249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</row>
    <row r="250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</row>
    <row r="251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</row>
    <row r="252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</row>
    <row r="253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</row>
    <row r="254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</row>
    <row r="25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</row>
    <row r="256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</row>
    <row r="257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</row>
    <row r="258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</row>
    <row r="259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</row>
    <row r="260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</row>
    <row r="261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</row>
    <row r="262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</row>
    <row r="263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</row>
    <row r="264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</row>
    <row r="26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</row>
    <row r="266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</row>
    <row r="267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</row>
    <row r="268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</row>
    <row r="269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</row>
    <row r="270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</row>
    <row r="271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</row>
    <row r="272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</row>
    <row r="273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</row>
    <row r="274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</row>
    <row r="275">
      <c r="A275" s="80" t="n"/>
      <c r="B275" s="80" t="n"/>
      <c r="C275" s="80" t="n"/>
      <c r="D275" s="80" t="n"/>
      <c r="E275" s="80" t="n"/>
      <c r="F275" s="80" t="n"/>
      <c r="G275" s="80" t="n"/>
      <c r="H275" s="80" t="n"/>
      <c r="I275" s="80" t="n"/>
      <c r="J275" s="80" t="n"/>
      <c r="K275" s="80" t="n"/>
      <c r="L275" s="80" t="n"/>
      <c r="M275" s="80" t="n"/>
    </row>
    <row r="276">
      <c r="A276" s="80" t="n"/>
      <c r="B276" s="80" t="n"/>
      <c r="C276" s="80" t="n"/>
      <c r="D276" s="80" t="n"/>
      <c r="E276" s="80" t="n"/>
      <c r="F276" s="80" t="n"/>
      <c r="G276" s="80" t="n"/>
      <c r="H276" s="80" t="n"/>
      <c r="I276" s="80" t="n"/>
      <c r="J276" s="80" t="n"/>
      <c r="K276" s="80" t="n"/>
      <c r="L276" s="80" t="n"/>
      <c r="M276" s="80" t="n"/>
    </row>
    <row r="277">
      <c r="A277" s="80" t="n"/>
      <c r="B277" s="80" t="n"/>
      <c r="C277" s="80" t="n"/>
      <c r="D277" s="80" t="n"/>
      <c r="E277" s="80" t="n"/>
      <c r="F277" s="80" t="n"/>
      <c r="G277" s="80" t="n"/>
      <c r="H277" s="80" t="n"/>
      <c r="I277" s="80" t="n"/>
      <c r="J277" s="80" t="n"/>
      <c r="K277" s="80" t="n"/>
      <c r="L277" s="80" t="n"/>
      <c r="M277" s="80" t="n"/>
    </row>
    <row r="278">
      <c r="A278" s="80" t="n"/>
      <c r="B278" s="80" t="n"/>
      <c r="C278" s="80" t="n"/>
      <c r="D278" s="80" t="n"/>
      <c r="E278" s="80" t="n"/>
      <c r="F278" s="80" t="n"/>
      <c r="G278" s="80" t="n"/>
      <c r="H278" s="80" t="n"/>
      <c r="I278" s="80" t="n"/>
      <c r="J278" s="80" t="n"/>
      <c r="K278" s="80" t="n"/>
      <c r="L278" s="80" t="n"/>
      <c r="M278" s="80" t="n"/>
    </row>
    <row r="279">
      <c r="A279" s="80" t="n"/>
      <c r="B279" s="80" t="n"/>
      <c r="C279" s="80" t="n"/>
      <c r="D279" s="80" t="n"/>
      <c r="E279" s="80" t="n"/>
      <c r="F279" s="80" t="n"/>
      <c r="G279" s="80" t="n"/>
      <c r="H279" s="80" t="n"/>
      <c r="I279" s="80" t="n"/>
      <c r="J279" s="80" t="n"/>
      <c r="K279" s="80" t="n"/>
      <c r="L279" s="80" t="n"/>
      <c r="M279" s="80" t="n"/>
    </row>
    <row r="280">
      <c r="A280" s="80" t="n"/>
      <c r="B280" s="80" t="n"/>
      <c r="C280" s="80" t="n"/>
      <c r="D280" s="80" t="n"/>
      <c r="E280" s="80" t="n"/>
      <c r="F280" s="80" t="n"/>
      <c r="G280" s="80" t="n"/>
      <c r="H280" s="80" t="n"/>
      <c r="I280" s="80" t="n"/>
      <c r="J280" s="80" t="n"/>
      <c r="K280" s="80" t="n"/>
      <c r="L280" s="80" t="n"/>
      <c r="M280" s="80" t="n"/>
    </row>
    <row r="281">
      <c r="A281" s="80" t="n"/>
      <c r="B281" s="80" t="n"/>
      <c r="C281" s="80" t="n"/>
      <c r="D281" s="80" t="n"/>
      <c r="E281" s="80" t="n"/>
      <c r="F281" s="80" t="n"/>
      <c r="G281" s="80" t="n"/>
      <c r="H281" s="80" t="n"/>
      <c r="I281" s="80" t="n"/>
      <c r="J281" s="80" t="n"/>
      <c r="K281" s="80" t="n"/>
      <c r="L281" s="80" t="n"/>
      <c r="M281" s="80" t="n"/>
    </row>
    <row r="282">
      <c r="A282" s="80" t="n"/>
      <c r="B282" s="80" t="n"/>
      <c r="C282" s="80" t="n"/>
      <c r="D282" s="80" t="n"/>
      <c r="E282" s="80" t="n"/>
      <c r="F282" s="80" t="n"/>
      <c r="G282" s="80" t="n"/>
      <c r="H282" s="80" t="n"/>
      <c r="I282" s="80" t="n"/>
      <c r="J282" s="80" t="n"/>
      <c r="K282" s="80" t="n"/>
      <c r="L282" s="80" t="n"/>
      <c r="M282" s="80" t="n"/>
    </row>
    <row r="283">
      <c r="A283" s="80" t="n"/>
      <c r="B283" s="80" t="n"/>
      <c r="C283" s="80" t="n"/>
      <c r="D283" s="80" t="n"/>
      <c r="E283" s="80" t="n"/>
      <c r="F283" s="80" t="n"/>
      <c r="G283" s="80" t="n"/>
      <c r="H283" s="80" t="n"/>
      <c r="I283" s="80" t="n"/>
      <c r="J283" s="80" t="n"/>
      <c r="K283" s="80" t="n"/>
      <c r="L283" s="80" t="n"/>
      <c r="M283" s="80" t="n"/>
    </row>
    <row r="284">
      <c r="A284" s="80" t="n"/>
      <c r="B284" s="80" t="n"/>
      <c r="C284" s="80" t="n"/>
      <c r="D284" s="80" t="n"/>
      <c r="E284" s="80" t="n"/>
      <c r="F284" s="80" t="n"/>
      <c r="G284" s="80" t="n"/>
      <c r="H284" s="80" t="n"/>
      <c r="I284" s="80" t="n"/>
      <c r="J284" s="80" t="n"/>
      <c r="K284" s="80" t="n"/>
      <c r="L284" s="80" t="n"/>
      <c r="M284" s="80" t="n"/>
    </row>
    <row r="285">
      <c r="A285" s="80" t="n"/>
      <c r="B285" s="80" t="n"/>
      <c r="C285" s="80" t="n"/>
      <c r="D285" s="80" t="n"/>
      <c r="E285" s="80" t="n"/>
      <c r="F285" s="80" t="n"/>
      <c r="G285" s="80" t="n"/>
      <c r="H285" s="80" t="n"/>
      <c r="I285" s="80" t="n"/>
      <c r="J285" s="80" t="n"/>
      <c r="K285" s="80" t="n"/>
      <c r="L285" s="80" t="n"/>
      <c r="M285" s="80" t="n"/>
    </row>
    <row r="286">
      <c r="A286" s="80" t="n"/>
      <c r="B286" s="80" t="n"/>
      <c r="C286" s="80" t="n"/>
      <c r="D286" s="80" t="n"/>
      <c r="E286" s="80" t="n"/>
      <c r="F286" s="80" t="n"/>
      <c r="G286" s="80" t="n"/>
      <c r="H286" s="80" t="n"/>
      <c r="I286" s="80" t="n"/>
      <c r="J286" s="80" t="n"/>
      <c r="K286" s="80" t="n"/>
      <c r="L286" s="80" t="n"/>
      <c r="M286" s="80" t="n"/>
    </row>
    <row r="287">
      <c r="A287" s="80" t="n"/>
      <c r="B287" s="80" t="n"/>
      <c r="C287" s="80" t="n"/>
      <c r="D287" s="80" t="n"/>
      <c r="E287" s="80" t="n"/>
      <c r="F287" s="80" t="n"/>
      <c r="G287" s="80" t="n"/>
      <c r="H287" s="80" t="n"/>
      <c r="I287" s="80" t="n"/>
      <c r="J287" s="80" t="n"/>
      <c r="K287" s="80" t="n"/>
      <c r="L287" s="80" t="n"/>
      <c r="M287" s="80" t="n"/>
    </row>
    <row r="288">
      <c r="A288" s="80" t="n"/>
      <c r="B288" s="80" t="n"/>
      <c r="C288" s="80" t="n"/>
      <c r="D288" s="80" t="n"/>
      <c r="E288" s="80" t="n"/>
      <c r="F288" s="80" t="n"/>
      <c r="G288" s="80" t="n"/>
      <c r="H288" s="80" t="n"/>
      <c r="I288" s="80" t="n"/>
      <c r="J288" s="80" t="n"/>
      <c r="K288" s="80" t="n"/>
      <c r="L288" s="80" t="n"/>
      <c r="M288" s="80" t="n"/>
    </row>
    <row r="289">
      <c r="A289" s="80" t="n"/>
      <c r="B289" s="80" t="n"/>
      <c r="C289" s="80" t="n"/>
      <c r="D289" s="80" t="n"/>
      <c r="E289" s="80" t="n"/>
      <c r="F289" s="80" t="n"/>
      <c r="G289" s="80" t="n"/>
      <c r="H289" s="80" t="n"/>
      <c r="I289" s="80" t="n"/>
      <c r="J289" s="80" t="n"/>
      <c r="K289" s="80" t="n"/>
      <c r="L289" s="80" t="n"/>
      <c r="M289" s="80" t="n"/>
    </row>
    <row r="290">
      <c r="A290" s="80" t="n"/>
      <c r="B290" s="80" t="n"/>
      <c r="C290" s="80" t="n"/>
      <c r="D290" s="80" t="n"/>
      <c r="E290" s="80" t="n"/>
      <c r="F290" s="80" t="n"/>
      <c r="G290" s="80" t="n"/>
      <c r="H290" s="80" t="n"/>
      <c r="I290" s="80" t="n"/>
      <c r="J290" s="80" t="n"/>
      <c r="K290" s="80" t="n"/>
      <c r="L290" s="80" t="n"/>
      <c r="M290" s="80" t="n"/>
    </row>
    <row r="291">
      <c r="A291" s="80" t="n"/>
      <c r="B291" s="80" t="n"/>
      <c r="C291" s="80" t="n"/>
      <c r="D291" s="80" t="n"/>
      <c r="E291" s="80" t="n"/>
      <c r="F291" s="80" t="n"/>
      <c r="G291" s="80" t="n"/>
      <c r="H291" s="80" t="n"/>
      <c r="I291" s="80" t="n"/>
      <c r="J291" s="80" t="n"/>
      <c r="K291" s="80" t="n"/>
      <c r="L291" s="80" t="n"/>
      <c r="M291" s="80" t="n"/>
    </row>
    <row r="292">
      <c r="A292" s="80" t="n"/>
      <c r="B292" s="80" t="n"/>
      <c r="C292" s="80" t="n"/>
      <c r="D292" s="80" t="n"/>
      <c r="E292" s="80" t="n"/>
      <c r="F292" s="80" t="n"/>
      <c r="G292" s="80" t="n"/>
      <c r="H292" s="80" t="n"/>
      <c r="I292" s="80" t="n"/>
      <c r="J292" s="80" t="n"/>
      <c r="K292" s="80" t="n"/>
      <c r="L292" s="80" t="n"/>
      <c r="M292" s="80" t="n"/>
    </row>
    <row r="293">
      <c r="A293" s="80" t="n"/>
      <c r="B293" s="80" t="n"/>
      <c r="C293" s="80" t="n"/>
      <c r="D293" s="80" t="n"/>
      <c r="E293" s="80" t="n"/>
      <c r="F293" s="80" t="n"/>
      <c r="G293" s="80" t="n"/>
      <c r="H293" s="80" t="n"/>
      <c r="I293" s="80" t="n"/>
      <c r="J293" s="80" t="n"/>
      <c r="K293" s="80" t="n"/>
      <c r="L293" s="80" t="n"/>
      <c r="M293" s="80" t="n"/>
    </row>
    <row r="294">
      <c r="A294" s="80" t="n"/>
      <c r="B294" s="80" t="n"/>
      <c r="C294" s="80" t="n"/>
      <c r="D294" s="80" t="n"/>
      <c r="E294" s="80" t="n"/>
      <c r="F294" s="80" t="n"/>
      <c r="G294" s="80" t="n"/>
      <c r="H294" s="80" t="n"/>
      <c r="I294" s="80" t="n"/>
      <c r="J294" s="80" t="n"/>
      <c r="K294" s="80" t="n"/>
      <c r="L294" s="80" t="n"/>
      <c r="M294" s="80" t="n"/>
    </row>
    <row r="295">
      <c r="A295" s="80" t="n"/>
      <c r="B295" s="80" t="n"/>
      <c r="C295" s="80" t="n"/>
      <c r="D295" s="80" t="n"/>
      <c r="E295" s="80" t="n"/>
      <c r="F295" s="80" t="n"/>
      <c r="G295" s="80" t="n"/>
      <c r="H295" s="80" t="n"/>
      <c r="I295" s="80" t="n"/>
      <c r="J295" s="80" t="n"/>
      <c r="K295" s="80" t="n"/>
      <c r="L295" s="80" t="n"/>
      <c r="M295" s="80" t="n"/>
    </row>
    <row r="296">
      <c r="A296" s="80" t="n"/>
      <c r="B296" s="80" t="n"/>
      <c r="C296" s="80" t="n"/>
      <c r="D296" s="80" t="n"/>
      <c r="E296" s="80" t="n"/>
      <c r="F296" s="80" t="n"/>
      <c r="G296" s="80" t="n"/>
      <c r="H296" s="80" t="n"/>
      <c r="I296" s="80" t="n"/>
      <c r="J296" s="80" t="n"/>
      <c r="K296" s="80" t="n"/>
      <c r="L296" s="80" t="n"/>
      <c r="M296" s="80" t="n"/>
    </row>
    <row r="297">
      <c r="A297" s="80" t="n"/>
      <c r="B297" s="80" t="n"/>
      <c r="C297" s="80" t="n"/>
      <c r="D297" s="80" t="n"/>
      <c r="E297" s="80" t="n"/>
      <c r="F297" s="80" t="n"/>
      <c r="G297" s="80" t="n"/>
      <c r="H297" s="80" t="n"/>
      <c r="I297" s="80" t="n"/>
      <c r="J297" s="80" t="n"/>
      <c r="K297" s="80" t="n"/>
      <c r="L297" s="80" t="n"/>
      <c r="M297" s="80" t="n"/>
    </row>
    <row r="298">
      <c r="A298" s="80" t="n"/>
      <c r="B298" s="80" t="n"/>
      <c r="C298" s="80" t="n"/>
      <c r="D298" s="80" t="n"/>
      <c r="E298" s="80" t="n"/>
      <c r="F298" s="80" t="n"/>
      <c r="G298" s="80" t="n"/>
      <c r="H298" s="80" t="n"/>
      <c r="I298" s="80" t="n"/>
      <c r="J298" s="80" t="n"/>
      <c r="K298" s="80" t="n"/>
      <c r="L298" s="80" t="n"/>
      <c r="M298" s="80" t="n"/>
    </row>
    <row r="299">
      <c r="A299" s="80" t="n"/>
      <c r="B299" s="80" t="n"/>
      <c r="C299" s="80" t="n"/>
      <c r="D299" s="80" t="n"/>
      <c r="E299" s="80" t="n"/>
      <c r="F299" s="80" t="n"/>
      <c r="G299" s="80" t="n"/>
      <c r="H299" s="80" t="n"/>
      <c r="I299" s="80" t="n"/>
      <c r="J299" s="80" t="n"/>
      <c r="K299" s="80" t="n"/>
      <c r="L299" s="80" t="n"/>
      <c r="M299" s="80" t="n"/>
    </row>
    <row r="300">
      <c r="A300" s="80" t="n"/>
      <c r="B300" s="80" t="n"/>
      <c r="C300" s="80" t="n"/>
      <c r="D300" s="80" t="n"/>
      <c r="E300" s="80" t="n"/>
      <c r="F300" s="80" t="n"/>
      <c r="G300" s="80" t="n"/>
      <c r="H300" s="80" t="n"/>
      <c r="I300" s="80" t="n"/>
      <c r="J300" s="80" t="n"/>
      <c r="K300" s="80" t="n"/>
      <c r="L300" s="80" t="n"/>
      <c r="M300" s="80" t="n"/>
    </row>
    <row r="301">
      <c r="A301" s="80" t="n"/>
      <c r="B301" s="80" t="n"/>
      <c r="C301" s="80" t="n"/>
      <c r="D301" s="80" t="n"/>
      <c r="E301" s="80" t="n"/>
      <c r="F301" s="80" t="n"/>
      <c r="G301" s="80" t="n"/>
      <c r="H301" s="80" t="n"/>
      <c r="I301" s="80" t="n"/>
      <c r="J301" s="80" t="n"/>
      <c r="K301" s="80" t="n"/>
      <c r="L301" s="80" t="n"/>
      <c r="M301" s="80" t="n"/>
    </row>
    <row r="302">
      <c r="A302" s="80" t="n"/>
      <c r="B302" s="80" t="n"/>
      <c r="C302" s="80" t="n"/>
      <c r="D302" s="80" t="n"/>
      <c r="E302" s="80" t="n"/>
      <c r="F302" s="80" t="n"/>
      <c r="G302" s="80" t="n"/>
      <c r="H302" s="80" t="n"/>
      <c r="I302" s="80" t="n"/>
      <c r="J302" s="80" t="n"/>
      <c r="K302" s="80" t="n"/>
      <c r="L302" s="80" t="n"/>
      <c r="M302" s="80" t="n"/>
    </row>
    <row r="303">
      <c r="A303" s="80" t="n"/>
      <c r="B303" s="80" t="n"/>
      <c r="C303" s="80" t="n"/>
      <c r="D303" s="80" t="n"/>
      <c r="E303" s="80" t="n"/>
      <c r="F303" s="80" t="n"/>
      <c r="G303" s="80" t="n"/>
      <c r="H303" s="80" t="n"/>
      <c r="I303" s="80" t="n"/>
      <c r="J303" s="80" t="n"/>
      <c r="K303" s="80" t="n"/>
      <c r="L303" s="80" t="n"/>
      <c r="M303" s="80" t="n"/>
    </row>
    <row r="304">
      <c r="A304" s="80" t="n"/>
      <c r="B304" s="80" t="n"/>
      <c r="C304" s="80" t="n"/>
      <c r="D304" s="80" t="n"/>
      <c r="E304" s="80" t="n"/>
      <c r="F304" s="80" t="n"/>
      <c r="G304" s="80" t="n"/>
      <c r="H304" s="80" t="n"/>
      <c r="I304" s="80" t="n"/>
      <c r="J304" s="80" t="n"/>
      <c r="K304" s="80" t="n"/>
      <c r="L304" s="80" t="n"/>
      <c r="M304" s="80" t="n"/>
    </row>
    <row r="305">
      <c r="A305" s="80" t="n"/>
      <c r="B305" s="80" t="n"/>
      <c r="C305" s="80" t="n"/>
      <c r="D305" s="80" t="n"/>
      <c r="E305" s="80" t="n"/>
      <c r="F305" s="80" t="n"/>
      <c r="G305" s="80" t="n"/>
      <c r="H305" s="80" t="n"/>
      <c r="I305" s="80" t="n"/>
      <c r="J305" s="80" t="n"/>
      <c r="K305" s="80" t="n"/>
      <c r="L305" s="80" t="n"/>
      <c r="M305" s="80" t="n"/>
    </row>
    <row r="306">
      <c r="A306" s="80" t="n"/>
      <c r="B306" s="80" t="n"/>
      <c r="C306" s="80" t="n"/>
      <c r="D306" s="80" t="n"/>
      <c r="E306" s="80" t="n"/>
      <c r="F306" s="80" t="n"/>
      <c r="G306" s="80" t="n"/>
      <c r="H306" s="80" t="n"/>
      <c r="I306" s="80" t="n"/>
      <c r="J306" s="80" t="n"/>
      <c r="K306" s="80" t="n"/>
      <c r="L306" s="80" t="n"/>
      <c r="M306" s="80" t="n"/>
    </row>
    <row r="307">
      <c r="A307" s="80" t="n"/>
      <c r="B307" s="80" t="n"/>
      <c r="C307" s="80" t="n"/>
      <c r="D307" s="80" t="n"/>
      <c r="E307" s="80" t="n"/>
      <c r="F307" s="80" t="n"/>
      <c r="G307" s="80" t="n"/>
      <c r="H307" s="80" t="n"/>
      <c r="I307" s="80" t="n"/>
      <c r="J307" s="80" t="n"/>
      <c r="K307" s="80" t="n"/>
      <c r="L307" s="80" t="n"/>
      <c r="M307" s="80" t="n"/>
    </row>
    <row r="308">
      <c r="A308" s="80" t="n"/>
      <c r="B308" s="80" t="n"/>
      <c r="C308" s="80" t="n"/>
      <c r="D308" s="80" t="n"/>
      <c r="E308" s="80" t="n"/>
      <c r="F308" s="80" t="n"/>
      <c r="G308" s="80" t="n"/>
      <c r="H308" s="80" t="n"/>
      <c r="I308" s="80" t="n"/>
      <c r="J308" s="80" t="n"/>
      <c r="K308" s="80" t="n"/>
      <c r="L308" s="80" t="n"/>
      <c r="M308" s="80" t="n"/>
    </row>
    <row r="309">
      <c r="A309" s="80" t="n"/>
      <c r="B309" s="80" t="n"/>
      <c r="C309" s="80" t="n"/>
      <c r="D309" s="80" t="n"/>
      <c r="E309" s="80" t="n"/>
      <c r="F309" s="80" t="n"/>
      <c r="G309" s="80" t="n"/>
      <c r="H309" s="80" t="n"/>
      <c r="I309" s="80" t="n"/>
      <c r="J309" s="80" t="n"/>
      <c r="K309" s="80" t="n"/>
      <c r="L309" s="80" t="n"/>
      <c r="M309" s="80" t="n"/>
    </row>
    <row r="310">
      <c r="A310" s="80" t="n"/>
      <c r="B310" s="80" t="n"/>
      <c r="C310" s="80" t="n"/>
      <c r="D310" s="80" t="n"/>
      <c r="E310" s="80" t="n"/>
      <c r="F310" s="80" t="n"/>
      <c r="G310" s="80" t="n"/>
      <c r="H310" s="80" t="n"/>
      <c r="I310" s="80" t="n"/>
      <c r="J310" s="80" t="n"/>
      <c r="K310" s="80" t="n"/>
      <c r="L310" s="80" t="n"/>
      <c r="M310" s="80" t="n"/>
    </row>
    <row r="311">
      <c r="A311" s="80" t="n"/>
      <c r="B311" s="80" t="n"/>
      <c r="C311" s="80" t="n"/>
      <c r="D311" s="80" t="n"/>
      <c r="E311" s="80" t="n"/>
      <c r="F311" s="80" t="n"/>
      <c r="G311" s="80" t="n"/>
      <c r="H311" s="80" t="n"/>
      <c r="I311" s="80" t="n"/>
      <c r="J311" s="80" t="n"/>
      <c r="K311" s="80" t="n"/>
      <c r="L311" s="80" t="n"/>
      <c r="M311" s="80" t="n"/>
    </row>
    <row r="312">
      <c r="A312" s="80" t="n"/>
      <c r="B312" s="80" t="n"/>
      <c r="C312" s="80" t="n"/>
      <c r="D312" s="80" t="n"/>
      <c r="E312" s="80" t="n"/>
      <c r="F312" s="80" t="n"/>
      <c r="G312" s="80" t="n"/>
      <c r="H312" s="80" t="n"/>
      <c r="I312" s="80" t="n"/>
      <c r="J312" s="80" t="n"/>
      <c r="K312" s="80" t="n"/>
      <c r="L312" s="80" t="n"/>
      <c r="M312" s="80" t="n"/>
    </row>
    <row r="313">
      <c r="A313" s="80" t="n"/>
      <c r="B313" s="80" t="n"/>
      <c r="C313" s="80" t="n"/>
      <c r="D313" s="80" t="n"/>
      <c r="E313" s="80" t="n"/>
      <c r="F313" s="80" t="n"/>
      <c r="G313" s="80" t="n"/>
      <c r="H313" s="80" t="n"/>
      <c r="I313" s="80" t="n"/>
      <c r="J313" s="80" t="n"/>
      <c r="K313" s="80" t="n"/>
      <c r="L313" s="80" t="n"/>
      <c r="M313" s="80" t="n"/>
    </row>
    <row r="314">
      <c r="A314" s="80" t="n"/>
      <c r="B314" s="80" t="n"/>
      <c r="C314" s="80" t="n"/>
      <c r="D314" s="80" t="n"/>
      <c r="E314" s="80" t="n"/>
      <c r="F314" s="80" t="n"/>
      <c r="G314" s="80" t="n"/>
      <c r="H314" s="80" t="n"/>
      <c r="I314" s="80" t="n"/>
      <c r="J314" s="80" t="n"/>
      <c r="K314" s="80" t="n"/>
      <c r="L314" s="80" t="n"/>
      <c r="M314" s="80" t="n"/>
    </row>
    <row r="315">
      <c r="A315" s="80" t="n"/>
      <c r="B315" s="80" t="n"/>
      <c r="C315" s="80" t="n"/>
      <c r="D315" s="80" t="n"/>
      <c r="E315" s="80" t="n"/>
      <c r="F315" s="80" t="n"/>
      <c r="G315" s="80" t="n"/>
      <c r="H315" s="80" t="n"/>
      <c r="I315" s="80" t="n"/>
      <c r="J315" s="80" t="n"/>
      <c r="K315" s="80" t="n"/>
      <c r="L315" s="80" t="n"/>
      <c r="M315" s="80" t="n"/>
    </row>
    <row r="316">
      <c r="A316" s="80" t="n"/>
      <c r="B316" s="80" t="n"/>
      <c r="C316" s="80" t="n"/>
      <c r="D316" s="80" t="n"/>
      <c r="E316" s="80" t="n"/>
      <c r="F316" s="80" t="n"/>
      <c r="G316" s="80" t="n"/>
      <c r="H316" s="80" t="n"/>
      <c r="I316" s="80" t="n"/>
      <c r="J316" s="80" t="n"/>
      <c r="K316" s="80" t="n"/>
      <c r="L316" s="80" t="n"/>
      <c r="M316" s="80" t="n"/>
    </row>
    <row r="317">
      <c r="A317" s="80" t="n"/>
      <c r="B317" s="80" t="n"/>
      <c r="C317" s="80" t="n"/>
      <c r="D317" s="80" t="n"/>
      <c r="E317" s="80" t="n"/>
      <c r="F317" s="80" t="n"/>
      <c r="G317" s="80" t="n"/>
      <c r="H317" s="80" t="n"/>
      <c r="I317" s="80" t="n"/>
      <c r="J317" s="80" t="n"/>
      <c r="K317" s="80" t="n"/>
      <c r="L317" s="80" t="n"/>
      <c r="M317" s="80" t="n"/>
    </row>
    <row r="318">
      <c r="A318" s="80" t="n"/>
      <c r="B318" s="80" t="n"/>
      <c r="C318" s="80" t="n"/>
      <c r="D318" s="80" t="n"/>
      <c r="E318" s="80" t="n"/>
      <c r="F318" s="80" t="n"/>
      <c r="G318" s="80" t="n"/>
      <c r="H318" s="80" t="n"/>
      <c r="I318" s="80" t="n"/>
      <c r="J318" s="80" t="n"/>
      <c r="K318" s="80" t="n"/>
      <c r="L318" s="80" t="n"/>
      <c r="M318" s="80" t="n"/>
    </row>
    <row r="319">
      <c r="A319" s="80" t="n"/>
      <c r="B319" s="80" t="n"/>
      <c r="C319" s="80" t="n"/>
      <c r="D319" s="80" t="n"/>
      <c r="E319" s="80" t="n"/>
      <c r="F319" s="80" t="n"/>
      <c r="G319" s="80" t="n"/>
      <c r="H319" s="80" t="n"/>
      <c r="I319" s="80" t="n"/>
      <c r="J319" s="80" t="n"/>
      <c r="K319" s="80" t="n"/>
      <c r="L319" s="80" t="n"/>
      <c r="M319" s="80" t="n"/>
    </row>
    <row r="320">
      <c r="A320" s="80" t="n"/>
      <c r="B320" s="80" t="n"/>
      <c r="C320" s="80" t="n"/>
      <c r="D320" s="80" t="n"/>
      <c r="E320" s="80" t="n"/>
      <c r="F320" s="80" t="n"/>
      <c r="G320" s="80" t="n"/>
      <c r="H320" s="80" t="n"/>
      <c r="I320" s="80" t="n"/>
      <c r="J320" s="80" t="n"/>
      <c r="K320" s="80" t="n"/>
      <c r="L320" s="80" t="n"/>
      <c r="M320" s="80" t="n"/>
    </row>
    <row r="321">
      <c r="A321" s="80" t="n"/>
      <c r="B321" s="80" t="n"/>
      <c r="C321" s="80" t="n"/>
      <c r="D321" s="80" t="n"/>
      <c r="E321" s="80" t="n"/>
      <c r="F321" s="80" t="n"/>
      <c r="G321" s="80" t="n"/>
      <c r="H321" s="80" t="n"/>
      <c r="I321" s="80" t="n"/>
      <c r="J321" s="80" t="n"/>
      <c r="K321" s="80" t="n"/>
      <c r="L321" s="80" t="n"/>
      <c r="M321" s="80" t="n"/>
    </row>
    <row r="322">
      <c r="A322" s="80" t="n"/>
      <c r="B322" s="80" t="n"/>
      <c r="C322" s="80" t="n"/>
      <c r="D322" s="80" t="n"/>
      <c r="E322" s="80" t="n"/>
      <c r="F322" s="80" t="n"/>
      <c r="G322" s="80" t="n"/>
      <c r="H322" s="80" t="n"/>
      <c r="I322" s="80" t="n"/>
      <c r="J322" s="80" t="n"/>
      <c r="K322" s="80" t="n"/>
      <c r="L322" s="80" t="n"/>
      <c r="M322" s="80" t="n"/>
    </row>
    <row r="323">
      <c r="A323" s="80" t="n"/>
      <c r="B323" s="80" t="n"/>
      <c r="C323" s="80" t="n"/>
      <c r="D323" s="80" t="n"/>
      <c r="E323" s="80" t="n"/>
      <c r="F323" s="80" t="n"/>
      <c r="G323" s="80" t="n"/>
      <c r="H323" s="80" t="n"/>
      <c r="I323" s="80" t="n"/>
      <c r="J323" s="80" t="n"/>
      <c r="K323" s="80" t="n"/>
      <c r="L323" s="80" t="n"/>
      <c r="M323" s="80" t="n"/>
    </row>
    <row r="324">
      <c r="A324" s="80" t="n"/>
      <c r="B324" s="80" t="n"/>
      <c r="C324" s="80" t="n"/>
      <c r="D324" s="80" t="n"/>
      <c r="E324" s="80" t="n"/>
      <c r="F324" s="80" t="n"/>
      <c r="G324" s="80" t="n"/>
      <c r="H324" s="80" t="n"/>
      <c r="I324" s="80" t="n"/>
      <c r="J324" s="80" t="n"/>
      <c r="K324" s="80" t="n"/>
      <c r="L324" s="80" t="n"/>
      <c r="M324" s="80" t="n"/>
    </row>
    <row r="325">
      <c r="A325" s="80" t="n"/>
      <c r="B325" s="80" t="n"/>
      <c r="C325" s="80" t="n"/>
      <c r="D325" s="80" t="n"/>
      <c r="E325" s="80" t="n"/>
      <c r="F325" s="80" t="n"/>
      <c r="G325" s="80" t="n"/>
      <c r="H325" s="80" t="n"/>
      <c r="I325" s="80" t="n"/>
      <c r="J325" s="80" t="n"/>
      <c r="K325" s="80" t="n"/>
      <c r="L325" s="80" t="n"/>
      <c r="M325" s="80" t="n"/>
    </row>
    <row r="326">
      <c r="A326" s="80" t="n"/>
      <c r="B326" s="80" t="n"/>
      <c r="C326" s="80" t="n"/>
      <c r="D326" s="80" t="n"/>
      <c r="E326" s="80" t="n"/>
      <c r="F326" s="80" t="n"/>
      <c r="G326" s="80" t="n"/>
      <c r="H326" s="80" t="n"/>
      <c r="I326" s="80" t="n"/>
      <c r="J326" s="80" t="n"/>
      <c r="K326" s="80" t="n"/>
      <c r="L326" s="80" t="n"/>
      <c r="M326" s="80" t="n"/>
    </row>
    <row r="327">
      <c r="A327" s="80" t="n"/>
      <c r="B327" s="80" t="n"/>
      <c r="C327" s="80" t="n"/>
      <c r="D327" s="80" t="n"/>
      <c r="E327" s="80" t="n"/>
      <c r="F327" s="80" t="n"/>
      <c r="G327" s="80" t="n"/>
      <c r="H327" s="80" t="n"/>
      <c r="I327" s="80" t="n"/>
      <c r="J327" s="80" t="n"/>
      <c r="K327" s="80" t="n"/>
      <c r="L327" s="80" t="n"/>
      <c r="M327" s="80" t="n"/>
    </row>
    <row r="328">
      <c r="A328" s="80" t="n"/>
      <c r="B328" s="80" t="n"/>
      <c r="C328" s="80" t="n"/>
      <c r="D328" s="80" t="n"/>
      <c r="E328" s="80" t="n"/>
      <c r="F328" s="80" t="n"/>
      <c r="G328" s="80" t="n"/>
      <c r="H328" s="80" t="n"/>
      <c r="I328" s="80" t="n"/>
      <c r="J328" s="80" t="n"/>
      <c r="K328" s="80" t="n"/>
      <c r="L328" s="80" t="n"/>
      <c r="M328" s="80" t="n"/>
    </row>
    <row r="329">
      <c r="A329" s="80" t="n"/>
      <c r="B329" s="80" t="n"/>
      <c r="C329" s="80" t="n"/>
      <c r="D329" s="80" t="n"/>
      <c r="E329" s="80" t="n"/>
      <c r="F329" s="80" t="n"/>
      <c r="G329" s="80" t="n"/>
      <c r="H329" s="80" t="n"/>
      <c r="I329" s="80" t="n"/>
      <c r="J329" s="80" t="n"/>
      <c r="K329" s="80" t="n"/>
      <c r="L329" s="80" t="n"/>
      <c r="M329" s="80" t="n"/>
    </row>
    <row r="330">
      <c r="A330" s="80" t="n"/>
      <c r="B330" s="80" t="n"/>
      <c r="C330" s="80" t="n"/>
      <c r="D330" s="80" t="n"/>
      <c r="E330" s="80" t="n"/>
      <c r="F330" s="80" t="n"/>
      <c r="G330" s="80" t="n"/>
      <c r="H330" s="80" t="n"/>
      <c r="I330" s="80" t="n"/>
      <c r="J330" s="80" t="n"/>
      <c r="K330" s="80" t="n"/>
      <c r="L330" s="80" t="n"/>
      <c r="M330" s="80" t="n"/>
    </row>
    <row r="331">
      <c r="A331" s="80" t="n"/>
      <c r="B331" s="80" t="n"/>
      <c r="C331" s="80" t="n"/>
      <c r="D331" s="80" t="n"/>
      <c r="E331" s="80" t="n"/>
      <c r="F331" s="80" t="n"/>
      <c r="G331" s="80" t="n"/>
      <c r="H331" s="80" t="n"/>
      <c r="I331" s="80" t="n"/>
      <c r="J331" s="80" t="n"/>
      <c r="K331" s="80" t="n"/>
      <c r="L331" s="80" t="n"/>
      <c r="M331" s="80" t="n"/>
    </row>
    <row r="332">
      <c r="A332" s="80" t="n"/>
      <c r="B332" s="80" t="n"/>
      <c r="C332" s="80" t="n"/>
      <c r="D332" s="80" t="n"/>
      <c r="E332" s="80" t="n"/>
      <c r="F332" s="80" t="n"/>
      <c r="G332" s="80" t="n"/>
      <c r="H332" s="80" t="n"/>
      <c r="I332" s="80" t="n"/>
      <c r="J332" s="80" t="n"/>
      <c r="K332" s="80" t="n"/>
      <c r="L332" s="80" t="n"/>
      <c r="M332" s="80" t="n"/>
    </row>
    <row r="333">
      <c r="A333" s="80" t="n"/>
      <c r="B333" s="80" t="n"/>
      <c r="C333" s="80" t="n"/>
      <c r="D333" s="80" t="n"/>
      <c r="E333" s="80" t="n"/>
      <c r="F333" s="80" t="n"/>
      <c r="G333" s="80" t="n"/>
      <c r="H333" s="80" t="n"/>
      <c r="I333" s="80" t="n"/>
      <c r="J333" s="80" t="n"/>
      <c r="K333" s="80" t="n"/>
      <c r="L333" s="80" t="n"/>
      <c r="M333" s="80" t="n"/>
    </row>
    <row r="334">
      <c r="A334" s="80" t="n"/>
      <c r="B334" s="80" t="n"/>
      <c r="C334" s="80" t="n"/>
      <c r="D334" s="80" t="n"/>
      <c r="E334" s="80" t="n"/>
      <c r="F334" s="80" t="n"/>
      <c r="G334" s="80" t="n"/>
      <c r="H334" s="80" t="n"/>
      <c r="I334" s="80" t="n"/>
      <c r="J334" s="80" t="n"/>
      <c r="K334" s="80" t="n"/>
      <c r="L334" s="80" t="n"/>
      <c r="M334" s="80" t="n"/>
    </row>
    <row r="335">
      <c r="A335" s="80" t="n"/>
      <c r="B335" s="80" t="n"/>
      <c r="C335" s="80" t="n"/>
      <c r="D335" s="80" t="n"/>
      <c r="E335" s="80" t="n"/>
      <c r="F335" s="80" t="n"/>
      <c r="G335" s="80" t="n"/>
      <c r="H335" s="80" t="n"/>
      <c r="I335" s="80" t="n"/>
      <c r="J335" s="80" t="n"/>
      <c r="K335" s="80" t="n"/>
      <c r="L335" s="80" t="n"/>
      <c r="M335" s="80" t="n"/>
    </row>
    <row r="336">
      <c r="A336" s="80" t="n"/>
      <c r="B336" s="80" t="n"/>
      <c r="C336" s="80" t="n"/>
      <c r="D336" s="80" t="n"/>
      <c r="E336" s="80" t="n"/>
      <c r="F336" s="80" t="n"/>
      <c r="G336" s="80" t="n"/>
      <c r="H336" s="80" t="n"/>
      <c r="I336" s="80" t="n"/>
      <c r="J336" s="80" t="n"/>
      <c r="K336" s="80" t="n"/>
      <c r="L336" s="80" t="n"/>
      <c r="M336" s="80" t="n"/>
    </row>
    <row r="337">
      <c r="A337" s="80" t="n"/>
      <c r="B337" s="80" t="n"/>
      <c r="C337" s="80" t="n"/>
      <c r="D337" s="80" t="n"/>
      <c r="E337" s="80" t="n"/>
      <c r="F337" s="80" t="n"/>
      <c r="G337" s="80" t="n"/>
      <c r="H337" s="80" t="n"/>
      <c r="I337" s="80" t="n"/>
      <c r="J337" s="80" t="n"/>
      <c r="K337" s="80" t="n"/>
      <c r="L337" s="80" t="n"/>
      <c r="M337" s="80" t="n"/>
    </row>
    <row r="338">
      <c r="A338" s="80" t="n"/>
      <c r="B338" s="80" t="n"/>
      <c r="C338" s="80" t="n"/>
      <c r="D338" s="80" t="n"/>
      <c r="E338" s="80" t="n"/>
      <c r="F338" s="80" t="n"/>
      <c r="G338" s="80" t="n"/>
      <c r="H338" s="80" t="n"/>
      <c r="I338" s="80" t="n"/>
      <c r="J338" s="80" t="n"/>
      <c r="K338" s="80" t="n"/>
      <c r="L338" s="80" t="n"/>
      <c r="M338" s="80" t="n"/>
    </row>
    <row r="339">
      <c r="A339" s="80" t="n"/>
      <c r="B339" s="80" t="n"/>
      <c r="C339" s="80" t="n"/>
      <c r="D339" s="80" t="n"/>
      <c r="E339" s="80" t="n"/>
      <c r="F339" s="80" t="n"/>
      <c r="G339" s="80" t="n"/>
      <c r="H339" s="80" t="n"/>
      <c r="I339" s="80" t="n"/>
      <c r="J339" s="80" t="n"/>
      <c r="K339" s="80" t="n"/>
      <c r="L339" s="80" t="n"/>
      <c r="M339" s="80" t="n"/>
    </row>
    <row r="340">
      <c r="A340" s="80" t="n"/>
      <c r="B340" s="80" t="n"/>
      <c r="C340" s="80" t="n"/>
      <c r="D340" s="80" t="n"/>
      <c r="E340" s="80" t="n"/>
      <c r="F340" s="80" t="n"/>
      <c r="G340" s="80" t="n"/>
      <c r="H340" s="80" t="n"/>
      <c r="I340" s="80" t="n"/>
      <c r="J340" s="80" t="n"/>
      <c r="K340" s="80" t="n"/>
      <c r="L340" s="80" t="n"/>
      <c r="M340" s="80" t="n"/>
    </row>
    <row r="341">
      <c r="A341" s="80" t="n"/>
      <c r="B341" s="80" t="n"/>
      <c r="C341" s="80" t="n"/>
      <c r="D341" s="80" t="n"/>
      <c r="E341" s="80" t="n"/>
      <c r="F341" s="80" t="n"/>
      <c r="G341" s="80" t="n"/>
      <c r="H341" s="80" t="n"/>
      <c r="I341" s="80" t="n"/>
      <c r="J341" s="80" t="n"/>
      <c r="K341" s="80" t="n"/>
      <c r="L341" s="80" t="n"/>
      <c r="M341" s="80" t="n"/>
    </row>
    <row r="342">
      <c r="A342" s="80" t="n"/>
      <c r="B342" s="80" t="n"/>
      <c r="C342" s="80" t="n"/>
      <c r="D342" s="80" t="n"/>
      <c r="E342" s="80" t="n"/>
      <c r="F342" s="80" t="n"/>
      <c r="G342" s="80" t="n"/>
      <c r="H342" s="80" t="n"/>
      <c r="I342" s="80" t="n"/>
      <c r="J342" s="80" t="n"/>
      <c r="K342" s="80" t="n"/>
      <c r="L342" s="80" t="n"/>
      <c r="M342" s="80" t="n"/>
    </row>
    <row r="343">
      <c r="A343" s="80" t="n"/>
      <c r="B343" s="80" t="n"/>
      <c r="C343" s="80" t="n"/>
      <c r="D343" s="80" t="n"/>
      <c r="E343" s="80" t="n"/>
      <c r="F343" s="80" t="n"/>
      <c r="G343" s="80" t="n"/>
      <c r="H343" s="80" t="n"/>
      <c r="I343" s="80" t="n"/>
      <c r="J343" s="80" t="n"/>
      <c r="K343" s="80" t="n"/>
      <c r="L343" s="80" t="n"/>
      <c r="M343" s="80" t="n"/>
    </row>
    <row r="344">
      <c r="A344" s="80" t="n"/>
      <c r="B344" s="80" t="n"/>
      <c r="C344" s="80" t="n"/>
      <c r="D344" s="80" t="n"/>
      <c r="E344" s="80" t="n"/>
      <c r="F344" s="80" t="n"/>
      <c r="G344" s="80" t="n"/>
      <c r="H344" s="80" t="n"/>
      <c r="I344" s="80" t="n"/>
      <c r="J344" s="80" t="n"/>
      <c r="K344" s="80" t="n"/>
      <c r="L344" s="80" t="n"/>
      <c r="M344" s="80" t="n"/>
    </row>
    <row r="345">
      <c r="A345" s="80" t="n"/>
      <c r="B345" s="80" t="n"/>
      <c r="C345" s="80" t="n"/>
      <c r="D345" s="80" t="n"/>
      <c r="E345" s="80" t="n"/>
      <c r="F345" s="80" t="n"/>
      <c r="G345" s="80" t="n"/>
      <c r="H345" s="80" t="n"/>
      <c r="I345" s="80" t="n"/>
      <c r="J345" s="80" t="n"/>
      <c r="K345" s="80" t="n"/>
      <c r="L345" s="80" t="n"/>
      <c r="M345" s="80" t="n"/>
    </row>
    <row r="346">
      <c r="A346" s="80" t="n"/>
      <c r="B346" s="80" t="n"/>
      <c r="C346" s="80" t="n"/>
      <c r="D346" s="80" t="n"/>
      <c r="E346" s="80" t="n"/>
      <c r="F346" s="80" t="n"/>
      <c r="G346" s="80" t="n"/>
      <c r="H346" s="80" t="n"/>
      <c r="I346" s="80" t="n"/>
      <c r="J346" s="80" t="n"/>
      <c r="K346" s="80" t="n"/>
      <c r="L346" s="80" t="n"/>
      <c r="M346" s="80" t="n"/>
    </row>
    <row r="347">
      <c r="A347" s="80" t="n"/>
      <c r="B347" s="80" t="n"/>
      <c r="C347" s="80" t="n"/>
      <c r="D347" s="80" t="n"/>
      <c r="E347" s="80" t="n"/>
      <c r="F347" s="80" t="n"/>
      <c r="G347" s="80" t="n"/>
      <c r="H347" s="80" t="n"/>
      <c r="I347" s="80" t="n"/>
      <c r="J347" s="80" t="n"/>
      <c r="K347" s="80" t="n"/>
      <c r="L347" s="80" t="n"/>
      <c r="M347" s="80" t="n"/>
    </row>
    <row r="348">
      <c r="A348" s="80" t="n"/>
      <c r="B348" s="80" t="n"/>
      <c r="C348" s="80" t="n"/>
      <c r="D348" s="80" t="n"/>
      <c r="E348" s="80" t="n"/>
      <c r="F348" s="80" t="n"/>
      <c r="G348" s="80" t="n"/>
      <c r="H348" s="80" t="n"/>
      <c r="I348" s="80" t="n"/>
      <c r="J348" s="80" t="n"/>
      <c r="K348" s="80" t="n"/>
      <c r="L348" s="80" t="n"/>
      <c r="M348" s="80" t="n"/>
    </row>
    <row r="349">
      <c r="A349" s="80" t="n"/>
      <c r="B349" s="80" t="n"/>
      <c r="C349" s="80" t="n"/>
      <c r="D349" s="80" t="n"/>
      <c r="E349" s="80" t="n"/>
      <c r="F349" s="80" t="n"/>
      <c r="G349" s="80" t="n"/>
      <c r="H349" s="80" t="n"/>
      <c r="I349" s="80" t="n"/>
      <c r="J349" s="80" t="n"/>
      <c r="K349" s="80" t="n"/>
      <c r="L349" s="80" t="n"/>
      <c r="M349" s="80" t="n"/>
    </row>
    <row r="350">
      <c r="A350" s="80" t="n"/>
      <c r="B350" s="80" t="n"/>
      <c r="C350" s="80" t="n"/>
      <c r="D350" s="80" t="n"/>
      <c r="E350" s="80" t="n"/>
      <c r="F350" s="80" t="n"/>
      <c r="G350" s="80" t="n"/>
      <c r="H350" s="80" t="n"/>
      <c r="I350" s="80" t="n"/>
      <c r="J350" s="80" t="n"/>
      <c r="K350" s="80" t="n"/>
      <c r="L350" s="80" t="n"/>
      <c r="M350" s="80" t="n"/>
    </row>
    <row r="351">
      <c r="A351" s="80" t="n"/>
      <c r="B351" s="80" t="n"/>
      <c r="C351" s="80" t="n"/>
      <c r="D351" s="80" t="n"/>
      <c r="E351" s="80" t="n"/>
      <c r="F351" s="80" t="n"/>
      <c r="G351" s="80" t="n"/>
      <c r="H351" s="80" t="n"/>
      <c r="I351" s="80" t="n"/>
      <c r="J351" s="80" t="n"/>
      <c r="K351" s="80" t="n"/>
      <c r="L351" s="80" t="n"/>
      <c r="M351" s="80" t="n"/>
    </row>
    <row r="352">
      <c r="A352" s="80" t="n"/>
      <c r="B352" s="80" t="n"/>
      <c r="C352" s="80" t="n"/>
      <c r="D352" s="80" t="n"/>
      <c r="E352" s="80" t="n"/>
      <c r="F352" s="80" t="n"/>
      <c r="G352" s="80" t="n"/>
      <c r="H352" s="80" t="n"/>
      <c r="I352" s="80" t="n"/>
      <c r="J352" s="80" t="n"/>
      <c r="K352" s="80" t="n"/>
      <c r="L352" s="80" t="n"/>
      <c r="M352" s="80" t="n"/>
    </row>
    <row r="353">
      <c r="A353" s="80" t="n"/>
      <c r="B353" s="80" t="n"/>
      <c r="C353" s="80" t="n"/>
      <c r="D353" s="80" t="n"/>
      <c r="E353" s="80" t="n"/>
      <c r="F353" s="80" t="n"/>
      <c r="G353" s="80" t="n"/>
      <c r="H353" s="80" t="n"/>
      <c r="I353" s="80" t="n"/>
      <c r="J353" s="80" t="n"/>
      <c r="K353" s="80" t="n"/>
      <c r="L353" s="80" t="n"/>
      <c r="M353" s="80" t="n"/>
    </row>
    <row r="354">
      <c r="A354" s="80" t="n"/>
      <c r="B354" s="80" t="n"/>
      <c r="C354" s="80" t="n"/>
      <c r="D354" s="80" t="n"/>
      <c r="E354" s="80" t="n"/>
      <c r="F354" s="80" t="n"/>
      <c r="G354" s="80" t="n"/>
      <c r="H354" s="80" t="n"/>
      <c r="I354" s="80" t="n"/>
      <c r="J354" s="80" t="n"/>
      <c r="K354" s="80" t="n"/>
      <c r="L354" s="80" t="n"/>
      <c r="M354" s="80" t="n"/>
    </row>
    <row r="355">
      <c r="A355" s="80" t="n"/>
      <c r="B355" s="80" t="n"/>
      <c r="C355" s="80" t="n"/>
      <c r="D355" s="80" t="n"/>
      <c r="E355" s="80" t="n"/>
      <c r="F355" s="80" t="n"/>
      <c r="G355" s="80" t="n"/>
      <c r="H355" s="80" t="n"/>
      <c r="I355" s="80" t="n"/>
      <c r="J355" s="80" t="n"/>
      <c r="K355" s="80" t="n"/>
      <c r="L355" s="80" t="n"/>
      <c r="M355" s="80" t="n"/>
    </row>
    <row r="356">
      <c r="A356" s="80" t="n"/>
      <c r="B356" s="80" t="n"/>
      <c r="C356" s="80" t="n"/>
      <c r="D356" s="80" t="n"/>
      <c r="E356" s="80" t="n"/>
      <c r="F356" s="80" t="n"/>
      <c r="G356" s="80" t="n"/>
      <c r="H356" s="80" t="n"/>
      <c r="I356" s="80" t="n"/>
      <c r="J356" s="80" t="n"/>
      <c r="K356" s="80" t="n"/>
      <c r="L356" s="80" t="n"/>
      <c r="M356" s="80" t="n"/>
    </row>
    <row r="357">
      <c r="A357" s="80" t="n"/>
      <c r="B357" s="80" t="n"/>
      <c r="C357" s="80" t="n"/>
      <c r="D357" s="80" t="n"/>
      <c r="E357" s="80" t="n"/>
      <c r="F357" s="80" t="n"/>
      <c r="G357" s="80" t="n"/>
      <c r="H357" s="80" t="n"/>
      <c r="I357" s="80" t="n"/>
      <c r="J357" s="80" t="n"/>
      <c r="K357" s="80" t="n"/>
      <c r="L357" s="80" t="n"/>
      <c r="M357" s="80" t="n"/>
    </row>
    <row r="358">
      <c r="A358" s="80" t="n"/>
      <c r="B358" s="80" t="n"/>
      <c r="C358" s="80" t="n"/>
      <c r="D358" s="80" t="n"/>
      <c r="E358" s="80" t="n"/>
      <c r="F358" s="80" t="n"/>
      <c r="G358" s="80" t="n"/>
      <c r="H358" s="80" t="n"/>
      <c r="I358" s="80" t="n"/>
      <c r="J358" s="80" t="n"/>
      <c r="K358" s="80" t="n"/>
      <c r="L358" s="80" t="n"/>
      <c r="M358" s="80" t="n"/>
    </row>
    <row r="359">
      <c r="A359" s="80" t="n"/>
      <c r="B359" s="80" t="n"/>
      <c r="C359" s="80" t="n"/>
      <c r="D359" s="80" t="n"/>
      <c r="E359" s="80" t="n"/>
      <c r="F359" s="80" t="n"/>
      <c r="G359" s="80" t="n"/>
      <c r="H359" s="80" t="n"/>
      <c r="I359" s="80" t="n"/>
      <c r="J359" s="80" t="n"/>
      <c r="K359" s="80" t="n"/>
      <c r="L359" s="80" t="n"/>
      <c r="M359" s="80" t="n"/>
    </row>
    <row r="360">
      <c r="A360" s="80" t="n"/>
      <c r="B360" s="80" t="n"/>
      <c r="C360" s="80" t="n"/>
      <c r="D360" s="80" t="n"/>
      <c r="E360" s="80" t="n"/>
      <c r="F360" s="80" t="n"/>
      <c r="G360" s="80" t="n"/>
      <c r="H360" s="80" t="n"/>
      <c r="I360" s="80" t="n"/>
      <c r="J360" s="80" t="n"/>
      <c r="K360" s="80" t="n"/>
      <c r="L360" s="80" t="n"/>
      <c r="M360" s="80" t="n"/>
    </row>
    <row r="361">
      <c r="A361" s="80" t="n"/>
      <c r="B361" s="80" t="n"/>
      <c r="C361" s="80" t="n"/>
      <c r="D361" s="80" t="n"/>
      <c r="E361" s="80" t="n"/>
      <c r="F361" s="80" t="n"/>
      <c r="G361" s="80" t="n"/>
      <c r="H361" s="80" t="n"/>
      <c r="I361" s="80" t="n"/>
      <c r="J361" s="80" t="n"/>
      <c r="K361" s="80" t="n"/>
      <c r="L361" s="80" t="n"/>
      <c r="M361" s="80" t="n"/>
    </row>
    <row r="362">
      <c r="A362" s="80" t="n"/>
      <c r="B362" s="80" t="n"/>
      <c r="C362" s="80" t="n"/>
      <c r="D362" s="80" t="n"/>
      <c r="E362" s="80" t="n"/>
      <c r="F362" s="80" t="n"/>
      <c r="G362" s="80" t="n"/>
      <c r="H362" s="80" t="n"/>
      <c r="I362" s="80" t="n"/>
      <c r="J362" s="80" t="n"/>
      <c r="K362" s="80" t="n"/>
      <c r="L362" s="80" t="n"/>
      <c r="M362" s="80" t="n"/>
    </row>
    <row r="363">
      <c r="A363" s="80" t="n"/>
      <c r="B363" s="80" t="n"/>
      <c r="C363" s="80" t="n"/>
      <c r="D363" s="80" t="n"/>
      <c r="E363" s="80" t="n"/>
      <c r="F363" s="80" t="n"/>
      <c r="G363" s="80" t="n"/>
      <c r="H363" s="80" t="n"/>
      <c r="I363" s="80" t="n"/>
      <c r="J363" s="80" t="n"/>
      <c r="K363" s="80" t="n"/>
      <c r="L363" s="80" t="n"/>
      <c r="M363" s="80" t="n"/>
    </row>
    <row r="364">
      <c r="A364" s="80" t="n"/>
      <c r="B364" s="80" t="n"/>
      <c r="C364" s="80" t="n"/>
      <c r="D364" s="80" t="n"/>
      <c r="E364" s="80" t="n"/>
      <c r="F364" s="80" t="n"/>
      <c r="G364" s="80" t="n"/>
      <c r="H364" s="80" t="n"/>
      <c r="I364" s="80" t="n"/>
      <c r="J364" s="80" t="n"/>
      <c r="K364" s="80" t="n"/>
      <c r="L364" s="80" t="n"/>
      <c r="M364" s="80" t="n"/>
    </row>
    <row r="365">
      <c r="A365" s="80" t="n"/>
      <c r="B365" s="80" t="n"/>
      <c r="C365" s="80" t="n"/>
      <c r="D365" s="80" t="n"/>
      <c r="E365" s="80" t="n"/>
      <c r="F365" s="80" t="n"/>
      <c r="G365" s="80" t="n"/>
      <c r="H365" s="80" t="n"/>
      <c r="I365" s="80" t="n"/>
      <c r="J365" s="80" t="n"/>
      <c r="K365" s="80" t="n"/>
      <c r="L365" s="80" t="n"/>
      <c r="M365" s="80" t="n"/>
    </row>
    <row r="366">
      <c r="A366" s="80" t="n"/>
      <c r="B366" s="80" t="n"/>
      <c r="C366" s="80" t="n"/>
      <c r="D366" s="80" t="n"/>
      <c r="E366" s="80" t="n"/>
      <c r="F366" s="80" t="n"/>
      <c r="G366" s="80" t="n"/>
      <c r="H366" s="80" t="n"/>
      <c r="I366" s="80" t="n"/>
      <c r="J366" s="80" t="n"/>
      <c r="K366" s="80" t="n"/>
      <c r="L366" s="80" t="n"/>
      <c r="M366" s="80" t="n"/>
    </row>
    <row r="367">
      <c r="A367" s="80" t="n"/>
      <c r="B367" s="80" t="n"/>
      <c r="C367" s="80" t="n"/>
      <c r="D367" s="80" t="n"/>
      <c r="E367" s="80" t="n"/>
      <c r="F367" s="80" t="n"/>
      <c r="G367" s="80" t="n"/>
      <c r="H367" s="80" t="n"/>
      <c r="I367" s="80" t="n"/>
      <c r="J367" s="80" t="n"/>
      <c r="K367" s="80" t="n"/>
      <c r="L367" s="80" t="n"/>
      <c r="M367" s="80" t="n"/>
    </row>
    <row r="368">
      <c r="A368" s="80" t="n"/>
      <c r="B368" s="80" t="n"/>
      <c r="C368" s="80" t="n"/>
      <c r="D368" s="80" t="n"/>
      <c r="E368" s="80" t="n"/>
      <c r="F368" s="80" t="n"/>
      <c r="G368" s="80" t="n"/>
      <c r="H368" s="80" t="n"/>
      <c r="I368" s="80" t="n"/>
      <c r="J368" s="80" t="n"/>
      <c r="K368" s="80" t="n"/>
      <c r="L368" s="80" t="n"/>
      <c r="M368" s="80" t="n"/>
    </row>
    <row r="369">
      <c r="A369" s="80" t="n"/>
      <c r="B369" s="80" t="n"/>
      <c r="C369" s="80" t="n"/>
      <c r="D369" s="80" t="n"/>
      <c r="E369" s="80" t="n"/>
      <c r="F369" s="80" t="n"/>
      <c r="G369" s="80" t="n"/>
      <c r="H369" s="80" t="n"/>
      <c r="I369" s="80" t="n"/>
      <c r="J369" s="80" t="n"/>
      <c r="K369" s="80" t="n"/>
      <c r="L369" s="80" t="n"/>
      <c r="M369" s="80" t="n"/>
    </row>
    <row r="370">
      <c r="A370" s="80" t="n"/>
      <c r="B370" s="80" t="n"/>
      <c r="C370" s="80" t="n"/>
      <c r="D370" s="80" t="n"/>
      <c r="E370" s="80" t="n"/>
      <c r="F370" s="80" t="n"/>
      <c r="G370" s="80" t="n"/>
      <c r="H370" s="80" t="n"/>
      <c r="I370" s="80" t="n"/>
      <c r="J370" s="80" t="n"/>
      <c r="K370" s="80" t="n"/>
      <c r="L370" s="80" t="n"/>
      <c r="M370" s="80" t="n"/>
    </row>
    <row r="371">
      <c r="A371" s="80" t="n"/>
      <c r="B371" s="80" t="n"/>
      <c r="C371" s="80" t="n"/>
      <c r="D371" s="80" t="n"/>
      <c r="E371" s="80" t="n"/>
      <c r="F371" s="80" t="n"/>
      <c r="G371" s="80" t="n"/>
      <c r="H371" s="80" t="n"/>
      <c r="I371" s="80" t="n"/>
      <c r="J371" s="80" t="n"/>
      <c r="K371" s="80" t="n"/>
      <c r="L371" s="80" t="n"/>
      <c r="M371" s="80" t="n"/>
    </row>
    <row r="372">
      <c r="A372" s="80" t="n"/>
      <c r="B372" s="80" t="n"/>
      <c r="C372" s="80" t="n"/>
      <c r="D372" s="80" t="n"/>
      <c r="E372" s="80" t="n"/>
      <c r="F372" s="80" t="n"/>
      <c r="G372" s="80" t="n"/>
      <c r="H372" s="80" t="n"/>
      <c r="I372" s="80" t="n"/>
      <c r="J372" s="80" t="n"/>
      <c r="K372" s="80" t="n"/>
      <c r="L372" s="80" t="n"/>
      <c r="M372" s="80" t="n"/>
    </row>
    <row r="373">
      <c r="A373" s="80" t="n"/>
      <c r="B373" s="80" t="n"/>
      <c r="C373" s="80" t="n"/>
      <c r="D373" s="80" t="n"/>
      <c r="E373" s="80" t="n"/>
      <c r="F373" s="80" t="n"/>
      <c r="G373" s="80" t="n"/>
      <c r="H373" s="80" t="n"/>
      <c r="I373" s="80" t="n"/>
      <c r="J373" s="80" t="n"/>
      <c r="K373" s="80" t="n"/>
      <c r="L373" s="80" t="n"/>
      <c r="M373" s="80" t="n"/>
    </row>
    <row r="374">
      <c r="A374" s="80" t="n"/>
      <c r="B374" s="80" t="n"/>
      <c r="C374" s="80" t="n"/>
      <c r="D374" s="80" t="n"/>
      <c r="E374" s="80" t="n"/>
      <c r="F374" s="80" t="n"/>
      <c r="G374" s="80" t="n"/>
      <c r="H374" s="80" t="n"/>
      <c r="I374" s="80" t="n"/>
      <c r="J374" s="80" t="n"/>
      <c r="K374" s="80" t="n"/>
      <c r="L374" s="80" t="n"/>
      <c r="M374" s="80" t="n"/>
    </row>
    <row r="375">
      <c r="A375" s="80" t="n"/>
      <c r="B375" s="80" t="n"/>
      <c r="C375" s="80" t="n"/>
      <c r="D375" s="80" t="n"/>
      <c r="E375" s="80" t="n"/>
      <c r="F375" s="80" t="n"/>
      <c r="G375" s="80" t="n"/>
      <c r="H375" s="80" t="n"/>
      <c r="I375" s="80" t="n"/>
      <c r="J375" s="80" t="n"/>
      <c r="K375" s="80" t="n"/>
      <c r="L375" s="80" t="n"/>
      <c r="M375" s="80" t="n"/>
    </row>
    <row r="376">
      <c r="A376" s="80" t="n"/>
      <c r="B376" s="80" t="n"/>
      <c r="C376" s="80" t="n"/>
      <c r="D376" s="80" t="n"/>
      <c r="E376" s="80" t="n"/>
      <c r="F376" s="80" t="n"/>
      <c r="G376" s="80" t="n"/>
      <c r="H376" s="80" t="n"/>
      <c r="I376" s="80" t="n"/>
      <c r="J376" s="80" t="n"/>
      <c r="K376" s="80" t="n"/>
      <c r="L376" s="80" t="n"/>
      <c r="M376" s="80" t="n"/>
    </row>
    <row r="377">
      <c r="A377" s="80" t="n"/>
      <c r="B377" s="80" t="n"/>
      <c r="C377" s="80" t="n"/>
      <c r="D377" s="80" t="n"/>
      <c r="E377" s="80" t="n"/>
      <c r="F377" s="80" t="n"/>
      <c r="G377" s="80" t="n"/>
      <c r="H377" s="80" t="n"/>
      <c r="I377" s="80" t="n"/>
      <c r="J377" s="80" t="n"/>
      <c r="K377" s="80" t="n"/>
      <c r="L377" s="80" t="n"/>
      <c r="M377" s="80" t="n"/>
    </row>
    <row r="378">
      <c r="A378" s="80" t="n"/>
      <c r="B378" s="80" t="n"/>
      <c r="C378" s="80" t="n"/>
      <c r="D378" s="80" t="n"/>
      <c r="E378" s="80" t="n"/>
      <c r="F378" s="80" t="n"/>
      <c r="G378" s="80" t="n"/>
      <c r="H378" s="80" t="n"/>
      <c r="I378" s="80" t="n"/>
      <c r="J378" s="80" t="n"/>
      <c r="K378" s="80" t="n"/>
      <c r="L378" s="80" t="n"/>
      <c r="M378" s="80" t="n"/>
    </row>
    <row r="379">
      <c r="A379" s="80" t="n"/>
      <c r="B379" s="80" t="n"/>
      <c r="C379" s="80" t="n"/>
      <c r="D379" s="80" t="n"/>
      <c r="E379" s="80" t="n"/>
      <c r="F379" s="80" t="n"/>
      <c r="G379" s="80" t="n"/>
      <c r="H379" s="80" t="n"/>
      <c r="I379" s="80" t="n"/>
      <c r="J379" s="80" t="n"/>
      <c r="K379" s="80" t="n"/>
      <c r="L379" s="80" t="n"/>
      <c r="M379" s="80" t="n"/>
    </row>
    <row r="380">
      <c r="A380" s="80" t="n"/>
      <c r="B380" s="80" t="n"/>
      <c r="C380" s="80" t="n"/>
      <c r="D380" s="80" t="n"/>
      <c r="E380" s="80" t="n"/>
      <c r="F380" s="80" t="n"/>
      <c r="G380" s="80" t="n"/>
      <c r="H380" s="80" t="n"/>
      <c r="I380" s="80" t="n"/>
      <c r="J380" s="80" t="n"/>
      <c r="K380" s="80" t="n"/>
      <c r="L380" s="80" t="n"/>
      <c r="M380" s="80" t="n"/>
    </row>
    <row r="381">
      <c r="A381" s="80" t="n"/>
      <c r="B381" s="80" t="n"/>
      <c r="C381" s="80" t="n"/>
      <c r="D381" s="80" t="n"/>
      <c r="E381" s="80" t="n"/>
      <c r="F381" s="80" t="n"/>
      <c r="G381" s="80" t="n"/>
      <c r="H381" s="80" t="n"/>
      <c r="I381" s="80" t="n"/>
      <c r="J381" s="80" t="n"/>
      <c r="K381" s="80" t="n"/>
      <c r="L381" s="80" t="n"/>
      <c r="M381" s="80" t="n"/>
    </row>
    <row r="382">
      <c r="A382" s="80" t="n"/>
      <c r="B382" s="80" t="n"/>
      <c r="C382" s="80" t="n"/>
      <c r="D382" s="80" t="n"/>
      <c r="E382" s="80" t="n"/>
      <c r="F382" s="80" t="n"/>
      <c r="G382" s="80" t="n"/>
      <c r="H382" s="80" t="n"/>
      <c r="I382" s="80" t="n"/>
      <c r="J382" s="80" t="n"/>
      <c r="K382" s="80" t="n"/>
      <c r="L382" s="80" t="n"/>
      <c r="M382" s="80" t="n"/>
    </row>
    <row r="383">
      <c r="A383" s="80" t="n"/>
      <c r="B383" s="80" t="n"/>
      <c r="C383" s="80" t="n"/>
      <c r="D383" s="80" t="n"/>
      <c r="E383" s="80" t="n"/>
      <c r="F383" s="80" t="n"/>
      <c r="G383" s="80" t="n"/>
      <c r="H383" s="80" t="n"/>
      <c r="I383" s="80" t="n"/>
      <c r="J383" s="80" t="n"/>
      <c r="K383" s="80" t="n"/>
      <c r="L383" s="80" t="n"/>
      <c r="M383" s="80" t="n"/>
    </row>
    <row r="384">
      <c r="A384" s="80" t="n"/>
      <c r="B384" s="80" t="n"/>
      <c r="C384" s="80" t="n"/>
      <c r="D384" s="80" t="n"/>
      <c r="E384" s="80" t="n"/>
      <c r="F384" s="80" t="n"/>
      <c r="G384" s="80" t="n"/>
      <c r="H384" s="80" t="n"/>
      <c r="I384" s="80" t="n"/>
      <c r="J384" s="80" t="n"/>
      <c r="K384" s="80" t="n"/>
      <c r="L384" s="80" t="n"/>
      <c r="M384" s="80" t="n"/>
    </row>
    <row r="385">
      <c r="A385" s="80" t="n"/>
      <c r="B385" s="80" t="n"/>
      <c r="C385" s="80" t="n"/>
      <c r="D385" s="80" t="n"/>
      <c r="E385" s="80" t="n"/>
      <c r="F385" s="80" t="n"/>
      <c r="G385" s="80" t="n"/>
      <c r="H385" s="80" t="n"/>
      <c r="I385" s="80" t="n"/>
      <c r="J385" s="80" t="n"/>
      <c r="K385" s="80" t="n"/>
      <c r="L385" s="80" t="n"/>
      <c r="M385" s="80" t="n"/>
    </row>
    <row r="386">
      <c r="A386" s="80" t="n"/>
      <c r="B386" s="80" t="n"/>
      <c r="C386" s="80" t="n"/>
      <c r="D386" s="80" t="n"/>
      <c r="E386" s="80" t="n"/>
      <c r="F386" s="80" t="n"/>
      <c r="G386" s="80" t="n"/>
      <c r="H386" s="80" t="n"/>
      <c r="I386" s="80" t="n"/>
      <c r="J386" s="80" t="n"/>
      <c r="K386" s="80" t="n"/>
      <c r="L386" s="80" t="n"/>
      <c r="M386" s="80" t="n"/>
    </row>
    <row r="387">
      <c r="A387" s="80" t="n"/>
      <c r="B387" s="80" t="n"/>
      <c r="C387" s="80" t="n"/>
      <c r="D387" s="80" t="n"/>
      <c r="E387" s="80" t="n"/>
      <c r="F387" s="80" t="n"/>
      <c r="G387" s="80" t="n"/>
      <c r="H387" s="80" t="n"/>
      <c r="I387" s="80" t="n"/>
      <c r="J387" s="80" t="n"/>
      <c r="K387" s="80" t="n"/>
      <c r="L387" s="80" t="n"/>
      <c r="M387" s="80" t="n"/>
    </row>
    <row r="388">
      <c r="A388" s="80" t="n"/>
      <c r="B388" s="80" t="n"/>
      <c r="C388" s="80" t="n"/>
      <c r="D388" s="80" t="n"/>
      <c r="E388" s="80" t="n"/>
      <c r="F388" s="80" t="n"/>
      <c r="G388" s="80" t="n"/>
      <c r="H388" s="80" t="n"/>
      <c r="I388" s="80" t="n"/>
      <c r="J388" s="80" t="n"/>
      <c r="K388" s="80" t="n"/>
      <c r="L388" s="80" t="n"/>
      <c r="M388" s="80" t="n"/>
    </row>
    <row r="389">
      <c r="A389" s="80" t="n"/>
      <c r="B389" s="80" t="n"/>
      <c r="C389" s="80" t="n"/>
      <c r="D389" s="80" t="n"/>
      <c r="E389" s="80" t="n"/>
      <c r="F389" s="80" t="n"/>
      <c r="G389" s="80" t="n"/>
      <c r="H389" s="80" t="n"/>
      <c r="I389" s="80" t="n"/>
      <c r="J389" s="80" t="n"/>
      <c r="K389" s="80" t="n"/>
      <c r="L389" s="80" t="n"/>
      <c r="M389" s="80" t="n"/>
    </row>
    <row r="390">
      <c r="A390" s="80" t="n"/>
      <c r="B390" s="80" t="n"/>
      <c r="C390" s="80" t="n"/>
      <c r="D390" s="80" t="n"/>
      <c r="E390" s="80" t="n"/>
      <c r="F390" s="80" t="n"/>
      <c r="G390" s="80" t="n"/>
      <c r="H390" s="80" t="n"/>
      <c r="I390" s="80" t="n"/>
      <c r="J390" s="80" t="n"/>
      <c r="K390" s="80" t="n"/>
      <c r="L390" s="80" t="n"/>
      <c r="M390" s="80" t="n"/>
    </row>
    <row r="391">
      <c r="A391" s="80" t="n"/>
      <c r="B391" s="80" t="n"/>
      <c r="C391" s="80" t="n"/>
      <c r="D391" s="80" t="n"/>
      <c r="E391" s="80" t="n"/>
      <c r="F391" s="80" t="n"/>
      <c r="G391" s="80" t="n"/>
      <c r="H391" s="80" t="n"/>
      <c r="I391" s="80" t="n"/>
      <c r="J391" s="80" t="n"/>
      <c r="K391" s="80" t="n"/>
      <c r="L391" s="80" t="n"/>
      <c r="M391" s="80" t="n"/>
    </row>
    <row r="392">
      <c r="A392" s="80" t="n"/>
      <c r="B392" s="80" t="n"/>
      <c r="C392" s="80" t="n"/>
      <c r="D392" s="80" t="n"/>
      <c r="E392" s="80" t="n"/>
      <c r="F392" s="80" t="n"/>
      <c r="G392" s="80" t="n"/>
      <c r="H392" s="80" t="n"/>
      <c r="I392" s="80" t="n"/>
      <c r="J392" s="80" t="n"/>
      <c r="K392" s="80" t="n"/>
      <c r="L392" s="80" t="n"/>
      <c r="M392" s="80" t="n"/>
    </row>
    <row r="393">
      <c r="A393" s="80" t="n"/>
      <c r="B393" s="80" t="n"/>
      <c r="C393" s="80" t="n"/>
      <c r="D393" s="80" t="n"/>
      <c r="E393" s="80" t="n"/>
      <c r="F393" s="80" t="n"/>
      <c r="G393" s="80" t="n"/>
      <c r="H393" s="80" t="n"/>
      <c r="I393" s="80" t="n"/>
      <c r="J393" s="80" t="n"/>
      <c r="K393" s="80" t="n"/>
      <c r="L393" s="80" t="n"/>
      <c r="M393" s="80" t="n"/>
    </row>
    <row r="394">
      <c r="A394" s="80" t="n"/>
      <c r="B394" s="80" t="n"/>
      <c r="C394" s="80" t="n"/>
      <c r="D394" s="80" t="n"/>
      <c r="E394" s="80" t="n"/>
      <c r="F394" s="80" t="n"/>
      <c r="G394" s="80" t="n"/>
      <c r="H394" s="80" t="n"/>
      <c r="I394" s="80" t="n"/>
      <c r="J394" s="80" t="n"/>
      <c r="K394" s="80" t="n"/>
      <c r="L394" s="80" t="n"/>
      <c r="M394" s="80" t="n"/>
    </row>
    <row r="395">
      <c r="A395" s="80" t="n"/>
      <c r="B395" s="80" t="n"/>
      <c r="C395" s="80" t="n"/>
      <c r="D395" s="80" t="n"/>
      <c r="E395" s="80" t="n"/>
      <c r="F395" s="80" t="n"/>
      <c r="G395" s="80" t="n"/>
      <c r="H395" s="80" t="n"/>
      <c r="I395" s="80" t="n"/>
      <c r="J395" s="80" t="n"/>
      <c r="K395" s="80" t="n"/>
      <c r="L395" s="80" t="n"/>
      <c r="M395" s="80" t="n"/>
    </row>
    <row r="396">
      <c r="A396" s="80" t="n"/>
      <c r="B396" s="80" t="n"/>
      <c r="C396" s="80" t="n"/>
      <c r="D396" s="80" t="n"/>
      <c r="E396" s="80" t="n"/>
      <c r="F396" s="80" t="n"/>
      <c r="G396" s="80" t="n"/>
      <c r="H396" s="80" t="n"/>
      <c r="I396" s="80" t="n"/>
      <c r="J396" s="80" t="n"/>
      <c r="K396" s="80" t="n"/>
      <c r="L396" s="80" t="n"/>
      <c r="M396" s="80" t="n"/>
    </row>
    <row r="397">
      <c r="A397" s="80" t="n"/>
      <c r="B397" s="80" t="n"/>
      <c r="C397" s="80" t="n"/>
      <c r="D397" s="80" t="n"/>
      <c r="E397" s="80" t="n"/>
      <c r="F397" s="80" t="n"/>
      <c r="G397" s="80" t="n"/>
      <c r="H397" s="80" t="n"/>
      <c r="I397" s="80" t="n"/>
      <c r="J397" s="80" t="n"/>
      <c r="K397" s="80" t="n"/>
      <c r="L397" s="80" t="n"/>
      <c r="M397" s="80" t="n"/>
    </row>
    <row r="398">
      <c r="A398" s="80" t="n"/>
      <c r="B398" s="80" t="n"/>
      <c r="C398" s="80" t="n"/>
      <c r="D398" s="80" t="n"/>
      <c r="E398" s="80" t="n"/>
      <c r="F398" s="80" t="n"/>
      <c r="G398" s="80" t="n"/>
      <c r="H398" s="80" t="n"/>
      <c r="I398" s="80" t="n"/>
      <c r="J398" s="80" t="n"/>
      <c r="K398" s="80" t="n"/>
      <c r="L398" s="80" t="n"/>
      <c r="M398" s="80" t="n"/>
    </row>
    <row r="399">
      <c r="A399" s="80" t="n"/>
      <c r="B399" s="80" t="n"/>
      <c r="C399" s="80" t="n"/>
      <c r="D399" s="80" t="n"/>
      <c r="E399" s="80" t="n"/>
      <c r="F399" s="80" t="n"/>
      <c r="G399" s="80" t="n"/>
      <c r="H399" s="80" t="n"/>
      <c r="I399" s="80" t="n"/>
      <c r="J399" s="80" t="n"/>
      <c r="K399" s="80" t="n"/>
      <c r="L399" s="80" t="n"/>
      <c r="M399" s="80" t="n"/>
    </row>
    <row r="400">
      <c r="A400" s="80" t="n"/>
      <c r="B400" s="80" t="n"/>
      <c r="C400" s="80" t="n"/>
      <c r="D400" s="80" t="n"/>
      <c r="E400" s="80" t="n"/>
      <c r="F400" s="80" t="n"/>
      <c r="G400" s="80" t="n"/>
      <c r="H400" s="80" t="n"/>
      <c r="I400" s="80" t="n"/>
      <c r="J400" s="80" t="n"/>
      <c r="K400" s="80" t="n"/>
      <c r="L400" s="80" t="n"/>
      <c r="M400" s="80" t="n"/>
    </row>
    <row r="401">
      <c r="A401" s="80" t="n"/>
      <c r="B401" s="80" t="n"/>
      <c r="C401" s="80" t="n"/>
      <c r="D401" s="80" t="n"/>
      <c r="E401" s="80" t="n"/>
      <c r="F401" s="80" t="n"/>
      <c r="G401" s="80" t="n"/>
      <c r="H401" s="80" t="n"/>
      <c r="I401" s="80" t="n"/>
      <c r="J401" s="80" t="n"/>
      <c r="K401" s="80" t="n"/>
      <c r="L401" s="80" t="n"/>
      <c r="M401" s="80" t="n"/>
    </row>
    <row r="402">
      <c r="A402" s="80" t="n"/>
      <c r="B402" s="80" t="n"/>
      <c r="C402" s="80" t="n"/>
      <c r="D402" s="80" t="n"/>
      <c r="E402" s="80" t="n"/>
      <c r="F402" s="80" t="n"/>
      <c r="G402" s="80" t="n"/>
      <c r="H402" s="80" t="n"/>
      <c r="I402" s="80" t="n"/>
      <c r="J402" s="80" t="n"/>
      <c r="K402" s="80" t="n"/>
      <c r="L402" s="80" t="n"/>
      <c r="M402" s="80" t="n"/>
    </row>
    <row r="403">
      <c r="A403" s="80" t="n"/>
      <c r="B403" s="80" t="n"/>
      <c r="C403" s="80" t="n"/>
      <c r="D403" s="80" t="n"/>
      <c r="E403" s="80" t="n"/>
      <c r="F403" s="80" t="n"/>
      <c r="G403" s="80" t="n"/>
      <c r="H403" s="80" t="n"/>
      <c r="I403" s="80" t="n"/>
      <c r="J403" s="80" t="n"/>
      <c r="K403" s="80" t="n"/>
      <c r="L403" s="80" t="n"/>
      <c r="M403" s="80" t="n"/>
    </row>
    <row r="404">
      <c r="A404" s="80" t="n"/>
      <c r="B404" s="80" t="n"/>
      <c r="C404" s="80" t="n"/>
      <c r="D404" s="80" t="n"/>
      <c r="E404" s="80" t="n"/>
      <c r="F404" s="80" t="n"/>
      <c r="G404" s="80" t="n"/>
      <c r="H404" s="80" t="n"/>
      <c r="I404" s="80" t="n"/>
      <c r="J404" s="80" t="n"/>
      <c r="K404" s="80" t="n"/>
      <c r="L404" s="80" t="n"/>
      <c r="M404" s="80" t="n"/>
    </row>
    <row r="405">
      <c r="A405" s="80" t="n"/>
      <c r="B405" s="80" t="n"/>
      <c r="C405" s="80" t="n"/>
      <c r="D405" s="80" t="n"/>
      <c r="E405" s="80" t="n"/>
      <c r="F405" s="80" t="n"/>
      <c r="G405" s="80" t="n"/>
      <c r="H405" s="80" t="n"/>
      <c r="I405" s="80" t="n"/>
      <c r="J405" s="80" t="n"/>
      <c r="K405" s="80" t="n"/>
      <c r="L405" s="80" t="n"/>
      <c r="M405" s="80" t="n"/>
    </row>
    <row r="406">
      <c r="A406" s="80" t="n"/>
      <c r="B406" s="80" t="n"/>
      <c r="C406" s="80" t="n"/>
      <c r="D406" s="80" t="n"/>
      <c r="E406" s="80" t="n"/>
      <c r="F406" s="80" t="n"/>
      <c r="G406" s="80" t="n"/>
      <c r="H406" s="80" t="n"/>
      <c r="I406" s="80" t="n"/>
      <c r="J406" s="80" t="n"/>
      <c r="K406" s="80" t="n"/>
      <c r="L406" s="80" t="n"/>
      <c r="M406" s="80" t="n"/>
    </row>
    <row r="407">
      <c r="A407" s="80" t="n"/>
      <c r="B407" s="80" t="n"/>
      <c r="C407" s="80" t="n"/>
      <c r="D407" s="80" t="n"/>
      <c r="E407" s="80" t="n"/>
      <c r="F407" s="80" t="n"/>
      <c r="G407" s="80" t="n"/>
      <c r="H407" s="80" t="n"/>
      <c r="I407" s="80" t="n"/>
      <c r="J407" s="80" t="n"/>
      <c r="K407" s="80" t="n"/>
      <c r="L407" s="80" t="n"/>
      <c r="M407" s="80" t="n"/>
    </row>
    <row r="408">
      <c r="A408" s="80" t="n"/>
      <c r="B408" s="80" t="n"/>
      <c r="C408" s="80" t="n"/>
      <c r="D408" s="80" t="n"/>
      <c r="E408" s="80" t="n"/>
      <c r="F408" s="80" t="n"/>
      <c r="G408" s="80" t="n"/>
      <c r="H408" s="80" t="n"/>
      <c r="I408" s="80" t="n"/>
      <c r="J408" s="80" t="n"/>
      <c r="K408" s="80" t="n"/>
      <c r="L408" s="80" t="n"/>
      <c r="M408" s="80" t="n"/>
    </row>
    <row r="409">
      <c r="A409" s="80" t="n"/>
      <c r="B409" s="80" t="n"/>
      <c r="C409" s="80" t="n"/>
      <c r="D409" s="80" t="n"/>
      <c r="E409" s="80" t="n"/>
      <c r="F409" s="80" t="n"/>
      <c r="G409" s="80" t="n"/>
      <c r="H409" s="80" t="n"/>
      <c r="I409" s="80" t="n"/>
      <c r="J409" s="80" t="n"/>
      <c r="K409" s="80" t="n"/>
      <c r="L409" s="80" t="n"/>
      <c r="M409" s="80" t="n"/>
    </row>
    <row r="410">
      <c r="A410" s="80" t="n"/>
      <c r="B410" s="80" t="n"/>
      <c r="C410" s="80" t="n"/>
      <c r="D410" s="80" t="n"/>
      <c r="E410" s="80" t="n"/>
      <c r="F410" s="80" t="n"/>
      <c r="G410" s="80" t="n"/>
      <c r="H410" s="80" t="n"/>
      <c r="I410" s="80" t="n"/>
      <c r="J410" s="80" t="n"/>
      <c r="K410" s="80" t="n"/>
      <c r="L410" s="80" t="n"/>
      <c r="M410" s="80" t="n"/>
    </row>
    <row r="411">
      <c r="A411" s="80" t="n"/>
      <c r="B411" s="80" t="n"/>
      <c r="C411" s="80" t="n"/>
      <c r="D411" s="80" t="n"/>
      <c r="E411" s="80" t="n"/>
      <c r="F411" s="80" t="n"/>
      <c r="G411" s="80" t="n"/>
      <c r="H411" s="80" t="n"/>
      <c r="I411" s="80" t="n"/>
      <c r="J411" s="80" t="n"/>
      <c r="K411" s="80" t="n"/>
      <c r="L411" s="80" t="n"/>
      <c r="M411" s="80" t="n"/>
    </row>
    <row r="412">
      <c r="A412" s="80" t="n"/>
      <c r="B412" s="80" t="n"/>
      <c r="C412" s="80" t="n"/>
      <c r="D412" s="80" t="n"/>
      <c r="E412" s="80" t="n"/>
      <c r="F412" s="80" t="n"/>
      <c r="G412" s="80" t="n"/>
      <c r="H412" s="80" t="n"/>
      <c r="I412" s="80" t="n"/>
      <c r="J412" s="80" t="n"/>
      <c r="K412" s="80" t="n"/>
      <c r="L412" s="80" t="n"/>
      <c r="M412" s="80" t="n"/>
    </row>
    <row r="413">
      <c r="A413" s="80" t="n"/>
      <c r="B413" s="80" t="n"/>
      <c r="C413" s="80" t="n"/>
      <c r="D413" s="80" t="n"/>
      <c r="E413" s="80" t="n"/>
      <c r="F413" s="80" t="n"/>
      <c r="G413" s="80" t="n"/>
      <c r="H413" s="80" t="n"/>
      <c r="I413" s="80" t="n"/>
      <c r="J413" s="80" t="n"/>
      <c r="K413" s="80" t="n"/>
      <c r="L413" s="80" t="n"/>
      <c r="M413" s="80" t="n"/>
    </row>
    <row r="414">
      <c r="A414" s="80" t="n"/>
      <c r="B414" s="80" t="n"/>
      <c r="C414" s="80" t="n"/>
      <c r="D414" s="80" t="n"/>
      <c r="E414" s="80" t="n"/>
      <c r="F414" s="80" t="n"/>
      <c r="G414" s="80" t="n"/>
      <c r="H414" s="80" t="n"/>
      <c r="I414" s="80" t="n"/>
      <c r="J414" s="80" t="n"/>
      <c r="K414" s="80" t="n"/>
      <c r="L414" s="80" t="n"/>
      <c r="M414" s="80" t="n"/>
    </row>
    <row r="415">
      <c r="A415" s="80" t="n"/>
      <c r="B415" s="80" t="n"/>
      <c r="C415" s="80" t="n"/>
      <c r="D415" s="80" t="n"/>
      <c r="E415" s="80" t="n"/>
      <c r="F415" s="80" t="n"/>
      <c r="G415" s="80" t="n"/>
      <c r="H415" s="80" t="n"/>
      <c r="I415" s="80" t="n"/>
      <c r="J415" s="80" t="n"/>
      <c r="K415" s="80" t="n"/>
      <c r="L415" s="80" t="n"/>
      <c r="M415" s="80" t="n"/>
    </row>
    <row r="416">
      <c r="A416" s="80" t="n"/>
      <c r="B416" s="80" t="n"/>
      <c r="C416" s="80" t="n"/>
      <c r="D416" s="80" t="n"/>
      <c r="E416" s="80" t="n"/>
      <c r="F416" s="80" t="n"/>
      <c r="G416" s="80" t="n"/>
      <c r="H416" s="80" t="n"/>
      <c r="I416" s="80" t="n"/>
      <c r="J416" s="80" t="n"/>
      <c r="K416" s="80" t="n"/>
      <c r="L416" s="80" t="n"/>
      <c r="M416" s="80" t="n"/>
    </row>
    <row r="417">
      <c r="A417" s="80" t="n"/>
      <c r="B417" s="80" t="n"/>
      <c r="C417" s="80" t="n"/>
      <c r="D417" s="80" t="n"/>
      <c r="E417" s="80" t="n"/>
      <c r="F417" s="80" t="n"/>
      <c r="G417" s="80" t="n"/>
      <c r="H417" s="80" t="n"/>
      <c r="I417" s="80" t="n"/>
      <c r="J417" s="80" t="n"/>
      <c r="K417" s="80" t="n"/>
      <c r="L417" s="80" t="n"/>
      <c r="M417" s="80" t="n"/>
    </row>
    <row r="418">
      <c r="A418" s="80" t="n"/>
      <c r="B418" s="80" t="n"/>
      <c r="C418" s="80" t="n"/>
      <c r="D418" s="80" t="n"/>
      <c r="E418" s="80" t="n"/>
      <c r="F418" s="80" t="n"/>
      <c r="G418" s="80" t="n"/>
      <c r="H418" s="80" t="n"/>
      <c r="I418" s="80" t="n"/>
      <c r="J418" s="80" t="n"/>
      <c r="K418" s="80" t="n"/>
      <c r="L418" s="80" t="n"/>
      <c r="M418" s="80" t="n"/>
    </row>
    <row r="419">
      <c r="A419" s="80" t="n"/>
      <c r="B419" s="80" t="n"/>
      <c r="C419" s="80" t="n"/>
      <c r="D419" s="80" t="n"/>
      <c r="E419" s="80" t="n"/>
      <c r="F419" s="80" t="n"/>
      <c r="G419" s="80" t="n"/>
      <c r="H419" s="80" t="n"/>
      <c r="I419" s="80" t="n"/>
      <c r="J419" s="80" t="n"/>
      <c r="K419" s="80" t="n"/>
      <c r="L419" s="80" t="n"/>
      <c r="M419" s="80" t="n"/>
    </row>
    <row r="420">
      <c r="A420" s="80" t="n"/>
      <c r="B420" s="80" t="n"/>
      <c r="C420" s="80" t="n"/>
      <c r="D420" s="80" t="n"/>
      <c r="E420" s="80" t="n"/>
      <c r="F420" s="80" t="n"/>
      <c r="G420" s="80" t="n"/>
      <c r="H420" s="80" t="n"/>
      <c r="I420" s="80" t="n"/>
      <c r="J420" s="80" t="n"/>
      <c r="K420" s="80" t="n"/>
      <c r="L420" s="80" t="n"/>
      <c r="M420" s="80" t="n"/>
    </row>
    <row r="421">
      <c r="A421" s="80" t="n"/>
      <c r="B421" s="80" t="n"/>
      <c r="C421" s="80" t="n"/>
      <c r="D421" s="80" t="n"/>
      <c r="E421" s="80" t="n"/>
      <c r="F421" s="80" t="n"/>
      <c r="G421" s="80" t="n"/>
      <c r="H421" s="80" t="n"/>
      <c r="I421" s="80" t="n"/>
      <c r="J421" s="80" t="n"/>
      <c r="K421" s="80" t="n"/>
      <c r="L421" s="80" t="n"/>
      <c r="M421" s="80" t="n"/>
    </row>
    <row r="422">
      <c r="A422" s="80" t="n"/>
      <c r="B422" s="80" t="n"/>
      <c r="C422" s="80" t="n"/>
      <c r="D422" s="80" t="n"/>
      <c r="E422" s="80" t="n"/>
      <c r="F422" s="80" t="n"/>
      <c r="G422" s="80" t="n"/>
      <c r="H422" s="80" t="n"/>
      <c r="I422" s="80" t="n"/>
      <c r="J422" s="80" t="n"/>
      <c r="K422" s="80" t="n"/>
      <c r="L422" s="80" t="n"/>
      <c r="M422" s="80" t="n"/>
    </row>
    <row r="423">
      <c r="A423" s="80" t="n"/>
      <c r="B423" s="80" t="n"/>
      <c r="C423" s="80" t="n"/>
      <c r="D423" s="80" t="n"/>
      <c r="E423" s="80" t="n"/>
      <c r="F423" s="80" t="n"/>
      <c r="G423" s="80" t="n"/>
      <c r="H423" s="80" t="n"/>
      <c r="I423" s="80" t="n"/>
      <c r="J423" s="80" t="n"/>
      <c r="K423" s="80" t="n"/>
      <c r="L423" s="80" t="n"/>
      <c r="M423" s="80" t="n"/>
    </row>
    <row r="424">
      <c r="A424" s="80" t="n"/>
      <c r="B424" s="80" t="n"/>
      <c r="C424" s="80" t="n"/>
      <c r="D424" s="80" t="n"/>
      <c r="E424" s="80" t="n"/>
      <c r="F424" s="80" t="n"/>
      <c r="G424" s="80" t="n"/>
      <c r="H424" s="80" t="n"/>
      <c r="I424" s="80" t="n"/>
      <c r="J424" s="80" t="n"/>
      <c r="K424" s="80" t="n"/>
      <c r="L424" s="80" t="n"/>
      <c r="M424" s="80" t="n"/>
    </row>
    <row r="425">
      <c r="A425" s="80" t="n"/>
      <c r="B425" s="80" t="n"/>
      <c r="C425" s="80" t="n"/>
      <c r="D425" s="80" t="n"/>
      <c r="E425" s="80" t="n"/>
      <c r="F425" s="80" t="n"/>
      <c r="G425" s="80" t="n"/>
      <c r="H425" s="80" t="n"/>
      <c r="I425" s="80" t="n"/>
      <c r="J425" s="80" t="n"/>
      <c r="K425" s="80" t="n"/>
      <c r="L425" s="80" t="n"/>
      <c r="M425" s="80" t="n"/>
    </row>
    <row r="426">
      <c r="A426" s="80" t="n"/>
      <c r="B426" s="80" t="n"/>
      <c r="C426" s="80" t="n"/>
      <c r="D426" s="80" t="n"/>
      <c r="E426" s="80" t="n"/>
      <c r="F426" s="80" t="n"/>
      <c r="G426" s="80" t="n"/>
      <c r="H426" s="80" t="n"/>
      <c r="I426" s="80" t="n"/>
      <c r="J426" s="80" t="n"/>
      <c r="K426" s="80" t="n"/>
      <c r="L426" s="80" t="n"/>
      <c r="M426" s="80" t="n"/>
    </row>
    <row r="427">
      <c r="A427" s="80" t="n"/>
      <c r="B427" s="80" t="n"/>
      <c r="C427" s="80" t="n"/>
      <c r="D427" s="80" t="n"/>
      <c r="E427" s="80" t="n"/>
      <c r="F427" s="80" t="n"/>
      <c r="G427" s="80" t="n"/>
      <c r="H427" s="80" t="n"/>
      <c r="I427" s="80" t="n"/>
      <c r="J427" s="80" t="n"/>
      <c r="K427" s="80" t="n"/>
      <c r="L427" s="80" t="n"/>
      <c r="M427" s="80" t="n"/>
    </row>
    <row r="428">
      <c r="A428" s="80" t="n"/>
      <c r="B428" s="80" t="n"/>
      <c r="C428" s="80" t="n"/>
      <c r="D428" s="80" t="n"/>
      <c r="E428" s="80" t="n"/>
      <c r="F428" s="80" t="n"/>
      <c r="G428" s="80" t="n"/>
      <c r="H428" s="80" t="n"/>
      <c r="I428" s="80" t="n"/>
      <c r="J428" s="80" t="n"/>
      <c r="K428" s="80" t="n"/>
      <c r="L428" s="80" t="n"/>
      <c r="M428" s="80" t="n"/>
    </row>
    <row r="429">
      <c r="A429" s="80" t="n"/>
      <c r="B429" s="80" t="n"/>
      <c r="C429" s="80" t="n"/>
      <c r="D429" s="80" t="n"/>
      <c r="E429" s="80" t="n"/>
      <c r="F429" s="80" t="n"/>
      <c r="G429" s="80" t="n"/>
      <c r="H429" s="80" t="n"/>
      <c r="I429" s="80" t="n"/>
      <c r="J429" s="80" t="n"/>
      <c r="K429" s="80" t="n"/>
      <c r="L429" s="80" t="n"/>
      <c r="M429" s="80" t="n"/>
    </row>
    <row r="430">
      <c r="A430" s="80" t="n"/>
      <c r="B430" s="80" t="n"/>
      <c r="C430" s="80" t="n"/>
      <c r="D430" s="80" t="n"/>
      <c r="E430" s="80" t="n"/>
      <c r="F430" s="80" t="n"/>
      <c r="G430" s="80" t="n"/>
      <c r="H430" s="80" t="n"/>
      <c r="I430" s="80" t="n"/>
      <c r="J430" s="80" t="n"/>
      <c r="K430" s="80" t="n"/>
      <c r="L430" s="80" t="n"/>
      <c r="M430" s="80" t="n"/>
    </row>
    <row r="431">
      <c r="A431" s="80" t="n"/>
      <c r="B431" s="80" t="n"/>
      <c r="C431" s="80" t="n"/>
      <c r="D431" s="80" t="n"/>
      <c r="E431" s="80" t="n"/>
      <c r="F431" s="80" t="n"/>
      <c r="G431" s="80" t="n"/>
      <c r="H431" s="80" t="n"/>
      <c r="I431" s="80" t="n"/>
      <c r="J431" s="80" t="n"/>
      <c r="K431" s="80" t="n"/>
      <c r="L431" s="80" t="n"/>
      <c r="M431" s="80" t="n"/>
    </row>
    <row r="432">
      <c r="A432" s="80" t="n"/>
      <c r="B432" s="80" t="n"/>
      <c r="C432" s="80" t="n"/>
      <c r="D432" s="80" t="n"/>
      <c r="E432" s="80" t="n"/>
      <c r="F432" s="80" t="n"/>
      <c r="G432" s="80" t="n"/>
      <c r="H432" s="80" t="n"/>
      <c r="I432" s="80" t="n"/>
      <c r="J432" s="80" t="n"/>
      <c r="K432" s="80" t="n"/>
      <c r="L432" s="80" t="n"/>
      <c r="M432" s="80" t="n"/>
    </row>
    <row r="433">
      <c r="A433" s="80" t="n"/>
      <c r="B433" s="80" t="n"/>
      <c r="C433" s="80" t="n"/>
      <c r="D433" s="80" t="n"/>
      <c r="E433" s="80" t="n"/>
      <c r="F433" s="80" t="n"/>
      <c r="G433" s="80" t="n"/>
      <c r="H433" s="80" t="n"/>
      <c r="I433" s="80" t="n"/>
      <c r="J433" s="80" t="n"/>
      <c r="K433" s="80" t="n"/>
      <c r="L433" s="80" t="n"/>
      <c r="M433" s="80" t="n"/>
    </row>
    <row r="434">
      <c r="A434" s="80" t="n"/>
      <c r="B434" s="80" t="n"/>
      <c r="C434" s="80" t="n"/>
      <c r="D434" s="80" t="n"/>
      <c r="E434" s="80" t="n"/>
      <c r="F434" s="80" t="n"/>
      <c r="G434" s="80" t="n"/>
      <c r="H434" s="80" t="n"/>
      <c r="I434" s="80" t="n"/>
      <c r="J434" s="80" t="n"/>
      <c r="K434" s="80" t="n"/>
      <c r="L434" s="80" t="n"/>
      <c r="M434" s="80" t="n"/>
    </row>
    <row r="435">
      <c r="A435" s="80" t="n"/>
      <c r="B435" s="80" t="n"/>
      <c r="C435" s="80" t="n"/>
      <c r="D435" s="80" t="n"/>
      <c r="E435" s="80" t="n"/>
      <c r="F435" s="80" t="n"/>
      <c r="G435" s="80" t="n"/>
      <c r="H435" s="80" t="n"/>
      <c r="I435" s="80" t="n"/>
      <c r="J435" s="80" t="n"/>
      <c r="K435" s="80" t="n"/>
      <c r="L435" s="80" t="n"/>
      <c r="M435" s="80" t="n"/>
    </row>
    <row r="436">
      <c r="A436" s="80" t="n"/>
      <c r="B436" s="80" t="n"/>
      <c r="C436" s="80" t="n"/>
      <c r="D436" s="80" t="n"/>
      <c r="E436" s="80" t="n"/>
      <c r="F436" s="80" t="n"/>
      <c r="G436" s="80" t="n"/>
      <c r="H436" s="80" t="n"/>
      <c r="I436" s="80" t="n"/>
      <c r="J436" s="80" t="n"/>
      <c r="K436" s="80" t="n"/>
      <c r="L436" s="80" t="n"/>
      <c r="M436" s="80" t="n"/>
    </row>
    <row r="437">
      <c r="A437" s="80" t="n"/>
      <c r="B437" s="80" t="n"/>
      <c r="C437" s="80" t="n"/>
      <c r="D437" s="80" t="n"/>
      <c r="E437" s="80" t="n"/>
      <c r="F437" s="80" t="n"/>
      <c r="G437" s="80" t="n"/>
      <c r="H437" s="80" t="n"/>
      <c r="I437" s="80" t="n"/>
      <c r="J437" s="80" t="n"/>
      <c r="K437" s="80" t="n"/>
      <c r="L437" s="80" t="n"/>
      <c r="M437" s="80" t="n"/>
    </row>
    <row r="438">
      <c r="A438" s="80" t="n"/>
      <c r="B438" s="80" t="n"/>
      <c r="C438" s="80" t="n"/>
      <c r="D438" s="80" t="n"/>
      <c r="E438" s="80" t="n"/>
      <c r="F438" s="80" t="n"/>
      <c r="G438" s="80" t="n"/>
      <c r="H438" s="80" t="n"/>
      <c r="I438" s="80" t="n"/>
      <c r="J438" s="80" t="n"/>
      <c r="K438" s="80" t="n"/>
      <c r="L438" s="80" t="n"/>
      <c r="M438" s="80" t="n"/>
    </row>
    <row r="439">
      <c r="A439" s="80" t="n"/>
      <c r="B439" s="80" t="n"/>
      <c r="C439" s="80" t="n"/>
      <c r="D439" s="80" t="n"/>
      <c r="E439" s="80" t="n"/>
      <c r="F439" s="80" t="n"/>
      <c r="G439" s="80" t="n"/>
      <c r="H439" s="80" t="n"/>
      <c r="I439" s="80" t="n"/>
      <c r="J439" s="80" t="n"/>
      <c r="K439" s="80" t="n"/>
      <c r="L439" s="80" t="n"/>
      <c r="M439" s="80" t="n"/>
    </row>
    <row r="440">
      <c r="A440" s="80" t="n"/>
      <c r="B440" s="80" t="n"/>
      <c r="C440" s="80" t="n"/>
      <c r="D440" s="80" t="n"/>
      <c r="E440" s="80" t="n"/>
      <c r="F440" s="80" t="n"/>
      <c r="G440" s="80" t="n"/>
      <c r="H440" s="80" t="n"/>
      <c r="I440" s="80" t="n"/>
      <c r="J440" s="80" t="n"/>
      <c r="K440" s="80" t="n"/>
      <c r="L440" s="80" t="n"/>
      <c r="M440" s="80" t="n"/>
    </row>
    <row r="441">
      <c r="A441" s="80" t="n"/>
      <c r="B441" s="80" t="n"/>
      <c r="C441" s="80" t="n"/>
      <c r="D441" s="80" t="n"/>
      <c r="E441" s="80" t="n"/>
      <c r="F441" s="80" t="n"/>
      <c r="G441" s="80" t="n"/>
      <c r="H441" s="80" t="n"/>
      <c r="I441" s="80" t="n"/>
      <c r="J441" s="80" t="n"/>
      <c r="K441" s="80" t="n"/>
      <c r="L441" s="80" t="n"/>
      <c r="M441" s="80" t="n"/>
    </row>
    <row r="442">
      <c r="A442" s="80" t="n"/>
      <c r="B442" s="80" t="n"/>
      <c r="C442" s="80" t="n"/>
      <c r="D442" s="80" t="n"/>
      <c r="E442" s="80" t="n"/>
      <c r="F442" s="80" t="n"/>
      <c r="G442" s="80" t="n"/>
      <c r="H442" s="80" t="n"/>
      <c r="I442" s="80" t="n"/>
      <c r="J442" s="80" t="n"/>
      <c r="K442" s="80" t="n"/>
      <c r="L442" s="80" t="n"/>
      <c r="M442" s="80" t="n"/>
    </row>
    <row r="443">
      <c r="A443" s="80" t="n"/>
      <c r="B443" s="80" t="n"/>
      <c r="C443" s="80" t="n"/>
      <c r="D443" s="80" t="n"/>
      <c r="E443" s="80" t="n"/>
      <c r="F443" s="80" t="n"/>
      <c r="G443" s="80" t="n"/>
      <c r="H443" s="80" t="n"/>
      <c r="I443" s="80" t="n"/>
      <c r="J443" s="80" t="n"/>
      <c r="K443" s="80" t="n"/>
      <c r="L443" s="80" t="n"/>
      <c r="M443" s="80" t="n"/>
    </row>
    <row r="444">
      <c r="A444" s="80" t="n"/>
      <c r="B444" s="80" t="n"/>
      <c r="C444" s="80" t="n"/>
      <c r="D444" s="80" t="n"/>
      <c r="E444" s="80" t="n"/>
      <c r="F444" s="80" t="n"/>
      <c r="G444" s="80" t="n"/>
      <c r="H444" s="80" t="n"/>
      <c r="I444" s="80" t="n"/>
      <c r="J444" s="80" t="n"/>
      <c r="K444" s="80" t="n"/>
      <c r="L444" s="80" t="n"/>
      <c r="M444" s="80" t="n"/>
    </row>
    <row r="445">
      <c r="A445" s="80" t="n"/>
      <c r="B445" s="80" t="n"/>
      <c r="C445" s="80" t="n"/>
      <c r="D445" s="80" t="n"/>
      <c r="E445" s="80" t="n"/>
      <c r="F445" s="80" t="n"/>
      <c r="G445" s="80" t="n"/>
      <c r="H445" s="80" t="n"/>
      <c r="I445" s="80" t="n"/>
      <c r="J445" s="80" t="n"/>
      <c r="K445" s="80" t="n"/>
      <c r="L445" s="80" t="n"/>
      <c r="M445" s="80" t="n"/>
    </row>
    <row r="446">
      <c r="A446" s="80" t="n"/>
      <c r="B446" s="80" t="n"/>
      <c r="C446" s="80" t="n"/>
      <c r="D446" s="80" t="n"/>
      <c r="E446" s="80" t="n"/>
      <c r="F446" s="80" t="n"/>
      <c r="G446" s="80" t="n"/>
      <c r="H446" s="80" t="n"/>
      <c r="I446" s="80" t="n"/>
      <c r="J446" s="80" t="n"/>
      <c r="K446" s="80" t="n"/>
      <c r="L446" s="80" t="n"/>
      <c r="M446" s="80" t="n"/>
    </row>
    <row r="447">
      <c r="A447" s="80" t="n"/>
      <c r="B447" s="80" t="n"/>
      <c r="C447" s="80" t="n"/>
      <c r="D447" s="80" t="n"/>
      <c r="E447" s="80" t="n"/>
      <c r="F447" s="80" t="n"/>
      <c r="G447" s="80" t="n"/>
      <c r="H447" s="80" t="n"/>
      <c r="I447" s="80" t="n"/>
      <c r="J447" s="80" t="n"/>
      <c r="K447" s="80" t="n"/>
      <c r="L447" s="80" t="n"/>
      <c r="M447" s="80" t="n"/>
    </row>
    <row r="448">
      <c r="A448" s="80" t="n"/>
      <c r="B448" s="80" t="n"/>
      <c r="C448" s="80" t="n"/>
      <c r="D448" s="80" t="n"/>
      <c r="E448" s="80" t="n"/>
      <c r="F448" s="80" t="n"/>
      <c r="G448" s="80" t="n"/>
      <c r="H448" s="80" t="n"/>
      <c r="I448" s="80" t="n"/>
      <c r="J448" s="80" t="n"/>
      <c r="K448" s="80" t="n"/>
      <c r="L448" s="80" t="n"/>
      <c r="M448" s="80" t="n"/>
    </row>
    <row r="449">
      <c r="A449" s="80" t="n"/>
      <c r="B449" s="80" t="n"/>
      <c r="C449" s="80" t="n"/>
      <c r="D449" s="80" t="n"/>
      <c r="E449" s="80" t="n"/>
      <c r="F449" s="80" t="n"/>
      <c r="G449" s="80" t="n"/>
      <c r="H449" s="80" t="n"/>
      <c r="I449" s="80" t="n"/>
      <c r="J449" s="80" t="n"/>
      <c r="K449" s="80" t="n"/>
      <c r="L449" s="80" t="n"/>
      <c r="M449" s="80" t="n"/>
    </row>
    <row r="450">
      <c r="A450" s="80" t="n"/>
      <c r="B450" s="80" t="n"/>
      <c r="C450" s="80" t="n"/>
      <c r="D450" s="80" t="n"/>
      <c r="E450" s="80" t="n"/>
      <c r="F450" s="80" t="n"/>
      <c r="G450" s="80" t="n"/>
      <c r="H450" s="80" t="n"/>
      <c r="I450" s="80" t="n"/>
      <c r="J450" s="80" t="n"/>
      <c r="K450" s="80" t="n"/>
      <c r="L450" s="80" t="n"/>
      <c r="M450" s="80" t="n"/>
    </row>
    <row r="451">
      <c r="A451" s="80" t="n"/>
      <c r="B451" s="80" t="n"/>
      <c r="C451" s="80" t="n"/>
      <c r="D451" s="80" t="n"/>
      <c r="E451" s="80" t="n"/>
      <c r="F451" s="80" t="n"/>
      <c r="G451" s="80" t="n"/>
      <c r="H451" s="80" t="n"/>
      <c r="I451" s="80" t="n"/>
      <c r="J451" s="80" t="n"/>
      <c r="K451" s="80" t="n"/>
      <c r="L451" s="80" t="n"/>
      <c r="M451" s="80" t="n"/>
    </row>
    <row r="452">
      <c r="A452" s="80" t="n"/>
      <c r="B452" s="80" t="n"/>
      <c r="C452" s="80" t="n"/>
      <c r="D452" s="80" t="n"/>
      <c r="E452" s="80" t="n"/>
      <c r="F452" s="80" t="n"/>
      <c r="G452" s="80" t="n"/>
      <c r="H452" s="80" t="n"/>
      <c r="I452" s="80" t="n"/>
      <c r="J452" s="80" t="n"/>
      <c r="K452" s="80" t="n"/>
      <c r="L452" s="80" t="n"/>
      <c r="M452" s="80" t="n"/>
    </row>
    <row r="453">
      <c r="A453" s="80" t="n"/>
      <c r="B453" s="80" t="n"/>
      <c r="C453" s="80" t="n"/>
      <c r="D453" s="80" t="n"/>
      <c r="E453" s="80" t="n"/>
      <c r="F453" s="80" t="n"/>
      <c r="G453" s="80" t="n"/>
      <c r="H453" s="80" t="n"/>
      <c r="I453" s="80" t="n"/>
      <c r="J453" s="80" t="n"/>
      <c r="K453" s="80" t="n"/>
      <c r="L453" s="80" t="n"/>
      <c r="M453" s="80" t="n"/>
    </row>
    <row r="454">
      <c r="A454" s="80" t="n"/>
      <c r="B454" s="80" t="n"/>
      <c r="C454" s="80" t="n"/>
      <c r="D454" s="80" t="n"/>
      <c r="E454" s="80" t="n"/>
      <c r="F454" s="80" t="n"/>
      <c r="G454" s="80" t="n"/>
      <c r="H454" s="80" t="n"/>
      <c r="I454" s="80" t="n"/>
      <c r="J454" s="80" t="n"/>
      <c r="K454" s="80" t="n"/>
      <c r="L454" s="80" t="n"/>
      <c r="M454" s="80" t="n"/>
    </row>
    <row r="455">
      <c r="A455" s="80" t="n"/>
      <c r="B455" s="80" t="n"/>
      <c r="C455" s="80" t="n"/>
      <c r="D455" s="80" t="n"/>
      <c r="E455" s="80" t="n"/>
      <c r="F455" s="80" t="n"/>
      <c r="G455" s="80" t="n"/>
      <c r="H455" s="80" t="n"/>
      <c r="I455" s="80" t="n"/>
      <c r="J455" s="80" t="n"/>
      <c r="K455" s="80" t="n"/>
      <c r="L455" s="80" t="n"/>
      <c r="M455" s="80" t="n"/>
    </row>
    <row r="456">
      <c r="A456" s="80" t="n"/>
      <c r="B456" s="80" t="n"/>
      <c r="C456" s="80" t="n"/>
      <c r="D456" s="80" t="n"/>
      <c r="E456" s="80" t="n"/>
      <c r="F456" s="80" t="n"/>
      <c r="G456" s="80" t="n"/>
      <c r="H456" s="80" t="n"/>
      <c r="I456" s="80" t="n"/>
      <c r="J456" s="80" t="n"/>
      <c r="K456" s="80" t="n"/>
      <c r="L456" s="80" t="n"/>
      <c r="M456" s="80" t="n"/>
    </row>
    <row r="457">
      <c r="A457" s="80" t="n"/>
      <c r="B457" s="80" t="n"/>
      <c r="C457" s="80" t="n"/>
      <c r="D457" s="80" t="n"/>
      <c r="E457" s="80" t="n"/>
      <c r="F457" s="80" t="n"/>
      <c r="G457" s="80" t="n"/>
      <c r="H457" s="80" t="n"/>
      <c r="I457" s="80" t="n"/>
      <c r="J457" s="80" t="n"/>
      <c r="K457" s="80" t="n"/>
      <c r="L457" s="80" t="n"/>
      <c r="M457" s="80" t="n"/>
    </row>
    <row r="458">
      <c r="A458" s="80" t="n"/>
      <c r="B458" s="80" t="n"/>
      <c r="C458" s="80" t="n"/>
      <c r="D458" s="80" t="n"/>
      <c r="E458" s="80" t="n"/>
      <c r="F458" s="80" t="n"/>
      <c r="G458" s="80" t="n"/>
      <c r="H458" s="80" t="n"/>
      <c r="I458" s="80" t="n"/>
      <c r="J458" s="80" t="n"/>
      <c r="K458" s="80" t="n"/>
      <c r="L458" s="80" t="n"/>
      <c r="M458" s="80" t="n"/>
    </row>
    <row r="459">
      <c r="A459" s="80" t="n"/>
      <c r="B459" s="80" t="n"/>
      <c r="C459" s="80" t="n"/>
      <c r="D459" s="80" t="n"/>
      <c r="E459" s="80" t="n"/>
      <c r="F459" s="80" t="n"/>
      <c r="G459" s="80" t="n"/>
      <c r="H459" s="80" t="n"/>
      <c r="I459" s="80" t="n"/>
      <c r="J459" s="80" t="n"/>
      <c r="K459" s="80" t="n"/>
      <c r="L459" s="80" t="n"/>
      <c r="M459" s="80" t="n"/>
    </row>
    <row r="460">
      <c r="A460" s="80" t="n"/>
      <c r="B460" s="80" t="n"/>
      <c r="C460" s="80" t="n"/>
      <c r="D460" s="80" t="n"/>
      <c r="E460" s="80" t="n"/>
      <c r="F460" s="80" t="n"/>
      <c r="G460" s="80" t="n"/>
      <c r="H460" s="80" t="n"/>
      <c r="I460" s="80" t="n"/>
      <c r="J460" s="80" t="n"/>
      <c r="K460" s="80" t="n"/>
      <c r="L460" s="80" t="n"/>
      <c r="M460" s="80" t="n"/>
    </row>
    <row r="461">
      <c r="A461" s="80" t="n"/>
      <c r="B461" s="80" t="n"/>
      <c r="C461" s="80" t="n"/>
      <c r="D461" s="80" t="n"/>
      <c r="E461" s="80" t="n"/>
      <c r="F461" s="80" t="n"/>
      <c r="G461" s="80" t="n"/>
      <c r="H461" s="80" t="n"/>
      <c r="I461" s="80" t="n"/>
      <c r="J461" s="80" t="n"/>
      <c r="K461" s="80" t="n"/>
      <c r="L461" s="80" t="n"/>
      <c r="M461" s="80" t="n"/>
    </row>
    <row r="462">
      <c r="A462" s="80" t="n"/>
      <c r="B462" s="80" t="n"/>
      <c r="C462" s="80" t="n"/>
      <c r="D462" s="80" t="n"/>
      <c r="E462" s="80" t="n"/>
      <c r="F462" s="80" t="n"/>
      <c r="G462" s="80" t="n"/>
      <c r="H462" s="80" t="n"/>
      <c r="I462" s="80" t="n"/>
      <c r="J462" s="80" t="n"/>
      <c r="K462" s="80" t="n"/>
      <c r="L462" s="80" t="n"/>
      <c r="M462" s="80" t="n"/>
    </row>
    <row r="463">
      <c r="A463" s="80" t="n"/>
      <c r="B463" s="80" t="n"/>
      <c r="C463" s="80" t="n"/>
      <c r="D463" s="80" t="n"/>
      <c r="E463" s="80" t="n"/>
      <c r="F463" s="80" t="n"/>
      <c r="G463" s="80" t="n"/>
      <c r="H463" s="80" t="n"/>
      <c r="I463" s="80" t="n"/>
      <c r="J463" s="80" t="n"/>
      <c r="K463" s="80" t="n"/>
      <c r="L463" s="80" t="n"/>
      <c r="M463" s="80" t="n"/>
    </row>
    <row r="464">
      <c r="A464" s="80" t="n"/>
      <c r="B464" s="80" t="n"/>
      <c r="C464" s="80" t="n"/>
      <c r="D464" s="80" t="n"/>
      <c r="E464" s="80" t="n"/>
      <c r="F464" s="80" t="n"/>
      <c r="G464" s="80" t="n"/>
      <c r="H464" s="80" t="n"/>
      <c r="I464" s="80" t="n"/>
      <c r="J464" s="80" t="n"/>
      <c r="K464" s="80" t="n"/>
      <c r="L464" s="80" t="n"/>
      <c r="M464" s="80" t="n"/>
    </row>
    <row r="465">
      <c r="A465" s="80" t="n"/>
      <c r="B465" s="80" t="n"/>
      <c r="C465" s="80" t="n"/>
      <c r="D465" s="80" t="n"/>
      <c r="E465" s="80" t="n"/>
      <c r="F465" s="80" t="n"/>
      <c r="G465" s="80" t="n"/>
      <c r="H465" s="80" t="n"/>
      <c r="I465" s="80" t="n"/>
      <c r="J465" s="80" t="n"/>
      <c r="K465" s="80" t="n"/>
      <c r="L465" s="80" t="n"/>
      <c r="M465" s="80" t="n"/>
    </row>
    <row r="466">
      <c r="A466" s="80" t="n"/>
      <c r="B466" s="80" t="n"/>
      <c r="C466" s="80" t="n"/>
      <c r="D466" s="80" t="n"/>
      <c r="E466" s="80" t="n"/>
      <c r="F466" s="80" t="n"/>
      <c r="G466" s="80" t="n"/>
      <c r="H466" s="80" t="n"/>
      <c r="I466" s="80" t="n"/>
      <c r="J466" s="80" t="n"/>
      <c r="K466" s="80" t="n"/>
      <c r="L466" s="80" t="n"/>
      <c r="M466" s="80" t="n"/>
    </row>
    <row r="467">
      <c r="A467" s="80" t="n"/>
      <c r="B467" s="80" t="n"/>
      <c r="C467" s="80" t="n"/>
      <c r="D467" s="80" t="n"/>
      <c r="E467" s="80" t="n"/>
      <c r="F467" s="80" t="n"/>
      <c r="G467" s="80" t="n"/>
      <c r="H467" s="80" t="n"/>
      <c r="I467" s="80" t="n"/>
      <c r="J467" s="80" t="n"/>
      <c r="K467" s="80" t="n"/>
      <c r="L467" s="80" t="n"/>
      <c r="M467" s="80" t="n"/>
    </row>
    <row r="468">
      <c r="A468" s="80" t="n"/>
      <c r="B468" s="80" t="n"/>
      <c r="C468" s="80" t="n"/>
      <c r="D468" s="80" t="n"/>
      <c r="E468" s="80" t="n"/>
      <c r="F468" s="80" t="n"/>
      <c r="G468" s="80" t="n"/>
      <c r="H468" s="80" t="n"/>
      <c r="I468" s="80" t="n"/>
      <c r="J468" s="80" t="n"/>
      <c r="K468" s="80" t="n"/>
      <c r="L468" s="80" t="n"/>
      <c r="M468" s="80" t="n"/>
    </row>
    <row r="469">
      <c r="A469" s="80" t="n"/>
      <c r="B469" s="80" t="n"/>
      <c r="C469" s="80" t="n"/>
      <c r="D469" s="80" t="n"/>
      <c r="E469" s="80" t="n"/>
      <c r="F469" s="80" t="n"/>
      <c r="G469" s="80" t="n"/>
      <c r="H469" s="80" t="n"/>
      <c r="I469" s="80" t="n"/>
      <c r="J469" s="80" t="n"/>
      <c r="K469" s="80" t="n"/>
      <c r="L469" s="80" t="n"/>
      <c r="M469" s="80" t="n"/>
    </row>
    <row r="470">
      <c r="A470" s="80" t="n"/>
      <c r="B470" s="80" t="n"/>
      <c r="C470" s="80" t="n"/>
      <c r="D470" s="80" t="n"/>
      <c r="E470" s="80" t="n"/>
      <c r="F470" s="80" t="n"/>
      <c r="G470" s="80" t="n"/>
      <c r="H470" s="80" t="n"/>
      <c r="I470" s="80" t="n"/>
      <c r="J470" s="80" t="n"/>
      <c r="K470" s="80" t="n"/>
      <c r="L470" s="80" t="n"/>
      <c r="M470" s="80" t="n"/>
    </row>
    <row r="471">
      <c r="A471" s="80" t="n"/>
      <c r="B471" s="80" t="n"/>
      <c r="C471" s="80" t="n"/>
      <c r="D471" s="80" t="n"/>
      <c r="E471" s="80" t="n"/>
      <c r="F471" s="80" t="n"/>
      <c r="G471" s="80" t="n"/>
      <c r="H471" s="80" t="n"/>
      <c r="I471" s="80" t="n"/>
      <c r="J471" s="80" t="n"/>
      <c r="K471" s="80" t="n"/>
      <c r="L471" s="80" t="n"/>
      <c r="M471" s="80" t="n"/>
    </row>
    <row r="472">
      <c r="A472" s="80" t="n"/>
      <c r="B472" s="80" t="n"/>
      <c r="C472" s="80" t="n"/>
      <c r="D472" s="80" t="n"/>
      <c r="E472" s="80" t="n"/>
      <c r="F472" s="80" t="n"/>
      <c r="G472" s="80" t="n"/>
      <c r="H472" s="80" t="n"/>
      <c r="I472" s="80" t="n"/>
      <c r="J472" s="80" t="n"/>
      <c r="K472" s="80" t="n"/>
      <c r="L472" s="80" t="n"/>
      <c r="M472" s="80" t="n"/>
    </row>
    <row r="473">
      <c r="A473" s="80" t="n"/>
      <c r="B473" s="80" t="n"/>
      <c r="C473" s="80" t="n"/>
      <c r="D473" s="80" t="n"/>
      <c r="E473" s="80" t="n"/>
      <c r="F473" s="80" t="n"/>
      <c r="G473" s="80" t="n"/>
      <c r="H473" s="80" t="n"/>
      <c r="I473" s="80" t="n"/>
      <c r="J473" s="80" t="n"/>
      <c r="K473" s="80" t="n"/>
      <c r="L473" s="80" t="n"/>
      <c r="M473" s="80" t="n"/>
    </row>
    <row r="474">
      <c r="A474" s="80" t="n"/>
      <c r="B474" s="80" t="n"/>
      <c r="C474" s="80" t="n"/>
      <c r="D474" s="80" t="n"/>
      <c r="E474" s="80" t="n"/>
      <c r="F474" s="80" t="n"/>
      <c r="G474" s="80" t="n"/>
      <c r="H474" s="80" t="n"/>
      <c r="I474" s="80" t="n"/>
      <c r="J474" s="80" t="n"/>
      <c r="K474" s="80" t="n"/>
      <c r="L474" s="80" t="n"/>
      <c r="M474" s="80" t="n"/>
    </row>
    <row r="475">
      <c r="A475" s="80" t="n"/>
      <c r="B475" s="80" t="n"/>
      <c r="C475" s="80" t="n"/>
      <c r="D475" s="80" t="n"/>
      <c r="E475" s="80" t="n"/>
      <c r="F475" s="80" t="n"/>
      <c r="G475" s="80" t="n"/>
      <c r="H475" s="80" t="n"/>
      <c r="I475" s="80" t="n"/>
      <c r="J475" s="80" t="n"/>
      <c r="K475" s="80" t="n"/>
      <c r="L475" s="80" t="n"/>
      <c r="M475" s="80" t="n"/>
    </row>
    <row r="476">
      <c r="A476" s="80" t="n"/>
      <c r="B476" s="80" t="n"/>
      <c r="C476" s="80" t="n"/>
      <c r="D476" s="80" t="n"/>
      <c r="E476" s="80" t="n"/>
      <c r="F476" s="80" t="n"/>
      <c r="G476" s="80" t="n"/>
      <c r="H476" s="80" t="n"/>
      <c r="I476" s="80" t="n"/>
      <c r="J476" s="80" t="n"/>
      <c r="K476" s="80" t="n"/>
      <c r="L476" s="80" t="n"/>
      <c r="M476" s="80" t="n"/>
    </row>
    <row r="477">
      <c r="A477" s="80" t="n"/>
      <c r="B477" s="80" t="n"/>
      <c r="C477" s="80" t="n"/>
      <c r="D477" s="80" t="n"/>
      <c r="E477" s="80" t="n"/>
      <c r="F477" s="80" t="n"/>
      <c r="G477" s="80" t="n"/>
      <c r="H477" s="80" t="n"/>
      <c r="I477" s="80" t="n"/>
      <c r="J477" s="80" t="n"/>
      <c r="K477" s="80" t="n"/>
      <c r="L477" s="80" t="n"/>
      <c r="M477" s="80" t="n"/>
    </row>
    <row r="478">
      <c r="A478" s="80" t="n"/>
      <c r="B478" s="80" t="n"/>
      <c r="C478" s="80" t="n"/>
      <c r="D478" s="80" t="n"/>
      <c r="E478" s="80" t="n"/>
      <c r="F478" s="80" t="n"/>
      <c r="G478" s="80" t="n"/>
      <c r="H478" s="80" t="n"/>
      <c r="I478" s="80" t="n"/>
      <c r="J478" s="80" t="n"/>
      <c r="K478" s="80" t="n"/>
      <c r="L478" s="80" t="n"/>
      <c r="M478" s="80" t="n"/>
    </row>
    <row r="479">
      <c r="A479" s="80" t="n"/>
      <c r="B479" s="80" t="n"/>
      <c r="C479" s="80" t="n"/>
      <c r="D479" s="80" t="n"/>
      <c r="E479" s="80" t="n"/>
      <c r="F479" s="80" t="n"/>
      <c r="G479" s="80" t="n"/>
      <c r="H479" s="80" t="n"/>
      <c r="I479" s="80" t="n"/>
      <c r="J479" s="80" t="n"/>
      <c r="K479" s="80" t="n"/>
      <c r="L479" s="80" t="n"/>
      <c r="M479" s="80" t="n"/>
    </row>
    <row r="480">
      <c r="A480" s="80" t="n"/>
      <c r="B480" s="80" t="n"/>
      <c r="C480" s="80" t="n"/>
      <c r="D480" s="80" t="n"/>
      <c r="E480" s="80" t="n"/>
      <c r="F480" s="80" t="n"/>
      <c r="G480" s="80" t="n"/>
      <c r="H480" s="80" t="n"/>
      <c r="I480" s="80" t="n"/>
      <c r="J480" s="80" t="n"/>
      <c r="K480" s="80" t="n"/>
      <c r="L480" s="80" t="n"/>
      <c r="M480" s="80" t="n"/>
    </row>
    <row r="481">
      <c r="A481" s="80" t="n"/>
      <c r="B481" s="80" t="n"/>
      <c r="C481" s="80" t="n"/>
      <c r="D481" s="80" t="n"/>
      <c r="E481" s="80" t="n"/>
      <c r="F481" s="80" t="n"/>
      <c r="G481" s="80" t="n"/>
      <c r="H481" s="80" t="n"/>
      <c r="I481" s="80" t="n"/>
      <c r="J481" s="80" t="n"/>
      <c r="K481" s="80" t="n"/>
      <c r="L481" s="80" t="n"/>
      <c r="M481" s="80" t="n"/>
    </row>
    <row r="482">
      <c r="A482" s="80" t="n"/>
      <c r="B482" s="80" t="n"/>
      <c r="C482" s="80" t="n"/>
      <c r="D482" s="80" t="n"/>
      <c r="E482" s="80" t="n"/>
      <c r="F482" s="80" t="n"/>
      <c r="G482" s="80" t="n"/>
      <c r="H482" s="80" t="n"/>
      <c r="I482" s="80" t="n"/>
      <c r="J482" s="80" t="n"/>
      <c r="K482" s="80" t="n"/>
      <c r="L482" s="80" t="n"/>
      <c r="M482" s="80" t="n"/>
    </row>
    <row r="483">
      <c r="A483" s="80" t="n"/>
      <c r="B483" s="80" t="n"/>
      <c r="C483" s="80" t="n"/>
      <c r="D483" s="80" t="n"/>
      <c r="E483" s="80" t="n"/>
      <c r="F483" s="80" t="n"/>
      <c r="G483" s="80" t="n"/>
      <c r="H483" s="80" t="n"/>
      <c r="I483" s="80" t="n"/>
      <c r="J483" s="80" t="n"/>
      <c r="K483" s="80" t="n"/>
      <c r="L483" s="80" t="n"/>
      <c r="M483" s="80" t="n"/>
    </row>
    <row r="484">
      <c r="A484" s="80" t="n"/>
      <c r="B484" s="80" t="n"/>
      <c r="C484" s="80" t="n"/>
      <c r="D484" s="80" t="n"/>
      <c r="E484" s="80" t="n"/>
      <c r="F484" s="80" t="n"/>
      <c r="G484" s="80" t="n"/>
      <c r="H484" s="80" t="n"/>
      <c r="I484" s="80" t="n"/>
      <c r="J484" s="80" t="n"/>
      <c r="K484" s="80" t="n"/>
      <c r="L484" s="80" t="n"/>
      <c r="M484" s="80" t="n"/>
    </row>
    <row r="485">
      <c r="A485" s="80" t="n"/>
      <c r="B485" s="80" t="n"/>
      <c r="C485" s="80" t="n"/>
      <c r="D485" s="80" t="n"/>
      <c r="E485" s="80" t="n"/>
      <c r="F485" s="80" t="n"/>
      <c r="G485" s="80" t="n"/>
      <c r="H485" s="80" t="n"/>
      <c r="I485" s="80" t="n"/>
      <c r="J485" s="80" t="n"/>
      <c r="K485" s="80" t="n"/>
      <c r="L485" s="80" t="n"/>
      <c r="M485" s="80" t="n"/>
    </row>
    <row r="486">
      <c r="A486" s="80" t="n"/>
      <c r="B486" s="80" t="n"/>
      <c r="C486" s="80" t="n"/>
      <c r="D486" s="80" t="n"/>
      <c r="E486" s="80" t="n"/>
      <c r="F486" s="80" t="n"/>
      <c r="G486" s="80" t="n"/>
      <c r="H486" s="80" t="n"/>
      <c r="I486" s="80" t="n"/>
      <c r="J486" s="80" t="n"/>
      <c r="K486" s="80" t="n"/>
      <c r="L486" s="80" t="n"/>
      <c r="M486" s="80" t="n"/>
    </row>
    <row r="487">
      <c r="A487" s="80" t="n"/>
      <c r="B487" s="80" t="n"/>
      <c r="C487" s="80" t="n"/>
      <c r="D487" s="80" t="n"/>
      <c r="E487" s="80" t="n"/>
      <c r="F487" s="80" t="n"/>
      <c r="G487" s="80" t="n"/>
      <c r="H487" s="80" t="n"/>
      <c r="I487" s="80" t="n"/>
      <c r="J487" s="80" t="n"/>
      <c r="K487" s="80" t="n"/>
      <c r="L487" s="80" t="n"/>
      <c r="M487" s="80" t="n"/>
    </row>
    <row r="488">
      <c r="A488" s="80" t="n"/>
      <c r="B488" s="80" t="n"/>
      <c r="C488" s="80" t="n"/>
      <c r="D488" s="80" t="n"/>
      <c r="E488" s="80" t="n"/>
      <c r="F488" s="80" t="n"/>
      <c r="G488" s="80" t="n"/>
      <c r="H488" s="80" t="n"/>
      <c r="I488" s="80" t="n"/>
      <c r="J488" s="80" t="n"/>
      <c r="K488" s="80" t="n"/>
      <c r="L488" s="80" t="n"/>
      <c r="M488" s="80" t="n"/>
    </row>
    <row r="489">
      <c r="A489" s="80" t="n"/>
      <c r="B489" s="80" t="n"/>
      <c r="C489" s="80" t="n"/>
      <c r="D489" s="80" t="n"/>
      <c r="E489" s="80" t="n"/>
      <c r="F489" s="80" t="n"/>
      <c r="G489" s="80" t="n"/>
      <c r="H489" s="80" t="n"/>
      <c r="I489" s="80" t="n"/>
      <c r="J489" s="80" t="n"/>
      <c r="K489" s="80" t="n"/>
      <c r="L489" s="80" t="n"/>
      <c r="M489" s="80" t="n"/>
    </row>
    <row r="490">
      <c r="A490" s="80" t="n"/>
      <c r="B490" s="80" t="n"/>
      <c r="C490" s="80" t="n"/>
      <c r="D490" s="80" t="n"/>
      <c r="E490" s="80" t="n"/>
      <c r="F490" s="80" t="n"/>
      <c r="G490" s="80" t="n"/>
      <c r="H490" s="80" t="n"/>
      <c r="I490" s="80" t="n"/>
      <c r="J490" s="80" t="n"/>
      <c r="K490" s="80" t="n"/>
      <c r="L490" s="80" t="n"/>
      <c r="M490" s="80" t="n"/>
    </row>
    <row r="491">
      <c r="A491" s="80" t="n"/>
      <c r="B491" s="80" t="n"/>
      <c r="C491" s="80" t="n"/>
      <c r="D491" s="80" t="n"/>
      <c r="E491" s="80" t="n"/>
      <c r="F491" s="80" t="n"/>
      <c r="G491" s="80" t="n"/>
      <c r="H491" s="80" t="n"/>
      <c r="I491" s="80" t="n"/>
      <c r="J491" s="80" t="n"/>
      <c r="K491" s="80" t="n"/>
      <c r="L491" s="80" t="n"/>
      <c r="M491" s="80" t="n"/>
    </row>
    <row r="492">
      <c r="A492" s="80" t="n"/>
      <c r="B492" s="80" t="n"/>
      <c r="C492" s="80" t="n"/>
      <c r="D492" s="80" t="n"/>
      <c r="E492" s="80" t="n"/>
      <c r="F492" s="80" t="n"/>
      <c r="G492" s="80" t="n"/>
      <c r="H492" s="80" t="n"/>
      <c r="I492" s="80" t="n"/>
      <c r="J492" s="80" t="n"/>
      <c r="K492" s="80" t="n"/>
      <c r="L492" s="80" t="n"/>
      <c r="M492" s="80" t="n"/>
    </row>
    <row r="493">
      <c r="A493" s="80" t="n"/>
      <c r="B493" s="80" t="n"/>
      <c r="C493" s="80" t="n"/>
      <c r="D493" s="80" t="n"/>
      <c r="E493" s="80" t="n"/>
      <c r="F493" s="80" t="n"/>
      <c r="G493" s="80" t="n"/>
      <c r="H493" s="80" t="n"/>
      <c r="I493" s="80" t="n"/>
      <c r="J493" s="80" t="n"/>
      <c r="K493" s="80" t="n"/>
      <c r="L493" s="80" t="n"/>
      <c r="M493" s="80" t="n"/>
    </row>
    <row r="494">
      <c r="A494" s="80" t="n"/>
      <c r="B494" s="80" t="n"/>
      <c r="C494" s="80" t="n"/>
      <c r="D494" s="80" t="n"/>
      <c r="E494" s="80" t="n"/>
      <c r="F494" s="80" t="n"/>
      <c r="G494" s="80" t="n"/>
      <c r="H494" s="80" t="n"/>
      <c r="I494" s="80" t="n"/>
      <c r="J494" s="80" t="n"/>
      <c r="K494" s="80" t="n"/>
      <c r="L494" s="80" t="n"/>
      <c r="M494" s="80" t="n"/>
    </row>
    <row r="495">
      <c r="A495" s="80" t="n"/>
      <c r="B495" s="80" t="n"/>
      <c r="C495" s="80" t="n"/>
      <c r="D495" s="80" t="n"/>
      <c r="E495" s="80" t="n"/>
      <c r="F495" s="80" t="n"/>
      <c r="G495" s="80" t="n"/>
      <c r="H495" s="80" t="n"/>
      <c r="I495" s="80" t="n"/>
      <c r="J495" s="80" t="n"/>
      <c r="K495" s="80" t="n"/>
      <c r="L495" s="80" t="n"/>
      <c r="M495" s="80" t="n"/>
    </row>
    <row r="496">
      <c r="A496" s="80" t="n"/>
      <c r="B496" s="80" t="n"/>
      <c r="C496" s="80" t="n"/>
      <c r="D496" s="80" t="n"/>
      <c r="E496" s="80" t="n"/>
      <c r="F496" s="80" t="n"/>
      <c r="G496" s="80" t="n"/>
      <c r="H496" s="80" t="n"/>
      <c r="I496" s="80" t="n"/>
      <c r="J496" s="80" t="n"/>
      <c r="K496" s="80" t="n"/>
      <c r="L496" s="80" t="n"/>
      <c r="M496" s="80" t="n"/>
    </row>
    <row r="497">
      <c r="A497" s="80" t="n"/>
      <c r="B497" s="80" t="n"/>
      <c r="C497" s="80" t="n"/>
      <c r="D497" s="80" t="n"/>
      <c r="E497" s="80" t="n"/>
      <c r="F497" s="80" t="n"/>
      <c r="G497" s="80" t="n"/>
      <c r="H497" s="80" t="n"/>
      <c r="I497" s="80" t="n"/>
      <c r="J497" s="80" t="n"/>
      <c r="K497" s="80" t="n"/>
      <c r="L497" s="80" t="n"/>
      <c r="M497" s="80" t="n"/>
    </row>
    <row r="498">
      <c r="A498" s="80" t="n"/>
      <c r="B498" s="80" t="n"/>
      <c r="C498" s="80" t="n"/>
      <c r="D498" s="80" t="n"/>
      <c r="E498" s="80" t="n"/>
      <c r="F498" s="80" t="n"/>
      <c r="G498" s="80" t="n"/>
      <c r="H498" s="80" t="n"/>
      <c r="I498" s="80" t="n"/>
      <c r="J498" s="80" t="n"/>
      <c r="K498" s="80" t="n"/>
      <c r="L498" s="80" t="n"/>
      <c r="M498" s="80" t="n"/>
    </row>
    <row r="499">
      <c r="A499" s="80" t="n"/>
      <c r="B499" s="80" t="n"/>
      <c r="C499" s="80" t="n"/>
      <c r="D499" s="80" t="n"/>
      <c r="E499" s="80" t="n"/>
      <c r="F499" s="80" t="n"/>
      <c r="G499" s="80" t="n"/>
      <c r="H499" s="80" t="n"/>
      <c r="I499" s="80" t="n"/>
      <c r="J499" s="80" t="n"/>
      <c r="K499" s="80" t="n"/>
      <c r="L499" s="80" t="n"/>
      <c r="M499" s="80" t="n"/>
    </row>
    <row r="500">
      <c r="A500" s="80" t="n"/>
      <c r="B500" s="80" t="n"/>
      <c r="C500" s="80" t="n"/>
      <c r="D500" s="80" t="n"/>
      <c r="E500" s="80" t="n"/>
      <c r="F500" s="80" t="n"/>
      <c r="G500" s="80" t="n"/>
      <c r="H500" s="80" t="n"/>
      <c r="I500" s="80" t="n"/>
      <c r="J500" s="80" t="n"/>
      <c r="K500" s="80" t="n"/>
      <c r="L500" s="80" t="n"/>
      <c r="M500" s="80" t="n"/>
    </row>
    <row r="501">
      <c r="A501" s="80" t="n"/>
      <c r="B501" s="80" t="n"/>
      <c r="C501" s="80" t="n"/>
      <c r="D501" s="80" t="n"/>
      <c r="E501" s="80" t="n"/>
      <c r="F501" s="80" t="n"/>
      <c r="G501" s="80" t="n"/>
      <c r="H501" s="80" t="n"/>
      <c r="I501" s="80" t="n"/>
      <c r="J501" s="80" t="n"/>
      <c r="K501" s="80" t="n"/>
      <c r="L501" s="80" t="n"/>
      <c r="M501" s="80" t="n"/>
    </row>
    <row r="502">
      <c r="A502" s="80" t="n"/>
      <c r="B502" s="80" t="n"/>
      <c r="C502" s="80" t="n"/>
      <c r="D502" s="80" t="n"/>
      <c r="E502" s="80" t="n"/>
      <c r="F502" s="80" t="n"/>
      <c r="G502" s="80" t="n"/>
      <c r="H502" s="80" t="n"/>
      <c r="I502" s="80" t="n"/>
      <c r="J502" s="80" t="n"/>
      <c r="K502" s="80" t="n"/>
      <c r="L502" s="80" t="n"/>
      <c r="M502" s="80" t="n"/>
    </row>
    <row r="503">
      <c r="A503" s="80" t="n"/>
      <c r="B503" s="80" t="n"/>
      <c r="C503" s="80" t="n"/>
      <c r="D503" s="80" t="n"/>
      <c r="E503" s="80" t="n"/>
      <c r="F503" s="80" t="n"/>
      <c r="G503" s="80" t="n"/>
      <c r="H503" s="80" t="n"/>
      <c r="I503" s="80" t="n"/>
      <c r="J503" s="80" t="n"/>
      <c r="K503" s="80" t="n"/>
      <c r="L503" s="80" t="n"/>
      <c r="M503" s="80" t="n"/>
    </row>
    <row r="504">
      <c r="A504" s="80" t="n"/>
      <c r="B504" s="80" t="n"/>
      <c r="C504" s="80" t="n"/>
      <c r="D504" s="80" t="n"/>
      <c r="E504" s="80" t="n"/>
      <c r="F504" s="80" t="n"/>
      <c r="G504" s="80" t="n"/>
      <c r="H504" s="80" t="n"/>
      <c r="I504" s="80" t="n"/>
      <c r="J504" s="80" t="n"/>
      <c r="K504" s="80" t="n"/>
      <c r="L504" s="80" t="n"/>
      <c r="M504" s="80" t="n"/>
    </row>
    <row r="505">
      <c r="A505" s="80" t="n"/>
      <c r="B505" s="80" t="n"/>
      <c r="C505" s="80" t="n"/>
      <c r="D505" s="80" t="n"/>
      <c r="E505" s="80" t="n"/>
      <c r="F505" s="80" t="n"/>
      <c r="G505" s="80" t="n"/>
      <c r="H505" s="80" t="n"/>
      <c r="I505" s="80" t="n"/>
      <c r="J505" s="80" t="n"/>
      <c r="K505" s="80" t="n"/>
      <c r="L505" s="80" t="n"/>
      <c r="M505" s="80" t="n"/>
    </row>
    <row r="506">
      <c r="A506" s="80" t="n"/>
      <c r="B506" s="80" t="n"/>
      <c r="C506" s="80" t="n"/>
      <c r="D506" s="80" t="n"/>
      <c r="E506" s="80" t="n"/>
      <c r="F506" s="80" t="n"/>
      <c r="G506" s="80" t="n"/>
      <c r="H506" s="80" t="n"/>
      <c r="I506" s="80" t="n"/>
      <c r="J506" s="80" t="n"/>
      <c r="K506" s="80" t="n"/>
      <c r="L506" s="80" t="n"/>
      <c r="M506" s="80" t="n"/>
    </row>
    <row r="507">
      <c r="A507" s="80" t="n"/>
      <c r="B507" s="80" t="n"/>
      <c r="C507" s="80" t="n"/>
      <c r="D507" s="80" t="n"/>
      <c r="E507" s="80" t="n"/>
      <c r="F507" s="80" t="n"/>
      <c r="G507" s="80" t="n"/>
      <c r="H507" s="80" t="n"/>
      <c r="I507" s="80" t="n"/>
      <c r="J507" s="80" t="n"/>
      <c r="K507" s="80" t="n"/>
      <c r="L507" s="80" t="n"/>
      <c r="M507" s="80" t="n"/>
    </row>
    <row r="508">
      <c r="A508" s="80" t="n"/>
      <c r="B508" s="80" t="n"/>
      <c r="C508" s="80" t="n"/>
      <c r="D508" s="80" t="n"/>
      <c r="E508" s="80" t="n"/>
      <c r="F508" s="80" t="n"/>
      <c r="G508" s="80" t="n"/>
      <c r="H508" s="80" t="n"/>
      <c r="I508" s="80" t="n"/>
      <c r="J508" s="80" t="n"/>
      <c r="K508" s="80" t="n"/>
      <c r="L508" s="80" t="n"/>
      <c r="M508" s="80" t="n"/>
    </row>
    <row r="509">
      <c r="A509" s="80" t="n"/>
      <c r="B509" s="80" t="n"/>
      <c r="C509" s="80" t="n"/>
      <c r="D509" s="80" t="n"/>
      <c r="E509" s="80" t="n"/>
      <c r="F509" s="80" t="n"/>
      <c r="G509" s="80" t="n"/>
      <c r="H509" s="80" t="n"/>
      <c r="I509" s="80" t="n"/>
      <c r="J509" s="80" t="n"/>
      <c r="K509" s="80" t="n"/>
      <c r="L509" s="80" t="n"/>
      <c r="M509" s="80" t="n"/>
    </row>
    <row r="510">
      <c r="A510" s="80" t="n"/>
      <c r="B510" s="80" t="n"/>
      <c r="C510" s="80" t="n"/>
      <c r="D510" s="80" t="n"/>
      <c r="E510" s="80" t="n"/>
      <c r="F510" s="80" t="n"/>
      <c r="G510" s="80" t="n"/>
      <c r="H510" s="80" t="n"/>
      <c r="I510" s="80" t="n"/>
      <c r="J510" s="80" t="n"/>
      <c r="K510" s="80" t="n"/>
      <c r="L510" s="80" t="n"/>
      <c r="M510" s="80" t="n"/>
    </row>
    <row r="511">
      <c r="A511" s="80" t="n"/>
      <c r="B511" s="80" t="n"/>
      <c r="C511" s="80" t="n"/>
      <c r="D511" s="80" t="n"/>
      <c r="E511" s="80" t="n"/>
      <c r="F511" s="80" t="n"/>
      <c r="G511" s="80" t="n"/>
      <c r="H511" s="80" t="n"/>
      <c r="I511" s="80" t="n"/>
      <c r="J511" s="80" t="n"/>
      <c r="K511" s="80" t="n"/>
      <c r="L511" s="80" t="n"/>
      <c r="M511" s="80" t="n"/>
    </row>
    <row r="512">
      <c r="A512" s="80" t="n"/>
      <c r="B512" s="80" t="n"/>
      <c r="C512" s="80" t="n"/>
      <c r="D512" s="80" t="n"/>
      <c r="E512" s="80" t="n"/>
      <c r="F512" s="80" t="n"/>
      <c r="G512" s="80" t="n"/>
      <c r="H512" s="80" t="n"/>
      <c r="I512" s="80" t="n"/>
      <c r="J512" s="80" t="n"/>
      <c r="K512" s="80" t="n"/>
      <c r="L512" s="80" t="n"/>
      <c r="M512" s="80" t="n"/>
    </row>
    <row r="513">
      <c r="A513" s="80" t="n"/>
      <c r="B513" s="80" t="n"/>
      <c r="C513" s="80" t="n"/>
      <c r="D513" s="80" t="n"/>
      <c r="E513" s="80" t="n"/>
      <c r="F513" s="80" t="n"/>
      <c r="G513" s="80" t="n"/>
      <c r="H513" s="80" t="n"/>
      <c r="I513" s="80" t="n"/>
      <c r="J513" s="80" t="n"/>
      <c r="K513" s="80" t="n"/>
      <c r="L513" s="80" t="n"/>
      <c r="M513" s="80" t="n"/>
    </row>
    <row r="514">
      <c r="A514" s="80" t="n"/>
      <c r="B514" s="80" t="n"/>
      <c r="C514" s="80" t="n"/>
      <c r="D514" s="80" t="n"/>
      <c r="E514" s="80" t="n"/>
      <c r="F514" s="80" t="n"/>
      <c r="G514" s="80" t="n"/>
      <c r="H514" s="80" t="n"/>
      <c r="I514" s="80" t="n"/>
      <c r="J514" s="80" t="n"/>
      <c r="K514" s="80" t="n"/>
      <c r="L514" s="80" t="n"/>
      <c r="M514" s="80" t="n"/>
    </row>
    <row r="515">
      <c r="A515" s="80" t="n"/>
      <c r="B515" s="80" t="n"/>
      <c r="C515" s="80" t="n"/>
      <c r="D515" s="80" t="n"/>
      <c r="E515" s="80" t="n"/>
      <c r="F515" s="80" t="n"/>
      <c r="G515" s="80" t="n"/>
      <c r="H515" s="80" t="n"/>
      <c r="I515" s="80" t="n"/>
      <c r="J515" s="80" t="n"/>
      <c r="K515" s="80" t="n"/>
      <c r="L515" s="80" t="n"/>
      <c r="M515" s="80" t="n"/>
    </row>
    <row r="516">
      <c r="A516" s="80" t="n"/>
      <c r="B516" s="80" t="n"/>
      <c r="C516" s="80" t="n"/>
      <c r="D516" s="80" t="n"/>
      <c r="E516" s="80" t="n"/>
      <c r="F516" s="80" t="n"/>
      <c r="G516" s="80" t="n"/>
      <c r="H516" s="80" t="n"/>
      <c r="I516" s="80" t="n"/>
      <c r="J516" s="80" t="n"/>
      <c r="K516" s="80" t="n"/>
      <c r="L516" s="80" t="n"/>
      <c r="M516" s="80" t="n"/>
    </row>
    <row r="517">
      <c r="A517" s="80" t="n"/>
      <c r="B517" s="80" t="n"/>
      <c r="C517" s="80" t="n"/>
      <c r="D517" s="80" t="n"/>
      <c r="E517" s="80" t="n"/>
      <c r="F517" s="80" t="n"/>
      <c r="G517" s="80" t="n"/>
      <c r="H517" s="80" t="n"/>
      <c r="I517" s="80" t="n"/>
      <c r="J517" s="80" t="n"/>
      <c r="K517" s="80" t="n"/>
      <c r="L517" s="80" t="n"/>
      <c r="M517" s="80" t="n"/>
    </row>
    <row r="518">
      <c r="A518" s="80" t="n"/>
      <c r="B518" s="80" t="n"/>
      <c r="C518" s="80" t="n"/>
      <c r="D518" s="80" t="n"/>
      <c r="E518" s="80" t="n"/>
      <c r="F518" s="80" t="n"/>
      <c r="G518" s="80" t="n"/>
      <c r="H518" s="80" t="n"/>
      <c r="I518" s="80" t="n"/>
      <c r="J518" s="80" t="n"/>
      <c r="K518" s="80" t="n"/>
      <c r="L518" s="80" t="n"/>
      <c r="M518" s="80" t="n"/>
    </row>
    <row r="519">
      <c r="A519" s="80" t="n"/>
      <c r="B519" s="80" t="n"/>
      <c r="C519" s="80" t="n"/>
      <c r="D519" s="80" t="n"/>
      <c r="E519" s="80" t="n"/>
      <c r="F519" s="80" t="n"/>
      <c r="G519" s="80" t="n"/>
      <c r="H519" s="80" t="n"/>
      <c r="I519" s="80" t="n"/>
      <c r="J519" s="80" t="n"/>
      <c r="K519" s="80" t="n"/>
      <c r="L519" s="80" t="n"/>
      <c r="M519" s="80" t="n"/>
    </row>
    <row r="520">
      <c r="A520" s="80" t="n"/>
      <c r="B520" s="80" t="n"/>
      <c r="C520" s="80" t="n"/>
      <c r="D520" s="80" t="n"/>
      <c r="E520" s="80" t="n"/>
      <c r="F520" s="80" t="n"/>
      <c r="G520" s="80" t="n"/>
      <c r="H520" s="80" t="n"/>
      <c r="I520" s="80" t="n"/>
      <c r="J520" s="80" t="n"/>
      <c r="K520" s="80" t="n"/>
      <c r="L520" s="80" t="n"/>
      <c r="M520" s="80" t="n"/>
    </row>
    <row r="521">
      <c r="A521" s="80" t="n"/>
      <c r="B521" s="80" t="n"/>
      <c r="C521" s="80" t="n"/>
      <c r="D521" s="80" t="n"/>
      <c r="E521" s="80" t="n"/>
      <c r="F521" s="80" t="n"/>
      <c r="G521" s="80" t="n"/>
      <c r="H521" s="80" t="n"/>
      <c r="I521" s="80" t="n"/>
      <c r="J521" s="80" t="n"/>
      <c r="K521" s="80" t="n"/>
      <c r="L521" s="80" t="n"/>
      <c r="M521" s="80" t="n"/>
    </row>
    <row r="522">
      <c r="A522" s="80" t="n"/>
      <c r="B522" s="80" t="n"/>
      <c r="C522" s="80" t="n"/>
      <c r="D522" s="80" t="n"/>
      <c r="E522" s="80" t="n"/>
      <c r="F522" s="80" t="n"/>
      <c r="G522" s="80" t="n"/>
      <c r="H522" s="80" t="n"/>
      <c r="I522" s="80" t="n"/>
      <c r="J522" s="80" t="n"/>
      <c r="K522" s="80" t="n"/>
      <c r="L522" s="80" t="n"/>
      <c r="M522" s="80" t="n"/>
    </row>
    <row r="523">
      <c r="A523" s="80" t="n"/>
      <c r="B523" s="80" t="n"/>
      <c r="C523" s="80" t="n"/>
      <c r="D523" s="80" t="n"/>
      <c r="E523" s="80" t="n"/>
      <c r="F523" s="80" t="n"/>
      <c r="G523" s="80" t="n"/>
      <c r="H523" s="80" t="n"/>
      <c r="I523" s="80" t="n"/>
      <c r="J523" s="80" t="n"/>
      <c r="K523" s="80" t="n"/>
      <c r="L523" s="80" t="n"/>
      <c r="M523" s="80" t="n"/>
    </row>
    <row r="524">
      <c r="A524" s="80" t="n"/>
      <c r="B524" s="80" t="n"/>
      <c r="C524" s="80" t="n"/>
      <c r="D524" s="80" t="n"/>
      <c r="E524" s="80" t="n"/>
      <c r="F524" s="80" t="n"/>
      <c r="G524" s="80" t="n"/>
      <c r="H524" s="80" t="n"/>
      <c r="I524" s="80" t="n"/>
      <c r="J524" s="80" t="n"/>
      <c r="K524" s="80" t="n"/>
      <c r="L524" s="80" t="n"/>
      <c r="M524" s="80" t="n"/>
    </row>
    <row r="525">
      <c r="A525" s="80" t="n"/>
      <c r="B525" s="80" t="n"/>
      <c r="C525" s="80" t="n"/>
      <c r="D525" s="80" t="n"/>
      <c r="E525" s="80" t="n"/>
      <c r="F525" s="80" t="n"/>
      <c r="G525" s="80" t="n"/>
      <c r="H525" s="80" t="n"/>
      <c r="I525" s="80" t="n"/>
      <c r="J525" s="80" t="n"/>
      <c r="K525" s="80" t="n"/>
      <c r="L525" s="80" t="n"/>
      <c r="M525" s="80" t="n"/>
    </row>
    <row r="526">
      <c r="A526" s="80" t="n"/>
      <c r="B526" s="80" t="n"/>
      <c r="C526" s="80" t="n"/>
      <c r="D526" s="80" t="n"/>
      <c r="E526" s="80" t="n"/>
      <c r="F526" s="80" t="n"/>
      <c r="G526" s="80" t="n"/>
      <c r="H526" s="80" t="n"/>
      <c r="I526" s="80" t="n"/>
      <c r="J526" s="80" t="n"/>
      <c r="K526" s="80" t="n"/>
      <c r="L526" s="80" t="n"/>
      <c r="M526" s="80" t="n"/>
    </row>
    <row r="527">
      <c r="A527" s="80" t="n"/>
      <c r="B527" s="80" t="n"/>
      <c r="C527" s="80" t="n"/>
      <c r="D527" s="80" t="n"/>
      <c r="E527" s="80" t="n"/>
      <c r="F527" s="80" t="n"/>
      <c r="G527" s="80" t="n"/>
      <c r="H527" s="80" t="n"/>
      <c r="I527" s="80" t="n"/>
      <c r="J527" s="80" t="n"/>
      <c r="K527" s="80" t="n"/>
      <c r="L527" s="80" t="n"/>
      <c r="M527" s="80" t="n"/>
    </row>
    <row r="528">
      <c r="A528" s="80" t="n"/>
      <c r="B528" s="80" t="n"/>
      <c r="C528" s="80" t="n"/>
      <c r="D528" s="80" t="n"/>
      <c r="E528" s="80" t="n"/>
      <c r="F528" s="80" t="n"/>
      <c r="G528" s="80" t="n"/>
      <c r="H528" s="80" t="n"/>
      <c r="I528" s="80" t="n"/>
      <c r="J528" s="80" t="n"/>
      <c r="K528" s="80" t="n"/>
      <c r="L528" s="80" t="n"/>
      <c r="M528" s="80" t="n"/>
    </row>
    <row r="529">
      <c r="A529" s="80" t="n"/>
      <c r="B529" s="80" t="n"/>
      <c r="C529" s="80" t="n"/>
      <c r="D529" s="80" t="n"/>
      <c r="E529" s="80" t="n"/>
      <c r="F529" s="80" t="n"/>
      <c r="G529" s="80" t="n"/>
      <c r="H529" s="80" t="n"/>
      <c r="I529" s="80" t="n"/>
      <c r="J529" s="80" t="n"/>
      <c r="K529" s="80" t="n"/>
      <c r="L529" s="80" t="n"/>
      <c r="M529" s="80" t="n"/>
    </row>
    <row r="530">
      <c r="A530" s="80" t="n"/>
      <c r="B530" s="80" t="n"/>
      <c r="C530" s="80" t="n"/>
      <c r="D530" s="80" t="n"/>
      <c r="E530" s="80" t="n"/>
      <c r="F530" s="80" t="n"/>
      <c r="G530" s="80" t="n"/>
      <c r="H530" s="80" t="n"/>
      <c r="I530" s="80" t="n"/>
      <c r="J530" s="80" t="n"/>
      <c r="K530" s="80" t="n"/>
      <c r="L530" s="80" t="n"/>
      <c r="M530" s="80" t="n"/>
    </row>
    <row r="531">
      <c r="A531" s="80" t="n"/>
      <c r="B531" s="80" t="n"/>
      <c r="C531" s="80" t="n"/>
      <c r="D531" s="80" t="n"/>
      <c r="E531" s="80" t="n"/>
      <c r="F531" s="80" t="n"/>
      <c r="G531" s="80" t="n"/>
      <c r="H531" s="80" t="n"/>
      <c r="I531" s="80" t="n"/>
      <c r="J531" s="80" t="n"/>
      <c r="K531" s="80" t="n"/>
      <c r="L531" s="80" t="n"/>
      <c r="M531" s="80" t="n"/>
    </row>
    <row r="532">
      <c r="A532" s="80" t="n"/>
      <c r="B532" s="80" t="n"/>
      <c r="C532" s="80" t="n"/>
      <c r="D532" s="80" t="n"/>
      <c r="E532" s="80" t="n"/>
      <c r="F532" s="80" t="n"/>
      <c r="G532" s="80" t="n"/>
      <c r="H532" s="80" t="n"/>
      <c r="I532" s="80" t="n"/>
      <c r="J532" s="80" t="n"/>
      <c r="K532" s="80" t="n"/>
      <c r="L532" s="80" t="n"/>
      <c r="M532" s="80" t="n"/>
    </row>
    <row r="533">
      <c r="A533" s="80" t="n"/>
      <c r="B533" s="80" t="n"/>
      <c r="C533" s="80" t="n"/>
      <c r="D533" s="80" t="n"/>
      <c r="E533" s="80" t="n"/>
      <c r="F533" s="80" t="n"/>
      <c r="G533" s="80" t="n"/>
      <c r="H533" s="80" t="n"/>
      <c r="I533" s="80" t="n"/>
      <c r="J533" s="80" t="n"/>
      <c r="K533" s="80" t="n"/>
      <c r="L533" s="80" t="n"/>
      <c r="M533" s="80" t="n"/>
    </row>
    <row r="534">
      <c r="A534" s="80" t="n"/>
      <c r="B534" s="80" t="n"/>
      <c r="C534" s="80" t="n"/>
      <c r="D534" s="80" t="n"/>
      <c r="E534" s="80" t="n"/>
      <c r="F534" s="80" t="n"/>
      <c r="G534" s="80" t="n"/>
      <c r="H534" s="80" t="n"/>
      <c r="I534" s="80" t="n"/>
      <c r="J534" s="80" t="n"/>
      <c r="K534" s="80" t="n"/>
      <c r="L534" s="80" t="n"/>
      <c r="M534" s="80" t="n"/>
    </row>
    <row r="535">
      <c r="A535" s="80" t="n"/>
      <c r="B535" s="80" t="n"/>
      <c r="C535" s="80" t="n"/>
      <c r="D535" s="80" t="n"/>
      <c r="E535" s="80" t="n"/>
      <c r="F535" s="80" t="n"/>
      <c r="G535" s="80" t="n"/>
      <c r="H535" s="80" t="n"/>
      <c r="I535" s="80" t="n"/>
      <c r="J535" s="80" t="n"/>
      <c r="K535" s="80" t="n"/>
      <c r="L535" s="80" t="n"/>
      <c r="M535" s="80" t="n"/>
    </row>
    <row r="536">
      <c r="A536" s="80" t="n"/>
      <c r="B536" s="80" t="n"/>
      <c r="C536" s="80" t="n"/>
      <c r="D536" s="80" t="n"/>
      <c r="E536" s="80" t="n"/>
      <c r="F536" s="80" t="n"/>
      <c r="G536" s="80" t="n"/>
      <c r="H536" s="80" t="n"/>
      <c r="I536" s="80" t="n"/>
      <c r="J536" s="80" t="n"/>
      <c r="K536" s="80" t="n"/>
      <c r="L536" s="80" t="n"/>
      <c r="M536" s="80" t="n"/>
    </row>
    <row r="537">
      <c r="A537" s="80" t="n"/>
      <c r="B537" s="80" t="n"/>
      <c r="C537" s="80" t="n"/>
      <c r="D537" s="80" t="n"/>
      <c r="E537" s="80" t="n"/>
      <c r="F537" s="80" t="n"/>
      <c r="G537" s="80" t="n"/>
      <c r="H537" s="80" t="n"/>
      <c r="I537" s="80" t="n"/>
      <c r="J537" s="80" t="n"/>
      <c r="K537" s="80" t="n"/>
      <c r="L537" s="80" t="n"/>
      <c r="M537" s="80" t="n"/>
    </row>
    <row r="538">
      <c r="A538" s="80" t="n"/>
      <c r="B538" s="80" t="n"/>
      <c r="C538" s="80" t="n"/>
      <c r="D538" s="80" t="n"/>
      <c r="E538" s="80" t="n"/>
      <c r="F538" s="80" t="n"/>
      <c r="G538" s="80" t="n"/>
      <c r="H538" s="80" t="n"/>
      <c r="I538" s="80" t="n"/>
      <c r="J538" s="80" t="n"/>
      <c r="K538" s="80" t="n"/>
      <c r="L538" s="80" t="n"/>
      <c r="M538" s="80" t="n"/>
    </row>
    <row r="539">
      <c r="A539" s="80" t="n"/>
      <c r="B539" s="80" t="n"/>
      <c r="C539" s="80" t="n"/>
      <c r="D539" s="80" t="n"/>
      <c r="E539" s="80" t="n"/>
      <c r="F539" s="80" t="n"/>
      <c r="G539" s="80" t="n"/>
      <c r="H539" s="80" t="n"/>
      <c r="I539" s="80" t="n"/>
      <c r="J539" s="80" t="n"/>
      <c r="K539" s="80" t="n"/>
      <c r="L539" s="80" t="n"/>
      <c r="M539" s="80" t="n"/>
    </row>
    <row r="540">
      <c r="A540" s="80" t="n"/>
      <c r="B540" s="80" t="n"/>
      <c r="C540" s="80" t="n"/>
      <c r="D540" s="80" t="n"/>
      <c r="E540" s="80" t="n"/>
      <c r="F540" s="80" t="n"/>
      <c r="G540" s="80" t="n"/>
      <c r="H540" s="80" t="n"/>
      <c r="I540" s="80" t="n"/>
      <c r="J540" s="80" t="n"/>
      <c r="K540" s="80" t="n"/>
      <c r="L540" s="80" t="n"/>
      <c r="M540" s="80" t="n"/>
    </row>
    <row r="541">
      <c r="A541" s="80" t="n"/>
      <c r="B541" s="80" t="n"/>
      <c r="C541" s="80" t="n"/>
      <c r="D541" s="80" t="n"/>
      <c r="E541" s="80" t="n"/>
      <c r="F541" s="80" t="n"/>
      <c r="G541" s="80" t="n"/>
      <c r="H541" s="80" t="n"/>
      <c r="I541" s="80" t="n"/>
      <c r="J541" s="80" t="n"/>
      <c r="K541" s="80" t="n"/>
      <c r="L541" s="80" t="n"/>
      <c r="M541" s="80" t="n"/>
    </row>
    <row r="542">
      <c r="A542" s="80" t="n"/>
      <c r="B542" s="80" t="n"/>
      <c r="C542" s="80" t="n"/>
      <c r="D542" s="80" t="n"/>
      <c r="E542" s="80" t="n"/>
      <c r="F542" s="80" t="n"/>
      <c r="G542" s="80" t="n"/>
      <c r="H542" s="80" t="n"/>
      <c r="I542" s="80" t="n"/>
      <c r="J542" s="80" t="n"/>
      <c r="K542" s="80" t="n"/>
      <c r="L542" s="80" t="n"/>
      <c r="M542" s="80" t="n"/>
    </row>
    <row r="543">
      <c r="A543" s="80" t="n"/>
      <c r="B543" s="80" t="n"/>
      <c r="C543" s="80" t="n"/>
      <c r="D543" s="80" t="n"/>
      <c r="E543" s="80" t="n"/>
      <c r="F543" s="80" t="n"/>
      <c r="G543" s="80" t="n"/>
      <c r="H543" s="80" t="n"/>
      <c r="I543" s="80" t="n"/>
      <c r="J543" s="80" t="n"/>
      <c r="K543" s="80" t="n"/>
      <c r="L543" s="80" t="n"/>
      <c r="M543" s="80" t="n"/>
    </row>
    <row r="544">
      <c r="A544" s="80" t="n"/>
      <c r="B544" s="80" t="n"/>
      <c r="C544" s="80" t="n"/>
      <c r="D544" s="80" t="n"/>
      <c r="E544" s="80" t="n"/>
      <c r="F544" s="80" t="n"/>
      <c r="G544" s="80" t="n"/>
      <c r="H544" s="80" t="n"/>
      <c r="I544" s="80" t="n"/>
      <c r="J544" s="80" t="n"/>
      <c r="K544" s="80" t="n"/>
      <c r="L544" s="80" t="n"/>
      <c r="M544" s="80" t="n"/>
    </row>
    <row r="545">
      <c r="A545" s="80" t="n"/>
      <c r="B545" s="80" t="n"/>
      <c r="C545" s="80" t="n"/>
      <c r="D545" s="80" t="n"/>
      <c r="E545" s="80" t="n"/>
      <c r="F545" s="80" t="n"/>
      <c r="G545" s="80" t="n"/>
      <c r="H545" s="80" t="n"/>
      <c r="I545" s="80" t="n"/>
      <c r="J545" s="80" t="n"/>
      <c r="K545" s="80" t="n"/>
      <c r="L545" s="80" t="n"/>
      <c r="M545" s="80" t="n"/>
    </row>
    <row r="546">
      <c r="A546" s="80" t="n"/>
      <c r="B546" s="80" t="n"/>
      <c r="C546" s="80" t="n"/>
      <c r="D546" s="80" t="n"/>
      <c r="E546" s="80" t="n"/>
      <c r="F546" s="80" t="n"/>
      <c r="G546" s="80" t="n"/>
      <c r="H546" s="80" t="n"/>
      <c r="I546" s="80" t="n"/>
      <c r="J546" s="80" t="n"/>
      <c r="K546" s="80" t="n"/>
      <c r="L546" s="80" t="n"/>
      <c r="M546" s="80" t="n"/>
    </row>
    <row r="547">
      <c r="A547" s="80" t="n"/>
      <c r="B547" s="80" t="n"/>
      <c r="C547" s="80" t="n"/>
      <c r="D547" s="80" t="n"/>
      <c r="E547" s="80" t="n"/>
      <c r="F547" s="80" t="n"/>
      <c r="G547" s="80" t="n"/>
      <c r="H547" s="80" t="n"/>
      <c r="I547" s="80" t="n"/>
      <c r="J547" s="80" t="n"/>
      <c r="K547" s="80" t="n"/>
      <c r="L547" s="80" t="n"/>
      <c r="M547" s="80" t="n"/>
    </row>
    <row r="548">
      <c r="A548" s="80" t="n"/>
      <c r="B548" s="80" t="n"/>
      <c r="C548" s="80" t="n"/>
      <c r="D548" s="80" t="n"/>
      <c r="E548" s="80" t="n"/>
      <c r="F548" s="80" t="n"/>
      <c r="G548" s="80" t="n"/>
      <c r="H548" s="80" t="n"/>
      <c r="I548" s="80" t="n"/>
      <c r="J548" s="80" t="n"/>
      <c r="K548" s="80" t="n"/>
      <c r="L548" s="80" t="n"/>
      <c r="M548" s="80" t="n"/>
    </row>
    <row r="549">
      <c r="A549" s="80" t="n"/>
      <c r="B549" s="80" t="n"/>
      <c r="C549" s="80" t="n"/>
      <c r="D549" s="80" t="n"/>
      <c r="E549" s="80" t="n"/>
      <c r="F549" s="80" t="n"/>
      <c r="G549" s="80" t="n"/>
      <c r="H549" s="80" t="n"/>
      <c r="I549" s="80" t="n"/>
      <c r="J549" s="80" t="n"/>
      <c r="K549" s="80" t="n"/>
      <c r="L549" s="80" t="n"/>
      <c r="M549" s="80" t="n"/>
    </row>
    <row r="550">
      <c r="A550" s="80" t="n"/>
      <c r="B550" s="80" t="n"/>
      <c r="C550" s="80" t="n"/>
      <c r="D550" s="80" t="n"/>
      <c r="E550" s="80" t="n"/>
      <c r="F550" s="80" t="n"/>
      <c r="G550" s="80" t="n"/>
      <c r="H550" s="80" t="n"/>
      <c r="I550" s="80" t="n"/>
      <c r="J550" s="80" t="n"/>
      <c r="K550" s="80" t="n"/>
      <c r="L550" s="80" t="n"/>
      <c r="M550" s="80" t="n"/>
    </row>
    <row r="551">
      <c r="A551" s="80" t="n"/>
      <c r="B551" s="80" t="n"/>
      <c r="C551" s="80" t="n"/>
      <c r="D551" s="80" t="n"/>
      <c r="E551" s="80" t="n"/>
      <c r="F551" s="80" t="n"/>
      <c r="G551" s="80" t="n"/>
      <c r="H551" s="80" t="n"/>
      <c r="I551" s="80" t="n"/>
      <c r="J551" s="80" t="n"/>
      <c r="K551" s="80" t="n"/>
      <c r="L551" s="80" t="n"/>
      <c r="M551" s="80" t="n"/>
    </row>
    <row r="552">
      <c r="A552" s="80" t="n"/>
      <c r="B552" s="80" t="n"/>
      <c r="C552" s="80" t="n"/>
      <c r="D552" s="80" t="n"/>
      <c r="E552" s="80" t="n"/>
      <c r="F552" s="80" t="n"/>
      <c r="G552" s="80" t="n"/>
      <c r="H552" s="80" t="n"/>
      <c r="I552" s="80" t="n"/>
      <c r="J552" s="80" t="n"/>
      <c r="K552" s="80" t="n"/>
      <c r="L552" s="80" t="n"/>
      <c r="M552" s="80" t="n"/>
    </row>
    <row r="553">
      <c r="A553" s="80" t="n"/>
      <c r="B553" s="80" t="n"/>
      <c r="C553" s="80" t="n"/>
      <c r="D553" s="80" t="n"/>
      <c r="E553" s="80" t="n"/>
      <c r="F553" s="80" t="n"/>
      <c r="G553" s="80" t="n"/>
      <c r="H553" s="80" t="n"/>
      <c r="I553" s="80" t="n"/>
      <c r="J553" s="80" t="n"/>
      <c r="K553" s="80" t="n"/>
      <c r="L553" s="80" t="n"/>
      <c r="M553" s="80" t="n"/>
    </row>
    <row r="554">
      <c r="A554" s="80" t="n"/>
      <c r="B554" s="80" t="n"/>
      <c r="C554" s="80" t="n"/>
      <c r="D554" s="80" t="n"/>
      <c r="E554" s="80" t="n"/>
      <c r="F554" s="80" t="n"/>
      <c r="G554" s="80" t="n"/>
      <c r="H554" s="80" t="n"/>
      <c r="I554" s="80" t="n"/>
      <c r="J554" s="80" t="n"/>
      <c r="K554" s="80" t="n"/>
      <c r="L554" s="80" t="n"/>
      <c r="M554" s="80" t="n"/>
    </row>
    <row r="555">
      <c r="A555" s="80" t="n"/>
      <c r="B555" s="80" t="n"/>
      <c r="C555" s="80" t="n"/>
      <c r="D555" s="80" t="n"/>
      <c r="E555" s="80" t="n"/>
      <c r="F555" s="80" t="n"/>
      <c r="G555" s="80" t="n"/>
      <c r="H555" s="80" t="n"/>
      <c r="I555" s="80" t="n"/>
      <c r="J555" s="80" t="n"/>
      <c r="K555" s="80" t="n"/>
      <c r="L555" s="80" t="n"/>
      <c r="M555" s="80" t="n"/>
    </row>
    <row r="556">
      <c r="A556" s="80" t="n"/>
      <c r="B556" s="80" t="n"/>
      <c r="C556" s="80" t="n"/>
      <c r="D556" s="80" t="n"/>
      <c r="E556" s="80" t="n"/>
      <c r="F556" s="80" t="n"/>
      <c r="G556" s="80" t="n"/>
      <c r="H556" s="80" t="n"/>
      <c r="I556" s="80" t="n"/>
      <c r="J556" s="80" t="n"/>
      <c r="K556" s="80" t="n"/>
      <c r="L556" s="80" t="n"/>
      <c r="M556" s="80" t="n"/>
    </row>
    <row r="557">
      <c r="A557" s="80" t="n"/>
      <c r="B557" s="80" t="n"/>
      <c r="C557" s="80" t="n"/>
      <c r="D557" s="80" t="n"/>
      <c r="E557" s="80" t="n"/>
      <c r="F557" s="80" t="n"/>
      <c r="G557" s="80" t="n"/>
      <c r="H557" s="80" t="n"/>
      <c r="I557" s="80" t="n"/>
      <c r="J557" s="80" t="n"/>
      <c r="K557" s="80" t="n"/>
      <c r="L557" s="80" t="n"/>
      <c r="M557" s="80" t="n"/>
    </row>
    <row r="558">
      <c r="A558" s="80" t="n"/>
      <c r="B558" s="80" t="n"/>
      <c r="C558" s="80" t="n"/>
      <c r="D558" s="80" t="n"/>
      <c r="E558" s="80" t="n"/>
      <c r="F558" s="80" t="n"/>
      <c r="G558" s="80" t="n"/>
      <c r="H558" s="80" t="n"/>
      <c r="I558" s="80" t="n"/>
      <c r="J558" s="80" t="n"/>
      <c r="K558" s="80" t="n"/>
      <c r="L558" s="80" t="n"/>
      <c r="M558" s="80" t="n"/>
    </row>
    <row r="559">
      <c r="A559" s="80" t="n"/>
      <c r="B559" s="80" t="n"/>
      <c r="C559" s="80" t="n"/>
      <c r="D559" s="80" t="n"/>
      <c r="E559" s="80" t="n"/>
      <c r="F559" s="80" t="n"/>
      <c r="G559" s="80" t="n"/>
      <c r="H559" s="80" t="n"/>
      <c r="I559" s="80" t="n"/>
      <c r="J559" s="80" t="n"/>
      <c r="K559" s="80" t="n"/>
      <c r="L559" s="80" t="n"/>
      <c r="M559" s="80" t="n"/>
    </row>
    <row r="560">
      <c r="A560" s="80" t="n"/>
      <c r="B560" s="80" t="n"/>
      <c r="C560" s="80" t="n"/>
      <c r="D560" s="80" t="n"/>
      <c r="E560" s="80" t="n"/>
      <c r="F560" s="80" t="n"/>
      <c r="G560" s="80" t="n"/>
      <c r="H560" s="80" t="n"/>
      <c r="I560" s="80" t="n"/>
      <c r="J560" s="80" t="n"/>
      <c r="K560" s="80" t="n"/>
      <c r="L560" s="80" t="n"/>
      <c r="M560" s="80" t="n"/>
    </row>
    <row r="561">
      <c r="A561" s="80" t="n"/>
      <c r="B561" s="80" t="n"/>
      <c r="C561" s="80" t="n"/>
      <c r="D561" s="80" t="n"/>
      <c r="E561" s="80" t="n"/>
      <c r="F561" s="80" t="n"/>
      <c r="G561" s="80" t="n"/>
      <c r="H561" s="80" t="n"/>
      <c r="I561" s="80" t="n"/>
      <c r="J561" s="80" t="n"/>
      <c r="K561" s="80" t="n"/>
      <c r="L561" s="80" t="n"/>
      <c r="M561" s="80" t="n"/>
    </row>
    <row r="562">
      <c r="A562" s="80" t="n"/>
      <c r="B562" s="80" t="n"/>
      <c r="C562" s="80" t="n"/>
      <c r="D562" s="80" t="n"/>
      <c r="E562" s="80" t="n"/>
      <c r="F562" s="80" t="n"/>
      <c r="G562" s="80" t="n"/>
      <c r="H562" s="80" t="n"/>
      <c r="I562" s="80" t="n"/>
      <c r="J562" s="80" t="n"/>
      <c r="K562" s="80" t="n"/>
      <c r="L562" s="80" t="n"/>
      <c r="M562" s="80" t="n"/>
    </row>
    <row r="563">
      <c r="A563" s="80" t="n"/>
      <c r="B563" s="80" t="n"/>
      <c r="C563" s="80" t="n"/>
      <c r="D563" s="80" t="n"/>
      <c r="E563" s="80" t="n"/>
      <c r="F563" s="80" t="n"/>
      <c r="G563" s="80" t="n"/>
      <c r="H563" s="80" t="n"/>
      <c r="I563" s="80" t="n"/>
      <c r="J563" s="80" t="n"/>
      <c r="K563" s="80" t="n"/>
      <c r="L563" s="80" t="n"/>
      <c r="M563" s="80" t="n"/>
    </row>
    <row r="564">
      <c r="A564" s="80" t="n"/>
      <c r="B564" s="80" t="n"/>
      <c r="C564" s="80" t="n"/>
      <c r="D564" s="80" t="n"/>
      <c r="E564" s="80" t="n"/>
      <c r="F564" s="80" t="n"/>
      <c r="G564" s="80" t="n"/>
      <c r="H564" s="80" t="n"/>
      <c r="I564" s="80" t="n"/>
      <c r="J564" s="80" t="n"/>
      <c r="K564" s="80" t="n"/>
      <c r="L564" s="80" t="n"/>
      <c r="M564" s="80" t="n"/>
    </row>
    <row r="565">
      <c r="A565" s="80" t="n"/>
      <c r="B565" s="80" t="n"/>
      <c r="C565" s="80" t="n"/>
      <c r="D565" s="80" t="n"/>
      <c r="E565" s="80" t="n"/>
      <c r="F565" s="80" t="n"/>
      <c r="G565" s="80" t="n"/>
      <c r="H565" s="80" t="n"/>
      <c r="I565" s="80" t="n"/>
      <c r="J565" s="80" t="n"/>
      <c r="K565" s="80" t="n"/>
      <c r="L565" s="80" t="n"/>
      <c r="M565" s="80" t="n"/>
    </row>
    <row r="566">
      <c r="A566" s="80" t="n"/>
      <c r="B566" s="80" t="n"/>
      <c r="C566" s="80" t="n"/>
      <c r="D566" s="80" t="n"/>
      <c r="E566" s="80" t="n"/>
      <c r="F566" s="80" t="n"/>
      <c r="G566" s="80" t="n"/>
      <c r="H566" s="80" t="n"/>
      <c r="I566" s="80" t="n"/>
      <c r="J566" s="80" t="n"/>
      <c r="K566" s="80" t="n"/>
      <c r="L566" s="80" t="n"/>
      <c r="M566" s="80" t="n"/>
    </row>
    <row r="567">
      <c r="A567" s="80" t="n"/>
      <c r="B567" s="80" t="n"/>
      <c r="C567" s="80" t="n"/>
      <c r="D567" s="80" t="n"/>
      <c r="E567" s="80" t="n"/>
      <c r="F567" s="80" t="n"/>
      <c r="G567" s="80" t="n"/>
      <c r="H567" s="80" t="n"/>
      <c r="I567" s="80" t="n"/>
      <c r="J567" s="80" t="n"/>
      <c r="K567" s="80" t="n"/>
      <c r="L567" s="80" t="n"/>
      <c r="M567" s="80" t="n"/>
    </row>
    <row r="568">
      <c r="A568" s="80" t="n"/>
      <c r="B568" s="80" t="n"/>
      <c r="C568" s="80" t="n"/>
      <c r="D568" s="80" t="n"/>
      <c r="E568" s="80" t="n"/>
      <c r="F568" s="80" t="n"/>
      <c r="G568" s="80" t="n"/>
      <c r="H568" s="80" t="n"/>
      <c r="I568" s="80" t="n"/>
      <c r="J568" s="80" t="n"/>
      <c r="K568" s="80" t="n"/>
      <c r="L568" s="80" t="n"/>
      <c r="M568" s="80" t="n"/>
    </row>
    <row r="569">
      <c r="A569" s="80" t="n"/>
      <c r="B569" s="80" t="n"/>
      <c r="C569" s="80" t="n"/>
      <c r="D569" s="80" t="n"/>
      <c r="E569" s="80" t="n"/>
      <c r="F569" s="80" t="n"/>
      <c r="G569" s="80" t="n"/>
      <c r="H569" s="80" t="n"/>
      <c r="I569" s="80" t="n"/>
      <c r="J569" s="80" t="n"/>
      <c r="K569" s="80" t="n"/>
      <c r="L569" s="80" t="n"/>
      <c r="M569" s="80" t="n"/>
    </row>
    <row r="570">
      <c r="A570" s="80" t="n"/>
      <c r="B570" s="80" t="n"/>
      <c r="C570" s="80" t="n"/>
      <c r="D570" s="80" t="n"/>
      <c r="E570" s="80" t="n"/>
      <c r="F570" s="80" t="n"/>
      <c r="G570" s="80" t="n"/>
      <c r="H570" s="80" t="n"/>
      <c r="I570" s="80" t="n"/>
      <c r="J570" s="80" t="n"/>
      <c r="K570" s="80" t="n"/>
      <c r="L570" s="80" t="n"/>
      <c r="M570" s="80" t="n"/>
    </row>
    <row r="571">
      <c r="A571" s="80" t="n"/>
      <c r="B571" s="80" t="n"/>
      <c r="C571" s="80" t="n"/>
      <c r="D571" s="80" t="n"/>
      <c r="E571" s="80" t="n"/>
      <c r="F571" s="80" t="n"/>
      <c r="G571" s="80" t="n"/>
      <c r="H571" s="80" t="n"/>
      <c r="I571" s="80" t="n"/>
      <c r="J571" s="80" t="n"/>
      <c r="K571" s="80" t="n"/>
      <c r="L571" s="80" t="n"/>
      <c r="M571" s="80" t="n"/>
    </row>
    <row r="572">
      <c r="A572" s="80" t="n"/>
      <c r="B572" s="80" t="n"/>
      <c r="C572" s="80" t="n"/>
      <c r="D572" s="80" t="n"/>
      <c r="E572" s="80" t="n"/>
      <c r="F572" s="80" t="n"/>
      <c r="G572" s="80" t="n"/>
      <c r="H572" s="80" t="n"/>
      <c r="I572" s="80" t="n"/>
      <c r="J572" s="80" t="n"/>
      <c r="K572" s="80" t="n"/>
      <c r="L572" s="80" t="n"/>
      <c r="M572" s="80" t="n"/>
    </row>
    <row r="573">
      <c r="A573" s="80" t="n"/>
      <c r="B573" s="80" t="n"/>
      <c r="C573" s="80" t="n"/>
      <c r="D573" s="80" t="n"/>
      <c r="E573" s="80" t="n"/>
      <c r="F573" s="80" t="n"/>
      <c r="G573" s="80" t="n"/>
      <c r="H573" s="80" t="n"/>
      <c r="I573" s="80" t="n"/>
      <c r="J573" s="80" t="n"/>
      <c r="K573" s="80" t="n"/>
      <c r="L573" s="80" t="n"/>
      <c r="M573" s="80" t="n"/>
    </row>
    <row r="574">
      <c r="A574" s="80" t="n"/>
      <c r="B574" s="80" t="n"/>
      <c r="C574" s="80" t="n"/>
      <c r="D574" s="80" t="n"/>
      <c r="E574" s="80" t="n"/>
      <c r="F574" s="80" t="n"/>
      <c r="G574" s="80" t="n"/>
      <c r="H574" s="80" t="n"/>
      <c r="I574" s="80" t="n"/>
      <c r="J574" s="80" t="n"/>
      <c r="K574" s="80" t="n"/>
      <c r="L574" s="80" t="n"/>
      <c r="M574" s="80" t="n"/>
    </row>
    <row r="575">
      <c r="A575" s="80" t="n"/>
      <c r="B575" s="80" t="n"/>
      <c r="C575" s="80" t="n"/>
      <c r="D575" s="80" t="n"/>
      <c r="E575" s="80" t="n"/>
      <c r="F575" s="80" t="n"/>
      <c r="G575" s="80" t="n"/>
      <c r="H575" s="80" t="n"/>
      <c r="I575" s="80" t="n"/>
      <c r="J575" s="80" t="n"/>
      <c r="K575" s="80" t="n"/>
      <c r="L575" s="80" t="n"/>
      <c r="M575" s="80" t="n"/>
    </row>
    <row r="576">
      <c r="A576" s="80" t="n"/>
      <c r="B576" s="80" t="n"/>
      <c r="C576" s="80" t="n"/>
      <c r="D576" s="80" t="n"/>
      <c r="E576" s="80" t="n"/>
      <c r="F576" s="80" t="n"/>
      <c r="G576" s="80" t="n"/>
      <c r="H576" s="80" t="n"/>
      <c r="I576" s="80" t="n"/>
      <c r="J576" s="80" t="n"/>
      <c r="K576" s="80" t="n"/>
      <c r="L576" s="80" t="n"/>
      <c r="M576" s="80" t="n"/>
    </row>
    <row r="577">
      <c r="A577" s="80" t="n"/>
      <c r="B577" s="80" t="n"/>
      <c r="C577" s="80" t="n"/>
      <c r="D577" s="80" t="n"/>
      <c r="E577" s="80" t="n"/>
      <c r="F577" s="80" t="n"/>
      <c r="G577" s="80" t="n"/>
      <c r="H577" s="80" t="n"/>
      <c r="I577" s="80" t="n"/>
      <c r="J577" s="80" t="n"/>
      <c r="K577" s="80" t="n"/>
      <c r="L577" s="80" t="n"/>
      <c r="M577" s="80" t="n"/>
    </row>
    <row r="578">
      <c r="A578" s="80" t="n"/>
      <c r="B578" s="80" t="n"/>
      <c r="C578" s="80" t="n"/>
      <c r="D578" s="80" t="n"/>
      <c r="E578" s="80" t="n"/>
      <c r="F578" s="80" t="n"/>
      <c r="G578" s="80" t="n"/>
      <c r="H578" s="80" t="n"/>
      <c r="I578" s="80" t="n"/>
      <c r="J578" s="80" t="n"/>
      <c r="K578" s="80" t="n"/>
      <c r="L578" s="80" t="n"/>
      <c r="M578" s="80" t="n"/>
    </row>
    <row r="579">
      <c r="A579" s="80" t="n"/>
      <c r="B579" s="80" t="n"/>
      <c r="C579" s="80" t="n"/>
      <c r="D579" s="80" t="n"/>
      <c r="E579" s="80" t="n"/>
      <c r="F579" s="80" t="n"/>
      <c r="G579" s="80" t="n"/>
      <c r="H579" s="80" t="n"/>
      <c r="I579" s="80" t="n"/>
      <c r="J579" s="80" t="n"/>
      <c r="K579" s="80" t="n"/>
      <c r="L579" s="80" t="n"/>
      <c r="M579" s="80" t="n"/>
    </row>
    <row r="580">
      <c r="A580" s="80" t="n"/>
      <c r="B580" s="80" t="n"/>
      <c r="C580" s="80" t="n"/>
      <c r="D580" s="80" t="n"/>
      <c r="E580" s="80" t="n"/>
      <c r="F580" s="80" t="n"/>
      <c r="G580" s="80" t="n"/>
      <c r="H580" s="80" t="n"/>
      <c r="I580" s="80" t="n"/>
      <c r="J580" s="80" t="n"/>
      <c r="K580" s="80" t="n"/>
      <c r="L580" s="80" t="n"/>
      <c r="M580" s="80" t="n"/>
    </row>
    <row r="581">
      <c r="A581" s="80" t="n"/>
      <c r="B581" s="80" t="n"/>
      <c r="C581" s="80" t="n"/>
      <c r="D581" s="80" t="n"/>
      <c r="E581" s="80" t="n"/>
      <c r="F581" s="80" t="n"/>
      <c r="G581" s="80" t="n"/>
      <c r="H581" s="80" t="n"/>
      <c r="I581" s="80" t="n"/>
      <c r="J581" s="80" t="n"/>
      <c r="K581" s="80" t="n"/>
      <c r="L581" s="80" t="n"/>
      <c r="M581" s="80" t="n"/>
    </row>
    <row r="582">
      <c r="A582" s="80" t="n"/>
      <c r="B582" s="80" t="n"/>
      <c r="C582" s="80" t="n"/>
      <c r="D582" s="80" t="n"/>
      <c r="E582" s="80" t="n"/>
      <c r="F582" s="80" t="n"/>
      <c r="G582" s="80" t="n"/>
      <c r="H582" s="80" t="n"/>
      <c r="I582" s="80" t="n"/>
      <c r="J582" s="80" t="n"/>
      <c r="K582" s="80" t="n"/>
      <c r="L582" s="80" t="n"/>
      <c r="M582" s="80" t="n"/>
    </row>
    <row r="583">
      <c r="A583" s="80" t="n"/>
      <c r="B583" s="80" t="n"/>
      <c r="C583" s="80" t="n"/>
      <c r="D583" s="80" t="n"/>
      <c r="E583" s="80" t="n"/>
      <c r="F583" s="80" t="n"/>
      <c r="G583" s="80" t="n"/>
      <c r="H583" s="80" t="n"/>
      <c r="I583" s="80" t="n"/>
      <c r="J583" s="80" t="n"/>
      <c r="K583" s="80" t="n"/>
      <c r="L583" s="80" t="n"/>
      <c r="M583" s="80" t="n"/>
    </row>
    <row r="584">
      <c r="A584" s="80" t="n"/>
      <c r="B584" s="80" t="n"/>
      <c r="C584" s="80" t="n"/>
      <c r="D584" s="80" t="n"/>
      <c r="E584" s="80" t="n"/>
      <c r="F584" s="80" t="n"/>
      <c r="G584" s="80" t="n"/>
      <c r="H584" s="80" t="n"/>
      <c r="I584" s="80" t="n"/>
      <c r="J584" s="80" t="n"/>
      <c r="K584" s="80" t="n"/>
      <c r="L584" s="80" t="n"/>
      <c r="M584" s="80" t="n"/>
    </row>
    <row r="585">
      <c r="A585" s="80" t="n"/>
      <c r="B585" s="80" t="n"/>
      <c r="C585" s="80" t="n"/>
      <c r="D585" s="80" t="n"/>
      <c r="E585" s="80" t="n"/>
      <c r="F585" s="80" t="n"/>
      <c r="G585" s="80" t="n"/>
      <c r="H585" s="80" t="n"/>
      <c r="I585" s="80" t="n"/>
      <c r="J585" s="80" t="n"/>
      <c r="K585" s="80" t="n"/>
      <c r="L585" s="80" t="n"/>
      <c r="M585" s="80" t="n"/>
    </row>
    <row r="586">
      <c r="A586" s="80" t="n"/>
      <c r="B586" s="80" t="n"/>
      <c r="C586" s="80" t="n"/>
      <c r="D586" s="80" t="n"/>
      <c r="E586" s="80" t="n"/>
      <c r="F586" s="80" t="n"/>
      <c r="G586" s="80" t="n"/>
      <c r="H586" s="80" t="n"/>
      <c r="I586" s="80" t="n"/>
      <c r="J586" s="80" t="n"/>
      <c r="K586" s="80" t="n"/>
      <c r="L586" s="80" t="n"/>
      <c r="M586" s="80" t="n"/>
    </row>
    <row r="587">
      <c r="A587" s="80" t="n"/>
      <c r="B587" s="80" t="n"/>
      <c r="C587" s="80" t="n"/>
      <c r="D587" s="80" t="n"/>
      <c r="E587" s="80" t="n"/>
      <c r="F587" s="80" t="n"/>
      <c r="G587" s="80" t="n"/>
      <c r="H587" s="80" t="n"/>
      <c r="I587" s="80" t="n"/>
      <c r="J587" s="80" t="n"/>
      <c r="K587" s="80" t="n"/>
      <c r="L587" s="80" t="n"/>
      <c r="M587" s="80" t="n"/>
    </row>
    <row r="588">
      <c r="A588" s="80" t="n"/>
      <c r="B588" s="80" t="n"/>
      <c r="C588" s="80" t="n"/>
      <c r="D588" s="80" t="n"/>
      <c r="E588" s="80" t="n"/>
      <c r="F588" s="80" t="n"/>
      <c r="G588" s="80" t="n"/>
      <c r="H588" s="80" t="n"/>
      <c r="I588" s="80" t="n"/>
      <c r="J588" s="80" t="n"/>
      <c r="K588" s="80" t="n"/>
      <c r="L588" s="80" t="n"/>
      <c r="M588" s="80" t="n"/>
    </row>
    <row r="589">
      <c r="A589" s="80" t="n"/>
      <c r="B589" s="80" t="n"/>
      <c r="C589" s="80" t="n"/>
      <c r="D589" s="80" t="n"/>
      <c r="E589" s="80" t="n"/>
      <c r="F589" s="80" t="n"/>
      <c r="G589" s="80" t="n"/>
      <c r="H589" s="80" t="n"/>
      <c r="I589" s="80" t="n"/>
      <c r="J589" s="80" t="n"/>
      <c r="K589" s="80" t="n"/>
      <c r="L589" s="80" t="n"/>
      <c r="M589" s="80" t="n"/>
    </row>
    <row r="590">
      <c r="A590" s="80" t="n"/>
      <c r="B590" s="80" t="n"/>
      <c r="C590" s="80" t="n"/>
      <c r="D590" s="80" t="n"/>
      <c r="E590" s="80" t="n"/>
      <c r="F590" s="80" t="n"/>
      <c r="G590" s="80" t="n"/>
      <c r="H590" s="80" t="n"/>
      <c r="I590" s="80" t="n"/>
      <c r="J590" s="80" t="n"/>
      <c r="K590" s="80" t="n"/>
      <c r="L590" s="80" t="n"/>
      <c r="M590" s="80" t="n"/>
    </row>
    <row r="591">
      <c r="A591" s="80" t="n"/>
      <c r="B591" s="80" t="n"/>
      <c r="C591" s="80" t="n"/>
      <c r="D591" s="80" t="n"/>
      <c r="E591" s="80" t="n"/>
      <c r="F591" s="80" t="n"/>
      <c r="G591" s="80" t="n"/>
      <c r="H591" s="80" t="n"/>
      <c r="I591" s="80" t="n"/>
      <c r="J591" s="80" t="n"/>
      <c r="K591" s="80" t="n"/>
      <c r="L591" s="80" t="n"/>
      <c r="M591" s="80" t="n"/>
    </row>
    <row r="592">
      <c r="A592" s="80" t="n"/>
      <c r="B592" s="80" t="n"/>
      <c r="C592" s="80" t="n"/>
      <c r="D592" s="80" t="n"/>
      <c r="E592" s="80" t="n"/>
      <c r="F592" s="80" t="n"/>
      <c r="G592" s="80" t="n"/>
      <c r="H592" s="80" t="n"/>
      <c r="I592" s="80" t="n"/>
      <c r="J592" s="80" t="n"/>
      <c r="K592" s="80" t="n"/>
      <c r="L592" s="80" t="n"/>
      <c r="M592" s="80" t="n"/>
    </row>
    <row r="593">
      <c r="A593" s="80" t="n"/>
      <c r="B593" s="80" t="n"/>
      <c r="C593" s="80" t="n"/>
      <c r="D593" s="80" t="n"/>
      <c r="E593" s="80" t="n"/>
      <c r="F593" s="80" t="n"/>
      <c r="G593" s="80" t="n"/>
      <c r="H593" s="80" t="n"/>
      <c r="I593" s="80" t="n"/>
      <c r="J593" s="80" t="n"/>
      <c r="K593" s="80" t="n"/>
      <c r="L593" s="80" t="n"/>
      <c r="M593" s="80" t="n"/>
    </row>
    <row r="594">
      <c r="A594" s="80" t="n"/>
      <c r="B594" s="80" t="n"/>
      <c r="C594" s="80" t="n"/>
      <c r="D594" s="80" t="n"/>
      <c r="E594" s="80" t="n"/>
      <c r="F594" s="80" t="n"/>
      <c r="G594" s="80" t="n"/>
      <c r="H594" s="80" t="n"/>
      <c r="I594" s="80" t="n"/>
      <c r="J594" s="80" t="n"/>
      <c r="K594" s="80" t="n"/>
      <c r="L594" s="80" t="n"/>
      <c r="M594" s="80" t="n"/>
    </row>
    <row r="595">
      <c r="A595" s="80" t="n"/>
      <c r="B595" s="80" t="n"/>
      <c r="C595" s="80" t="n"/>
      <c r="D595" s="80" t="n"/>
      <c r="E595" s="80" t="n"/>
      <c r="F595" s="80" t="n"/>
      <c r="G595" s="80" t="n"/>
      <c r="H595" s="80" t="n"/>
      <c r="I595" s="80" t="n"/>
      <c r="J595" s="80" t="n"/>
      <c r="K595" s="80" t="n"/>
      <c r="L595" s="80" t="n"/>
      <c r="M595" s="80" t="n"/>
    </row>
    <row r="596">
      <c r="A596" s="80" t="n"/>
      <c r="B596" s="80" t="n"/>
      <c r="C596" s="80" t="n"/>
      <c r="D596" s="80" t="n"/>
      <c r="E596" s="80" t="n"/>
      <c r="F596" s="80" t="n"/>
      <c r="G596" s="80" t="n"/>
      <c r="H596" s="80" t="n"/>
      <c r="I596" s="80" t="n"/>
      <c r="J596" s="80" t="n"/>
      <c r="K596" s="80" t="n"/>
      <c r="L596" s="80" t="n"/>
      <c r="M596" s="80" t="n"/>
    </row>
    <row r="597">
      <c r="A597" s="80" t="n"/>
      <c r="B597" s="80" t="n"/>
      <c r="C597" s="80" t="n"/>
      <c r="D597" s="80" t="n"/>
      <c r="E597" s="80" t="n"/>
      <c r="F597" s="80" t="n"/>
      <c r="G597" s="80" t="n"/>
      <c r="H597" s="80" t="n"/>
      <c r="I597" s="80" t="n"/>
      <c r="J597" s="80" t="n"/>
      <c r="K597" s="80" t="n"/>
      <c r="L597" s="80" t="n"/>
      <c r="M597" s="80" t="n"/>
    </row>
    <row r="598">
      <c r="A598" s="80" t="n"/>
      <c r="B598" s="80" t="n"/>
      <c r="C598" s="80" t="n"/>
      <c r="D598" s="80" t="n"/>
      <c r="E598" s="80" t="n"/>
      <c r="F598" s="80" t="n"/>
      <c r="G598" s="80" t="n"/>
      <c r="H598" s="80" t="n"/>
      <c r="I598" s="80" t="n"/>
      <c r="J598" s="80" t="n"/>
      <c r="K598" s="80" t="n"/>
      <c r="L598" s="80" t="n"/>
      <c r="M598" s="80" t="n"/>
    </row>
    <row r="599">
      <c r="A599" s="80" t="n"/>
      <c r="B599" s="80" t="n"/>
      <c r="C599" s="80" t="n"/>
      <c r="D599" s="80" t="n"/>
      <c r="E599" s="80" t="n"/>
      <c r="F599" s="80" t="n"/>
      <c r="G599" s="80" t="n"/>
      <c r="H599" s="80" t="n"/>
      <c r="I599" s="80" t="n"/>
      <c r="J599" s="80" t="n"/>
      <c r="K599" s="80" t="n"/>
      <c r="L599" s="80" t="n"/>
      <c r="M599" s="80" t="n"/>
    </row>
    <row r="600">
      <c r="A600" s="80" t="n"/>
      <c r="B600" s="80" t="n"/>
      <c r="C600" s="80" t="n"/>
      <c r="D600" s="80" t="n"/>
      <c r="E600" s="80" t="n"/>
      <c r="F600" s="80" t="n"/>
      <c r="G600" s="80" t="n"/>
      <c r="H600" s="80" t="n"/>
      <c r="I600" s="80" t="n"/>
      <c r="J600" s="80" t="n"/>
      <c r="K600" s="80" t="n"/>
      <c r="L600" s="80" t="n"/>
      <c r="M600" s="80" t="n"/>
    </row>
    <row r="601">
      <c r="A601" s="80" t="n"/>
      <c r="B601" s="80" t="n"/>
      <c r="C601" s="80" t="n"/>
      <c r="D601" s="80" t="n"/>
      <c r="E601" s="80" t="n"/>
      <c r="F601" s="80" t="n"/>
      <c r="G601" s="80" t="n"/>
      <c r="H601" s="80" t="n"/>
      <c r="I601" s="80" t="n"/>
      <c r="J601" s="80" t="n"/>
      <c r="K601" s="80" t="n"/>
      <c r="L601" s="80" t="n"/>
      <c r="M601" s="80" t="n"/>
    </row>
    <row r="602">
      <c r="A602" s="80" t="n"/>
      <c r="B602" s="80" t="n"/>
      <c r="C602" s="80" t="n"/>
      <c r="D602" s="80" t="n"/>
      <c r="E602" s="80" t="n"/>
      <c r="F602" s="80" t="n"/>
      <c r="G602" s="80" t="n"/>
      <c r="H602" s="80" t="n"/>
      <c r="I602" s="80" t="n"/>
      <c r="J602" s="80" t="n"/>
      <c r="K602" s="80" t="n"/>
      <c r="L602" s="80" t="n"/>
      <c r="M602" s="80" t="n"/>
    </row>
    <row r="603">
      <c r="A603" s="80" t="n"/>
      <c r="B603" s="80" t="n"/>
      <c r="C603" s="80" t="n"/>
      <c r="D603" s="80" t="n"/>
      <c r="E603" s="80" t="n"/>
      <c r="F603" s="80" t="n"/>
      <c r="G603" s="80" t="n"/>
      <c r="H603" s="80" t="n"/>
      <c r="I603" s="80" t="n"/>
      <c r="J603" s="80" t="n"/>
      <c r="K603" s="80" t="n"/>
      <c r="L603" s="80" t="n"/>
      <c r="M603" s="80" t="n"/>
    </row>
    <row r="604">
      <c r="A604" s="80" t="n"/>
      <c r="B604" s="80" t="n"/>
      <c r="C604" s="80" t="n"/>
      <c r="D604" s="80" t="n"/>
      <c r="E604" s="80" t="n"/>
      <c r="F604" s="80" t="n"/>
      <c r="G604" s="80" t="n"/>
      <c r="H604" s="80" t="n"/>
      <c r="I604" s="80" t="n"/>
      <c r="J604" s="80" t="n"/>
      <c r="K604" s="80" t="n"/>
      <c r="L604" s="80" t="n"/>
      <c r="M604" s="80" t="n"/>
    </row>
    <row r="605">
      <c r="A605" s="80" t="n"/>
      <c r="B605" s="80" t="n"/>
      <c r="C605" s="80" t="n"/>
      <c r="D605" s="80" t="n"/>
      <c r="E605" s="80" t="n"/>
      <c r="F605" s="80" t="n"/>
      <c r="G605" s="80" t="n"/>
      <c r="H605" s="80" t="n"/>
      <c r="I605" s="80" t="n"/>
      <c r="J605" s="80" t="n"/>
      <c r="K605" s="80" t="n"/>
      <c r="L605" s="80" t="n"/>
      <c r="M605" s="80" t="n"/>
    </row>
    <row r="606">
      <c r="A606" s="80" t="n"/>
      <c r="B606" s="80" t="n"/>
      <c r="C606" s="80" t="n"/>
      <c r="D606" s="80" t="n"/>
      <c r="E606" s="80" t="n"/>
      <c r="F606" s="80" t="n"/>
      <c r="G606" s="80" t="n"/>
      <c r="H606" s="80" t="n"/>
      <c r="I606" s="80" t="n"/>
      <c r="J606" s="80" t="n"/>
      <c r="K606" s="80" t="n"/>
      <c r="L606" s="80" t="n"/>
      <c r="M606" s="80" t="n"/>
    </row>
    <row r="607">
      <c r="A607" s="80" t="n"/>
      <c r="B607" s="80" t="n"/>
      <c r="C607" s="80" t="n"/>
      <c r="D607" s="80" t="n"/>
      <c r="E607" s="80" t="n"/>
      <c r="F607" s="80" t="n"/>
      <c r="G607" s="80" t="n"/>
      <c r="H607" s="80" t="n"/>
      <c r="I607" s="80" t="n"/>
      <c r="J607" s="80" t="n"/>
      <c r="K607" s="80" t="n"/>
      <c r="L607" s="80" t="n"/>
      <c r="M607" s="80" t="n"/>
    </row>
    <row r="608">
      <c r="A608" s="80" t="n"/>
      <c r="B608" s="80" t="n"/>
      <c r="C608" s="80" t="n"/>
      <c r="D608" s="80" t="n"/>
      <c r="E608" s="80" t="n"/>
      <c r="F608" s="80" t="n"/>
      <c r="G608" s="80" t="n"/>
      <c r="H608" s="80" t="n"/>
      <c r="I608" s="80" t="n"/>
      <c r="J608" s="80" t="n"/>
      <c r="K608" s="80" t="n"/>
      <c r="L608" s="80" t="n"/>
      <c r="M608" s="80" t="n"/>
    </row>
    <row r="609">
      <c r="A609" s="80" t="n"/>
      <c r="B609" s="80" t="n"/>
      <c r="C609" s="80" t="n"/>
      <c r="D609" s="80" t="n"/>
      <c r="E609" s="80" t="n"/>
      <c r="F609" s="80" t="n"/>
      <c r="G609" s="80" t="n"/>
      <c r="H609" s="80" t="n"/>
      <c r="I609" s="80" t="n"/>
      <c r="J609" s="80" t="n"/>
      <c r="K609" s="80" t="n"/>
      <c r="L609" s="80" t="n"/>
      <c r="M609" s="80" t="n"/>
    </row>
    <row r="610">
      <c r="A610" s="80" t="n"/>
      <c r="B610" s="80" t="n"/>
      <c r="C610" s="80" t="n"/>
      <c r="D610" s="80" t="n"/>
      <c r="E610" s="80" t="n"/>
      <c r="F610" s="80" t="n"/>
      <c r="G610" s="80" t="n"/>
      <c r="H610" s="80" t="n"/>
      <c r="I610" s="80" t="n"/>
      <c r="J610" s="80" t="n"/>
      <c r="K610" s="80" t="n"/>
      <c r="L610" s="80" t="n"/>
      <c r="M610" s="80" t="n"/>
    </row>
    <row r="611">
      <c r="A611" s="80" t="n"/>
      <c r="B611" s="80" t="n"/>
      <c r="C611" s="80" t="n"/>
      <c r="D611" s="80" t="n"/>
      <c r="E611" s="80" t="n"/>
      <c r="F611" s="80" t="n"/>
      <c r="G611" s="80" t="n"/>
      <c r="H611" s="80" t="n"/>
      <c r="I611" s="80" t="n"/>
      <c r="J611" s="80" t="n"/>
      <c r="K611" s="80" t="n"/>
      <c r="L611" s="80" t="n"/>
      <c r="M611" s="80" t="n"/>
    </row>
    <row r="612">
      <c r="A612" s="80" t="n"/>
      <c r="B612" s="80" t="n"/>
      <c r="C612" s="80" t="n"/>
      <c r="D612" s="80" t="n"/>
      <c r="E612" s="80" t="n"/>
      <c r="F612" s="80" t="n"/>
      <c r="G612" s="80" t="n"/>
      <c r="H612" s="80" t="n"/>
      <c r="I612" s="80" t="n"/>
      <c r="J612" s="80" t="n"/>
      <c r="K612" s="80" t="n"/>
      <c r="L612" s="80" t="n"/>
      <c r="M612" s="80" t="n"/>
    </row>
    <row r="613">
      <c r="A613" s="80" t="n"/>
      <c r="B613" s="80" t="n"/>
      <c r="C613" s="80" t="n"/>
      <c r="D613" s="80" t="n"/>
      <c r="E613" s="80" t="n"/>
      <c r="F613" s="80" t="n"/>
      <c r="G613" s="80" t="n"/>
      <c r="H613" s="80" t="n"/>
      <c r="I613" s="80" t="n"/>
      <c r="J613" s="80" t="n"/>
      <c r="K613" s="80" t="n"/>
      <c r="L613" s="80" t="n"/>
      <c r="M613" s="80" t="n"/>
    </row>
    <row r="614">
      <c r="A614" s="80" t="n"/>
      <c r="B614" s="80" t="n"/>
      <c r="C614" s="80" t="n"/>
      <c r="D614" s="80" t="n"/>
      <c r="E614" s="80" t="n"/>
      <c r="F614" s="80" t="n"/>
      <c r="G614" s="80" t="n"/>
      <c r="H614" s="80" t="n"/>
      <c r="I614" s="80" t="n"/>
      <c r="J614" s="80" t="n"/>
      <c r="K614" s="80" t="n"/>
      <c r="L614" s="80" t="n"/>
      <c r="M614" s="80" t="n"/>
    </row>
    <row r="615">
      <c r="A615" s="80" t="n"/>
      <c r="B615" s="80" t="n"/>
      <c r="C615" s="80" t="n"/>
      <c r="D615" s="80" t="n"/>
      <c r="E615" s="80" t="n"/>
      <c r="F615" s="80" t="n"/>
      <c r="G615" s="80" t="n"/>
      <c r="H615" s="80" t="n"/>
      <c r="I615" s="80" t="n"/>
      <c r="J615" s="80" t="n"/>
      <c r="K615" s="80" t="n"/>
      <c r="L615" s="80" t="n"/>
      <c r="M615" s="80" t="n"/>
    </row>
    <row r="616">
      <c r="A616" s="80" t="n"/>
      <c r="B616" s="80" t="n"/>
      <c r="C616" s="80" t="n"/>
      <c r="D616" s="80" t="n"/>
      <c r="E616" s="80" t="n"/>
      <c r="F616" s="80" t="n"/>
      <c r="G616" s="80" t="n"/>
      <c r="H616" s="80" t="n"/>
      <c r="I616" s="80" t="n"/>
      <c r="J616" s="80" t="n"/>
      <c r="K616" s="80" t="n"/>
      <c r="L616" s="80" t="n"/>
      <c r="M616" s="80" t="n"/>
    </row>
    <row r="617">
      <c r="A617" s="80" t="n"/>
      <c r="B617" s="80" t="n"/>
      <c r="C617" s="80" t="n"/>
      <c r="D617" s="80" t="n"/>
      <c r="E617" s="80" t="n"/>
      <c r="F617" s="80" t="n"/>
      <c r="G617" s="80" t="n"/>
      <c r="H617" s="80" t="n"/>
      <c r="I617" s="80" t="n"/>
      <c r="J617" s="80" t="n"/>
      <c r="K617" s="80" t="n"/>
      <c r="L617" s="80" t="n"/>
      <c r="M617" s="80" t="n"/>
    </row>
    <row r="618">
      <c r="A618" s="80" t="n"/>
      <c r="B618" s="80" t="n"/>
      <c r="C618" s="80" t="n"/>
      <c r="D618" s="80" t="n"/>
      <c r="E618" s="80" t="n"/>
      <c r="F618" s="80" t="n"/>
      <c r="G618" s="80" t="n"/>
      <c r="H618" s="80" t="n"/>
      <c r="I618" s="80" t="n"/>
      <c r="J618" s="80" t="n"/>
      <c r="K618" s="80" t="n"/>
      <c r="L618" s="80" t="n"/>
      <c r="M618" s="80" t="n"/>
    </row>
    <row r="619">
      <c r="A619" s="80" t="n"/>
      <c r="B619" s="80" t="n"/>
      <c r="C619" s="80" t="n"/>
      <c r="D619" s="80" t="n"/>
      <c r="E619" s="80" t="n"/>
      <c r="F619" s="80" t="n"/>
      <c r="G619" s="80" t="n"/>
      <c r="H619" s="80" t="n"/>
      <c r="I619" s="80" t="n"/>
      <c r="J619" s="80" t="n"/>
      <c r="K619" s="80" t="n"/>
      <c r="L619" s="80" t="n"/>
      <c r="M619" s="80" t="n"/>
    </row>
    <row r="620">
      <c r="A620" s="80" t="n"/>
      <c r="B620" s="80" t="n"/>
      <c r="C620" s="80" t="n"/>
      <c r="D620" s="80" t="n"/>
      <c r="E620" s="80" t="n"/>
      <c r="F620" s="80" t="n"/>
      <c r="G620" s="80" t="n"/>
      <c r="H620" s="80" t="n"/>
      <c r="I620" s="80" t="n"/>
      <c r="J620" s="80" t="n"/>
      <c r="K620" s="80" t="n"/>
      <c r="L620" s="80" t="n"/>
      <c r="M620" s="80" t="n"/>
    </row>
    <row r="621">
      <c r="A621" s="80" t="n"/>
      <c r="B621" s="80" t="n"/>
      <c r="C621" s="80" t="n"/>
      <c r="D621" s="80" t="n"/>
      <c r="E621" s="80" t="n"/>
      <c r="F621" s="80" t="n"/>
      <c r="G621" s="80" t="n"/>
      <c r="H621" s="80" t="n"/>
      <c r="I621" s="80" t="n"/>
      <c r="J621" s="80" t="n"/>
      <c r="K621" s="80" t="n"/>
      <c r="L621" s="80" t="n"/>
      <c r="M621" s="80" t="n"/>
    </row>
    <row r="622">
      <c r="A622" s="80" t="n"/>
      <c r="B622" s="80" t="n"/>
      <c r="C622" s="80" t="n"/>
      <c r="D622" s="80" t="n"/>
      <c r="E622" s="80" t="n"/>
      <c r="F622" s="80" t="n"/>
      <c r="G622" s="80" t="n"/>
      <c r="H622" s="80" t="n"/>
      <c r="I622" s="80" t="n"/>
      <c r="J622" s="80" t="n"/>
      <c r="K622" s="80" t="n"/>
      <c r="L622" s="80" t="n"/>
      <c r="M622" s="80" t="n"/>
    </row>
    <row r="623">
      <c r="A623" s="80" t="n"/>
      <c r="B623" s="80" t="n"/>
      <c r="C623" s="80" t="n"/>
      <c r="D623" s="80" t="n"/>
      <c r="E623" s="80" t="n"/>
      <c r="F623" s="80" t="n"/>
      <c r="G623" s="80" t="n"/>
      <c r="H623" s="80" t="n"/>
      <c r="I623" s="80" t="n"/>
      <c r="J623" s="80" t="n"/>
      <c r="K623" s="80" t="n"/>
      <c r="L623" s="80" t="n"/>
      <c r="M623" s="80" t="n"/>
    </row>
    <row r="624">
      <c r="A624" s="80" t="n"/>
      <c r="B624" s="80" t="n"/>
      <c r="C624" s="80" t="n"/>
      <c r="D624" s="80" t="n"/>
      <c r="E624" s="80" t="n"/>
      <c r="F624" s="80" t="n"/>
      <c r="G624" s="80" t="n"/>
      <c r="H624" s="80" t="n"/>
      <c r="I624" s="80" t="n"/>
      <c r="J624" s="80" t="n"/>
      <c r="K624" s="80" t="n"/>
      <c r="L624" s="80" t="n"/>
      <c r="M624" s="80" t="n"/>
    </row>
    <row r="625">
      <c r="A625" s="80" t="n"/>
      <c r="B625" s="80" t="n"/>
      <c r="C625" s="80" t="n"/>
      <c r="D625" s="80" t="n"/>
      <c r="E625" s="80" t="n"/>
      <c r="F625" s="80" t="n"/>
      <c r="G625" s="80" t="n"/>
      <c r="H625" s="80" t="n"/>
      <c r="I625" s="80" t="n"/>
      <c r="J625" s="80" t="n"/>
      <c r="K625" s="80" t="n"/>
      <c r="L625" s="80" t="n"/>
      <c r="M625" s="80" t="n"/>
    </row>
    <row r="626">
      <c r="A626" s="80" t="n"/>
      <c r="B626" s="80" t="n"/>
      <c r="C626" s="80" t="n"/>
      <c r="D626" s="80" t="n"/>
      <c r="E626" s="80" t="n"/>
      <c r="F626" s="80" t="n"/>
      <c r="G626" s="80" t="n"/>
      <c r="H626" s="80" t="n"/>
      <c r="I626" s="80" t="n"/>
      <c r="J626" s="80" t="n"/>
      <c r="K626" s="80" t="n"/>
      <c r="L626" s="80" t="n"/>
      <c r="M626" s="80" t="n"/>
    </row>
    <row r="627">
      <c r="A627" s="80" t="n"/>
      <c r="B627" s="80" t="n"/>
      <c r="C627" s="80" t="n"/>
      <c r="D627" s="80" t="n"/>
      <c r="E627" s="80" t="n"/>
      <c r="F627" s="80" t="n"/>
      <c r="G627" s="80" t="n"/>
      <c r="H627" s="80" t="n"/>
      <c r="I627" s="80" t="n"/>
      <c r="J627" s="80" t="n"/>
      <c r="K627" s="80" t="n"/>
      <c r="L627" s="80" t="n"/>
      <c r="M627" s="80" t="n"/>
    </row>
    <row r="628">
      <c r="A628" s="80" t="n"/>
      <c r="B628" s="80" t="n"/>
      <c r="C628" s="80" t="n"/>
      <c r="D628" s="80" t="n"/>
      <c r="E628" s="80" t="n"/>
      <c r="F628" s="80" t="n"/>
      <c r="G628" s="80" t="n"/>
      <c r="H628" s="80" t="n"/>
      <c r="I628" s="80" t="n"/>
      <c r="J628" s="80" t="n"/>
      <c r="K628" s="80" t="n"/>
      <c r="L628" s="80" t="n"/>
      <c r="M628" s="80" t="n"/>
    </row>
    <row r="629">
      <c r="A629" s="80" t="n"/>
      <c r="B629" s="80" t="n"/>
      <c r="C629" s="80" t="n"/>
      <c r="D629" s="80" t="n"/>
      <c r="E629" s="80" t="n"/>
      <c r="F629" s="80" t="n"/>
      <c r="G629" s="80" t="n"/>
      <c r="H629" s="80" t="n"/>
      <c r="I629" s="80" t="n"/>
      <c r="J629" s="80" t="n"/>
      <c r="K629" s="80" t="n"/>
      <c r="L629" s="80" t="n"/>
      <c r="M629" s="80" t="n"/>
    </row>
    <row r="630">
      <c r="A630" s="80" t="n"/>
      <c r="B630" s="80" t="n"/>
      <c r="C630" s="80" t="n"/>
      <c r="D630" s="80" t="n"/>
      <c r="E630" s="80" t="n"/>
      <c r="F630" s="80" t="n"/>
      <c r="G630" s="80" t="n"/>
      <c r="H630" s="80" t="n"/>
      <c r="I630" s="80" t="n"/>
      <c r="J630" s="80" t="n"/>
      <c r="K630" s="80" t="n"/>
      <c r="L630" s="80" t="n"/>
      <c r="M630" s="80" t="n"/>
    </row>
    <row r="631">
      <c r="A631" s="80" t="n"/>
      <c r="B631" s="80" t="n"/>
      <c r="C631" s="80" t="n"/>
      <c r="D631" s="80" t="n"/>
      <c r="E631" s="80" t="n"/>
      <c r="F631" s="80" t="n"/>
      <c r="G631" s="80" t="n"/>
      <c r="H631" s="80" t="n"/>
      <c r="I631" s="80" t="n"/>
      <c r="J631" s="80" t="n"/>
      <c r="K631" s="80" t="n"/>
      <c r="L631" s="80" t="n"/>
      <c r="M631" s="80" t="n"/>
    </row>
    <row r="632">
      <c r="A632" s="80" t="n"/>
      <c r="B632" s="80" t="n"/>
      <c r="C632" s="80" t="n"/>
      <c r="D632" s="80" t="n"/>
      <c r="E632" s="80" t="n"/>
      <c r="F632" s="80" t="n"/>
      <c r="G632" s="80" t="n"/>
      <c r="H632" s="80" t="n"/>
      <c r="I632" s="80" t="n"/>
      <c r="J632" s="80" t="n"/>
      <c r="K632" s="80" t="n"/>
      <c r="L632" s="80" t="n"/>
      <c r="M632" s="80" t="n"/>
    </row>
    <row r="633">
      <c r="A633" s="80" t="n"/>
      <c r="B633" s="80" t="n"/>
      <c r="C633" s="80" t="n"/>
      <c r="D633" s="80" t="n"/>
      <c r="E633" s="80" t="n"/>
      <c r="F633" s="80" t="n"/>
      <c r="G633" s="80" t="n"/>
      <c r="H633" s="80" t="n"/>
      <c r="I633" s="80" t="n"/>
      <c r="J633" s="80" t="n"/>
      <c r="K633" s="80" t="n"/>
      <c r="L633" s="80" t="n"/>
      <c r="M633" s="80" t="n"/>
    </row>
    <row r="634">
      <c r="A634" s="80" t="n"/>
      <c r="B634" s="80" t="n"/>
      <c r="C634" s="80" t="n"/>
      <c r="D634" s="80" t="n"/>
      <c r="E634" s="80" t="n"/>
      <c r="F634" s="80" t="n"/>
      <c r="G634" s="80" t="n"/>
      <c r="H634" s="80" t="n"/>
      <c r="I634" s="80" t="n"/>
      <c r="J634" s="80" t="n"/>
      <c r="K634" s="80" t="n"/>
      <c r="L634" s="80" t="n"/>
      <c r="M634" s="80" t="n"/>
    </row>
    <row r="635">
      <c r="A635" s="80" t="n"/>
      <c r="B635" s="80" t="n"/>
      <c r="C635" s="80" t="n"/>
      <c r="D635" s="80" t="n"/>
      <c r="E635" s="80" t="n"/>
      <c r="F635" s="80" t="n"/>
      <c r="G635" s="80" t="n"/>
      <c r="H635" s="80" t="n"/>
      <c r="I635" s="80" t="n"/>
      <c r="J635" s="80" t="n"/>
      <c r="K635" s="80" t="n"/>
      <c r="L635" s="80" t="n"/>
      <c r="M635" s="80" t="n"/>
    </row>
    <row r="636">
      <c r="A636" s="80" t="n"/>
      <c r="B636" s="80" t="n"/>
      <c r="C636" s="80" t="n"/>
      <c r="D636" s="80" t="n"/>
      <c r="E636" s="80" t="n"/>
      <c r="F636" s="80" t="n"/>
      <c r="G636" s="80" t="n"/>
      <c r="H636" s="80" t="n"/>
      <c r="I636" s="80" t="n"/>
      <c r="J636" s="80" t="n"/>
      <c r="K636" s="80" t="n"/>
      <c r="L636" s="80" t="n"/>
      <c r="M636" s="80" t="n"/>
    </row>
    <row r="637">
      <c r="A637" s="80" t="n"/>
      <c r="B637" s="80" t="n"/>
      <c r="C637" s="80" t="n"/>
      <c r="D637" s="80" t="n"/>
      <c r="E637" s="80" t="n"/>
      <c r="F637" s="80" t="n"/>
      <c r="G637" s="80" t="n"/>
      <c r="H637" s="80" t="n"/>
      <c r="I637" s="80" t="n"/>
      <c r="J637" s="80" t="n"/>
      <c r="K637" s="80" t="n"/>
      <c r="L637" s="80" t="n"/>
      <c r="M637" s="80" t="n"/>
    </row>
    <row r="638">
      <c r="A638" s="80" t="n"/>
      <c r="B638" s="80" t="n"/>
      <c r="C638" s="80" t="n"/>
      <c r="D638" s="80" t="n"/>
      <c r="E638" s="80" t="n"/>
      <c r="F638" s="80" t="n"/>
      <c r="G638" s="80" t="n"/>
      <c r="H638" s="80" t="n"/>
      <c r="I638" s="80" t="n"/>
      <c r="J638" s="80" t="n"/>
      <c r="K638" s="80" t="n"/>
      <c r="L638" s="80" t="n"/>
      <c r="M638" s="80" t="n"/>
    </row>
    <row r="639">
      <c r="A639" s="80" t="n"/>
      <c r="B639" s="80" t="n"/>
      <c r="C639" s="80" t="n"/>
      <c r="D639" s="80" t="n"/>
      <c r="E639" s="80" t="n"/>
      <c r="F639" s="80" t="n"/>
      <c r="G639" s="80" t="n"/>
      <c r="H639" s="80" t="n"/>
      <c r="I639" s="80" t="n"/>
      <c r="J639" s="80" t="n"/>
      <c r="K639" s="80" t="n"/>
      <c r="L639" s="80" t="n"/>
      <c r="M639" s="80" t="n"/>
    </row>
    <row r="640">
      <c r="A640" s="80" t="n"/>
      <c r="B640" s="80" t="n"/>
      <c r="C640" s="80" t="n"/>
      <c r="D640" s="80" t="n"/>
      <c r="E640" s="80" t="n"/>
      <c r="F640" s="80" t="n"/>
      <c r="G640" s="80" t="n"/>
      <c r="H640" s="80" t="n"/>
      <c r="I640" s="80" t="n"/>
      <c r="J640" s="80" t="n"/>
      <c r="K640" s="80" t="n"/>
      <c r="L640" s="80" t="n"/>
      <c r="M640" s="80" t="n"/>
    </row>
    <row r="641">
      <c r="A641" s="80" t="n"/>
      <c r="B641" s="80" t="n"/>
      <c r="C641" s="80" t="n"/>
      <c r="D641" s="80" t="n"/>
      <c r="E641" s="80" t="n"/>
      <c r="F641" s="80" t="n"/>
      <c r="G641" s="80" t="n"/>
      <c r="H641" s="80" t="n"/>
      <c r="I641" s="80" t="n"/>
      <c r="J641" s="80" t="n"/>
      <c r="K641" s="80" t="n"/>
      <c r="L641" s="80" t="n"/>
      <c r="M641" s="80" t="n"/>
    </row>
    <row r="642">
      <c r="A642" s="80" t="n"/>
      <c r="B642" s="80" t="n"/>
      <c r="C642" s="80" t="n"/>
      <c r="D642" s="80" t="n"/>
      <c r="E642" s="80" t="n"/>
      <c r="F642" s="80" t="n"/>
      <c r="G642" s="80" t="n"/>
      <c r="H642" s="80" t="n"/>
      <c r="I642" s="80" t="n"/>
      <c r="J642" s="80" t="n"/>
      <c r="K642" s="80" t="n"/>
      <c r="L642" s="80" t="n"/>
      <c r="M642" s="80" t="n"/>
    </row>
    <row r="643">
      <c r="A643" s="80" t="n"/>
      <c r="B643" s="80" t="n"/>
      <c r="C643" s="80" t="n"/>
      <c r="D643" s="80" t="n"/>
      <c r="E643" s="80" t="n"/>
      <c r="F643" s="80" t="n"/>
      <c r="G643" s="80" t="n"/>
      <c r="H643" s="80" t="n"/>
      <c r="I643" s="80" t="n"/>
      <c r="J643" s="80" t="n"/>
      <c r="K643" s="80" t="n"/>
      <c r="L643" s="80" t="n"/>
      <c r="M643" s="80" t="n"/>
    </row>
    <row r="644">
      <c r="A644" s="80" t="n"/>
      <c r="B644" s="80" t="n"/>
      <c r="C644" s="80" t="n"/>
      <c r="D644" s="80" t="n"/>
      <c r="E644" s="80" t="n"/>
      <c r="F644" s="80" t="n"/>
      <c r="G644" s="80" t="n"/>
      <c r="H644" s="80" t="n"/>
      <c r="I644" s="80" t="n"/>
      <c r="J644" s="80" t="n"/>
      <c r="K644" s="80" t="n"/>
      <c r="L644" s="80" t="n"/>
      <c r="M644" s="80" t="n"/>
    </row>
    <row r="645">
      <c r="A645" s="80" t="n"/>
      <c r="B645" s="80" t="n"/>
      <c r="C645" s="80" t="n"/>
      <c r="D645" s="80" t="n"/>
      <c r="E645" s="80" t="n"/>
      <c r="F645" s="80" t="n"/>
      <c r="G645" s="80" t="n"/>
      <c r="H645" s="80" t="n"/>
      <c r="I645" s="80" t="n"/>
      <c r="J645" s="80" t="n"/>
      <c r="K645" s="80" t="n"/>
      <c r="L645" s="80" t="n"/>
      <c r="M645" s="80" t="n"/>
    </row>
    <row r="646">
      <c r="A646" s="80" t="n"/>
      <c r="B646" s="80" t="n"/>
      <c r="C646" s="80" t="n"/>
      <c r="D646" s="80" t="n"/>
      <c r="E646" s="80" t="n"/>
      <c r="F646" s="80" t="n"/>
      <c r="G646" s="80" t="n"/>
      <c r="H646" s="80" t="n"/>
      <c r="I646" s="80" t="n"/>
      <c r="J646" s="80" t="n"/>
      <c r="K646" s="80" t="n"/>
      <c r="L646" s="80" t="n"/>
      <c r="M646" s="80" t="n"/>
    </row>
    <row r="647">
      <c r="A647" s="80" t="n"/>
      <c r="B647" s="80" t="n"/>
      <c r="C647" s="80" t="n"/>
      <c r="D647" s="80" t="n"/>
      <c r="E647" s="80" t="n"/>
      <c r="F647" s="80" t="n"/>
      <c r="G647" s="80" t="n"/>
      <c r="H647" s="80" t="n"/>
      <c r="I647" s="80" t="n"/>
      <c r="J647" s="80" t="n"/>
      <c r="K647" s="80" t="n"/>
      <c r="L647" s="80" t="n"/>
      <c r="M647" s="80" t="n"/>
    </row>
    <row r="648">
      <c r="A648" s="80" t="n"/>
      <c r="B648" s="80" t="n"/>
      <c r="C648" s="80" t="n"/>
      <c r="D648" s="80" t="n"/>
      <c r="E648" s="80" t="n"/>
      <c r="F648" s="80" t="n"/>
      <c r="G648" s="80" t="n"/>
      <c r="H648" s="80" t="n"/>
      <c r="I648" s="80" t="n"/>
      <c r="J648" s="80" t="n"/>
      <c r="K648" s="80" t="n"/>
      <c r="L648" s="80" t="n"/>
      <c r="M648" s="80" t="n"/>
    </row>
    <row r="649">
      <c r="A649" s="80" t="n"/>
      <c r="B649" s="80" t="n"/>
      <c r="C649" s="80" t="n"/>
      <c r="D649" s="80" t="n"/>
      <c r="E649" s="80" t="n"/>
      <c r="F649" s="80" t="n"/>
      <c r="G649" s="80" t="n"/>
      <c r="H649" s="80" t="n"/>
      <c r="I649" s="80" t="n"/>
      <c r="J649" s="80" t="n"/>
      <c r="K649" s="80" t="n"/>
      <c r="L649" s="80" t="n"/>
      <c r="M649" s="80" t="n"/>
    </row>
    <row r="650">
      <c r="A650" s="80" t="n"/>
      <c r="B650" s="80" t="n"/>
      <c r="C650" s="80" t="n"/>
      <c r="D650" s="80" t="n"/>
      <c r="E650" s="80" t="n"/>
      <c r="F650" s="80" t="n"/>
      <c r="G650" s="80" t="n"/>
      <c r="H650" s="80" t="n"/>
      <c r="I650" s="80" t="n"/>
      <c r="J650" s="80" t="n"/>
      <c r="K650" s="80" t="n"/>
      <c r="L650" s="80" t="n"/>
      <c r="M650" s="80" t="n"/>
    </row>
    <row r="651">
      <c r="A651" s="80" t="n"/>
      <c r="B651" s="80" t="n"/>
      <c r="C651" s="80" t="n"/>
      <c r="D651" s="80" t="n"/>
      <c r="E651" s="80" t="n"/>
      <c r="F651" s="80" t="n"/>
      <c r="G651" s="80" t="n"/>
      <c r="H651" s="80" t="n"/>
      <c r="I651" s="80" t="n"/>
      <c r="J651" s="80" t="n"/>
      <c r="K651" s="80" t="n"/>
      <c r="L651" s="80" t="n"/>
      <c r="M651" s="80" t="n"/>
    </row>
    <row r="652">
      <c r="A652" s="80" t="n"/>
      <c r="B652" s="80" t="n"/>
      <c r="C652" s="80" t="n"/>
      <c r="D652" s="80" t="n"/>
      <c r="E652" s="80" t="n"/>
      <c r="F652" s="80" t="n"/>
      <c r="G652" s="80" t="n"/>
      <c r="H652" s="80" t="n"/>
      <c r="I652" s="80" t="n"/>
      <c r="J652" s="80" t="n"/>
      <c r="K652" s="80" t="n"/>
      <c r="L652" s="80" t="n"/>
      <c r="M652" s="80" t="n"/>
    </row>
    <row r="653">
      <c r="A653" s="80" t="n"/>
      <c r="B653" s="80" t="n"/>
      <c r="C653" s="80" t="n"/>
      <c r="D653" s="80" t="n"/>
      <c r="E653" s="80" t="n"/>
      <c r="F653" s="80" t="n"/>
      <c r="G653" s="80" t="n"/>
      <c r="H653" s="80" t="n"/>
      <c r="I653" s="80" t="n"/>
      <c r="J653" s="80" t="n"/>
      <c r="K653" s="80" t="n"/>
      <c r="L653" s="80" t="n"/>
      <c r="M653" s="80" t="n"/>
    </row>
    <row r="654">
      <c r="A654" s="80" t="n"/>
      <c r="B654" s="80" t="n"/>
      <c r="C654" s="80" t="n"/>
      <c r="D654" s="80" t="n"/>
      <c r="E654" s="80" t="n"/>
      <c r="F654" s="80" t="n"/>
      <c r="G654" s="80" t="n"/>
      <c r="H654" s="80" t="n"/>
      <c r="I654" s="80" t="n"/>
      <c r="J654" s="80" t="n"/>
      <c r="K654" s="80" t="n"/>
      <c r="L654" s="80" t="n"/>
      <c r="M654" s="80" t="n"/>
    </row>
    <row r="655">
      <c r="A655" s="80" t="n"/>
      <c r="B655" s="80" t="n"/>
      <c r="C655" s="80" t="n"/>
      <c r="D655" s="80" t="n"/>
      <c r="E655" s="80" t="n"/>
      <c r="F655" s="80" t="n"/>
      <c r="G655" s="80" t="n"/>
      <c r="H655" s="80" t="n"/>
      <c r="I655" s="80" t="n"/>
      <c r="J655" s="80" t="n"/>
      <c r="K655" s="80" t="n"/>
      <c r="L655" s="80" t="n"/>
      <c r="M655" s="80" t="n"/>
    </row>
    <row r="656">
      <c r="A656" s="80" t="n"/>
      <c r="B656" s="80" t="n"/>
      <c r="C656" s="80" t="n"/>
      <c r="D656" s="80" t="n"/>
      <c r="E656" s="80" t="n"/>
      <c r="F656" s="80" t="n"/>
      <c r="G656" s="80" t="n"/>
      <c r="H656" s="80" t="n"/>
      <c r="I656" s="80" t="n"/>
      <c r="J656" s="80" t="n"/>
      <c r="K656" s="80" t="n"/>
      <c r="L656" s="80" t="n"/>
      <c r="M656" s="80" t="n"/>
    </row>
    <row r="657">
      <c r="A657" s="80" t="n"/>
      <c r="B657" s="80" t="n"/>
      <c r="C657" s="80" t="n"/>
      <c r="D657" s="80" t="n"/>
      <c r="E657" s="80" t="n"/>
      <c r="F657" s="80" t="n"/>
      <c r="G657" s="80" t="n"/>
      <c r="H657" s="80" t="n"/>
      <c r="I657" s="80" t="n"/>
      <c r="J657" s="80" t="n"/>
      <c r="K657" s="80" t="n"/>
      <c r="L657" s="80" t="n"/>
      <c r="M657" s="80" t="n"/>
    </row>
    <row r="658">
      <c r="A658" s="80" t="n"/>
      <c r="B658" s="80" t="n"/>
      <c r="C658" s="80" t="n"/>
      <c r="D658" s="80" t="n"/>
      <c r="E658" s="80" t="n"/>
      <c r="F658" s="80" t="n"/>
      <c r="G658" s="80" t="n"/>
      <c r="H658" s="80" t="n"/>
      <c r="I658" s="80" t="n"/>
      <c r="J658" s="80" t="n"/>
      <c r="K658" s="80" t="n"/>
      <c r="L658" s="80" t="n"/>
      <c r="M658" s="80" t="n"/>
    </row>
    <row r="659">
      <c r="A659" s="80" t="n"/>
      <c r="B659" s="80" t="n"/>
      <c r="C659" s="80" t="n"/>
      <c r="D659" s="80" t="n"/>
      <c r="E659" s="80" t="n"/>
      <c r="F659" s="80" t="n"/>
      <c r="G659" s="80" t="n"/>
      <c r="H659" s="80" t="n"/>
      <c r="I659" s="80" t="n"/>
      <c r="J659" s="80" t="n"/>
      <c r="K659" s="80" t="n"/>
      <c r="L659" s="80" t="n"/>
      <c r="M659" s="80" t="n"/>
    </row>
    <row r="660">
      <c r="A660" s="80" t="n"/>
      <c r="B660" s="80" t="n"/>
      <c r="C660" s="80" t="n"/>
      <c r="D660" s="80" t="n"/>
      <c r="E660" s="80" t="n"/>
      <c r="F660" s="80" t="n"/>
      <c r="G660" s="80" t="n"/>
      <c r="H660" s="80" t="n"/>
      <c r="I660" s="80" t="n"/>
      <c r="J660" s="80" t="n"/>
      <c r="K660" s="80" t="n"/>
      <c r="L660" s="80" t="n"/>
      <c r="M660" s="80" t="n"/>
    </row>
    <row r="661">
      <c r="A661" s="80" t="n"/>
      <c r="B661" s="80" t="n"/>
      <c r="C661" s="80" t="n"/>
      <c r="D661" s="80" t="n"/>
      <c r="E661" s="80" t="n"/>
      <c r="F661" s="80" t="n"/>
      <c r="G661" s="80" t="n"/>
      <c r="H661" s="80" t="n"/>
      <c r="I661" s="80" t="n"/>
      <c r="J661" s="80" t="n"/>
      <c r="K661" s="80" t="n"/>
      <c r="L661" s="80" t="n"/>
      <c r="M661" s="80" t="n"/>
    </row>
    <row r="662">
      <c r="A662" s="80" t="n"/>
      <c r="B662" s="80" t="n"/>
      <c r="C662" s="80" t="n"/>
      <c r="D662" s="80" t="n"/>
      <c r="E662" s="80" t="n"/>
      <c r="F662" s="80" t="n"/>
      <c r="G662" s="80" t="n"/>
      <c r="H662" s="80" t="n"/>
      <c r="I662" s="80" t="n"/>
      <c r="J662" s="80" t="n"/>
      <c r="K662" s="80" t="n"/>
      <c r="L662" s="80" t="n"/>
      <c r="M662" s="80" t="n"/>
    </row>
    <row r="663">
      <c r="A663" s="80" t="n"/>
      <c r="B663" s="80" t="n"/>
      <c r="C663" s="80" t="n"/>
      <c r="D663" s="80" t="n"/>
      <c r="E663" s="80" t="n"/>
      <c r="F663" s="80" t="n"/>
      <c r="G663" s="80" t="n"/>
      <c r="H663" s="80" t="n"/>
      <c r="I663" s="80" t="n"/>
      <c r="J663" s="80" t="n"/>
      <c r="K663" s="80" t="n"/>
      <c r="L663" s="80" t="n"/>
      <c r="M663" s="80" t="n"/>
    </row>
    <row r="664">
      <c r="A664" s="80" t="n"/>
      <c r="B664" s="80" t="n"/>
      <c r="C664" s="80" t="n"/>
      <c r="D664" s="80" t="n"/>
      <c r="E664" s="80" t="n"/>
      <c r="F664" s="80" t="n"/>
      <c r="G664" s="80" t="n"/>
      <c r="H664" s="80" t="n"/>
      <c r="I664" s="80" t="n"/>
      <c r="J664" s="80" t="n"/>
      <c r="K664" s="80" t="n"/>
      <c r="L664" s="80" t="n"/>
      <c r="M664" s="80" t="n"/>
    </row>
    <row r="665">
      <c r="A665" s="80" t="n"/>
      <c r="B665" s="80" t="n"/>
      <c r="C665" s="80" t="n"/>
      <c r="D665" s="80" t="n"/>
      <c r="E665" s="80" t="n"/>
      <c r="F665" s="80" t="n"/>
      <c r="G665" s="80" t="n"/>
      <c r="H665" s="80" t="n"/>
      <c r="I665" s="80" t="n"/>
      <c r="J665" s="80" t="n"/>
      <c r="K665" s="80" t="n"/>
      <c r="L665" s="80" t="n"/>
      <c r="M665" s="80" t="n"/>
    </row>
    <row r="666">
      <c r="A666" s="80" t="n"/>
      <c r="B666" s="80" t="n"/>
      <c r="C666" s="80" t="n"/>
      <c r="D666" s="80" t="n"/>
      <c r="E666" s="80" t="n"/>
      <c r="F666" s="80" t="n"/>
      <c r="G666" s="80" t="n"/>
      <c r="H666" s="80" t="n"/>
      <c r="I666" s="80" t="n"/>
      <c r="J666" s="80" t="n"/>
      <c r="K666" s="80" t="n"/>
      <c r="L666" s="80" t="n"/>
      <c r="M666" s="80" t="n"/>
    </row>
    <row r="667">
      <c r="A667" s="80" t="n"/>
      <c r="B667" s="80" t="n"/>
      <c r="C667" s="80" t="n"/>
      <c r="D667" s="80" t="n"/>
      <c r="E667" s="80" t="n"/>
      <c r="F667" s="80" t="n"/>
      <c r="G667" s="80" t="n"/>
      <c r="H667" s="80" t="n"/>
      <c r="I667" s="80" t="n"/>
      <c r="J667" s="80" t="n"/>
      <c r="K667" s="80" t="n"/>
      <c r="L667" s="80" t="n"/>
      <c r="M667" s="80" t="n"/>
    </row>
    <row r="668">
      <c r="A668" s="80" t="n"/>
      <c r="B668" s="80" t="n"/>
      <c r="C668" s="80" t="n"/>
      <c r="D668" s="80" t="n"/>
      <c r="E668" s="80" t="n"/>
      <c r="F668" s="80" t="n"/>
      <c r="G668" s="80" t="n"/>
      <c r="H668" s="80" t="n"/>
      <c r="I668" s="80" t="n"/>
      <c r="J668" s="80" t="n"/>
      <c r="K668" s="80" t="n"/>
      <c r="L668" s="80" t="n"/>
      <c r="M668" s="80" t="n"/>
    </row>
    <row r="669">
      <c r="A669" s="80" t="n"/>
      <c r="B669" s="80" t="n"/>
      <c r="C669" s="80" t="n"/>
      <c r="D669" s="80" t="n"/>
      <c r="E669" s="80" t="n"/>
      <c r="F669" s="80" t="n"/>
      <c r="G669" s="80" t="n"/>
      <c r="H669" s="80" t="n"/>
      <c r="I669" s="80" t="n"/>
      <c r="J669" s="80" t="n"/>
      <c r="K669" s="80" t="n"/>
      <c r="L669" s="80" t="n"/>
      <c r="M669" s="80" t="n"/>
    </row>
    <row r="670">
      <c r="A670" s="80" t="n"/>
      <c r="B670" s="80" t="n"/>
      <c r="C670" s="80" t="n"/>
      <c r="D670" s="80" t="n"/>
      <c r="E670" s="80" t="n"/>
      <c r="F670" s="80" t="n"/>
      <c r="G670" s="80" t="n"/>
      <c r="H670" s="80" t="n"/>
      <c r="I670" s="80" t="n"/>
      <c r="J670" s="80" t="n"/>
      <c r="K670" s="80" t="n"/>
      <c r="L670" s="80" t="n"/>
      <c r="M670" s="80" t="n"/>
    </row>
    <row r="671">
      <c r="A671" s="80" t="n"/>
      <c r="B671" s="80" t="n"/>
      <c r="C671" s="80" t="n"/>
      <c r="D671" s="80" t="n"/>
      <c r="E671" s="80" t="n"/>
      <c r="F671" s="80" t="n"/>
      <c r="G671" s="80" t="n"/>
      <c r="H671" s="80" t="n"/>
      <c r="I671" s="80" t="n"/>
      <c r="J671" s="80" t="n"/>
      <c r="K671" s="80" t="n"/>
      <c r="L671" s="80" t="n"/>
      <c r="M671" s="80" t="n"/>
    </row>
    <row r="672">
      <c r="A672" s="80" t="n"/>
      <c r="B672" s="80" t="n"/>
      <c r="C672" s="80" t="n"/>
      <c r="D672" s="80" t="n"/>
      <c r="E672" s="80" t="n"/>
      <c r="F672" s="80" t="n"/>
      <c r="G672" s="80" t="n"/>
      <c r="H672" s="80" t="n"/>
      <c r="I672" s="80" t="n"/>
      <c r="J672" s="80" t="n"/>
      <c r="K672" s="80" t="n"/>
      <c r="L672" s="80" t="n"/>
      <c r="M672" s="80" t="n"/>
    </row>
    <row r="673">
      <c r="A673" s="80" t="n"/>
      <c r="B673" s="80" t="n"/>
      <c r="C673" s="80" t="n"/>
      <c r="D673" s="80" t="n"/>
      <c r="E673" s="80" t="n"/>
      <c r="F673" s="80" t="n"/>
      <c r="G673" s="80" t="n"/>
      <c r="H673" s="80" t="n"/>
      <c r="I673" s="80" t="n"/>
      <c r="J673" s="80" t="n"/>
      <c r="K673" s="80" t="n"/>
      <c r="L673" s="80" t="n"/>
      <c r="M673" s="80" t="n"/>
    </row>
    <row r="674">
      <c r="A674" s="80" t="n"/>
      <c r="B674" s="80" t="n"/>
      <c r="C674" s="80" t="n"/>
      <c r="D674" s="80" t="n"/>
      <c r="E674" s="80" t="n"/>
      <c r="F674" s="80" t="n"/>
      <c r="G674" s="80" t="n"/>
      <c r="H674" s="80" t="n"/>
      <c r="I674" s="80" t="n"/>
      <c r="J674" s="80" t="n"/>
      <c r="K674" s="80" t="n"/>
      <c r="L674" s="80" t="n"/>
      <c r="M674" s="80" t="n"/>
    </row>
    <row r="675">
      <c r="A675" s="80" t="n"/>
      <c r="B675" s="80" t="n"/>
      <c r="C675" s="80" t="n"/>
      <c r="D675" s="80" t="n"/>
      <c r="E675" s="80" t="n"/>
      <c r="F675" s="80" t="n"/>
      <c r="G675" s="80" t="n"/>
      <c r="H675" s="80" t="n"/>
      <c r="I675" s="80" t="n"/>
      <c r="J675" s="80" t="n"/>
      <c r="K675" s="80" t="n"/>
      <c r="L675" s="80" t="n"/>
      <c r="M675" s="80" t="n"/>
    </row>
    <row r="676">
      <c r="A676" s="80" t="n"/>
      <c r="B676" s="80" t="n"/>
      <c r="C676" s="80" t="n"/>
      <c r="D676" s="80" t="n"/>
      <c r="E676" s="80" t="n"/>
      <c r="F676" s="80" t="n"/>
      <c r="G676" s="80" t="n"/>
      <c r="H676" s="80" t="n"/>
      <c r="I676" s="80" t="n"/>
      <c r="J676" s="80" t="n"/>
      <c r="K676" s="80" t="n"/>
      <c r="L676" s="80" t="n"/>
      <c r="M676" s="80" t="n"/>
    </row>
    <row r="677">
      <c r="A677" s="80" t="n"/>
      <c r="B677" s="80" t="n"/>
      <c r="C677" s="80" t="n"/>
      <c r="D677" s="80" t="n"/>
      <c r="E677" s="80" t="n"/>
      <c r="F677" s="80" t="n"/>
      <c r="G677" s="80" t="n"/>
      <c r="H677" s="80" t="n"/>
      <c r="I677" s="80" t="n"/>
      <c r="J677" s="80" t="n"/>
      <c r="K677" s="80" t="n"/>
      <c r="L677" s="80" t="n"/>
      <c r="M677" s="80" t="n"/>
    </row>
    <row r="678">
      <c r="A678" s="80" t="n"/>
      <c r="B678" s="80" t="n"/>
      <c r="C678" s="80" t="n"/>
      <c r="D678" s="80" t="n"/>
      <c r="E678" s="80" t="n"/>
      <c r="F678" s="80" t="n"/>
      <c r="G678" s="80" t="n"/>
      <c r="H678" s="80" t="n"/>
      <c r="I678" s="80" t="n"/>
      <c r="J678" s="80" t="n"/>
      <c r="K678" s="80" t="n"/>
      <c r="L678" s="80" t="n"/>
      <c r="M678" s="80" t="n"/>
    </row>
    <row r="679">
      <c r="A679" s="80" t="n"/>
      <c r="B679" s="80" t="n"/>
      <c r="C679" s="80" t="n"/>
      <c r="D679" s="80" t="n"/>
      <c r="E679" s="80" t="n"/>
      <c r="F679" s="80" t="n"/>
      <c r="G679" s="80" t="n"/>
      <c r="H679" s="80" t="n"/>
      <c r="I679" s="80" t="n"/>
      <c r="J679" s="80" t="n"/>
      <c r="K679" s="80" t="n"/>
      <c r="L679" s="80" t="n"/>
      <c r="M679" s="80" t="n"/>
    </row>
    <row r="680">
      <c r="A680" s="80" t="n"/>
      <c r="B680" s="80" t="n"/>
      <c r="C680" s="80" t="n"/>
      <c r="D680" s="80" t="n"/>
      <c r="E680" s="80" t="n"/>
      <c r="F680" s="80" t="n"/>
      <c r="G680" s="80" t="n"/>
      <c r="H680" s="80" t="n"/>
      <c r="I680" s="80" t="n"/>
      <c r="J680" s="80" t="n"/>
      <c r="K680" s="80" t="n"/>
      <c r="L680" s="80" t="n"/>
      <c r="M680" s="80" t="n"/>
    </row>
    <row r="681">
      <c r="A681" s="80" t="n"/>
      <c r="B681" s="80" t="n"/>
      <c r="C681" s="80" t="n"/>
      <c r="D681" s="80" t="n"/>
      <c r="E681" s="80" t="n"/>
      <c r="F681" s="80" t="n"/>
      <c r="G681" s="80" t="n"/>
      <c r="H681" s="80" t="n"/>
      <c r="I681" s="80" t="n"/>
      <c r="J681" s="80" t="n"/>
      <c r="K681" s="80" t="n"/>
      <c r="L681" s="80" t="n"/>
      <c r="M681" s="80" t="n"/>
    </row>
    <row r="682">
      <c r="A682" s="80" t="n"/>
      <c r="B682" s="80" t="n"/>
      <c r="C682" s="80" t="n"/>
      <c r="D682" s="80" t="n"/>
      <c r="E682" s="80" t="n"/>
      <c r="F682" s="80" t="n"/>
      <c r="G682" s="80" t="n"/>
      <c r="H682" s="80" t="n"/>
      <c r="I682" s="80" t="n"/>
      <c r="J682" s="80" t="n"/>
      <c r="K682" s="80" t="n"/>
      <c r="L682" s="80" t="n"/>
      <c r="M682" s="80" t="n"/>
    </row>
    <row r="683">
      <c r="A683" s="80" t="n"/>
      <c r="B683" s="80" t="n"/>
      <c r="C683" s="80" t="n"/>
      <c r="D683" s="80" t="n"/>
      <c r="E683" s="80" t="n"/>
      <c r="F683" s="80" t="n"/>
      <c r="G683" s="80" t="n"/>
      <c r="H683" s="80" t="n"/>
      <c r="I683" s="80" t="n"/>
      <c r="J683" s="80" t="n"/>
      <c r="K683" s="80" t="n"/>
      <c r="L683" s="80" t="n"/>
      <c r="M683" s="80" t="n"/>
    </row>
    <row r="684">
      <c r="A684" s="80" t="n"/>
      <c r="B684" s="80" t="n"/>
      <c r="C684" s="80" t="n"/>
      <c r="D684" s="80" t="n"/>
      <c r="E684" s="80" t="n"/>
      <c r="F684" s="80" t="n"/>
      <c r="G684" s="80" t="n"/>
      <c r="H684" s="80" t="n"/>
      <c r="I684" s="80" t="n"/>
      <c r="J684" s="80" t="n"/>
      <c r="K684" s="80" t="n"/>
      <c r="L684" s="80" t="n"/>
      <c r="M684" s="80" t="n"/>
    </row>
    <row r="685">
      <c r="A685" s="80" t="n"/>
      <c r="B685" s="80" t="n"/>
      <c r="C685" s="80" t="n"/>
      <c r="D685" s="80" t="n"/>
      <c r="E685" s="80" t="n"/>
      <c r="F685" s="80" t="n"/>
      <c r="G685" s="80" t="n"/>
      <c r="H685" s="80" t="n"/>
      <c r="I685" s="80" t="n"/>
      <c r="J685" s="80" t="n"/>
      <c r="K685" s="80" t="n"/>
      <c r="L685" s="80" t="n"/>
      <c r="M685" s="80" t="n"/>
    </row>
    <row r="686">
      <c r="A686" s="80" t="n"/>
      <c r="B686" s="80" t="n"/>
      <c r="C686" s="80" t="n"/>
      <c r="D686" s="80" t="n"/>
      <c r="E686" s="80" t="n"/>
      <c r="F686" s="80" t="n"/>
      <c r="G686" s="80" t="n"/>
      <c r="H686" s="80" t="n"/>
      <c r="I686" s="80" t="n"/>
      <c r="J686" s="80" t="n"/>
      <c r="K686" s="80" t="n"/>
      <c r="L686" s="80" t="n"/>
      <c r="M686" s="80" t="n"/>
    </row>
    <row r="687">
      <c r="A687" s="80" t="n"/>
      <c r="B687" s="80" t="n"/>
      <c r="C687" s="80" t="n"/>
      <c r="D687" s="80" t="n"/>
      <c r="E687" s="80" t="n"/>
      <c r="F687" s="80" t="n"/>
      <c r="G687" s="80" t="n"/>
      <c r="H687" s="80" t="n"/>
      <c r="I687" s="80" t="n"/>
      <c r="J687" s="80" t="n"/>
      <c r="K687" s="80" t="n"/>
      <c r="L687" s="80" t="n"/>
      <c r="M687" s="80" t="n"/>
    </row>
    <row r="688">
      <c r="A688" s="80" t="n"/>
      <c r="B688" s="80" t="n"/>
      <c r="C688" s="80" t="n"/>
      <c r="D688" s="80" t="n"/>
      <c r="E688" s="80" t="n"/>
      <c r="F688" s="80" t="n"/>
      <c r="G688" s="80" t="n"/>
      <c r="H688" s="80" t="n"/>
      <c r="I688" s="80" t="n"/>
      <c r="J688" s="80" t="n"/>
      <c r="K688" s="80" t="n"/>
      <c r="L688" s="80" t="n"/>
      <c r="M688" s="80" t="n"/>
    </row>
    <row r="689">
      <c r="A689" s="80" t="n"/>
      <c r="B689" s="80" t="n"/>
      <c r="C689" s="80" t="n"/>
      <c r="D689" s="80" t="n"/>
      <c r="E689" s="80" t="n"/>
      <c r="F689" s="80" t="n"/>
      <c r="G689" s="80" t="n"/>
      <c r="H689" s="80" t="n"/>
      <c r="I689" s="80" t="n"/>
      <c r="J689" s="80" t="n"/>
      <c r="K689" s="80" t="n"/>
      <c r="L689" s="80" t="n"/>
      <c r="M689" s="80" t="n"/>
    </row>
    <row r="690">
      <c r="A690" s="80" t="n"/>
      <c r="B690" s="80" t="n"/>
      <c r="C690" s="80" t="n"/>
      <c r="D690" s="80" t="n"/>
      <c r="E690" s="80" t="n"/>
      <c r="F690" s="80" t="n"/>
      <c r="G690" s="80" t="n"/>
      <c r="H690" s="80" t="n"/>
      <c r="I690" s="80" t="n"/>
      <c r="J690" s="80" t="n"/>
      <c r="K690" s="80" t="n"/>
      <c r="L690" s="80" t="n"/>
      <c r="M690" s="80" t="n"/>
    </row>
    <row r="691">
      <c r="A691" s="80" t="n"/>
      <c r="B691" s="80" t="n"/>
      <c r="C691" s="80" t="n"/>
      <c r="D691" s="80" t="n"/>
      <c r="E691" s="80" t="n"/>
      <c r="F691" s="80" t="n"/>
      <c r="G691" s="80" t="n"/>
      <c r="H691" s="80" t="n"/>
      <c r="I691" s="80" t="n"/>
      <c r="J691" s="80" t="n"/>
      <c r="K691" s="80" t="n"/>
      <c r="L691" s="80" t="n"/>
      <c r="M691" s="80" t="n"/>
    </row>
    <row r="692">
      <c r="A692" s="80" t="n"/>
      <c r="B692" s="80" t="n"/>
      <c r="C692" s="80" t="n"/>
      <c r="D692" s="80" t="n"/>
      <c r="E692" s="80" t="n"/>
      <c r="F692" s="80" t="n"/>
      <c r="G692" s="80" t="n"/>
      <c r="H692" s="80" t="n"/>
      <c r="I692" s="80" t="n"/>
      <c r="J692" s="80" t="n"/>
      <c r="K692" s="80" t="n"/>
      <c r="L692" s="80" t="n"/>
      <c r="M692" s="80" t="n"/>
    </row>
    <row r="693">
      <c r="A693" s="80" t="n"/>
      <c r="B693" s="80" t="n"/>
      <c r="C693" s="80" t="n"/>
      <c r="D693" s="80" t="n"/>
      <c r="E693" s="80" t="n"/>
      <c r="F693" s="80" t="n"/>
      <c r="G693" s="80" t="n"/>
      <c r="H693" s="80" t="n"/>
      <c r="I693" s="80" t="n"/>
      <c r="J693" s="80" t="n"/>
      <c r="K693" s="80" t="n"/>
      <c r="L693" s="80" t="n"/>
      <c r="M693" s="80" t="n"/>
    </row>
    <row r="694">
      <c r="A694" s="80" t="n"/>
      <c r="B694" s="80" t="n"/>
      <c r="C694" s="80" t="n"/>
      <c r="D694" s="80" t="n"/>
      <c r="E694" s="80" t="n"/>
      <c r="F694" s="80" t="n"/>
      <c r="G694" s="80" t="n"/>
      <c r="H694" s="80" t="n"/>
      <c r="I694" s="80" t="n"/>
      <c r="J694" s="80" t="n"/>
      <c r="K694" s="80" t="n"/>
      <c r="L694" s="80" t="n"/>
      <c r="M694" s="80" t="n"/>
    </row>
    <row r="695">
      <c r="A695" s="80" t="n"/>
      <c r="B695" s="80" t="n"/>
      <c r="C695" s="80" t="n"/>
      <c r="D695" s="80" t="n"/>
      <c r="E695" s="80" t="n"/>
      <c r="F695" s="80" t="n"/>
      <c r="G695" s="80" t="n"/>
      <c r="H695" s="80" t="n"/>
      <c r="I695" s="80" t="n"/>
      <c r="J695" s="80" t="n"/>
      <c r="K695" s="80" t="n"/>
      <c r="L695" s="80" t="n"/>
      <c r="M695" s="80" t="n"/>
    </row>
    <row r="696">
      <c r="A696" s="80" t="n"/>
      <c r="B696" s="80" t="n"/>
      <c r="C696" s="80" t="n"/>
      <c r="D696" s="80" t="n"/>
      <c r="E696" s="80" t="n"/>
      <c r="F696" s="80" t="n"/>
      <c r="G696" s="80" t="n"/>
      <c r="H696" s="80" t="n"/>
      <c r="I696" s="80" t="n"/>
      <c r="J696" s="80" t="n"/>
      <c r="K696" s="80" t="n"/>
      <c r="L696" s="80" t="n"/>
      <c r="M696" s="80" t="n"/>
    </row>
    <row r="697">
      <c r="A697" s="80" t="n"/>
      <c r="B697" s="80" t="n"/>
      <c r="C697" s="80" t="n"/>
      <c r="D697" s="80" t="n"/>
      <c r="E697" s="80" t="n"/>
      <c r="F697" s="80" t="n"/>
      <c r="G697" s="80" t="n"/>
      <c r="H697" s="80" t="n"/>
      <c r="I697" s="80" t="n"/>
      <c r="J697" s="80" t="n"/>
      <c r="K697" s="80" t="n"/>
      <c r="L697" s="80" t="n"/>
      <c r="M697" s="80" t="n"/>
    </row>
    <row r="698">
      <c r="A698" s="80" t="n"/>
      <c r="B698" s="80" t="n"/>
      <c r="C698" s="80" t="n"/>
      <c r="D698" s="80" t="n"/>
      <c r="E698" s="80" t="n"/>
      <c r="F698" s="80" t="n"/>
      <c r="G698" s="80" t="n"/>
      <c r="H698" s="80" t="n"/>
      <c r="I698" s="80" t="n"/>
      <c r="J698" s="80" t="n"/>
      <c r="K698" s="80" t="n"/>
      <c r="L698" s="80" t="n"/>
      <c r="M698" s="80" t="n"/>
    </row>
    <row r="699">
      <c r="A699" s="80" t="n"/>
      <c r="B699" s="80" t="n"/>
      <c r="C699" s="80" t="n"/>
      <c r="D699" s="80" t="n"/>
      <c r="E699" s="80" t="n"/>
      <c r="F699" s="80" t="n"/>
      <c r="G699" s="80" t="n"/>
      <c r="H699" s="80" t="n"/>
      <c r="I699" s="80" t="n"/>
      <c r="J699" s="80" t="n"/>
      <c r="K699" s="80" t="n"/>
      <c r="L699" s="80" t="n"/>
      <c r="M699" s="80" t="n"/>
    </row>
    <row r="700">
      <c r="A700" s="80" t="n"/>
      <c r="B700" s="80" t="n"/>
      <c r="C700" s="80" t="n"/>
      <c r="D700" s="80" t="n"/>
      <c r="E700" s="80" t="n"/>
      <c r="F700" s="80" t="n"/>
      <c r="G700" s="80" t="n"/>
      <c r="H700" s="80" t="n"/>
      <c r="I700" s="80" t="n"/>
      <c r="J700" s="80" t="n"/>
      <c r="K700" s="80" t="n"/>
      <c r="L700" s="80" t="n"/>
      <c r="M700" s="80" t="n"/>
    </row>
    <row r="701">
      <c r="A701" s="80" t="n"/>
      <c r="B701" s="80" t="n"/>
      <c r="C701" s="80" t="n"/>
      <c r="D701" s="80" t="n"/>
      <c r="E701" s="80" t="n"/>
      <c r="F701" s="80" t="n"/>
      <c r="G701" s="80" t="n"/>
      <c r="H701" s="80" t="n"/>
      <c r="I701" s="80" t="n"/>
      <c r="J701" s="80" t="n"/>
      <c r="K701" s="80" t="n"/>
      <c r="L701" s="80" t="n"/>
      <c r="M701" s="80" t="n"/>
    </row>
    <row r="702">
      <c r="A702" s="80" t="n"/>
      <c r="B702" s="80" t="n"/>
      <c r="C702" s="80" t="n"/>
      <c r="D702" s="80" t="n"/>
      <c r="E702" s="80" t="n"/>
      <c r="F702" s="80" t="n"/>
      <c r="G702" s="80" t="n"/>
      <c r="H702" s="80" t="n"/>
      <c r="I702" s="80" t="n"/>
      <c r="J702" s="80" t="n"/>
      <c r="K702" s="80" t="n"/>
      <c r="L702" s="80" t="n"/>
      <c r="M702" s="80" t="n"/>
    </row>
    <row r="703">
      <c r="A703" s="80" t="n"/>
      <c r="B703" s="80" t="n"/>
      <c r="C703" s="80" t="n"/>
      <c r="D703" s="80" t="n"/>
      <c r="E703" s="80" t="n"/>
      <c r="F703" s="80" t="n"/>
      <c r="G703" s="80" t="n"/>
      <c r="H703" s="80" t="n"/>
      <c r="I703" s="80" t="n"/>
      <c r="J703" s="80" t="n"/>
      <c r="K703" s="80" t="n"/>
      <c r="L703" s="80" t="n"/>
      <c r="M703" s="80" t="n"/>
    </row>
    <row r="704">
      <c r="A704" s="80" t="n"/>
      <c r="B704" s="80" t="n"/>
      <c r="C704" s="80" t="n"/>
      <c r="D704" s="80" t="n"/>
      <c r="E704" s="80" t="n"/>
      <c r="F704" s="80" t="n"/>
      <c r="G704" s="80" t="n"/>
      <c r="H704" s="80" t="n"/>
      <c r="I704" s="80" t="n"/>
      <c r="J704" s="80" t="n"/>
      <c r="K704" s="80" t="n"/>
      <c r="L704" s="80" t="n"/>
      <c r="M704" s="80" t="n"/>
    </row>
    <row r="705">
      <c r="A705" s="80" t="n"/>
      <c r="B705" s="80" t="n"/>
      <c r="C705" s="80" t="n"/>
      <c r="D705" s="80" t="n"/>
      <c r="E705" s="80" t="n"/>
      <c r="F705" s="80" t="n"/>
      <c r="G705" s="80" t="n"/>
      <c r="H705" s="80" t="n"/>
      <c r="I705" s="80" t="n"/>
      <c r="J705" s="80" t="n"/>
      <c r="K705" s="80" t="n"/>
      <c r="L705" s="80" t="n"/>
      <c r="M705" s="80" t="n"/>
    </row>
    <row r="706">
      <c r="A706" s="80" t="n"/>
      <c r="B706" s="80" t="n"/>
      <c r="C706" s="80" t="n"/>
      <c r="D706" s="80" t="n"/>
      <c r="E706" s="80" t="n"/>
      <c r="F706" s="80" t="n"/>
      <c r="G706" s="80" t="n"/>
      <c r="H706" s="80" t="n"/>
      <c r="I706" s="80" t="n"/>
      <c r="J706" s="80" t="n"/>
      <c r="K706" s="80" t="n"/>
      <c r="L706" s="80" t="n"/>
      <c r="M706" s="80" t="n"/>
    </row>
    <row r="707">
      <c r="A707" s="80" t="n"/>
      <c r="B707" s="80" t="n"/>
      <c r="C707" s="80" t="n"/>
      <c r="D707" s="80" t="n"/>
      <c r="E707" s="80" t="n"/>
      <c r="F707" s="80" t="n"/>
      <c r="G707" s="80" t="n"/>
      <c r="H707" s="80" t="n"/>
      <c r="I707" s="80" t="n"/>
      <c r="J707" s="80" t="n"/>
      <c r="K707" s="80" t="n"/>
      <c r="L707" s="80" t="n"/>
      <c r="M707" s="80" t="n"/>
    </row>
    <row r="708">
      <c r="A708" s="80" t="n"/>
      <c r="B708" s="80" t="n"/>
      <c r="C708" s="80" t="n"/>
      <c r="D708" s="80" t="n"/>
      <c r="E708" s="80" t="n"/>
      <c r="F708" s="80" t="n"/>
      <c r="G708" s="80" t="n"/>
      <c r="H708" s="80" t="n"/>
      <c r="I708" s="80" t="n"/>
      <c r="J708" s="80" t="n"/>
      <c r="K708" s="80" t="n"/>
      <c r="L708" s="80" t="n"/>
      <c r="M708" s="80" t="n"/>
    </row>
    <row r="709">
      <c r="A709" s="80" t="n"/>
      <c r="B709" s="80" t="n"/>
      <c r="C709" s="80" t="n"/>
      <c r="D709" s="80" t="n"/>
      <c r="E709" s="80" t="n"/>
      <c r="F709" s="80" t="n"/>
      <c r="G709" s="80" t="n"/>
      <c r="H709" s="80" t="n"/>
      <c r="I709" s="80" t="n"/>
      <c r="J709" s="80" t="n"/>
      <c r="K709" s="80" t="n"/>
      <c r="L709" s="80" t="n"/>
      <c r="M709" s="80" t="n"/>
    </row>
    <row r="710">
      <c r="A710" s="80" t="n"/>
      <c r="B710" s="80" t="n"/>
      <c r="C710" s="80" t="n"/>
      <c r="D710" s="80" t="n"/>
      <c r="E710" s="80" t="n"/>
      <c r="F710" s="80" t="n"/>
      <c r="G710" s="80" t="n"/>
      <c r="H710" s="80" t="n"/>
      <c r="I710" s="80" t="n"/>
      <c r="J710" s="80" t="n"/>
      <c r="K710" s="80" t="n"/>
      <c r="L710" s="80" t="n"/>
      <c r="M710" s="80" t="n"/>
    </row>
    <row r="711">
      <c r="A711" s="80" t="n"/>
      <c r="B711" s="80" t="n"/>
      <c r="C711" s="80" t="n"/>
      <c r="D711" s="80" t="n"/>
      <c r="E711" s="80" t="n"/>
      <c r="F711" s="80" t="n"/>
      <c r="G711" s="80" t="n"/>
      <c r="H711" s="80" t="n"/>
      <c r="I711" s="80" t="n"/>
      <c r="J711" s="80" t="n"/>
      <c r="K711" s="80" t="n"/>
      <c r="L711" s="80" t="n"/>
      <c r="M711" s="80" t="n"/>
    </row>
    <row r="712">
      <c r="A712" s="80" t="n"/>
      <c r="B712" s="80" t="n"/>
      <c r="C712" s="80" t="n"/>
      <c r="D712" s="80" t="n"/>
      <c r="E712" s="80" t="n"/>
      <c r="F712" s="80" t="n"/>
      <c r="G712" s="80" t="n"/>
      <c r="H712" s="80" t="n"/>
      <c r="I712" s="80" t="n"/>
      <c r="J712" s="80" t="n"/>
      <c r="K712" s="80" t="n"/>
      <c r="L712" s="80" t="n"/>
      <c r="M712" s="80" t="n"/>
    </row>
    <row r="713">
      <c r="A713" s="80" t="n"/>
      <c r="B713" s="80" t="n"/>
      <c r="C713" s="80" t="n"/>
      <c r="D713" s="80" t="n"/>
      <c r="E713" s="80" t="n"/>
      <c r="F713" s="80" t="n"/>
      <c r="G713" s="80" t="n"/>
      <c r="H713" s="80" t="n"/>
      <c r="I713" s="80" t="n"/>
      <c r="J713" s="80" t="n"/>
      <c r="K713" s="80" t="n"/>
      <c r="L713" s="80" t="n"/>
      <c r="M713" s="80" t="n"/>
    </row>
    <row r="714">
      <c r="A714" s="80" t="n"/>
      <c r="B714" s="80" t="n"/>
      <c r="C714" s="80" t="n"/>
      <c r="D714" s="80" t="n"/>
      <c r="E714" s="80" t="n"/>
      <c r="F714" s="80" t="n"/>
      <c r="G714" s="80" t="n"/>
      <c r="H714" s="80" t="n"/>
      <c r="I714" s="80" t="n"/>
      <c r="J714" s="80" t="n"/>
      <c r="K714" s="80" t="n"/>
      <c r="L714" s="80" t="n"/>
      <c r="M714" s="80" t="n"/>
    </row>
    <row r="715">
      <c r="A715" s="80" t="n"/>
      <c r="B715" s="80" t="n"/>
      <c r="C715" s="80" t="n"/>
      <c r="D715" s="80" t="n"/>
      <c r="E715" s="80" t="n"/>
      <c r="F715" s="80" t="n"/>
      <c r="G715" s="80" t="n"/>
      <c r="H715" s="80" t="n"/>
      <c r="I715" s="80" t="n"/>
      <c r="J715" s="80" t="n"/>
      <c r="K715" s="80" t="n"/>
      <c r="L715" s="80" t="n"/>
      <c r="M715" s="80" t="n"/>
    </row>
    <row r="716">
      <c r="A716" s="80" t="n"/>
      <c r="B716" s="80" t="n"/>
      <c r="C716" s="80" t="n"/>
      <c r="D716" s="80" t="n"/>
      <c r="E716" s="80" t="n"/>
      <c r="F716" s="80" t="n"/>
      <c r="G716" s="80" t="n"/>
      <c r="H716" s="80" t="n"/>
      <c r="I716" s="80" t="n"/>
      <c r="J716" s="80" t="n"/>
      <c r="K716" s="80" t="n"/>
      <c r="L716" s="80" t="n"/>
      <c r="M716" s="80" t="n"/>
    </row>
    <row r="717">
      <c r="A717" s="80" t="n"/>
      <c r="B717" s="80" t="n"/>
      <c r="C717" s="80" t="n"/>
      <c r="D717" s="80" t="n"/>
      <c r="E717" s="80" t="n"/>
      <c r="F717" s="80" t="n"/>
      <c r="G717" s="80" t="n"/>
      <c r="H717" s="80" t="n"/>
      <c r="I717" s="80" t="n"/>
      <c r="J717" s="80" t="n"/>
      <c r="K717" s="80" t="n"/>
      <c r="L717" s="80" t="n"/>
      <c r="M717" s="80" t="n"/>
    </row>
    <row r="718">
      <c r="A718" s="80" t="n"/>
      <c r="B718" s="80" t="n"/>
      <c r="C718" s="80" t="n"/>
      <c r="D718" s="80" t="n"/>
      <c r="E718" s="80" t="n"/>
      <c r="F718" s="80" t="n"/>
      <c r="G718" s="80" t="n"/>
      <c r="H718" s="80" t="n"/>
      <c r="I718" s="80" t="n"/>
      <c r="J718" s="80" t="n"/>
      <c r="K718" s="80" t="n"/>
      <c r="L718" s="80" t="n"/>
      <c r="M718" s="80" t="n"/>
    </row>
    <row r="719">
      <c r="A719" s="80" t="n"/>
      <c r="B719" s="80" t="n"/>
      <c r="C719" s="80" t="n"/>
      <c r="D719" s="80" t="n"/>
      <c r="E719" s="80" t="n"/>
      <c r="F719" s="80" t="n"/>
      <c r="G719" s="80" t="n"/>
      <c r="H719" s="80" t="n"/>
      <c r="I719" s="80" t="n"/>
      <c r="J719" s="80" t="n"/>
      <c r="K719" s="80" t="n"/>
      <c r="L719" s="80" t="n"/>
      <c r="M719" s="80" t="n"/>
    </row>
    <row r="720">
      <c r="A720" s="80" t="n"/>
      <c r="B720" s="80" t="n"/>
      <c r="C720" s="80" t="n"/>
      <c r="D720" s="80" t="n"/>
      <c r="E720" s="80" t="n"/>
      <c r="F720" s="80" t="n"/>
      <c r="G720" s="80" t="n"/>
      <c r="H720" s="80" t="n"/>
      <c r="I720" s="80" t="n"/>
      <c r="J720" s="80" t="n"/>
      <c r="K720" s="80" t="n"/>
      <c r="L720" s="80" t="n"/>
      <c r="M720" s="80" t="n"/>
    </row>
    <row r="721">
      <c r="A721" s="80" t="n"/>
      <c r="B721" s="80" t="n"/>
      <c r="C721" s="80" t="n"/>
      <c r="D721" s="80" t="n"/>
      <c r="E721" s="80" t="n"/>
      <c r="F721" s="80" t="n"/>
      <c r="G721" s="80" t="n"/>
      <c r="H721" s="80" t="n"/>
      <c r="I721" s="80" t="n"/>
      <c r="J721" s="80" t="n"/>
      <c r="K721" s="80" t="n"/>
      <c r="L721" s="80" t="n"/>
      <c r="M721" s="80" t="n"/>
    </row>
    <row r="722">
      <c r="A722" s="80" t="n"/>
      <c r="B722" s="80" t="n"/>
      <c r="C722" s="80" t="n"/>
      <c r="D722" s="80" t="n"/>
      <c r="E722" s="80" t="n"/>
      <c r="F722" s="80" t="n"/>
      <c r="G722" s="80" t="n"/>
      <c r="H722" s="80" t="n"/>
      <c r="I722" s="80" t="n"/>
      <c r="J722" s="80" t="n"/>
      <c r="K722" s="80" t="n"/>
      <c r="L722" s="80" t="n"/>
      <c r="M722" s="80" t="n"/>
    </row>
    <row r="723">
      <c r="A723" s="80" t="n"/>
      <c r="B723" s="80" t="n"/>
      <c r="C723" s="80" t="n"/>
      <c r="D723" s="80" t="n"/>
      <c r="E723" s="80" t="n"/>
      <c r="F723" s="80" t="n"/>
      <c r="G723" s="80" t="n"/>
      <c r="H723" s="80" t="n"/>
      <c r="I723" s="80" t="n"/>
      <c r="J723" s="80" t="n"/>
      <c r="K723" s="80" t="n"/>
      <c r="L723" s="80" t="n"/>
      <c r="M723" s="80" t="n"/>
    </row>
    <row r="724">
      <c r="A724" s="80" t="n"/>
      <c r="B724" s="80" t="n"/>
      <c r="C724" s="80" t="n"/>
      <c r="D724" s="80" t="n"/>
      <c r="E724" s="80" t="n"/>
      <c r="F724" s="80" t="n"/>
      <c r="G724" s="80" t="n"/>
      <c r="H724" s="80" t="n"/>
      <c r="I724" s="80" t="n"/>
      <c r="J724" s="80" t="n"/>
      <c r="K724" s="80" t="n"/>
      <c r="L724" s="80" t="n"/>
      <c r="M724" s="80" t="n"/>
    </row>
    <row r="725">
      <c r="A725" s="80" t="n"/>
      <c r="B725" s="80" t="n"/>
      <c r="C725" s="80" t="n"/>
      <c r="D725" s="80" t="n"/>
      <c r="E725" s="80" t="n"/>
      <c r="F725" s="80" t="n"/>
      <c r="G725" s="80" t="n"/>
      <c r="H725" s="80" t="n"/>
      <c r="I725" s="80" t="n"/>
      <c r="J725" s="80" t="n"/>
      <c r="K725" s="80" t="n"/>
      <c r="L725" s="80" t="n"/>
      <c r="M725" s="80" t="n"/>
    </row>
    <row r="726">
      <c r="A726" s="80" t="n"/>
      <c r="B726" s="80" t="n"/>
      <c r="C726" s="80" t="n"/>
      <c r="D726" s="80" t="n"/>
      <c r="E726" s="80" t="n"/>
      <c r="F726" s="80" t="n"/>
      <c r="G726" s="80" t="n"/>
      <c r="H726" s="80" t="n"/>
      <c r="I726" s="80" t="n"/>
      <c r="J726" s="80" t="n"/>
      <c r="K726" s="80" t="n"/>
      <c r="L726" s="80" t="n"/>
      <c r="M726" s="80" t="n"/>
    </row>
    <row r="727">
      <c r="A727" s="80" t="n"/>
      <c r="B727" s="80" t="n"/>
      <c r="C727" s="80" t="n"/>
      <c r="D727" s="80" t="n"/>
      <c r="E727" s="80" t="n"/>
      <c r="F727" s="80" t="n"/>
      <c r="G727" s="80" t="n"/>
      <c r="H727" s="80" t="n"/>
      <c r="I727" s="80" t="n"/>
      <c r="J727" s="80" t="n"/>
      <c r="K727" s="80" t="n"/>
      <c r="L727" s="80" t="n"/>
      <c r="M727" s="80" t="n"/>
    </row>
    <row r="728">
      <c r="A728" s="80" t="n"/>
      <c r="B728" s="80" t="n"/>
      <c r="C728" s="80" t="n"/>
      <c r="D728" s="80" t="n"/>
      <c r="E728" s="80" t="n"/>
      <c r="F728" s="80" t="n"/>
      <c r="G728" s="80" t="n"/>
      <c r="H728" s="80" t="n"/>
      <c r="I728" s="80" t="n"/>
      <c r="J728" s="80" t="n"/>
      <c r="K728" s="80" t="n"/>
      <c r="L728" s="80" t="n"/>
      <c r="M728" s="80" t="n"/>
    </row>
    <row r="729">
      <c r="A729" s="80" t="n"/>
      <c r="B729" s="80" t="n"/>
      <c r="C729" s="80" t="n"/>
      <c r="D729" s="80" t="n"/>
      <c r="E729" s="80" t="n"/>
      <c r="F729" s="80" t="n"/>
      <c r="G729" s="80" t="n"/>
      <c r="H729" s="80" t="n"/>
      <c r="I729" s="80" t="n"/>
      <c r="J729" s="80" t="n"/>
      <c r="K729" s="80" t="n"/>
      <c r="L729" s="80" t="n"/>
      <c r="M729" s="80" t="n"/>
    </row>
    <row r="730">
      <c r="A730" s="80" t="n"/>
      <c r="B730" s="80" t="n"/>
      <c r="C730" s="80" t="n"/>
      <c r="D730" s="80" t="n"/>
      <c r="E730" s="80" t="n"/>
      <c r="F730" s="80" t="n"/>
      <c r="G730" s="80" t="n"/>
      <c r="H730" s="80" t="n"/>
      <c r="I730" s="80" t="n"/>
      <c r="J730" s="80" t="n"/>
      <c r="K730" s="80" t="n"/>
      <c r="L730" s="80" t="n"/>
      <c r="M730" s="80" t="n"/>
    </row>
    <row r="731">
      <c r="A731" s="80" t="n"/>
      <c r="B731" s="80" t="n"/>
      <c r="C731" s="80" t="n"/>
      <c r="D731" s="80" t="n"/>
      <c r="E731" s="80" t="n"/>
      <c r="F731" s="80" t="n"/>
      <c r="G731" s="80" t="n"/>
      <c r="H731" s="80" t="n"/>
      <c r="I731" s="80" t="n"/>
      <c r="J731" s="80" t="n"/>
      <c r="K731" s="80" t="n"/>
      <c r="L731" s="80" t="n"/>
      <c r="M731" s="80" t="n"/>
    </row>
    <row r="732">
      <c r="A732" s="80" t="n"/>
      <c r="B732" s="80" t="n"/>
      <c r="C732" s="80" t="n"/>
      <c r="D732" s="80" t="n"/>
      <c r="E732" s="80" t="n"/>
      <c r="F732" s="80" t="n"/>
      <c r="G732" s="80" t="n"/>
      <c r="H732" s="80" t="n"/>
      <c r="I732" s="80" t="n"/>
      <c r="J732" s="80" t="n"/>
      <c r="K732" s="80" t="n"/>
      <c r="L732" s="80" t="n"/>
      <c r="M732" s="80" t="n"/>
    </row>
    <row r="733">
      <c r="A733" s="80" t="n"/>
      <c r="B733" s="80" t="n"/>
      <c r="C733" s="80" t="n"/>
      <c r="D733" s="80" t="n"/>
      <c r="E733" s="80" t="n"/>
      <c r="F733" s="80" t="n"/>
      <c r="G733" s="80" t="n"/>
      <c r="H733" s="80" t="n"/>
      <c r="I733" s="80" t="n"/>
      <c r="J733" s="80" t="n"/>
      <c r="K733" s="80" t="n"/>
      <c r="L733" s="80" t="n"/>
      <c r="M733" s="80" t="n"/>
    </row>
    <row r="734">
      <c r="A734" s="80" t="n"/>
      <c r="B734" s="80" t="n"/>
      <c r="C734" s="80" t="n"/>
      <c r="D734" s="80" t="n"/>
      <c r="E734" s="80" t="n"/>
      <c r="F734" s="80" t="n"/>
      <c r="G734" s="80" t="n"/>
      <c r="H734" s="80" t="n"/>
      <c r="I734" s="80" t="n"/>
      <c r="J734" s="80" t="n"/>
      <c r="K734" s="80" t="n"/>
      <c r="L734" s="80" t="n"/>
      <c r="M734" s="80" t="n"/>
    </row>
    <row r="735">
      <c r="A735" s="80" t="n"/>
      <c r="B735" s="80" t="n"/>
      <c r="C735" s="80" t="n"/>
      <c r="D735" s="80" t="n"/>
      <c r="E735" s="80" t="n"/>
      <c r="F735" s="80" t="n"/>
      <c r="G735" s="80" t="n"/>
      <c r="H735" s="80" t="n"/>
      <c r="I735" s="80" t="n"/>
      <c r="J735" s="80" t="n"/>
      <c r="K735" s="80" t="n"/>
      <c r="L735" s="80" t="n"/>
      <c r="M735" s="80" t="n"/>
    </row>
    <row r="736">
      <c r="A736" s="80" t="n"/>
      <c r="B736" s="80" t="n"/>
      <c r="C736" s="80" t="n"/>
      <c r="D736" s="80" t="n"/>
      <c r="E736" s="80" t="n"/>
      <c r="F736" s="80" t="n"/>
      <c r="G736" s="80" t="n"/>
      <c r="H736" s="80" t="n"/>
      <c r="I736" s="80" t="n"/>
      <c r="J736" s="80" t="n"/>
      <c r="K736" s="80" t="n"/>
      <c r="L736" s="80" t="n"/>
      <c r="M736" s="80" t="n"/>
    </row>
    <row r="737">
      <c r="A737" s="80" t="n"/>
      <c r="B737" s="80" t="n"/>
      <c r="C737" s="80" t="n"/>
      <c r="D737" s="80" t="n"/>
      <c r="E737" s="80" t="n"/>
      <c r="F737" s="80" t="n"/>
      <c r="G737" s="80" t="n"/>
      <c r="H737" s="80" t="n"/>
      <c r="I737" s="80" t="n"/>
      <c r="J737" s="80" t="n"/>
      <c r="K737" s="80" t="n"/>
      <c r="L737" s="80" t="n"/>
      <c r="M737" s="80" t="n"/>
    </row>
    <row r="738">
      <c r="A738" s="80" t="n"/>
      <c r="B738" s="80" t="n"/>
      <c r="C738" s="80" t="n"/>
      <c r="D738" s="80" t="n"/>
      <c r="E738" s="80" t="n"/>
      <c r="F738" s="80" t="n"/>
      <c r="G738" s="80" t="n"/>
      <c r="H738" s="80" t="n"/>
      <c r="I738" s="80" t="n"/>
      <c r="J738" s="80" t="n"/>
      <c r="K738" s="80" t="n"/>
      <c r="L738" s="80" t="n"/>
      <c r="M738" s="80" t="n"/>
    </row>
    <row r="739">
      <c r="A739" s="80" t="n"/>
      <c r="B739" s="80" t="n"/>
      <c r="C739" s="80" t="n"/>
      <c r="D739" s="80" t="n"/>
      <c r="E739" s="80" t="n"/>
      <c r="F739" s="80" t="n"/>
      <c r="G739" s="80" t="n"/>
      <c r="H739" s="80" t="n"/>
      <c r="I739" s="80" t="n"/>
      <c r="J739" s="80" t="n"/>
      <c r="K739" s="80" t="n"/>
      <c r="L739" s="80" t="n"/>
      <c r="M739" s="80" t="n"/>
    </row>
    <row r="740">
      <c r="A740" s="80" t="n"/>
      <c r="B740" s="80" t="n"/>
      <c r="C740" s="80" t="n"/>
      <c r="D740" s="80" t="n"/>
      <c r="E740" s="80" t="n"/>
      <c r="F740" s="80" t="n"/>
      <c r="G740" s="80" t="n"/>
      <c r="H740" s="80" t="n"/>
      <c r="I740" s="80" t="n"/>
      <c r="J740" s="80" t="n"/>
      <c r="K740" s="80" t="n"/>
      <c r="L740" s="80" t="n"/>
      <c r="M740" s="80" t="n"/>
    </row>
    <row r="741">
      <c r="A741" s="80" t="n"/>
      <c r="B741" s="80" t="n"/>
      <c r="C741" s="80" t="n"/>
      <c r="D741" s="80" t="n"/>
      <c r="E741" s="80" t="n"/>
      <c r="F741" s="80" t="n"/>
      <c r="G741" s="80" t="n"/>
      <c r="H741" s="80" t="n"/>
      <c r="I741" s="80" t="n"/>
      <c r="J741" s="80" t="n"/>
      <c r="K741" s="80" t="n"/>
      <c r="L741" s="80" t="n"/>
      <c r="M741" s="80" t="n"/>
    </row>
    <row r="742">
      <c r="A742" s="80" t="n"/>
      <c r="B742" s="80" t="n"/>
      <c r="C742" s="80" t="n"/>
      <c r="D742" s="80" t="n"/>
      <c r="E742" s="80" t="n"/>
      <c r="F742" s="80" t="n"/>
      <c r="G742" s="80" t="n"/>
      <c r="H742" s="80" t="n"/>
      <c r="I742" s="80" t="n"/>
      <c r="J742" s="80" t="n"/>
      <c r="K742" s="80" t="n"/>
      <c r="L742" s="80" t="n"/>
      <c r="M742" s="80" t="n"/>
    </row>
    <row r="743">
      <c r="A743" s="80" t="n"/>
      <c r="B743" s="80" t="n"/>
      <c r="C743" s="80" t="n"/>
      <c r="D743" s="80" t="n"/>
      <c r="E743" s="80" t="n"/>
      <c r="F743" s="80" t="n"/>
      <c r="G743" s="80" t="n"/>
      <c r="H743" s="80" t="n"/>
      <c r="I743" s="80" t="n"/>
      <c r="J743" s="80" t="n"/>
      <c r="K743" s="80" t="n"/>
      <c r="L743" s="80" t="n"/>
      <c r="M743" s="80" t="n"/>
    </row>
    <row r="744">
      <c r="A744" s="80" t="n"/>
      <c r="B744" s="80" t="n"/>
      <c r="C744" s="80" t="n"/>
      <c r="D744" s="80" t="n"/>
      <c r="E744" s="80" t="n"/>
      <c r="F744" s="80" t="n"/>
      <c r="G744" s="80" t="n"/>
      <c r="H744" s="80" t="n"/>
      <c r="I744" s="80" t="n"/>
      <c r="J744" s="80" t="n"/>
      <c r="K744" s="80" t="n"/>
      <c r="L744" s="80" t="n"/>
      <c r="M744" s="80" t="n"/>
    </row>
    <row r="745">
      <c r="A745" s="80" t="n"/>
      <c r="B745" s="80" t="n"/>
      <c r="C745" s="80" t="n"/>
      <c r="D745" s="80" t="n"/>
      <c r="E745" s="80" t="n"/>
      <c r="F745" s="80" t="n"/>
      <c r="G745" s="80" t="n"/>
      <c r="H745" s="80" t="n"/>
      <c r="I745" s="80" t="n"/>
      <c r="J745" s="80" t="n"/>
      <c r="K745" s="80" t="n"/>
      <c r="L745" s="80" t="n"/>
      <c r="M745" s="80" t="n"/>
    </row>
    <row r="746">
      <c r="A746" s="80" t="n"/>
      <c r="B746" s="80" t="n"/>
      <c r="C746" s="80" t="n"/>
      <c r="D746" s="80" t="n"/>
      <c r="E746" s="80" t="n"/>
      <c r="F746" s="80" t="n"/>
      <c r="G746" s="80" t="n"/>
      <c r="H746" s="80" t="n"/>
      <c r="I746" s="80" t="n"/>
      <c r="J746" s="80" t="n"/>
      <c r="K746" s="80" t="n"/>
      <c r="L746" s="80" t="n"/>
      <c r="M746" s="80" t="n"/>
    </row>
    <row r="747">
      <c r="A747" s="80" t="n"/>
      <c r="B747" s="80" t="n"/>
      <c r="C747" s="80" t="n"/>
      <c r="D747" s="80" t="n"/>
      <c r="E747" s="80" t="n"/>
      <c r="F747" s="80" t="n"/>
      <c r="G747" s="80" t="n"/>
      <c r="H747" s="80" t="n"/>
      <c r="I747" s="80" t="n"/>
      <c r="J747" s="80" t="n"/>
      <c r="K747" s="80" t="n"/>
      <c r="L747" s="80" t="n"/>
      <c r="M747" s="80" t="n"/>
    </row>
    <row r="748">
      <c r="A748" s="80" t="n"/>
      <c r="B748" s="80" t="n"/>
      <c r="C748" s="80" t="n"/>
      <c r="D748" s="80" t="n"/>
      <c r="E748" s="80" t="n"/>
      <c r="F748" s="80" t="n"/>
      <c r="G748" s="80" t="n"/>
      <c r="H748" s="80" t="n"/>
      <c r="I748" s="80" t="n"/>
      <c r="J748" s="80" t="n"/>
      <c r="K748" s="80" t="n"/>
      <c r="L748" s="80" t="n"/>
      <c r="M748" s="80" t="n"/>
    </row>
    <row r="749">
      <c r="A749" s="80" t="n"/>
      <c r="B749" s="80" t="n"/>
      <c r="C749" s="80" t="n"/>
      <c r="D749" s="80" t="n"/>
      <c r="E749" s="80" t="n"/>
      <c r="F749" s="80" t="n"/>
      <c r="G749" s="80" t="n"/>
      <c r="H749" s="80" t="n"/>
      <c r="I749" s="80" t="n"/>
      <c r="J749" s="80" t="n"/>
      <c r="K749" s="80" t="n"/>
      <c r="L749" s="80" t="n"/>
      <c r="M749" s="80" t="n"/>
    </row>
    <row r="750">
      <c r="A750" s="80" t="n"/>
      <c r="B750" s="80" t="n"/>
      <c r="C750" s="80" t="n"/>
      <c r="D750" s="80" t="n"/>
      <c r="E750" s="80" t="n"/>
      <c r="F750" s="80" t="n"/>
      <c r="G750" s="80" t="n"/>
      <c r="H750" s="80" t="n"/>
      <c r="I750" s="80" t="n"/>
      <c r="J750" s="80" t="n"/>
      <c r="K750" s="80" t="n"/>
      <c r="L750" s="80" t="n"/>
      <c r="M750" s="80" t="n"/>
    </row>
    <row r="751">
      <c r="A751" s="80" t="n"/>
      <c r="B751" s="80" t="n"/>
      <c r="C751" s="80" t="n"/>
      <c r="D751" s="80" t="n"/>
      <c r="E751" s="80" t="n"/>
      <c r="F751" s="80" t="n"/>
      <c r="G751" s="80" t="n"/>
      <c r="H751" s="80" t="n"/>
      <c r="I751" s="80" t="n"/>
      <c r="J751" s="80" t="n"/>
      <c r="K751" s="80" t="n"/>
      <c r="L751" s="80" t="n"/>
      <c r="M751" s="80" t="n"/>
    </row>
    <row r="752">
      <c r="A752" s="80" t="n"/>
      <c r="B752" s="80" t="n"/>
      <c r="C752" s="80" t="n"/>
      <c r="D752" s="80" t="n"/>
      <c r="E752" s="80" t="n"/>
      <c r="F752" s="80" t="n"/>
      <c r="G752" s="80" t="n"/>
      <c r="H752" s="80" t="n"/>
      <c r="I752" s="80" t="n"/>
      <c r="J752" s="80" t="n"/>
      <c r="K752" s="80" t="n"/>
      <c r="L752" s="80" t="n"/>
      <c r="M752" s="80" t="n"/>
    </row>
    <row r="753">
      <c r="A753" s="80" t="n"/>
      <c r="B753" s="80" t="n"/>
      <c r="C753" s="80" t="n"/>
      <c r="D753" s="80" t="n"/>
      <c r="E753" s="80" t="n"/>
      <c r="F753" s="80" t="n"/>
      <c r="G753" s="80" t="n"/>
      <c r="H753" s="80" t="n"/>
      <c r="I753" s="80" t="n"/>
      <c r="J753" s="80" t="n"/>
      <c r="K753" s="80" t="n"/>
      <c r="L753" s="80" t="n"/>
      <c r="M753" s="80" t="n"/>
    </row>
    <row r="754">
      <c r="A754" s="80" t="n"/>
      <c r="B754" s="80" t="n"/>
      <c r="C754" s="80" t="n"/>
      <c r="D754" s="80" t="n"/>
      <c r="E754" s="80" t="n"/>
      <c r="F754" s="80" t="n"/>
      <c r="G754" s="80" t="n"/>
      <c r="H754" s="80" t="n"/>
      <c r="I754" s="80" t="n"/>
      <c r="J754" s="80" t="n"/>
      <c r="K754" s="80" t="n"/>
      <c r="L754" s="80" t="n"/>
      <c r="M754" s="80" t="n"/>
    </row>
    <row r="755">
      <c r="A755" s="80" t="n"/>
      <c r="B755" s="80" t="n"/>
      <c r="C755" s="80" t="n"/>
      <c r="D755" s="80" t="n"/>
      <c r="E755" s="80" t="n"/>
      <c r="F755" s="80" t="n"/>
      <c r="G755" s="80" t="n"/>
      <c r="H755" s="80" t="n"/>
      <c r="I755" s="80" t="n"/>
      <c r="J755" s="80" t="n"/>
      <c r="K755" s="80" t="n"/>
      <c r="L755" s="80" t="n"/>
      <c r="M755" s="80" t="n"/>
    </row>
    <row r="756">
      <c r="A756" s="80" t="n"/>
      <c r="B756" s="80" t="n"/>
      <c r="C756" s="80" t="n"/>
      <c r="D756" s="80" t="n"/>
      <c r="E756" s="80" t="n"/>
      <c r="F756" s="80" t="n"/>
      <c r="G756" s="80" t="n"/>
      <c r="H756" s="80" t="n"/>
      <c r="I756" s="80" t="n"/>
      <c r="J756" s="80" t="n"/>
      <c r="K756" s="80" t="n"/>
      <c r="L756" s="80" t="n"/>
      <c r="M756" s="80" t="n"/>
    </row>
    <row r="757">
      <c r="A757" s="80" t="n"/>
      <c r="B757" s="80" t="n"/>
      <c r="C757" s="80" t="n"/>
      <c r="D757" s="80" t="n"/>
      <c r="E757" s="80" t="n"/>
      <c r="F757" s="80" t="n"/>
      <c r="G757" s="80" t="n"/>
      <c r="H757" s="80" t="n"/>
      <c r="I757" s="80" t="n"/>
      <c r="J757" s="80" t="n"/>
      <c r="K757" s="80" t="n"/>
      <c r="L757" s="80" t="n"/>
      <c r="M757" s="80" t="n"/>
    </row>
    <row r="758">
      <c r="A758" s="80" t="n"/>
      <c r="B758" s="80" t="n"/>
      <c r="C758" s="80" t="n"/>
      <c r="D758" s="80" t="n"/>
      <c r="E758" s="80" t="n"/>
      <c r="F758" s="80" t="n"/>
      <c r="G758" s="80" t="n"/>
      <c r="H758" s="80" t="n"/>
      <c r="I758" s="80" t="n"/>
      <c r="J758" s="80" t="n"/>
      <c r="K758" s="80" t="n"/>
      <c r="L758" s="80" t="n"/>
      <c r="M758" s="80" t="n"/>
    </row>
    <row r="759">
      <c r="A759" s="80" t="n"/>
      <c r="B759" s="80" t="n"/>
      <c r="C759" s="80" t="n"/>
      <c r="D759" s="80" t="n"/>
      <c r="E759" s="80" t="n"/>
      <c r="F759" s="80" t="n"/>
      <c r="G759" s="80" t="n"/>
      <c r="H759" s="80" t="n"/>
      <c r="I759" s="80" t="n"/>
      <c r="J759" s="80" t="n"/>
      <c r="K759" s="80" t="n"/>
      <c r="L759" s="80" t="n"/>
      <c r="M759" s="80" t="n"/>
    </row>
    <row r="760">
      <c r="A760" s="80" t="n"/>
      <c r="B760" s="80" t="n"/>
      <c r="C760" s="80" t="n"/>
      <c r="D760" s="80" t="n"/>
      <c r="E760" s="80" t="n"/>
      <c r="F760" s="80" t="n"/>
      <c r="G760" s="80" t="n"/>
      <c r="H760" s="80" t="n"/>
      <c r="I760" s="80" t="n"/>
      <c r="J760" s="80" t="n"/>
      <c r="K760" s="80" t="n"/>
      <c r="L760" s="80" t="n"/>
      <c r="M760" s="80" t="n"/>
    </row>
    <row r="761">
      <c r="A761" s="80" t="n"/>
      <c r="B761" s="80" t="n"/>
      <c r="C761" s="80" t="n"/>
      <c r="D761" s="80" t="n"/>
      <c r="E761" s="80" t="n"/>
      <c r="F761" s="80" t="n"/>
      <c r="G761" s="80" t="n"/>
      <c r="H761" s="80" t="n"/>
      <c r="I761" s="80" t="n"/>
      <c r="J761" s="80" t="n"/>
      <c r="K761" s="80" t="n"/>
      <c r="L761" s="80" t="n"/>
      <c r="M761" s="80" t="n"/>
    </row>
    <row r="762">
      <c r="A762" s="80" t="n"/>
      <c r="B762" s="80" t="n"/>
      <c r="C762" s="80" t="n"/>
      <c r="D762" s="80" t="n"/>
      <c r="E762" s="80" t="n"/>
      <c r="F762" s="80" t="n"/>
      <c r="G762" s="80" t="n"/>
      <c r="H762" s="80" t="n"/>
      <c r="I762" s="80" t="n"/>
      <c r="J762" s="80" t="n"/>
      <c r="K762" s="80" t="n"/>
      <c r="L762" s="80" t="n"/>
      <c r="M762" s="80" t="n"/>
    </row>
    <row r="763">
      <c r="A763" s="80" t="n"/>
      <c r="B763" s="80" t="n"/>
      <c r="C763" s="80" t="n"/>
      <c r="D763" s="80" t="n"/>
      <c r="E763" s="80" t="n"/>
      <c r="F763" s="80" t="n"/>
      <c r="G763" s="80" t="n"/>
      <c r="H763" s="80" t="n"/>
      <c r="I763" s="80" t="n"/>
      <c r="J763" s="80" t="n"/>
      <c r="K763" s="80" t="n"/>
      <c r="L763" s="80" t="n"/>
      <c r="M763" s="80" t="n"/>
    </row>
    <row r="764">
      <c r="A764" s="80" t="n"/>
      <c r="B764" s="80" t="n"/>
      <c r="C764" s="80" t="n"/>
      <c r="D764" s="80" t="n"/>
      <c r="E764" s="80" t="n"/>
      <c r="F764" s="80" t="n"/>
      <c r="G764" s="80" t="n"/>
      <c r="H764" s="80" t="n"/>
      <c r="I764" s="80" t="n"/>
      <c r="J764" s="80" t="n"/>
      <c r="K764" s="80" t="n"/>
      <c r="L764" s="80" t="n"/>
      <c r="M764" s="80" t="n"/>
    </row>
    <row r="765">
      <c r="A765" s="80" t="n"/>
      <c r="B765" s="80" t="n"/>
      <c r="C765" s="80" t="n"/>
      <c r="D765" s="80" t="n"/>
      <c r="E765" s="80" t="n"/>
      <c r="F765" s="80" t="n"/>
      <c r="G765" s="80" t="n"/>
      <c r="H765" s="80" t="n"/>
      <c r="I765" s="80" t="n"/>
      <c r="J765" s="80" t="n"/>
      <c r="K765" s="80" t="n"/>
      <c r="L765" s="80" t="n"/>
      <c r="M765" s="80" t="n"/>
    </row>
    <row r="766">
      <c r="A766" s="80" t="n"/>
      <c r="B766" s="80" t="n"/>
      <c r="C766" s="80" t="n"/>
      <c r="D766" s="80" t="n"/>
      <c r="E766" s="80" t="n"/>
      <c r="F766" s="80" t="n"/>
      <c r="G766" s="80" t="n"/>
      <c r="H766" s="80" t="n"/>
      <c r="I766" s="80" t="n"/>
      <c r="J766" s="80" t="n"/>
      <c r="K766" s="80" t="n"/>
      <c r="L766" s="80" t="n"/>
      <c r="M766" s="80" t="n"/>
    </row>
    <row r="767">
      <c r="A767" s="80" t="n"/>
      <c r="B767" s="80" t="n"/>
      <c r="C767" s="80" t="n"/>
      <c r="D767" s="80" t="n"/>
      <c r="E767" s="80" t="n"/>
      <c r="F767" s="80" t="n"/>
      <c r="G767" s="80" t="n"/>
      <c r="H767" s="80" t="n"/>
      <c r="I767" s="80" t="n"/>
      <c r="J767" s="80" t="n"/>
      <c r="K767" s="80" t="n"/>
      <c r="L767" s="80" t="n"/>
      <c r="M767" s="80" t="n"/>
    </row>
    <row r="768">
      <c r="A768" s="80" t="n"/>
      <c r="B768" s="80" t="n"/>
      <c r="C768" s="80" t="n"/>
      <c r="D768" s="80" t="n"/>
      <c r="E768" s="80" t="n"/>
      <c r="F768" s="80" t="n"/>
      <c r="G768" s="80" t="n"/>
      <c r="H768" s="80" t="n"/>
      <c r="I768" s="80" t="n"/>
      <c r="J768" s="80" t="n"/>
      <c r="K768" s="80" t="n"/>
      <c r="L768" s="80" t="n"/>
      <c r="M768" s="80" t="n"/>
    </row>
    <row r="769">
      <c r="A769" s="80" t="n"/>
      <c r="B769" s="80" t="n"/>
      <c r="C769" s="80" t="n"/>
      <c r="D769" s="80" t="n"/>
      <c r="E769" s="80" t="n"/>
      <c r="F769" s="80" t="n"/>
      <c r="G769" s="80" t="n"/>
      <c r="H769" s="80" t="n"/>
      <c r="I769" s="80" t="n"/>
      <c r="J769" s="80" t="n"/>
      <c r="K769" s="80" t="n"/>
      <c r="L769" s="80" t="n"/>
      <c r="M769" s="80" t="n"/>
    </row>
    <row r="770">
      <c r="A770" s="80" t="n"/>
      <c r="B770" s="80" t="n"/>
      <c r="C770" s="80" t="n"/>
      <c r="D770" s="80" t="n"/>
      <c r="E770" s="80" t="n"/>
      <c r="F770" s="80" t="n"/>
      <c r="G770" s="80" t="n"/>
      <c r="H770" s="80" t="n"/>
      <c r="I770" s="80" t="n"/>
      <c r="J770" s="80" t="n"/>
      <c r="K770" s="80" t="n"/>
      <c r="L770" s="80" t="n"/>
      <c r="M770" s="80" t="n"/>
    </row>
    <row r="771">
      <c r="A771" s="80" t="n"/>
      <c r="B771" s="80" t="n"/>
      <c r="C771" s="80" t="n"/>
      <c r="D771" s="80" t="n"/>
      <c r="E771" s="80" t="n"/>
      <c r="F771" s="80" t="n"/>
      <c r="G771" s="80" t="n"/>
      <c r="H771" s="80" t="n"/>
      <c r="I771" s="80" t="n"/>
      <c r="J771" s="80" t="n"/>
      <c r="K771" s="80" t="n"/>
      <c r="L771" s="80" t="n"/>
      <c r="M771" s="80" t="n"/>
    </row>
    <row r="772">
      <c r="A772" s="80" t="n"/>
      <c r="B772" s="80" t="n"/>
      <c r="C772" s="80" t="n"/>
      <c r="D772" s="80" t="n"/>
      <c r="E772" s="80" t="n"/>
      <c r="F772" s="80" t="n"/>
      <c r="G772" s="80" t="n"/>
      <c r="H772" s="80" t="n"/>
      <c r="I772" s="80" t="n"/>
      <c r="J772" s="80" t="n"/>
      <c r="K772" s="80" t="n"/>
      <c r="L772" s="80" t="n"/>
      <c r="M772" s="80" t="n"/>
    </row>
    <row r="773">
      <c r="A773" s="80" t="n"/>
      <c r="B773" s="80" t="n"/>
      <c r="C773" s="80" t="n"/>
      <c r="D773" s="80" t="n"/>
      <c r="E773" s="80" t="n"/>
      <c r="F773" s="80" t="n"/>
      <c r="G773" s="80" t="n"/>
      <c r="H773" s="80" t="n"/>
      <c r="I773" s="80" t="n"/>
      <c r="J773" s="80" t="n"/>
      <c r="K773" s="80" t="n"/>
      <c r="L773" s="80" t="n"/>
      <c r="M773" s="80" t="n"/>
    </row>
    <row r="774">
      <c r="A774" s="80" t="n"/>
      <c r="B774" s="80" t="n"/>
      <c r="C774" s="80" t="n"/>
      <c r="D774" s="80" t="n"/>
      <c r="E774" s="80" t="n"/>
      <c r="F774" s="80" t="n"/>
      <c r="G774" s="80" t="n"/>
      <c r="H774" s="80" t="n"/>
      <c r="I774" s="80" t="n"/>
      <c r="J774" s="80" t="n"/>
      <c r="K774" s="80" t="n"/>
      <c r="L774" s="80" t="n"/>
      <c r="M774" s="80" t="n"/>
    </row>
    <row r="775">
      <c r="A775" s="80" t="n"/>
      <c r="B775" s="80" t="n"/>
      <c r="C775" s="80" t="n"/>
      <c r="D775" s="80" t="n"/>
      <c r="E775" s="80" t="n"/>
      <c r="F775" s="80" t="n"/>
      <c r="G775" s="80" t="n"/>
      <c r="H775" s="80" t="n"/>
      <c r="I775" s="80" t="n"/>
      <c r="J775" s="80" t="n"/>
      <c r="K775" s="80" t="n"/>
      <c r="L775" s="80" t="n"/>
      <c r="M775" s="80" t="n"/>
    </row>
    <row r="776">
      <c r="A776" s="80" t="n"/>
      <c r="B776" s="80" t="n"/>
      <c r="C776" s="80" t="n"/>
      <c r="D776" s="80" t="n"/>
      <c r="E776" s="80" t="n"/>
      <c r="F776" s="80" t="n"/>
      <c r="G776" s="80" t="n"/>
      <c r="H776" s="80" t="n"/>
      <c r="I776" s="80" t="n"/>
      <c r="J776" s="80" t="n"/>
      <c r="K776" s="80" t="n"/>
      <c r="L776" s="80" t="n"/>
      <c r="M776" s="80" t="n"/>
    </row>
    <row r="777">
      <c r="A777" s="80" t="n"/>
      <c r="B777" s="80" t="n"/>
      <c r="C777" s="80" t="n"/>
      <c r="D777" s="80" t="n"/>
      <c r="E777" s="80" t="n"/>
      <c r="F777" s="80" t="n"/>
      <c r="G777" s="80" t="n"/>
      <c r="H777" s="80" t="n"/>
      <c r="I777" s="80" t="n"/>
      <c r="J777" s="80" t="n"/>
      <c r="K777" s="80" t="n"/>
      <c r="L777" s="80" t="n"/>
      <c r="M777" s="80" t="n"/>
    </row>
    <row r="778">
      <c r="A778" s="80" t="n"/>
      <c r="B778" s="80" t="n"/>
      <c r="C778" s="80" t="n"/>
      <c r="D778" s="80" t="n"/>
      <c r="E778" s="80" t="n"/>
      <c r="F778" s="80" t="n"/>
      <c r="G778" s="80" t="n"/>
      <c r="H778" s="80" t="n"/>
      <c r="I778" s="80" t="n"/>
      <c r="J778" s="80" t="n"/>
      <c r="K778" s="80" t="n"/>
      <c r="L778" s="80" t="n"/>
      <c r="M778" s="80" t="n"/>
    </row>
    <row r="779">
      <c r="A779" s="80" t="n"/>
      <c r="B779" s="80" t="n"/>
      <c r="C779" s="80" t="n"/>
      <c r="D779" s="80" t="n"/>
      <c r="E779" s="80" t="n"/>
      <c r="F779" s="80" t="n"/>
      <c r="G779" s="80" t="n"/>
      <c r="H779" s="80" t="n"/>
      <c r="I779" s="80" t="n"/>
      <c r="J779" s="80" t="n"/>
      <c r="K779" s="80" t="n"/>
      <c r="L779" s="80" t="n"/>
      <c r="M779" s="80" t="n"/>
    </row>
    <row r="780">
      <c r="A780" s="80" t="n"/>
      <c r="B780" s="80" t="n"/>
      <c r="C780" s="80" t="n"/>
      <c r="D780" s="80" t="n"/>
      <c r="E780" s="80" t="n"/>
      <c r="F780" s="80" t="n"/>
      <c r="G780" s="80" t="n"/>
      <c r="H780" s="80" t="n"/>
      <c r="I780" s="80" t="n"/>
      <c r="J780" s="80" t="n"/>
      <c r="K780" s="80" t="n"/>
      <c r="L780" s="80" t="n"/>
      <c r="M780" s="80" t="n"/>
    </row>
    <row r="781">
      <c r="A781" s="80" t="n"/>
      <c r="B781" s="80" t="n"/>
      <c r="C781" s="80" t="n"/>
      <c r="D781" s="80" t="n"/>
      <c r="E781" s="80" t="n"/>
      <c r="F781" s="80" t="n"/>
      <c r="G781" s="80" t="n"/>
      <c r="H781" s="80" t="n"/>
      <c r="I781" s="80" t="n"/>
      <c r="J781" s="80" t="n"/>
      <c r="K781" s="80" t="n"/>
      <c r="L781" s="80" t="n"/>
      <c r="M781" s="80" t="n"/>
    </row>
    <row r="782">
      <c r="A782" s="80" t="n"/>
      <c r="B782" s="80" t="n"/>
      <c r="C782" s="80" t="n"/>
      <c r="D782" s="80" t="n"/>
      <c r="E782" s="80" t="n"/>
      <c r="F782" s="80" t="n"/>
      <c r="G782" s="80" t="n"/>
      <c r="H782" s="80" t="n"/>
      <c r="I782" s="80" t="n"/>
      <c r="J782" s="80" t="n"/>
      <c r="K782" s="80" t="n"/>
      <c r="L782" s="80" t="n"/>
      <c r="M782" s="80" t="n"/>
    </row>
    <row r="783">
      <c r="A783" s="80" t="n"/>
      <c r="B783" s="80" t="n"/>
      <c r="C783" s="80" t="n"/>
      <c r="D783" s="80" t="n"/>
      <c r="E783" s="80" t="n"/>
      <c r="F783" s="80" t="n"/>
      <c r="G783" s="80" t="n"/>
      <c r="H783" s="80" t="n"/>
      <c r="I783" s="80" t="n"/>
      <c r="J783" s="80" t="n"/>
      <c r="K783" s="80" t="n"/>
      <c r="L783" s="80" t="n"/>
      <c r="M783" s="80" t="n"/>
    </row>
    <row r="784">
      <c r="A784" s="80" t="n"/>
      <c r="B784" s="80" t="n"/>
      <c r="C784" s="80" t="n"/>
      <c r="D784" s="80" t="n"/>
      <c r="E784" s="80" t="n"/>
      <c r="F784" s="80" t="n"/>
      <c r="G784" s="80" t="n"/>
      <c r="H784" s="80" t="n"/>
      <c r="I784" s="80" t="n"/>
      <c r="J784" s="80" t="n"/>
      <c r="K784" s="80" t="n"/>
      <c r="L784" s="80" t="n"/>
      <c r="M784" s="80" t="n"/>
    </row>
    <row r="785">
      <c r="A785" s="80" t="n"/>
      <c r="B785" s="80" t="n"/>
      <c r="C785" s="80" t="n"/>
      <c r="D785" s="80" t="n"/>
      <c r="E785" s="80" t="n"/>
      <c r="F785" s="80" t="n"/>
      <c r="G785" s="80" t="n"/>
      <c r="H785" s="80" t="n"/>
      <c r="I785" s="80" t="n"/>
      <c r="J785" s="80" t="n"/>
      <c r="K785" s="80" t="n"/>
      <c r="L785" s="80" t="n"/>
      <c r="M785" s="80" t="n"/>
    </row>
    <row r="786">
      <c r="A786" s="80" t="n"/>
      <c r="B786" s="80" t="n"/>
      <c r="C786" s="80" t="n"/>
      <c r="D786" s="80" t="n"/>
      <c r="E786" s="80" t="n"/>
      <c r="F786" s="80" t="n"/>
      <c r="G786" s="80" t="n"/>
      <c r="H786" s="80" t="n"/>
      <c r="I786" s="80" t="n"/>
      <c r="J786" s="80" t="n"/>
      <c r="K786" s="80" t="n"/>
      <c r="L786" s="80" t="n"/>
      <c r="M786" s="80" t="n"/>
    </row>
    <row r="787">
      <c r="A787" s="80" t="n"/>
      <c r="B787" s="80" t="n"/>
      <c r="C787" s="80" t="n"/>
      <c r="D787" s="80" t="n"/>
      <c r="E787" s="80" t="n"/>
      <c r="F787" s="80" t="n"/>
      <c r="G787" s="80" t="n"/>
      <c r="H787" s="80" t="n"/>
      <c r="I787" s="80" t="n"/>
      <c r="J787" s="80" t="n"/>
      <c r="K787" s="80" t="n"/>
      <c r="L787" s="80" t="n"/>
      <c r="M787" s="80" t="n"/>
    </row>
    <row r="788">
      <c r="A788" s="80" t="n"/>
      <c r="B788" s="80" t="n"/>
      <c r="C788" s="80" t="n"/>
      <c r="D788" s="80" t="n"/>
      <c r="E788" s="80" t="n"/>
      <c r="F788" s="80" t="n"/>
      <c r="G788" s="80" t="n"/>
      <c r="H788" s="80" t="n"/>
      <c r="I788" s="80" t="n"/>
      <c r="J788" s="80" t="n"/>
      <c r="K788" s="80" t="n"/>
      <c r="L788" s="80" t="n"/>
      <c r="M788" s="80" t="n"/>
    </row>
    <row r="789">
      <c r="A789" s="80" t="n"/>
      <c r="B789" s="80" t="n"/>
      <c r="C789" s="80" t="n"/>
      <c r="D789" s="80" t="n"/>
      <c r="E789" s="80" t="n"/>
      <c r="F789" s="80" t="n"/>
      <c r="G789" s="80" t="n"/>
      <c r="H789" s="80" t="n"/>
      <c r="I789" s="80" t="n"/>
      <c r="J789" s="80" t="n"/>
      <c r="K789" s="80" t="n"/>
      <c r="L789" s="80" t="n"/>
      <c r="M789" s="80" t="n"/>
    </row>
    <row r="790">
      <c r="A790" s="80" t="n"/>
      <c r="B790" s="80" t="n"/>
      <c r="C790" s="80" t="n"/>
      <c r="D790" s="80" t="n"/>
      <c r="E790" s="80" t="n"/>
      <c r="F790" s="80" t="n"/>
      <c r="G790" s="80" t="n"/>
      <c r="H790" s="80" t="n"/>
      <c r="I790" s="80" t="n"/>
      <c r="J790" s="80" t="n"/>
      <c r="K790" s="80" t="n"/>
      <c r="L790" s="80" t="n"/>
      <c r="M790" s="80" t="n"/>
    </row>
    <row r="791">
      <c r="A791" s="80" t="n"/>
      <c r="B791" s="80" t="n"/>
      <c r="C791" s="80" t="n"/>
      <c r="D791" s="80" t="n"/>
      <c r="E791" s="80" t="n"/>
      <c r="F791" s="80" t="n"/>
      <c r="G791" s="80" t="n"/>
      <c r="H791" s="80" t="n"/>
      <c r="I791" s="80" t="n"/>
      <c r="J791" s="80" t="n"/>
      <c r="K791" s="80" t="n"/>
      <c r="L791" s="80" t="n"/>
      <c r="M791" s="80" t="n"/>
    </row>
    <row r="792">
      <c r="A792" s="80" t="n"/>
      <c r="B792" s="80" t="n"/>
      <c r="C792" s="80" t="n"/>
      <c r="D792" s="80" t="n"/>
      <c r="E792" s="80" t="n"/>
      <c r="F792" s="80" t="n"/>
      <c r="G792" s="80" t="n"/>
      <c r="H792" s="80" t="n"/>
      <c r="I792" s="80" t="n"/>
      <c r="J792" s="80" t="n"/>
      <c r="K792" s="80" t="n"/>
      <c r="L792" s="80" t="n"/>
      <c r="M792" s="80" t="n"/>
    </row>
    <row r="793">
      <c r="A793" s="80" t="n"/>
      <c r="B793" s="80" t="n"/>
      <c r="C793" s="80" t="n"/>
      <c r="D793" s="80" t="n"/>
      <c r="E793" s="80" t="n"/>
      <c r="F793" s="80" t="n"/>
      <c r="G793" s="80" t="n"/>
      <c r="H793" s="80" t="n"/>
      <c r="I793" s="80" t="n"/>
      <c r="J793" s="80" t="n"/>
      <c r="K793" s="80" t="n"/>
      <c r="L793" s="80" t="n"/>
      <c r="M793" s="80" t="n"/>
    </row>
    <row r="794">
      <c r="A794" s="80" t="n"/>
      <c r="B794" s="80" t="n"/>
      <c r="C794" s="80" t="n"/>
      <c r="D794" s="80" t="n"/>
      <c r="E794" s="80" t="n"/>
      <c r="F794" s="80" t="n"/>
      <c r="G794" s="80" t="n"/>
      <c r="H794" s="80" t="n"/>
      <c r="I794" s="80" t="n"/>
      <c r="J794" s="80" t="n"/>
      <c r="K794" s="80" t="n"/>
      <c r="L794" s="80" t="n"/>
      <c r="M794" s="80" t="n"/>
    </row>
    <row r="795">
      <c r="A795" s="80" t="n"/>
      <c r="B795" s="80" t="n"/>
      <c r="C795" s="80" t="n"/>
      <c r="D795" s="80" t="n"/>
      <c r="E795" s="80" t="n"/>
      <c r="F795" s="80" t="n"/>
      <c r="G795" s="80" t="n"/>
      <c r="H795" s="80" t="n"/>
      <c r="I795" s="80" t="n"/>
      <c r="J795" s="80" t="n"/>
      <c r="K795" s="80" t="n"/>
      <c r="L795" s="80" t="n"/>
      <c r="M795" s="80" t="n"/>
    </row>
    <row r="796">
      <c r="A796" s="80" t="n"/>
      <c r="B796" s="80" t="n"/>
      <c r="C796" s="80" t="n"/>
      <c r="D796" s="80" t="n"/>
      <c r="E796" s="80" t="n"/>
      <c r="F796" s="80" t="n"/>
      <c r="G796" s="80" t="n"/>
      <c r="H796" s="80" t="n"/>
      <c r="I796" s="80" t="n"/>
      <c r="J796" s="80" t="n"/>
      <c r="K796" s="80" t="n"/>
      <c r="L796" s="80" t="n"/>
      <c r="M796" s="80" t="n"/>
    </row>
    <row r="797">
      <c r="A797" s="80" t="n"/>
      <c r="B797" s="80" t="n"/>
      <c r="C797" s="80" t="n"/>
      <c r="D797" s="80" t="n"/>
      <c r="E797" s="80" t="n"/>
      <c r="F797" s="80" t="n"/>
      <c r="G797" s="80" t="n"/>
      <c r="H797" s="80" t="n"/>
      <c r="I797" s="80" t="n"/>
      <c r="J797" s="80" t="n"/>
      <c r="K797" s="80" t="n"/>
      <c r="L797" s="80" t="n"/>
      <c r="M797" s="80" t="n"/>
    </row>
    <row r="798">
      <c r="A798" s="80" t="n"/>
      <c r="B798" s="80" t="n"/>
      <c r="C798" s="80" t="n"/>
      <c r="D798" s="80" t="n"/>
      <c r="E798" s="80" t="n"/>
      <c r="F798" s="80" t="n"/>
      <c r="G798" s="80" t="n"/>
      <c r="H798" s="80" t="n"/>
      <c r="I798" s="80" t="n"/>
      <c r="J798" s="80" t="n"/>
      <c r="K798" s="80" t="n"/>
      <c r="L798" s="80" t="n"/>
      <c r="M798" s="80" t="n"/>
    </row>
    <row r="799">
      <c r="A799" s="80" t="n"/>
      <c r="B799" s="80" t="n"/>
      <c r="C799" s="80" t="n"/>
      <c r="D799" s="80" t="n"/>
      <c r="E799" s="80" t="n"/>
      <c r="F799" s="80" t="n"/>
      <c r="G799" s="80" t="n"/>
      <c r="H799" s="80" t="n"/>
      <c r="I799" s="80" t="n"/>
      <c r="J799" s="80" t="n"/>
      <c r="K799" s="80" t="n"/>
      <c r="L799" s="80" t="n"/>
      <c r="M799" s="80" t="n"/>
    </row>
    <row r="800">
      <c r="A800" s="80" t="n"/>
      <c r="B800" s="80" t="n"/>
      <c r="C800" s="80" t="n"/>
      <c r="D800" s="80" t="n"/>
      <c r="E800" s="80" t="n"/>
      <c r="F800" s="80" t="n"/>
      <c r="G800" s="80" t="n"/>
      <c r="H800" s="80" t="n"/>
      <c r="I800" s="80" t="n"/>
      <c r="J800" s="80" t="n"/>
      <c r="K800" s="80" t="n"/>
      <c r="L800" s="80" t="n"/>
      <c r="M800" s="80" t="n"/>
    </row>
    <row r="801">
      <c r="A801" s="80" t="n"/>
      <c r="B801" s="80" t="n"/>
      <c r="C801" s="80" t="n"/>
      <c r="D801" s="80" t="n"/>
      <c r="E801" s="80" t="n"/>
      <c r="F801" s="80" t="n"/>
      <c r="G801" s="80" t="n"/>
      <c r="H801" s="80" t="n"/>
      <c r="I801" s="80" t="n"/>
      <c r="J801" s="80" t="n"/>
      <c r="K801" s="80" t="n"/>
      <c r="L801" s="80" t="n"/>
      <c r="M801" s="80" t="n"/>
    </row>
    <row r="802">
      <c r="A802" s="80" t="n"/>
      <c r="B802" s="80" t="n"/>
      <c r="C802" s="80" t="n"/>
      <c r="D802" s="80" t="n"/>
      <c r="E802" s="80" t="n"/>
      <c r="F802" s="80" t="n"/>
      <c r="G802" s="80" t="n"/>
      <c r="H802" s="80" t="n"/>
      <c r="I802" s="80" t="n"/>
      <c r="J802" s="80" t="n"/>
      <c r="K802" s="80" t="n"/>
      <c r="L802" s="80" t="n"/>
      <c r="M802" s="80" t="n"/>
    </row>
    <row r="803">
      <c r="A803" s="80" t="n"/>
      <c r="B803" s="80" t="n"/>
      <c r="C803" s="80" t="n"/>
      <c r="D803" s="80" t="n"/>
      <c r="E803" s="80" t="n"/>
      <c r="F803" s="80" t="n"/>
      <c r="G803" s="80" t="n"/>
      <c r="H803" s="80" t="n"/>
      <c r="I803" s="80" t="n"/>
      <c r="J803" s="80" t="n"/>
      <c r="K803" s="80" t="n"/>
      <c r="L803" s="80" t="n"/>
      <c r="M803" s="80" t="n"/>
    </row>
    <row r="804">
      <c r="A804" s="80" t="n"/>
      <c r="B804" s="80" t="n"/>
      <c r="C804" s="80" t="n"/>
      <c r="D804" s="80" t="n"/>
      <c r="E804" s="80" t="n"/>
      <c r="F804" s="80" t="n"/>
      <c r="G804" s="80" t="n"/>
      <c r="H804" s="80" t="n"/>
      <c r="I804" s="80" t="n"/>
      <c r="J804" s="80" t="n"/>
      <c r="K804" s="80" t="n"/>
      <c r="L804" s="80" t="n"/>
      <c r="M804" s="80" t="n"/>
    </row>
    <row r="805">
      <c r="A805" s="80" t="n"/>
      <c r="B805" s="80" t="n"/>
      <c r="C805" s="80" t="n"/>
      <c r="D805" s="80" t="n"/>
      <c r="E805" s="80" t="n"/>
      <c r="F805" s="80" t="n"/>
      <c r="G805" s="80" t="n"/>
      <c r="H805" s="80" t="n"/>
      <c r="I805" s="80" t="n"/>
      <c r="J805" s="80" t="n"/>
      <c r="K805" s="80" t="n"/>
      <c r="L805" s="80" t="n"/>
      <c r="M805" s="80" t="n"/>
    </row>
    <row r="806">
      <c r="A806" s="80" t="n"/>
      <c r="B806" s="80" t="n"/>
      <c r="C806" s="80" t="n"/>
      <c r="D806" s="80" t="n"/>
      <c r="E806" s="80" t="n"/>
      <c r="F806" s="80" t="n"/>
      <c r="G806" s="80" t="n"/>
      <c r="H806" s="80" t="n"/>
      <c r="I806" s="80" t="n"/>
      <c r="J806" s="80" t="n"/>
      <c r="K806" s="80" t="n"/>
      <c r="L806" s="80" t="n"/>
      <c r="M806" s="80" t="n"/>
    </row>
    <row r="807">
      <c r="A807" s="80" t="n"/>
      <c r="B807" s="80" t="n"/>
      <c r="C807" s="80" t="n"/>
      <c r="D807" s="80" t="n"/>
      <c r="E807" s="80" t="n"/>
      <c r="F807" s="80" t="n"/>
      <c r="G807" s="80" t="n"/>
      <c r="H807" s="80" t="n"/>
      <c r="I807" s="80" t="n"/>
      <c r="J807" s="80" t="n"/>
      <c r="K807" s="80" t="n"/>
      <c r="L807" s="80" t="n"/>
      <c r="M807" s="80" t="n"/>
    </row>
    <row r="808">
      <c r="A808" s="80" t="n"/>
      <c r="B808" s="80" t="n"/>
      <c r="C808" s="80" t="n"/>
      <c r="D808" s="80" t="n"/>
      <c r="E808" s="80" t="n"/>
      <c r="F808" s="80" t="n"/>
      <c r="G808" s="80" t="n"/>
      <c r="H808" s="80" t="n"/>
      <c r="I808" s="80" t="n"/>
      <c r="J808" s="80" t="n"/>
      <c r="K808" s="80" t="n"/>
      <c r="L808" s="80" t="n"/>
      <c r="M808" s="80" t="n"/>
    </row>
    <row r="809">
      <c r="A809" s="80" t="n"/>
      <c r="B809" s="80" t="n"/>
      <c r="C809" s="80" t="n"/>
      <c r="D809" s="80" t="n"/>
      <c r="E809" s="80" t="n"/>
      <c r="F809" s="80" t="n"/>
      <c r="G809" s="80" t="n"/>
      <c r="H809" s="80" t="n"/>
      <c r="I809" s="80" t="n"/>
      <c r="J809" s="80" t="n"/>
      <c r="K809" s="80" t="n"/>
      <c r="L809" s="80" t="n"/>
      <c r="M809" s="80" t="n"/>
    </row>
    <row r="810">
      <c r="A810" s="80" t="n"/>
      <c r="B810" s="80" t="n"/>
      <c r="C810" s="80" t="n"/>
      <c r="D810" s="80" t="n"/>
      <c r="E810" s="80" t="n"/>
      <c r="F810" s="80" t="n"/>
      <c r="G810" s="80" t="n"/>
      <c r="H810" s="80" t="n"/>
      <c r="I810" s="80" t="n"/>
      <c r="J810" s="80" t="n"/>
      <c r="K810" s="80" t="n"/>
      <c r="L810" s="80" t="n"/>
      <c r="M810" s="80" t="n"/>
    </row>
    <row r="811">
      <c r="A811" s="80" t="n"/>
      <c r="B811" s="80" t="n"/>
      <c r="C811" s="80" t="n"/>
      <c r="D811" s="80" t="n"/>
      <c r="E811" s="80" t="n"/>
      <c r="F811" s="80" t="n"/>
      <c r="G811" s="80" t="n"/>
      <c r="H811" s="80" t="n"/>
      <c r="I811" s="80" t="n"/>
      <c r="J811" s="80" t="n"/>
      <c r="K811" s="80" t="n"/>
      <c r="L811" s="80" t="n"/>
      <c r="M811" s="80" t="n"/>
    </row>
    <row r="812">
      <c r="A812" s="80" t="n"/>
      <c r="B812" s="80" t="n"/>
      <c r="C812" s="80" t="n"/>
      <c r="D812" s="80" t="n"/>
      <c r="E812" s="80" t="n"/>
      <c r="F812" s="80" t="n"/>
      <c r="G812" s="80" t="n"/>
      <c r="H812" s="80" t="n"/>
      <c r="I812" s="80" t="n"/>
      <c r="J812" s="80" t="n"/>
      <c r="K812" s="80" t="n"/>
      <c r="L812" s="80" t="n"/>
      <c r="M812" s="80" t="n"/>
    </row>
    <row r="813">
      <c r="A813" s="80" t="n"/>
      <c r="B813" s="80" t="n"/>
      <c r="C813" s="80" t="n"/>
      <c r="D813" s="80" t="n"/>
      <c r="E813" s="80" t="n"/>
      <c r="F813" s="80" t="n"/>
      <c r="G813" s="80" t="n"/>
      <c r="H813" s="80" t="n"/>
      <c r="I813" s="80" t="n"/>
      <c r="J813" s="80" t="n"/>
      <c r="K813" s="80" t="n"/>
      <c r="L813" s="80" t="n"/>
      <c r="M813" s="80" t="n"/>
    </row>
    <row r="814">
      <c r="A814" s="80" t="n"/>
      <c r="B814" s="80" t="n"/>
      <c r="C814" s="80" t="n"/>
      <c r="D814" s="80" t="n"/>
      <c r="E814" s="80" t="n"/>
      <c r="F814" s="80" t="n"/>
      <c r="G814" s="80" t="n"/>
      <c r="H814" s="80" t="n"/>
      <c r="I814" s="80" t="n"/>
      <c r="J814" s="80" t="n"/>
      <c r="K814" s="80" t="n"/>
      <c r="L814" s="80" t="n"/>
      <c r="M814" s="80" t="n"/>
    </row>
    <row r="815">
      <c r="A815" s="80" t="n"/>
      <c r="B815" s="80" t="n"/>
      <c r="C815" s="80" t="n"/>
      <c r="D815" s="80" t="n"/>
      <c r="E815" s="80" t="n"/>
      <c r="F815" s="80" t="n"/>
      <c r="G815" s="80" t="n"/>
      <c r="H815" s="80" t="n"/>
      <c r="I815" s="80" t="n"/>
      <c r="J815" s="80" t="n"/>
      <c r="K815" s="80" t="n"/>
      <c r="L815" s="80" t="n"/>
      <c r="M815" s="80" t="n"/>
    </row>
    <row r="816">
      <c r="A816" s="80" t="n"/>
      <c r="B816" s="80" t="n"/>
      <c r="C816" s="80" t="n"/>
      <c r="D816" s="80" t="n"/>
      <c r="E816" s="80" t="n"/>
      <c r="F816" s="80" t="n"/>
      <c r="G816" s="80" t="n"/>
      <c r="H816" s="80" t="n"/>
      <c r="I816" s="80" t="n"/>
      <c r="J816" s="80" t="n"/>
      <c r="K816" s="80" t="n"/>
      <c r="L816" s="80" t="n"/>
      <c r="M816" s="80" t="n"/>
    </row>
    <row r="817">
      <c r="A817" s="80" t="n"/>
      <c r="B817" s="80" t="n"/>
      <c r="C817" s="80" t="n"/>
      <c r="D817" s="80" t="n"/>
      <c r="E817" s="80" t="n"/>
      <c r="F817" s="80" t="n"/>
      <c r="G817" s="80" t="n"/>
      <c r="H817" s="80" t="n"/>
      <c r="I817" s="80" t="n"/>
      <c r="J817" s="80" t="n"/>
      <c r="K817" s="80" t="n"/>
      <c r="L817" s="80" t="n"/>
      <c r="M817" s="80" t="n"/>
    </row>
    <row r="818">
      <c r="A818" s="80" t="n"/>
      <c r="B818" s="80" t="n"/>
      <c r="C818" s="80" t="n"/>
      <c r="D818" s="80" t="n"/>
      <c r="E818" s="80" t="n"/>
      <c r="F818" s="80" t="n"/>
      <c r="G818" s="80" t="n"/>
      <c r="H818" s="80" t="n"/>
      <c r="I818" s="80" t="n"/>
      <c r="J818" s="80" t="n"/>
      <c r="K818" s="80" t="n"/>
      <c r="L818" s="80" t="n"/>
      <c r="M818" s="80" t="n"/>
    </row>
    <row r="819">
      <c r="A819" s="80" t="n"/>
      <c r="B819" s="80" t="n"/>
      <c r="C819" s="80" t="n"/>
      <c r="D819" s="80" t="n"/>
      <c r="E819" s="80" t="n"/>
      <c r="F819" s="80" t="n"/>
      <c r="G819" s="80" t="n"/>
      <c r="H819" s="80" t="n"/>
      <c r="I819" s="80" t="n"/>
      <c r="J819" s="80" t="n"/>
      <c r="K819" s="80" t="n"/>
      <c r="L819" s="80" t="n"/>
      <c r="M819" s="80" t="n"/>
    </row>
    <row r="820">
      <c r="A820" s="80" t="n"/>
      <c r="B820" s="80" t="n"/>
      <c r="C820" s="80" t="n"/>
      <c r="D820" s="80" t="n"/>
      <c r="E820" s="80" t="n"/>
      <c r="F820" s="80" t="n"/>
      <c r="G820" s="80" t="n"/>
      <c r="H820" s="80" t="n"/>
      <c r="I820" s="80" t="n"/>
      <c r="J820" s="80" t="n"/>
      <c r="K820" s="80" t="n"/>
      <c r="L820" s="80" t="n"/>
      <c r="M820" s="80" t="n"/>
    </row>
    <row r="821">
      <c r="A821" s="80" t="n"/>
      <c r="B821" s="80" t="n"/>
      <c r="C821" s="80" t="n"/>
      <c r="D821" s="80" t="n"/>
      <c r="E821" s="80" t="n"/>
      <c r="F821" s="80" t="n"/>
      <c r="G821" s="80" t="n"/>
      <c r="H821" s="80" t="n"/>
      <c r="I821" s="80" t="n"/>
      <c r="J821" s="80" t="n"/>
      <c r="K821" s="80" t="n"/>
      <c r="L821" s="80" t="n"/>
      <c r="M821" s="80" t="n"/>
    </row>
    <row r="822">
      <c r="A822" s="80" t="n"/>
      <c r="B822" s="80" t="n"/>
      <c r="C822" s="80" t="n"/>
      <c r="D822" s="80" t="n"/>
      <c r="E822" s="80" t="n"/>
      <c r="F822" s="80" t="n"/>
      <c r="G822" s="80" t="n"/>
      <c r="H822" s="80" t="n"/>
      <c r="I822" s="80" t="n"/>
      <c r="J822" s="80" t="n"/>
      <c r="K822" s="80" t="n"/>
      <c r="L822" s="80" t="n"/>
      <c r="M822" s="80" t="n"/>
    </row>
    <row r="823">
      <c r="A823" s="80" t="n"/>
      <c r="B823" s="80" t="n"/>
      <c r="C823" s="80" t="n"/>
      <c r="D823" s="80" t="n"/>
      <c r="E823" s="80" t="n"/>
      <c r="F823" s="80" t="n"/>
      <c r="G823" s="80" t="n"/>
      <c r="H823" s="80" t="n"/>
      <c r="I823" s="80" t="n"/>
      <c r="J823" s="80" t="n"/>
      <c r="K823" s="80" t="n"/>
      <c r="L823" s="80" t="n"/>
      <c r="M823" s="80" t="n"/>
    </row>
    <row r="824">
      <c r="A824" s="80" t="n"/>
      <c r="B824" s="80" t="n"/>
      <c r="C824" s="80" t="n"/>
      <c r="D824" s="80" t="n"/>
      <c r="E824" s="80" t="n"/>
      <c r="F824" s="80" t="n"/>
      <c r="G824" s="80" t="n"/>
      <c r="H824" s="80" t="n"/>
      <c r="I824" s="80" t="n"/>
      <c r="J824" s="80" t="n"/>
      <c r="K824" s="80" t="n"/>
      <c r="L824" s="80" t="n"/>
      <c r="M824" s="80" t="n"/>
    </row>
    <row r="825">
      <c r="A825" s="80" t="n"/>
      <c r="B825" s="80" t="n"/>
      <c r="C825" s="80" t="n"/>
      <c r="D825" s="80" t="n"/>
      <c r="E825" s="80" t="n"/>
      <c r="F825" s="80" t="n"/>
      <c r="G825" s="80" t="n"/>
      <c r="H825" s="80" t="n"/>
      <c r="I825" s="80" t="n"/>
      <c r="J825" s="80" t="n"/>
      <c r="K825" s="80" t="n"/>
      <c r="L825" s="80" t="n"/>
      <c r="M825" s="80" t="n"/>
    </row>
    <row r="826">
      <c r="A826" s="80" t="n"/>
      <c r="B826" s="80" t="n"/>
      <c r="C826" s="80" t="n"/>
      <c r="D826" s="80" t="n"/>
      <c r="E826" s="80" t="n"/>
      <c r="F826" s="80" t="n"/>
      <c r="G826" s="80" t="n"/>
      <c r="H826" s="80" t="n"/>
      <c r="I826" s="80" t="n"/>
      <c r="J826" s="80" t="n"/>
      <c r="K826" s="80" t="n"/>
      <c r="L826" s="80" t="n"/>
      <c r="M826" s="80" t="n"/>
    </row>
    <row r="827">
      <c r="A827" s="80" t="n"/>
      <c r="B827" s="80" t="n"/>
      <c r="C827" s="80" t="n"/>
      <c r="D827" s="80" t="n"/>
      <c r="E827" s="80" t="n"/>
      <c r="F827" s="80" t="n"/>
      <c r="G827" s="80" t="n"/>
      <c r="H827" s="80" t="n"/>
      <c r="I827" s="80" t="n"/>
      <c r="J827" s="80" t="n"/>
      <c r="K827" s="80" t="n"/>
      <c r="L827" s="80" t="n"/>
      <c r="M827" s="80" t="n"/>
    </row>
    <row r="828">
      <c r="A828" s="80" t="n"/>
      <c r="B828" s="80" t="n"/>
      <c r="C828" s="80" t="n"/>
      <c r="D828" s="80" t="n"/>
      <c r="E828" s="80" t="n"/>
      <c r="F828" s="80" t="n"/>
      <c r="G828" s="80" t="n"/>
      <c r="H828" s="80" t="n"/>
      <c r="I828" s="80" t="n"/>
      <c r="J828" s="80" t="n"/>
      <c r="K828" s="80" t="n"/>
      <c r="L828" s="80" t="n"/>
      <c r="M828" s="80" t="n"/>
    </row>
    <row r="829">
      <c r="A829" s="80" t="n"/>
      <c r="B829" s="80" t="n"/>
      <c r="C829" s="80" t="n"/>
      <c r="D829" s="80" t="n"/>
      <c r="E829" s="80" t="n"/>
      <c r="F829" s="80" t="n"/>
      <c r="G829" s="80" t="n"/>
      <c r="H829" s="80" t="n"/>
      <c r="I829" s="80" t="n"/>
      <c r="J829" s="80" t="n"/>
      <c r="K829" s="80" t="n"/>
      <c r="L829" s="80" t="n"/>
      <c r="M829" s="80" t="n"/>
    </row>
    <row r="830">
      <c r="A830" s="80" t="n"/>
      <c r="B830" s="80" t="n"/>
      <c r="C830" s="80" t="n"/>
      <c r="D830" s="80" t="n"/>
      <c r="E830" s="80" t="n"/>
      <c r="F830" s="80" t="n"/>
      <c r="G830" s="80" t="n"/>
      <c r="H830" s="80" t="n"/>
      <c r="I830" s="80" t="n"/>
      <c r="J830" s="80" t="n"/>
      <c r="K830" s="80" t="n"/>
      <c r="L830" s="80" t="n"/>
      <c r="M830" s="80" t="n"/>
    </row>
    <row r="831">
      <c r="A831" s="80" t="n"/>
      <c r="B831" s="80" t="n"/>
      <c r="C831" s="80" t="n"/>
      <c r="D831" s="80" t="n"/>
      <c r="E831" s="80" t="n"/>
      <c r="F831" s="80" t="n"/>
      <c r="G831" s="80" t="n"/>
      <c r="H831" s="80" t="n"/>
      <c r="I831" s="80" t="n"/>
      <c r="J831" s="80" t="n"/>
      <c r="K831" s="80" t="n"/>
      <c r="L831" s="80" t="n"/>
      <c r="M831" s="80" t="n"/>
    </row>
    <row r="832">
      <c r="A832" s="80" t="n"/>
      <c r="B832" s="80" t="n"/>
      <c r="C832" s="80" t="n"/>
      <c r="D832" s="80" t="n"/>
      <c r="E832" s="80" t="n"/>
      <c r="F832" s="80" t="n"/>
      <c r="G832" s="80" t="n"/>
      <c r="H832" s="80" t="n"/>
      <c r="I832" s="80" t="n"/>
      <c r="J832" s="80" t="n"/>
      <c r="K832" s="80" t="n"/>
      <c r="L832" s="80" t="n"/>
      <c r="M832" s="80" t="n"/>
    </row>
    <row r="833">
      <c r="A833" s="80" t="n"/>
      <c r="B833" s="80" t="n"/>
      <c r="C833" s="80" t="n"/>
      <c r="D833" s="80" t="n"/>
      <c r="E833" s="80" t="n"/>
      <c r="F833" s="80" t="n"/>
      <c r="G833" s="80" t="n"/>
      <c r="H833" s="80" t="n"/>
      <c r="I833" s="80" t="n"/>
      <c r="J833" s="80" t="n"/>
      <c r="K833" s="80" t="n"/>
      <c r="L833" s="80" t="n"/>
      <c r="M833" s="80" t="n"/>
    </row>
    <row r="834">
      <c r="A834" s="80" t="n"/>
      <c r="B834" s="80" t="n"/>
      <c r="C834" s="80" t="n"/>
      <c r="D834" s="80" t="n"/>
      <c r="E834" s="80" t="n"/>
      <c r="F834" s="80" t="n"/>
      <c r="G834" s="80" t="n"/>
      <c r="H834" s="80" t="n"/>
      <c r="I834" s="80" t="n"/>
      <c r="J834" s="80" t="n"/>
      <c r="K834" s="80" t="n"/>
      <c r="L834" s="80" t="n"/>
      <c r="M834" s="80" t="n"/>
    </row>
    <row r="835">
      <c r="A835" s="80" t="n"/>
      <c r="B835" s="80" t="n"/>
      <c r="C835" s="80" t="n"/>
      <c r="D835" s="80" t="n"/>
      <c r="E835" s="80" t="n"/>
      <c r="F835" s="80" t="n"/>
      <c r="G835" s="80" t="n"/>
      <c r="H835" s="80" t="n"/>
      <c r="I835" s="80" t="n"/>
      <c r="J835" s="80" t="n"/>
      <c r="K835" s="80" t="n"/>
      <c r="L835" s="80" t="n"/>
      <c r="M835" s="80" t="n"/>
    </row>
    <row r="836">
      <c r="A836" s="80" t="n"/>
      <c r="B836" s="80" t="n"/>
      <c r="C836" s="80" t="n"/>
      <c r="D836" s="80" t="n"/>
      <c r="E836" s="80" t="n"/>
      <c r="F836" s="80" t="n"/>
      <c r="G836" s="80" t="n"/>
      <c r="H836" s="80" t="n"/>
      <c r="I836" s="80" t="n"/>
      <c r="J836" s="80" t="n"/>
      <c r="K836" s="80" t="n"/>
      <c r="L836" s="80" t="n"/>
      <c r="M836" s="80" t="n"/>
    </row>
    <row r="837">
      <c r="A837" s="80" t="n"/>
      <c r="B837" s="80" t="n"/>
      <c r="C837" s="80" t="n"/>
      <c r="D837" s="80" t="n"/>
      <c r="E837" s="80" t="n"/>
      <c r="F837" s="80" t="n"/>
      <c r="G837" s="80" t="n"/>
      <c r="H837" s="80" t="n"/>
      <c r="I837" s="80" t="n"/>
      <c r="J837" s="80" t="n"/>
      <c r="K837" s="80" t="n"/>
      <c r="L837" s="80" t="n"/>
      <c r="M837" s="80" t="n"/>
    </row>
    <row r="838">
      <c r="A838" s="80" t="n"/>
      <c r="B838" s="80" t="n"/>
      <c r="C838" s="80" t="n"/>
      <c r="D838" s="80" t="n"/>
      <c r="E838" s="80" t="n"/>
      <c r="F838" s="80" t="n"/>
      <c r="G838" s="80" t="n"/>
      <c r="H838" s="80" t="n"/>
      <c r="I838" s="80" t="n"/>
      <c r="J838" s="80" t="n"/>
      <c r="K838" s="80" t="n"/>
      <c r="L838" s="80" t="n"/>
      <c r="M838" s="80" t="n"/>
    </row>
    <row r="839">
      <c r="A839" s="80" t="n"/>
      <c r="B839" s="80" t="n"/>
      <c r="C839" s="80" t="n"/>
      <c r="D839" s="80" t="n"/>
      <c r="E839" s="80" t="n"/>
      <c r="F839" s="80" t="n"/>
      <c r="G839" s="80" t="n"/>
      <c r="H839" s="80" t="n"/>
      <c r="I839" s="80" t="n"/>
      <c r="J839" s="80" t="n"/>
      <c r="K839" s="80" t="n"/>
      <c r="L839" s="80" t="n"/>
      <c r="M839" s="80" t="n"/>
    </row>
    <row r="840">
      <c r="A840" s="80" t="n"/>
      <c r="B840" s="80" t="n"/>
      <c r="C840" s="80" t="n"/>
      <c r="D840" s="80" t="n"/>
      <c r="E840" s="80" t="n"/>
      <c r="F840" s="80" t="n"/>
      <c r="G840" s="80" t="n"/>
      <c r="H840" s="80" t="n"/>
      <c r="I840" s="80" t="n"/>
      <c r="J840" s="80" t="n"/>
      <c r="K840" s="80" t="n"/>
      <c r="L840" s="80" t="n"/>
      <c r="M840" s="80" t="n"/>
    </row>
    <row r="841">
      <c r="A841" s="80" t="n"/>
      <c r="B841" s="80" t="n"/>
      <c r="C841" s="80" t="n"/>
      <c r="D841" s="80" t="n"/>
      <c r="E841" s="80" t="n"/>
      <c r="F841" s="80" t="n"/>
      <c r="G841" s="80" t="n"/>
      <c r="H841" s="80" t="n"/>
      <c r="I841" s="80" t="n"/>
      <c r="J841" s="80" t="n"/>
      <c r="K841" s="80" t="n"/>
      <c r="L841" s="80" t="n"/>
      <c r="M841" s="80" t="n"/>
    </row>
    <row r="842">
      <c r="A842" s="80" t="n"/>
      <c r="B842" s="80" t="n"/>
      <c r="C842" s="80" t="n"/>
      <c r="D842" s="80" t="n"/>
      <c r="E842" s="80" t="n"/>
      <c r="F842" s="80" t="n"/>
      <c r="G842" s="80" t="n"/>
      <c r="H842" s="80" t="n"/>
      <c r="I842" s="80" t="n"/>
      <c r="J842" s="80" t="n"/>
      <c r="K842" s="80" t="n"/>
      <c r="L842" s="80" t="n"/>
      <c r="M842" s="80" t="n"/>
    </row>
    <row r="843">
      <c r="A843" s="80" t="n"/>
      <c r="B843" s="80" t="n"/>
      <c r="C843" s="80" t="n"/>
      <c r="D843" s="80" t="n"/>
      <c r="E843" s="80" t="n"/>
      <c r="F843" s="80" t="n"/>
      <c r="G843" s="80" t="n"/>
      <c r="H843" s="80" t="n"/>
      <c r="I843" s="80" t="n"/>
      <c r="J843" s="80" t="n"/>
      <c r="K843" s="80" t="n"/>
      <c r="L843" s="80" t="n"/>
      <c r="M843" s="80" t="n"/>
    </row>
    <row r="844">
      <c r="A844" s="80" t="n"/>
      <c r="B844" s="80" t="n"/>
      <c r="C844" s="80" t="n"/>
      <c r="D844" s="80" t="n"/>
      <c r="E844" s="80" t="n"/>
      <c r="F844" s="80" t="n"/>
      <c r="G844" s="80" t="n"/>
      <c r="H844" s="80" t="n"/>
      <c r="I844" s="80" t="n"/>
      <c r="J844" s="80" t="n"/>
      <c r="K844" s="80" t="n"/>
      <c r="L844" s="80" t="n"/>
      <c r="M844" s="80" t="n"/>
    </row>
    <row r="845">
      <c r="A845" s="80" t="n"/>
      <c r="B845" s="80" t="n"/>
      <c r="C845" s="80" t="n"/>
      <c r="D845" s="80" t="n"/>
      <c r="E845" s="80" t="n"/>
      <c r="F845" s="80" t="n"/>
      <c r="G845" s="80" t="n"/>
      <c r="H845" s="80" t="n"/>
      <c r="I845" s="80" t="n"/>
      <c r="J845" s="80" t="n"/>
      <c r="K845" s="80" t="n"/>
      <c r="L845" s="80" t="n"/>
      <c r="M845" s="80" t="n"/>
    </row>
    <row r="846">
      <c r="A846" s="80" t="n"/>
      <c r="B846" s="80" t="n"/>
      <c r="C846" s="80" t="n"/>
      <c r="D846" s="80" t="n"/>
      <c r="E846" s="80" t="n"/>
      <c r="F846" s="80" t="n"/>
      <c r="G846" s="80" t="n"/>
      <c r="H846" s="80" t="n"/>
      <c r="I846" s="80" t="n"/>
      <c r="J846" s="80" t="n"/>
      <c r="K846" s="80" t="n"/>
      <c r="L846" s="80" t="n"/>
      <c r="M846" s="80" t="n"/>
    </row>
    <row r="847">
      <c r="A847" s="80" t="n"/>
      <c r="B847" s="80" t="n"/>
      <c r="C847" s="80" t="n"/>
      <c r="D847" s="80" t="n"/>
      <c r="E847" s="80" t="n"/>
      <c r="F847" s="80" t="n"/>
      <c r="G847" s="80" t="n"/>
      <c r="H847" s="80" t="n"/>
      <c r="I847" s="80" t="n"/>
      <c r="J847" s="80" t="n"/>
      <c r="K847" s="80" t="n"/>
      <c r="L847" s="80" t="n"/>
      <c r="M847" s="80" t="n"/>
    </row>
    <row r="848">
      <c r="A848" s="80" t="n"/>
      <c r="B848" s="80" t="n"/>
      <c r="C848" s="80" t="n"/>
      <c r="D848" s="80" t="n"/>
      <c r="E848" s="80" t="n"/>
      <c r="F848" s="80" t="n"/>
      <c r="G848" s="80" t="n"/>
      <c r="H848" s="80" t="n"/>
      <c r="I848" s="80" t="n"/>
      <c r="J848" s="80" t="n"/>
      <c r="K848" s="80" t="n"/>
      <c r="L848" s="80" t="n"/>
      <c r="M848" s="80" t="n"/>
    </row>
    <row r="849">
      <c r="A849" s="80" t="n"/>
      <c r="B849" s="80" t="n"/>
      <c r="C849" s="80" t="n"/>
      <c r="D849" s="80" t="n"/>
      <c r="E849" s="80" t="n"/>
      <c r="F849" s="80" t="n"/>
      <c r="G849" s="80" t="n"/>
      <c r="H849" s="80" t="n"/>
      <c r="I849" s="80" t="n"/>
      <c r="J849" s="80" t="n"/>
      <c r="K849" s="80" t="n"/>
      <c r="L849" s="80" t="n"/>
      <c r="M849" s="80" t="n"/>
    </row>
    <row r="850">
      <c r="A850" s="80" t="n"/>
      <c r="B850" s="80" t="n"/>
      <c r="C850" s="80" t="n"/>
      <c r="D850" s="80" t="n"/>
      <c r="E850" s="80" t="n"/>
      <c r="F850" s="80" t="n"/>
      <c r="G850" s="80" t="n"/>
      <c r="H850" s="80" t="n"/>
      <c r="I850" s="80" t="n"/>
      <c r="J850" s="80" t="n"/>
      <c r="K850" s="80" t="n"/>
      <c r="L850" s="80" t="n"/>
      <c r="M850" s="80" t="n"/>
    </row>
    <row r="851">
      <c r="A851" s="80" t="n"/>
      <c r="B851" s="80" t="n"/>
      <c r="C851" s="80" t="n"/>
      <c r="D851" s="80" t="n"/>
      <c r="E851" s="80" t="n"/>
      <c r="F851" s="80" t="n"/>
      <c r="G851" s="80" t="n"/>
      <c r="H851" s="80" t="n"/>
      <c r="I851" s="80" t="n"/>
      <c r="J851" s="80" t="n"/>
      <c r="K851" s="80" t="n"/>
      <c r="L851" s="80" t="n"/>
      <c r="M851" s="80" t="n"/>
    </row>
    <row r="852">
      <c r="A852" s="80" t="n"/>
      <c r="B852" s="80" t="n"/>
      <c r="C852" s="80" t="n"/>
      <c r="D852" s="80" t="n"/>
      <c r="E852" s="80" t="n"/>
      <c r="F852" s="80" t="n"/>
      <c r="G852" s="80" t="n"/>
      <c r="H852" s="80" t="n"/>
      <c r="I852" s="80" t="n"/>
      <c r="J852" s="80" t="n"/>
      <c r="K852" s="80" t="n"/>
      <c r="L852" s="80" t="n"/>
      <c r="M852" s="80" t="n"/>
    </row>
    <row r="853">
      <c r="A853" s="80" t="n"/>
      <c r="B853" s="80" t="n"/>
      <c r="C853" s="80" t="n"/>
      <c r="D853" s="80" t="n"/>
      <c r="E853" s="80" t="n"/>
      <c r="F853" s="80" t="n"/>
      <c r="G853" s="80" t="n"/>
      <c r="H853" s="80" t="n"/>
      <c r="I853" s="80" t="n"/>
      <c r="J853" s="80" t="n"/>
      <c r="K853" s="80" t="n"/>
      <c r="L853" s="80" t="n"/>
      <c r="M853" s="80" t="n"/>
    </row>
    <row r="854">
      <c r="A854" s="80" t="n"/>
      <c r="B854" s="80" t="n"/>
      <c r="C854" s="80" t="n"/>
      <c r="D854" s="80" t="n"/>
      <c r="E854" s="80" t="n"/>
      <c r="F854" s="80" t="n"/>
      <c r="G854" s="80" t="n"/>
      <c r="H854" s="80" t="n"/>
      <c r="I854" s="80" t="n"/>
      <c r="J854" s="80" t="n"/>
      <c r="K854" s="80" t="n"/>
      <c r="L854" s="80" t="n"/>
      <c r="M854" s="80" t="n"/>
    </row>
    <row r="855">
      <c r="A855" s="80" t="n"/>
      <c r="B855" s="80" t="n"/>
      <c r="C855" s="80" t="n"/>
      <c r="D855" s="80" t="n"/>
      <c r="E855" s="80" t="n"/>
      <c r="F855" s="80" t="n"/>
      <c r="G855" s="80" t="n"/>
      <c r="H855" s="80" t="n"/>
      <c r="I855" s="80" t="n"/>
      <c r="J855" s="80" t="n"/>
      <c r="K855" s="80" t="n"/>
      <c r="L855" s="80" t="n"/>
      <c r="M855" s="80" t="n"/>
    </row>
    <row r="856">
      <c r="A856" s="80" t="n"/>
      <c r="B856" s="80" t="n"/>
      <c r="C856" s="80" t="n"/>
      <c r="D856" s="80" t="n"/>
      <c r="E856" s="80" t="n"/>
      <c r="F856" s="80" t="n"/>
      <c r="G856" s="80" t="n"/>
      <c r="H856" s="80" t="n"/>
      <c r="I856" s="80" t="n"/>
      <c r="J856" s="80" t="n"/>
      <c r="K856" s="80" t="n"/>
      <c r="L856" s="80" t="n"/>
      <c r="M856" s="80" t="n"/>
    </row>
    <row r="857">
      <c r="A857" s="80" t="n"/>
      <c r="B857" s="80" t="n"/>
      <c r="C857" s="80" t="n"/>
      <c r="D857" s="80" t="n"/>
      <c r="E857" s="80" t="n"/>
      <c r="F857" s="80" t="n"/>
      <c r="G857" s="80" t="n"/>
      <c r="H857" s="80" t="n"/>
      <c r="I857" s="80" t="n"/>
      <c r="J857" s="80" t="n"/>
      <c r="K857" s="80" t="n"/>
      <c r="L857" s="80" t="n"/>
      <c r="M857" s="80" t="n"/>
    </row>
    <row r="858">
      <c r="A858" s="80" t="n"/>
      <c r="B858" s="80" t="n"/>
      <c r="C858" s="80" t="n"/>
      <c r="D858" s="80" t="n"/>
      <c r="E858" s="80" t="n"/>
      <c r="F858" s="80" t="n"/>
      <c r="G858" s="80" t="n"/>
      <c r="H858" s="80" t="n"/>
      <c r="I858" s="80" t="n"/>
      <c r="J858" s="80" t="n"/>
      <c r="K858" s="80" t="n"/>
      <c r="L858" s="80" t="n"/>
      <c r="M858" s="80" t="n"/>
    </row>
    <row r="859">
      <c r="A859" s="80" t="n"/>
      <c r="B859" s="80" t="n"/>
      <c r="C859" s="80" t="n"/>
      <c r="D859" s="80" t="n"/>
      <c r="E859" s="80" t="n"/>
      <c r="F859" s="80" t="n"/>
      <c r="G859" s="80" t="n"/>
      <c r="H859" s="80" t="n"/>
      <c r="I859" s="80" t="n"/>
      <c r="J859" s="80" t="n"/>
      <c r="K859" s="80" t="n"/>
      <c r="L859" s="80" t="n"/>
      <c r="M859" s="80" t="n"/>
    </row>
    <row r="860">
      <c r="A860" s="80" t="n"/>
      <c r="B860" s="80" t="n"/>
      <c r="C860" s="80" t="n"/>
      <c r="D860" s="80" t="n"/>
      <c r="E860" s="80" t="n"/>
      <c r="F860" s="80" t="n"/>
      <c r="G860" s="80" t="n"/>
      <c r="H860" s="80" t="n"/>
      <c r="I860" s="80" t="n"/>
      <c r="J860" s="80" t="n"/>
      <c r="K860" s="80" t="n"/>
      <c r="L860" s="80" t="n"/>
      <c r="M860" s="80" t="n"/>
    </row>
    <row r="861">
      <c r="A861" s="80" t="n"/>
      <c r="B861" s="80" t="n"/>
      <c r="C861" s="80" t="n"/>
      <c r="D861" s="80" t="n"/>
      <c r="E861" s="80" t="n"/>
      <c r="F861" s="80" t="n"/>
      <c r="G861" s="80" t="n"/>
      <c r="H861" s="80" t="n"/>
      <c r="I861" s="80" t="n"/>
      <c r="J861" s="80" t="n"/>
      <c r="K861" s="80" t="n"/>
      <c r="L861" s="80" t="n"/>
      <c r="M861" s="80" t="n"/>
    </row>
    <row r="862">
      <c r="A862" s="80" t="n"/>
      <c r="B862" s="80" t="n"/>
      <c r="C862" s="80" t="n"/>
      <c r="D862" s="80" t="n"/>
      <c r="E862" s="80" t="n"/>
      <c r="F862" s="80" t="n"/>
      <c r="G862" s="80" t="n"/>
      <c r="H862" s="80" t="n"/>
      <c r="I862" s="80" t="n"/>
      <c r="J862" s="80" t="n"/>
      <c r="K862" s="80" t="n"/>
      <c r="L862" s="80" t="n"/>
      <c r="M862" s="80" t="n"/>
    </row>
    <row r="863">
      <c r="A863" s="80" t="n"/>
      <c r="B863" s="80" t="n"/>
      <c r="C863" s="80" t="n"/>
      <c r="D863" s="80" t="n"/>
      <c r="E863" s="80" t="n"/>
      <c r="F863" s="80" t="n"/>
      <c r="G863" s="80" t="n"/>
      <c r="H863" s="80" t="n"/>
      <c r="I863" s="80" t="n"/>
      <c r="J863" s="80" t="n"/>
      <c r="K863" s="80" t="n"/>
      <c r="L863" s="80" t="n"/>
      <c r="M863" s="80" t="n"/>
    </row>
    <row r="864">
      <c r="A864" s="80" t="n"/>
      <c r="B864" s="80" t="n"/>
      <c r="C864" s="80" t="n"/>
      <c r="D864" s="80" t="n"/>
      <c r="E864" s="80" t="n"/>
      <c r="F864" s="80" t="n"/>
      <c r="G864" s="80" t="n"/>
      <c r="H864" s="80" t="n"/>
      <c r="I864" s="80" t="n"/>
      <c r="J864" s="80" t="n"/>
      <c r="K864" s="80" t="n"/>
      <c r="L864" s="80" t="n"/>
      <c r="M864" s="80" t="n"/>
    </row>
    <row r="865">
      <c r="A865" s="80" t="n"/>
      <c r="B865" s="80" t="n"/>
      <c r="C865" s="80" t="n"/>
      <c r="D865" s="80" t="n"/>
      <c r="E865" s="80" t="n"/>
      <c r="F865" s="80" t="n"/>
      <c r="G865" s="80" t="n"/>
      <c r="H865" s="80" t="n"/>
      <c r="I865" s="80" t="n"/>
      <c r="J865" s="80" t="n"/>
      <c r="K865" s="80" t="n"/>
      <c r="L865" s="80" t="n"/>
      <c r="M865" s="80" t="n"/>
    </row>
    <row r="866">
      <c r="A866" s="80" t="n"/>
      <c r="B866" s="80" t="n"/>
      <c r="C866" s="80" t="n"/>
      <c r="D866" s="80" t="n"/>
      <c r="E866" s="80" t="n"/>
      <c r="F866" s="80" t="n"/>
      <c r="G866" s="80" t="n"/>
      <c r="H866" s="80" t="n"/>
      <c r="I866" s="80" t="n"/>
      <c r="J866" s="80" t="n"/>
      <c r="K866" s="80" t="n"/>
      <c r="L866" s="80" t="n"/>
      <c r="M866" s="80" t="n"/>
    </row>
    <row r="867">
      <c r="A867" s="80" t="n"/>
      <c r="B867" s="80" t="n"/>
      <c r="C867" s="80" t="n"/>
      <c r="D867" s="80" t="n"/>
      <c r="E867" s="80" t="n"/>
      <c r="F867" s="80" t="n"/>
      <c r="G867" s="80" t="n"/>
      <c r="H867" s="80" t="n"/>
      <c r="I867" s="80" t="n"/>
      <c r="J867" s="80" t="n"/>
      <c r="K867" s="80" t="n"/>
      <c r="L867" s="80" t="n"/>
      <c r="M867" s="80" t="n"/>
    </row>
    <row r="868">
      <c r="A868" s="80" t="n"/>
      <c r="B868" s="80" t="n"/>
      <c r="C868" s="80" t="n"/>
      <c r="D868" s="80" t="n"/>
      <c r="E868" s="80" t="n"/>
      <c r="F868" s="80" t="n"/>
      <c r="G868" s="80" t="n"/>
      <c r="H868" s="80" t="n"/>
      <c r="I868" s="80" t="n"/>
      <c r="J868" s="80" t="n"/>
      <c r="K868" s="80" t="n"/>
      <c r="L868" s="80" t="n"/>
      <c r="M868" s="80" t="n"/>
    </row>
    <row r="869">
      <c r="A869" s="80" t="n"/>
      <c r="B869" s="80" t="n"/>
      <c r="C869" s="80" t="n"/>
      <c r="D869" s="80" t="n"/>
      <c r="E869" s="80" t="n"/>
      <c r="F869" s="80" t="n"/>
      <c r="G869" s="80" t="n"/>
      <c r="H869" s="80" t="n"/>
      <c r="I869" s="80" t="n"/>
      <c r="J869" s="80" t="n"/>
      <c r="K869" s="80" t="n"/>
      <c r="L869" s="80" t="n"/>
      <c r="M869" s="80" t="n"/>
    </row>
    <row r="870">
      <c r="A870" s="80" t="n"/>
      <c r="B870" s="80" t="n"/>
      <c r="C870" s="80" t="n"/>
      <c r="D870" s="80" t="n"/>
      <c r="E870" s="80" t="n"/>
      <c r="F870" s="80" t="n"/>
      <c r="G870" s="80" t="n"/>
      <c r="H870" s="80" t="n"/>
      <c r="I870" s="80" t="n"/>
      <c r="J870" s="80" t="n"/>
      <c r="K870" s="80" t="n"/>
      <c r="L870" s="80" t="n"/>
      <c r="M870" s="80" t="n"/>
    </row>
    <row r="871">
      <c r="A871" s="80" t="n"/>
      <c r="B871" s="80" t="n"/>
      <c r="C871" s="80" t="n"/>
      <c r="D871" s="80" t="n"/>
      <c r="E871" s="80" t="n"/>
      <c r="F871" s="80" t="n"/>
      <c r="G871" s="80" t="n"/>
      <c r="H871" s="80" t="n"/>
      <c r="I871" s="80" t="n"/>
      <c r="J871" s="80" t="n"/>
      <c r="K871" s="80" t="n"/>
      <c r="L871" s="80" t="n"/>
      <c r="M871" s="80" t="n"/>
    </row>
    <row r="872">
      <c r="A872" s="80" t="n"/>
      <c r="B872" s="80" t="n"/>
      <c r="C872" s="80" t="n"/>
      <c r="D872" s="80" t="n"/>
      <c r="E872" s="80" t="n"/>
      <c r="F872" s="80" t="n"/>
      <c r="G872" s="80" t="n"/>
      <c r="H872" s="80" t="n"/>
      <c r="I872" s="80" t="n"/>
      <c r="J872" s="80" t="n"/>
      <c r="K872" s="80" t="n"/>
      <c r="L872" s="80" t="n"/>
      <c r="M872" s="80" t="n"/>
    </row>
    <row r="873">
      <c r="A873" s="80" t="n"/>
      <c r="B873" s="80" t="n"/>
      <c r="C873" s="80" t="n"/>
      <c r="D873" s="80" t="n"/>
      <c r="E873" s="80" t="n"/>
      <c r="F873" s="80" t="n"/>
      <c r="G873" s="80" t="n"/>
      <c r="H873" s="80" t="n"/>
      <c r="I873" s="80" t="n"/>
      <c r="J873" s="80" t="n"/>
      <c r="K873" s="80" t="n"/>
      <c r="L873" s="80" t="n"/>
      <c r="M873" s="80" t="n"/>
    </row>
    <row r="874">
      <c r="A874" s="80" t="n"/>
      <c r="B874" s="80" t="n"/>
      <c r="C874" s="80" t="n"/>
      <c r="D874" s="80" t="n"/>
      <c r="E874" s="80" t="n"/>
      <c r="F874" s="80" t="n"/>
      <c r="G874" s="80" t="n"/>
      <c r="H874" s="80" t="n"/>
      <c r="I874" s="80" t="n"/>
      <c r="J874" s="80" t="n"/>
      <c r="K874" s="80" t="n"/>
      <c r="L874" s="80" t="n"/>
      <c r="M874" s="80" t="n"/>
    </row>
    <row r="875">
      <c r="A875" s="80" t="n"/>
      <c r="B875" s="80" t="n"/>
      <c r="C875" s="80" t="n"/>
      <c r="D875" s="80" t="n"/>
      <c r="E875" s="80" t="n"/>
      <c r="F875" s="80" t="n"/>
      <c r="G875" s="80" t="n"/>
      <c r="H875" s="80" t="n"/>
      <c r="I875" s="80" t="n"/>
      <c r="J875" s="80" t="n"/>
      <c r="K875" s="80" t="n"/>
      <c r="L875" s="80" t="n"/>
      <c r="M875" s="80" t="n"/>
    </row>
    <row r="876">
      <c r="A876" s="80" t="n"/>
      <c r="B876" s="80" t="n"/>
      <c r="C876" s="80" t="n"/>
      <c r="D876" s="80" t="n"/>
      <c r="E876" s="80" t="n"/>
      <c r="F876" s="80" t="n"/>
      <c r="G876" s="80" t="n"/>
      <c r="H876" s="80" t="n"/>
      <c r="I876" s="80" t="n"/>
      <c r="J876" s="80" t="n"/>
      <c r="K876" s="80" t="n"/>
      <c r="L876" s="80" t="n"/>
      <c r="M876" s="80" t="n"/>
    </row>
    <row r="877">
      <c r="A877" s="80" t="n"/>
      <c r="B877" s="80" t="n"/>
      <c r="C877" s="80" t="n"/>
      <c r="D877" s="80" t="n"/>
      <c r="E877" s="80" t="n"/>
      <c r="F877" s="80" t="n"/>
      <c r="G877" s="80" t="n"/>
      <c r="H877" s="80" t="n"/>
      <c r="I877" s="80" t="n"/>
      <c r="J877" s="80" t="n"/>
      <c r="K877" s="80" t="n"/>
      <c r="L877" s="80" t="n"/>
      <c r="M877" s="80" t="n"/>
    </row>
    <row r="878">
      <c r="A878" s="80" t="n"/>
      <c r="B878" s="80" t="n"/>
      <c r="C878" s="80" t="n"/>
      <c r="D878" s="80" t="n"/>
      <c r="E878" s="80" t="n"/>
      <c r="F878" s="80" t="n"/>
      <c r="G878" s="80" t="n"/>
      <c r="H878" s="80" t="n"/>
      <c r="I878" s="80" t="n"/>
      <c r="J878" s="80" t="n"/>
      <c r="K878" s="80" t="n"/>
      <c r="L878" s="80" t="n"/>
      <c r="M878" s="80" t="n"/>
    </row>
    <row r="879">
      <c r="A879" s="80" t="n"/>
      <c r="B879" s="80" t="n"/>
      <c r="C879" s="80" t="n"/>
      <c r="D879" s="80" t="n"/>
      <c r="E879" s="80" t="n"/>
      <c r="F879" s="80" t="n"/>
      <c r="G879" s="80" t="n"/>
      <c r="H879" s="80" t="n"/>
      <c r="I879" s="80" t="n"/>
      <c r="J879" s="80" t="n"/>
      <c r="K879" s="80" t="n"/>
      <c r="L879" s="80" t="n"/>
      <c r="M879" s="80" t="n"/>
    </row>
    <row r="880">
      <c r="A880" s="80" t="n"/>
      <c r="B880" s="80" t="n"/>
      <c r="C880" s="80" t="n"/>
      <c r="D880" s="80" t="n"/>
      <c r="E880" s="80" t="n"/>
      <c r="F880" s="80" t="n"/>
      <c r="G880" s="80" t="n"/>
      <c r="H880" s="80" t="n"/>
      <c r="I880" s="80" t="n"/>
      <c r="J880" s="80" t="n"/>
      <c r="K880" s="80" t="n"/>
      <c r="L880" s="80" t="n"/>
      <c r="M880" s="80" t="n"/>
    </row>
    <row r="881">
      <c r="A881" s="80" t="n"/>
      <c r="B881" s="80" t="n"/>
      <c r="C881" s="80" t="n"/>
      <c r="D881" s="80" t="n"/>
      <c r="E881" s="80" t="n"/>
      <c r="F881" s="80" t="n"/>
      <c r="G881" s="80" t="n"/>
      <c r="H881" s="80" t="n"/>
      <c r="I881" s="80" t="n"/>
      <c r="J881" s="80" t="n"/>
      <c r="K881" s="80" t="n"/>
      <c r="L881" s="80" t="n"/>
      <c r="M881" s="80" t="n"/>
    </row>
    <row r="882">
      <c r="A882" s="80" t="n"/>
      <c r="B882" s="80" t="n"/>
      <c r="C882" s="80" t="n"/>
      <c r="D882" s="80" t="n"/>
      <c r="E882" s="80" t="n"/>
      <c r="F882" s="80" t="n"/>
      <c r="G882" s="80" t="n"/>
      <c r="H882" s="80" t="n"/>
      <c r="I882" s="80" t="n"/>
      <c r="J882" s="80" t="n"/>
      <c r="K882" s="80" t="n"/>
      <c r="L882" s="80" t="n"/>
      <c r="M882" s="80" t="n"/>
    </row>
    <row r="883">
      <c r="A883" s="80" t="n"/>
      <c r="B883" s="80" t="n"/>
      <c r="C883" s="80" t="n"/>
      <c r="D883" s="80" t="n"/>
      <c r="E883" s="80" t="n"/>
      <c r="F883" s="80" t="n"/>
      <c r="G883" s="80" t="n"/>
      <c r="H883" s="80" t="n"/>
      <c r="I883" s="80" t="n"/>
      <c r="J883" s="80" t="n"/>
      <c r="K883" s="80" t="n"/>
      <c r="L883" s="80" t="n"/>
      <c r="M883" s="80" t="n"/>
    </row>
    <row r="884">
      <c r="A884" s="80" t="n"/>
      <c r="B884" s="80" t="n"/>
      <c r="C884" s="80" t="n"/>
      <c r="D884" s="80" t="n"/>
      <c r="E884" s="80" t="n"/>
      <c r="F884" s="80" t="n"/>
      <c r="G884" s="80" t="n"/>
      <c r="H884" s="80" t="n"/>
      <c r="I884" s="80" t="n"/>
      <c r="J884" s="80" t="n"/>
      <c r="K884" s="80" t="n"/>
      <c r="L884" s="80" t="n"/>
      <c r="M884" s="80" t="n"/>
    </row>
    <row r="885">
      <c r="A885" s="80" t="n"/>
      <c r="B885" s="80" t="n"/>
      <c r="C885" s="80" t="n"/>
      <c r="D885" s="80" t="n"/>
      <c r="E885" s="80" t="n"/>
      <c r="F885" s="80" t="n"/>
      <c r="G885" s="80" t="n"/>
      <c r="H885" s="80" t="n"/>
      <c r="I885" s="80" t="n"/>
      <c r="J885" s="80" t="n"/>
      <c r="K885" s="80" t="n"/>
      <c r="L885" s="80" t="n"/>
      <c r="M885" s="80" t="n"/>
    </row>
    <row r="886">
      <c r="A886" s="80" t="n"/>
      <c r="B886" s="80" t="n"/>
      <c r="C886" s="80" t="n"/>
      <c r="D886" s="80" t="n"/>
      <c r="E886" s="80" t="n"/>
      <c r="F886" s="80" t="n"/>
      <c r="G886" s="80" t="n"/>
      <c r="H886" s="80" t="n"/>
      <c r="I886" s="80" t="n"/>
      <c r="J886" s="80" t="n"/>
      <c r="K886" s="80" t="n"/>
      <c r="L886" s="80" t="n"/>
      <c r="M886" s="80" t="n"/>
    </row>
    <row r="887">
      <c r="A887" s="80" t="n"/>
      <c r="B887" s="80" t="n"/>
      <c r="C887" s="80" t="n"/>
      <c r="D887" s="80" t="n"/>
      <c r="E887" s="80" t="n"/>
      <c r="F887" s="80" t="n"/>
      <c r="G887" s="80" t="n"/>
      <c r="H887" s="80" t="n"/>
      <c r="I887" s="80" t="n"/>
      <c r="J887" s="80" t="n"/>
      <c r="K887" s="80" t="n"/>
      <c r="L887" s="80" t="n"/>
      <c r="M887" s="80" t="n"/>
    </row>
    <row r="888">
      <c r="A888" s="80" t="n"/>
      <c r="B888" s="80" t="n"/>
      <c r="C888" s="80" t="n"/>
      <c r="D888" s="80" t="n"/>
      <c r="E888" s="80" t="n"/>
      <c r="F888" s="80" t="n"/>
      <c r="G888" s="80" t="n"/>
      <c r="H888" s="80" t="n"/>
      <c r="I888" s="80" t="n"/>
      <c r="J888" s="80" t="n"/>
      <c r="K888" s="80" t="n"/>
      <c r="L888" s="80" t="n"/>
      <c r="M888" s="80" t="n"/>
    </row>
    <row r="889">
      <c r="A889" s="80" t="n"/>
      <c r="B889" s="80" t="n"/>
      <c r="C889" s="80" t="n"/>
      <c r="D889" s="80" t="n"/>
      <c r="E889" s="80" t="n"/>
      <c r="F889" s="80" t="n"/>
      <c r="G889" s="80" t="n"/>
      <c r="H889" s="80" t="n"/>
      <c r="I889" s="80" t="n"/>
      <c r="J889" s="80" t="n"/>
      <c r="K889" s="80" t="n"/>
      <c r="L889" s="80" t="n"/>
      <c r="M889" s="80" t="n"/>
    </row>
    <row r="890">
      <c r="A890" s="80" t="n"/>
      <c r="B890" s="80" t="n"/>
      <c r="C890" s="80" t="n"/>
      <c r="D890" s="80" t="n"/>
      <c r="E890" s="80" t="n"/>
      <c r="F890" s="80" t="n"/>
      <c r="G890" s="80" t="n"/>
      <c r="H890" s="80" t="n"/>
      <c r="I890" s="80" t="n"/>
      <c r="J890" s="80" t="n"/>
      <c r="K890" s="80" t="n"/>
      <c r="L890" s="80" t="n"/>
      <c r="M890" s="80" t="n"/>
    </row>
    <row r="891">
      <c r="A891" s="80" t="n"/>
      <c r="B891" s="80" t="n"/>
      <c r="C891" s="80" t="n"/>
      <c r="D891" s="80" t="n"/>
      <c r="E891" s="80" t="n"/>
      <c r="F891" s="80" t="n"/>
      <c r="G891" s="80" t="n"/>
      <c r="H891" s="80" t="n"/>
      <c r="I891" s="80" t="n"/>
      <c r="J891" s="80" t="n"/>
      <c r="K891" s="80" t="n"/>
      <c r="L891" s="80" t="n"/>
      <c r="M891" s="80" t="n"/>
    </row>
    <row r="892">
      <c r="A892" s="80" t="n"/>
      <c r="B892" s="80" t="n"/>
      <c r="C892" s="80" t="n"/>
      <c r="D892" s="80" t="n"/>
      <c r="E892" s="80" t="n"/>
      <c r="F892" s="80" t="n"/>
      <c r="G892" s="80" t="n"/>
      <c r="H892" s="80" t="n"/>
      <c r="I892" s="80" t="n"/>
      <c r="J892" s="80" t="n"/>
      <c r="K892" s="80" t="n"/>
      <c r="L892" s="80" t="n"/>
      <c r="M892" s="80" t="n"/>
    </row>
    <row r="893">
      <c r="A893" s="80" t="n"/>
      <c r="B893" s="80" t="n"/>
      <c r="C893" s="80" t="n"/>
      <c r="D893" s="80" t="n"/>
      <c r="E893" s="80" t="n"/>
      <c r="F893" s="80" t="n"/>
      <c r="G893" s="80" t="n"/>
      <c r="H893" s="80" t="n"/>
      <c r="I893" s="80" t="n"/>
      <c r="J893" s="80" t="n"/>
      <c r="K893" s="80" t="n"/>
      <c r="L893" s="80" t="n"/>
      <c r="M893" s="80" t="n"/>
    </row>
    <row r="894">
      <c r="A894" s="80" t="n"/>
      <c r="B894" s="80" t="n"/>
      <c r="C894" s="80" t="n"/>
      <c r="D894" s="80" t="n"/>
      <c r="E894" s="80" t="n"/>
      <c r="F894" s="80" t="n"/>
      <c r="G894" s="80" t="n"/>
      <c r="H894" s="80" t="n"/>
      <c r="I894" s="80" t="n"/>
      <c r="J894" s="80" t="n"/>
      <c r="K894" s="80" t="n"/>
      <c r="L894" s="80" t="n"/>
      <c r="M894" s="80" t="n"/>
    </row>
    <row r="895">
      <c r="A895" s="80" t="n"/>
      <c r="B895" s="80" t="n"/>
      <c r="C895" s="80" t="n"/>
      <c r="D895" s="80" t="n"/>
      <c r="E895" s="80" t="n"/>
      <c r="F895" s="80" t="n"/>
      <c r="G895" s="80" t="n"/>
      <c r="H895" s="80" t="n"/>
      <c r="I895" s="80" t="n"/>
      <c r="J895" s="80" t="n"/>
      <c r="K895" s="80" t="n"/>
      <c r="L895" s="80" t="n"/>
      <c r="M895" s="80" t="n"/>
    </row>
    <row r="896">
      <c r="A896" s="80" t="n"/>
      <c r="B896" s="80" t="n"/>
      <c r="C896" s="80" t="n"/>
      <c r="D896" s="80" t="n"/>
      <c r="E896" s="80" t="n"/>
      <c r="F896" s="80" t="n"/>
      <c r="G896" s="80" t="n"/>
      <c r="H896" s="80" t="n"/>
      <c r="I896" s="80" t="n"/>
      <c r="J896" s="80" t="n"/>
      <c r="K896" s="80" t="n"/>
      <c r="L896" s="80" t="n"/>
      <c r="M896" s="80" t="n"/>
    </row>
    <row r="897">
      <c r="A897" s="80" t="n"/>
      <c r="B897" s="80" t="n"/>
      <c r="C897" s="80" t="n"/>
      <c r="D897" s="80" t="n"/>
      <c r="E897" s="80" t="n"/>
      <c r="F897" s="80" t="n"/>
      <c r="G897" s="80" t="n"/>
      <c r="H897" s="80" t="n"/>
      <c r="I897" s="80" t="n"/>
      <c r="J897" s="80" t="n"/>
      <c r="K897" s="80" t="n"/>
      <c r="L897" s="80" t="n"/>
      <c r="M897" s="80" t="n"/>
    </row>
    <row r="898">
      <c r="A898" s="80" t="n"/>
      <c r="B898" s="80" t="n"/>
      <c r="C898" s="80" t="n"/>
      <c r="D898" s="80" t="n"/>
      <c r="E898" s="80" t="n"/>
      <c r="F898" s="80" t="n"/>
      <c r="G898" s="80" t="n"/>
      <c r="H898" s="80" t="n"/>
      <c r="I898" s="80" t="n"/>
      <c r="J898" s="80" t="n"/>
      <c r="K898" s="80" t="n"/>
      <c r="L898" s="80" t="n"/>
      <c r="M898" s="80" t="n"/>
    </row>
    <row r="899">
      <c r="A899" s="80" t="n"/>
      <c r="B899" s="80" t="n"/>
      <c r="C899" s="80" t="n"/>
      <c r="D899" s="80" t="n"/>
      <c r="E899" s="80" t="n"/>
      <c r="F899" s="80" t="n"/>
      <c r="G899" s="80" t="n"/>
      <c r="H899" s="80" t="n"/>
      <c r="I899" s="80" t="n"/>
      <c r="J899" s="80" t="n"/>
      <c r="K899" s="80" t="n"/>
      <c r="L899" s="80" t="n"/>
      <c r="M899" s="80" t="n"/>
    </row>
    <row r="900">
      <c r="A900" s="80" t="n"/>
      <c r="B900" s="80" t="n"/>
      <c r="C900" s="80" t="n"/>
      <c r="D900" s="80" t="n"/>
      <c r="E900" s="80" t="n"/>
      <c r="F900" s="80" t="n"/>
      <c r="G900" s="80" t="n"/>
      <c r="H900" s="80" t="n"/>
      <c r="I900" s="80" t="n"/>
      <c r="J900" s="80" t="n"/>
      <c r="K900" s="80" t="n"/>
      <c r="L900" s="80" t="n"/>
      <c r="M900" s="80" t="n"/>
    </row>
    <row r="901">
      <c r="A901" s="80" t="n"/>
      <c r="B901" s="80" t="n"/>
      <c r="C901" s="80" t="n"/>
      <c r="D901" s="80" t="n"/>
      <c r="E901" s="80" t="n"/>
      <c r="F901" s="80" t="n"/>
      <c r="G901" s="80" t="n"/>
      <c r="H901" s="80" t="n"/>
      <c r="I901" s="80" t="n"/>
      <c r="J901" s="80" t="n"/>
      <c r="K901" s="80" t="n"/>
      <c r="L901" s="80" t="n"/>
      <c r="M901" s="80" t="n"/>
    </row>
    <row r="902">
      <c r="A902" s="80" t="n"/>
      <c r="B902" s="80" t="n"/>
      <c r="C902" s="80" t="n"/>
      <c r="D902" s="80" t="n"/>
      <c r="E902" s="80" t="n"/>
      <c r="F902" s="80" t="n"/>
      <c r="G902" s="80" t="n"/>
      <c r="H902" s="80" t="n"/>
      <c r="I902" s="80" t="n"/>
      <c r="J902" s="80" t="n"/>
      <c r="K902" s="80" t="n"/>
      <c r="L902" s="80" t="n"/>
      <c r="M902" s="80" t="n"/>
    </row>
    <row r="903">
      <c r="A903" s="80" t="n"/>
      <c r="B903" s="80" t="n"/>
      <c r="C903" s="80" t="n"/>
      <c r="D903" s="80" t="n"/>
      <c r="E903" s="80" t="n"/>
      <c r="F903" s="80" t="n"/>
      <c r="G903" s="80" t="n"/>
      <c r="H903" s="80" t="n"/>
      <c r="I903" s="80" t="n"/>
      <c r="J903" s="80" t="n"/>
      <c r="K903" s="80" t="n"/>
      <c r="L903" s="80" t="n"/>
      <c r="M903" s="80" t="n"/>
    </row>
    <row r="904">
      <c r="A904" s="80" t="n"/>
      <c r="B904" s="80" t="n"/>
      <c r="C904" s="80" t="n"/>
      <c r="D904" s="80" t="n"/>
      <c r="E904" s="80" t="n"/>
      <c r="F904" s="80" t="n"/>
      <c r="G904" s="80" t="n"/>
      <c r="H904" s="80" t="n"/>
      <c r="I904" s="80" t="n"/>
      <c r="J904" s="80" t="n"/>
      <c r="K904" s="80" t="n"/>
      <c r="L904" s="80" t="n"/>
      <c r="M904" s="80" t="n"/>
    </row>
    <row r="905">
      <c r="A905" s="80" t="n"/>
      <c r="B905" s="80" t="n"/>
      <c r="C905" s="80" t="n"/>
      <c r="D905" s="80" t="n"/>
      <c r="E905" s="80" t="n"/>
      <c r="F905" s="80" t="n"/>
      <c r="G905" s="80" t="n"/>
      <c r="H905" s="80" t="n"/>
      <c r="I905" s="80" t="n"/>
      <c r="J905" s="80" t="n"/>
      <c r="K905" s="80" t="n"/>
      <c r="L905" s="80" t="n"/>
      <c r="M905" s="80" t="n"/>
    </row>
    <row r="906">
      <c r="A906" s="80" t="n"/>
      <c r="B906" s="80" t="n"/>
      <c r="C906" s="80" t="n"/>
      <c r="D906" s="80" t="n"/>
      <c r="E906" s="80" t="n"/>
      <c r="F906" s="80" t="n"/>
      <c r="G906" s="80" t="n"/>
      <c r="H906" s="80" t="n"/>
      <c r="I906" s="80" t="n"/>
      <c r="J906" s="80" t="n"/>
      <c r="K906" s="80" t="n"/>
      <c r="L906" s="80" t="n"/>
      <c r="M906" s="80" t="n"/>
    </row>
    <row r="907">
      <c r="A907" s="80" t="n"/>
      <c r="B907" s="80" t="n"/>
      <c r="C907" s="80" t="n"/>
      <c r="D907" s="80" t="n"/>
      <c r="E907" s="80" t="n"/>
      <c r="F907" s="80" t="n"/>
      <c r="G907" s="80" t="n"/>
      <c r="H907" s="80" t="n"/>
      <c r="I907" s="80" t="n"/>
      <c r="J907" s="80" t="n"/>
      <c r="K907" s="80" t="n"/>
      <c r="L907" s="80" t="n"/>
      <c r="M907" s="80" t="n"/>
    </row>
    <row r="908">
      <c r="A908" s="80" t="n"/>
      <c r="B908" s="80" t="n"/>
      <c r="C908" s="80" t="n"/>
      <c r="D908" s="80" t="n"/>
      <c r="E908" s="80" t="n"/>
      <c r="F908" s="80" t="n"/>
      <c r="G908" s="80" t="n"/>
      <c r="H908" s="80" t="n"/>
      <c r="I908" s="80" t="n"/>
      <c r="J908" s="80" t="n"/>
      <c r="K908" s="80" t="n"/>
      <c r="L908" s="80" t="n"/>
      <c r="M908" s="80" t="n"/>
    </row>
    <row r="909">
      <c r="A909" s="80" t="n"/>
      <c r="B909" s="80" t="n"/>
      <c r="C909" s="80" t="n"/>
      <c r="D909" s="80" t="n"/>
      <c r="E909" s="80" t="n"/>
      <c r="F909" s="80" t="n"/>
      <c r="G909" s="80" t="n"/>
      <c r="H909" s="80" t="n"/>
      <c r="I909" s="80" t="n"/>
      <c r="J909" s="80" t="n"/>
      <c r="K909" s="80" t="n"/>
      <c r="L909" s="80" t="n"/>
      <c r="M909" s="80" t="n"/>
    </row>
    <row r="910">
      <c r="A910" s="80" t="n"/>
      <c r="B910" s="80" t="n"/>
      <c r="C910" s="80" t="n"/>
      <c r="D910" s="80" t="n"/>
      <c r="E910" s="80" t="n"/>
      <c r="F910" s="80" t="n"/>
      <c r="G910" s="80" t="n"/>
      <c r="H910" s="80" t="n"/>
      <c r="I910" s="80" t="n"/>
      <c r="J910" s="80" t="n"/>
      <c r="K910" s="80" t="n"/>
      <c r="L910" s="80" t="n"/>
      <c r="M910" s="80" t="n"/>
    </row>
    <row r="911">
      <c r="A911" s="80" t="n"/>
      <c r="B911" s="80" t="n"/>
      <c r="C911" s="80" t="n"/>
      <c r="D911" s="80" t="n"/>
      <c r="E911" s="80" t="n"/>
      <c r="F911" s="80" t="n"/>
      <c r="G911" s="80" t="n"/>
      <c r="H911" s="80" t="n"/>
      <c r="I911" s="80" t="n"/>
      <c r="J911" s="80" t="n"/>
      <c r="K911" s="80" t="n"/>
      <c r="L911" s="80" t="n"/>
      <c r="M911" s="80" t="n"/>
    </row>
    <row r="912">
      <c r="A912" s="80" t="n"/>
      <c r="B912" s="80" t="n"/>
      <c r="C912" s="80" t="n"/>
      <c r="D912" s="80" t="n"/>
      <c r="E912" s="80" t="n"/>
      <c r="F912" s="80" t="n"/>
      <c r="G912" s="80" t="n"/>
      <c r="H912" s="80" t="n"/>
      <c r="I912" s="80" t="n"/>
      <c r="J912" s="80" t="n"/>
      <c r="K912" s="80" t="n"/>
      <c r="L912" s="80" t="n"/>
      <c r="M912" s="80" t="n"/>
    </row>
    <row r="913">
      <c r="A913" s="80" t="n"/>
      <c r="B913" s="80" t="n"/>
      <c r="C913" s="80" t="n"/>
      <c r="D913" s="80" t="n"/>
      <c r="E913" s="80" t="n"/>
      <c r="F913" s="80" t="n"/>
      <c r="G913" s="80" t="n"/>
      <c r="H913" s="80" t="n"/>
      <c r="I913" s="80" t="n"/>
      <c r="J913" s="80" t="n"/>
      <c r="K913" s="80" t="n"/>
      <c r="L913" s="80" t="n"/>
      <c r="M913" s="80" t="n"/>
    </row>
    <row r="914">
      <c r="A914" s="80" t="n"/>
      <c r="B914" s="80" t="n"/>
      <c r="C914" s="80" t="n"/>
      <c r="D914" s="80" t="n"/>
      <c r="E914" s="80" t="n"/>
      <c r="F914" s="80" t="n"/>
      <c r="G914" s="80" t="n"/>
      <c r="H914" s="80" t="n"/>
      <c r="I914" s="80" t="n"/>
      <c r="J914" s="80" t="n"/>
      <c r="K914" s="80" t="n"/>
      <c r="L914" s="80" t="n"/>
      <c r="M914" s="80" t="n"/>
    </row>
    <row r="915">
      <c r="A915" s="80" t="n"/>
      <c r="B915" s="80" t="n"/>
      <c r="C915" s="80" t="n"/>
      <c r="D915" s="80" t="n"/>
      <c r="E915" s="80" t="n"/>
      <c r="F915" s="80" t="n"/>
      <c r="G915" s="80" t="n"/>
      <c r="H915" s="80" t="n"/>
      <c r="I915" s="80" t="n"/>
      <c r="J915" s="80" t="n"/>
      <c r="K915" s="80" t="n"/>
      <c r="L915" s="80" t="n"/>
      <c r="M915" s="80" t="n"/>
    </row>
    <row r="916">
      <c r="A916" s="80" t="n"/>
      <c r="B916" s="80" t="n"/>
      <c r="C916" s="80" t="n"/>
      <c r="D916" s="80" t="n"/>
      <c r="E916" s="80" t="n"/>
      <c r="F916" s="80" t="n"/>
      <c r="G916" s="80" t="n"/>
      <c r="H916" s="80" t="n"/>
      <c r="I916" s="80" t="n"/>
      <c r="J916" s="80" t="n"/>
      <c r="K916" s="80" t="n"/>
      <c r="L916" s="80" t="n"/>
      <c r="M916" s="80" t="n"/>
    </row>
    <row r="917">
      <c r="A917" s="80" t="n"/>
      <c r="B917" s="80" t="n"/>
      <c r="C917" s="80" t="n"/>
      <c r="D917" s="80" t="n"/>
      <c r="E917" s="80" t="n"/>
      <c r="F917" s="80" t="n"/>
      <c r="G917" s="80" t="n"/>
      <c r="H917" s="80" t="n"/>
      <c r="I917" s="80" t="n"/>
      <c r="J917" s="80" t="n"/>
      <c r="K917" s="80" t="n"/>
      <c r="L917" s="80" t="n"/>
      <c r="M917" s="80" t="n"/>
    </row>
    <row r="918">
      <c r="A918" s="80" t="n"/>
      <c r="B918" s="80" t="n"/>
      <c r="C918" s="80" t="n"/>
      <c r="D918" s="80" t="n"/>
      <c r="E918" s="80" t="n"/>
      <c r="F918" s="80" t="n"/>
      <c r="G918" s="80" t="n"/>
      <c r="H918" s="80" t="n"/>
      <c r="I918" s="80" t="n"/>
      <c r="J918" s="80" t="n"/>
      <c r="K918" s="80" t="n"/>
      <c r="L918" s="80" t="n"/>
      <c r="M918" s="80" t="n"/>
    </row>
    <row r="919">
      <c r="A919" s="80" t="n"/>
      <c r="B919" s="80" t="n"/>
      <c r="C919" s="80" t="n"/>
      <c r="D919" s="80" t="n"/>
      <c r="E919" s="80" t="n"/>
      <c r="F919" s="80" t="n"/>
      <c r="G919" s="80" t="n"/>
      <c r="H919" s="80" t="n"/>
      <c r="I919" s="80" t="n"/>
      <c r="J919" s="80" t="n"/>
      <c r="K919" s="80" t="n"/>
      <c r="L919" s="80" t="n"/>
      <c r="M919" s="80" t="n"/>
    </row>
    <row r="920">
      <c r="A920" s="80" t="n"/>
      <c r="B920" s="80" t="n"/>
      <c r="C920" s="80" t="n"/>
      <c r="D920" s="80" t="n"/>
      <c r="E920" s="80" t="n"/>
      <c r="F920" s="80" t="n"/>
      <c r="G920" s="80" t="n"/>
      <c r="H920" s="80" t="n"/>
      <c r="I920" s="80" t="n"/>
      <c r="J920" s="80" t="n"/>
      <c r="K920" s="80" t="n"/>
      <c r="L920" s="80" t="n"/>
      <c r="M920" s="80" t="n"/>
    </row>
    <row r="921">
      <c r="A921" s="80" t="n"/>
      <c r="B921" s="80" t="n"/>
      <c r="C921" s="80" t="n"/>
      <c r="D921" s="80" t="n"/>
      <c r="E921" s="80" t="n"/>
      <c r="F921" s="80" t="n"/>
      <c r="G921" s="80" t="n"/>
      <c r="H921" s="80" t="n"/>
      <c r="I921" s="80" t="n"/>
      <c r="J921" s="80" t="n"/>
      <c r="K921" s="80" t="n"/>
      <c r="L921" s="80" t="n"/>
      <c r="M921" s="80" t="n"/>
    </row>
    <row r="922">
      <c r="A922" s="80" t="n"/>
      <c r="B922" s="80" t="n"/>
      <c r="C922" s="80" t="n"/>
      <c r="D922" s="80" t="n"/>
      <c r="E922" s="80" t="n"/>
      <c r="F922" s="80" t="n"/>
      <c r="G922" s="80" t="n"/>
      <c r="H922" s="80" t="n"/>
      <c r="I922" s="80" t="n"/>
      <c r="J922" s="80" t="n"/>
      <c r="K922" s="80" t="n"/>
      <c r="L922" s="80" t="n"/>
      <c r="M922" s="80" t="n"/>
    </row>
    <row r="923">
      <c r="A923" s="80" t="n"/>
      <c r="B923" s="80" t="n"/>
      <c r="C923" s="80" t="n"/>
      <c r="D923" s="80" t="n"/>
      <c r="E923" s="80" t="n"/>
      <c r="F923" s="80" t="n"/>
      <c r="G923" s="80" t="n"/>
      <c r="H923" s="80" t="n"/>
      <c r="I923" s="80" t="n"/>
      <c r="J923" s="80" t="n"/>
      <c r="K923" s="80" t="n"/>
      <c r="L923" s="80" t="n"/>
      <c r="M923" s="80" t="n"/>
    </row>
    <row r="924">
      <c r="A924" s="80" t="n"/>
      <c r="B924" s="80" t="n"/>
      <c r="C924" s="80" t="n"/>
      <c r="D924" s="80" t="n"/>
      <c r="E924" s="80" t="n"/>
      <c r="F924" s="80" t="n"/>
      <c r="G924" s="80" t="n"/>
      <c r="H924" s="80" t="n"/>
      <c r="I924" s="80" t="n"/>
      <c r="J924" s="80" t="n"/>
      <c r="K924" s="80" t="n"/>
      <c r="L924" s="80" t="n"/>
      <c r="M924" s="80" t="n"/>
    </row>
    <row r="925">
      <c r="A925" s="80" t="n"/>
      <c r="B925" s="80" t="n"/>
      <c r="C925" s="80" t="n"/>
      <c r="D925" s="80" t="n"/>
      <c r="E925" s="80" t="n"/>
      <c r="F925" s="80" t="n"/>
      <c r="G925" s="80" t="n"/>
      <c r="H925" s="80" t="n"/>
      <c r="I925" s="80" t="n"/>
      <c r="J925" s="80" t="n"/>
      <c r="K925" s="80" t="n"/>
      <c r="L925" s="80" t="n"/>
      <c r="M925" s="80" t="n"/>
    </row>
    <row r="926">
      <c r="A926" s="80" t="n"/>
      <c r="B926" s="80" t="n"/>
      <c r="C926" s="80" t="n"/>
      <c r="D926" s="80" t="n"/>
      <c r="E926" s="80" t="n"/>
      <c r="F926" s="80" t="n"/>
      <c r="G926" s="80" t="n"/>
      <c r="H926" s="80" t="n"/>
      <c r="I926" s="80" t="n"/>
      <c r="J926" s="80" t="n"/>
      <c r="K926" s="80" t="n"/>
      <c r="L926" s="80" t="n"/>
      <c r="M926" s="80" t="n"/>
    </row>
    <row r="927">
      <c r="A927" s="80" t="n"/>
      <c r="B927" s="80" t="n"/>
      <c r="C927" s="80" t="n"/>
      <c r="D927" s="80" t="n"/>
      <c r="E927" s="80" t="n"/>
      <c r="F927" s="80" t="n"/>
      <c r="G927" s="80" t="n"/>
      <c r="H927" s="80" t="n"/>
      <c r="I927" s="80" t="n"/>
      <c r="J927" s="80" t="n"/>
      <c r="K927" s="80" t="n"/>
      <c r="L927" s="80" t="n"/>
      <c r="M927" s="80" t="n"/>
    </row>
    <row r="928">
      <c r="A928" s="80" t="n"/>
      <c r="B928" s="80" t="n"/>
      <c r="C928" s="80" t="n"/>
      <c r="D928" s="80" t="n"/>
      <c r="E928" s="80" t="n"/>
      <c r="F928" s="80" t="n"/>
      <c r="G928" s="80" t="n"/>
      <c r="H928" s="80" t="n"/>
      <c r="I928" s="80" t="n"/>
      <c r="J928" s="80" t="n"/>
      <c r="K928" s="80" t="n"/>
      <c r="L928" s="80" t="n"/>
      <c r="M928" s="80" t="n"/>
    </row>
    <row r="929">
      <c r="A929" s="80" t="n"/>
      <c r="B929" s="80" t="n"/>
      <c r="C929" s="80" t="n"/>
      <c r="D929" s="80" t="n"/>
      <c r="E929" s="80" t="n"/>
      <c r="F929" s="80" t="n"/>
      <c r="G929" s="80" t="n"/>
      <c r="H929" s="80" t="n"/>
      <c r="I929" s="80" t="n"/>
      <c r="J929" s="80" t="n"/>
      <c r="K929" s="80" t="n"/>
      <c r="L929" s="80" t="n"/>
      <c r="M929" s="80" t="n"/>
    </row>
    <row r="930">
      <c r="A930" s="80" t="n"/>
      <c r="B930" s="80" t="n"/>
      <c r="C930" s="80" t="n"/>
      <c r="D930" s="80" t="n"/>
      <c r="E930" s="80" t="n"/>
      <c r="F930" s="80" t="n"/>
      <c r="G930" s="80" t="n"/>
      <c r="H930" s="80" t="n"/>
      <c r="I930" s="80" t="n"/>
      <c r="J930" s="80" t="n"/>
      <c r="K930" s="80" t="n"/>
      <c r="L930" s="80" t="n"/>
      <c r="M930" s="80" t="n"/>
    </row>
    <row r="931">
      <c r="A931" s="80" t="n"/>
      <c r="B931" s="80" t="n"/>
      <c r="C931" s="80" t="n"/>
      <c r="D931" s="80" t="n"/>
      <c r="E931" s="80" t="n"/>
      <c r="F931" s="80" t="n"/>
      <c r="G931" s="80" t="n"/>
      <c r="H931" s="80" t="n"/>
      <c r="I931" s="80" t="n"/>
      <c r="J931" s="80" t="n"/>
      <c r="K931" s="80" t="n"/>
      <c r="L931" s="80" t="n"/>
      <c r="M931" s="80" t="n"/>
    </row>
    <row r="932">
      <c r="A932" s="80" t="n"/>
      <c r="B932" s="80" t="n"/>
      <c r="C932" s="80" t="n"/>
      <c r="D932" s="80" t="n"/>
      <c r="E932" s="80" t="n"/>
      <c r="F932" s="80" t="n"/>
      <c r="G932" s="80" t="n"/>
      <c r="H932" s="80" t="n"/>
      <c r="I932" s="80" t="n"/>
      <c r="J932" s="80" t="n"/>
      <c r="K932" s="80" t="n"/>
      <c r="L932" s="80" t="n"/>
      <c r="M932" s="80" t="n"/>
    </row>
    <row r="933">
      <c r="A933" s="80" t="n"/>
      <c r="B933" s="80" t="n"/>
      <c r="C933" s="80" t="n"/>
      <c r="D933" s="80" t="n"/>
      <c r="E933" s="80" t="n"/>
      <c r="F933" s="80" t="n"/>
      <c r="G933" s="80" t="n"/>
      <c r="H933" s="80" t="n"/>
      <c r="I933" s="80" t="n"/>
      <c r="J933" s="80" t="n"/>
      <c r="K933" s="80" t="n"/>
      <c r="L933" s="80" t="n"/>
      <c r="M933" s="80" t="n"/>
    </row>
    <row r="934">
      <c r="A934" s="80" t="n"/>
      <c r="B934" s="80" t="n"/>
      <c r="C934" s="80" t="n"/>
      <c r="D934" s="80" t="n"/>
      <c r="E934" s="80" t="n"/>
      <c r="F934" s="80" t="n"/>
      <c r="G934" s="80" t="n"/>
      <c r="H934" s="80" t="n"/>
      <c r="I934" s="80" t="n"/>
      <c r="J934" s="80" t="n"/>
      <c r="K934" s="80" t="n"/>
      <c r="L934" s="80" t="n"/>
      <c r="M934" s="80" t="n"/>
    </row>
    <row r="935">
      <c r="A935" s="80" t="n"/>
      <c r="B935" s="80" t="n"/>
      <c r="C935" s="80" t="n"/>
      <c r="D935" s="80" t="n"/>
      <c r="E935" s="80" t="n"/>
      <c r="F935" s="80" t="n"/>
      <c r="G935" s="80" t="n"/>
      <c r="H935" s="80" t="n"/>
      <c r="I935" s="80" t="n"/>
      <c r="J935" s="80" t="n"/>
      <c r="K935" s="80" t="n"/>
      <c r="L935" s="80" t="n"/>
      <c r="M935" s="80" t="n"/>
    </row>
    <row r="936">
      <c r="A936" s="80" t="n"/>
      <c r="B936" s="80" t="n"/>
      <c r="C936" s="80" t="n"/>
      <c r="D936" s="80" t="n"/>
      <c r="E936" s="80" t="n"/>
      <c r="F936" s="80" t="n"/>
      <c r="G936" s="80" t="n"/>
      <c r="H936" s="80" t="n"/>
      <c r="I936" s="80" t="n"/>
      <c r="J936" s="80" t="n"/>
      <c r="K936" s="80" t="n"/>
      <c r="L936" s="80" t="n"/>
      <c r="M936" s="80" t="n"/>
    </row>
    <row r="937">
      <c r="A937" s="80" t="n"/>
      <c r="B937" s="80" t="n"/>
      <c r="C937" s="80" t="n"/>
      <c r="D937" s="80" t="n"/>
      <c r="E937" s="80" t="n"/>
      <c r="F937" s="80" t="n"/>
      <c r="G937" s="80" t="n"/>
      <c r="H937" s="80" t="n"/>
      <c r="I937" s="80" t="n"/>
      <c r="J937" s="80" t="n"/>
      <c r="K937" s="80" t="n"/>
      <c r="L937" s="80" t="n"/>
      <c r="M937" s="80" t="n"/>
    </row>
    <row r="938">
      <c r="A938" s="80" t="n"/>
      <c r="B938" s="80" t="n"/>
      <c r="C938" s="80" t="n"/>
      <c r="D938" s="80" t="n"/>
      <c r="E938" s="80" t="n"/>
      <c r="F938" s="80" t="n"/>
      <c r="G938" s="80" t="n"/>
      <c r="H938" s="80" t="n"/>
      <c r="I938" s="80" t="n"/>
      <c r="J938" s="80" t="n"/>
      <c r="K938" s="80" t="n"/>
      <c r="L938" s="80" t="n"/>
      <c r="M938" s="80" t="n"/>
    </row>
    <row r="939">
      <c r="A939" s="80" t="n"/>
      <c r="B939" s="80" t="n"/>
      <c r="C939" s="80" t="n"/>
      <c r="D939" s="80" t="n"/>
      <c r="E939" s="80" t="n"/>
      <c r="F939" s="80" t="n"/>
      <c r="G939" s="80" t="n"/>
      <c r="H939" s="80" t="n"/>
      <c r="I939" s="80" t="n"/>
      <c r="J939" s="80" t="n"/>
      <c r="K939" s="80" t="n"/>
      <c r="L939" s="80" t="n"/>
      <c r="M939" s="80" t="n"/>
    </row>
    <row r="940">
      <c r="A940" s="80" t="n"/>
      <c r="B940" s="80" t="n"/>
      <c r="C940" s="80" t="n"/>
      <c r="D940" s="80" t="n"/>
      <c r="E940" s="80" t="n"/>
      <c r="F940" s="80" t="n"/>
      <c r="G940" s="80" t="n"/>
      <c r="H940" s="80" t="n"/>
      <c r="I940" s="80" t="n"/>
      <c r="J940" s="80" t="n"/>
      <c r="K940" s="80" t="n"/>
      <c r="L940" s="80" t="n"/>
      <c r="M940" s="80" t="n"/>
    </row>
    <row r="941">
      <c r="A941" s="80" t="n"/>
      <c r="B941" s="80" t="n"/>
      <c r="C941" s="80" t="n"/>
      <c r="D941" s="80" t="n"/>
      <c r="E941" s="80" t="n"/>
      <c r="F941" s="80" t="n"/>
      <c r="G941" s="80" t="n"/>
      <c r="H941" s="80" t="n"/>
      <c r="I941" s="80" t="n"/>
      <c r="J941" s="80" t="n"/>
      <c r="K941" s="80" t="n"/>
      <c r="L941" s="80" t="n"/>
      <c r="M941" s="80" t="n"/>
    </row>
    <row r="942">
      <c r="A942" s="80" t="n"/>
      <c r="B942" s="80" t="n"/>
      <c r="C942" s="80" t="n"/>
      <c r="D942" s="80" t="n"/>
      <c r="E942" s="80" t="n"/>
      <c r="F942" s="80" t="n"/>
      <c r="G942" s="80" t="n"/>
      <c r="H942" s="80" t="n"/>
      <c r="I942" s="80" t="n"/>
      <c r="J942" s="80" t="n"/>
      <c r="K942" s="80" t="n"/>
      <c r="L942" s="80" t="n"/>
      <c r="M942" s="80" t="n"/>
    </row>
    <row r="943">
      <c r="A943" s="80" t="n"/>
      <c r="B943" s="80" t="n"/>
      <c r="C943" s="80" t="n"/>
      <c r="D943" s="80" t="n"/>
      <c r="E943" s="80" t="n"/>
      <c r="F943" s="80" t="n"/>
      <c r="G943" s="80" t="n"/>
      <c r="H943" s="80" t="n"/>
      <c r="I943" s="80" t="n"/>
      <c r="J943" s="80" t="n"/>
      <c r="K943" s="80" t="n"/>
      <c r="L943" s="80" t="n"/>
      <c r="M943" s="80" t="n"/>
    </row>
    <row r="944">
      <c r="A944" s="80" t="n"/>
      <c r="B944" s="80" t="n"/>
      <c r="C944" s="80" t="n"/>
      <c r="D944" s="80" t="n"/>
      <c r="E944" s="80" t="n"/>
      <c r="F944" s="80" t="n"/>
      <c r="G944" s="80" t="n"/>
      <c r="H944" s="80" t="n"/>
      <c r="I944" s="80" t="n"/>
      <c r="J944" s="80" t="n"/>
      <c r="K944" s="80" t="n"/>
      <c r="L944" s="80" t="n"/>
      <c r="M944" s="80" t="n"/>
    </row>
    <row r="945">
      <c r="A945" s="80" t="n"/>
      <c r="B945" s="80" t="n"/>
      <c r="C945" s="80" t="n"/>
      <c r="D945" s="80" t="n"/>
      <c r="E945" s="80" t="n"/>
      <c r="F945" s="80" t="n"/>
      <c r="G945" s="80" t="n"/>
      <c r="H945" s="80" t="n"/>
      <c r="I945" s="80" t="n"/>
      <c r="J945" s="80" t="n"/>
      <c r="K945" s="80" t="n"/>
      <c r="L945" s="80" t="n"/>
      <c r="M945" s="80" t="n"/>
    </row>
    <row r="946">
      <c r="A946" s="80" t="n"/>
      <c r="B946" s="80" t="n"/>
      <c r="C946" s="80" t="n"/>
      <c r="D946" s="80" t="n"/>
      <c r="E946" s="80" t="n"/>
      <c r="F946" s="80" t="n"/>
      <c r="G946" s="80" t="n"/>
      <c r="H946" s="80" t="n"/>
      <c r="I946" s="80" t="n"/>
      <c r="J946" s="80" t="n"/>
      <c r="K946" s="80" t="n"/>
      <c r="L946" s="80" t="n"/>
      <c r="M946" s="80" t="n"/>
    </row>
    <row r="947">
      <c r="A947" s="80" t="n"/>
      <c r="B947" s="80" t="n"/>
      <c r="C947" s="80" t="n"/>
      <c r="D947" s="80" t="n"/>
      <c r="E947" s="80" t="n"/>
      <c r="F947" s="80" t="n"/>
      <c r="G947" s="80" t="n"/>
      <c r="H947" s="80" t="n"/>
      <c r="I947" s="80" t="n"/>
      <c r="J947" s="80" t="n"/>
      <c r="K947" s="80" t="n"/>
      <c r="L947" s="80" t="n"/>
      <c r="M947" s="80" t="n"/>
    </row>
    <row r="948">
      <c r="A948" s="80" t="n"/>
      <c r="B948" s="80" t="n"/>
      <c r="C948" s="80" t="n"/>
      <c r="D948" s="80" t="n"/>
      <c r="E948" s="80" t="n"/>
      <c r="F948" s="80" t="n"/>
      <c r="G948" s="80" t="n"/>
      <c r="H948" s="80" t="n"/>
      <c r="I948" s="80" t="n"/>
      <c r="J948" s="80" t="n"/>
      <c r="K948" s="80" t="n"/>
      <c r="L948" s="80" t="n"/>
      <c r="M948" s="80" t="n"/>
    </row>
    <row r="949">
      <c r="A949" s="80" t="n"/>
      <c r="B949" s="80" t="n"/>
      <c r="C949" s="80" t="n"/>
      <c r="D949" s="80" t="n"/>
      <c r="E949" s="80" t="n"/>
      <c r="F949" s="80" t="n"/>
      <c r="G949" s="80" t="n"/>
      <c r="H949" s="80" t="n"/>
      <c r="I949" s="80" t="n"/>
      <c r="J949" s="80" t="n"/>
      <c r="K949" s="80" t="n"/>
      <c r="L949" s="80" t="n"/>
      <c r="M949" s="80" t="n"/>
    </row>
    <row r="950">
      <c r="A950" s="80" t="n"/>
      <c r="B950" s="80" t="n"/>
      <c r="C950" s="80" t="n"/>
      <c r="D950" s="80" t="n"/>
      <c r="E950" s="80" t="n"/>
      <c r="F950" s="80" t="n"/>
      <c r="G950" s="80" t="n"/>
      <c r="H950" s="80" t="n"/>
      <c r="I950" s="80" t="n"/>
      <c r="J950" s="80" t="n"/>
      <c r="K950" s="80" t="n"/>
      <c r="L950" s="80" t="n"/>
      <c r="M950" s="80" t="n"/>
    </row>
    <row r="951">
      <c r="A951" s="80" t="n"/>
      <c r="B951" s="80" t="n"/>
      <c r="C951" s="80" t="n"/>
      <c r="D951" s="80" t="n"/>
      <c r="E951" s="80" t="n"/>
      <c r="F951" s="80" t="n"/>
      <c r="G951" s="80" t="n"/>
      <c r="H951" s="80" t="n"/>
      <c r="I951" s="80" t="n"/>
      <c r="J951" s="80" t="n"/>
      <c r="K951" s="80" t="n"/>
      <c r="L951" s="80" t="n"/>
      <c r="M951" s="80" t="n"/>
    </row>
    <row r="952">
      <c r="A952" s="80" t="n"/>
      <c r="B952" s="80" t="n"/>
      <c r="C952" s="80" t="n"/>
      <c r="D952" s="80" t="n"/>
      <c r="E952" s="80" t="n"/>
      <c r="F952" s="80" t="n"/>
      <c r="G952" s="80" t="n"/>
      <c r="H952" s="80" t="n"/>
      <c r="I952" s="80" t="n"/>
      <c r="J952" s="80" t="n"/>
      <c r="K952" s="80" t="n"/>
      <c r="L952" s="80" t="n"/>
      <c r="M952" s="80" t="n"/>
    </row>
    <row r="953">
      <c r="A953" s="80" t="n"/>
      <c r="B953" s="80" t="n"/>
      <c r="C953" s="80" t="n"/>
      <c r="D953" s="80" t="n"/>
      <c r="E953" s="80" t="n"/>
      <c r="F953" s="80" t="n"/>
      <c r="G953" s="80" t="n"/>
      <c r="H953" s="80" t="n"/>
      <c r="I953" s="80" t="n"/>
      <c r="J953" s="80" t="n"/>
      <c r="K953" s="80" t="n"/>
      <c r="L953" s="80" t="n"/>
      <c r="M953" s="80" t="n"/>
    </row>
    <row r="954">
      <c r="A954" s="80" t="n"/>
      <c r="B954" s="80" t="n"/>
      <c r="C954" s="80" t="n"/>
      <c r="D954" s="80" t="n"/>
      <c r="E954" s="80" t="n"/>
      <c r="F954" s="80" t="n"/>
      <c r="G954" s="80" t="n"/>
      <c r="H954" s="80" t="n"/>
      <c r="I954" s="80" t="n"/>
      <c r="J954" s="80" t="n"/>
      <c r="K954" s="80" t="n"/>
      <c r="L954" s="80" t="n"/>
      <c r="M954" s="80" t="n"/>
    </row>
    <row r="955">
      <c r="A955" s="80" t="n"/>
      <c r="B955" s="80" t="n"/>
      <c r="C955" s="80" t="n"/>
      <c r="D955" s="80" t="n"/>
      <c r="E955" s="80" t="n"/>
      <c r="F955" s="80" t="n"/>
      <c r="G955" s="80" t="n"/>
      <c r="H955" s="80" t="n"/>
      <c r="I955" s="80" t="n"/>
      <c r="J955" s="80" t="n"/>
      <c r="K955" s="80" t="n"/>
      <c r="L955" s="80" t="n"/>
      <c r="M955" s="80" t="n"/>
    </row>
    <row r="956">
      <c r="A956" s="80" t="n"/>
      <c r="B956" s="80" t="n"/>
      <c r="C956" s="80" t="n"/>
      <c r="D956" s="80" t="n"/>
      <c r="E956" s="80" t="n"/>
      <c r="F956" s="80" t="n"/>
      <c r="G956" s="80" t="n"/>
      <c r="H956" s="80" t="n"/>
      <c r="I956" s="80" t="n"/>
      <c r="J956" s="80" t="n"/>
      <c r="K956" s="80" t="n"/>
      <c r="L956" s="80" t="n"/>
      <c r="M956" s="80" t="n"/>
    </row>
    <row r="957">
      <c r="A957" s="80" t="n"/>
      <c r="B957" s="80" t="n"/>
      <c r="C957" s="80" t="n"/>
      <c r="D957" s="80" t="n"/>
      <c r="E957" s="80" t="n"/>
      <c r="F957" s="80" t="n"/>
      <c r="G957" s="80" t="n"/>
      <c r="H957" s="80" t="n"/>
      <c r="I957" s="80" t="n"/>
      <c r="J957" s="80" t="n"/>
      <c r="K957" s="80" t="n"/>
      <c r="L957" s="80" t="n"/>
      <c r="M957" s="80" t="n"/>
    </row>
    <row r="958">
      <c r="A958" s="80" t="n"/>
      <c r="B958" s="80" t="n"/>
      <c r="C958" s="80" t="n"/>
      <c r="D958" s="80" t="n"/>
      <c r="E958" s="80" t="n"/>
      <c r="F958" s="80" t="n"/>
      <c r="G958" s="80" t="n"/>
      <c r="H958" s="80" t="n"/>
      <c r="I958" s="80" t="n"/>
      <c r="J958" s="80" t="n"/>
      <c r="K958" s="80" t="n"/>
      <c r="L958" s="80" t="n"/>
      <c r="M958" s="80" t="n"/>
    </row>
    <row r="959">
      <c r="A959" s="80" t="n"/>
      <c r="B959" s="80" t="n"/>
      <c r="C959" s="80" t="n"/>
      <c r="D959" s="80" t="n"/>
      <c r="E959" s="80" t="n"/>
      <c r="F959" s="80" t="n"/>
      <c r="G959" s="80" t="n"/>
      <c r="H959" s="80" t="n"/>
      <c r="I959" s="80" t="n"/>
      <c r="J959" s="80" t="n"/>
      <c r="K959" s="80" t="n"/>
      <c r="L959" s="80" t="n"/>
      <c r="M959" s="80" t="n"/>
    </row>
    <row r="960">
      <c r="A960" s="80" t="n"/>
      <c r="B960" s="80" t="n"/>
      <c r="C960" s="80" t="n"/>
      <c r="D960" s="80" t="n"/>
      <c r="E960" s="80" t="n"/>
      <c r="F960" s="80" t="n"/>
      <c r="G960" s="80" t="n"/>
      <c r="H960" s="80" t="n"/>
      <c r="I960" s="80" t="n"/>
      <c r="J960" s="80" t="n"/>
      <c r="K960" s="80" t="n"/>
      <c r="L960" s="80" t="n"/>
      <c r="M960" s="80" t="n"/>
    </row>
    <row r="961">
      <c r="A961" s="80" t="n"/>
      <c r="B961" s="80" t="n"/>
      <c r="C961" s="80" t="n"/>
      <c r="D961" s="80" t="n"/>
      <c r="E961" s="80" t="n"/>
      <c r="F961" s="80" t="n"/>
      <c r="G961" s="80" t="n"/>
      <c r="H961" s="80" t="n"/>
      <c r="I961" s="80" t="n"/>
      <c r="J961" s="80" t="n"/>
      <c r="K961" s="80" t="n"/>
      <c r="L961" s="80" t="n"/>
      <c r="M961" s="80" t="n"/>
    </row>
    <row r="962">
      <c r="A962" s="80" t="n"/>
      <c r="B962" s="80" t="n"/>
      <c r="C962" s="80" t="n"/>
      <c r="D962" s="80" t="n"/>
      <c r="E962" s="80" t="n"/>
      <c r="F962" s="80" t="n"/>
      <c r="G962" s="80" t="n"/>
      <c r="H962" s="80" t="n"/>
      <c r="I962" s="80" t="n"/>
      <c r="J962" s="80" t="n"/>
      <c r="K962" s="80" t="n"/>
      <c r="L962" s="80" t="n"/>
      <c r="M962" s="80" t="n"/>
    </row>
    <row r="963">
      <c r="A963" s="80" t="n"/>
      <c r="B963" s="80" t="n"/>
      <c r="C963" s="80" t="n"/>
      <c r="D963" s="80" t="n"/>
      <c r="E963" s="80" t="n"/>
      <c r="F963" s="80" t="n"/>
      <c r="G963" s="80" t="n"/>
      <c r="H963" s="80" t="n"/>
      <c r="I963" s="80" t="n"/>
      <c r="J963" s="80" t="n"/>
      <c r="K963" s="80" t="n"/>
      <c r="L963" s="80" t="n"/>
      <c r="M963" s="80" t="n"/>
    </row>
    <row r="964">
      <c r="A964" s="80" t="n"/>
      <c r="B964" s="80" t="n"/>
      <c r="C964" s="80" t="n"/>
      <c r="D964" s="80" t="n"/>
      <c r="E964" s="80" t="n"/>
      <c r="F964" s="80" t="n"/>
      <c r="G964" s="80" t="n"/>
      <c r="H964" s="80" t="n"/>
      <c r="I964" s="80" t="n"/>
      <c r="J964" s="80" t="n"/>
      <c r="K964" s="80" t="n"/>
      <c r="L964" s="80" t="n"/>
      <c r="M964" s="80" t="n"/>
    </row>
    <row r="965">
      <c r="A965" s="80" t="n"/>
      <c r="B965" s="80" t="n"/>
      <c r="C965" s="80" t="n"/>
      <c r="D965" s="80" t="n"/>
      <c r="E965" s="80" t="n"/>
      <c r="F965" s="80" t="n"/>
      <c r="G965" s="80" t="n"/>
      <c r="H965" s="80" t="n"/>
      <c r="I965" s="80" t="n"/>
      <c r="J965" s="80" t="n"/>
      <c r="K965" s="80" t="n"/>
      <c r="L965" s="80" t="n"/>
      <c r="M965" s="80" t="n"/>
    </row>
    <row r="966">
      <c r="A966" s="80" t="n"/>
      <c r="B966" s="80" t="n"/>
      <c r="C966" s="80" t="n"/>
      <c r="D966" s="80" t="n"/>
      <c r="E966" s="80" t="n"/>
      <c r="F966" s="80" t="n"/>
      <c r="G966" s="80" t="n"/>
      <c r="H966" s="80" t="n"/>
      <c r="I966" s="80" t="n"/>
      <c r="J966" s="80" t="n"/>
      <c r="K966" s="80" t="n"/>
      <c r="L966" s="80" t="n"/>
      <c r="M966" s="80" t="n"/>
    </row>
    <row r="967">
      <c r="A967" s="80" t="n"/>
      <c r="B967" s="80" t="n"/>
      <c r="C967" s="80" t="n"/>
      <c r="D967" s="80" t="n"/>
      <c r="E967" s="80" t="n"/>
      <c r="F967" s="80" t="n"/>
      <c r="G967" s="80" t="n"/>
      <c r="H967" s="80" t="n"/>
      <c r="I967" s="80" t="n"/>
      <c r="J967" s="80" t="n"/>
      <c r="K967" s="80" t="n"/>
      <c r="L967" s="80" t="n"/>
      <c r="M967" s="80" t="n"/>
    </row>
    <row r="968">
      <c r="A968" s="80" t="n"/>
      <c r="B968" s="80" t="n"/>
      <c r="C968" s="80" t="n"/>
      <c r="D968" s="80" t="n"/>
      <c r="E968" s="80" t="n"/>
      <c r="F968" s="80" t="n"/>
      <c r="G968" s="80" t="n"/>
      <c r="H968" s="80" t="n"/>
      <c r="I968" s="80" t="n"/>
      <c r="J968" s="80" t="n"/>
      <c r="K968" s="80" t="n"/>
      <c r="L968" s="80" t="n"/>
      <c r="M968" s="80" t="n"/>
    </row>
    <row r="969">
      <c r="A969" s="80" t="n"/>
      <c r="B969" s="80" t="n"/>
      <c r="C969" s="80" t="n"/>
      <c r="D969" s="80" t="n"/>
      <c r="E969" s="80" t="n"/>
      <c r="F969" s="80" t="n"/>
      <c r="G969" s="80" t="n"/>
      <c r="H969" s="80" t="n"/>
      <c r="I969" s="80" t="n"/>
      <c r="J969" s="80" t="n"/>
      <c r="K969" s="80" t="n"/>
      <c r="L969" s="80" t="n"/>
      <c r="M969" s="80" t="n"/>
    </row>
    <row r="970">
      <c r="A970" s="80" t="n"/>
      <c r="B970" s="80" t="n"/>
      <c r="C970" s="80" t="n"/>
      <c r="D970" s="80" t="n"/>
      <c r="E970" s="80" t="n"/>
      <c r="F970" s="80" t="n"/>
      <c r="G970" s="80" t="n"/>
      <c r="H970" s="80" t="n"/>
      <c r="I970" s="80" t="n"/>
      <c r="J970" s="80" t="n"/>
      <c r="K970" s="80" t="n"/>
      <c r="L970" s="80" t="n"/>
      <c r="M970" s="80" t="n"/>
    </row>
    <row r="971">
      <c r="A971" s="80" t="n"/>
      <c r="B971" s="80" t="n"/>
      <c r="C971" s="80" t="n"/>
      <c r="D971" s="80" t="n"/>
      <c r="E971" s="80" t="n"/>
      <c r="F971" s="80" t="n"/>
      <c r="G971" s="80" t="n"/>
      <c r="H971" s="80" t="n"/>
      <c r="I971" s="80" t="n"/>
      <c r="J971" s="80" t="n"/>
      <c r="K971" s="80" t="n"/>
      <c r="L971" s="80" t="n"/>
      <c r="M971" s="80" t="n"/>
    </row>
    <row r="972">
      <c r="A972" s="80" t="n"/>
      <c r="B972" s="80" t="n"/>
      <c r="C972" s="80" t="n"/>
      <c r="D972" s="80" t="n"/>
      <c r="E972" s="80" t="n"/>
      <c r="F972" s="80" t="n"/>
      <c r="G972" s="80" t="n"/>
      <c r="H972" s="80" t="n"/>
      <c r="I972" s="80" t="n"/>
      <c r="J972" s="80" t="n"/>
      <c r="K972" s="80" t="n"/>
      <c r="L972" s="80" t="n"/>
      <c r="M972" s="80" t="n"/>
    </row>
    <row r="973">
      <c r="A973" s="80" t="n"/>
      <c r="B973" s="80" t="n"/>
      <c r="C973" s="80" t="n"/>
      <c r="D973" s="80" t="n"/>
      <c r="E973" s="80" t="n"/>
      <c r="F973" s="80" t="n"/>
      <c r="G973" s="80" t="n"/>
      <c r="H973" s="80" t="n"/>
      <c r="I973" s="80" t="n"/>
      <c r="J973" s="80" t="n"/>
      <c r="K973" s="80" t="n"/>
      <c r="L973" s="80" t="n"/>
      <c r="M973" s="80" t="n"/>
    </row>
    <row r="974">
      <c r="A974" s="80" t="n"/>
      <c r="B974" s="80" t="n"/>
      <c r="C974" s="80" t="n"/>
      <c r="D974" s="80" t="n"/>
      <c r="E974" s="80" t="n"/>
      <c r="F974" s="80" t="n"/>
      <c r="G974" s="80" t="n"/>
      <c r="H974" s="80" t="n"/>
      <c r="I974" s="80" t="n"/>
      <c r="J974" s="80" t="n"/>
      <c r="K974" s="80" t="n"/>
      <c r="L974" s="80" t="n"/>
      <c r="M974" s="80" t="n"/>
    </row>
    <row r="975">
      <c r="A975" s="80" t="n"/>
      <c r="B975" s="80" t="n"/>
      <c r="C975" s="80" t="n"/>
      <c r="D975" s="80" t="n"/>
      <c r="E975" s="80" t="n"/>
      <c r="F975" s="80" t="n"/>
      <c r="G975" s="80" t="n"/>
      <c r="H975" s="80" t="n"/>
      <c r="I975" s="80" t="n"/>
      <c r="J975" s="80" t="n"/>
      <c r="K975" s="80" t="n"/>
      <c r="L975" s="80" t="n"/>
      <c r="M975" s="80" t="n"/>
    </row>
    <row r="976">
      <c r="A976" s="80" t="n"/>
      <c r="B976" s="80" t="n"/>
      <c r="C976" s="80" t="n"/>
      <c r="D976" s="80" t="n"/>
      <c r="E976" s="80" t="n"/>
      <c r="F976" s="80" t="n"/>
      <c r="G976" s="80" t="n"/>
      <c r="H976" s="80" t="n"/>
      <c r="I976" s="80" t="n"/>
      <c r="J976" s="80" t="n"/>
      <c r="K976" s="80" t="n"/>
      <c r="L976" s="80" t="n"/>
      <c r="M976" s="80" t="n"/>
    </row>
    <row r="977">
      <c r="A977" s="80" t="n"/>
      <c r="B977" s="80" t="n"/>
      <c r="C977" s="80" t="n"/>
      <c r="D977" s="80" t="n"/>
      <c r="E977" s="80" t="n"/>
      <c r="F977" s="80" t="n"/>
      <c r="G977" s="80" t="n"/>
      <c r="H977" s="80" t="n"/>
      <c r="I977" s="80" t="n"/>
      <c r="J977" s="80" t="n"/>
      <c r="K977" s="80" t="n"/>
      <c r="L977" s="80" t="n"/>
      <c r="M977" s="8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 outlineLevelRow="1"/>
  <cols>
    <col width="40.38" customWidth="1" style="239" min="1" max="1"/>
    <col collapsed="1" width="12.63" customWidth="1" style="239" min="7" max="7"/>
    <col hidden="1" outlineLevel="1" width="12.63" customWidth="1" style="239" min="8" max="9"/>
    <col width="4.38" customWidth="1" style="239" min="11" max="11"/>
    <col collapsed="1" width="12.63" customWidth="1" style="239" min="17" max="17"/>
    <col hidden="1" outlineLevel="1" width="12.63" customWidth="1" style="239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3">
        <f>sum(B8,B14:B16,B31,B36:B39,B42:B60,B63:B67)</f>
        <v/>
      </c>
      <c r="C3" s="103">
        <f>sum(C8,C14:C16,C31,C36:C39,C42:C60,C63:C67)</f>
        <v/>
      </c>
      <c r="D3" s="103">
        <f>sum(D8,D14:D16,D31,D36:D39,D42:D60,D63:D67)</f>
        <v/>
      </c>
      <c r="E3" s="103">
        <f>sum(E8,E14:E16,E31,E36:E39,E42:E60,E63:E67)</f>
        <v/>
      </c>
      <c r="F3" s="103">
        <f>sum(F8,F14:F16,F31,F36:F39,F42:F60,F63:F67)</f>
        <v/>
      </c>
      <c r="G3" s="103">
        <f>sum(G8,G14:G16,G31,G36:G39,G42:G60,G63:G67)</f>
        <v/>
      </c>
      <c r="H3" s="103">
        <f>sum(H8,H14:H16,H36:H39,H42:H67)</f>
        <v/>
      </c>
      <c r="I3" s="103">
        <f>sum(I8,I14:I16,I36:I39,I42:I67)</f>
        <v/>
      </c>
      <c r="J3" s="143">
        <f>G3-F3</f>
        <v/>
      </c>
      <c r="K3" s="105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43">
        <f>Q3-P3</f>
        <v/>
      </c>
      <c r="U3" s="101" t="n"/>
      <c r="V3" s="101" t="n"/>
      <c r="W3" s="101" t="n"/>
    </row>
    <row r="4">
      <c r="A4" s="106" t="inlineStr">
        <is>
          <t xml:space="preserve">   Net change</t>
        </is>
      </c>
      <c r="B4" s="107" t="n"/>
      <c r="C4" s="108">
        <f>C3-B3</f>
        <v/>
      </c>
      <c r="D4" s="108">
        <f>D3-C3</f>
        <v/>
      </c>
      <c r="E4" s="108">
        <f>E3-D3</f>
        <v/>
      </c>
      <c r="F4" s="108">
        <f>F3-E3</f>
        <v/>
      </c>
      <c r="G4" s="108">
        <f>G3-F3</f>
        <v/>
      </c>
      <c r="H4" s="107" t="n"/>
      <c r="I4" s="107" t="n"/>
      <c r="J4" s="143" t="n"/>
      <c r="K4" s="105" t="n"/>
      <c r="L4" s="107" t="n"/>
      <c r="M4" s="108">
        <f>M3-L3</f>
        <v/>
      </c>
      <c r="N4" s="108">
        <f>N3-M3</f>
        <v/>
      </c>
      <c r="O4" s="108">
        <f>O3-N3</f>
        <v/>
      </c>
      <c r="P4" s="108">
        <f>P3-O3</f>
        <v/>
      </c>
      <c r="Q4" s="108">
        <f>Q3-P3</f>
        <v/>
      </c>
      <c r="R4" s="107" t="n"/>
      <c r="S4" s="107" t="n"/>
      <c r="T4" s="143" t="n"/>
      <c r="U4" s="101" t="n"/>
      <c r="V4" s="101" t="n"/>
      <c r="W4" s="101" t="n"/>
    </row>
    <row r="5">
      <c r="A5" s="106" t="inlineStr">
        <is>
          <t xml:space="preserve">  Growth Rate (%)</t>
        </is>
      </c>
      <c r="B5" s="108" t="n"/>
      <c r="C5" s="107">
        <f>C3/B3-1</f>
        <v/>
      </c>
      <c r="D5" s="107">
        <f>D3/C3-1</f>
        <v/>
      </c>
      <c r="E5" s="107">
        <f>E3/D3-1</f>
        <v/>
      </c>
      <c r="F5" s="107">
        <f>F3/E3-1</f>
        <v/>
      </c>
      <c r="G5" s="107">
        <f>G3/F3-1</f>
        <v/>
      </c>
      <c r="H5" s="105" t="n"/>
      <c r="I5" s="105" t="n"/>
      <c r="J5" s="143" t="n"/>
      <c r="K5" s="105" t="n"/>
      <c r="L5" s="108" t="n"/>
      <c r="M5" s="107">
        <f>M3/L3-1</f>
        <v/>
      </c>
      <c r="N5" s="107">
        <f>N3/M3-1</f>
        <v/>
      </c>
      <c r="O5" s="107">
        <f>O3/N3-1</f>
        <v/>
      </c>
      <c r="P5" s="107">
        <f>P3/O3-1</f>
        <v/>
      </c>
      <c r="Q5" s="107">
        <f>Q3/P3-1</f>
        <v/>
      </c>
      <c r="R5" s="105" t="n"/>
      <c r="S5" s="105" t="n"/>
      <c r="T5" s="143" t="n"/>
      <c r="U5" s="101" t="n"/>
      <c r="V5" s="101" t="n"/>
      <c r="W5" s="101" t="n"/>
    </row>
    <row r="6">
      <c r="A6" s="109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43" t="n"/>
      <c r="K6" s="105" t="n"/>
      <c r="L6" s="105" t="n"/>
      <c r="M6" s="105" t="n"/>
      <c r="N6" s="105" t="n"/>
      <c r="O6" s="105" t="n"/>
      <c r="P6" s="105" t="n"/>
      <c r="Q6" s="105" t="n"/>
      <c r="R6" s="105" t="n"/>
      <c r="S6" s="105" t="n"/>
      <c r="T6" s="143" t="n"/>
      <c r="U6" s="101" t="n"/>
      <c r="V6" s="101" t="n"/>
      <c r="W6" s="101" t="n"/>
    </row>
    <row r="7">
      <c r="A7" s="110" t="inlineStr">
        <is>
          <t>Page view by Project</t>
        </is>
      </c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05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01" t="n"/>
      <c r="V7" s="101" t="n"/>
      <c r="W7" s="101" t="n"/>
    </row>
    <row r="8" collapsed="1" s="239">
      <c r="A8" s="118" t="inlineStr">
        <is>
          <t>Cinema Hub</t>
        </is>
      </c>
      <c r="B8" s="120">
        <f>sum(B9:B13)</f>
        <v/>
      </c>
      <c r="C8" s="120">
        <f>sum(C9:C13)</f>
        <v/>
      </c>
      <c r="D8" s="120">
        <f>sum(D9:D13)</f>
        <v/>
      </c>
      <c r="E8" s="120">
        <f>sum(E9:E13)</f>
        <v/>
      </c>
      <c r="F8" s="120">
        <f>sum(F9:F13)</f>
        <v/>
      </c>
      <c r="G8" s="120">
        <f>sum(G9:G13)</f>
        <v/>
      </c>
      <c r="H8" s="120">
        <f>sum(H9:H13)</f>
        <v/>
      </c>
      <c r="I8" s="120">
        <f>sum(I9:I13)</f>
        <v/>
      </c>
      <c r="J8" s="143">
        <f>G8-F8</f>
        <v/>
      </c>
      <c r="K8" s="114" t="n"/>
      <c r="L8" s="120">
        <f>sum(L9:L13)</f>
        <v/>
      </c>
      <c r="M8" s="120">
        <f>sum(M9:M13)</f>
        <v/>
      </c>
      <c r="N8" s="120">
        <f>sum(N9:N13)</f>
        <v/>
      </c>
      <c r="O8" s="120">
        <f>sum(O9:O13)</f>
        <v/>
      </c>
      <c r="P8" s="120">
        <f>sum(P9:P13)</f>
        <v/>
      </c>
      <c r="Q8" s="120">
        <f>sum(Q9:Q13)</f>
        <v/>
      </c>
      <c r="R8" s="120">
        <f>sum(R9:R13)</f>
        <v/>
      </c>
      <c r="S8" s="120">
        <f>sum(S9:S13)</f>
        <v/>
      </c>
      <c r="T8" s="143">
        <f>Q8-P8</f>
        <v/>
      </c>
      <c r="U8" s="115" t="n"/>
      <c r="V8" s="115" t="n"/>
      <c r="W8" s="115" t="n"/>
    </row>
    <row r="9" hidden="1" outlineLevel="1" s="239">
      <c r="A9" s="173" t="inlineStr">
        <is>
          <t>Cinema_Cineplex Page</t>
        </is>
      </c>
      <c r="B9" s="117">
        <f>SUMPRODUCT(('MTD Pivot'!$A$3:$A$269=$A$9)*('MTD Pivot'!$D$2:$K$2=B2)*'MTD Pivot'!$D$3:$K$269)</f>
        <v/>
      </c>
      <c r="C9" s="117">
        <f>SUMPRODUCT(('MTD Pivot'!$A$3:$A$400=$A$9)*('MTD Pivot'!$D$2:$K$2=C2)*'MTD Pivot'!$D$3:$K$400)</f>
        <v/>
      </c>
      <c r="D9" s="117">
        <f>SUMPRODUCT(('MTD Pivot'!$A$3:$A$400=$A$9)*('MTD Pivot'!$D$2:$K$2=D2)*'MTD Pivot'!$D$3:$K$400)</f>
        <v/>
      </c>
      <c r="E9" s="117">
        <f>SUMPRODUCT(('MTD Pivot'!$A$3:$A$400=$A$9)*('MTD Pivot'!$D$2:$K$2=E2)*'MTD Pivot'!$D$3:$K$400)</f>
        <v/>
      </c>
      <c r="F9" s="117">
        <f>SUMPRODUCT(('MTD Pivot'!$A$3:$A$400=$A$9)*('MTD Pivot'!$D$2:$K$2=F2)*'MTD Pivot'!$D$3:$K$400)</f>
        <v/>
      </c>
      <c r="G9" s="117">
        <f>SUMPRODUCT(('MTD Pivot'!$A$3:$A$400=$A$9)*('MTD Pivot'!$D$2:$K$2=G2)*'MTD Pivot'!$D$3:$K$400)</f>
        <v/>
      </c>
      <c r="H9" s="117">
        <f>SUMPRODUCT(('MTD Pivot'!$A$3:$A$175=$A$9)*('MTD Pivot'!$D$2:$K$2=H2)*'MTD Pivot'!$D$3:$K$175)</f>
        <v/>
      </c>
      <c r="I9" s="117">
        <f>SUMPRODUCT(('MTD Pivot'!$A$3:$A$175=$A$9)*('MTD Pivot'!$D$2:$K$2=I2)*'MTD Pivot'!$D$3:$K$175)</f>
        <v/>
      </c>
      <c r="J9" s="143">
        <f>G9-F9</f>
        <v/>
      </c>
      <c r="K9" s="105" t="n"/>
      <c r="L9" s="117">
        <f>SUMPRODUCT(('Full month Pivot'!$A$3:$A$400=$A$9)*('Full month Pivot'!$D$2:$K$2=L2)*'Full month Pivot'!$D$3:$K$400)</f>
        <v/>
      </c>
      <c r="M9" s="117">
        <f>SUMPRODUCT(('Full month Pivot'!$A$3:$A$400=$A$9)*('Full month Pivot'!$D$2:$K$2=M2)*'Full month Pivot'!$D$3:$K$400)</f>
        <v/>
      </c>
      <c r="N9" s="117">
        <f>SUMPRODUCT(('Full month Pivot'!$A$3:$A$400=$A$9)*('Full month Pivot'!$D$2:$K$2=N2)*'Full month Pivot'!$D$3:$K$400)</f>
        <v/>
      </c>
      <c r="O9" s="117">
        <f>SUMPRODUCT(('Full month Pivot'!$A$3:$A$400=$A$9)*('Full month Pivot'!$D$2:$K$2=O2)*'Full month Pivot'!$D$3:$K$400)</f>
        <v/>
      </c>
      <c r="P9" s="117">
        <f>SUMPRODUCT(('Full month Pivot'!$A$3:$A$400=$A$9)*('Full month Pivot'!$D$2:$K$2=P2)*'Full month Pivot'!$D$3:$K$400)</f>
        <v/>
      </c>
      <c r="Q9" s="117">
        <f>SUMPRODUCT(('Full month Pivot'!$A$3:$A$400=$A$9)*('Full month Pivot'!$D$2:$K$2=Q2)*'Full month Pivot'!$D$3:$K$400)</f>
        <v/>
      </c>
      <c r="R9" s="117">
        <f>SUMPRODUCT(('Full month Pivot'!$A$3:$A$175=$A$9)*('Full month Pivot'!$D$2:$K$2=R2)*'Full month Pivot'!$D$3:$K$175)</f>
        <v/>
      </c>
      <c r="S9" s="117">
        <f>SUMPRODUCT(('Full month Pivot'!$A$3:$A$175=$A$9)*('Full month Pivot'!$D$2:$K$2=S2)*'Full month Pivot'!$D$3:$K$175)</f>
        <v/>
      </c>
      <c r="T9" s="143">
        <f>Q9-P9</f>
        <v/>
      </c>
      <c r="U9" s="101" t="n"/>
      <c r="V9" s="101" t="n"/>
      <c r="W9" s="101" t="n"/>
    </row>
    <row r="10" hidden="1" outlineLevel="1" s="239">
      <c r="A10" s="173" t="inlineStr">
        <is>
          <t>Cinema_Page</t>
        </is>
      </c>
      <c r="B10" s="117">
        <f>SUMPRODUCT(('MTD Pivot'!$A$3:$A$269=$A$10)*('MTD Pivot'!$D$2:$K$2=B2)*'MTD Pivot'!$D$3:$K$269)</f>
        <v/>
      </c>
      <c r="C10" s="117">
        <f>SUMPRODUCT(('MTD Pivot'!$A$3:$A$400=$A$10)*('MTD Pivot'!$D$2:$K$2=C2)*'MTD Pivot'!$D$3:$K$400)</f>
        <v/>
      </c>
      <c r="D10" s="117">
        <f>SUMPRODUCT(('MTD Pivot'!$A$3:$A$400=$A$10)*('MTD Pivot'!$D$2:$K$2=D2)*'MTD Pivot'!$D$3:$K$400)</f>
        <v/>
      </c>
      <c r="E10" s="117">
        <f>SUMPRODUCT(('MTD Pivot'!$A$3:$A$400=$A$10)*('MTD Pivot'!$D$2:$K$2=E2)*'MTD Pivot'!$D$3:$K$400)</f>
        <v/>
      </c>
      <c r="F10" s="117">
        <f>SUMPRODUCT(('MTD Pivot'!$A$3:$A$400=$A$10)*('MTD Pivot'!$D$2:$K$2=F2)*'MTD Pivot'!$D$3:$K$400)</f>
        <v/>
      </c>
      <c r="G10" s="117">
        <f>SUMPRODUCT(('MTD Pivot'!$A$3:$A$400=$A$10)*('MTD Pivot'!$D$2:$K$2=G2)*'MTD Pivot'!$D$3:$K$400)</f>
        <v/>
      </c>
      <c r="H10" s="117">
        <f>SUMPRODUCT(('MTD Pivot'!$A$3:$A$175=$A$10)*('MTD Pivot'!$D$2:$K$2=H2)*'MTD Pivot'!$D$3:$K$175)</f>
        <v/>
      </c>
      <c r="I10" s="117">
        <f>SUMPRODUCT(('MTD Pivot'!$A$3:$A$175=$A$10)*('MTD Pivot'!$D$2:$K$2=I2)*'MTD Pivot'!$D$3:$K$175)</f>
        <v/>
      </c>
      <c r="J10" s="143">
        <f>G10-F10</f>
        <v/>
      </c>
      <c r="K10" s="105" t="n"/>
      <c r="L10" s="117">
        <f>SUMPRODUCT(('Full month Pivot'!$A$3:$A$400=$A$10)*('Full month Pivot'!$D$2:$K$2=L2)*'Full month Pivot'!$D$3:$K$400)</f>
        <v/>
      </c>
      <c r="M10" s="117">
        <f>SUMPRODUCT(('Full month Pivot'!$A$3:$A$400=$A$10)*('Full month Pivot'!$D$2:$K$2=M2)*'Full month Pivot'!$D$3:$K$400)</f>
        <v/>
      </c>
      <c r="N10" s="117">
        <f>SUMPRODUCT(('Full month Pivot'!$A$3:$A$400=$A$10)*('Full month Pivot'!$D$2:$K$2=N2)*'Full month Pivot'!$D$3:$K$400)</f>
        <v/>
      </c>
      <c r="O10" s="117">
        <f>SUMPRODUCT(('Full month Pivot'!$A$3:$A$400=$A$10)*('Full month Pivot'!$D$2:$K$2=O2)*'Full month Pivot'!$D$3:$K$400)</f>
        <v/>
      </c>
      <c r="P10" s="117">
        <f>SUMPRODUCT(('Full month Pivot'!$A$3:$A$400=$A$10)*('Full month Pivot'!$D$2:$K$2=P2)*'Full month Pivot'!$D$3:$K$400)</f>
        <v/>
      </c>
      <c r="Q10" s="117">
        <f>SUMPRODUCT(('Full month Pivot'!$A$3:$A$400=$A$10)*('Full month Pivot'!$D$2:$K$2=Q2)*'Full month Pivot'!$D$3:$K$400)</f>
        <v/>
      </c>
      <c r="R10" s="117">
        <f>SUMPRODUCT(('Full month Pivot'!$A$3:$A$175=$A$10)*('Full month Pivot'!$D$2:$K$2=R2)*'Full month Pivot'!$D$3:$K$175)</f>
        <v/>
      </c>
      <c r="S10" s="117">
        <f>SUMPRODUCT(('Full month Pivot'!$A$3:$A$175=$A$10)*('Full month Pivot'!$D$2:$K$2=S2)*'Full month Pivot'!$D$3:$K$175)</f>
        <v/>
      </c>
      <c r="T10" s="143">
        <f>Q10-P10</f>
        <v/>
      </c>
      <c r="U10" s="101" t="n"/>
      <c r="V10" s="101" t="n"/>
      <c r="W10" s="101" t="n"/>
    </row>
    <row r="11" hidden="1" outlineLevel="1" s="239">
      <c r="A11" s="173" t="inlineStr">
        <is>
          <t>Cinema_Blog</t>
        </is>
      </c>
      <c r="B11" s="117">
        <f>SUMPRODUCT(('MTD Pivot'!$A$3:$A$269=$A$11)*('MTD Pivot'!$D$2:$K$2=B2)*'MTD Pivot'!$D$3:$K$269)</f>
        <v/>
      </c>
      <c r="C11" s="117">
        <f>SUMPRODUCT(('MTD Pivot'!$A$3:$A$400=$A$11)*('MTD Pivot'!$D$2:$K$2=C2)*'MTD Pivot'!$D$3:$K$400)</f>
        <v/>
      </c>
      <c r="D11" s="117">
        <f>SUMPRODUCT(('MTD Pivot'!$A$3:$A$400=$A$11)*('MTD Pivot'!$D$2:$K$2=D2)*'MTD Pivot'!$D$3:$K$400)</f>
        <v/>
      </c>
      <c r="E11" s="117">
        <f>SUMPRODUCT(('MTD Pivot'!$A$3:$A$400=$A$11)*('MTD Pivot'!$D$2:$K$2=E2)*'MTD Pivot'!$D$3:$K$400)</f>
        <v/>
      </c>
      <c r="F11" s="117">
        <f>SUMPRODUCT(('MTD Pivot'!$A$3:$A$400=$A$11)*('MTD Pivot'!$D$2:$K$2=F2)*'MTD Pivot'!$D$3:$K$400)</f>
        <v/>
      </c>
      <c r="G11" s="117">
        <f>SUMPRODUCT(('MTD Pivot'!$A$3:$A$400=$A$11)*('MTD Pivot'!$D$2:$K$2=G2)*'MTD Pivot'!$D$3:$K$400)</f>
        <v/>
      </c>
      <c r="H11" s="117">
        <f>SUMPRODUCT(('MTD Pivot'!$A$3:$A$175=$A$11)*('MTD Pivot'!$D$2:$K$2=H2)*'MTD Pivot'!$D$3:$K$175)</f>
        <v/>
      </c>
      <c r="I11" s="117">
        <f>SUMPRODUCT(('MTD Pivot'!$A$3:$A$175=$A$11)*('MTD Pivot'!$D$2:$K$2=I2)*'MTD Pivot'!$D$3:$K$175)</f>
        <v/>
      </c>
      <c r="J11" s="143">
        <f>G11-F11</f>
        <v/>
      </c>
      <c r="K11" s="105" t="n"/>
      <c r="L11" s="117">
        <f>SUMPRODUCT(('Full month Pivot'!$A$3:$A$400=$A$11)*('Full month Pivot'!$D$2:$K$2=L2)*'Full month Pivot'!$D$3:$K$400)</f>
        <v/>
      </c>
      <c r="M11" s="117">
        <f>SUMPRODUCT(('Full month Pivot'!$A$3:$A$400=$A$11)*('Full month Pivot'!$D$2:$K$2=M2)*'Full month Pivot'!$D$3:$K$400)</f>
        <v/>
      </c>
      <c r="N11" s="117">
        <f>SUMPRODUCT(('Full month Pivot'!$A$3:$A$400=$A$11)*('Full month Pivot'!$D$2:$K$2=N2)*'Full month Pivot'!$D$3:$K$400)</f>
        <v/>
      </c>
      <c r="O11" s="117">
        <f>SUMPRODUCT(('Full month Pivot'!$A$3:$A$400=$A$11)*('Full month Pivot'!$D$2:$K$2=O2)*'Full month Pivot'!$D$3:$K$400)</f>
        <v/>
      </c>
      <c r="P11" s="117">
        <f>SUMPRODUCT(('Full month Pivot'!$A$3:$A$400=$A$11)*('Full month Pivot'!$D$2:$K$2=P2)*'Full month Pivot'!$D$3:$K$400)</f>
        <v/>
      </c>
      <c r="Q11" s="117">
        <f>SUMPRODUCT(('Full month Pivot'!$A$3:$A$400=$A$11)*('Full month Pivot'!$D$2:$K$2=Q2)*'Full month Pivot'!$D$3:$K$400)</f>
        <v/>
      </c>
      <c r="R11" s="117">
        <f>SUMPRODUCT(('Full month Pivot'!$A$3:$A$175=$A$11)*('Full month Pivot'!$D$2:$K$2=R2)*'Full month Pivot'!$D$3:$K$175)</f>
        <v/>
      </c>
      <c r="S11" s="117">
        <f>SUMPRODUCT(('Full month Pivot'!$A$3:$A$175=$A$11)*('Full month Pivot'!$D$2:$K$2=S2)*'Full month Pivot'!$D$3:$K$175)</f>
        <v/>
      </c>
      <c r="T11" s="143">
        <f>Q11-P11</f>
        <v/>
      </c>
      <c r="U11" s="101" t="n"/>
      <c r="V11" s="101" t="n"/>
      <c r="W11" s="101" t="n"/>
    </row>
    <row r="12" hidden="1" outlineLevel="1" s="239">
      <c r="A12" s="173" t="inlineStr">
        <is>
          <t>Cinema_Home Page</t>
        </is>
      </c>
      <c r="B12" s="117">
        <f>SUMPRODUCT(('MTD Pivot'!$A$3:$A$269=$A$12)*('MTD Pivot'!$D$2:$K$2=B2)*'MTD Pivot'!$D$3:$K$269)</f>
        <v/>
      </c>
      <c r="C12" s="117">
        <f>SUMPRODUCT(('MTD Pivot'!$A$3:$A$400=$A$12)*('MTD Pivot'!$D$2:$K$2=C2)*'MTD Pivot'!$D$3:$K$400)</f>
        <v/>
      </c>
      <c r="D12" s="117">
        <f>SUMPRODUCT(('MTD Pivot'!$A$3:$A$400=$A$12)*('MTD Pivot'!$D$2:$K$2=D2)*'MTD Pivot'!$D$3:$K$400)</f>
        <v/>
      </c>
      <c r="E12" s="117">
        <f>SUMPRODUCT(('MTD Pivot'!$A$3:$A$400=$A$12)*('MTD Pivot'!$D$2:$K$2=E2)*'MTD Pivot'!$D$3:$K$400)</f>
        <v/>
      </c>
      <c r="F12" s="117">
        <f>SUMPRODUCT(('MTD Pivot'!$A$3:$A$400=$A$12)*('MTD Pivot'!$D$2:$K$2=F2)*'MTD Pivot'!$D$3:$K$400)</f>
        <v/>
      </c>
      <c r="G12" s="117">
        <f>SUMPRODUCT(('MTD Pivot'!$A$3:$A$400=$A$12)*('MTD Pivot'!$D$2:$K$2=G2)*'MTD Pivot'!$D$3:$K$400)</f>
        <v/>
      </c>
      <c r="H12" s="117">
        <f>SUMPRODUCT(('MTD Pivot'!$A$3:$A$175=$A$12)*('MTD Pivot'!$D$2:$K$2=H2)*'MTD Pivot'!$D$3:$K$175)</f>
        <v/>
      </c>
      <c r="I12" s="117">
        <f>SUMPRODUCT(('MTD Pivot'!$A$3:$A$175=$A$12)*('MTD Pivot'!$D$2:$K$2=I2)*'MTD Pivot'!$D$3:$K$175)</f>
        <v/>
      </c>
      <c r="J12" s="143">
        <f>G12-F12</f>
        <v/>
      </c>
      <c r="K12" s="105" t="n"/>
      <c r="L12" s="117">
        <f>SUMPRODUCT(('Full month Pivot'!$A$3:$A$400=$A$12)*('Full month Pivot'!$D$2:$K$2=L2)*'Full month Pivot'!$D$3:$K$400)</f>
        <v/>
      </c>
      <c r="M12" s="117">
        <f>SUMPRODUCT(('Full month Pivot'!$A$3:$A$400=$A$12)*('Full month Pivot'!$D$2:$K$2=M2)*'Full month Pivot'!$D$3:$K$400)</f>
        <v/>
      </c>
      <c r="N12" s="117">
        <f>SUMPRODUCT(('Full month Pivot'!$A$3:$A$400=$A$12)*('Full month Pivot'!$D$2:$K$2=N2)*'Full month Pivot'!$D$3:$K$400)</f>
        <v/>
      </c>
      <c r="O12" s="117">
        <f>SUMPRODUCT(('Full month Pivot'!$A$3:$A$400=$A$12)*('Full month Pivot'!$D$2:$K$2=O2)*'Full month Pivot'!$D$3:$K$400)</f>
        <v/>
      </c>
      <c r="P12" s="117">
        <f>SUMPRODUCT(('Full month Pivot'!$A$3:$A$400=$A$12)*('Full month Pivot'!$D$2:$K$2=P2)*'Full month Pivot'!$D$3:$K$400)</f>
        <v/>
      </c>
      <c r="Q12" s="117">
        <f>SUMPRODUCT(('Full month Pivot'!$A$3:$A$400=$A$12)*('Full month Pivot'!$D$2:$K$2=Q2)*'Full month Pivot'!$D$3:$K$400)</f>
        <v/>
      </c>
      <c r="R12" s="117">
        <f>SUMPRODUCT(('Full month Pivot'!$A$3:$A$175=$A$12)*('Full month Pivot'!$D$2:$K$2=R2)*'Full month Pivot'!$D$3:$K$175)</f>
        <v/>
      </c>
      <c r="S12" s="117">
        <f>SUMPRODUCT(('Full month Pivot'!$A$3:$A$175=$A$12)*('Full month Pivot'!$D$2:$K$2=S2)*'Full month Pivot'!$D$3:$K$175)</f>
        <v/>
      </c>
      <c r="T12" s="143">
        <f>Q12-P12</f>
        <v/>
      </c>
      <c r="U12" s="101" t="n"/>
      <c r="V12" s="101" t="n"/>
      <c r="W12" s="101" t="n"/>
    </row>
    <row r="13" hidden="1" outlineLevel="1" s="239">
      <c r="A13" s="173" t="inlineStr">
        <is>
          <t>Cinema_News</t>
        </is>
      </c>
      <c r="B13" s="117">
        <f>SUMPRODUCT(('MTD Pivot'!$A$3:$A$269=$A$13)*('MTD Pivot'!$D$2:$K$2=B2)*'MTD Pivot'!$D$3:$K$269)</f>
        <v/>
      </c>
      <c r="C13" s="117">
        <f>SUMPRODUCT(('MTD Pivot'!$A$3:$A$400=$A$13)*('MTD Pivot'!$D$2:$K$2=C2)*'MTD Pivot'!$D$3:$K$400)</f>
        <v/>
      </c>
      <c r="D13" s="117">
        <f>SUMPRODUCT(('MTD Pivot'!$A$3:$A$400=$A$13)*('MTD Pivot'!$D$2:$K$2=D2)*'MTD Pivot'!$D$3:$K$400)</f>
        <v/>
      </c>
      <c r="E13" s="117">
        <f>SUMPRODUCT(('MTD Pivot'!$A$3:$A$400=$A$13)*('MTD Pivot'!$D$2:$K$2=E2)*'MTD Pivot'!$D$3:$K$400)</f>
        <v/>
      </c>
      <c r="F13" s="117">
        <f>SUMPRODUCT(('MTD Pivot'!$A$3:$A$400=$A$13)*('MTD Pivot'!$D$2:$K$2=F2)*'MTD Pivot'!$D$3:$K$400)</f>
        <v/>
      </c>
      <c r="G13" s="117">
        <f>SUMPRODUCT(('MTD Pivot'!$A$3:$A$400=$A$13)*('MTD Pivot'!$D$2:$K$2=G2)*'MTD Pivot'!$D$3:$K$400)</f>
        <v/>
      </c>
      <c r="H13" s="117">
        <f>SUMPRODUCT(('MTD Pivot'!$A$3:$A$175=$A$13)*('MTD Pivot'!$D$2:$K$2=H2)*'MTD Pivot'!$D$3:$K$175)</f>
        <v/>
      </c>
      <c r="I13" s="117">
        <f>SUMPRODUCT(('MTD Pivot'!$A$3:$A$175=$A$13)*('MTD Pivot'!$D$2:$K$2=I2)*'MTD Pivot'!$D$3:$K$175)</f>
        <v/>
      </c>
      <c r="J13" s="143">
        <f>G13-F13</f>
        <v/>
      </c>
      <c r="K13" s="105" t="n"/>
      <c r="L13" s="117">
        <f>SUMPRODUCT(('Full month Pivot'!$A$3:$A$400=$A$13)*('Full month Pivot'!$D$2:$K$2=L2)*'Full month Pivot'!$D$3:$K$400)</f>
        <v/>
      </c>
      <c r="M13" s="117">
        <f>SUMPRODUCT(('Full month Pivot'!$A$3:$A$400=$A$13)*('Full month Pivot'!$D$2:$K$2=M2)*'Full month Pivot'!$D$3:$K$400)</f>
        <v/>
      </c>
      <c r="N13" s="117">
        <f>SUMPRODUCT(('Full month Pivot'!$A$3:$A$400=$A$13)*('Full month Pivot'!$D$2:$K$2=N2)*'Full month Pivot'!$D$3:$K$400)</f>
        <v/>
      </c>
      <c r="O13" s="117">
        <f>SUMPRODUCT(('Full month Pivot'!$A$3:$A$400=$A$13)*('Full month Pivot'!$D$2:$K$2=O2)*'Full month Pivot'!$D$3:$K$400)</f>
        <v/>
      </c>
      <c r="P13" s="117">
        <f>SUMPRODUCT(('Full month Pivot'!$A$3:$A$400=$A$13)*('Full month Pivot'!$D$2:$K$2=P2)*'Full month Pivot'!$D$3:$K$400)</f>
        <v/>
      </c>
      <c r="Q13" s="117">
        <f>SUMPRODUCT(('Full month Pivot'!$A$3:$A$400=$A$13)*('Full month Pivot'!$D$2:$K$2=Q2)*'Full month Pivot'!$D$3:$K$400)</f>
        <v/>
      </c>
      <c r="R13" s="117">
        <f>SUMPRODUCT(('Full month Pivot'!$A$3:$A$175=$A$13)*('Full month Pivot'!$D$2:$K$2=R2)*'Full month Pivot'!$D$3:$K$175)</f>
        <v/>
      </c>
      <c r="S13" s="117">
        <f>SUMPRODUCT(('Full month Pivot'!$A$3:$A$175=$A$13)*('Full month Pivot'!$D$2:$K$2=S2)*'Full month Pivot'!$D$3:$K$175)</f>
        <v/>
      </c>
      <c r="T13" s="143">
        <f>Q13-P13</f>
        <v/>
      </c>
      <c r="U13" s="101" t="n"/>
      <c r="V13" s="101" t="n"/>
      <c r="W13" s="101" t="n"/>
    </row>
    <row r="14">
      <c r="A14" s="118" t="inlineStr">
        <is>
          <t>Home MoMo</t>
        </is>
      </c>
      <c r="B14" s="120">
        <f>SUMPRODUCT(('MTD Pivot'!$A$3:$A$269=$A$14)*('MTD Pivot'!$D$2:$K$2=B2)*'MTD Pivot'!$D$3:$K$269)</f>
        <v/>
      </c>
      <c r="C14" s="120">
        <f>SUMPRODUCT(('MTD Pivot'!$A$3:$A$400=$A$14)*('MTD Pivot'!$D$2:$K$2=C2)*'MTD Pivot'!$D$3:$K$400)</f>
        <v/>
      </c>
      <c r="D14" s="120">
        <f>SUMPRODUCT(('MTD Pivot'!$A$3:$A$400=$A$14)*('MTD Pivot'!$D$2:$K$2=D2)*'MTD Pivot'!$D$3:$K$400)</f>
        <v/>
      </c>
      <c r="E14" s="120">
        <f>SUMPRODUCT(('MTD Pivot'!$A$3:$A$400=$A$14)*('MTD Pivot'!$D$2:$K$2=E2)*'MTD Pivot'!$D$3:$K$400)</f>
        <v/>
      </c>
      <c r="F14" s="120">
        <f>SUMPRODUCT(('MTD Pivot'!$A$3:$A$400=$A$14)*('MTD Pivot'!$D$2:$K$2=F2)*'MTD Pivot'!$D$3:$K$400)</f>
        <v/>
      </c>
      <c r="G14" s="120">
        <f>SUMPRODUCT(('MTD Pivot'!$A$3:$A$400=$A$14)*('MTD Pivot'!$D$2:$K$2=G2)*'MTD Pivot'!$D$3:$K$400)</f>
        <v/>
      </c>
      <c r="H14" s="120">
        <f>SUMPRODUCT(('MTD Pivot'!$A$3:$A$175=$A$14)*('MTD Pivot'!$D$2:$K$2=H2)*'MTD Pivot'!$D$3:$K$175)</f>
        <v/>
      </c>
      <c r="I14" s="120">
        <f>SUMPRODUCT(('MTD Pivot'!$A$3:$A$175=$A$14)*('MTD Pivot'!$D$2:$K$2=I2)*'MTD Pivot'!$D$3:$K$175)</f>
        <v/>
      </c>
      <c r="J14" s="143">
        <f>G14-F14</f>
        <v/>
      </c>
      <c r="K14" s="114" t="n"/>
      <c r="L14" s="120">
        <f>SUMPRODUCT(('Full month Pivot'!$A$3:$A$400=$A$14)*('Full month Pivot'!$D$2:$K$2=L2)*'Full month Pivot'!$D$3:$K$400)</f>
        <v/>
      </c>
      <c r="M14" s="120">
        <f>SUMPRODUCT(('Full month Pivot'!$A$3:$A$400=$A$14)*('Full month Pivot'!$D$2:$K$2=M2)*'Full month Pivot'!$D$3:$K$400)</f>
        <v/>
      </c>
      <c r="N14" s="120">
        <f>SUMPRODUCT(('Full month Pivot'!$A$3:$A$400=$A$14)*('Full month Pivot'!$D$2:$K$2=N2)*'Full month Pivot'!$D$3:$K$400)</f>
        <v/>
      </c>
      <c r="O14" s="120">
        <f>SUMPRODUCT(('Full month Pivot'!$A$3:$A$400=$A$14)*('Full month Pivot'!$D$2:$K$2=O2)*'Full month Pivot'!$D$3:$K$400)</f>
        <v/>
      </c>
      <c r="P14" s="120">
        <f>SUMPRODUCT(('Full month Pivot'!$A$3:$A$400=$A$14)*('Full month Pivot'!$D$2:$K$2=P2)*'Full month Pivot'!$D$3:$K$400)</f>
        <v/>
      </c>
      <c r="Q14" s="120">
        <f>SUMPRODUCT(('Full month Pivot'!$A$3:$A$400=$A$14)*('Full month Pivot'!$D$2:$K$2=Q2)*'Full month Pivot'!$D$3:$K$400)</f>
        <v/>
      </c>
      <c r="R14" s="120">
        <f>SUMPRODUCT(('Full month Pivot'!$A$3:$A$175=$A$14)*('Full month Pivot'!$D$2:$K$2=R2)*'Full month Pivot'!$D$3:$K$175)</f>
        <v/>
      </c>
      <c r="S14" s="120">
        <f>SUMPRODUCT(('Full month Pivot'!$A$3:$A$175=$A$14)*('Full month Pivot'!$D$2:$K$2=S2)*'Full month Pivot'!$D$3:$K$175)</f>
        <v/>
      </c>
      <c r="T14" s="143">
        <f>Q14-P14</f>
        <v/>
      </c>
      <c r="U14" s="115" t="n"/>
      <c r="V14" s="115" t="n"/>
      <c r="W14" s="115" t="n"/>
    </row>
    <row r="15">
      <c r="A15" s="118" t="inlineStr">
        <is>
          <t>Tiktok</t>
        </is>
      </c>
      <c r="B15" s="120">
        <f>SUMPRODUCT(('MTD Pivot'!$A$3:$A$269=$A$15)*('MTD Pivot'!$D$2:$K$2=B2)*'MTD Pivot'!$D$3:$K$269)</f>
        <v/>
      </c>
      <c r="C15" s="120">
        <f>SUMPRODUCT(('MTD Pivot'!$A$3:$A$400=$A$15)*('MTD Pivot'!$D$2:$K$2=C2)*'MTD Pivot'!$D$3:$K$400)</f>
        <v/>
      </c>
      <c r="D15" s="120">
        <f>SUMPRODUCT(('MTD Pivot'!$A$3:$A$400=$A$15)*('MTD Pivot'!$D$2:$K$2=D2)*'MTD Pivot'!$D$3:$K$400)</f>
        <v/>
      </c>
      <c r="E15" s="120">
        <f>SUMPRODUCT(('MTD Pivot'!$A$3:$A$400=$A$15)*('MTD Pivot'!$D$2:$K$2=E2)*'MTD Pivot'!$D$3:$K$400)</f>
        <v/>
      </c>
      <c r="F15" s="120">
        <f>SUMPRODUCT(('MTD Pivot'!$A$3:$A$400=$A$15)*('MTD Pivot'!$D$2:$K$2=F2)*'MTD Pivot'!$D$3:$K$400)</f>
        <v/>
      </c>
      <c r="G15" s="120">
        <f>SUMPRODUCT(('MTD Pivot'!$A$3:$A$400=$A$15)*('MTD Pivot'!$D$2:$K$2=G2)*'MTD Pivot'!$D$3:$K$400)</f>
        <v/>
      </c>
      <c r="H15" s="120">
        <f>SUMPRODUCT(('MTD Pivot'!$A$3:$A$175=$A$15)*('MTD Pivot'!$D$2:$K$2=H2)*'MTD Pivot'!$D$3:$K$175)</f>
        <v/>
      </c>
      <c r="I15" s="120">
        <f>SUMPRODUCT(('MTD Pivot'!$A$3:$A$175=$A$15)*('MTD Pivot'!$D$2:$K$2=I2)*'MTD Pivot'!$D$3:$K$175)</f>
        <v/>
      </c>
      <c r="J15" s="143">
        <f>G15-F15</f>
        <v/>
      </c>
      <c r="K15" s="114" t="n"/>
      <c r="L15" s="120">
        <f>SUMPRODUCT(('Full month Pivot'!$A$3:$A$400=$A$15)*('Full month Pivot'!$D$2:$K$2=L2)*'Full month Pivot'!$D$3:$K$400)</f>
        <v/>
      </c>
      <c r="M15" s="120">
        <f>SUMPRODUCT(('Full month Pivot'!$A$3:$A$400=$A$15)*('Full month Pivot'!$D$2:$K$2=M2)*'Full month Pivot'!$D$3:$K$400)</f>
        <v/>
      </c>
      <c r="N15" s="120">
        <f>SUMPRODUCT(('Full month Pivot'!$A$3:$A$400=$A$15)*('Full month Pivot'!$D$2:$K$2=N2)*'Full month Pivot'!$D$3:$K$400)</f>
        <v/>
      </c>
      <c r="O15" s="120">
        <f>SUMPRODUCT(('Full month Pivot'!$A$3:$A$400=$A$15)*('Full month Pivot'!$D$2:$K$2=O2)*'Full month Pivot'!$D$3:$K$400)</f>
        <v/>
      </c>
      <c r="P15" s="120">
        <f>SUMPRODUCT(('Full month Pivot'!$A$3:$A$400=$A$15)*('Full month Pivot'!$D$2:$K$2=P2)*'Full month Pivot'!$D$3:$K$400)</f>
        <v/>
      </c>
      <c r="Q15" s="120">
        <f>SUMPRODUCT(('Full month Pivot'!$A$3:$A$400=$A$15)*('Full month Pivot'!$D$2:$K$2=Q2)*'Full month Pivot'!$D$3:$K$400)</f>
        <v/>
      </c>
      <c r="R15" s="120">
        <f>SUMPRODUCT(('Full month Pivot'!$A$3:$A$175=$A$15)*('Full month Pivot'!$D$2:$K$2=R2)*'Full month Pivot'!$D$3:$K$175)</f>
        <v/>
      </c>
      <c r="S15" s="120">
        <f>SUMPRODUCT(('Full month Pivot'!$A$3:$A$175=$A$15)*('Full month Pivot'!$D$2:$K$2=S2)*'Full month Pivot'!$D$3:$K$175)</f>
        <v/>
      </c>
      <c r="T15" s="143">
        <f>Q15-P15</f>
        <v/>
      </c>
      <c r="U15" s="115" t="n"/>
      <c r="V15" s="115" t="n"/>
      <c r="W15" s="115" t="n"/>
    </row>
    <row r="16">
      <c r="A16" s="119" t="inlineStr">
        <is>
          <t>Financial Hub</t>
        </is>
      </c>
      <c r="B16" s="120">
        <f>sum(B17:B30)</f>
        <v/>
      </c>
      <c r="C16" s="120">
        <f>sum(C17:C30)</f>
        <v/>
      </c>
      <c r="D16" s="120">
        <f>sum(D17:D30)</f>
        <v/>
      </c>
      <c r="E16" s="120">
        <f>sum(E17:E30)</f>
        <v/>
      </c>
      <c r="F16" s="120">
        <f>sum(F17:F30)</f>
        <v/>
      </c>
      <c r="G16" s="120">
        <f>sum(G17:G30)</f>
        <v/>
      </c>
      <c r="H16" s="120">
        <f>sum(H17:H30)</f>
        <v/>
      </c>
      <c r="I16" s="120">
        <f>sum(I17:I30)</f>
        <v/>
      </c>
      <c r="J16" s="143">
        <f>G16-F16</f>
        <v/>
      </c>
      <c r="K16" s="114" t="n"/>
      <c r="L16" s="120">
        <f>sum(L17:L30)</f>
        <v/>
      </c>
      <c r="M16" s="120">
        <f>sum(M17:M30)</f>
        <v/>
      </c>
      <c r="N16" s="120">
        <f>sum(N17:N30)</f>
        <v/>
      </c>
      <c r="O16" s="120">
        <f>sum(O17:O30)</f>
        <v/>
      </c>
      <c r="P16" s="120">
        <f>sum(P17:P30)</f>
        <v/>
      </c>
      <c r="Q16" s="120">
        <f>sum(Q17:Q30)</f>
        <v/>
      </c>
      <c r="R16" s="120">
        <f>sum(R17:R30)</f>
        <v/>
      </c>
      <c r="S16" s="120">
        <f>sum(S17:S30)</f>
        <v/>
      </c>
      <c r="T16" s="143">
        <f>Q16-P16</f>
        <v/>
      </c>
      <c r="U16" s="115" t="n"/>
      <c r="V16" s="115" t="n"/>
      <c r="W16" s="115" t="n"/>
    </row>
    <row r="17" outlineLevel="1" s="239">
      <c r="A17" s="173" t="inlineStr">
        <is>
          <t>Vay Nhanh</t>
        </is>
      </c>
      <c r="B17" s="117">
        <f>SUMPRODUCT(('MTD Pivot'!$A$3:$A$269=$A$17)*('MTD Pivot'!$D$2:$K$2=B2)*'MTD Pivot'!$D$3:$K$269)</f>
        <v/>
      </c>
      <c r="C17" s="117">
        <f>SUMPRODUCT(('MTD Pivot'!$A$3:$A$400=$A$17)*('MTD Pivot'!$D$2:$K$2=C2)*'MTD Pivot'!$D$3:$K$400)</f>
        <v/>
      </c>
      <c r="D17" s="117">
        <f>SUMPRODUCT(('MTD Pivot'!$A$3:$A$400=$A$17)*('MTD Pivot'!$D$2:$K$2=D2)*'MTD Pivot'!$D$3:$K$400)</f>
        <v/>
      </c>
      <c r="E17" s="117">
        <f>SUMPRODUCT(('MTD Pivot'!$A$3:$A$400=$A$17)*('MTD Pivot'!$D$2:$K$2=E2)*'MTD Pivot'!$D$3:$K$400)</f>
        <v/>
      </c>
      <c r="F17" s="117">
        <f>SUMPRODUCT(('MTD Pivot'!$A$3:$A$400=$A$17)*('MTD Pivot'!$D$2:$K$2=F2)*'MTD Pivot'!$D$3:$K$400)</f>
        <v/>
      </c>
      <c r="G17" s="117">
        <f>SUMPRODUCT(('MTD Pivot'!$A$3:$A$400=$A$17)*('MTD Pivot'!$D$2:$K$2=G2)*'MTD Pivot'!$D$3:$K$400)</f>
        <v/>
      </c>
      <c r="H17" s="117">
        <f>SUMPRODUCT(('MTD Pivot'!$A$3:$A$175=$A$17)*('MTD Pivot'!$D$2:$K$2=H2)*'MTD Pivot'!$D$3:$K$175)</f>
        <v/>
      </c>
      <c r="I17" s="117">
        <f>SUMPRODUCT(('MTD Pivot'!$A$3:$A$175=$A$17)*('MTD Pivot'!$D$2:$K$2=I2)*'MTD Pivot'!$D$3:$K$175)</f>
        <v/>
      </c>
      <c r="J17" s="143">
        <f>G17-F17</f>
        <v/>
      </c>
      <c r="K17" s="105" t="n"/>
      <c r="L17" s="117">
        <f>SUMPRODUCT(('Full month Pivot'!$A$3:$A$400=$A$17)*('Full month Pivot'!$D$2:$K$2=L2)*'Full month Pivot'!$D$3:$K$400)</f>
        <v/>
      </c>
      <c r="M17" s="117">
        <f>SUMPRODUCT(('Full month Pivot'!$A$3:$A$400=$A$17)*('Full month Pivot'!$D$2:$K$2=M2)*'Full month Pivot'!$D$3:$K$400)</f>
        <v/>
      </c>
      <c r="N17" s="117">
        <f>SUMPRODUCT(('Full month Pivot'!$A$3:$A$400=$A$17)*('Full month Pivot'!$D$2:$K$2=N2)*'Full month Pivot'!$D$3:$K$400)</f>
        <v/>
      </c>
      <c r="O17" s="117">
        <f>SUMPRODUCT(('Full month Pivot'!$A$3:$A$400=$A$17)*('Full month Pivot'!$D$2:$K$2=O2)*'Full month Pivot'!$D$3:$K$400)</f>
        <v/>
      </c>
      <c r="P17" s="117">
        <f>SUMPRODUCT(('Full month Pivot'!$A$3:$A$400=$A$17)*('Full month Pivot'!$D$2:$K$2=P2)*'Full month Pivot'!$D$3:$K$400)</f>
        <v/>
      </c>
      <c r="Q17" s="117">
        <f>SUMPRODUCT(('Full month Pivot'!$A$3:$A$400=$A$17)*('Full month Pivot'!$D$2:$K$2=Q2)*'Full month Pivot'!$D$3:$K$400)</f>
        <v/>
      </c>
      <c r="R17" s="117">
        <f>SUMPRODUCT(('Full month Pivot'!$A$3:$A$175=$A$17)*('Full month Pivot'!$D$2:$K$2=R2)*'Full month Pivot'!$D$3:$K$175)</f>
        <v/>
      </c>
      <c r="S17" s="117">
        <f>SUMPRODUCT(('Full month Pivot'!$A$3:$A$175=$A$17)*('Full month Pivot'!$D$2:$K$2=S2)*'Full month Pivot'!$D$3:$K$175)</f>
        <v/>
      </c>
      <c r="T17" s="143">
        <f>Q17-P17</f>
        <v/>
      </c>
      <c r="U17" s="101" t="n"/>
      <c r="V17" s="101" t="n"/>
      <c r="W17" s="101" t="n"/>
    </row>
    <row r="18" outlineLevel="1" s="239">
      <c r="A18" s="122" t="inlineStr">
        <is>
          <t>Điểm Tín Dụng</t>
        </is>
      </c>
      <c r="B18" s="117">
        <f>SUMPRODUCT(('MTD Pivot'!$A$3:$A$269=$A$18)*('MTD Pivot'!$D$2:$K$2=B2)*'MTD Pivot'!$D$3:$K$269)</f>
        <v/>
      </c>
      <c r="C18" s="117">
        <f>SUMPRODUCT(('MTD Pivot'!$A$3:$A$400=$A$18)*('MTD Pivot'!$D$2:$K$2=C2)*'MTD Pivot'!$D$3:$K$400)</f>
        <v/>
      </c>
      <c r="D18" s="117">
        <f>SUMPRODUCT(('MTD Pivot'!$A$3:$A$400=$A$18)*('MTD Pivot'!$D$2:$K$2=D2)*'MTD Pivot'!$D$3:$K$400)</f>
        <v/>
      </c>
      <c r="E18" s="117">
        <f>SUMPRODUCT(('MTD Pivot'!$A$3:$A$400=$A$18)*('MTD Pivot'!$D$2:$K$2=E2)*'MTD Pivot'!$D$3:$K$400)</f>
        <v/>
      </c>
      <c r="F18" s="117">
        <f>SUMPRODUCT(('MTD Pivot'!$A$3:$A$400=$A$18)*('MTD Pivot'!$D$2:$K$2=F2)*'MTD Pivot'!$D$3:$K$400)</f>
        <v/>
      </c>
      <c r="G18" s="117">
        <f>SUMPRODUCT(('MTD Pivot'!$A$3:$A$400=$A$18)*('MTD Pivot'!$D$2:$K$2=G2)*'MTD Pivot'!$D$3:$K$400)</f>
        <v/>
      </c>
      <c r="H18" s="117">
        <f>SUMPRODUCT(('MTD Pivot'!$A$3:$A$175=$A$18)*('MTD Pivot'!$D$2:$K$2=H2)*'MTD Pivot'!$D$3:$K$175)</f>
        <v/>
      </c>
      <c r="I18" s="117">
        <f>SUMPRODUCT(('MTD Pivot'!$A$3:$A$175=$A$18)*('MTD Pivot'!$D$2:$K$2=I2)*'MTD Pivot'!$D$3:$K$175)</f>
        <v/>
      </c>
      <c r="J18" s="143">
        <f>G18-F18</f>
        <v/>
      </c>
      <c r="K18" s="105" t="n"/>
      <c r="L18" s="117">
        <f>SUMPRODUCT(('Full month Pivot'!$A$3:$A$400=$A$18)*('Full month Pivot'!$D$2:$K$2=L2)*'Full month Pivot'!$D$3:$K$400)</f>
        <v/>
      </c>
      <c r="M18" s="117">
        <f>SUMPRODUCT(('Full month Pivot'!$A$3:$A$400=$A$18)*('Full month Pivot'!$D$2:$K$2=M2)*'Full month Pivot'!$D$3:$K$400)</f>
        <v/>
      </c>
      <c r="N18" s="117">
        <f>SUMPRODUCT(('Full month Pivot'!$A$3:$A$400=$A$18)*('Full month Pivot'!$D$2:$K$2=N2)*'Full month Pivot'!$D$3:$K$400)</f>
        <v/>
      </c>
      <c r="O18" s="117">
        <f>SUMPRODUCT(('Full month Pivot'!$A$3:$A$400=$A$18)*('Full month Pivot'!$D$2:$K$2=O2)*'Full month Pivot'!$D$3:$K$400)</f>
        <v/>
      </c>
      <c r="P18" s="117">
        <f>SUMPRODUCT(('Full month Pivot'!$A$3:$A$400=$A$18)*('Full month Pivot'!$D$2:$K$2=P2)*'Full month Pivot'!$D$3:$K$400)</f>
        <v/>
      </c>
      <c r="Q18" s="117">
        <f>SUMPRODUCT(('Full month Pivot'!$A$3:$A$400=$A$18)*('Full month Pivot'!$D$2:$K$2=Q2)*'Full month Pivot'!$D$3:$K$400)</f>
        <v/>
      </c>
      <c r="R18" s="117">
        <f>SUMPRODUCT(('Full month Pivot'!$A$3:$A$175=$A$18)*('Full month Pivot'!$D$2:$K$2=R2)*'Full month Pivot'!$D$3:$K$175)</f>
        <v/>
      </c>
      <c r="S18" s="117">
        <f>SUMPRODUCT(('Full month Pivot'!$A$3:$A$175=$A$18)*('Full month Pivot'!$D$2:$K$2=S2)*'Full month Pivot'!$D$3:$K$175)</f>
        <v/>
      </c>
      <c r="T18" s="143">
        <f>Q18-P18</f>
        <v/>
      </c>
      <c r="U18" s="101" t="n"/>
      <c r="V18" s="101" t="n"/>
      <c r="W18" s="101" t="n"/>
    </row>
    <row r="19" outlineLevel="1" s="239">
      <c r="A19" s="122" t="inlineStr">
        <is>
          <t>Ví Trả Sau</t>
        </is>
      </c>
      <c r="B19" s="117">
        <f>SUMPRODUCT(('MTD Pivot'!$A$3:$A$269=$A$19)*('MTD Pivot'!$D$2:$K$2=B2)*'MTD Pivot'!$D$3:$K$269)</f>
        <v/>
      </c>
      <c r="C19" s="117">
        <f>SUMPRODUCT(('MTD Pivot'!$A$3:$A$400=$A$19)*('MTD Pivot'!$D$2:$K$2=C2)*'MTD Pivot'!$D$3:$K$400)</f>
        <v/>
      </c>
      <c r="D19" s="117">
        <f>SUMPRODUCT(('MTD Pivot'!$A$3:$A$400=$A$19)*('MTD Pivot'!$D$2:$K$2=D2)*'MTD Pivot'!$D$3:$K$400)</f>
        <v/>
      </c>
      <c r="E19" s="117">
        <f>SUMPRODUCT(('MTD Pivot'!$A$3:$A$400=$A$19)*('MTD Pivot'!$D$2:$K$2=E2)*'MTD Pivot'!$D$3:$K$400)</f>
        <v/>
      </c>
      <c r="F19" s="117">
        <f>SUMPRODUCT(('MTD Pivot'!$A$3:$A$400=$A$19)*('MTD Pivot'!$D$2:$K$2=F2)*'MTD Pivot'!$D$3:$K$400)</f>
        <v/>
      </c>
      <c r="G19" s="117">
        <f>SUMPRODUCT(('MTD Pivot'!$A$3:$A$400=$A$19)*('MTD Pivot'!$D$2:$K$2=G2)*'MTD Pivot'!$D$3:$K$400)</f>
        <v/>
      </c>
      <c r="H19" s="117">
        <f>SUMPRODUCT(('MTD Pivot'!$A$3:$A$175=$A$19)*('MTD Pivot'!$D$2:$K$2=H2)*'MTD Pivot'!$D$3:$K$175)</f>
        <v/>
      </c>
      <c r="I19" s="117">
        <f>SUMPRODUCT(('MTD Pivot'!$A$3:$A$175=$A$19)*('MTD Pivot'!$D$2:$K$2=I2)*'MTD Pivot'!$D$3:$K$175)</f>
        <v/>
      </c>
      <c r="J19" s="143">
        <f>G19-F19</f>
        <v/>
      </c>
      <c r="K19" s="105" t="n"/>
      <c r="L19" s="117">
        <f>SUMPRODUCT(('Full month Pivot'!$A$3:$A$400=$A$19)*('Full month Pivot'!$D$2:$K$2=L2)*'Full month Pivot'!$D$3:$K$400)</f>
        <v/>
      </c>
      <c r="M19" s="117">
        <f>SUMPRODUCT(('Full month Pivot'!$A$3:$A$400=$A$19)*('Full month Pivot'!$D$2:$K$2=M2)*'Full month Pivot'!$D$3:$K$400)</f>
        <v/>
      </c>
      <c r="N19" s="117">
        <f>SUMPRODUCT(('Full month Pivot'!$A$3:$A$400=$A$19)*('Full month Pivot'!$D$2:$K$2=N2)*'Full month Pivot'!$D$3:$K$400)</f>
        <v/>
      </c>
      <c r="O19" s="117">
        <f>SUMPRODUCT(('Full month Pivot'!$A$3:$A$400=$A$19)*('Full month Pivot'!$D$2:$K$2=O2)*'Full month Pivot'!$D$3:$K$400)</f>
        <v/>
      </c>
      <c r="P19" s="117">
        <f>SUMPRODUCT(('Full month Pivot'!$A$3:$A$400=$A$19)*('Full month Pivot'!$D$2:$K$2=P2)*'Full month Pivot'!$D$3:$K$400)</f>
        <v/>
      </c>
      <c r="Q19" s="117">
        <f>SUMPRODUCT(('Full month Pivot'!$A$3:$A$400=$A$19)*('Full month Pivot'!$D$2:$K$2=Q2)*'Full month Pivot'!$D$3:$K$400)</f>
        <v/>
      </c>
      <c r="R19" s="117">
        <f>SUMPRODUCT(('Full month Pivot'!$A$3:$A$175=$A$19)*('Full month Pivot'!$D$2:$K$2=R2)*'Full month Pivot'!$D$3:$K$175)</f>
        <v/>
      </c>
      <c r="S19" s="117">
        <f>SUMPRODUCT(('Full month Pivot'!$A$3:$A$175=$A$19)*('Full month Pivot'!$D$2:$K$2=S2)*'Full month Pivot'!$D$3:$K$175)</f>
        <v/>
      </c>
      <c r="T19" s="143">
        <f>Q19-P19</f>
        <v/>
      </c>
      <c r="U19" s="101" t="n"/>
      <c r="V19" s="101" t="n"/>
      <c r="W19" s="101" t="n"/>
    </row>
    <row r="20" outlineLevel="1" s="239">
      <c r="A20" s="122" t="inlineStr">
        <is>
          <t>Túi Thần Tài</t>
        </is>
      </c>
      <c r="B20" s="117">
        <f>SUMPRODUCT(('MTD Pivot'!$A$3:$A$269=$A$20)*('MTD Pivot'!$D$2:$K$2=B2)*'MTD Pivot'!$D$3:$K$269)</f>
        <v/>
      </c>
      <c r="C20" s="117">
        <f>SUMPRODUCT(('MTD Pivot'!$A$3:$A$400=$A$20)*('MTD Pivot'!$D$2:$K$2=C2)*'MTD Pivot'!$D$3:$K$400)</f>
        <v/>
      </c>
      <c r="D20" s="117">
        <f>SUMPRODUCT(('MTD Pivot'!$A$3:$A$400=$A$20)*('MTD Pivot'!$D$2:$K$2=D2)*'MTD Pivot'!$D$3:$K$400)</f>
        <v/>
      </c>
      <c r="E20" s="117">
        <f>SUMPRODUCT(('MTD Pivot'!$A$3:$A$400=$A$20)*('MTD Pivot'!$D$2:$K$2=E2)*'MTD Pivot'!$D$3:$K$400)</f>
        <v/>
      </c>
      <c r="F20" s="117">
        <f>SUMPRODUCT(('MTD Pivot'!$A$3:$A$400=$A$20)*('MTD Pivot'!$D$2:$K$2=F2)*'MTD Pivot'!$D$3:$K$400)</f>
        <v/>
      </c>
      <c r="G20" s="117">
        <f>SUMPRODUCT(('MTD Pivot'!$A$3:$A$400=$A$20)*('MTD Pivot'!$D$2:$K$2=G2)*'MTD Pivot'!$D$3:$K$400)</f>
        <v/>
      </c>
      <c r="H20" s="117">
        <f>SUMPRODUCT(('MTD Pivot'!$A$3:$A$175=$A$20)*('MTD Pivot'!$D$2:$K$2=H2)*'MTD Pivot'!$D$3:$K$175)</f>
        <v/>
      </c>
      <c r="I20" s="117">
        <f>SUMPRODUCT(('MTD Pivot'!$A$3:$A$175=$A$20)*('MTD Pivot'!$D$2:$K$2=I2)*'MTD Pivot'!$D$3:$K$175)</f>
        <v/>
      </c>
      <c r="J20" s="143">
        <f>G20-F20</f>
        <v/>
      </c>
      <c r="K20" s="105" t="n"/>
      <c r="L20" s="117">
        <f>SUMPRODUCT(('Full month Pivot'!$A$3:$A$400=$A$20)*('Full month Pivot'!$D$2:$K$2=L2)*'Full month Pivot'!$D$3:$K$400)</f>
        <v/>
      </c>
      <c r="M20" s="117">
        <f>SUMPRODUCT(('Full month Pivot'!$A$3:$A$400=$A$20)*('Full month Pivot'!$D$2:$K$2=M2)*'Full month Pivot'!$D$3:$K$400)</f>
        <v/>
      </c>
      <c r="N20" s="117">
        <f>SUMPRODUCT(('Full month Pivot'!$A$3:$A$400=$A$20)*('Full month Pivot'!$D$2:$K$2=N2)*'Full month Pivot'!$D$3:$K$400)</f>
        <v/>
      </c>
      <c r="O20" s="117">
        <f>SUMPRODUCT(('Full month Pivot'!$A$3:$A$400=$A$20)*('Full month Pivot'!$D$2:$K$2=O2)*'Full month Pivot'!$D$3:$K$400)</f>
        <v/>
      </c>
      <c r="P20" s="117">
        <f>SUMPRODUCT(('Full month Pivot'!$A$3:$A$400=$A$20)*('Full month Pivot'!$D$2:$K$2=P2)*'Full month Pivot'!$D$3:$K$400)</f>
        <v/>
      </c>
      <c r="Q20" s="117">
        <f>SUMPRODUCT(('Full month Pivot'!$A$3:$A$400=$A$20)*('Full month Pivot'!$D$2:$K$2=Q2)*'Full month Pivot'!$D$3:$K$400)</f>
        <v/>
      </c>
      <c r="R20" s="117">
        <f>SUMPRODUCT(('Full month Pivot'!$A$3:$A$175=$A$20)*('Full month Pivot'!$D$2:$K$2=R2)*'Full month Pivot'!$D$3:$K$175)</f>
        <v/>
      </c>
      <c r="S20" s="117">
        <f>SUMPRODUCT(('Full month Pivot'!$A$3:$A$175=$A$20)*('Full month Pivot'!$D$2:$K$2=S2)*'Full month Pivot'!$D$3:$K$175)</f>
        <v/>
      </c>
      <c r="T20" s="143">
        <f>Q20-P20</f>
        <v/>
      </c>
      <c r="U20" s="101" t="n"/>
      <c r="V20" s="101" t="n"/>
      <c r="W20" s="101" t="n"/>
    </row>
    <row r="21" outlineLevel="1" s="239">
      <c r="A21" s="122" t="inlineStr">
        <is>
          <t>Mở Thẻ Tín Dụng</t>
        </is>
      </c>
      <c r="B21" s="117">
        <f>SUMPRODUCT(('MTD Pivot'!$A$3:$A$269=$A$21)*('MTD Pivot'!$D$2:$K$2=B2)*'MTD Pivot'!$D$3:$K$269)</f>
        <v/>
      </c>
      <c r="C21" s="117">
        <f>SUMPRODUCT(('MTD Pivot'!$A$3:$A$400=$A$21)*('MTD Pivot'!$D$2:$K$2=C2)*'MTD Pivot'!$D$3:$K$400)</f>
        <v/>
      </c>
      <c r="D21" s="117">
        <f>SUMPRODUCT(('MTD Pivot'!$A$3:$A$400=$A$21)*('MTD Pivot'!$D$2:$K$2=D2)*'MTD Pivot'!$D$3:$K$400)</f>
        <v/>
      </c>
      <c r="E21" s="117">
        <f>SUMPRODUCT(('MTD Pivot'!$A$3:$A$400=$A$21)*('MTD Pivot'!$D$2:$K$2=E2)*'MTD Pivot'!$D$3:$K$400)</f>
        <v/>
      </c>
      <c r="F21" s="117">
        <f>SUMPRODUCT(('MTD Pivot'!$A$3:$A$400=$A$21)*('MTD Pivot'!$D$2:$K$2=F2)*'MTD Pivot'!$D$3:$K$400)</f>
        <v/>
      </c>
      <c r="G21" s="117">
        <f>SUMPRODUCT(('MTD Pivot'!$A$3:$A$400=$A$21)*('MTD Pivot'!$D$2:$K$2=G2)*'MTD Pivot'!$D$3:$K$400)</f>
        <v/>
      </c>
      <c r="H21" s="117">
        <f>SUMPRODUCT(('MTD Pivot'!$A$3:$A$175=$A$21)*('MTD Pivot'!$D$2:$K$2=H2)*'MTD Pivot'!$D$3:$K$175)</f>
        <v/>
      </c>
      <c r="I21" s="117">
        <f>SUMPRODUCT(('MTD Pivot'!$A$3:$A$175=$A$21)*('MTD Pivot'!$D$2:$K$2=I2)*'MTD Pivot'!$D$3:$K$175)</f>
        <v/>
      </c>
      <c r="J21" s="143">
        <f>G21-F21</f>
        <v/>
      </c>
      <c r="K21" s="105" t="n"/>
      <c r="L21" s="117">
        <f>SUMPRODUCT(('Full month Pivot'!$A$3:$A$400=$A$21)*('Full month Pivot'!$D$2:$K$2=L2)*'Full month Pivot'!$D$3:$K$400)</f>
        <v/>
      </c>
      <c r="M21" s="117">
        <f>SUMPRODUCT(('Full month Pivot'!$A$3:$A$400=$A$21)*('Full month Pivot'!$D$2:$K$2=M2)*'Full month Pivot'!$D$3:$K$400)</f>
        <v/>
      </c>
      <c r="N21" s="117">
        <f>SUMPRODUCT(('Full month Pivot'!$A$3:$A$400=$A$21)*('Full month Pivot'!$D$2:$K$2=N2)*'Full month Pivot'!$D$3:$K$400)</f>
        <v/>
      </c>
      <c r="O21" s="117">
        <f>SUMPRODUCT(('Full month Pivot'!$A$3:$A$400=$A$21)*('Full month Pivot'!$D$2:$K$2=O2)*'Full month Pivot'!$D$3:$K$400)</f>
        <v/>
      </c>
      <c r="P21" s="117">
        <f>SUMPRODUCT(('Full month Pivot'!$A$3:$A$400=$A$21)*('Full month Pivot'!$D$2:$K$2=P2)*'Full month Pivot'!$D$3:$K$400)</f>
        <v/>
      </c>
      <c r="Q21" s="117">
        <f>SUMPRODUCT(('Full month Pivot'!$A$3:$A$400=$A$21)*('Full month Pivot'!$D$2:$K$2=Q2)*'Full month Pivot'!$D$3:$K$400)</f>
        <v/>
      </c>
      <c r="R21" s="117">
        <f>SUMPRODUCT(('Full month Pivot'!$A$3:$A$175=$A$21)*('Full month Pivot'!$D$2:$K$2=R2)*'Full month Pivot'!$D$3:$K$175)</f>
        <v/>
      </c>
      <c r="S21" s="117">
        <f>SUMPRODUCT(('Full month Pivot'!$A$3:$A$175=$A$21)*('Full month Pivot'!$D$2:$K$2=S2)*'Full month Pivot'!$D$3:$K$175)</f>
        <v/>
      </c>
      <c r="T21" s="143">
        <f>Q21-P21</f>
        <v/>
      </c>
      <c r="U21" s="101" t="n"/>
      <c r="V21" s="101" t="n"/>
      <c r="W21" s="101" t="n"/>
    </row>
    <row r="22" outlineLevel="1" s="239">
      <c r="A22" s="122" t="inlineStr">
        <is>
          <t>Quản Lý Chi Tiêu</t>
        </is>
      </c>
      <c r="B22" s="117">
        <f>SUMPRODUCT(('MTD Pivot'!$A$3:$A$269=$A$22)*('MTD Pivot'!$D$2:$K$2=B2)*'MTD Pivot'!$D$3:$K$269)</f>
        <v/>
      </c>
      <c r="C22" s="117">
        <f>SUMPRODUCT(('MTD Pivot'!$A$3:$A$400=$A$22)*('MTD Pivot'!$D$2:$K$2=C2)*'MTD Pivot'!$D$3:$K$400)</f>
        <v/>
      </c>
      <c r="D22" s="117">
        <f>SUMPRODUCT(('MTD Pivot'!$A$3:$A$400=$A$22)*('MTD Pivot'!$D$2:$K$2=D2)*'MTD Pivot'!$D$3:$K$400)</f>
        <v/>
      </c>
      <c r="E22" s="117">
        <f>SUMPRODUCT(('MTD Pivot'!$A$3:$A$400=$A$22)*('MTD Pivot'!$D$2:$K$2=E2)*'MTD Pivot'!$D$3:$K$400)</f>
        <v/>
      </c>
      <c r="F22" s="117">
        <f>SUMPRODUCT(('MTD Pivot'!$A$3:$A$400=$A$22)*('MTD Pivot'!$D$2:$K$2=F2)*'MTD Pivot'!$D$3:$K$400)</f>
        <v/>
      </c>
      <c r="G22" s="117">
        <f>SUMPRODUCT(('MTD Pivot'!$A$3:$A$400=$A$22)*('MTD Pivot'!$D$2:$K$2=G2)*'MTD Pivot'!$D$3:$K$400)</f>
        <v/>
      </c>
      <c r="H22" s="117">
        <f>SUMPRODUCT(('MTD Pivot'!$A$3:$A$175=$A$22)*('MTD Pivot'!$D$2:$K$2=H2)*'MTD Pivot'!$D$3:$K$175)</f>
        <v/>
      </c>
      <c r="I22" s="117">
        <f>SUMPRODUCT(('MTD Pivot'!$A$3:$A$175=$A$22)*('MTD Pivot'!$D$2:$K$2=I2)*'MTD Pivot'!$D$3:$K$175)</f>
        <v/>
      </c>
      <c r="J22" s="143">
        <f>G22-F22</f>
        <v/>
      </c>
      <c r="K22" s="105" t="n"/>
      <c r="L22" s="117">
        <f>SUMPRODUCT(('Full month Pivot'!$A$3:$A$400=$A$22)*('Full month Pivot'!$D$2:$K$2=L2)*'Full month Pivot'!$D$3:$K$400)</f>
        <v/>
      </c>
      <c r="M22" s="117">
        <f>SUMPRODUCT(('Full month Pivot'!$A$3:$A$400=$A$22)*('Full month Pivot'!$D$2:$K$2=M2)*'Full month Pivot'!$D$3:$K$400)</f>
        <v/>
      </c>
      <c r="N22" s="117">
        <f>SUMPRODUCT(('Full month Pivot'!$A$3:$A$400=$A$22)*('Full month Pivot'!$D$2:$K$2=N2)*'Full month Pivot'!$D$3:$K$400)</f>
        <v/>
      </c>
      <c r="O22" s="117">
        <f>SUMPRODUCT(('Full month Pivot'!$A$3:$A$400=$A$22)*('Full month Pivot'!$D$2:$K$2=O2)*'Full month Pivot'!$D$3:$K$400)</f>
        <v/>
      </c>
      <c r="P22" s="117">
        <f>SUMPRODUCT(('Full month Pivot'!$A$3:$A$400=$A$22)*('Full month Pivot'!$D$2:$K$2=P2)*'Full month Pivot'!$D$3:$K$400)</f>
        <v/>
      </c>
      <c r="Q22" s="117">
        <f>SUMPRODUCT(('Full month Pivot'!$A$3:$A$400=$A$22)*('Full month Pivot'!$D$2:$K$2=Q2)*'Full month Pivot'!$D$3:$K$400)</f>
        <v/>
      </c>
      <c r="R22" s="117">
        <f>SUMPRODUCT(('Full month Pivot'!$A$3:$A$175=$A$22)*('Full month Pivot'!$D$2:$K$2=R2)*'Full month Pivot'!$D$3:$K$175)</f>
        <v/>
      </c>
      <c r="S22" s="117">
        <f>SUMPRODUCT(('Full month Pivot'!$A$3:$A$175=$A$22)*('Full month Pivot'!$D$2:$K$2=S2)*'Full month Pivot'!$D$3:$K$175)</f>
        <v/>
      </c>
      <c r="T22" s="143">
        <f>Q22-P22</f>
        <v/>
      </c>
      <c r="U22" s="101" t="n"/>
      <c r="V22" s="101" t="n"/>
      <c r="W22" s="101" t="n"/>
    </row>
    <row r="23" outlineLevel="1" s="239">
      <c r="A23" s="122" t="inlineStr">
        <is>
          <t>Trả Góp Apple</t>
        </is>
      </c>
      <c r="B23" s="117">
        <f>SUMPRODUCT(('MTD Pivot'!$A$3:$A$269=$A$23)*('MTD Pivot'!$D$2:$K$2=B2)*'MTD Pivot'!$D$3:$K$269)</f>
        <v/>
      </c>
      <c r="C23" s="117">
        <f>SUMPRODUCT(('MTD Pivot'!$A$3:$A$400=$A$23)*('MTD Pivot'!$D$2:$K$2=C2)*'MTD Pivot'!$D$3:$K$400)</f>
        <v/>
      </c>
      <c r="D23" s="117">
        <f>SUMPRODUCT(('MTD Pivot'!$A$3:$A$400=$A$23)*('MTD Pivot'!$D$2:$K$2=D2)*'MTD Pivot'!$D$3:$K$400)</f>
        <v/>
      </c>
      <c r="E23" s="117">
        <f>SUMPRODUCT(('MTD Pivot'!$A$3:$A$400=$A$23)*('MTD Pivot'!$D$2:$K$2=E2)*'MTD Pivot'!$D$3:$K$400)</f>
        <v/>
      </c>
      <c r="F23" s="117">
        <f>SUMPRODUCT(('MTD Pivot'!$A$3:$A$400=$A$23)*('MTD Pivot'!$D$2:$K$2=F2)*'MTD Pivot'!$D$3:$K$400)</f>
        <v/>
      </c>
      <c r="G23" s="117">
        <f>SUMPRODUCT(('MTD Pivot'!$A$3:$A$400=$A$23)*('MTD Pivot'!$D$2:$K$2=G2)*'MTD Pivot'!$D$3:$K$400)</f>
        <v/>
      </c>
      <c r="H23" s="117">
        <f>SUMPRODUCT(('MTD Pivot'!$A$3:$A$175=$A$23)*('MTD Pivot'!$D$2:$K$2=H2)*'MTD Pivot'!$D$3:$K$175)</f>
        <v/>
      </c>
      <c r="I23" s="117">
        <f>SUMPRODUCT(('MTD Pivot'!$A$3:$A$175=$A$23)*('MTD Pivot'!$D$2:$K$2=I2)*'MTD Pivot'!$D$3:$K$175)</f>
        <v/>
      </c>
      <c r="J23" s="143">
        <f>G23-F23</f>
        <v/>
      </c>
      <c r="K23" s="105" t="n"/>
      <c r="L23" s="117">
        <f>SUMPRODUCT(('Full month Pivot'!$A$3:$A$400=$A$23)*('Full month Pivot'!$D$2:$K$2=L2)*'Full month Pivot'!$D$3:$K$400)</f>
        <v/>
      </c>
      <c r="M23" s="117">
        <f>SUMPRODUCT(('Full month Pivot'!$A$3:$A$400=$A$23)*('Full month Pivot'!$D$2:$K$2=M2)*'Full month Pivot'!$D$3:$K$400)</f>
        <v/>
      </c>
      <c r="N23" s="117">
        <f>SUMPRODUCT(('Full month Pivot'!$A$3:$A$400=$A$23)*('Full month Pivot'!$D$2:$K$2=N2)*'Full month Pivot'!$D$3:$K$400)</f>
        <v/>
      </c>
      <c r="O23" s="117">
        <f>SUMPRODUCT(('Full month Pivot'!$A$3:$A$400=$A$23)*('Full month Pivot'!$D$2:$K$2=O2)*'Full month Pivot'!$D$3:$K$400)</f>
        <v/>
      </c>
      <c r="P23" s="117">
        <f>SUMPRODUCT(('Full month Pivot'!$A$3:$A$400=$A$23)*('Full month Pivot'!$D$2:$K$2=P2)*'Full month Pivot'!$D$3:$K$400)</f>
        <v/>
      </c>
      <c r="Q23" s="117">
        <f>SUMPRODUCT(('Full month Pivot'!$A$3:$A$400=$A$23)*('Full month Pivot'!$D$2:$K$2=Q2)*'Full month Pivot'!$D$3:$K$400)</f>
        <v/>
      </c>
      <c r="R23" s="117">
        <f>SUMPRODUCT(('Full month Pivot'!$A$3:$A$175=$A$23)*('Full month Pivot'!$D$2:$K$2=R2)*'Full month Pivot'!$D$3:$K$175)</f>
        <v/>
      </c>
      <c r="S23" s="117">
        <f>SUMPRODUCT(('Full month Pivot'!$A$3:$A$175=$A$23)*('Full month Pivot'!$D$2:$K$2=S2)*'Full month Pivot'!$D$3:$K$175)</f>
        <v/>
      </c>
      <c r="T23" s="143">
        <f>Q23-P23</f>
        <v/>
      </c>
      <c r="U23" s="101" t="n"/>
      <c r="V23" s="101" t="n"/>
      <c r="W23" s="101" t="n"/>
    </row>
    <row r="24" outlineLevel="1" s="239">
      <c r="A24" s="122" t="inlineStr">
        <is>
          <t>Thanh Toán Khoản Vay</t>
        </is>
      </c>
      <c r="B24" s="117">
        <f>SUMPRODUCT(('MTD Pivot'!$A$3:$A$269=$A$24)*('MTD Pivot'!$D$2:$K$2=B2)*'MTD Pivot'!$D$3:$K$269)</f>
        <v/>
      </c>
      <c r="C24" s="117">
        <f>SUMPRODUCT(('MTD Pivot'!$A$3:$A$400=$A$24)*('MTD Pivot'!$D$2:$K$2=C2)*'MTD Pivot'!$D$3:$K$400)</f>
        <v/>
      </c>
      <c r="D24" s="117">
        <f>SUMPRODUCT(('MTD Pivot'!$A$3:$A$400=$A$24)*('MTD Pivot'!$D$2:$K$2=D2)*'MTD Pivot'!$D$3:$K$400)</f>
        <v/>
      </c>
      <c r="E24" s="117">
        <f>SUMPRODUCT(('MTD Pivot'!$A$3:$A$400=$A$24)*('MTD Pivot'!$D$2:$K$2=E2)*'MTD Pivot'!$D$3:$K$400)</f>
        <v/>
      </c>
      <c r="F24" s="117">
        <f>SUMPRODUCT(('MTD Pivot'!$A$3:$A$400=$A$24)*('MTD Pivot'!$D$2:$K$2=F2)*'MTD Pivot'!$D$3:$K$400)</f>
        <v/>
      </c>
      <c r="G24" s="117">
        <f>SUMPRODUCT(('MTD Pivot'!$A$3:$A$400=$A$24)*('MTD Pivot'!$D$2:$K$2=G2)*'MTD Pivot'!$D$3:$K$400)</f>
        <v/>
      </c>
      <c r="H24" s="117">
        <f>SUMPRODUCT(('MTD Pivot'!$A$3:$A$175=$A$24)*('MTD Pivot'!$D$2:$K$2=H2)*'MTD Pivot'!$D$3:$K$175)</f>
        <v/>
      </c>
      <c r="I24" s="117">
        <f>SUMPRODUCT(('MTD Pivot'!$A$3:$A$175=$A$24)*('MTD Pivot'!$D$2:$K$2=I2)*'MTD Pivot'!$D$3:$K$175)</f>
        <v/>
      </c>
      <c r="J24" s="143">
        <f>G24-F24</f>
        <v/>
      </c>
      <c r="K24" s="105" t="n"/>
      <c r="L24" s="117">
        <f>SUMPRODUCT(('Full month Pivot'!$A$3:$A$400=$A$24)*('Full month Pivot'!$D$2:$K$2=L2)*'Full month Pivot'!$D$3:$K$400)</f>
        <v/>
      </c>
      <c r="M24" s="117">
        <f>SUMPRODUCT(('Full month Pivot'!$A$3:$A$400=$A$24)*('Full month Pivot'!$D$2:$K$2=M2)*'Full month Pivot'!$D$3:$K$400)</f>
        <v/>
      </c>
      <c r="N24" s="117">
        <f>SUMPRODUCT(('Full month Pivot'!$A$3:$A$400=$A$24)*('Full month Pivot'!$D$2:$K$2=N2)*'Full month Pivot'!$D$3:$K$400)</f>
        <v/>
      </c>
      <c r="O24" s="117">
        <f>SUMPRODUCT(('Full month Pivot'!$A$3:$A$400=$A$24)*('Full month Pivot'!$D$2:$K$2=O2)*'Full month Pivot'!$D$3:$K$400)</f>
        <v/>
      </c>
      <c r="P24" s="117">
        <f>SUMPRODUCT(('Full month Pivot'!$A$3:$A$400=$A$24)*('Full month Pivot'!$D$2:$K$2=P2)*'Full month Pivot'!$D$3:$K$400)</f>
        <v/>
      </c>
      <c r="Q24" s="117">
        <f>SUMPRODUCT(('Full month Pivot'!$A$3:$A$400=$A$24)*('Full month Pivot'!$D$2:$K$2=Q2)*'Full month Pivot'!$D$3:$K$400)</f>
        <v/>
      </c>
      <c r="R24" s="117">
        <f>SUMPRODUCT(('Full month Pivot'!$A$3:$A$175=$A$24)*('Full month Pivot'!$D$2:$K$2=R2)*'Full month Pivot'!$D$3:$K$175)</f>
        <v/>
      </c>
      <c r="S24" s="117">
        <f>SUMPRODUCT(('Full month Pivot'!$A$3:$A$175=$A$24)*('Full month Pivot'!$D$2:$K$2=S2)*'Full month Pivot'!$D$3:$K$175)</f>
        <v/>
      </c>
      <c r="T24" s="143">
        <f>Q24-P24</f>
        <v/>
      </c>
      <c r="U24" s="101" t="n"/>
      <c r="V24" s="101" t="n"/>
      <c r="W24" s="101" t="n"/>
    </row>
    <row r="25" outlineLevel="1" s="239">
      <c r="A25" s="122" t="inlineStr">
        <is>
          <t>Chứng Khoán</t>
        </is>
      </c>
      <c r="B25" s="117">
        <f>SUMPRODUCT(('MTD Pivot'!$A$3:$A$269=$A$25)*('MTD Pivot'!$D$2:$K$2=B2)*'MTD Pivot'!$D$3:$K$269)</f>
        <v/>
      </c>
      <c r="C25" s="117">
        <f>SUMPRODUCT(('MTD Pivot'!$A$3:$A$400=$A$25)*('MTD Pivot'!$D$2:$K$2=C2)*'MTD Pivot'!$D$3:$K$400)</f>
        <v/>
      </c>
      <c r="D25" s="117">
        <f>SUMPRODUCT(('MTD Pivot'!$A$3:$A$400=$A$25)*('MTD Pivot'!$D$2:$K$2=D2)*'MTD Pivot'!$D$3:$K$400)</f>
        <v/>
      </c>
      <c r="E25" s="117">
        <f>SUMPRODUCT(('MTD Pivot'!$A$3:$A$400=$A$25)*('MTD Pivot'!$D$2:$K$2=E2)*'MTD Pivot'!$D$3:$K$400)</f>
        <v/>
      </c>
      <c r="F25" s="117">
        <f>SUMPRODUCT(('MTD Pivot'!$A$3:$A$400=$A$25)*('MTD Pivot'!$D$2:$K$2=F2)*'MTD Pivot'!$D$3:$K$400)</f>
        <v/>
      </c>
      <c r="G25" s="117">
        <f>SUMPRODUCT(('MTD Pivot'!$A$3:$A$400=$A$25)*('MTD Pivot'!$D$2:$K$2=G2)*'MTD Pivot'!$D$3:$K$400)</f>
        <v/>
      </c>
      <c r="H25" s="117">
        <f>SUMPRODUCT(('MTD Pivot'!$A$3:$A$175=$A$25)*('MTD Pivot'!$D$2:$K$2=H2)*'MTD Pivot'!$D$3:$K$175)</f>
        <v/>
      </c>
      <c r="I25" s="117">
        <f>SUMPRODUCT(('MTD Pivot'!$A$3:$A$175=$A$25)*('MTD Pivot'!$D$2:$K$2=I2)*'MTD Pivot'!$D$3:$K$175)</f>
        <v/>
      </c>
      <c r="J25" s="143">
        <f>G25-F25</f>
        <v/>
      </c>
      <c r="K25" s="105" t="n"/>
      <c r="L25" s="117">
        <f>SUMPRODUCT(('Full month Pivot'!$A$3:$A$400=$A$25)*('Full month Pivot'!$D$2:$K$2=L2)*'Full month Pivot'!$D$3:$K$400)</f>
        <v/>
      </c>
      <c r="M25" s="117">
        <f>SUMPRODUCT(('Full month Pivot'!$A$3:$A$400=$A$25)*('Full month Pivot'!$D$2:$K$2=M2)*'Full month Pivot'!$D$3:$K$400)</f>
        <v/>
      </c>
      <c r="N25" s="117">
        <f>SUMPRODUCT(('Full month Pivot'!$A$3:$A$400=$A$25)*('Full month Pivot'!$D$2:$K$2=N2)*'Full month Pivot'!$D$3:$K$400)</f>
        <v/>
      </c>
      <c r="O25" s="117">
        <f>SUMPRODUCT(('Full month Pivot'!$A$3:$A$400=$A$25)*('Full month Pivot'!$D$2:$K$2=O2)*'Full month Pivot'!$D$3:$K$400)</f>
        <v/>
      </c>
      <c r="P25" s="117">
        <f>SUMPRODUCT(('Full month Pivot'!$A$3:$A$400=$A$25)*('Full month Pivot'!$D$2:$K$2=P2)*'Full month Pivot'!$D$3:$K$400)</f>
        <v/>
      </c>
      <c r="Q25" s="117">
        <f>SUMPRODUCT(('Full month Pivot'!$A$3:$A$400=$A$25)*('Full month Pivot'!$D$2:$K$2=Q2)*'Full month Pivot'!$D$3:$K$400)</f>
        <v/>
      </c>
      <c r="R25" s="117">
        <f>SUMPRODUCT(('Full month Pivot'!$A$3:$A$175=$A$25)*('Full month Pivot'!$D$2:$K$2=R2)*'Full month Pivot'!$D$3:$K$175)</f>
        <v/>
      </c>
      <c r="S25" s="117">
        <f>SUMPRODUCT(('Full month Pivot'!$A$3:$A$175=$A$25)*('Full month Pivot'!$D$2:$K$2=S2)*'Full month Pivot'!$D$3:$K$175)</f>
        <v/>
      </c>
      <c r="T25" s="143">
        <f>Q25-P25</f>
        <v/>
      </c>
      <c r="U25" s="101" t="n"/>
      <c r="V25" s="101" t="n"/>
      <c r="W25" s="101" t="n"/>
    </row>
    <row r="26" outlineLevel="1" s="239">
      <c r="A26" s="122" t="inlineStr">
        <is>
          <t>Tiết Kiệm Online</t>
        </is>
      </c>
      <c r="B26" s="117">
        <f>SUMPRODUCT(('MTD Pivot'!$A$3:$A$269=$A$26)*('MTD Pivot'!$D$2:$K$2=B2)*'MTD Pivot'!$D$3:$K$269)</f>
        <v/>
      </c>
      <c r="C26" s="117">
        <f>SUMPRODUCT(('MTD Pivot'!$A$3:$A$400=$A$26)*('MTD Pivot'!$D$2:$K$2=C2)*'MTD Pivot'!$D$3:$K$400)</f>
        <v/>
      </c>
      <c r="D26" s="117">
        <f>SUMPRODUCT(('MTD Pivot'!$A$3:$A$400=$A$26)*('MTD Pivot'!$D$2:$K$2=D2)*'MTD Pivot'!$D$3:$K$400)</f>
        <v/>
      </c>
      <c r="E26" s="117">
        <f>SUMPRODUCT(('MTD Pivot'!$A$3:$A$400=$A$26)*('MTD Pivot'!$D$2:$K$2=E2)*'MTD Pivot'!$D$3:$K$400)</f>
        <v/>
      </c>
      <c r="F26" s="117">
        <f>SUMPRODUCT(('MTD Pivot'!$A$3:$A$400=$A$26)*('MTD Pivot'!$D$2:$K$2=F2)*'MTD Pivot'!$D$3:$K$400)</f>
        <v/>
      </c>
      <c r="G26" s="117">
        <f>SUMPRODUCT(('MTD Pivot'!$A$3:$A$400=$A$26)*('MTD Pivot'!$D$2:$K$2=G2)*'MTD Pivot'!$D$3:$K$400)</f>
        <v/>
      </c>
      <c r="H26" s="117">
        <f>SUMPRODUCT(('MTD Pivot'!$A$3:$A$175=$A$26)*('MTD Pivot'!$D$2:$K$2=H2)*'MTD Pivot'!$D$3:$K$175)</f>
        <v/>
      </c>
      <c r="I26" s="117">
        <f>SUMPRODUCT(('MTD Pivot'!$A$3:$A$175=$A$26)*('MTD Pivot'!$D$2:$K$2=I2)*'MTD Pivot'!$D$3:$K$175)</f>
        <v/>
      </c>
      <c r="J26" s="143">
        <f>G26-F26</f>
        <v/>
      </c>
      <c r="K26" s="105" t="n"/>
      <c r="L26" s="117">
        <f>SUMPRODUCT(('Full month Pivot'!$A$3:$A$400=$A$26)*('Full month Pivot'!$D$2:$K$2=L2)*'Full month Pivot'!$D$3:$K$400)</f>
        <v/>
      </c>
      <c r="M26" s="117">
        <f>SUMPRODUCT(('Full month Pivot'!$A$3:$A$400=$A$26)*('Full month Pivot'!$D$2:$K$2=M2)*'Full month Pivot'!$D$3:$K$400)</f>
        <v/>
      </c>
      <c r="N26" s="117">
        <f>SUMPRODUCT(('Full month Pivot'!$A$3:$A$400=$A$26)*('Full month Pivot'!$D$2:$K$2=N2)*'Full month Pivot'!$D$3:$K$400)</f>
        <v/>
      </c>
      <c r="O26" s="117">
        <f>SUMPRODUCT(('Full month Pivot'!$A$3:$A$400=$A$26)*('Full month Pivot'!$D$2:$K$2=O2)*'Full month Pivot'!$D$3:$K$400)</f>
        <v/>
      </c>
      <c r="P26" s="117">
        <f>SUMPRODUCT(('Full month Pivot'!$A$3:$A$400=$A$26)*('Full month Pivot'!$D$2:$K$2=P2)*'Full month Pivot'!$D$3:$K$400)</f>
        <v/>
      </c>
      <c r="Q26" s="117">
        <f>SUMPRODUCT(('Full month Pivot'!$A$3:$A$400=$A$26)*('Full month Pivot'!$D$2:$K$2=Q2)*'Full month Pivot'!$D$3:$K$400)</f>
        <v/>
      </c>
      <c r="R26" s="117">
        <f>SUMPRODUCT(('Full month Pivot'!$A$3:$A$175=$A$26)*('Full month Pivot'!$D$2:$K$2=R2)*'Full month Pivot'!$D$3:$K$175)</f>
        <v/>
      </c>
      <c r="S26" s="117">
        <f>SUMPRODUCT(('Full month Pivot'!$A$3:$A$175=$A$26)*('Full month Pivot'!$D$2:$K$2=S2)*'Full month Pivot'!$D$3:$K$175)</f>
        <v/>
      </c>
      <c r="T26" s="143">
        <f>Q26-P26</f>
        <v/>
      </c>
      <c r="U26" s="101" t="n"/>
      <c r="V26" s="101" t="n"/>
      <c r="W26" s="101" t="n"/>
    </row>
    <row r="27" outlineLevel="1" s="239">
      <c r="A27" s="122" t="inlineStr">
        <is>
          <t>Thanh Toán Thẻ Tín Dụng</t>
        </is>
      </c>
      <c r="B27" s="117">
        <f>SUMPRODUCT(('MTD Pivot'!$A$3:$A$269=$A$27)*('MTD Pivot'!$D$2:$K$2=B2)*'MTD Pivot'!$D$3:$K$269)</f>
        <v/>
      </c>
      <c r="C27" s="117">
        <f>SUMPRODUCT(('MTD Pivot'!$A$3:$A$400=$A$27)*('MTD Pivot'!$D$2:$K$2=C2)*'MTD Pivot'!$D$3:$K$400)</f>
        <v/>
      </c>
      <c r="D27" s="117">
        <f>SUMPRODUCT(('MTD Pivot'!$A$3:$A$400=$A$27)*('MTD Pivot'!$D$2:$K$2=D2)*'MTD Pivot'!$D$3:$K$400)</f>
        <v/>
      </c>
      <c r="E27" s="117">
        <f>SUMPRODUCT(('MTD Pivot'!$A$3:$A$400=$A$27)*('MTD Pivot'!$D$2:$K$2=E2)*'MTD Pivot'!$D$3:$K$400)</f>
        <v/>
      </c>
      <c r="F27" s="117">
        <f>SUMPRODUCT(('MTD Pivot'!$A$3:$A$400=$A$27)*('MTD Pivot'!$D$2:$K$2=F2)*'MTD Pivot'!$D$3:$K$400)</f>
        <v/>
      </c>
      <c r="G27" s="117">
        <f>SUMPRODUCT(('MTD Pivot'!$A$3:$A$400=$A$27)*('MTD Pivot'!$D$2:$K$2=G2)*'MTD Pivot'!$D$3:$K$400)</f>
        <v/>
      </c>
      <c r="H27" s="117">
        <f>SUMPRODUCT(('MTD Pivot'!$A$3:$A$175=$A$27)*('MTD Pivot'!$D$2:$K$2=H2)*'MTD Pivot'!$D$3:$K$175)</f>
        <v/>
      </c>
      <c r="I27" s="117">
        <f>SUMPRODUCT(('MTD Pivot'!$A$3:$A$175=$A$27)*('MTD Pivot'!$D$2:$K$2=I2)*'MTD Pivot'!$D$3:$K$175)</f>
        <v/>
      </c>
      <c r="J27" s="143">
        <f>G27-F27</f>
        <v/>
      </c>
      <c r="K27" s="105" t="n"/>
      <c r="L27" s="117">
        <f>SUMPRODUCT(('Full month Pivot'!$A$3:$A$400=$A$27)*('Full month Pivot'!$D$2:$K$2=L2)*'Full month Pivot'!$D$3:$K$400)</f>
        <v/>
      </c>
      <c r="M27" s="117">
        <f>SUMPRODUCT(('Full month Pivot'!$A$3:$A$400=$A$27)*('Full month Pivot'!$D$2:$K$2=M2)*'Full month Pivot'!$D$3:$K$400)</f>
        <v/>
      </c>
      <c r="N27" s="117">
        <f>SUMPRODUCT(('Full month Pivot'!$A$3:$A$400=$A$27)*('Full month Pivot'!$D$2:$K$2=N2)*'Full month Pivot'!$D$3:$K$400)</f>
        <v/>
      </c>
      <c r="O27" s="117">
        <f>SUMPRODUCT(('Full month Pivot'!$A$3:$A$400=$A$27)*('Full month Pivot'!$D$2:$K$2=O2)*'Full month Pivot'!$D$3:$K$400)</f>
        <v/>
      </c>
      <c r="P27" s="117">
        <f>SUMPRODUCT(('Full month Pivot'!$A$3:$A$400=$A$27)*('Full month Pivot'!$D$2:$K$2=P2)*'Full month Pivot'!$D$3:$K$400)</f>
        <v/>
      </c>
      <c r="Q27" s="117">
        <f>SUMPRODUCT(('Full month Pivot'!$A$3:$A$400=$A$27)*('Full month Pivot'!$D$2:$K$2=Q2)*'Full month Pivot'!$D$3:$K$400)</f>
        <v/>
      </c>
      <c r="R27" s="117">
        <f>SUMPRODUCT(('Full month Pivot'!$A$3:$A$175=$A$27)*('Full month Pivot'!$D$2:$K$2=R2)*'Full month Pivot'!$D$3:$K$175)</f>
        <v/>
      </c>
      <c r="S27" s="117">
        <f>SUMPRODUCT(('Full month Pivot'!$A$3:$A$175=$A$27)*('Full month Pivot'!$D$2:$K$2=S2)*'Full month Pivot'!$D$3:$K$175)</f>
        <v/>
      </c>
      <c r="T27" s="143">
        <f>Q27-P27</f>
        <v/>
      </c>
      <c r="U27" s="101" t="n"/>
      <c r="V27" s="101" t="n"/>
      <c r="W27" s="101" t="n"/>
    </row>
    <row r="28" outlineLevel="1" s="239">
      <c r="A28" s="122" t="inlineStr">
        <is>
          <t>Chứng Chỉ Quỹ</t>
        </is>
      </c>
      <c r="B28" s="117">
        <f>SUMPRODUCT(('MTD Pivot'!$A$3:$A$269=$A$28)*('MTD Pivot'!$D$2:$K$2=B2)*'MTD Pivot'!$D$3:$K$269)</f>
        <v/>
      </c>
      <c r="C28" s="117">
        <f>SUMPRODUCT(('MTD Pivot'!$A$3:$A$400=$A$28)*('MTD Pivot'!$D$2:$K$2=C2)*'MTD Pivot'!$D$3:$K$400)</f>
        <v/>
      </c>
      <c r="D28" s="117">
        <f>SUMPRODUCT(('MTD Pivot'!$A$3:$A$400=$A$28)*('MTD Pivot'!$D$2:$K$2=D2)*'MTD Pivot'!$D$3:$K$400)</f>
        <v/>
      </c>
      <c r="E28" s="117">
        <f>SUMPRODUCT(('MTD Pivot'!$A$3:$A$400=$A$28)*('MTD Pivot'!$D$2:$K$2=E2)*'MTD Pivot'!$D$3:$K$400)</f>
        <v/>
      </c>
      <c r="F28" s="117">
        <f>SUMPRODUCT(('MTD Pivot'!$A$3:$A$400=$A$28)*('MTD Pivot'!$D$2:$K$2=F2)*'MTD Pivot'!$D$3:$K$400)</f>
        <v/>
      </c>
      <c r="G28" s="117">
        <f>SUMPRODUCT(('MTD Pivot'!$A$3:$A$400=$A$28)*('MTD Pivot'!$D$2:$K$2=G2)*'MTD Pivot'!$D$3:$K$400)</f>
        <v/>
      </c>
      <c r="H28" s="117">
        <f>SUMPRODUCT(('MTD Pivot'!$A$3:$A$175=$A$28)*('MTD Pivot'!$D$2:$K$2=H2)*'MTD Pivot'!$D$3:$K$175)</f>
        <v/>
      </c>
      <c r="I28" s="117">
        <f>SUMPRODUCT(('MTD Pivot'!$A$3:$A$175=$A$28)*('MTD Pivot'!$D$2:$K$2=I2)*'MTD Pivot'!$D$3:$K$175)</f>
        <v/>
      </c>
      <c r="J28" s="143">
        <f>G28-F28</f>
        <v/>
      </c>
      <c r="K28" s="105" t="n"/>
      <c r="L28" s="117">
        <f>SUMPRODUCT(('Full month Pivot'!$A$3:$A$400=$A$28)*('Full month Pivot'!$D$2:$K$2=L2)*'Full month Pivot'!$D$3:$K$400)</f>
        <v/>
      </c>
      <c r="M28" s="117">
        <f>SUMPRODUCT(('Full month Pivot'!$A$3:$A$400=$A$28)*('Full month Pivot'!$D$2:$K$2=M2)*'Full month Pivot'!$D$3:$K$400)</f>
        <v/>
      </c>
      <c r="N28" s="117">
        <f>SUMPRODUCT(('Full month Pivot'!$A$3:$A$400=$A$28)*('Full month Pivot'!$D$2:$K$2=N2)*'Full month Pivot'!$D$3:$K$400)</f>
        <v/>
      </c>
      <c r="O28" s="117">
        <f>SUMPRODUCT(('Full month Pivot'!$A$3:$A$400=$A$28)*('Full month Pivot'!$D$2:$K$2=O2)*'Full month Pivot'!$D$3:$K$400)</f>
        <v/>
      </c>
      <c r="P28" s="117">
        <f>SUMPRODUCT(('Full month Pivot'!$A$3:$A$400=$A$28)*('Full month Pivot'!$D$2:$K$2=P2)*'Full month Pivot'!$D$3:$K$400)</f>
        <v/>
      </c>
      <c r="Q28" s="117">
        <f>SUMPRODUCT(('Full month Pivot'!$A$3:$A$400=$A$28)*('Full month Pivot'!$D$2:$K$2=Q2)*'Full month Pivot'!$D$3:$K$400)</f>
        <v/>
      </c>
      <c r="R28" s="117">
        <f>SUMPRODUCT(('Full month Pivot'!$A$3:$A$175=$A$28)*('Full month Pivot'!$D$2:$K$2=R2)*'Full month Pivot'!$D$3:$K$175)</f>
        <v/>
      </c>
      <c r="S28" s="117">
        <f>SUMPRODUCT(('Full month Pivot'!$A$3:$A$175=$A$28)*('Full month Pivot'!$D$2:$K$2=S2)*'Full month Pivot'!$D$3:$K$175)</f>
        <v/>
      </c>
      <c r="T28" s="143">
        <f>Q28-P28</f>
        <v/>
      </c>
      <c r="U28" s="101" t="n"/>
      <c r="V28" s="101" t="n"/>
      <c r="W28" s="101" t="n"/>
    </row>
    <row r="29" outlineLevel="1" s="239">
      <c r="A29" s="122" t="inlineStr">
        <is>
          <t>Trung Tâm Tài Chính</t>
        </is>
      </c>
      <c r="B29" s="117">
        <f>SUMPRODUCT(('MTD Pivot'!$A$3:$A$269=$A$29)*('MTD Pivot'!$D$2:$K$2=B2)*'MTD Pivot'!$D$3:$K$269)</f>
        <v/>
      </c>
      <c r="C29" s="117">
        <f>SUMPRODUCT(('MTD Pivot'!$A$3:$A$400=$A$29)*('MTD Pivot'!$D$2:$K$2=C2)*'MTD Pivot'!$D$3:$K$400)</f>
        <v/>
      </c>
      <c r="D29" s="117">
        <f>SUMPRODUCT(('MTD Pivot'!$A$3:$A$400=$A$29)*('MTD Pivot'!$D$2:$K$2=D2)*'MTD Pivot'!$D$3:$K$400)</f>
        <v/>
      </c>
      <c r="E29" s="117">
        <f>SUMPRODUCT(('MTD Pivot'!$A$3:$A$400=$A$29)*('MTD Pivot'!$D$2:$K$2=E2)*'MTD Pivot'!$D$3:$K$400)</f>
        <v/>
      </c>
      <c r="F29" s="117">
        <f>SUMPRODUCT(('MTD Pivot'!$A$3:$A$400=$A$29)*('MTD Pivot'!$D$2:$K$2=F2)*'MTD Pivot'!$D$3:$K$400)</f>
        <v/>
      </c>
      <c r="G29" s="117">
        <f>SUMPRODUCT(('MTD Pivot'!$A$3:$A$400=$A$29)*('MTD Pivot'!$D$2:$K$2=G2)*'MTD Pivot'!$D$3:$K$400)</f>
        <v/>
      </c>
      <c r="H29" s="117">
        <f>SUMPRODUCT(('MTD Pivot'!$A$3:$A$175=$A$29)*('MTD Pivot'!$D$2:$K$2=H2)*'MTD Pivot'!$D$3:$K$175)</f>
        <v/>
      </c>
      <c r="I29" s="117">
        <f>SUMPRODUCT(('MTD Pivot'!$A$3:$A$175=$A$29)*('MTD Pivot'!$D$2:$K$2=I2)*'MTD Pivot'!$D$3:$K$175)</f>
        <v/>
      </c>
      <c r="J29" s="143">
        <f>G29-F29</f>
        <v/>
      </c>
      <c r="K29" s="105" t="n"/>
      <c r="L29" s="117">
        <f>SUMPRODUCT(('Full month Pivot'!$A$3:$A$400=$A$29)*('Full month Pivot'!$D$2:$K$2=L2)*'Full month Pivot'!$D$3:$K$400)</f>
        <v/>
      </c>
      <c r="M29" s="117">
        <f>SUMPRODUCT(('Full month Pivot'!$A$3:$A$400=$A$29)*('Full month Pivot'!$D$2:$K$2=M2)*'Full month Pivot'!$D$3:$K$400)</f>
        <v/>
      </c>
      <c r="N29" s="117">
        <f>SUMPRODUCT(('Full month Pivot'!$A$3:$A$400=$A$29)*('Full month Pivot'!$D$2:$K$2=N2)*'Full month Pivot'!$D$3:$K$400)</f>
        <v/>
      </c>
      <c r="O29" s="117">
        <f>SUMPRODUCT(('Full month Pivot'!$A$3:$A$400=$A$29)*('Full month Pivot'!$D$2:$K$2=O2)*'Full month Pivot'!$D$3:$K$400)</f>
        <v/>
      </c>
      <c r="P29" s="117">
        <f>SUMPRODUCT(('Full month Pivot'!$A$3:$A$400=$A$29)*('Full month Pivot'!$D$2:$K$2=P2)*'Full month Pivot'!$D$3:$K$400)</f>
        <v/>
      </c>
      <c r="Q29" s="117">
        <f>SUMPRODUCT(('Full month Pivot'!$A$3:$A$400=$A$29)*('Full month Pivot'!$D$2:$K$2=Q2)*'Full month Pivot'!$D$3:$K$400)</f>
        <v/>
      </c>
      <c r="R29" s="117">
        <f>SUMPRODUCT(('Full month Pivot'!$A$3:$A$175=$A$29)*('Full month Pivot'!$D$2:$K$2=R2)*'Full month Pivot'!$D$3:$K$175)</f>
        <v/>
      </c>
      <c r="S29" s="117">
        <f>SUMPRODUCT(('Full month Pivot'!$A$3:$A$175=$A$29)*('Full month Pivot'!$D$2:$K$2=S2)*'Full month Pivot'!$D$3:$K$175)</f>
        <v/>
      </c>
      <c r="T29" s="143">
        <f>Q29-P29</f>
        <v/>
      </c>
      <c r="U29" s="101" t="n"/>
      <c r="V29" s="101" t="n"/>
      <c r="W29" s="101" t="n"/>
    </row>
    <row r="30" outlineLevel="1" s="239">
      <c r="A30" s="122" t="inlineStr">
        <is>
          <t>Sàn Đầu Tư</t>
        </is>
      </c>
      <c r="B30" s="117">
        <f>SUMPRODUCT(('MTD Pivot'!$A$3:$A$269=$A$30)*('MTD Pivot'!$D$2:$K$2=B2)*'MTD Pivot'!$D$3:$K$269)</f>
        <v/>
      </c>
      <c r="C30" s="117">
        <f>SUMPRODUCT(('MTD Pivot'!$A$3:$A$400=$A$30)*('MTD Pivot'!$D$2:$K$2=C2)*'MTD Pivot'!$D$3:$K$400)</f>
        <v/>
      </c>
      <c r="D30" s="117">
        <f>SUMPRODUCT(('MTD Pivot'!$A$3:$A$400=$A$30)*('MTD Pivot'!$D$2:$K$2=D2)*'MTD Pivot'!$D$3:$K$400)</f>
        <v/>
      </c>
      <c r="E30" s="117">
        <f>SUMPRODUCT(('MTD Pivot'!$A$3:$A$400=$A$30)*('MTD Pivot'!$D$2:$K$2=E2)*'MTD Pivot'!$D$3:$K$400)</f>
        <v/>
      </c>
      <c r="F30" s="117">
        <f>SUMPRODUCT(('MTD Pivot'!$A$3:$A$400=$A$30)*('MTD Pivot'!$D$2:$K$2=F2)*'MTD Pivot'!$D$3:$K$400)</f>
        <v/>
      </c>
      <c r="G30" s="117">
        <f>SUMPRODUCT(('MTD Pivot'!$A$3:$A$400=$A$30)*('MTD Pivot'!$D$2:$K$2=G2)*'MTD Pivot'!$D$3:$K$400)</f>
        <v/>
      </c>
      <c r="H30" s="117">
        <f>SUMPRODUCT(('MTD Pivot'!$A$3:$A$175=$A$30)*('MTD Pivot'!$D$2:$K$2=H2)*'MTD Pivot'!$D$3:$K$175)</f>
        <v/>
      </c>
      <c r="I30" s="117">
        <f>SUMPRODUCT(('MTD Pivot'!$A$3:$A$175=$A$30)*('MTD Pivot'!$D$2:$K$2=I2)*'MTD Pivot'!$D$3:$K$175)</f>
        <v/>
      </c>
      <c r="J30" s="143">
        <f>G30-F30</f>
        <v/>
      </c>
      <c r="K30" s="105" t="n"/>
      <c r="L30" s="117">
        <f>SUMPRODUCT(('Full month Pivot'!$A$3:$A$400=$A$30)*('Full month Pivot'!$D$2:$K$2=L2)*'Full month Pivot'!$D$3:$K$400)</f>
        <v/>
      </c>
      <c r="M30" s="117">
        <f>SUMPRODUCT(('Full month Pivot'!$A$3:$A$400=$A$30)*('Full month Pivot'!$D$2:$K$2=M2)*'Full month Pivot'!$D$3:$K$400)</f>
        <v/>
      </c>
      <c r="N30" s="117">
        <f>SUMPRODUCT(('Full month Pivot'!$A$3:$A$400=$A$30)*('Full month Pivot'!$D$2:$K$2=N2)*'Full month Pivot'!$D$3:$K$400)</f>
        <v/>
      </c>
      <c r="O30" s="117">
        <f>SUMPRODUCT(('Full month Pivot'!$A$3:$A$400=$A$30)*('Full month Pivot'!$D$2:$K$2=O2)*'Full month Pivot'!$D$3:$K$400)</f>
        <v/>
      </c>
      <c r="P30" s="117">
        <f>SUMPRODUCT(('Full month Pivot'!$A$3:$A$400=$A$30)*('Full month Pivot'!$D$2:$K$2=P2)*'Full month Pivot'!$D$3:$K$400)</f>
        <v/>
      </c>
      <c r="Q30" s="117">
        <f>SUMPRODUCT(('Full month Pivot'!$A$3:$A$400=$A$30)*('Full month Pivot'!$D$2:$K$2=Q2)*'Full month Pivot'!$D$3:$K$400)</f>
        <v/>
      </c>
      <c r="R30" s="117">
        <f>SUMPRODUCT(('Full month Pivot'!$A$3:$A$175=$A$30)*('Full month Pivot'!$D$2:$K$2=R2)*'Full month Pivot'!$D$3:$K$175)</f>
        <v/>
      </c>
      <c r="S30" s="117">
        <f>SUMPRODUCT(('Full month Pivot'!$A$3:$A$175=$A$30)*('Full month Pivot'!$D$2:$K$2=S2)*'Full month Pivot'!$D$3:$K$175)</f>
        <v/>
      </c>
      <c r="T30" s="143">
        <f>Q30-P30</f>
        <v/>
      </c>
      <c r="U30" s="101" t="n"/>
      <c r="V30" s="101" t="n"/>
      <c r="W30" s="101" t="n"/>
    </row>
    <row r="31">
      <c r="A31" s="118" t="inlineStr">
        <is>
          <t>Vehicle Hub</t>
        </is>
      </c>
      <c r="B31" s="120">
        <f>sum(B32:B35)</f>
        <v/>
      </c>
      <c r="C31" s="120">
        <f>sum(C32:C35)</f>
        <v/>
      </c>
      <c r="D31" s="120">
        <f>sum(D32:D35)</f>
        <v/>
      </c>
      <c r="E31" s="120">
        <f>sum(E32:E35)</f>
        <v/>
      </c>
      <c r="F31" s="120">
        <f>sum(F32:F35)</f>
        <v/>
      </c>
      <c r="G31" s="120">
        <f>sum(G32:G34)</f>
        <v/>
      </c>
      <c r="H31" s="120">
        <f>sum(H32:H34)</f>
        <v/>
      </c>
      <c r="I31" s="120">
        <f>sum(I32:I34)</f>
        <v/>
      </c>
      <c r="J31" s="143">
        <f>G31-F31</f>
        <v/>
      </c>
      <c r="K31" s="114" t="n"/>
      <c r="L31" s="120">
        <f>sum(L32:L35)</f>
        <v/>
      </c>
      <c r="M31" s="120">
        <f>sum(M32:M35)</f>
        <v/>
      </c>
      <c r="N31" s="120">
        <f>sum(N32:N35)</f>
        <v/>
      </c>
      <c r="O31" s="120">
        <f>sum(O32:O35)</f>
        <v/>
      </c>
      <c r="P31" s="120">
        <f>sum(P32:P35)</f>
        <v/>
      </c>
      <c r="Q31" s="120">
        <f>sum(Q32:Q34)</f>
        <v/>
      </c>
      <c r="R31" s="120">
        <f>sum(R32:R34)</f>
        <v/>
      </c>
      <c r="S31" s="120">
        <f>sum(S32:S34)</f>
        <v/>
      </c>
      <c r="T31" s="143">
        <f>Q31-P31</f>
        <v/>
      </c>
      <c r="U31" s="115" t="n"/>
      <c r="V31" s="115" t="n"/>
      <c r="W31" s="115" t="n"/>
    </row>
    <row r="32" outlineLevel="1" s="239">
      <c r="A32" s="122" t="inlineStr">
        <is>
          <t>Phạt nguội</t>
        </is>
      </c>
      <c r="B32" s="141">
        <f>SUMPRODUCT(('MTD Pivot'!$A$3:$A$269=$A$32)*('MTD Pivot'!$D$2:$K$2=B2)*'MTD Pivot'!$D$3:$K$269)</f>
        <v/>
      </c>
      <c r="C32" s="141">
        <f>SUMPRODUCT(('MTD Pivot'!$A$3:$A$400=$A$32)*('MTD Pivot'!$D$2:$K$2=C2)*'MTD Pivot'!$D$3:$K$400)</f>
        <v/>
      </c>
      <c r="D32" s="141">
        <f>SUMPRODUCT(('MTD Pivot'!$A$3:$A$400=$A$32)*('MTD Pivot'!$D$2:$K$2=D2)*'MTD Pivot'!$D$3:$K$400)</f>
        <v/>
      </c>
      <c r="E32" s="141">
        <f>SUMPRODUCT(('MTD Pivot'!$A$3:$A$400=$A$32)*('MTD Pivot'!$D$2:$K$2=E2)*'MTD Pivot'!$D$3:$K$400)</f>
        <v/>
      </c>
      <c r="F32" s="141">
        <f>SUMPRODUCT(('MTD Pivot'!$A$3:$A$400=$A$32)*('MTD Pivot'!$D$2:$K$2=F2)*'MTD Pivot'!$D$3:$K$400)</f>
        <v/>
      </c>
      <c r="G32" s="141">
        <f>SUMPRODUCT(('MTD Pivot'!$A$3:$A$400=$A$32)*('MTD Pivot'!$D$2:$K$2=G2)*'MTD Pivot'!$D$3:$K$400)</f>
        <v/>
      </c>
      <c r="H32" s="141">
        <f>SUMPRODUCT(('MTD Pivot'!$A$3:$A$175=$A$32)*('MTD Pivot'!$D$2:$K$2=H2)*'MTD Pivot'!$D$3:$K$175)</f>
        <v/>
      </c>
      <c r="I32" s="141">
        <f>SUMPRODUCT(('MTD Pivot'!$A$3:$A$175=$A$32)*('MTD Pivot'!$D$2:$K$2=I2)*'MTD Pivot'!$D$3:$K$175)</f>
        <v/>
      </c>
      <c r="J32" s="143">
        <f>G32-F32</f>
        <v/>
      </c>
      <c r="K32" s="145" t="n"/>
      <c r="L32" s="141">
        <f>SUMPRODUCT(('Full month Pivot'!$A$3:$A$400=$A$32)*('Full month Pivot'!$D$2:$K$2=L2)*'Full month Pivot'!$D$3:$K$400)</f>
        <v/>
      </c>
      <c r="M32" s="141">
        <f>SUMPRODUCT(('Full month Pivot'!$A$3:$A$400=$A$32)*('Full month Pivot'!$D$2:$K$2=M2)*'Full month Pivot'!$D$3:$K$400)</f>
        <v/>
      </c>
      <c r="N32" s="141">
        <f>SUMPRODUCT(('Full month Pivot'!$A$3:$A$400=$A$32)*('Full month Pivot'!$D$2:$K$2=N2)*'Full month Pivot'!$D$3:$K$400)</f>
        <v/>
      </c>
      <c r="O32" s="141">
        <f>SUMPRODUCT(('Full month Pivot'!$A$3:$A$400=$A$32)*('Full month Pivot'!$D$2:$K$2=O2)*'Full month Pivot'!$D$3:$K$400)</f>
        <v/>
      </c>
      <c r="P32" s="141">
        <f>SUMPRODUCT(('Full month Pivot'!$A$3:$A$400=$A$32)*('Full month Pivot'!$D$2:$K$2=P2)*'Full month Pivot'!$D$3:$K$400)</f>
        <v/>
      </c>
      <c r="Q32" s="141">
        <f>SUMPRODUCT(('Full month Pivot'!$A$3:$A$400=$A$32)*('Full month Pivot'!$D$2:$K$2=Q2)*'Full month Pivot'!$D$3:$K$400)</f>
        <v/>
      </c>
      <c r="R32" s="141">
        <f>SUMPRODUCT(('Full month Pivot'!$A$3:$A$175=$A$32)*('Full month Pivot'!$D$2:$K$2=R2)*'Full month Pivot'!$D$3:$K$175)</f>
        <v/>
      </c>
      <c r="S32" s="141">
        <f>SUMPRODUCT(('Full month Pivot'!$A$3:$A$175=$A$32)*('Full month Pivot'!$D$2:$K$2=S2)*'Full month Pivot'!$D$3:$K$175)</f>
        <v/>
      </c>
      <c r="T32" s="143">
        <f>Q32-P32</f>
        <v/>
      </c>
      <c r="U32" s="149" t="n"/>
      <c r="V32" s="149" t="n"/>
      <c r="W32" s="149" t="n"/>
    </row>
    <row r="33" outlineLevel="1" s="239">
      <c r="A33" s="122" t="inlineStr">
        <is>
          <t>Bảo hiểm ô tô</t>
        </is>
      </c>
      <c r="B33" s="141">
        <f>SUMPRODUCT(('MTD Pivot'!$A$3:$A$269=$A$33)*('MTD Pivot'!$D$2:$K$2=B2)*'MTD Pivot'!$D$3:$K$269)</f>
        <v/>
      </c>
      <c r="C33" s="141">
        <f>SUMPRODUCT(('MTD Pivot'!$A$3:$A$400=$A$33)*('MTD Pivot'!$D$2:$K$2=C2)*'MTD Pivot'!$D$3:$K$400)</f>
        <v/>
      </c>
      <c r="D33" s="141">
        <f>SUMPRODUCT(('MTD Pivot'!$A$3:$A$400=$A$33)*('MTD Pivot'!$D$2:$K$2=D2)*'MTD Pivot'!$D$3:$K$400)</f>
        <v/>
      </c>
      <c r="E33" s="141">
        <f>SUMPRODUCT(('MTD Pivot'!$A$3:$A$400=$A$33)*('MTD Pivot'!$D$2:$K$2=E2)*'MTD Pivot'!$D$3:$K$400)</f>
        <v/>
      </c>
      <c r="F33" s="141">
        <f>SUMPRODUCT(('MTD Pivot'!$A$3:$A$400=$A$33)*('MTD Pivot'!$D$2:$K$2=F2)*'MTD Pivot'!$D$3:$K$400)</f>
        <v/>
      </c>
      <c r="G33" s="141">
        <f>SUMPRODUCT(('MTD Pivot'!$A$3:$A$400=$A$33)*('MTD Pivot'!$D$2:$K$2=G2)*'MTD Pivot'!$D$3:$K$400)</f>
        <v/>
      </c>
      <c r="H33" s="141">
        <f>SUMPRODUCT(('MTD Pivot'!$A$3:$A$175=$A$33)*('MTD Pivot'!$D$2:$K$2=H2)*'MTD Pivot'!$D$3:$K$175)</f>
        <v/>
      </c>
      <c r="I33" s="141">
        <f>SUMPRODUCT(('MTD Pivot'!$A$3:$A$175=$A$33)*('MTD Pivot'!$D$2:$K$2=I2)*'MTD Pivot'!$D$3:$K$175)</f>
        <v/>
      </c>
      <c r="J33" s="143">
        <f>G33-F33</f>
        <v/>
      </c>
      <c r="K33" s="145" t="n"/>
      <c r="L33" s="141">
        <f>SUMPRODUCT(('Full month Pivot'!$A$3:$A$400=$A$33)*('Full month Pivot'!$D$2:$K$2=L2)*'Full month Pivot'!$D$3:$K$400)</f>
        <v/>
      </c>
      <c r="M33" s="141">
        <f>SUMPRODUCT(('Full month Pivot'!$A$3:$A$400=$A$33)*('Full month Pivot'!$D$2:$K$2=M2)*'Full month Pivot'!$D$3:$K$400)</f>
        <v/>
      </c>
      <c r="N33" s="141">
        <f>SUMPRODUCT(('Full month Pivot'!$A$3:$A$400=$A$33)*('Full month Pivot'!$D$2:$K$2=N2)*'Full month Pivot'!$D$3:$K$400)</f>
        <v/>
      </c>
      <c r="O33" s="141">
        <f>SUMPRODUCT(('Full month Pivot'!$A$3:$A$400=$A$33)*('Full month Pivot'!$D$2:$K$2=O2)*'Full month Pivot'!$D$3:$K$400)</f>
        <v/>
      </c>
      <c r="P33" s="141">
        <f>SUMPRODUCT(('Full month Pivot'!$A$3:$A$400=$A$33)*('Full month Pivot'!$D$2:$K$2=P2)*'Full month Pivot'!$D$3:$K$400)</f>
        <v/>
      </c>
      <c r="Q33" s="141">
        <f>SUMPRODUCT(('Full month Pivot'!$A$3:$A$400=$A$33)*('Full month Pivot'!$D$2:$K$2=Q2)*'Full month Pivot'!$D$3:$K$400)</f>
        <v/>
      </c>
      <c r="R33" s="141">
        <f>SUMPRODUCT(('Full month Pivot'!$A$3:$A$175=$A$33)*('Full month Pivot'!$D$2:$K$2=R2)*'Full month Pivot'!$D$3:$K$175)</f>
        <v/>
      </c>
      <c r="S33" s="141">
        <f>SUMPRODUCT(('Full month Pivot'!$A$3:$A$175=$A$33)*('Full month Pivot'!$D$2:$K$2=S2)*'Full month Pivot'!$D$3:$K$175)</f>
        <v/>
      </c>
      <c r="T33" s="143">
        <f>Q33-P33</f>
        <v/>
      </c>
      <c r="U33" s="149" t="n"/>
      <c r="V33" s="149" t="n"/>
      <c r="W33" s="149" t="n"/>
    </row>
    <row r="34" outlineLevel="1" s="239">
      <c r="A34" s="122" t="inlineStr">
        <is>
          <t>Bảo hiểm xe máy</t>
        </is>
      </c>
      <c r="B34" s="141">
        <f>SUMPRODUCT(('MTD Pivot'!$A$3:$A$269=$A$34)*('MTD Pivot'!$D$2:$K$2=B2)*'MTD Pivot'!$D$3:$K$269)</f>
        <v/>
      </c>
      <c r="C34" s="141">
        <f>SUMPRODUCT(('MTD Pivot'!$A$3:$A$400=$A$34)*('MTD Pivot'!$D$2:$K$2=C2)*'MTD Pivot'!$D$3:$K$400)</f>
        <v/>
      </c>
      <c r="D34" s="141">
        <f>SUMPRODUCT(('MTD Pivot'!$A$3:$A$400=$A$34)*('MTD Pivot'!$D$2:$K$2=D2)*'MTD Pivot'!$D$3:$K$400)</f>
        <v/>
      </c>
      <c r="E34" s="141">
        <f>SUMPRODUCT(('MTD Pivot'!$A$3:$A$400=$A$34)*('MTD Pivot'!$D$2:$K$2=E2)*'MTD Pivot'!$D$3:$K$400)</f>
        <v/>
      </c>
      <c r="F34" s="141">
        <f>SUMPRODUCT(('MTD Pivot'!$A$3:$A$400=$A$34)*('MTD Pivot'!$D$2:$K$2=F2)*'MTD Pivot'!$D$3:$K$400)</f>
        <v/>
      </c>
      <c r="G34" s="141">
        <f>SUMPRODUCT(('MTD Pivot'!$A$3:$A$400=$A$34)*('MTD Pivot'!$D$2:$K$2=G2)*'MTD Pivot'!$D$3:$K$400)</f>
        <v/>
      </c>
      <c r="H34" s="141">
        <f>SUMPRODUCT(('MTD Pivot'!$A$3:$A$175=$A$34)*('MTD Pivot'!$D$2:$K$2=H2)*'MTD Pivot'!$D$3:$K$175)</f>
        <v/>
      </c>
      <c r="I34" s="141">
        <f>SUMPRODUCT(('MTD Pivot'!$A$3:$A$175=$A$34)*('MTD Pivot'!$D$2:$K$2=I2)*'MTD Pivot'!$D$3:$K$175)</f>
        <v/>
      </c>
      <c r="J34" s="143">
        <f>G34-F34</f>
        <v/>
      </c>
      <c r="K34" s="145" t="n"/>
      <c r="L34" s="141">
        <f>SUMPRODUCT(('Full month Pivot'!$A$3:$A$400=$A$34)*('Full month Pivot'!$D$2:$K$2=L2)*'Full month Pivot'!$D$3:$K$400)</f>
        <v/>
      </c>
      <c r="M34" s="141">
        <f>SUMPRODUCT(('Full month Pivot'!$A$3:$A$400=$A$34)*('Full month Pivot'!$D$2:$K$2=M2)*'Full month Pivot'!$D$3:$K$400)</f>
        <v/>
      </c>
      <c r="N34" s="141">
        <f>SUMPRODUCT(('Full month Pivot'!$A$3:$A$400=$A$34)*('Full month Pivot'!$D$2:$K$2=N2)*'Full month Pivot'!$D$3:$K$400)</f>
        <v/>
      </c>
      <c r="O34" s="141">
        <f>SUMPRODUCT(('Full month Pivot'!$A$3:$A$400=$A$34)*('Full month Pivot'!$D$2:$K$2=O2)*'Full month Pivot'!$D$3:$K$400)</f>
        <v/>
      </c>
      <c r="P34" s="141">
        <f>SUMPRODUCT(('Full month Pivot'!$A$3:$A$400=$A$34)*('Full month Pivot'!$D$2:$K$2=P2)*'Full month Pivot'!$D$3:$K$400)</f>
        <v/>
      </c>
      <c r="Q34" s="141">
        <f>SUMPRODUCT(('Full month Pivot'!$A$3:$A$400=$A$34)*('Full month Pivot'!$D$2:$K$2=Q2)*'Full month Pivot'!$D$3:$K$400)</f>
        <v/>
      </c>
      <c r="R34" s="141">
        <f>SUMPRODUCT(('Full month Pivot'!$A$3:$A$175=$A$34)*('Full month Pivot'!$D$2:$K$2=R2)*'Full month Pivot'!$D$3:$K$175)</f>
        <v/>
      </c>
      <c r="S34" s="141">
        <f>SUMPRODUCT(('Full month Pivot'!$A$3:$A$175=$A$34)*('Full month Pivot'!$D$2:$K$2=S2)*'Full month Pivot'!$D$3:$K$175)</f>
        <v/>
      </c>
      <c r="T34" s="143">
        <f>Q34-P34</f>
        <v/>
      </c>
      <c r="U34" s="149" t="n"/>
      <c r="V34" s="149" t="n"/>
      <c r="W34" s="149" t="n"/>
    </row>
    <row r="35" outlineLevel="1" s="239">
      <c r="A35" s="122" t="inlineStr">
        <is>
          <t>Tiện ích giao thông</t>
        </is>
      </c>
      <c r="B35" s="141">
        <f>SUMPRODUCT(('MTD Pivot'!$A$3:$A$400=$A35)*('MTD Pivot'!$D$2:$K$2=B$2)*'MTD Pivot'!$D$3:$K$400)</f>
        <v/>
      </c>
      <c r="C35" s="141">
        <f>SUMPRODUCT(('MTD Pivot'!$A$3:$A$400=$A35)*('MTD Pivot'!$D$2:$K$2=C$2)*'MTD Pivot'!$D$3:$K$400)</f>
        <v/>
      </c>
      <c r="D35" s="141">
        <f>SUMPRODUCT(('MTD Pivot'!$A$3:$A$400=$A35)*('MTD Pivot'!$D$2:$K$2=D$2)*'MTD Pivot'!$D$3:$K$400)</f>
        <v/>
      </c>
      <c r="E35" s="141">
        <f>SUMPRODUCT(('MTD Pivot'!$A$3:$A$400=$A35)*('MTD Pivot'!$D$2:$K$2=E$2)*'MTD Pivot'!$D$3:$K$400)</f>
        <v/>
      </c>
      <c r="F35" s="141">
        <f>SUMPRODUCT(('MTD Pivot'!$A$3:$A$400=$A$35)*('MTD Pivot'!$D$2:$K$2=F2)*'MTD Pivot'!$D$3:$K$400)</f>
        <v/>
      </c>
      <c r="G35" s="141">
        <f>SUMPRODUCT(('MTD Pivot'!$A$3:$A$400=$A$35)*('MTD Pivot'!$D$2:$K$2=G2)*'MTD Pivot'!$D$3:$K$400)</f>
        <v/>
      </c>
      <c r="H35" s="141" t="n"/>
      <c r="I35" s="141" t="n"/>
      <c r="J35" s="143">
        <f>G35-F35</f>
        <v/>
      </c>
      <c r="K35" s="145" t="n"/>
      <c r="L35" s="141">
        <f>SUMPRODUCT(('Full month Pivot'!$A$3:$A$400=$A35)*('Full month Pivot'!$D$2:$K$2=L$2)*'Full month Pivot'!$D$3:$K$400)</f>
        <v/>
      </c>
      <c r="M35" s="141">
        <f>SUMPRODUCT(('Full month Pivot'!$A$3:$A$400=$A35)*('Full month Pivot'!$D$2:$K$2=M$2)*'Full month Pivot'!$D$3:$K$400)</f>
        <v/>
      </c>
      <c r="N35" s="141">
        <f>SUMPRODUCT(('Full month Pivot'!$A$3:$A$400=$A35)*('Full month Pivot'!$D$2:$K$2=N$2)*'Full month Pivot'!$D$3:$K$400)</f>
        <v/>
      </c>
      <c r="O35" s="141">
        <f>SUMPRODUCT(('Full month Pivot'!$A$3:$A$400=$A35)*('Full month Pivot'!$D$2:$K$2=O$2)*'Full month Pivot'!$D$3:$K$400)</f>
        <v/>
      </c>
      <c r="P35" s="141">
        <f>SUMPRODUCT(('Full month Pivot'!$A$3:$A$400=$A35)*('Full month Pivot'!$D$2:$K$2=P$2)*'Full month Pivot'!$D$3:$K$400)</f>
        <v/>
      </c>
      <c r="Q35" s="141">
        <f>SUMPRODUCT(('Full month Pivot'!$A$3:$A$400=$A35)*('Full month Pivot'!$D$2:$K$2=Q$2)*'Full month Pivot'!$D$3:$K$400)</f>
        <v/>
      </c>
      <c r="R35" s="141" t="n"/>
      <c r="S35" s="141" t="n"/>
      <c r="T35" s="143">
        <f>Q35-P35</f>
        <v/>
      </c>
      <c r="U35" s="149" t="n"/>
      <c r="V35" s="149" t="n"/>
      <c r="W35" s="149" t="n"/>
    </row>
    <row r="36">
      <c r="A36" s="118" t="inlineStr">
        <is>
          <t>Vé Xe</t>
        </is>
      </c>
      <c r="B36" s="120">
        <f>SUMPRODUCT(('MTD Pivot'!$A$3:$A$269=$A$36)*('MTD Pivot'!$D$2:$K$2=B2)*'MTD Pivot'!$D$3:$K$269)</f>
        <v/>
      </c>
      <c r="C36" s="120">
        <f>SUMPRODUCT(('MTD Pivot'!$A$3:$A$400=$A$36)*('MTD Pivot'!$D$2:$K$2=C2)*'MTD Pivot'!$D$3:$K$400)</f>
        <v/>
      </c>
      <c r="D36" s="120">
        <f>SUMPRODUCT(('MTD Pivot'!$A$3:$A$400=$A$36)*('MTD Pivot'!$D$2:$K$2=D2)*'MTD Pivot'!$D$3:$K$400)</f>
        <v/>
      </c>
      <c r="E36" s="120">
        <f>SUMPRODUCT(('MTD Pivot'!$A$3:$A$400=$A$36)*('MTD Pivot'!$D$2:$K$2=E2)*'MTD Pivot'!$D$3:$K$400)</f>
        <v/>
      </c>
      <c r="F36" s="120">
        <f>SUMPRODUCT(('MTD Pivot'!$A$3:$A$400=$A$36)*('MTD Pivot'!$D$2:$K$2=F2)*'MTD Pivot'!$D$3:$K$400)</f>
        <v/>
      </c>
      <c r="G36" s="120">
        <f>SUMPRODUCT(('MTD Pivot'!$A$3:$A$400=$A$36)*('MTD Pivot'!$D$2:$K$2=G2)*'MTD Pivot'!$D$3:$K$400)</f>
        <v/>
      </c>
      <c r="H36" s="120">
        <f>SUMPRODUCT(('MTD Pivot'!$A$3:$A$175=$A$36)*('MTD Pivot'!$D$2:$K$2=H2)*'MTD Pivot'!$D$3:$K$175)</f>
        <v/>
      </c>
      <c r="I36" s="120">
        <f>SUMPRODUCT(('MTD Pivot'!$A$3:$A$175=$A$36)*('MTD Pivot'!$D$2:$K$2=I2)*'MTD Pivot'!$D$3:$K$175)</f>
        <v/>
      </c>
      <c r="J36" s="143">
        <f>G36-F36</f>
        <v/>
      </c>
      <c r="K36" s="114" t="n"/>
      <c r="L36" s="120">
        <f>SUMPRODUCT(('Full month Pivot'!$A$3:$A$400=$A$36)*('Full month Pivot'!$D$2:$K$2=L2)*'Full month Pivot'!$D$3:$K$400)</f>
        <v/>
      </c>
      <c r="M36" s="120">
        <f>SUMPRODUCT(('Full month Pivot'!$A$3:$A$400=$A$36)*('Full month Pivot'!$D$2:$K$2=M2)*'Full month Pivot'!$D$3:$K$400)</f>
        <v/>
      </c>
      <c r="N36" s="120">
        <f>SUMPRODUCT(('Full month Pivot'!$A$3:$A$400=$A$36)*('Full month Pivot'!$D$2:$K$2=N2)*'Full month Pivot'!$D$3:$K$400)</f>
        <v/>
      </c>
      <c r="O36" s="120">
        <f>SUMPRODUCT(('Full month Pivot'!$A$3:$A$400=$A$36)*('Full month Pivot'!$D$2:$K$2=O2)*'Full month Pivot'!$D$3:$K$400)</f>
        <v/>
      </c>
      <c r="P36" s="120">
        <f>SUMPRODUCT(('Full month Pivot'!$A$3:$A$400=$A$36)*('Full month Pivot'!$D$2:$K$2=P2)*'Full month Pivot'!$D$3:$K$400)</f>
        <v/>
      </c>
      <c r="Q36" s="120">
        <f>SUMPRODUCT(('Full month Pivot'!$A$3:$A$400=$A$36)*('Full month Pivot'!$D$2:$K$2=Q2)*'Full month Pivot'!$D$3:$K$400)</f>
        <v/>
      </c>
      <c r="R36" s="120">
        <f>SUMPRODUCT(('Full month Pivot'!$A$3:$A$175=$A$36)*('Full month Pivot'!$D$2:$K$2=R2)*'Full month Pivot'!$D$3:$K$175)</f>
        <v/>
      </c>
      <c r="S36" s="120">
        <f>SUMPRODUCT(('Full month Pivot'!$A$3:$A$175=$A$36)*('Full month Pivot'!$D$2:$K$2=S2)*'Full month Pivot'!$D$3:$K$175)</f>
        <v/>
      </c>
      <c r="T36" s="143">
        <f>Q36-P36</f>
        <v/>
      </c>
      <c r="U36" s="115" t="n"/>
      <c r="V36" s="115" t="n"/>
      <c r="W36" s="115" t="n"/>
    </row>
    <row r="37">
      <c r="A37" s="118" t="inlineStr">
        <is>
          <t>OTA</t>
        </is>
      </c>
      <c r="B37" s="120">
        <f>SUMPRODUCT(('MTD Pivot'!$A$3:$A$269=$A$37)*('MTD Pivot'!$D$2:$K$2=B2)*'MTD Pivot'!$D$3:$K$269)</f>
        <v/>
      </c>
      <c r="C37" s="120">
        <f>SUMPRODUCT(('MTD Pivot'!$A$3:$A$400=$A$37)*('MTD Pivot'!$D$2:$K$2=C2)*'MTD Pivot'!$D$3:$K$400)</f>
        <v/>
      </c>
      <c r="D37" s="120">
        <f>SUMPRODUCT(('MTD Pivot'!$A$3:$A$400=$A$37)*('MTD Pivot'!$D$2:$K$2=D2)*'MTD Pivot'!$D$3:$K$400)</f>
        <v/>
      </c>
      <c r="E37" s="120">
        <f>SUMPRODUCT(('MTD Pivot'!$A$3:$A$400=$A$37)*('MTD Pivot'!$D$2:$K$2=E2)*'MTD Pivot'!$D$3:$K$400)</f>
        <v/>
      </c>
      <c r="F37" s="120">
        <f>SUMPRODUCT(('MTD Pivot'!$A$3:$A$400=$A$37)*('MTD Pivot'!$D$2:$K$2=F2)*'MTD Pivot'!$D$3:$K$400)</f>
        <v/>
      </c>
      <c r="G37" s="120">
        <f>SUMPRODUCT(('MTD Pivot'!$A$3:$A$400=$A$37)*('MTD Pivot'!$D$2:$K$2=G2)*'MTD Pivot'!$D$3:$K$400)</f>
        <v/>
      </c>
      <c r="H37" s="120">
        <f>SUMPRODUCT(('MTD Pivot'!$A$3:$A$175=$A$37)*('MTD Pivot'!$D$2:$K$2=H2)*'MTD Pivot'!$D$3:$K$175)</f>
        <v/>
      </c>
      <c r="I37" s="120">
        <f>SUMPRODUCT(('MTD Pivot'!$A$3:$A$175=$A$37)*('MTD Pivot'!$D$2:$K$2=I2)*'MTD Pivot'!$D$3:$K$175)</f>
        <v/>
      </c>
      <c r="J37" s="143">
        <f>G37-F37</f>
        <v/>
      </c>
      <c r="K37" s="114" t="n"/>
      <c r="L37" s="120">
        <f>SUMPRODUCT(('Full month Pivot'!$A$3:$A$400=$A$37)*('Full month Pivot'!$D$2:$K$2=L2)*'Full month Pivot'!$D$3:$K$400)</f>
        <v/>
      </c>
      <c r="M37" s="120">
        <f>SUMPRODUCT(('Full month Pivot'!$A$3:$A$400=$A$37)*('Full month Pivot'!$D$2:$K$2=M2)*'Full month Pivot'!$D$3:$K$400)</f>
        <v/>
      </c>
      <c r="N37" s="120">
        <f>SUMPRODUCT(('Full month Pivot'!$A$3:$A$400=$A$37)*('Full month Pivot'!$D$2:$K$2=N2)*'Full month Pivot'!$D$3:$K$400)</f>
        <v/>
      </c>
      <c r="O37" s="120">
        <f>SUMPRODUCT(('Full month Pivot'!$A$3:$A$400=$A$37)*('Full month Pivot'!$D$2:$K$2=O2)*'Full month Pivot'!$D$3:$K$400)</f>
        <v/>
      </c>
      <c r="P37" s="120">
        <f>SUMPRODUCT(('Full month Pivot'!$A$3:$A$400=$A$37)*('Full month Pivot'!$D$2:$K$2=P2)*'Full month Pivot'!$D$3:$K$400)</f>
        <v/>
      </c>
      <c r="Q37" s="120">
        <f>SUMPRODUCT(('Full month Pivot'!$A$3:$A$400=$A$37)*('Full month Pivot'!$D$2:$K$2=Q2)*'Full month Pivot'!$D$3:$K$400)</f>
        <v/>
      </c>
      <c r="R37" s="120">
        <f>SUMPRODUCT(('Full month Pivot'!$A$3:$A$175=$A$37)*('Full month Pivot'!$D$2:$K$2=R2)*'Full month Pivot'!$D$3:$K$175)</f>
        <v/>
      </c>
      <c r="S37" s="120">
        <f>SUMPRODUCT(('Full month Pivot'!$A$3:$A$175=$A$37)*('Full month Pivot'!$D$2:$K$2=S2)*'Full month Pivot'!$D$3:$K$175)</f>
        <v/>
      </c>
      <c r="T37" s="143">
        <f>Q37-P37</f>
        <v/>
      </c>
      <c r="U37" s="115" t="n"/>
      <c r="V37" s="115" t="n"/>
      <c r="W37" s="115" t="n"/>
    </row>
    <row r="38">
      <c r="A38" s="118" t="inlineStr">
        <is>
          <t>Merchant</t>
        </is>
      </c>
      <c r="B38" s="120">
        <f>SUMPRODUCT(('MTD Pivot'!$A$3:$A$269=$A$38)*('MTD Pivot'!$D$2:$K$2=B2)*'MTD Pivot'!$D$3:$K$269)</f>
        <v/>
      </c>
      <c r="C38" s="120">
        <f>SUMPRODUCT(('MTD Pivot'!$A$3:$A$400=$A$38)*('MTD Pivot'!$D$2:$K$2=C2)*'MTD Pivot'!$D$3:$K$400)</f>
        <v/>
      </c>
      <c r="D38" s="120">
        <f>SUMPRODUCT(('MTD Pivot'!$A$3:$A$400=$A$38)*('MTD Pivot'!$D$2:$K$2=D2)*'MTD Pivot'!$D$3:$K$400)</f>
        <v/>
      </c>
      <c r="E38" s="120">
        <f>SUMPRODUCT(('MTD Pivot'!$A$3:$A$400=$A$38)*('MTD Pivot'!$D$2:$K$2=E2)*'MTD Pivot'!$D$3:$K$400)</f>
        <v/>
      </c>
      <c r="F38" s="120">
        <f>SUMPRODUCT(('MTD Pivot'!$A$3:$A$400=$A$38)*('MTD Pivot'!$D$2:$K$2=F2)*'MTD Pivot'!$D$3:$K$400)</f>
        <v/>
      </c>
      <c r="G38" s="120">
        <f>SUMPRODUCT(('MTD Pivot'!$A$3:$A$400=$A$38)*('MTD Pivot'!$D$2:$K$2=G2)*'MTD Pivot'!$D$3:$K$400)</f>
        <v/>
      </c>
      <c r="H38" s="120">
        <f>SUMPRODUCT(('MTD Pivot'!$A$3:$A$175=$A$38)*('MTD Pivot'!$D$2:$K$2=H2)*'MTD Pivot'!$D$3:$K$175)</f>
        <v/>
      </c>
      <c r="I38" s="120">
        <f>SUMPRODUCT(('MTD Pivot'!$A$3:$A$175=$A$38)*('MTD Pivot'!$D$2:$K$2=I2)*'MTD Pivot'!$D$3:$K$175)</f>
        <v/>
      </c>
      <c r="J38" s="143">
        <f>G38-F38</f>
        <v/>
      </c>
      <c r="K38" s="114" t="n"/>
      <c r="L38" s="120">
        <f>SUMPRODUCT(('Full month Pivot'!$A$3:$A$400=$A$38)*('Full month Pivot'!$D$2:$K$2=L2)*'Full month Pivot'!$D$3:$K$400)</f>
        <v/>
      </c>
      <c r="M38" s="120">
        <f>SUMPRODUCT(('Full month Pivot'!$A$3:$A$400=$A$38)*('Full month Pivot'!$D$2:$K$2=M2)*'Full month Pivot'!$D$3:$K$400)</f>
        <v/>
      </c>
      <c r="N38" s="120">
        <f>SUMPRODUCT(('Full month Pivot'!$A$3:$A$400=$A$38)*('Full month Pivot'!$D$2:$K$2=N2)*'Full month Pivot'!$D$3:$K$400)</f>
        <v/>
      </c>
      <c r="O38" s="120">
        <f>SUMPRODUCT(('Full month Pivot'!$A$3:$A$400=$A$38)*('Full month Pivot'!$D$2:$K$2=O2)*'Full month Pivot'!$D$3:$K$400)</f>
        <v/>
      </c>
      <c r="P38" s="120">
        <f>SUMPRODUCT(('Full month Pivot'!$A$3:$A$400=$A$38)*('Full month Pivot'!$D$2:$K$2=P2)*'Full month Pivot'!$D$3:$K$400)</f>
        <v/>
      </c>
      <c r="Q38" s="120">
        <f>SUMPRODUCT(('Full month Pivot'!$A$3:$A$400=$A$38)*('Full month Pivot'!$D$2:$K$2=Q2)*'Full month Pivot'!$D$3:$K$400)</f>
        <v/>
      </c>
      <c r="R38" s="120">
        <f>SUMPRODUCT(('Full month Pivot'!$A$3:$A$175=$A$38)*('Full month Pivot'!$D$2:$K$2=R2)*'Full month Pivot'!$D$3:$K$175)</f>
        <v/>
      </c>
      <c r="S38" s="120">
        <f>SUMPRODUCT(('Full month Pivot'!$A$3:$A$175=$A$38)*('Full month Pivot'!$D$2:$K$2=S2)*'Full month Pivot'!$D$3:$K$175)</f>
        <v/>
      </c>
      <c r="T38" s="143">
        <f>Q38-P38</f>
        <v/>
      </c>
      <c r="U38" s="115" t="n"/>
      <c r="V38" s="115" t="n"/>
      <c r="W38" s="115" t="n"/>
    </row>
    <row r="39" collapsed="1" s="239">
      <c r="A39" s="118" t="inlineStr">
        <is>
          <t>Sim</t>
        </is>
      </c>
      <c r="B39" s="120">
        <f>sum(B40:B41)</f>
        <v/>
      </c>
      <c r="C39" s="120">
        <f>sum(C40:C41)</f>
        <v/>
      </c>
      <c r="D39" s="120">
        <f>sum(D40:D41)</f>
        <v/>
      </c>
      <c r="E39" s="120">
        <f>sum(E40:E41)</f>
        <v/>
      </c>
      <c r="F39" s="120">
        <f>sum(F40:F41)</f>
        <v/>
      </c>
      <c r="G39" s="120">
        <f>sum(G40:G41)</f>
        <v/>
      </c>
      <c r="H39" s="120">
        <f>sum(H40:H41)</f>
        <v/>
      </c>
      <c r="I39" s="120">
        <f>sum(I40:I41)</f>
        <v/>
      </c>
      <c r="J39" s="143">
        <f>G39-F39</f>
        <v/>
      </c>
      <c r="K39" s="114" t="n"/>
      <c r="L39" s="120">
        <f>sum(L40:L41)</f>
        <v/>
      </c>
      <c r="M39" s="120">
        <f>sum(M40:M41)</f>
        <v/>
      </c>
      <c r="N39" s="120">
        <f>sum(N40:N41)</f>
        <v/>
      </c>
      <c r="O39" s="120">
        <f>sum(O40:O41)</f>
        <v/>
      </c>
      <c r="P39" s="120">
        <f>sum(P40:P41)</f>
        <v/>
      </c>
      <c r="Q39" s="120">
        <f>sum(Q40:Q41)</f>
        <v/>
      </c>
      <c r="R39" s="120">
        <f>sum(R40:R41)</f>
        <v/>
      </c>
      <c r="S39" s="120">
        <f>sum(S40:S41)</f>
        <v/>
      </c>
      <c r="T39" s="143">
        <f>Q39-P39</f>
        <v/>
      </c>
      <c r="U39" s="115" t="n"/>
      <c r="V39" s="115" t="n"/>
      <c r="W39" s="115" t="n"/>
    </row>
    <row r="40" hidden="1" outlineLevel="1" s="239">
      <c r="A40" s="173" t="inlineStr">
        <is>
          <t>Sim</t>
        </is>
      </c>
      <c r="B40" s="117">
        <f>SUMPRODUCT(('MTD Pivot'!$A$3:$A$269=$A$40)*('MTD Pivot'!$D$2:$K$2=B2)*'MTD Pivot'!$D$3:$K$269)</f>
        <v/>
      </c>
      <c r="C40" s="117">
        <f>SUMPRODUCT(('MTD Pivot'!$A$3:$A$400=$A$40)*('MTD Pivot'!$D$2:$K$2=C2)*'MTD Pivot'!$D$3:$K$400)</f>
        <v/>
      </c>
      <c r="D40" s="117">
        <f>SUMPRODUCT(('MTD Pivot'!$A$3:$A$400=$A$40)*('MTD Pivot'!$D$2:$K$2=D2)*'MTD Pivot'!$D$3:$K$400)</f>
        <v/>
      </c>
      <c r="E40" s="117">
        <f>SUMPRODUCT(('MTD Pivot'!$A$3:$A$400=$A$40)*('MTD Pivot'!$D$2:$K$2=E2)*'MTD Pivot'!$D$3:$K$400)</f>
        <v/>
      </c>
      <c r="F40" s="117">
        <f>SUMPRODUCT(('MTD Pivot'!$A$3:$A$400=$A$40)*('MTD Pivot'!$D$2:$K$2=F2)*'MTD Pivot'!$D$3:$K$400)</f>
        <v/>
      </c>
      <c r="G40" s="117">
        <f>SUMPRODUCT(('MTD Pivot'!$A$3:$A$400=$A$40)*('MTD Pivot'!$D$2:$K$2=G2)*'MTD Pivot'!$D$3:$K$400)</f>
        <v/>
      </c>
      <c r="H40" s="117">
        <f>SUMPRODUCT(('MTD Pivot'!$A$3:$A$175=$A$40)*('MTD Pivot'!$D$2:$K$2=H2)*'MTD Pivot'!$D$3:$K$175)</f>
        <v/>
      </c>
      <c r="I40" s="117">
        <f>SUMPRODUCT(('MTD Pivot'!$A$3:$A$175=$A$40)*('MTD Pivot'!$D$2:$K$2=I2)*'MTD Pivot'!$D$3:$K$175)</f>
        <v/>
      </c>
      <c r="J40" s="143">
        <f>G40-F40</f>
        <v/>
      </c>
      <c r="K40" s="105" t="n"/>
      <c r="L40" s="117">
        <f>SUMPRODUCT(('Full month Pivot'!$A$3:$A$400=$A$40)*('Full month Pivot'!$D$2:$K$2=L2)*'Full month Pivot'!$D$3:$K$400)</f>
        <v/>
      </c>
      <c r="M40" s="117">
        <f>SUMPRODUCT(('Full month Pivot'!$A$3:$A$400=$A$40)*('Full month Pivot'!$D$2:$K$2=M2)*'Full month Pivot'!$D$3:$K$400)</f>
        <v/>
      </c>
      <c r="N40" s="117">
        <f>SUMPRODUCT(('Full month Pivot'!$A$3:$A$400=$A$40)*('Full month Pivot'!$D$2:$K$2=N2)*'Full month Pivot'!$D$3:$K$400)</f>
        <v/>
      </c>
      <c r="O40" s="117">
        <f>SUMPRODUCT(('Full month Pivot'!$A$3:$A$400=$A$40)*('Full month Pivot'!$D$2:$K$2=O2)*'Full month Pivot'!$D$3:$K$400)</f>
        <v/>
      </c>
      <c r="P40" s="117">
        <f>SUMPRODUCT(('Full month Pivot'!$A$3:$A$400=$A$40)*('Full month Pivot'!$D$2:$K$2=P2)*'Full month Pivot'!$D$3:$K$400)</f>
        <v/>
      </c>
      <c r="Q40" s="117">
        <f>SUMPRODUCT(('Full month Pivot'!$A$3:$A$400=$A$40)*('Full month Pivot'!$D$2:$K$2=Q2)*'Full month Pivot'!$D$3:$K$400)</f>
        <v/>
      </c>
      <c r="R40" s="117">
        <f>SUMPRODUCT(('Full month Pivot'!$A$3:$A$175=$A$40)*('Full month Pivot'!$D$2:$K$2=R2)*'Full month Pivot'!$D$3:$K$175)</f>
        <v/>
      </c>
      <c r="S40" s="117">
        <f>SUMPRODUCT(('Full month Pivot'!$A$3:$A$175=$A$40)*('Full month Pivot'!$D$2:$K$2=S2)*'Full month Pivot'!$D$3:$K$175)</f>
        <v/>
      </c>
      <c r="T40" s="143">
        <f>Q40-P40</f>
        <v/>
      </c>
      <c r="U40" s="101" t="n"/>
      <c r="V40" s="101" t="n"/>
      <c r="W40" s="101" t="n"/>
    </row>
    <row r="41" hidden="1" outlineLevel="1" s="239">
      <c r="A41" s="173" t="inlineStr">
        <is>
          <t>Esim</t>
        </is>
      </c>
      <c r="B41" s="117">
        <f>SUMPRODUCT(('MTD Pivot'!$A$3:$A$269=$A$41)*('MTD Pivot'!$D$2:$K$2=B2)*'MTD Pivot'!$D$3:$K$269)</f>
        <v/>
      </c>
      <c r="C41" s="117">
        <f>SUMPRODUCT(('MTD Pivot'!$A$3:$A$400=$A$41)*('MTD Pivot'!$D$2:$K$2=C2)*'MTD Pivot'!$D$3:$K$400)</f>
        <v/>
      </c>
      <c r="D41" s="117">
        <f>SUMPRODUCT(('MTD Pivot'!$A$3:$A$400=$A$41)*('MTD Pivot'!$D$2:$K$2=D2)*'MTD Pivot'!$D$3:$K$400)</f>
        <v/>
      </c>
      <c r="E41" s="117">
        <f>SUMPRODUCT(('MTD Pivot'!$A$3:$A$400=$A$41)*('MTD Pivot'!$D$2:$K$2=E2)*'MTD Pivot'!$D$3:$K$400)</f>
        <v/>
      </c>
      <c r="F41" s="117">
        <f>SUMPRODUCT(('MTD Pivot'!$A$3:$A$400=$A$41)*('MTD Pivot'!$D$2:$K$2=F2)*'MTD Pivot'!$D$3:$K$400)</f>
        <v/>
      </c>
      <c r="G41" s="117">
        <f>SUMPRODUCT(('MTD Pivot'!$A$3:$A$400=$A$41)*('MTD Pivot'!$D$2:$K$2=G2)*'MTD Pivot'!$D$3:$K$400)</f>
        <v/>
      </c>
      <c r="H41" s="117">
        <f>SUMPRODUCT(('MTD Pivot'!$A$3:$A$175=$A$41)*('MTD Pivot'!$D$2:$K$2=H2)*'MTD Pivot'!$D$3:$K$175)</f>
        <v/>
      </c>
      <c r="I41" s="117">
        <f>SUMPRODUCT(('MTD Pivot'!$A$3:$A$175=$A$41)*('MTD Pivot'!$D$2:$K$2=I2)*'MTD Pivot'!$D$3:$K$175)</f>
        <v/>
      </c>
      <c r="J41" s="143">
        <f>G41-F41</f>
        <v/>
      </c>
      <c r="K41" s="105" t="n"/>
      <c r="L41" s="117">
        <f>SUMPRODUCT(('Full month Pivot'!$A$3:$A$400=$A$41)*('Full month Pivot'!$D$2:$K$2=L2)*'Full month Pivot'!$D$3:$K$400)</f>
        <v/>
      </c>
      <c r="M41" s="117">
        <f>SUMPRODUCT(('Full month Pivot'!$A$3:$A$400=$A$41)*('Full month Pivot'!$D$2:$K$2=M2)*'Full month Pivot'!$D$3:$K$400)</f>
        <v/>
      </c>
      <c r="N41" s="117">
        <f>SUMPRODUCT(('Full month Pivot'!$A$3:$A$400=$A$41)*('Full month Pivot'!$D$2:$K$2=N2)*'Full month Pivot'!$D$3:$K$400)</f>
        <v/>
      </c>
      <c r="O41" s="117">
        <f>SUMPRODUCT(('Full month Pivot'!$A$3:$A$400=$A$41)*('Full month Pivot'!$D$2:$K$2=O2)*'Full month Pivot'!$D$3:$K$400)</f>
        <v/>
      </c>
      <c r="P41" s="117">
        <f>SUMPRODUCT(('Full month Pivot'!$A$3:$A$400=$A$41)*('Full month Pivot'!$D$2:$K$2=P2)*'Full month Pivot'!$D$3:$K$400)</f>
        <v/>
      </c>
      <c r="Q41" s="117">
        <f>SUMPRODUCT(('Full month Pivot'!$A$3:$A$400=$A$41)*('Full month Pivot'!$D$2:$K$2=Q2)*'Full month Pivot'!$D$3:$K$400)</f>
        <v/>
      </c>
      <c r="R41" s="117">
        <f>SUMPRODUCT(('Full month Pivot'!$A$3:$A$175=$A$41)*('Full month Pivot'!$D$2:$K$2=R2)*'Full month Pivot'!$D$3:$K$175)</f>
        <v/>
      </c>
      <c r="S41" s="117">
        <f>SUMPRODUCT(('Full month Pivot'!$A$3:$A$175=$A$41)*('Full month Pivot'!$D$2:$K$2=S2)*'Full month Pivot'!$D$3:$K$175)</f>
        <v/>
      </c>
      <c r="T41" s="143">
        <f>Q41-P41</f>
        <v/>
      </c>
      <c r="U41" s="101" t="n"/>
      <c r="V41" s="101" t="n"/>
      <c r="W41" s="101" t="n"/>
    </row>
    <row r="42">
      <c r="A42" s="118" t="inlineStr">
        <is>
          <t>Game</t>
        </is>
      </c>
      <c r="B42" s="120">
        <f>SUMPRODUCT(('MTD Pivot'!$A$3:$A$269=$A$42)*('MTD Pivot'!$D$2:$K$2=B2)*'MTD Pivot'!$D$3:$K$269)</f>
        <v/>
      </c>
      <c r="C42" s="120">
        <f>SUMPRODUCT(('MTD Pivot'!$A$3:$A$400=$A$42)*('MTD Pivot'!$D$2:$K$2=C2)*'MTD Pivot'!$D$3:$K$400)</f>
        <v/>
      </c>
      <c r="D42" s="120">
        <f>SUMPRODUCT(('MTD Pivot'!$A$3:$A$400=$A$42)*('MTD Pivot'!$D$2:$K$2=D2)*'MTD Pivot'!$D$3:$K$400)</f>
        <v/>
      </c>
      <c r="E42" s="120">
        <f>SUMPRODUCT(('MTD Pivot'!$A$3:$A$400=$A$42)*('MTD Pivot'!$D$2:$K$2=E2)*'MTD Pivot'!$D$3:$K$400)</f>
        <v/>
      </c>
      <c r="F42" s="120">
        <f>SUMPRODUCT(('MTD Pivot'!$A$3:$A$400=$A$42)*('MTD Pivot'!$D$2:$K$2=F2)*'MTD Pivot'!$D$3:$K$400)</f>
        <v/>
      </c>
      <c r="G42" s="120">
        <f>SUMPRODUCT(('MTD Pivot'!$A$3:$A$400=$A$42)*('MTD Pivot'!$D$2:$K$2=G2)*'MTD Pivot'!$D$3:$K$400)</f>
        <v/>
      </c>
      <c r="H42" s="120">
        <f>SUMPRODUCT(('MTD Pivot'!$A$3:$A$175=$A$42)*('MTD Pivot'!$D$2:$K$2=H2)*'MTD Pivot'!$D$3:$K$175)</f>
        <v/>
      </c>
      <c r="I42" s="120">
        <f>SUMPRODUCT(('MTD Pivot'!$A$3:$A$175=$A$42)*('MTD Pivot'!$D$2:$K$2=I2)*'MTD Pivot'!$D$3:$K$175)</f>
        <v/>
      </c>
      <c r="J42" s="143">
        <f>G42-F42</f>
        <v/>
      </c>
      <c r="K42" s="114" t="n"/>
      <c r="L42" s="120">
        <f>SUMPRODUCT(('Full month Pivot'!$A$3:$A$400=$A$42)*('Full month Pivot'!$D$2:$K$2=L2)*'Full month Pivot'!$D$3:$K$400)</f>
        <v/>
      </c>
      <c r="M42" s="120">
        <f>SUMPRODUCT(('Full month Pivot'!$A$3:$A$400=$A$42)*('Full month Pivot'!$D$2:$K$2=M2)*'Full month Pivot'!$D$3:$K$400)</f>
        <v/>
      </c>
      <c r="N42" s="120">
        <f>SUMPRODUCT(('Full month Pivot'!$A$3:$A$400=$A$42)*('Full month Pivot'!$D$2:$K$2=N2)*'Full month Pivot'!$D$3:$K$400)</f>
        <v/>
      </c>
      <c r="O42" s="120">
        <f>SUMPRODUCT(('Full month Pivot'!$A$3:$A$400=$A$42)*('Full month Pivot'!$D$2:$K$2=O2)*'Full month Pivot'!$D$3:$K$400)</f>
        <v/>
      </c>
      <c r="P42" s="120">
        <f>SUMPRODUCT(('Full month Pivot'!$A$3:$A$400=$A$42)*('Full month Pivot'!$D$2:$K$2=P2)*'Full month Pivot'!$D$3:$K$400)</f>
        <v/>
      </c>
      <c r="Q42" s="120">
        <f>SUMPRODUCT(('Full month Pivot'!$A$3:$A$400=$A$42)*('Full month Pivot'!$D$2:$K$2=Q2)*'Full month Pivot'!$D$3:$K$400)</f>
        <v/>
      </c>
      <c r="R42" s="120">
        <f>SUMPRODUCT(('Full month Pivot'!$A$3:$A$175=$A$42)*('Full month Pivot'!$D$2:$K$2=R2)*'Full month Pivot'!$D$3:$K$175)</f>
        <v/>
      </c>
      <c r="S42" s="120">
        <f>SUMPRODUCT(('Full month Pivot'!$A$3:$A$175=$A$42)*('Full month Pivot'!$D$2:$K$2=S2)*'Full month Pivot'!$D$3:$K$175)</f>
        <v/>
      </c>
      <c r="T42" s="143">
        <f>Q42-P42</f>
        <v/>
      </c>
      <c r="U42" s="115" t="n"/>
      <c r="V42" s="115" t="n"/>
      <c r="W42" s="115" t="n"/>
    </row>
    <row r="43">
      <c r="A43" s="118" t="inlineStr">
        <is>
          <t>Bảo hiểm y tế</t>
        </is>
      </c>
      <c r="B43" s="120">
        <f>SUMPRODUCT(('MTD Pivot'!$A$3:$A$269=$A$43)*('MTD Pivot'!$D$2:$K$2=B2)*'MTD Pivot'!$D$3:$K$269)</f>
        <v/>
      </c>
      <c r="C43" s="120">
        <f>SUMPRODUCT(('MTD Pivot'!$A$3:$A$400=$A$43)*('MTD Pivot'!$D$2:$K$2=C2)*'MTD Pivot'!$D$3:$K$400)</f>
        <v/>
      </c>
      <c r="D43" s="120">
        <f>SUMPRODUCT(('MTD Pivot'!$A$3:$A$400=$A$43)*('MTD Pivot'!$D$2:$K$2=D2)*'MTD Pivot'!$D$3:$K$400)</f>
        <v/>
      </c>
      <c r="E43" s="120">
        <f>SUMPRODUCT(('MTD Pivot'!$A$3:$A$400=$A$43)*('MTD Pivot'!$D$2:$K$2=E2)*'MTD Pivot'!$D$3:$K$400)</f>
        <v/>
      </c>
      <c r="F43" s="120">
        <f>SUMPRODUCT(('MTD Pivot'!$A$3:$A$400=$A$43)*('MTD Pivot'!$D$2:$K$2=F2)*'MTD Pivot'!$D$3:$K$400)</f>
        <v/>
      </c>
      <c r="G43" s="120">
        <f>SUMPRODUCT(('MTD Pivot'!$A$3:$A$400=$A$43)*('MTD Pivot'!$D$2:$K$2=G2)*'MTD Pivot'!$D$3:$K$400)</f>
        <v/>
      </c>
      <c r="H43" s="120">
        <f>SUMPRODUCT(('MTD Pivot'!$A$3:$A$175=$A$43)*('MTD Pivot'!$D$2:$K$2=H2)*'MTD Pivot'!$D$3:$K$175)</f>
        <v/>
      </c>
      <c r="I43" s="120">
        <f>SUMPRODUCT(('MTD Pivot'!$A$3:$A$175=$A$43)*('MTD Pivot'!$D$2:$K$2=I2)*'MTD Pivot'!$D$3:$K$175)</f>
        <v/>
      </c>
      <c r="J43" s="143">
        <f>G43-F43</f>
        <v/>
      </c>
      <c r="K43" s="114" t="n"/>
      <c r="L43" s="120">
        <f>SUMPRODUCT(('Full month Pivot'!$A$3:$A$400=$A$43)*('Full month Pivot'!$D$2:$K$2=L2)*'Full month Pivot'!$D$3:$K$400)</f>
        <v/>
      </c>
      <c r="M43" s="120">
        <f>SUMPRODUCT(('Full month Pivot'!$A$3:$A$400=$A$43)*('Full month Pivot'!$D$2:$K$2=M2)*'Full month Pivot'!$D$3:$K$400)</f>
        <v/>
      </c>
      <c r="N43" s="120">
        <f>SUMPRODUCT(('Full month Pivot'!$A$3:$A$400=$A$43)*('Full month Pivot'!$D$2:$K$2=N2)*'Full month Pivot'!$D$3:$K$400)</f>
        <v/>
      </c>
      <c r="O43" s="120">
        <f>SUMPRODUCT(('Full month Pivot'!$A$3:$A$400=$A$43)*('Full month Pivot'!$D$2:$K$2=O2)*'Full month Pivot'!$D$3:$K$400)</f>
        <v/>
      </c>
      <c r="P43" s="120">
        <f>SUMPRODUCT(('Full month Pivot'!$A$3:$A$400=$A$43)*('Full month Pivot'!$D$2:$K$2=P2)*'Full month Pivot'!$D$3:$K$400)</f>
        <v/>
      </c>
      <c r="Q43" s="120">
        <f>SUMPRODUCT(('Full month Pivot'!$A$3:$A$400=$A$43)*('Full month Pivot'!$D$2:$K$2=Q2)*'Full month Pivot'!$D$3:$K$400)</f>
        <v/>
      </c>
      <c r="R43" s="120">
        <f>SUMPRODUCT(('Full month Pivot'!$A$3:$A$175=$A$43)*('Full month Pivot'!$D$2:$K$2=R2)*'Full month Pivot'!$D$3:$K$175)</f>
        <v/>
      </c>
      <c r="S43" s="120">
        <f>SUMPRODUCT(('Full month Pivot'!$A$3:$A$175=$A$43)*('Full month Pivot'!$D$2:$K$2=S2)*'Full month Pivot'!$D$3:$K$175)</f>
        <v/>
      </c>
      <c r="T43" s="143">
        <f>Q43-P43</f>
        <v/>
      </c>
      <c r="U43" s="115" t="n"/>
      <c r="V43" s="115" t="n"/>
      <c r="W43" s="115" t="n"/>
    </row>
    <row r="44">
      <c r="A44" s="118" t="inlineStr">
        <is>
          <t>Data</t>
        </is>
      </c>
      <c r="B44" s="120">
        <f>SUMPRODUCT(('MTD Pivot'!$A$3:$A$269=$A$44)*('MTD Pivot'!$D$2:$K$2=B2)*'MTD Pivot'!$D$3:$K$269)</f>
        <v/>
      </c>
      <c r="C44" s="120">
        <f>SUMPRODUCT(('MTD Pivot'!$A$3:$A$400=$A$44)*('MTD Pivot'!$D$2:$K$2=C2)*'MTD Pivot'!$D$3:$K$400)</f>
        <v/>
      </c>
      <c r="D44" s="120">
        <f>SUMPRODUCT(('MTD Pivot'!$A$3:$A$400=$A$44)*('MTD Pivot'!$D$2:$K$2=D2)*'MTD Pivot'!$D$3:$K$400)</f>
        <v/>
      </c>
      <c r="E44" s="120">
        <f>SUMPRODUCT(('MTD Pivot'!$A$3:$A$400=$A$44)*('MTD Pivot'!$D$2:$K$2=E2)*'MTD Pivot'!$D$3:$K$400)</f>
        <v/>
      </c>
      <c r="F44" s="120">
        <f>SUMPRODUCT(('MTD Pivot'!$A$3:$A$400=$A$44)*('MTD Pivot'!$D$2:$K$2=F2)*'MTD Pivot'!$D$3:$K$400)</f>
        <v/>
      </c>
      <c r="G44" s="120">
        <f>SUMPRODUCT(('MTD Pivot'!$A$3:$A$400=$A$44)*('MTD Pivot'!$D$2:$K$2=G2)*'MTD Pivot'!$D$3:$K$400)</f>
        <v/>
      </c>
      <c r="H44" s="120">
        <f>SUMPRODUCT(('MTD Pivot'!$A$3:$A$175=$A$44)*('MTD Pivot'!$D$2:$K$2=H2)*'MTD Pivot'!$D$3:$K$175)</f>
        <v/>
      </c>
      <c r="I44" s="120">
        <f>SUMPRODUCT(('MTD Pivot'!$A$3:$A$175=$A$44)*('MTD Pivot'!$D$2:$K$2=I2)*'MTD Pivot'!$D$3:$K$175)</f>
        <v/>
      </c>
      <c r="J44" s="143">
        <f>G44-F44</f>
        <v/>
      </c>
      <c r="K44" s="114" t="n"/>
      <c r="L44" s="120">
        <f>SUMPRODUCT(('Full month Pivot'!$A$3:$A$400=$A$44)*('Full month Pivot'!$D$2:$K$2=L2)*'Full month Pivot'!$D$3:$K$400)</f>
        <v/>
      </c>
      <c r="M44" s="120">
        <f>SUMPRODUCT(('Full month Pivot'!$A$3:$A$400=$A$44)*('Full month Pivot'!$D$2:$K$2=M2)*'Full month Pivot'!$D$3:$K$400)</f>
        <v/>
      </c>
      <c r="N44" s="120">
        <f>SUMPRODUCT(('Full month Pivot'!$A$3:$A$400=$A$44)*('Full month Pivot'!$D$2:$K$2=N2)*'Full month Pivot'!$D$3:$K$400)</f>
        <v/>
      </c>
      <c r="O44" s="120">
        <f>SUMPRODUCT(('Full month Pivot'!$A$3:$A$400=$A$44)*('Full month Pivot'!$D$2:$K$2=O2)*'Full month Pivot'!$D$3:$K$400)</f>
        <v/>
      </c>
      <c r="P44" s="120">
        <f>SUMPRODUCT(('Full month Pivot'!$A$3:$A$400=$A$44)*('Full month Pivot'!$D$2:$K$2=P2)*'Full month Pivot'!$D$3:$K$400)</f>
        <v/>
      </c>
      <c r="Q44" s="120">
        <f>SUMPRODUCT(('Full month Pivot'!$A$3:$A$400=$A$44)*('Full month Pivot'!$D$2:$K$2=Q2)*'Full month Pivot'!$D$3:$K$400)</f>
        <v/>
      </c>
      <c r="R44" s="120">
        <f>SUMPRODUCT(('Full month Pivot'!$A$3:$A$175=$A$44)*('Full month Pivot'!$D$2:$K$2=R2)*'Full month Pivot'!$D$3:$K$175)</f>
        <v/>
      </c>
      <c r="S44" s="120">
        <f>SUMPRODUCT(('Full month Pivot'!$A$3:$A$175=$A$44)*('Full month Pivot'!$D$2:$K$2=S2)*'Full month Pivot'!$D$3:$K$175)</f>
        <v/>
      </c>
      <c r="T44" s="143">
        <f>Q44-P44</f>
        <v/>
      </c>
      <c r="U44" s="115" t="n"/>
      <c r="V44" s="115" t="n"/>
      <c r="W44" s="115" t="n"/>
    </row>
    <row r="45">
      <c r="A45" s="118" t="inlineStr">
        <is>
          <t>Soundbox</t>
        </is>
      </c>
      <c r="B45" s="120">
        <f>SUMPRODUCT(('MTD Pivot'!$A$3:$A$269=$A$45)*('MTD Pivot'!$D$2:$K$2=B2)*'MTD Pivot'!$D$3:$K$269)</f>
        <v/>
      </c>
      <c r="C45" s="120">
        <f>SUMPRODUCT(('MTD Pivot'!$A$3:$A$400=$A$45)*('MTD Pivot'!$D$2:$K$2=C2)*'MTD Pivot'!$D$3:$K$400)</f>
        <v/>
      </c>
      <c r="D45" s="120">
        <f>SUMPRODUCT(('MTD Pivot'!$A$3:$A$400=$A$45)*('MTD Pivot'!$D$2:$K$2=D2)*'MTD Pivot'!$D$3:$K$400)</f>
        <v/>
      </c>
      <c r="E45" s="120">
        <f>SUMPRODUCT(('MTD Pivot'!$A$3:$A$400=$A$45)*('MTD Pivot'!$D$2:$K$2=E2)*'MTD Pivot'!$D$3:$K$400)</f>
        <v/>
      </c>
      <c r="F45" s="120">
        <f>SUMPRODUCT(('MTD Pivot'!$A$3:$A$400=$A$45)*('MTD Pivot'!$D$2:$K$2=F2)*'MTD Pivot'!$D$3:$K$400)</f>
        <v/>
      </c>
      <c r="G45" s="120">
        <f>SUMPRODUCT(('MTD Pivot'!$A$3:$A$400=$A$45)*('MTD Pivot'!$D$2:$K$2=G2)*'MTD Pivot'!$D$3:$K$400)</f>
        <v/>
      </c>
      <c r="H45" s="120">
        <f>SUMPRODUCT(('MTD Pivot'!$A$3:$A$175=$A$45)*('MTD Pivot'!$D$2:$K$2=H2)*'MTD Pivot'!$D$3:$K$175)</f>
        <v/>
      </c>
      <c r="I45" s="120">
        <f>SUMPRODUCT(('MTD Pivot'!$A$3:$A$175=$A$45)*('MTD Pivot'!$D$2:$K$2=I2)*'MTD Pivot'!$D$3:$K$175)</f>
        <v/>
      </c>
      <c r="J45" s="143">
        <f>G45-F45</f>
        <v/>
      </c>
      <c r="K45" s="114" t="n"/>
      <c r="L45" s="120">
        <f>SUMPRODUCT(('Full month Pivot'!$A$3:$A$400=$A$45)*('Full month Pivot'!$D$2:$K$2=L2)*'Full month Pivot'!$D$3:$K$400)</f>
        <v/>
      </c>
      <c r="M45" s="120">
        <f>SUMPRODUCT(('Full month Pivot'!$A$3:$A$400=$A$45)*('Full month Pivot'!$D$2:$K$2=M2)*'Full month Pivot'!$D$3:$K$400)</f>
        <v/>
      </c>
      <c r="N45" s="120">
        <f>SUMPRODUCT(('Full month Pivot'!$A$3:$A$400=$A$45)*('Full month Pivot'!$D$2:$K$2=N2)*'Full month Pivot'!$D$3:$K$400)</f>
        <v/>
      </c>
      <c r="O45" s="120">
        <f>SUMPRODUCT(('Full month Pivot'!$A$3:$A$400=$A$45)*('Full month Pivot'!$D$2:$K$2=O2)*'Full month Pivot'!$D$3:$K$400)</f>
        <v/>
      </c>
      <c r="P45" s="120">
        <f>SUMPRODUCT(('Full month Pivot'!$A$3:$A$400=$A$45)*('Full month Pivot'!$D$2:$K$2=P2)*'Full month Pivot'!$D$3:$K$400)</f>
        <v/>
      </c>
      <c r="Q45" s="120">
        <f>SUMPRODUCT(('Full month Pivot'!$A$3:$A$400=$A$45)*('Full month Pivot'!$D$2:$K$2=Q2)*'Full month Pivot'!$D$3:$K$400)</f>
        <v/>
      </c>
      <c r="R45" s="120">
        <f>SUMPRODUCT(('Full month Pivot'!$A$3:$A$175=$A$45)*('Full month Pivot'!$D$2:$K$2=R2)*'Full month Pivot'!$D$3:$K$175)</f>
        <v/>
      </c>
      <c r="S45" s="120">
        <f>SUMPRODUCT(('Full month Pivot'!$A$3:$A$175=$A$45)*('Full month Pivot'!$D$2:$K$2=S2)*'Full month Pivot'!$D$3:$K$175)</f>
        <v/>
      </c>
      <c r="T45" s="143">
        <f>Q45-P45</f>
        <v/>
      </c>
      <c r="U45" s="115" t="n"/>
      <c r="V45" s="115" t="n"/>
      <c r="W45" s="115" t="n"/>
    </row>
    <row r="46">
      <c r="A46" s="118" t="inlineStr">
        <is>
          <t>New User</t>
        </is>
      </c>
      <c r="B46" s="120">
        <f>SUMPRODUCT(('MTD Pivot'!$A$3:$A$269=$A$46)*('MTD Pivot'!$D$2:$K$2=B2)*'MTD Pivot'!$D$3:$K$269)</f>
        <v/>
      </c>
      <c r="C46" s="120">
        <f>SUMPRODUCT(('MTD Pivot'!$A$3:$A$400=$A$46)*('MTD Pivot'!$D$2:$K$2=C2)*'MTD Pivot'!$D$3:$K$400)</f>
        <v/>
      </c>
      <c r="D46" s="120">
        <f>SUMPRODUCT(('MTD Pivot'!$A$3:$A$400=$A$46)*('MTD Pivot'!$D$2:$K$2=D2)*'MTD Pivot'!$D$3:$K$400)</f>
        <v/>
      </c>
      <c r="E46" s="120">
        <f>SUMPRODUCT(('MTD Pivot'!$A$3:$A$400=$A$46)*('MTD Pivot'!$D$2:$K$2=E2)*'MTD Pivot'!$D$3:$K$400)</f>
        <v/>
      </c>
      <c r="F46" s="120">
        <f>SUMPRODUCT(('MTD Pivot'!$A$3:$A$400=$A$46)*('MTD Pivot'!$D$2:$K$2=F2)*'MTD Pivot'!$D$3:$K$400)</f>
        <v/>
      </c>
      <c r="G46" s="120">
        <f>SUMPRODUCT(('MTD Pivot'!$A$3:$A$400=$A$46)*('MTD Pivot'!$D$2:$K$2=G2)*'MTD Pivot'!$D$3:$K$400)</f>
        <v/>
      </c>
      <c r="H46" s="120" t="n"/>
      <c r="I46" s="120" t="n"/>
      <c r="J46" s="143">
        <f>G46-F46</f>
        <v/>
      </c>
      <c r="K46" s="114" t="n"/>
      <c r="L46" s="120">
        <f>SUMPRODUCT(('Full month Pivot'!$A$3:$A$400=$A$46)*('Full month Pivot'!$D$2:$K$2=L2)*'Full month Pivot'!$D$3:$K$400)</f>
        <v/>
      </c>
      <c r="M46" s="120">
        <f>SUMPRODUCT(('Full month Pivot'!$A$3:$A$400=$A$46)*('Full month Pivot'!$D$2:$K$2=M2)*'Full month Pivot'!$D$3:$K$400)</f>
        <v/>
      </c>
      <c r="N46" s="120">
        <f>SUMPRODUCT(('Full month Pivot'!$A$3:$A$400=$A$46)*('Full month Pivot'!$D$2:$K$2=N2)*'Full month Pivot'!$D$3:$K$400)</f>
        <v/>
      </c>
      <c r="O46" s="120">
        <f>SUMPRODUCT(('Full month Pivot'!$A$3:$A$400=$A$46)*('Full month Pivot'!$D$2:$K$2=O2)*'Full month Pivot'!$D$3:$K$400)</f>
        <v/>
      </c>
      <c r="P46" s="120">
        <f>SUMPRODUCT(('Full month Pivot'!$A$3:$A$400=$A$46)*('Full month Pivot'!$D$2:$K$2=P2)*'Full month Pivot'!$D$3:$K$400)</f>
        <v/>
      </c>
      <c r="Q46" s="120">
        <f>SUMPRODUCT(('Full month Pivot'!$A$3:$A$400=$A$46)*('Full month Pivot'!$D$2:$K$2=Q2)*'Full month Pivot'!$D$3:$K$400)</f>
        <v/>
      </c>
      <c r="R46" s="120" t="n"/>
      <c r="S46" s="120" t="n"/>
      <c r="T46" s="143">
        <f>Q46-P46</f>
        <v/>
      </c>
      <c r="U46" s="115" t="n"/>
      <c r="V46" s="115" t="n"/>
      <c r="W46" s="115" t="n"/>
    </row>
    <row r="47">
      <c r="A47" s="118" t="inlineStr">
        <is>
          <t>Hỏi đáp</t>
        </is>
      </c>
      <c r="B47" s="120">
        <f>SUMPRODUCT(('MTD Pivot'!$A$3:$A$269=$A$47)*('MTD Pivot'!$D$2:$K$2=B2)*'MTD Pivot'!$D$3:$K$269)</f>
        <v/>
      </c>
      <c r="C47" s="120">
        <f>SUMPRODUCT(('MTD Pivot'!$A$3:$A$400=$A$47)*('MTD Pivot'!$D$2:$K$2=C2)*'MTD Pivot'!$D$3:$K$400)</f>
        <v/>
      </c>
      <c r="D47" s="120">
        <f>SUMPRODUCT(('MTD Pivot'!$A$3:$A$400=$A$47)*('MTD Pivot'!$D$2:$K$2=D2)*'MTD Pivot'!$D$3:$K$400)</f>
        <v/>
      </c>
      <c r="E47" s="120">
        <f>SUMPRODUCT(('MTD Pivot'!$A$3:$A$400=$A$47)*('MTD Pivot'!$D$2:$K$2=E2)*'MTD Pivot'!$D$3:$K$400)</f>
        <v/>
      </c>
      <c r="F47" s="120">
        <f>SUMPRODUCT(('MTD Pivot'!$A$3:$A$400=$A$47)*('MTD Pivot'!$D$2:$K$2=F2)*'MTD Pivot'!$D$3:$K$400)</f>
        <v/>
      </c>
      <c r="G47" s="120">
        <f>SUMPRODUCT(('MTD Pivot'!$A$3:$A$400=$A$47)*('MTD Pivot'!$D$2:$K$2=G2)*'MTD Pivot'!$D$3:$K$400)</f>
        <v/>
      </c>
      <c r="H47" s="120" t="n"/>
      <c r="I47" s="120" t="n"/>
      <c r="J47" s="143">
        <f>G47-F47</f>
        <v/>
      </c>
      <c r="K47" s="114" t="n"/>
      <c r="L47" s="120">
        <f>SUMPRODUCT(('Full month Pivot'!$A$3:$A$400=$A$47)*('Full month Pivot'!$D$2:$K$2=L2)*'Full month Pivot'!$D$3:$K$400)</f>
        <v/>
      </c>
      <c r="M47" s="120">
        <f>SUMPRODUCT(('Full month Pivot'!$A$3:$A$400=$A$47)*('Full month Pivot'!$D$2:$K$2=M2)*'Full month Pivot'!$D$3:$K$400)</f>
        <v/>
      </c>
      <c r="N47" s="120">
        <f>SUMPRODUCT(('Full month Pivot'!$A$3:$A$400=$A$47)*('Full month Pivot'!$D$2:$K$2=N2)*'Full month Pivot'!$D$3:$K$400)</f>
        <v/>
      </c>
      <c r="O47" s="120">
        <f>SUMPRODUCT(('Full month Pivot'!$A$3:$A$400=$A$47)*('Full month Pivot'!$D$2:$K$2=O2)*'Full month Pivot'!$D$3:$K$400)</f>
        <v/>
      </c>
      <c r="P47" s="120">
        <f>SUMPRODUCT(('Full month Pivot'!$A$3:$A$400=$A$47)*('Full month Pivot'!$D$2:$K$2=P2)*'Full month Pivot'!$D$3:$K$400)</f>
        <v/>
      </c>
      <c r="Q47" s="120">
        <f>SUMPRODUCT(('Full month Pivot'!$A$3:$A$400=$A$47)*('Full month Pivot'!$D$2:$K$2=Q2)*'Full month Pivot'!$D$3:$K$400)</f>
        <v/>
      </c>
      <c r="R47" s="120" t="n"/>
      <c r="S47" s="120" t="n"/>
      <c r="T47" s="143">
        <f>Q47-P47</f>
        <v/>
      </c>
      <c r="U47" s="115" t="n"/>
      <c r="V47" s="115" t="n"/>
      <c r="W47" s="115" t="n"/>
    </row>
    <row r="48">
      <c r="A48" s="118" t="inlineStr">
        <is>
          <t>TnC</t>
        </is>
      </c>
      <c r="B48" s="120">
        <f>SUMPRODUCT(('MTD Pivot'!$A$3:$A$269=$A$48)*('MTD Pivot'!$D$2:$K$2=B2)*'MTD Pivot'!$D$3:$K$269)</f>
        <v/>
      </c>
      <c r="C48" s="120">
        <f>SUMPRODUCT(('MTD Pivot'!$A$3:$A$400=$A$48)*('MTD Pivot'!$D$2:$K$2=C2)*'MTD Pivot'!$D$3:$K$400)</f>
        <v/>
      </c>
      <c r="D48" s="120">
        <f>SUMPRODUCT(('MTD Pivot'!$A$3:$A$400=$A$48)*('MTD Pivot'!$D$2:$K$2=D2)*'MTD Pivot'!$D$3:$K$400)</f>
        <v/>
      </c>
      <c r="E48" s="120">
        <f>SUMPRODUCT(('MTD Pivot'!$A$3:$A$400=$A$48)*('MTD Pivot'!$D$2:$K$2=E2)*'MTD Pivot'!$D$3:$K$400)</f>
        <v/>
      </c>
      <c r="F48" s="120">
        <f>SUMPRODUCT(('MTD Pivot'!$A$3:$A$400=$A$48)*('MTD Pivot'!$D$2:$K$2=F2)*'MTD Pivot'!$D$3:$K$400)</f>
        <v/>
      </c>
      <c r="G48" s="120">
        <f>SUMPRODUCT(('MTD Pivot'!$A$3:$A$400=$A$48)*('MTD Pivot'!$D$2:$K$2=G2)*'MTD Pivot'!$D$3:$K$400)</f>
        <v/>
      </c>
      <c r="H48" s="120" t="n"/>
      <c r="I48" s="120" t="n"/>
      <c r="J48" s="143">
        <f>G48-F48</f>
        <v/>
      </c>
      <c r="K48" s="114" t="n"/>
      <c r="L48" s="120">
        <f>SUMPRODUCT(('Full month Pivot'!$A$3:$A$400=$A$48)*('Full month Pivot'!$D$2:$K$2=L2)*'Full month Pivot'!$D$3:$K$400)</f>
        <v/>
      </c>
      <c r="M48" s="120">
        <f>SUMPRODUCT(('Full month Pivot'!$A$3:$A$400=$A$48)*('Full month Pivot'!$D$2:$K$2=M2)*'Full month Pivot'!$D$3:$K$400)</f>
        <v/>
      </c>
      <c r="N48" s="120">
        <f>SUMPRODUCT(('Full month Pivot'!$A$3:$A$400=$A$48)*('Full month Pivot'!$D$2:$K$2=N2)*'Full month Pivot'!$D$3:$K$400)</f>
        <v/>
      </c>
      <c r="O48" s="120">
        <f>SUMPRODUCT(('Full month Pivot'!$A$3:$A$400=$A$48)*('Full month Pivot'!$D$2:$K$2=O2)*'Full month Pivot'!$D$3:$K$400)</f>
        <v/>
      </c>
      <c r="P48" s="120">
        <f>SUMPRODUCT(('Full month Pivot'!$A$3:$A$400=$A$48)*('Full month Pivot'!$D$2:$K$2=P2)*'Full month Pivot'!$D$3:$K$400)</f>
        <v/>
      </c>
      <c r="Q48" s="120">
        <f>SUMPRODUCT(('Full month Pivot'!$A$3:$A$400=$A$48)*('Full month Pivot'!$D$2:$K$2=Q2)*'Full month Pivot'!$D$3:$K$400)</f>
        <v/>
      </c>
      <c r="R48" s="120" t="n"/>
      <c r="S48" s="120" t="n"/>
      <c r="T48" s="143">
        <f>Q48-P48</f>
        <v/>
      </c>
      <c r="U48" s="115" t="n"/>
      <c r="V48" s="115" t="n"/>
      <c r="W48" s="115" t="n"/>
    </row>
    <row r="49">
      <c r="A49" s="118" t="inlineStr">
        <is>
          <t>Trust</t>
        </is>
      </c>
      <c r="B49" s="120">
        <f>SUMPRODUCT(('MTD Pivot'!$A$3:$A$269=$A$49)*('MTD Pivot'!$D$2:$K$2=B2)*'MTD Pivot'!$D$3:$K$269)</f>
        <v/>
      </c>
      <c r="C49" s="120">
        <f>SUMPRODUCT(('MTD Pivot'!$A$3:$A$400=$A$49)*('MTD Pivot'!$D$2:$K$2=C2)*'MTD Pivot'!$D$3:$K$400)</f>
        <v/>
      </c>
      <c r="D49" s="120">
        <f>SUMPRODUCT(('MTD Pivot'!$A$3:$A$400=$A$49)*('MTD Pivot'!$D$2:$K$2=D2)*'MTD Pivot'!$D$3:$K$400)</f>
        <v/>
      </c>
      <c r="E49" s="120">
        <f>SUMPRODUCT(('MTD Pivot'!$A$3:$A$400=$A$49)*('MTD Pivot'!$D$2:$K$2=E2)*'MTD Pivot'!$D$3:$K$400)</f>
        <v/>
      </c>
      <c r="F49" s="120">
        <f>SUMPRODUCT(('MTD Pivot'!$A$3:$A$400=$A$49)*('MTD Pivot'!$D$2:$K$2=F2)*'MTD Pivot'!$D$3:$K$400)</f>
        <v/>
      </c>
      <c r="G49" s="120">
        <f>SUMPRODUCT(('MTD Pivot'!$A$3:$A$400=$A$49)*('MTD Pivot'!$D$2:$K$2=G2)*'MTD Pivot'!$D$3:$K$400)</f>
        <v/>
      </c>
      <c r="H49" s="120" t="n"/>
      <c r="I49" s="120" t="n"/>
      <c r="J49" s="143">
        <f>G49-F49</f>
        <v/>
      </c>
      <c r="K49" s="114" t="n"/>
      <c r="L49" s="120">
        <f>SUMPRODUCT(('Full month Pivot'!$A$3:$A$400=$A$49)*('Full month Pivot'!$D$2:$K$2=L2)*'Full month Pivot'!$D$3:$K$400)</f>
        <v/>
      </c>
      <c r="M49" s="120">
        <f>SUMPRODUCT(('Full month Pivot'!$A$3:$A$400=$A$49)*('Full month Pivot'!$D$2:$K$2=M2)*'Full month Pivot'!$D$3:$K$400)</f>
        <v/>
      </c>
      <c r="N49" s="120">
        <f>SUMPRODUCT(('Full month Pivot'!$A$3:$A$400=$A$49)*('Full month Pivot'!$D$2:$K$2=N2)*'Full month Pivot'!$D$3:$K$400)</f>
        <v/>
      </c>
      <c r="O49" s="120">
        <f>SUMPRODUCT(('Full month Pivot'!$A$3:$A$400=$A$49)*('Full month Pivot'!$D$2:$K$2=O2)*'Full month Pivot'!$D$3:$K$400)</f>
        <v/>
      </c>
      <c r="P49" s="120">
        <f>SUMPRODUCT(('Full month Pivot'!$A$3:$A$400=$A$49)*('Full month Pivot'!$D$2:$K$2=P2)*'Full month Pivot'!$D$3:$K$400)</f>
        <v/>
      </c>
      <c r="Q49" s="120">
        <f>SUMPRODUCT(('Full month Pivot'!$A$3:$A$400=$A$49)*('Full month Pivot'!$D$2:$K$2=Q2)*'Full month Pivot'!$D$3:$K$400)</f>
        <v/>
      </c>
      <c r="R49" s="120" t="n"/>
      <c r="S49" s="120" t="n"/>
      <c r="T49" s="143">
        <f>Q49-P49</f>
        <v/>
      </c>
      <c r="U49" s="115" t="n"/>
      <c r="V49" s="115" t="n"/>
      <c r="W49" s="115" t="n"/>
    </row>
    <row r="50">
      <c r="A50" s="118" t="inlineStr">
        <is>
          <t>Guide</t>
        </is>
      </c>
      <c r="B50" s="120">
        <f>SUMPRODUCT(('MTD Pivot'!$A$3:$A$269=$A$50)*('MTD Pivot'!$D$2:$K$2=B2)*'MTD Pivot'!$D$3:$K$269)</f>
        <v/>
      </c>
      <c r="C50" s="120">
        <f>SUMPRODUCT(('MTD Pivot'!$A$3:$A$400=$A$50)*('MTD Pivot'!$D$2:$K$2=C2)*'MTD Pivot'!$D$3:$K$400)</f>
        <v/>
      </c>
      <c r="D50" s="120">
        <f>SUMPRODUCT(('MTD Pivot'!$A$3:$A$400=$A$50)*('MTD Pivot'!$D$2:$K$2=D2)*'MTD Pivot'!$D$3:$K$400)</f>
        <v/>
      </c>
      <c r="E50" s="120">
        <f>SUMPRODUCT(('MTD Pivot'!$A$3:$A$400=$A$50)*('MTD Pivot'!$D$2:$K$2=E2)*'MTD Pivot'!$D$3:$K$400)</f>
        <v/>
      </c>
      <c r="F50" s="120">
        <f>SUMPRODUCT(('MTD Pivot'!$A$3:$A$400=$A$50)*('MTD Pivot'!$D$2:$K$2=F2)*'MTD Pivot'!$D$3:$K$400)</f>
        <v/>
      </c>
      <c r="G50" s="120">
        <f>SUMPRODUCT(('MTD Pivot'!$A$3:$A$400=$A$50)*('MTD Pivot'!$D$2:$K$2=G2)*'MTD Pivot'!$D$3:$K$400)</f>
        <v/>
      </c>
      <c r="H50" s="120" t="n"/>
      <c r="I50" s="120" t="n"/>
      <c r="J50" s="143">
        <f>G50-F50</f>
        <v/>
      </c>
      <c r="K50" s="114" t="n"/>
      <c r="L50" s="120">
        <f>SUMPRODUCT(('Full month Pivot'!$A$3:$A$400=$A$50)*('Full month Pivot'!$D$2:$K$2=L2)*'Full month Pivot'!$D$3:$K$400)</f>
        <v/>
      </c>
      <c r="M50" s="120">
        <f>SUMPRODUCT(('Full month Pivot'!$A$3:$A$400=$A$50)*('Full month Pivot'!$D$2:$K$2=M2)*'Full month Pivot'!$D$3:$K$400)</f>
        <v/>
      </c>
      <c r="N50" s="120">
        <f>SUMPRODUCT(('Full month Pivot'!$A$3:$A$400=$A$50)*('Full month Pivot'!$D$2:$K$2=N2)*'Full month Pivot'!$D$3:$K$400)</f>
        <v/>
      </c>
      <c r="O50" s="120">
        <f>SUMPRODUCT(('Full month Pivot'!$A$3:$A$400=$A$50)*('Full month Pivot'!$D$2:$K$2=O2)*'Full month Pivot'!$D$3:$K$400)</f>
        <v/>
      </c>
      <c r="P50" s="120">
        <f>SUMPRODUCT(('Full month Pivot'!$A$3:$A$400=$A$50)*('Full month Pivot'!$D$2:$K$2=P2)*'Full month Pivot'!$D$3:$K$400)</f>
        <v/>
      </c>
      <c r="Q50" s="120">
        <f>SUMPRODUCT(('Full month Pivot'!$A$3:$A$400=$A$50)*('Full month Pivot'!$D$2:$K$2=Q2)*'Full month Pivot'!$D$3:$K$400)</f>
        <v/>
      </c>
      <c r="R50" s="120" t="n"/>
      <c r="S50" s="120" t="n"/>
      <c r="T50" s="143">
        <f>Q50-P50</f>
        <v/>
      </c>
      <c r="U50" s="115" t="n"/>
      <c r="V50" s="115" t="n"/>
      <c r="W50" s="115" t="n"/>
    </row>
    <row r="51">
      <c r="A51" s="118" t="inlineStr">
        <is>
          <t>Khuyến mãi</t>
        </is>
      </c>
      <c r="B51" s="120">
        <f>SUMPRODUCT(('MTD Pivot'!$A$3:$A$269=$A$51)*('MTD Pivot'!$D$2:$K$2=B2)*'MTD Pivot'!$D$3:$K$269)</f>
        <v/>
      </c>
      <c r="C51" s="120">
        <f>SUMPRODUCT(('MTD Pivot'!$A$3:$A$400=$A$51)*('MTD Pivot'!$D$2:$K$2=C2)*'MTD Pivot'!$D$3:$K$400)</f>
        <v/>
      </c>
      <c r="D51" s="120">
        <f>SUMPRODUCT(('MTD Pivot'!$A$3:$A$400=$A$51)*('MTD Pivot'!$D$2:$K$2=D2)*'MTD Pivot'!$D$3:$K$400)</f>
        <v/>
      </c>
      <c r="E51" s="120">
        <f>SUMPRODUCT(('MTD Pivot'!$A$3:$A$400=$A$51)*('MTD Pivot'!$D$2:$K$2=E2)*'MTD Pivot'!$D$3:$K$400)</f>
        <v/>
      </c>
      <c r="F51" s="120">
        <f>SUMPRODUCT(('MTD Pivot'!$A$3:$A$400=$A$51)*('MTD Pivot'!$D$2:$K$2=F2)*'MTD Pivot'!$D$3:$K$400)</f>
        <v/>
      </c>
      <c r="G51" s="120">
        <f>SUMPRODUCT(('MTD Pivot'!$A$3:$A$400=$A$51)*('MTD Pivot'!$D$2:$K$2=G2)*'MTD Pivot'!$D$3:$K$400)</f>
        <v/>
      </c>
      <c r="H51" s="120" t="n"/>
      <c r="I51" s="120" t="n"/>
      <c r="J51" s="143">
        <f>G51-F51</f>
        <v/>
      </c>
      <c r="K51" s="114" t="n"/>
      <c r="L51" s="120">
        <f>SUMPRODUCT(('Full month Pivot'!$A$3:$A$400=$A$51)*('Full month Pivot'!$D$2:$K$2=L2)*'Full month Pivot'!$D$3:$K$400)</f>
        <v/>
      </c>
      <c r="M51" s="120">
        <f>SUMPRODUCT(('Full month Pivot'!$A$3:$A$400=$A$51)*('Full month Pivot'!$D$2:$K$2=M2)*'Full month Pivot'!$D$3:$K$400)</f>
        <v/>
      </c>
      <c r="N51" s="120">
        <f>SUMPRODUCT(('Full month Pivot'!$A$3:$A$400=$A$51)*('Full month Pivot'!$D$2:$K$2=N2)*'Full month Pivot'!$D$3:$K$400)</f>
        <v/>
      </c>
      <c r="O51" s="120">
        <f>SUMPRODUCT(('Full month Pivot'!$A$3:$A$400=$A$51)*('Full month Pivot'!$D$2:$K$2=O2)*'Full month Pivot'!$D$3:$K$400)</f>
        <v/>
      </c>
      <c r="P51" s="120">
        <f>SUMPRODUCT(('Full month Pivot'!$A$3:$A$400=$A$51)*('Full month Pivot'!$D$2:$K$2=P2)*'Full month Pivot'!$D$3:$K$400)</f>
        <v/>
      </c>
      <c r="Q51" s="120">
        <f>SUMPRODUCT(('Full month Pivot'!$A$3:$A$400=$A$51)*('Full month Pivot'!$D$2:$K$2=Q2)*'Full month Pivot'!$D$3:$K$400)</f>
        <v/>
      </c>
      <c r="R51" s="120" t="n"/>
      <c r="S51" s="120" t="n"/>
      <c r="T51" s="143">
        <f>Q51-P51</f>
        <v/>
      </c>
      <c r="U51" s="115" t="n"/>
      <c r="V51" s="115" t="n"/>
      <c r="W51" s="115" t="n"/>
    </row>
    <row r="52">
      <c r="A52" s="118" t="inlineStr">
        <is>
          <t>Campaign</t>
        </is>
      </c>
      <c r="B52" s="120">
        <f>SUMPRODUCT(('MTD Pivot'!$A$3:$A$269=$A$52)*('MTD Pivot'!$D$2:$K$2=B2)*'MTD Pivot'!$D$3:$K$269)</f>
        <v/>
      </c>
      <c r="C52" s="120">
        <f>SUMPRODUCT(('MTD Pivot'!$A$3:$A$400=$A$52)*('MTD Pivot'!$D$2:$K$2=C2)*'MTD Pivot'!$D$3:$K$400)</f>
        <v/>
      </c>
      <c r="D52" s="120">
        <f>SUMPRODUCT(('MTD Pivot'!$A$3:$A$400=$A$52)*('MTD Pivot'!$D$2:$K$2=D2)*'MTD Pivot'!$D$3:$K$400)</f>
        <v/>
      </c>
      <c r="E52" s="120">
        <f>SUMPRODUCT(('MTD Pivot'!$A$3:$A$400=$A$52)*('MTD Pivot'!$D$2:$K$2=E2)*'MTD Pivot'!$D$3:$K$400)</f>
        <v/>
      </c>
      <c r="F52" s="120">
        <f>SUMPRODUCT(('MTD Pivot'!$A$3:$A$400=$A$52)*('MTD Pivot'!$D$2:$K$2=F2)*'MTD Pivot'!$D$3:$K$400)</f>
        <v/>
      </c>
      <c r="G52" s="120">
        <f>SUMPRODUCT(('MTD Pivot'!$A$3:$A$400=$A$52)*('MTD Pivot'!$D$2:$K$2=G2)*'MTD Pivot'!$D$3:$K$400)</f>
        <v/>
      </c>
      <c r="H52" s="120" t="n"/>
      <c r="I52" s="120" t="n"/>
      <c r="J52" s="143">
        <f>G52-F52</f>
        <v/>
      </c>
      <c r="K52" s="114" t="n"/>
      <c r="L52" s="120">
        <f>SUMPRODUCT(('Full month Pivot'!$A$3:$A$400=$A$52)*('Full month Pivot'!$D$2:$K$2=L2)*'Full month Pivot'!$D$3:$K$400)</f>
        <v/>
      </c>
      <c r="M52" s="120">
        <f>SUMPRODUCT(('Full month Pivot'!$A$3:$A$400=$A$52)*('Full month Pivot'!$D$2:$K$2=M2)*'Full month Pivot'!$D$3:$K$400)</f>
        <v/>
      </c>
      <c r="N52" s="120">
        <f>SUMPRODUCT(('Full month Pivot'!$A$3:$A$400=$A$52)*('Full month Pivot'!$D$2:$K$2=N2)*'Full month Pivot'!$D$3:$K$400)</f>
        <v/>
      </c>
      <c r="O52" s="120">
        <f>SUMPRODUCT(('Full month Pivot'!$A$3:$A$400=$A$52)*('Full month Pivot'!$D$2:$K$2=O2)*'Full month Pivot'!$D$3:$K$400)</f>
        <v/>
      </c>
      <c r="P52" s="120">
        <f>SUMPRODUCT(('Full month Pivot'!$A$3:$A$400=$A$52)*('Full month Pivot'!$D$2:$K$2=P2)*'Full month Pivot'!$D$3:$K$400)</f>
        <v/>
      </c>
      <c r="Q52" s="120">
        <f>SUMPRODUCT(('Full month Pivot'!$A$3:$A$400=$A$52)*('Full month Pivot'!$D$2:$K$2=Q2)*'Full month Pivot'!$D$3:$K$400)</f>
        <v/>
      </c>
      <c r="R52" s="120" t="n"/>
      <c r="S52" s="120" t="n"/>
      <c r="T52" s="143">
        <f>Q52-P52</f>
        <v/>
      </c>
      <c r="U52" s="115" t="n"/>
      <c r="V52" s="115" t="n"/>
      <c r="W52" s="115" t="n"/>
    </row>
    <row r="53">
      <c r="A53" s="118" t="inlineStr">
        <is>
          <t>Blog</t>
        </is>
      </c>
      <c r="B53" s="120">
        <f>SUMPRODUCT(('MTD Pivot'!$A$3:$A$269=$A$53)*('MTD Pivot'!$D$2:$K$2=B2)*'MTD Pivot'!$D$3:$K$269)</f>
        <v/>
      </c>
      <c r="C53" s="120">
        <f>SUMPRODUCT(('MTD Pivot'!$A$3:$A$400=$A$53)*('MTD Pivot'!$D$2:$K$2=C2)*'MTD Pivot'!$D$3:$K$400)</f>
        <v/>
      </c>
      <c r="D53" s="120">
        <f>SUMPRODUCT(('MTD Pivot'!$A$3:$A$400=$A$53)*('MTD Pivot'!$D$2:$K$2=D2)*'MTD Pivot'!$D$3:$K$400)</f>
        <v/>
      </c>
      <c r="E53" s="120">
        <f>SUMPRODUCT(('MTD Pivot'!$A$3:$A$400=$A$53)*('MTD Pivot'!$D$2:$K$2=E2)*'MTD Pivot'!$D$3:$K$400)</f>
        <v/>
      </c>
      <c r="F53" s="120">
        <f>SUMPRODUCT(('MTD Pivot'!$A$3:$A$400=$A$53)*('MTD Pivot'!$D$2:$K$2=F2)*'MTD Pivot'!$D$3:$K$400)</f>
        <v/>
      </c>
      <c r="G53" s="120">
        <f>SUMPRODUCT(('MTD Pivot'!$A$3:$A$400=$A$53)*('MTD Pivot'!$D$2:$K$2=G2)*'MTD Pivot'!$D$3:$K$400)</f>
        <v/>
      </c>
      <c r="H53" s="120" t="n"/>
      <c r="I53" s="120" t="n"/>
      <c r="J53" s="143">
        <f>G53-F53</f>
        <v/>
      </c>
      <c r="K53" s="114" t="n"/>
      <c r="L53" s="120">
        <f>SUMPRODUCT(('Full month Pivot'!$A$3:$A$400=$A$53)*('Full month Pivot'!$D$2:$K$2=L2)*'Full month Pivot'!$D$3:$K$400)</f>
        <v/>
      </c>
      <c r="M53" s="120">
        <f>SUMPRODUCT(('Full month Pivot'!$A$3:$A$400=$A$53)*('Full month Pivot'!$D$2:$K$2=M2)*'Full month Pivot'!$D$3:$K$400)</f>
        <v/>
      </c>
      <c r="N53" s="120">
        <f>SUMPRODUCT(('Full month Pivot'!$A$3:$A$400=$A$53)*('Full month Pivot'!$D$2:$K$2=N2)*'Full month Pivot'!$D$3:$K$400)</f>
        <v/>
      </c>
      <c r="O53" s="120">
        <f>SUMPRODUCT(('Full month Pivot'!$A$3:$A$400=$A$53)*('Full month Pivot'!$D$2:$K$2=O2)*'Full month Pivot'!$D$3:$K$400)</f>
        <v/>
      </c>
      <c r="P53" s="120">
        <f>SUMPRODUCT(('Full month Pivot'!$A$3:$A$400=$A$53)*('Full month Pivot'!$D$2:$K$2=P2)*'Full month Pivot'!$D$3:$K$400)</f>
        <v/>
      </c>
      <c r="Q53" s="120">
        <f>SUMPRODUCT(('Full month Pivot'!$A$3:$A$400=$A$53)*('Full month Pivot'!$D$2:$K$2=Q2)*'Full month Pivot'!$D$3:$K$400)</f>
        <v/>
      </c>
      <c r="R53" s="120" t="n"/>
      <c r="S53" s="120" t="n"/>
      <c r="T53" s="143">
        <f>Q53-P53</f>
        <v/>
      </c>
      <c r="U53" s="115" t="n"/>
      <c r="V53" s="115" t="n"/>
      <c r="W53" s="115" t="n"/>
    </row>
    <row r="54">
      <c r="A54" s="118" t="inlineStr">
        <is>
          <t>Application Store</t>
        </is>
      </c>
      <c r="B54" s="120">
        <f>SUMPRODUCT(('MTD Pivot'!$A$3:$A$269=$A$54)*('MTD Pivot'!$D$2:$K$2=B2)*'MTD Pivot'!$D$3:$K$269)</f>
        <v/>
      </c>
      <c r="C54" s="120">
        <f>SUMPRODUCT(('MTD Pivot'!$A$3:$A$400=$A$54)*('MTD Pivot'!$D$2:$K$2=C2)*'MTD Pivot'!$D$3:$K$400)</f>
        <v/>
      </c>
      <c r="D54" s="120">
        <f>SUMPRODUCT(('MTD Pivot'!$A$3:$A$400=$A$54)*('MTD Pivot'!$D$2:$K$2=D2)*'MTD Pivot'!$D$3:$K$400)</f>
        <v/>
      </c>
      <c r="E54" s="120">
        <f>SUMPRODUCT(('MTD Pivot'!$A$3:$A$400=$A$54)*('MTD Pivot'!$D$2:$K$2=E2)*'MTD Pivot'!$D$3:$K$400)</f>
        <v/>
      </c>
      <c r="F54" s="120">
        <f>SUMPRODUCT(('MTD Pivot'!$A$3:$A$400=$A$54)*('MTD Pivot'!$D$2:$K$2=F2)*'MTD Pivot'!$D$3:$K$400)</f>
        <v/>
      </c>
      <c r="G54" s="120">
        <f>SUMPRODUCT(('MTD Pivot'!$A$3:$A$400=$A$54)*('MTD Pivot'!$D$2:$K$2=G2)*'MTD Pivot'!$D$3:$K$400)</f>
        <v/>
      </c>
      <c r="H54" s="120" t="n"/>
      <c r="I54" s="120" t="n"/>
      <c r="J54" s="143">
        <f>G54-F54</f>
        <v/>
      </c>
      <c r="K54" s="114" t="n"/>
      <c r="L54" s="120">
        <f>SUMPRODUCT(('Full month Pivot'!$A$3:$A$400=$A$54)*('Full month Pivot'!$D$2:$K$2=L2)*'Full month Pivot'!$D$3:$K$400)</f>
        <v/>
      </c>
      <c r="M54" s="120">
        <f>SUMPRODUCT(('Full month Pivot'!$A$3:$A$400=$A$54)*('Full month Pivot'!$D$2:$K$2=M2)*'Full month Pivot'!$D$3:$K$400)</f>
        <v/>
      </c>
      <c r="N54" s="120">
        <f>SUMPRODUCT(('Full month Pivot'!$A$3:$A$400=$A$54)*('Full month Pivot'!$D$2:$K$2=N2)*'Full month Pivot'!$D$3:$K$400)</f>
        <v/>
      </c>
      <c r="O54" s="120">
        <f>SUMPRODUCT(('Full month Pivot'!$A$3:$A$400=$A$54)*('Full month Pivot'!$D$2:$K$2=O2)*'Full month Pivot'!$D$3:$K$400)</f>
        <v/>
      </c>
      <c r="P54" s="120">
        <f>SUMPRODUCT(('Full month Pivot'!$A$3:$A$400=$A$54)*('Full month Pivot'!$D$2:$K$2=P2)*'Full month Pivot'!$D$3:$K$400)</f>
        <v/>
      </c>
      <c r="Q54" s="120">
        <f>SUMPRODUCT(('Full month Pivot'!$A$3:$A$400=$A$54)*('Full month Pivot'!$D$2:$K$2=Q2)*'Full month Pivot'!$D$3:$K$400)</f>
        <v/>
      </c>
      <c r="R54" s="120" t="n"/>
      <c r="S54" s="120" t="n"/>
      <c r="T54" s="143">
        <f>Q54-P54</f>
        <v/>
      </c>
      <c r="U54" s="115" t="n"/>
      <c r="V54" s="115" t="n"/>
      <c r="W54" s="115" t="n"/>
    </row>
    <row r="55">
      <c r="A55" s="118" t="inlineStr">
        <is>
          <t>Vé số</t>
        </is>
      </c>
      <c r="B55" s="120">
        <f>SUMPRODUCT(('MTD Pivot'!$A$3:$A$269=$A$55)*('MTD Pivot'!$D$2:$K$2=B2)*'MTD Pivot'!$D$3:$K$269)</f>
        <v/>
      </c>
      <c r="C55" s="120">
        <f>SUMPRODUCT(('MTD Pivot'!$A$3:$A$400=$A$55)*('MTD Pivot'!$D$2:$K$2=C2)*'MTD Pivot'!$D$3:$K$400)</f>
        <v/>
      </c>
      <c r="D55" s="120">
        <f>SUMPRODUCT(('MTD Pivot'!$A$3:$A$400=$A$55)*('MTD Pivot'!$D$2:$K$2=D2)*'MTD Pivot'!$D$3:$K$400)</f>
        <v/>
      </c>
      <c r="E55" s="120">
        <f>SUMPRODUCT(('MTD Pivot'!$A$3:$A$400=$A$55)*('MTD Pivot'!$D$2:$K$2=E2)*'MTD Pivot'!$D$3:$K$400)</f>
        <v/>
      </c>
      <c r="F55" s="120">
        <f>SUMPRODUCT(('MTD Pivot'!$A$3:$A$400=$A$55)*('MTD Pivot'!$D$2:$K$2=F2)*'MTD Pivot'!$D$3:$K$400)</f>
        <v/>
      </c>
      <c r="G55" s="120">
        <f>SUMPRODUCT(('MTD Pivot'!$A$3:$A$400=$A$55)*('MTD Pivot'!$D$2:$K$2=G2)*'MTD Pivot'!$D$3:$K$400)</f>
        <v/>
      </c>
      <c r="H55" s="120" t="n"/>
      <c r="I55" s="120" t="n"/>
      <c r="J55" s="143">
        <f>G55-F55</f>
        <v/>
      </c>
      <c r="K55" s="114" t="n"/>
      <c r="L55" s="120">
        <f>SUMPRODUCT(('Full month Pivot'!$A$3:$A$400=$A$55)*('Full month Pivot'!$D$2:$K$2=L2)*'Full month Pivot'!$D$3:$K$400)</f>
        <v/>
      </c>
      <c r="M55" s="120">
        <f>SUMPRODUCT(('Full month Pivot'!$A$3:$A$400=$A$55)*('Full month Pivot'!$D$2:$K$2=M2)*'Full month Pivot'!$D$3:$K$400)</f>
        <v/>
      </c>
      <c r="N55" s="120">
        <f>SUMPRODUCT(('Full month Pivot'!$A$3:$A$400=$A$55)*('Full month Pivot'!$D$2:$K$2=N2)*'Full month Pivot'!$D$3:$K$400)</f>
        <v/>
      </c>
      <c r="O55" s="120">
        <f>SUMPRODUCT(('Full month Pivot'!$A$3:$A$400=$A$55)*('Full month Pivot'!$D$2:$K$2=O2)*'Full month Pivot'!$D$3:$K$400)</f>
        <v/>
      </c>
      <c r="P55" s="120">
        <f>SUMPRODUCT(('Full month Pivot'!$A$3:$A$400=$A$55)*('Full month Pivot'!$D$2:$K$2=P2)*'Full month Pivot'!$D$3:$K$400)</f>
        <v/>
      </c>
      <c r="Q55" s="120">
        <f>SUMPRODUCT(('Full month Pivot'!$A$3:$A$400=$A$55)*('Full month Pivot'!$D$2:$K$2=Q2)*'Full month Pivot'!$D$3:$K$400)</f>
        <v/>
      </c>
      <c r="R55" s="120" t="n"/>
      <c r="S55" s="120" t="n"/>
      <c r="T55" s="143">
        <f>Q55-P55</f>
        <v/>
      </c>
      <c r="U55" s="115" t="n"/>
      <c r="V55" s="115" t="n"/>
      <c r="W55" s="115" t="n"/>
    </row>
    <row r="56">
      <c r="A56" s="118" t="inlineStr">
        <is>
          <t>Dịch vụ liên kết</t>
        </is>
      </c>
      <c r="B56" s="120">
        <f>SUMPRODUCT(('MTD Pivot'!$A$3:$A$269=$A$56)*('MTD Pivot'!$D$2:$K$2=B2)*'MTD Pivot'!$D$3:$K$269)</f>
        <v/>
      </c>
      <c r="C56" s="120">
        <f>SUMPRODUCT(('MTD Pivot'!$A$3:$A$400=$A$56)*('MTD Pivot'!$D$2:$K$2=C2)*'MTD Pivot'!$D$3:$K$400)</f>
        <v/>
      </c>
      <c r="D56" s="120">
        <f>SUMPRODUCT(('MTD Pivot'!$A$3:$A$400=$A$56)*('MTD Pivot'!$D$2:$K$2=D2)*'MTD Pivot'!$D$3:$K$400)</f>
        <v/>
      </c>
      <c r="E56" s="120">
        <f>SUMPRODUCT(('MTD Pivot'!$A$3:$A$400=$A$56)*('MTD Pivot'!$D$2:$K$2=E2)*'MTD Pivot'!$D$3:$K$400)</f>
        <v/>
      </c>
      <c r="F56" s="120">
        <f>SUMPRODUCT(('MTD Pivot'!$A$3:$A$400=$A$56)*('MTD Pivot'!$D$2:$K$2=F2)*'MTD Pivot'!$D$3:$K$400)</f>
        <v/>
      </c>
      <c r="G56" s="120">
        <f>SUMPRODUCT(('MTD Pivot'!$A$3:$A$400=$A$56)*('MTD Pivot'!$D$2:$K$2=G2)*'MTD Pivot'!$D$3:$K$400)</f>
        <v/>
      </c>
      <c r="H56" s="120" t="n"/>
      <c r="I56" s="120" t="n"/>
      <c r="J56" s="143">
        <f>G56-F56</f>
        <v/>
      </c>
      <c r="K56" s="114" t="n"/>
      <c r="L56" s="120">
        <f>SUMPRODUCT(('Full month Pivot'!$A$3:$A$400=$A$56)*('Full month Pivot'!$D$2:$K$2=L2)*'Full month Pivot'!$D$3:$K$400)</f>
        <v/>
      </c>
      <c r="M56" s="120">
        <f>SUMPRODUCT(('Full month Pivot'!$A$3:$A$400=$A$56)*('Full month Pivot'!$D$2:$K$2=M2)*'Full month Pivot'!$D$3:$K$400)</f>
        <v/>
      </c>
      <c r="N56" s="120">
        <f>SUMPRODUCT(('Full month Pivot'!$A$3:$A$400=$A$56)*('Full month Pivot'!$D$2:$K$2=N2)*'Full month Pivot'!$D$3:$K$400)</f>
        <v/>
      </c>
      <c r="O56" s="120">
        <f>SUMPRODUCT(('Full month Pivot'!$A$3:$A$400=$A$56)*('Full month Pivot'!$D$2:$K$2=O2)*'Full month Pivot'!$D$3:$K$400)</f>
        <v/>
      </c>
      <c r="P56" s="120">
        <f>SUMPRODUCT(('Full month Pivot'!$A$3:$A$400=$A$56)*('Full month Pivot'!$D$2:$K$2=P2)*'Full month Pivot'!$D$3:$K$400)</f>
        <v/>
      </c>
      <c r="Q56" s="120">
        <f>SUMPRODUCT(('Full month Pivot'!$A$3:$A$400=$A$56)*('Full month Pivot'!$D$2:$K$2=Q2)*'Full month Pivot'!$D$3:$K$400)</f>
        <v/>
      </c>
      <c r="R56" s="120" t="n"/>
      <c r="S56" s="120" t="n"/>
      <c r="T56" s="143">
        <f>Q56-P56</f>
        <v/>
      </c>
      <c r="U56" s="115" t="n"/>
      <c r="V56" s="115" t="n"/>
      <c r="W56" s="115" t="n"/>
    </row>
    <row r="57">
      <c r="A57" s="118" t="inlineStr">
        <is>
          <t>Billpay</t>
        </is>
      </c>
      <c r="B57" s="120">
        <f>SUMPRODUCT(('MTD Pivot'!$A$3:$A$269=$A$57)*('MTD Pivot'!$D$2:$K$2=B2)*'MTD Pivot'!$D$3:$K$269)</f>
        <v/>
      </c>
      <c r="C57" s="120">
        <f>SUMPRODUCT(('MTD Pivot'!$A$3:$A$400=$A$57)*('MTD Pivot'!$D$2:$K$2=C2)*'MTD Pivot'!$D$3:$K$400)</f>
        <v/>
      </c>
      <c r="D57" s="120">
        <f>SUMPRODUCT(('MTD Pivot'!$A$3:$A$400=$A$57)*('MTD Pivot'!$D$2:$K$2=D2)*'MTD Pivot'!$D$3:$K$400)</f>
        <v/>
      </c>
      <c r="E57" s="120">
        <f>SUMPRODUCT(('MTD Pivot'!$A$3:$A$400=$A$57)*('MTD Pivot'!$D$2:$K$2=E2)*'MTD Pivot'!$D$3:$K$400)</f>
        <v/>
      </c>
      <c r="F57" s="120">
        <f>SUMPRODUCT(('MTD Pivot'!$A$3:$A$400=$A$57)*('MTD Pivot'!$D$2:$K$2=F2)*'MTD Pivot'!$D$3:$K$400)</f>
        <v/>
      </c>
      <c r="G57" s="120">
        <f>SUMPRODUCT(('MTD Pivot'!$A$3:$A$400=$A$57)*('MTD Pivot'!$D$2:$K$2=G2)*'MTD Pivot'!$D$3:$K$400)</f>
        <v/>
      </c>
      <c r="H57" s="120" t="n"/>
      <c r="I57" s="120" t="n"/>
      <c r="J57" s="143">
        <f>G57-F57</f>
        <v/>
      </c>
      <c r="K57" s="114" t="n"/>
      <c r="L57" s="120">
        <f>SUMPRODUCT(('Full month Pivot'!$A$3:$A$400=$A$57)*('Full month Pivot'!$D$2:$K$2=L2)*'Full month Pivot'!$D$3:$K$400)</f>
        <v/>
      </c>
      <c r="M57" s="120">
        <f>SUMPRODUCT(('Full month Pivot'!$A$3:$A$400=$A$57)*('Full month Pivot'!$D$2:$K$2=M2)*'Full month Pivot'!$D$3:$K$400)</f>
        <v/>
      </c>
      <c r="N57" s="120">
        <f>SUMPRODUCT(('Full month Pivot'!$A$3:$A$400=$A$57)*('Full month Pivot'!$D$2:$K$2=N2)*'Full month Pivot'!$D$3:$K$400)</f>
        <v/>
      </c>
      <c r="O57" s="120">
        <f>SUMPRODUCT(('Full month Pivot'!$A$3:$A$400=$A$57)*('Full month Pivot'!$D$2:$K$2=O2)*'Full month Pivot'!$D$3:$K$400)</f>
        <v/>
      </c>
      <c r="P57" s="120">
        <f>SUMPRODUCT(('Full month Pivot'!$A$3:$A$400=$A$57)*('Full month Pivot'!$D$2:$K$2=P2)*'Full month Pivot'!$D$3:$K$400)</f>
        <v/>
      </c>
      <c r="Q57" s="120">
        <f>SUMPRODUCT(('Full month Pivot'!$A$3:$A$400=$A$57)*('Full month Pivot'!$D$2:$K$2=Q2)*'Full month Pivot'!$D$3:$K$400)</f>
        <v/>
      </c>
      <c r="R57" s="120" t="n"/>
      <c r="S57" s="120" t="n"/>
      <c r="T57" s="143">
        <f>Q57-P57</f>
        <v/>
      </c>
      <c r="U57" s="115" t="n"/>
      <c r="V57" s="115" t="n"/>
      <c r="W57" s="115" t="n"/>
    </row>
    <row r="58">
      <c r="A58" s="118" t="inlineStr">
        <is>
          <t>P2P</t>
        </is>
      </c>
      <c r="B58" s="120">
        <f>SUMPRODUCT(('MTD Pivot'!$A$3:$A$269=$A$58)*('MTD Pivot'!$D$2:$K$2=B2)*'MTD Pivot'!$D$3:$K$269)</f>
        <v/>
      </c>
      <c r="C58" s="120">
        <f>SUMPRODUCT(('MTD Pivot'!$A$3:$A$400=$A$58)*('MTD Pivot'!$D$2:$K$2=C2)*'MTD Pivot'!$D$3:$K$400)</f>
        <v/>
      </c>
      <c r="D58" s="120">
        <f>SUMPRODUCT(('MTD Pivot'!$A$3:$A$400=$A$58)*('MTD Pivot'!$D$2:$K$2=D2)*'MTD Pivot'!$D$3:$K$400)</f>
        <v/>
      </c>
      <c r="E58" s="120">
        <f>SUMPRODUCT(('MTD Pivot'!$A$3:$A$400=$A$58)*('MTD Pivot'!$D$2:$K$2=E2)*'MTD Pivot'!$D$3:$K$400)</f>
        <v/>
      </c>
      <c r="F58" s="120">
        <f>SUMPRODUCT(('MTD Pivot'!$A$3:$A$400=$A$58)*('MTD Pivot'!$D$2:$K$2=F2)*'MTD Pivot'!$D$3:$K$400)</f>
        <v/>
      </c>
      <c r="G58" s="120">
        <f>SUMPRODUCT(('MTD Pivot'!$A$3:$A$400=$A$58)*('MTD Pivot'!$D$2:$K$2=G2)*'MTD Pivot'!$D$3:$K$400)</f>
        <v/>
      </c>
      <c r="H58" s="120" t="n"/>
      <c r="I58" s="120" t="n"/>
      <c r="J58" s="143">
        <f>G58-F58</f>
        <v/>
      </c>
      <c r="K58" s="114" t="n"/>
      <c r="L58" s="120">
        <f>SUMPRODUCT(('Full month Pivot'!$A$3:$A$400=$A$58)*('Full month Pivot'!$D$2:$K$2=L2)*'Full month Pivot'!$D$3:$K$400)</f>
        <v/>
      </c>
      <c r="M58" s="120">
        <f>SUMPRODUCT(('Full month Pivot'!$A$3:$A$400=$A$58)*('Full month Pivot'!$D$2:$K$2=M2)*'Full month Pivot'!$D$3:$K$400)</f>
        <v/>
      </c>
      <c r="N58" s="120">
        <f>SUMPRODUCT(('Full month Pivot'!$A$3:$A$400=$A$58)*('Full month Pivot'!$D$2:$K$2=N2)*'Full month Pivot'!$D$3:$K$400)</f>
        <v/>
      </c>
      <c r="O58" s="120">
        <f>SUMPRODUCT(('Full month Pivot'!$A$3:$A$400=$A$58)*('Full month Pivot'!$D$2:$K$2=O2)*'Full month Pivot'!$D$3:$K$400)</f>
        <v/>
      </c>
      <c r="P58" s="120">
        <f>SUMPRODUCT(('Full month Pivot'!$A$3:$A$400=$A$58)*('Full month Pivot'!$D$2:$K$2=P2)*'Full month Pivot'!$D$3:$K$400)</f>
        <v/>
      </c>
      <c r="Q58" s="120">
        <f>SUMPRODUCT(('Full month Pivot'!$A$3:$A$400=$A$58)*('Full month Pivot'!$D$2:$K$2=Q2)*'Full month Pivot'!$D$3:$K$400)</f>
        <v/>
      </c>
      <c r="R58" s="120" t="n"/>
      <c r="S58" s="120" t="n"/>
      <c r="T58" s="143">
        <f>Q58-P58</f>
        <v/>
      </c>
      <c r="U58" s="115" t="n"/>
      <c r="V58" s="115" t="n"/>
      <c r="W58" s="115" t="n"/>
    </row>
    <row r="59">
      <c r="A59" s="118" t="inlineStr">
        <is>
          <t>Điện</t>
        </is>
      </c>
      <c r="B59" s="120">
        <f>SUMPRODUCT(('MTD Pivot'!$A$3:$A$269=$A$59)*('MTD Pivot'!$D$2:$K$2=B2)*'MTD Pivot'!$D$3:$K$269)</f>
        <v/>
      </c>
      <c r="C59" s="120">
        <f>SUMPRODUCT(('MTD Pivot'!$A$3:$A$400=$A$59)*('MTD Pivot'!$D$2:$K$2=C2)*'MTD Pivot'!$D$3:$K$400)</f>
        <v/>
      </c>
      <c r="D59" s="120">
        <f>SUMPRODUCT(('MTD Pivot'!$A$3:$A$400=$A$59)*('MTD Pivot'!$D$2:$K$2=D2)*'MTD Pivot'!$D$3:$K$400)</f>
        <v/>
      </c>
      <c r="E59" s="120">
        <f>SUMPRODUCT(('MTD Pivot'!$A$3:$A$400=$A$59)*('MTD Pivot'!$D$2:$K$2=E2)*'MTD Pivot'!$D$3:$K$400)</f>
        <v/>
      </c>
      <c r="F59" s="120">
        <f>SUMPRODUCT(('MTD Pivot'!$A$3:$A$400=$A$59)*('MTD Pivot'!$D$2:$K$2=F2)*'MTD Pivot'!$D$3:$K$400)</f>
        <v/>
      </c>
      <c r="G59" s="120">
        <f>SUMPRODUCT(('MTD Pivot'!$A$3:$A$400=$A$59)*('MTD Pivot'!$D$2:$K$2=G2)*'MTD Pivot'!$D$3:$K$400)</f>
        <v/>
      </c>
      <c r="H59" s="120" t="n"/>
      <c r="I59" s="120" t="n"/>
      <c r="J59" s="143">
        <f>G59-F59</f>
        <v/>
      </c>
      <c r="K59" s="114" t="n"/>
      <c r="L59" s="120">
        <f>SUMPRODUCT(('Full month Pivot'!$A$3:$A$400=$A$59)*('Full month Pivot'!$D$2:$K$2=L2)*'Full month Pivot'!$D$3:$K$400)</f>
        <v/>
      </c>
      <c r="M59" s="120">
        <f>SUMPRODUCT(('Full month Pivot'!$A$3:$A$400=$A$59)*('Full month Pivot'!$D$2:$K$2=M2)*'Full month Pivot'!$D$3:$K$400)</f>
        <v/>
      </c>
      <c r="N59" s="120">
        <f>SUMPRODUCT(('Full month Pivot'!$A$3:$A$400=$A$59)*('Full month Pivot'!$D$2:$K$2=N2)*'Full month Pivot'!$D$3:$K$400)</f>
        <v/>
      </c>
      <c r="O59" s="120">
        <f>SUMPRODUCT(('Full month Pivot'!$A$3:$A$400=$A$59)*('Full month Pivot'!$D$2:$K$2=O2)*'Full month Pivot'!$D$3:$K$400)</f>
        <v/>
      </c>
      <c r="P59" s="120">
        <f>SUMPRODUCT(('Full month Pivot'!$A$3:$A$400=$A$59)*('Full month Pivot'!$D$2:$K$2=P2)*'Full month Pivot'!$D$3:$K$400)</f>
        <v/>
      </c>
      <c r="Q59" s="120">
        <f>SUMPRODUCT(('Full month Pivot'!$A$3:$A$400=$A$59)*('Full month Pivot'!$D$2:$K$2=Q2)*'Full month Pivot'!$D$3:$K$400)</f>
        <v/>
      </c>
      <c r="R59" s="120" t="n"/>
      <c r="S59" s="120" t="n"/>
      <c r="T59" s="143">
        <f>Q59-P59</f>
        <v/>
      </c>
      <c r="U59" s="115" t="n"/>
      <c r="V59" s="115" t="n"/>
      <c r="W59" s="115" t="n"/>
    </row>
    <row r="60" collapsed="1" s="239">
      <c r="A60" s="118" t="inlineStr">
        <is>
          <t>Student Hub</t>
        </is>
      </c>
      <c r="B60" s="120">
        <f>SUM(B61:B62)</f>
        <v/>
      </c>
      <c r="C60" s="120">
        <f>SUM(C61:C62)</f>
        <v/>
      </c>
      <c r="D60" s="120">
        <f>SUM(D61:D62)</f>
        <v/>
      </c>
      <c r="E60" s="120">
        <f>SUM(E61:E62)</f>
        <v/>
      </c>
      <c r="F60" s="120">
        <f>SUM(F61:F62)</f>
        <v/>
      </c>
      <c r="G60" s="120">
        <f>SUM(G61:G62)</f>
        <v/>
      </c>
      <c r="H60" s="120" t="n"/>
      <c r="I60" s="120" t="n"/>
      <c r="J60" s="143">
        <f>G60-F60</f>
        <v/>
      </c>
      <c r="K60" s="114" t="n"/>
      <c r="L60" s="120">
        <f>SUM(L61:L62)</f>
        <v/>
      </c>
      <c r="M60" s="120">
        <f>SUM(M61:M62)</f>
        <v/>
      </c>
      <c r="N60" s="120">
        <f>SUM(N61:N62)</f>
        <v/>
      </c>
      <c r="O60" s="120">
        <f>SUM(O61:O62)</f>
        <v/>
      </c>
      <c r="P60" s="120">
        <f>SUM(P61:P62)</f>
        <v/>
      </c>
      <c r="Q60" s="120">
        <f>SUM(Q61:Q62)</f>
        <v/>
      </c>
      <c r="R60" s="120" t="n"/>
      <c r="S60" s="120" t="n"/>
      <c r="T60" s="143">
        <f>Q60-P60</f>
        <v/>
      </c>
      <c r="U60" s="115" t="n"/>
      <c r="V60" s="115" t="n"/>
      <c r="W60" s="115" t="n"/>
    </row>
    <row r="61" hidden="1" outlineLevel="1" s="239">
      <c r="A61" s="173" t="inlineStr">
        <is>
          <t>Student Pass</t>
        </is>
      </c>
      <c r="B61" s="141">
        <f>SUMPRODUCT(('MTD Pivot'!$A$3:$A$269=$A$61)*('MTD Pivot'!$D$2:$K$2=B2)*'MTD Pivot'!$D$3:$K$269)</f>
        <v/>
      </c>
      <c r="C61" s="141">
        <f>SUMPRODUCT(('MTD Pivot'!$A$3:$A$400=$A$61)*('MTD Pivot'!$D$2:$K$2=C2)*'MTD Pivot'!$D$3:$K$400)</f>
        <v/>
      </c>
      <c r="D61" s="141">
        <f>SUMPRODUCT(('MTD Pivot'!$A$3:$A$400=$A$61)*('MTD Pivot'!$D$2:$K$2=D2)*'MTD Pivot'!$D$3:$K$400)</f>
        <v/>
      </c>
      <c r="E61" s="141">
        <f>SUMPRODUCT(('MTD Pivot'!$A$3:$A$400=$A$61)*('MTD Pivot'!$D$2:$K$2=E2)*'MTD Pivot'!$D$3:$K$400)</f>
        <v/>
      </c>
      <c r="F61" s="141">
        <f>SUMPRODUCT(('MTD Pivot'!$A$3:$A$400=$A$61)*('MTD Pivot'!$D$2:$K$2=F2)*'MTD Pivot'!$D$3:$K$400)</f>
        <v/>
      </c>
      <c r="G61" s="141">
        <f>SUMPRODUCT(('MTD Pivot'!$A$3:$A$400=$A$61)*('MTD Pivot'!$D$2:$K$2=G2)*'MTD Pivot'!$D$3:$K$400)</f>
        <v/>
      </c>
      <c r="H61" s="141" t="n"/>
      <c r="I61" s="141" t="n"/>
      <c r="J61" s="143">
        <f>G61-F61</f>
        <v/>
      </c>
      <c r="K61" s="145" t="n"/>
      <c r="L61" s="141">
        <f>SUMPRODUCT(('Full month Pivot'!$A$3:$A$400=$A$61)*('Full month Pivot'!$D$2:$K$2=L2)*'Full month Pivot'!$D$3:$K$400)</f>
        <v/>
      </c>
      <c r="M61" s="141">
        <f>SUMPRODUCT(('Full month Pivot'!$A$3:$A$400=$A$61)*('Full month Pivot'!$D$2:$K$2=M2)*'Full month Pivot'!$D$3:$K$400)</f>
        <v/>
      </c>
      <c r="N61" s="141">
        <f>SUMPRODUCT(('Full month Pivot'!$A$3:$A$400=$A$61)*('Full month Pivot'!$D$2:$K$2=N2)*'Full month Pivot'!$D$3:$K$400)</f>
        <v/>
      </c>
      <c r="O61" s="141">
        <f>SUMPRODUCT(('Full month Pivot'!$A$3:$A$400=$A$61)*('Full month Pivot'!$D$2:$K$2=O2)*'Full month Pivot'!$D$3:$K$400)</f>
        <v/>
      </c>
      <c r="P61" s="141">
        <f>SUMPRODUCT(('Full month Pivot'!$A$3:$A$400=$A$61)*('Full month Pivot'!$D$2:$K$2=P2)*'Full month Pivot'!$D$3:$K$400)</f>
        <v/>
      </c>
      <c r="Q61" s="141">
        <f>SUMPRODUCT(('Full month Pivot'!$A$3:$A$400=$A$61)*('Full month Pivot'!$D$2:$K$2=Q2)*'Full month Pivot'!$D$3:$K$400)</f>
        <v/>
      </c>
      <c r="R61" s="141" t="n"/>
      <c r="S61" s="141" t="n"/>
      <c r="T61" s="143">
        <f>Q61-P61</f>
        <v/>
      </c>
      <c r="U61" s="149" t="n"/>
      <c r="V61" s="149" t="n"/>
      <c r="W61" s="149" t="n"/>
    </row>
    <row r="62" hidden="1" outlineLevel="1" s="239">
      <c r="A62" s="173" t="inlineStr">
        <is>
          <t>Student Hub</t>
        </is>
      </c>
      <c r="B62" s="141">
        <f>SUMPRODUCT(('MTD Pivot'!$A$3:$A$400=$A$62)*('MTD Pivot'!$D$2:$K$2=B$2)*'MTD Pivot'!$D$3:$K$400)</f>
        <v/>
      </c>
      <c r="C62" s="141">
        <f>SUMPRODUCT(('MTD Pivot'!$A$3:$A$400=$A$62)*('MTD Pivot'!$D$2:$K$2=C$2)*'MTD Pivot'!$D$3:$K$400)</f>
        <v/>
      </c>
      <c r="D62" s="141">
        <f>SUMPRODUCT(('MTD Pivot'!$A$3:$A$400=$A$62)*('MTD Pivot'!$D$2:$K$2=D$2)*'MTD Pivot'!$D$3:$K$400)</f>
        <v/>
      </c>
      <c r="E62" s="141">
        <f>SUMPRODUCT(('MTD Pivot'!$A$3:$A$400=$A$62)*('MTD Pivot'!$D$2:$K$2=E$2)*'MTD Pivot'!$D$3:$K$400)</f>
        <v/>
      </c>
      <c r="F62" s="141">
        <f>SUMPRODUCT(('MTD Pivot'!$A$3:$A$400=$A$62)*('MTD Pivot'!$D$2:$K$2=F$2)*'MTD Pivot'!$D$3:$K$400)</f>
        <v/>
      </c>
      <c r="G62" s="141">
        <f>SUMPRODUCT(('MTD Pivot'!$A$3:$A$400=$A$62)*('MTD Pivot'!$D$2:$K$2=G$2)*'MTD Pivot'!$D$3:$K$400)</f>
        <v/>
      </c>
      <c r="H62" s="141" t="n"/>
      <c r="I62" s="141" t="n"/>
      <c r="J62" s="143">
        <f>G62-F62</f>
        <v/>
      </c>
      <c r="K62" s="145" t="n"/>
      <c r="L62" s="141">
        <f>SUMPRODUCT(('Full month Pivot'!$A$3:$A$400=$A$62)*('Full month Pivot'!$D$2:$K$2=L$2)*'Full month Pivot'!$D$3:$K$400)</f>
        <v/>
      </c>
      <c r="M62" s="141">
        <f>SUMPRODUCT(('Full month Pivot'!$A$3:$A$400=$A$62)*('Full month Pivot'!$D$2:$K$2=M$2)*'Full month Pivot'!$D$3:$K$400)</f>
        <v/>
      </c>
      <c r="N62" s="141">
        <f>SUMPRODUCT(('Full month Pivot'!$A$3:$A$400=$A$62)*('Full month Pivot'!$D$2:$K$2=N$2)*'Full month Pivot'!$D$3:$K$400)</f>
        <v/>
      </c>
      <c r="O62" s="141">
        <f>SUMPRODUCT(('Full month Pivot'!$A$3:$A$400=$A$62)*('Full month Pivot'!$D$2:$K$2=O$2)*'Full month Pivot'!$D$3:$K$400)</f>
        <v/>
      </c>
      <c r="P62" s="141">
        <f>SUMPRODUCT(('Full month Pivot'!$A$3:$A$400=$A$62)*('Full month Pivot'!$D$2:$K$2=P$2)*'Full month Pivot'!$D$3:$K$400)</f>
        <v/>
      </c>
      <c r="Q62" s="141">
        <f>SUMPRODUCT(('Full month Pivot'!$A$3:$A$400=$A$62)*('Full month Pivot'!$D$2:$K$2=Q$2)*'Full month Pivot'!$D$3:$K$400)</f>
        <v/>
      </c>
      <c r="R62" s="141" t="n"/>
      <c r="S62" s="141" t="n"/>
      <c r="T62" s="143">
        <f>Q62-P62</f>
        <v/>
      </c>
      <c r="U62" s="149" t="n"/>
      <c r="V62" s="149" t="n"/>
      <c r="W62" s="149" t="n"/>
    </row>
    <row r="63">
      <c r="A63" s="118" t="inlineStr">
        <is>
          <t>Cross Border</t>
        </is>
      </c>
      <c r="B63" s="120">
        <f>SUMPRODUCT(('MTD Pivot'!$A$3:$A$269=$A$63)*('MTD Pivot'!$D$2:$K$2=B2)*'MTD Pivot'!$D$3:$K$269)</f>
        <v/>
      </c>
      <c r="C63" s="120">
        <f>SUMPRODUCT(('MTD Pivot'!$A$3:$A$400=$A$63)*('MTD Pivot'!$D$2:$K$2=C2)*'MTD Pivot'!$D$3:$K$400)</f>
        <v/>
      </c>
      <c r="D63" s="120">
        <f>SUMPRODUCT(('MTD Pivot'!$A$3:$A$400=$A$63)*('MTD Pivot'!$D$2:$K$2=D2)*'MTD Pivot'!$D$3:$K$400)</f>
        <v/>
      </c>
      <c r="E63" s="120">
        <f>SUMPRODUCT(('MTD Pivot'!$A$3:$A$400=$A$63)*('MTD Pivot'!$D$2:$K$2=E2)*'MTD Pivot'!$D$3:$K$400)</f>
        <v/>
      </c>
      <c r="F63" s="120">
        <f>SUMPRODUCT(('MTD Pivot'!$A$3:$A$400=$A$63)*('MTD Pivot'!$D$2:$K$2=F2)*'MTD Pivot'!$D$3:$K$400)</f>
        <v/>
      </c>
      <c r="G63" s="120">
        <f>SUMPRODUCT(('MTD Pivot'!$A$3:$A$400=$A$63)*('MTD Pivot'!$D$2:$K$2=G2)*'MTD Pivot'!$D$3:$K$400)</f>
        <v/>
      </c>
      <c r="H63" s="120" t="n"/>
      <c r="I63" s="120" t="n"/>
      <c r="J63" s="143">
        <f>G63-F63</f>
        <v/>
      </c>
      <c r="K63" s="114" t="n"/>
      <c r="L63" s="120">
        <f>SUMPRODUCT(('Full month Pivot'!$A$3:$A$400=$A$63)*('Full month Pivot'!$D$2:$K$2=L2)*'Full month Pivot'!$D$3:$K$400)</f>
        <v/>
      </c>
      <c r="M63" s="120">
        <f>SUMPRODUCT(('Full month Pivot'!$A$3:$A$400=$A$63)*('Full month Pivot'!$D$2:$K$2=M2)*'Full month Pivot'!$D$3:$K$400)</f>
        <v/>
      </c>
      <c r="N63" s="120">
        <f>SUMPRODUCT(('Full month Pivot'!$A$3:$A$400=$A$63)*('Full month Pivot'!$D$2:$K$2=N2)*'Full month Pivot'!$D$3:$K$400)</f>
        <v/>
      </c>
      <c r="O63" s="120">
        <f>SUMPRODUCT(('Full month Pivot'!$A$3:$A$400=$A$63)*('Full month Pivot'!$D$2:$K$2=O2)*'Full month Pivot'!$D$3:$K$400)</f>
        <v/>
      </c>
      <c r="P63" s="120">
        <f>SUMPRODUCT(('Full month Pivot'!$A$3:$A$400=$A$63)*('Full month Pivot'!$D$2:$K$2=P2)*'Full month Pivot'!$D$3:$K$400)</f>
        <v/>
      </c>
      <c r="Q63" s="120">
        <f>SUMPRODUCT(('Full month Pivot'!$A$3:$A$400=$A$63)*('Full month Pivot'!$D$2:$K$2=Q2)*'Full month Pivot'!$D$3:$K$400)</f>
        <v/>
      </c>
      <c r="R63" s="120" t="n"/>
      <c r="S63" s="120" t="n"/>
      <c r="T63" s="143">
        <f>Q63-P63</f>
        <v/>
      </c>
      <c r="U63" s="115" t="n"/>
      <c r="V63" s="115" t="n"/>
      <c r="W63" s="115" t="n"/>
    </row>
    <row r="64">
      <c r="A64" s="118" t="inlineStr">
        <is>
          <t>Hoàn Tiền Mua Sắm</t>
        </is>
      </c>
      <c r="B64" s="120">
        <f>SUMPRODUCT(('MTD Pivot'!$A$3:$A$269=$A$64)*('MTD Pivot'!$D$2:$K$2=B2)*'MTD Pivot'!$D$3:$K$269)</f>
        <v/>
      </c>
      <c r="C64" s="120">
        <f>SUMPRODUCT(('MTD Pivot'!$A$3:$A$400=$A$64)*('MTD Pivot'!$D$2:$K$2=C2)*'MTD Pivot'!$D$3:$K$400)</f>
        <v/>
      </c>
      <c r="D64" s="120">
        <f>SUMPRODUCT(('MTD Pivot'!$A$3:$A$400=$A$64)*('MTD Pivot'!$D$2:$K$2=D2)*'MTD Pivot'!$D$3:$K$400)</f>
        <v/>
      </c>
      <c r="E64" s="120">
        <f>SUMPRODUCT(('MTD Pivot'!$A$3:$A$400=$A$64)*('MTD Pivot'!$D$2:$K$2=E2)*'MTD Pivot'!$D$3:$K$400)</f>
        <v/>
      </c>
      <c r="F64" s="120">
        <f>SUMPRODUCT(('MTD Pivot'!$A$3:$A$400=$A$64)*('MTD Pivot'!$D$2:$K$2=F2)*'MTD Pivot'!$D$3:$K$400)</f>
        <v/>
      </c>
      <c r="G64" s="120">
        <f>SUMPRODUCT(('MTD Pivot'!$A$3:$A$400=$A$64)*('MTD Pivot'!$D$2:$K$2=G2)*'MTD Pivot'!$D$3:$K$400)</f>
        <v/>
      </c>
      <c r="H64" s="120" t="n"/>
      <c r="I64" s="120" t="n"/>
      <c r="J64" s="143">
        <f>G64-F64</f>
        <v/>
      </c>
      <c r="K64" s="114" t="n"/>
      <c r="L64" s="120">
        <f>SUMPRODUCT(('Full month Pivot'!$A$3:$A$400=$A$64)*('Full month Pivot'!$D$2:$K$2=L2)*'Full month Pivot'!$D$3:$K$400)</f>
        <v/>
      </c>
      <c r="M64" s="120">
        <f>SUMPRODUCT(('Full month Pivot'!$A$3:$A$400=$A$64)*('Full month Pivot'!$D$2:$K$2=M2)*'Full month Pivot'!$D$3:$K$400)</f>
        <v/>
      </c>
      <c r="N64" s="120">
        <f>SUMPRODUCT(('Full month Pivot'!$A$3:$A$400=$A$64)*('Full month Pivot'!$D$2:$K$2=N2)*'Full month Pivot'!$D$3:$K$400)</f>
        <v/>
      </c>
      <c r="O64" s="120">
        <f>SUMPRODUCT(('Full month Pivot'!$A$3:$A$400=$A$64)*('Full month Pivot'!$D$2:$K$2=O2)*'Full month Pivot'!$D$3:$K$400)</f>
        <v/>
      </c>
      <c r="P64" s="120">
        <f>SUMPRODUCT(('Full month Pivot'!$A$3:$A$400=$A$64)*('Full month Pivot'!$D$2:$K$2=P2)*'Full month Pivot'!$D$3:$K$400)</f>
        <v/>
      </c>
      <c r="Q64" s="120">
        <f>SUMPRODUCT(('Full month Pivot'!$A$3:$A$400=$A$64)*('Full month Pivot'!$D$2:$K$2=Q2)*'Full month Pivot'!$D$3:$K$400)</f>
        <v/>
      </c>
      <c r="R64" s="120" t="n"/>
      <c r="S64" s="120" t="n"/>
      <c r="T64" s="143">
        <f>Q64-P64</f>
        <v/>
      </c>
      <c r="U64" s="115" t="n"/>
      <c r="V64" s="115" t="n"/>
      <c r="W64" s="115" t="n"/>
    </row>
    <row r="65">
      <c r="A65" s="118" t="inlineStr">
        <is>
          <t>Mở tài khoản ngân hàng</t>
        </is>
      </c>
      <c r="B65" s="120">
        <f>SUMPRODUCT(('MTD Pivot'!$A$3:$A$269=$A$65)*('MTD Pivot'!$D$2:$K$2=B2)*'MTD Pivot'!$D$3:$K$269)</f>
        <v/>
      </c>
      <c r="C65" s="120">
        <f>SUMPRODUCT(('MTD Pivot'!$A$3:$A$400=$A$65)*('MTD Pivot'!$D$2:$K$2=C2)*'MTD Pivot'!$D$3:$K$400)</f>
        <v/>
      </c>
      <c r="D65" s="120">
        <f>SUMPRODUCT(('MTD Pivot'!$A$3:$A$400=$A$65)*('MTD Pivot'!$D$2:$K$2=D2)*'MTD Pivot'!$D$3:$K$400)</f>
        <v/>
      </c>
      <c r="E65" s="120">
        <f>SUMPRODUCT(('MTD Pivot'!$A$3:$A$400=$A$65)*('MTD Pivot'!$D$2:$K$2=E2)*'MTD Pivot'!$D$3:$K$400)</f>
        <v/>
      </c>
      <c r="F65" s="120">
        <f>SUMPRODUCT(('MTD Pivot'!$A$3:$A$400=$A$65)*('MTD Pivot'!$D$2:$K$2=F2)*'MTD Pivot'!$D$3:$K$400)</f>
        <v/>
      </c>
      <c r="G65" s="120">
        <f>SUMPRODUCT(('MTD Pivot'!$A$3:$A$400=$A$65)*('MTD Pivot'!$D$2:$K$2=G2)*'MTD Pivot'!$D$3:$K$400)</f>
        <v/>
      </c>
      <c r="H65" s="120" t="n"/>
      <c r="I65" s="120" t="n"/>
      <c r="J65" s="143">
        <f>G65-F65</f>
        <v/>
      </c>
      <c r="K65" s="114" t="n"/>
      <c r="L65" s="120">
        <f>SUMPRODUCT(('Full month Pivot'!$A$3:$A$400=$A$65)*('Full month Pivot'!$D$2:$K$2=L2)*'Full month Pivot'!$D$3:$K$400)</f>
        <v/>
      </c>
      <c r="M65" s="120">
        <f>SUMPRODUCT(('Full month Pivot'!$A$3:$A$400=$A$65)*('Full month Pivot'!$D$2:$K$2=M2)*'Full month Pivot'!$D$3:$K$400)</f>
        <v/>
      </c>
      <c r="N65" s="120">
        <f>SUMPRODUCT(('Full month Pivot'!$A$3:$A$400=$A$65)*('Full month Pivot'!$D$2:$K$2=N2)*'Full month Pivot'!$D$3:$K$400)</f>
        <v/>
      </c>
      <c r="O65" s="120">
        <f>SUMPRODUCT(('Full month Pivot'!$A$3:$A$400=$A$65)*('Full month Pivot'!$D$2:$K$2=O2)*'Full month Pivot'!$D$3:$K$400)</f>
        <v/>
      </c>
      <c r="P65" s="120">
        <f>SUMPRODUCT(('Full month Pivot'!$A$3:$A$400=$A$65)*('Full month Pivot'!$D$2:$K$2=P2)*'Full month Pivot'!$D$3:$K$400)</f>
        <v/>
      </c>
      <c r="Q65" s="120">
        <f>SUMPRODUCT(('Full month Pivot'!$A$3:$A$400=$A$65)*('Full month Pivot'!$D$2:$K$2=Q2)*'Full month Pivot'!$D$3:$K$400)</f>
        <v/>
      </c>
      <c r="R65" s="120" t="n"/>
      <c r="S65" s="120" t="n"/>
      <c r="T65" s="143">
        <f>Q65-P65</f>
        <v/>
      </c>
      <c r="U65" s="115" t="n"/>
      <c r="V65" s="115" t="n"/>
      <c r="W65" s="115" t="n"/>
    </row>
    <row r="66">
      <c r="A66" s="118" t="inlineStr">
        <is>
          <t>Download</t>
        </is>
      </c>
      <c r="B66" s="120">
        <f>SUMPRODUCT(('MTD Pivot'!$A$3:$A$269=$A$66)*('MTD Pivot'!$D$2:$K$2=B2)*'MTD Pivot'!$D$3:$K$269)</f>
        <v/>
      </c>
      <c r="C66" s="120">
        <f>SUMPRODUCT(('MTD Pivot'!$A$3:$A$400=$A$66)*('MTD Pivot'!$D$2:$K$2=C2)*'MTD Pivot'!$D$3:$K$400)</f>
        <v/>
      </c>
      <c r="D66" s="120">
        <f>SUMPRODUCT(('MTD Pivot'!$A$3:$A$400=$A$66)*('MTD Pivot'!$D$2:$K$2=D2)*'MTD Pivot'!$D$3:$K$400)</f>
        <v/>
      </c>
      <c r="E66" s="120">
        <f>SUMPRODUCT(('MTD Pivot'!$A$3:$A$400=$A$66)*('MTD Pivot'!$D$2:$K$2=E2)*'MTD Pivot'!$D$3:$K$400)</f>
        <v/>
      </c>
      <c r="F66" s="120">
        <f>SUMPRODUCT(('MTD Pivot'!$A$3:$A$400=$A$66)*('MTD Pivot'!$D$2:$K$2=F2)*'MTD Pivot'!$D$3:$K$400)</f>
        <v/>
      </c>
      <c r="G66" s="120">
        <f>SUMPRODUCT(('MTD Pivot'!$A$3:$A$400=$A$66)*('MTD Pivot'!$D$2:$K$2=G2)*'MTD Pivot'!$D$3:$K$400)</f>
        <v/>
      </c>
      <c r="H66" s="120" t="n"/>
      <c r="I66" s="120" t="n"/>
      <c r="J66" s="143">
        <f>G66-F66</f>
        <v/>
      </c>
      <c r="K66" s="114" t="n"/>
      <c r="L66" s="120">
        <f>SUMPRODUCT(('Full month Pivot'!$A$3:$A$400=$A$66)*('Full month Pivot'!$D$2:$K$2=L2)*'Full month Pivot'!$D$3:$K$400)</f>
        <v/>
      </c>
      <c r="M66" s="120">
        <f>SUMPRODUCT(('Full month Pivot'!$A$3:$A$400=$A$66)*('Full month Pivot'!$D$2:$K$2=M2)*'Full month Pivot'!$D$3:$K$400)</f>
        <v/>
      </c>
      <c r="N66" s="120">
        <f>SUMPRODUCT(('Full month Pivot'!$A$3:$A$400=$A$66)*('Full month Pivot'!$D$2:$K$2=N2)*'Full month Pivot'!$D$3:$K$400)</f>
        <v/>
      </c>
      <c r="O66" s="120">
        <f>SUMPRODUCT(('Full month Pivot'!$A$3:$A$400=$A$66)*('Full month Pivot'!$D$2:$K$2=O2)*'Full month Pivot'!$D$3:$K$400)</f>
        <v/>
      </c>
      <c r="P66" s="120">
        <f>SUMPRODUCT(('Full month Pivot'!$A$3:$A$400=$A$66)*('Full month Pivot'!$D$2:$K$2=P2)*'Full month Pivot'!$D$3:$K$400)</f>
        <v/>
      </c>
      <c r="Q66" s="120">
        <f>SUMPRODUCT(('Full month Pivot'!$A$3:$A$400=$A$66)*('Full month Pivot'!$D$2:$K$2=Q2)*'Full month Pivot'!$D$3:$K$400)</f>
        <v/>
      </c>
      <c r="R66" s="120" t="n"/>
      <c r="S66" s="120" t="n"/>
      <c r="T66" s="143">
        <f>Q66-P66</f>
        <v/>
      </c>
      <c r="U66" s="115" t="n"/>
      <c r="V66" s="115" t="n"/>
      <c r="W66" s="115" t="n"/>
    </row>
    <row r="67">
      <c r="A67" s="118" t="inlineStr">
        <is>
          <t>Others</t>
        </is>
      </c>
      <c r="B67" s="120">
        <f>SUMPRODUCT(('MTD Pivot'!$A$3:$A$269=$A$67)*('MTD Pivot'!$D$2:$K$2=B2)*'MTD Pivot'!$D$3:$K$269)</f>
        <v/>
      </c>
      <c r="C67" s="120">
        <f>SUMPRODUCT(('MTD Pivot'!$A$3:$A$400=$A$67)*('MTD Pivot'!$D$2:$K$2=C2)*'MTD Pivot'!$D$3:$K$400)</f>
        <v/>
      </c>
      <c r="D67" s="120">
        <f>SUMPRODUCT(('MTD Pivot'!$A$3:$A$400=$A$67)*('MTD Pivot'!$D$2:$K$2=D2)*'MTD Pivot'!$D$3:$K$400)</f>
        <v/>
      </c>
      <c r="E67" s="120">
        <f>SUMPRODUCT(('MTD Pivot'!$A$3:$A$400=$A$67)*('MTD Pivot'!$D$2:$K$2=E2)*'MTD Pivot'!$D$3:$K$400)</f>
        <v/>
      </c>
      <c r="F67" s="120">
        <f>SUMPRODUCT(('MTD Pivot'!$A$3:$A$400=$A$67)*('MTD Pivot'!$D$2:$K$2=F2)*'MTD Pivot'!$D$3:$K$400)</f>
        <v/>
      </c>
      <c r="G67" s="120">
        <f>SUMPRODUCT(('MTD Pivot'!$A$3:$A$400=$A$67)*('MTD Pivot'!$D$2:$K$2=G2)*'MTD Pivot'!$D$3:$K$400)</f>
        <v/>
      </c>
      <c r="H67" s="120">
        <f>SUMPRODUCT(('MTD Pivot'!$A$3:$A$175=$A$67)*('MTD Pivot'!$D$2:$K$2=H2)*'MTD Pivot'!$D$3:$K$175)</f>
        <v/>
      </c>
      <c r="I67" s="120">
        <f>SUMPRODUCT(('MTD Pivot'!$A$3:$A$175=$A$67)*('MTD Pivot'!$D$2:$K$2=I2)*'MTD Pivot'!$D$3:$K$175)</f>
        <v/>
      </c>
      <c r="J67" s="143">
        <f>G67-F67</f>
        <v/>
      </c>
      <c r="K67" s="114" t="n"/>
      <c r="L67" s="120">
        <f>SUMPRODUCT(('Full month Pivot'!$A$3:$A$400=$A$67)*('Full month Pivot'!$D$2:$K$2=L2)*'Full month Pivot'!$D$3:$K$400)</f>
        <v/>
      </c>
      <c r="M67" s="120">
        <f>SUMPRODUCT(('Full month Pivot'!$A$3:$A$400=$A$67)*('Full month Pivot'!$D$2:$K$2=M2)*'Full month Pivot'!$D$3:$K$400)</f>
        <v/>
      </c>
      <c r="N67" s="120">
        <f>SUMPRODUCT(('Full month Pivot'!$A$3:$A$400=$A$67)*('Full month Pivot'!$D$2:$K$2=N2)*'Full month Pivot'!$D$3:$K$400)</f>
        <v/>
      </c>
      <c r="O67" s="120">
        <f>SUMPRODUCT(('Full month Pivot'!$A$3:$A$400=$A$67)*('Full month Pivot'!$D$2:$K$2=O2)*'Full month Pivot'!$D$3:$K$400)</f>
        <v/>
      </c>
      <c r="P67" s="120">
        <f>SUMPRODUCT(('Full month Pivot'!$A$3:$A$400=$A$67)*('Full month Pivot'!$D$2:$K$2=P2)*'Full month Pivot'!$D$3:$K$400)</f>
        <v/>
      </c>
      <c r="Q67" s="120">
        <f>SUMPRODUCT(('Full month Pivot'!$A$3:$A$400=$A$67)*('Full month Pivot'!$D$2:$K$2=Q2)*'Full month Pivot'!$D$3:$K$400)</f>
        <v/>
      </c>
      <c r="R67" s="120">
        <f>SUMPRODUCT(('Full month Pivot'!$A$3:$A$175=$A$67)*('Full month Pivot'!$D$2:$K$2=R2)*'Full month Pivot'!$D$3:$K$175)</f>
        <v/>
      </c>
      <c r="S67" s="120">
        <f>SUMPRODUCT(('Full month Pivot'!$A$3:$A$175=$A$67)*('Full month Pivot'!$D$2:$K$2=S2)*'Full month Pivot'!$D$3:$K$175)</f>
        <v/>
      </c>
      <c r="T67" s="143">
        <f>Q67-P67</f>
        <v/>
      </c>
      <c r="U67" s="115" t="n"/>
      <c r="V67" s="115" t="n"/>
      <c r="W67" s="115" t="n"/>
    </row>
    <row r="68">
      <c r="A68" s="174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5" t="n"/>
      <c r="B542" s="105" t="n"/>
      <c r="C542" s="105" t="n"/>
      <c r="D542" s="105" t="n"/>
      <c r="E542" s="105" t="n"/>
      <c r="F542" s="105" t="n"/>
      <c r="G542" s="105" t="n"/>
      <c r="H542" s="105" t="n"/>
      <c r="I542" s="105" t="n"/>
      <c r="J542" s="105" t="n"/>
      <c r="K542" s="105" t="n"/>
      <c r="L542" s="105" t="n"/>
      <c r="M542" s="105" t="n"/>
      <c r="N542" s="105" t="n"/>
      <c r="O542" s="105" t="n"/>
      <c r="P542" s="105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5" t="n"/>
      <c r="B543" s="105" t="n"/>
      <c r="C543" s="105" t="n"/>
      <c r="D543" s="105" t="n"/>
      <c r="E543" s="105" t="n"/>
      <c r="F543" s="105" t="n"/>
      <c r="G543" s="105" t="n"/>
      <c r="H543" s="105" t="n"/>
      <c r="I543" s="105" t="n"/>
      <c r="J543" s="105" t="n"/>
      <c r="K543" s="105" t="n"/>
      <c r="L543" s="105" t="n"/>
      <c r="M543" s="105" t="n"/>
      <c r="N543" s="105" t="n"/>
      <c r="O543" s="105" t="n"/>
      <c r="P543" s="105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5" t="n"/>
      <c r="B544" s="105" t="n"/>
      <c r="C544" s="105" t="n"/>
      <c r="D544" s="105" t="n"/>
      <c r="E544" s="105" t="n"/>
      <c r="F544" s="105" t="n"/>
      <c r="G544" s="105" t="n"/>
      <c r="H544" s="105" t="n"/>
      <c r="I544" s="105" t="n"/>
      <c r="J544" s="105" t="n"/>
      <c r="K544" s="105" t="n"/>
      <c r="L544" s="105" t="n"/>
      <c r="M544" s="105" t="n"/>
      <c r="N544" s="105" t="n"/>
      <c r="O544" s="105" t="n"/>
      <c r="P544" s="105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5" t="n"/>
      <c r="B545" s="105" t="n"/>
      <c r="C545" s="105" t="n"/>
      <c r="D545" s="105" t="n"/>
      <c r="E545" s="105" t="n"/>
      <c r="F545" s="105" t="n"/>
      <c r="G545" s="105" t="n"/>
      <c r="H545" s="105" t="n"/>
      <c r="I545" s="105" t="n"/>
      <c r="J545" s="105" t="n"/>
      <c r="K545" s="105" t="n"/>
      <c r="L545" s="105" t="n"/>
      <c r="M545" s="105" t="n"/>
      <c r="N545" s="105" t="n"/>
      <c r="O545" s="105" t="n"/>
      <c r="P545" s="105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5" t="n"/>
      <c r="B546" s="105" t="n"/>
      <c r="C546" s="105" t="n"/>
      <c r="D546" s="105" t="n"/>
      <c r="E546" s="105" t="n"/>
      <c r="F546" s="105" t="n"/>
      <c r="G546" s="105" t="n"/>
      <c r="H546" s="105" t="n"/>
      <c r="I546" s="105" t="n"/>
      <c r="J546" s="105" t="n"/>
      <c r="K546" s="105" t="n"/>
      <c r="L546" s="105" t="n"/>
      <c r="M546" s="105" t="n"/>
      <c r="N546" s="105" t="n"/>
      <c r="O546" s="105" t="n"/>
      <c r="P546" s="105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5" t="n"/>
      <c r="B547" s="105" t="n"/>
      <c r="C547" s="105" t="n"/>
      <c r="D547" s="105" t="n"/>
      <c r="E547" s="105" t="n"/>
      <c r="F547" s="105" t="n"/>
      <c r="G547" s="105" t="n"/>
      <c r="H547" s="105" t="n"/>
      <c r="I547" s="105" t="n"/>
      <c r="J547" s="105" t="n"/>
      <c r="K547" s="105" t="n"/>
      <c r="L547" s="105" t="n"/>
      <c r="M547" s="105" t="n"/>
      <c r="N547" s="105" t="n"/>
      <c r="O547" s="105" t="n"/>
      <c r="P547" s="105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5" t="n"/>
      <c r="B548" s="105" t="n"/>
      <c r="C548" s="105" t="n"/>
      <c r="D548" s="105" t="n"/>
      <c r="E548" s="105" t="n"/>
      <c r="F548" s="105" t="n"/>
      <c r="G548" s="105" t="n"/>
      <c r="H548" s="105" t="n"/>
      <c r="I548" s="105" t="n"/>
      <c r="J548" s="105" t="n"/>
      <c r="K548" s="105" t="n"/>
      <c r="L548" s="105" t="n"/>
      <c r="M548" s="105" t="n"/>
      <c r="N548" s="105" t="n"/>
      <c r="O548" s="105" t="n"/>
      <c r="P548" s="105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5" t="n"/>
      <c r="B549" s="105" t="n"/>
      <c r="C549" s="105" t="n"/>
      <c r="D549" s="105" t="n"/>
      <c r="E549" s="105" t="n"/>
      <c r="F549" s="105" t="n"/>
      <c r="G549" s="105" t="n"/>
      <c r="H549" s="105" t="n"/>
      <c r="I549" s="105" t="n"/>
      <c r="J549" s="105" t="n"/>
      <c r="K549" s="105" t="n"/>
      <c r="L549" s="105" t="n"/>
      <c r="M549" s="105" t="n"/>
      <c r="N549" s="105" t="n"/>
      <c r="O549" s="105" t="n"/>
      <c r="P549" s="105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5" t="n"/>
      <c r="B550" s="105" t="n"/>
      <c r="C550" s="105" t="n"/>
      <c r="D550" s="105" t="n"/>
      <c r="E550" s="105" t="n"/>
      <c r="F550" s="105" t="n"/>
      <c r="G550" s="105" t="n"/>
      <c r="H550" s="105" t="n"/>
      <c r="I550" s="105" t="n"/>
      <c r="J550" s="105" t="n"/>
      <c r="K550" s="105" t="n"/>
      <c r="L550" s="105" t="n"/>
      <c r="M550" s="105" t="n"/>
      <c r="N550" s="105" t="n"/>
      <c r="O550" s="105" t="n"/>
      <c r="P550" s="105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5" t="n"/>
      <c r="B551" s="105" t="n"/>
      <c r="C551" s="105" t="n"/>
      <c r="D551" s="105" t="n"/>
      <c r="E551" s="105" t="n"/>
      <c r="F551" s="105" t="n"/>
      <c r="G551" s="105" t="n"/>
      <c r="H551" s="105" t="n"/>
      <c r="I551" s="105" t="n"/>
      <c r="J551" s="105" t="n"/>
      <c r="K551" s="105" t="n"/>
      <c r="L551" s="105" t="n"/>
      <c r="M551" s="105" t="n"/>
      <c r="N551" s="105" t="n"/>
      <c r="O551" s="105" t="n"/>
      <c r="P551" s="105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5" t="n"/>
      <c r="B552" s="105" t="n"/>
      <c r="C552" s="105" t="n"/>
      <c r="D552" s="105" t="n"/>
      <c r="E552" s="105" t="n"/>
      <c r="F552" s="105" t="n"/>
      <c r="G552" s="105" t="n"/>
      <c r="H552" s="105" t="n"/>
      <c r="I552" s="105" t="n"/>
      <c r="J552" s="105" t="n"/>
      <c r="K552" s="105" t="n"/>
      <c r="L552" s="105" t="n"/>
      <c r="M552" s="105" t="n"/>
      <c r="N552" s="105" t="n"/>
      <c r="O552" s="105" t="n"/>
      <c r="P552" s="105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5" t="n"/>
      <c r="B553" s="105" t="n"/>
      <c r="C553" s="105" t="n"/>
      <c r="D553" s="105" t="n"/>
      <c r="E553" s="105" t="n"/>
      <c r="F553" s="105" t="n"/>
      <c r="G553" s="105" t="n"/>
      <c r="H553" s="105" t="n"/>
      <c r="I553" s="105" t="n"/>
      <c r="J553" s="105" t="n"/>
      <c r="K553" s="105" t="n"/>
      <c r="L553" s="105" t="n"/>
      <c r="M553" s="105" t="n"/>
      <c r="N553" s="105" t="n"/>
      <c r="O553" s="105" t="n"/>
      <c r="P553" s="105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5" t="n"/>
      <c r="B554" s="105" t="n"/>
      <c r="C554" s="105" t="n"/>
      <c r="D554" s="105" t="n"/>
      <c r="E554" s="105" t="n"/>
      <c r="F554" s="105" t="n"/>
      <c r="G554" s="105" t="n"/>
      <c r="H554" s="105" t="n"/>
      <c r="I554" s="105" t="n"/>
      <c r="J554" s="105" t="n"/>
      <c r="K554" s="105" t="n"/>
      <c r="L554" s="105" t="n"/>
      <c r="M554" s="105" t="n"/>
      <c r="N554" s="105" t="n"/>
      <c r="O554" s="105" t="n"/>
      <c r="P554" s="105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5" t="n"/>
      <c r="B555" s="105" t="n"/>
      <c r="C555" s="105" t="n"/>
      <c r="D555" s="105" t="n"/>
      <c r="E555" s="105" t="n"/>
      <c r="F555" s="105" t="n"/>
      <c r="G555" s="105" t="n"/>
      <c r="H555" s="105" t="n"/>
      <c r="I555" s="105" t="n"/>
      <c r="J555" s="105" t="n"/>
      <c r="K555" s="105" t="n"/>
      <c r="L555" s="105" t="n"/>
      <c r="M555" s="105" t="n"/>
      <c r="N555" s="105" t="n"/>
      <c r="O555" s="105" t="n"/>
      <c r="P555" s="105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5" t="n"/>
      <c r="B556" s="105" t="n"/>
      <c r="C556" s="105" t="n"/>
      <c r="D556" s="105" t="n"/>
      <c r="E556" s="105" t="n"/>
      <c r="F556" s="105" t="n"/>
      <c r="G556" s="105" t="n"/>
      <c r="H556" s="105" t="n"/>
      <c r="I556" s="105" t="n"/>
      <c r="J556" s="105" t="n"/>
      <c r="K556" s="105" t="n"/>
      <c r="L556" s="105" t="n"/>
      <c r="M556" s="105" t="n"/>
      <c r="N556" s="105" t="n"/>
      <c r="O556" s="105" t="n"/>
      <c r="P556" s="105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5" t="n"/>
      <c r="B557" s="105" t="n"/>
      <c r="C557" s="105" t="n"/>
      <c r="D557" s="105" t="n"/>
      <c r="E557" s="105" t="n"/>
      <c r="F557" s="105" t="n"/>
      <c r="G557" s="105" t="n"/>
      <c r="H557" s="105" t="n"/>
      <c r="I557" s="105" t="n"/>
      <c r="J557" s="105" t="n"/>
      <c r="K557" s="105" t="n"/>
      <c r="L557" s="105" t="n"/>
      <c r="M557" s="105" t="n"/>
      <c r="N557" s="105" t="n"/>
      <c r="O557" s="105" t="n"/>
      <c r="P557" s="105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5" t="n"/>
      <c r="B558" s="105" t="n"/>
      <c r="C558" s="105" t="n"/>
      <c r="D558" s="105" t="n"/>
      <c r="E558" s="105" t="n"/>
      <c r="F558" s="105" t="n"/>
      <c r="G558" s="105" t="n"/>
      <c r="H558" s="105" t="n"/>
      <c r="I558" s="105" t="n"/>
      <c r="J558" s="105" t="n"/>
      <c r="K558" s="105" t="n"/>
      <c r="L558" s="105" t="n"/>
      <c r="M558" s="105" t="n"/>
      <c r="N558" s="105" t="n"/>
      <c r="O558" s="105" t="n"/>
      <c r="P558" s="105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5" t="n"/>
      <c r="B559" s="105" t="n"/>
      <c r="C559" s="105" t="n"/>
      <c r="D559" s="105" t="n"/>
      <c r="E559" s="105" t="n"/>
      <c r="F559" s="105" t="n"/>
      <c r="G559" s="105" t="n"/>
      <c r="H559" s="105" t="n"/>
      <c r="I559" s="105" t="n"/>
      <c r="J559" s="105" t="n"/>
      <c r="K559" s="105" t="n"/>
      <c r="L559" s="105" t="n"/>
      <c r="M559" s="105" t="n"/>
      <c r="N559" s="105" t="n"/>
      <c r="O559" s="105" t="n"/>
      <c r="P559" s="105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5" t="n"/>
      <c r="B560" s="105" t="n"/>
      <c r="C560" s="105" t="n"/>
      <c r="D560" s="105" t="n"/>
      <c r="E560" s="105" t="n"/>
      <c r="F560" s="105" t="n"/>
      <c r="G560" s="105" t="n"/>
      <c r="H560" s="105" t="n"/>
      <c r="I560" s="105" t="n"/>
      <c r="J560" s="105" t="n"/>
      <c r="K560" s="105" t="n"/>
      <c r="L560" s="105" t="n"/>
      <c r="M560" s="105" t="n"/>
      <c r="N560" s="105" t="n"/>
      <c r="O560" s="105" t="n"/>
      <c r="P560" s="105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5" t="n"/>
      <c r="B561" s="105" t="n"/>
      <c r="C561" s="105" t="n"/>
      <c r="D561" s="105" t="n"/>
      <c r="E561" s="105" t="n"/>
      <c r="F561" s="105" t="n"/>
      <c r="G561" s="105" t="n"/>
      <c r="H561" s="105" t="n"/>
      <c r="I561" s="105" t="n"/>
      <c r="J561" s="105" t="n"/>
      <c r="K561" s="105" t="n"/>
      <c r="L561" s="105" t="n"/>
      <c r="M561" s="105" t="n"/>
      <c r="N561" s="105" t="n"/>
      <c r="O561" s="105" t="n"/>
      <c r="P561" s="105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5" t="n"/>
      <c r="B562" s="105" t="n"/>
      <c r="C562" s="105" t="n"/>
      <c r="D562" s="105" t="n"/>
      <c r="E562" s="105" t="n"/>
      <c r="F562" s="105" t="n"/>
      <c r="G562" s="105" t="n"/>
      <c r="H562" s="105" t="n"/>
      <c r="I562" s="105" t="n"/>
      <c r="J562" s="105" t="n"/>
      <c r="K562" s="105" t="n"/>
      <c r="L562" s="105" t="n"/>
      <c r="M562" s="105" t="n"/>
      <c r="N562" s="105" t="n"/>
      <c r="O562" s="105" t="n"/>
      <c r="P562" s="105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5" t="n"/>
      <c r="B563" s="105" t="n"/>
      <c r="C563" s="105" t="n"/>
      <c r="D563" s="105" t="n"/>
      <c r="E563" s="105" t="n"/>
      <c r="F563" s="105" t="n"/>
      <c r="G563" s="105" t="n"/>
      <c r="H563" s="105" t="n"/>
      <c r="I563" s="105" t="n"/>
      <c r="J563" s="105" t="n"/>
      <c r="K563" s="105" t="n"/>
      <c r="L563" s="105" t="n"/>
      <c r="M563" s="105" t="n"/>
      <c r="N563" s="105" t="n"/>
      <c r="O563" s="105" t="n"/>
      <c r="P563" s="105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5" t="n"/>
      <c r="B564" s="105" t="n"/>
      <c r="C564" s="105" t="n"/>
      <c r="D564" s="105" t="n"/>
      <c r="E564" s="105" t="n"/>
      <c r="F564" s="105" t="n"/>
      <c r="G564" s="105" t="n"/>
      <c r="H564" s="105" t="n"/>
      <c r="I564" s="105" t="n"/>
      <c r="J564" s="105" t="n"/>
      <c r="K564" s="105" t="n"/>
      <c r="L564" s="105" t="n"/>
      <c r="M564" s="105" t="n"/>
      <c r="N564" s="105" t="n"/>
      <c r="O564" s="105" t="n"/>
      <c r="P564" s="105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5" t="n"/>
      <c r="B565" s="105" t="n"/>
      <c r="C565" s="105" t="n"/>
      <c r="D565" s="105" t="n"/>
      <c r="E565" s="105" t="n"/>
      <c r="F565" s="105" t="n"/>
      <c r="G565" s="105" t="n"/>
      <c r="H565" s="105" t="n"/>
      <c r="I565" s="105" t="n"/>
      <c r="J565" s="105" t="n"/>
      <c r="K565" s="105" t="n"/>
      <c r="L565" s="105" t="n"/>
      <c r="M565" s="105" t="n"/>
      <c r="N565" s="105" t="n"/>
      <c r="O565" s="105" t="n"/>
      <c r="P565" s="105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5" t="n"/>
      <c r="B566" s="105" t="n"/>
      <c r="C566" s="105" t="n"/>
      <c r="D566" s="105" t="n"/>
      <c r="E566" s="105" t="n"/>
      <c r="F566" s="105" t="n"/>
      <c r="G566" s="105" t="n"/>
      <c r="H566" s="105" t="n"/>
      <c r="I566" s="105" t="n"/>
      <c r="J566" s="105" t="n"/>
      <c r="K566" s="105" t="n"/>
      <c r="L566" s="105" t="n"/>
      <c r="M566" s="105" t="n"/>
      <c r="N566" s="105" t="n"/>
      <c r="O566" s="105" t="n"/>
      <c r="P566" s="105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5" t="n"/>
      <c r="B567" s="105" t="n"/>
      <c r="C567" s="105" t="n"/>
      <c r="D567" s="105" t="n"/>
      <c r="E567" s="105" t="n"/>
      <c r="F567" s="105" t="n"/>
      <c r="G567" s="105" t="n"/>
      <c r="H567" s="105" t="n"/>
      <c r="I567" s="105" t="n"/>
      <c r="J567" s="105" t="n"/>
      <c r="K567" s="105" t="n"/>
      <c r="L567" s="105" t="n"/>
      <c r="M567" s="105" t="n"/>
      <c r="N567" s="105" t="n"/>
      <c r="O567" s="105" t="n"/>
      <c r="P567" s="105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5" t="n"/>
      <c r="B568" s="105" t="n"/>
      <c r="C568" s="105" t="n"/>
      <c r="D568" s="105" t="n"/>
      <c r="E568" s="105" t="n"/>
      <c r="F568" s="105" t="n"/>
      <c r="G568" s="105" t="n"/>
      <c r="H568" s="105" t="n"/>
      <c r="I568" s="105" t="n"/>
      <c r="J568" s="105" t="n"/>
      <c r="K568" s="105" t="n"/>
      <c r="L568" s="105" t="n"/>
      <c r="M568" s="105" t="n"/>
      <c r="N568" s="105" t="n"/>
      <c r="O568" s="105" t="n"/>
      <c r="P568" s="105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5" t="n"/>
      <c r="B569" s="105" t="n"/>
      <c r="C569" s="105" t="n"/>
      <c r="D569" s="105" t="n"/>
      <c r="E569" s="105" t="n"/>
      <c r="F569" s="105" t="n"/>
      <c r="G569" s="105" t="n"/>
      <c r="H569" s="105" t="n"/>
      <c r="I569" s="105" t="n"/>
      <c r="J569" s="105" t="n"/>
      <c r="K569" s="105" t="n"/>
      <c r="L569" s="105" t="n"/>
      <c r="M569" s="105" t="n"/>
      <c r="N569" s="105" t="n"/>
      <c r="O569" s="105" t="n"/>
      <c r="P569" s="105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5" t="n"/>
      <c r="B570" s="105" t="n"/>
      <c r="C570" s="105" t="n"/>
      <c r="D570" s="105" t="n"/>
      <c r="E570" s="105" t="n"/>
      <c r="F570" s="105" t="n"/>
      <c r="G570" s="105" t="n"/>
      <c r="H570" s="105" t="n"/>
      <c r="I570" s="105" t="n"/>
      <c r="J570" s="105" t="n"/>
      <c r="K570" s="105" t="n"/>
      <c r="L570" s="105" t="n"/>
      <c r="M570" s="105" t="n"/>
      <c r="N570" s="105" t="n"/>
      <c r="O570" s="105" t="n"/>
      <c r="P570" s="105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5" t="n"/>
      <c r="B571" s="105" t="n"/>
      <c r="C571" s="105" t="n"/>
      <c r="D571" s="105" t="n"/>
      <c r="E571" s="105" t="n"/>
      <c r="F571" s="105" t="n"/>
      <c r="G571" s="105" t="n"/>
      <c r="H571" s="105" t="n"/>
      <c r="I571" s="105" t="n"/>
      <c r="J571" s="105" t="n"/>
      <c r="K571" s="105" t="n"/>
      <c r="L571" s="105" t="n"/>
      <c r="M571" s="105" t="n"/>
      <c r="N571" s="105" t="n"/>
      <c r="O571" s="105" t="n"/>
      <c r="P571" s="105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5" t="n"/>
      <c r="B572" s="105" t="n"/>
      <c r="C572" s="105" t="n"/>
      <c r="D572" s="105" t="n"/>
      <c r="E572" s="105" t="n"/>
      <c r="F572" s="105" t="n"/>
      <c r="G572" s="105" t="n"/>
      <c r="H572" s="105" t="n"/>
      <c r="I572" s="105" t="n"/>
      <c r="J572" s="105" t="n"/>
      <c r="K572" s="105" t="n"/>
      <c r="L572" s="105" t="n"/>
      <c r="M572" s="105" t="n"/>
      <c r="N572" s="105" t="n"/>
      <c r="O572" s="105" t="n"/>
      <c r="P572" s="105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5" t="n"/>
      <c r="B573" s="105" t="n"/>
      <c r="C573" s="105" t="n"/>
      <c r="D573" s="105" t="n"/>
      <c r="E573" s="105" t="n"/>
      <c r="F573" s="105" t="n"/>
      <c r="G573" s="105" t="n"/>
      <c r="H573" s="105" t="n"/>
      <c r="I573" s="105" t="n"/>
      <c r="J573" s="105" t="n"/>
      <c r="K573" s="105" t="n"/>
      <c r="L573" s="105" t="n"/>
      <c r="M573" s="105" t="n"/>
      <c r="N573" s="105" t="n"/>
      <c r="O573" s="105" t="n"/>
      <c r="P573" s="105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5" t="n"/>
      <c r="B574" s="105" t="n"/>
      <c r="C574" s="105" t="n"/>
      <c r="D574" s="105" t="n"/>
      <c r="E574" s="105" t="n"/>
      <c r="F574" s="105" t="n"/>
      <c r="G574" s="105" t="n"/>
      <c r="H574" s="105" t="n"/>
      <c r="I574" s="105" t="n"/>
      <c r="J574" s="105" t="n"/>
      <c r="K574" s="105" t="n"/>
      <c r="L574" s="105" t="n"/>
      <c r="M574" s="105" t="n"/>
      <c r="N574" s="105" t="n"/>
      <c r="O574" s="105" t="n"/>
      <c r="P574" s="105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5" t="n"/>
      <c r="B575" s="105" t="n"/>
      <c r="C575" s="105" t="n"/>
      <c r="D575" s="105" t="n"/>
      <c r="E575" s="105" t="n"/>
      <c r="F575" s="105" t="n"/>
      <c r="G575" s="105" t="n"/>
      <c r="H575" s="105" t="n"/>
      <c r="I575" s="105" t="n"/>
      <c r="J575" s="105" t="n"/>
      <c r="K575" s="105" t="n"/>
      <c r="L575" s="105" t="n"/>
      <c r="M575" s="105" t="n"/>
      <c r="N575" s="105" t="n"/>
      <c r="O575" s="105" t="n"/>
      <c r="P575" s="105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5" t="n"/>
      <c r="B576" s="105" t="n"/>
      <c r="C576" s="105" t="n"/>
      <c r="D576" s="105" t="n"/>
      <c r="E576" s="105" t="n"/>
      <c r="F576" s="105" t="n"/>
      <c r="G576" s="105" t="n"/>
      <c r="H576" s="105" t="n"/>
      <c r="I576" s="105" t="n"/>
      <c r="J576" s="105" t="n"/>
      <c r="K576" s="105" t="n"/>
      <c r="L576" s="105" t="n"/>
      <c r="M576" s="105" t="n"/>
      <c r="N576" s="105" t="n"/>
      <c r="O576" s="105" t="n"/>
      <c r="P576" s="105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5" t="n"/>
      <c r="B577" s="105" t="n"/>
      <c r="C577" s="105" t="n"/>
      <c r="D577" s="105" t="n"/>
      <c r="E577" s="105" t="n"/>
      <c r="F577" s="105" t="n"/>
      <c r="G577" s="105" t="n"/>
      <c r="H577" s="105" t="n"/>
      <c r="I577" s="105" t="n"/>
      <c r="J577" s="105" t="n"/>
      <c r="K577" s="105" t="n"/>
      <c r="L577" s="105" t="n"/>
      <c r="M577" s="105" t="n"/>
      <c r="N577" s="105" t="n"/>
      <c r="O577" s="105" t="n"/>
      <c r="P577" s="105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5" t="n"/>
      <c r="B578" s="105" t="n"/>
      <c r="C578" s="105" t="n"/>
      <c r="D578" s="105" t="n"/>
      <c r="E578" s="105" t="n"/>
      <c r="F578" s="105" t="n"/>
      <c r="G578" s="105" t="n"/>
      <c r="H578" s="105" t="n"/>
      <c r="I578" s="105" t="n"/>
      <c r="J578" s="105" t="n"/>
      <c r="K578" s="105" t="n"/>
      <c r="L578" s="105" t="n"/>
      <c r="M578" s="105" t="n"/>
      <c r="N578" s="105" t="n"/>
      <c r="O578" s="105" t="n"/>
      <c r="P578" s="105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5" t="n"/>
      <c r="B579" s="105" t="n"/>
      <c r="C579" s="105" t="n"/>
      <c r="D579" s="105" t="n"/>
      <c r="E579" s="105" t="n"/>
      <c r="F579" s="105" t="n"/>
      <c r="G579" s="105" t="n"/>
      <c r="H579" s="105" t="n"/>
      <c r="I579" s="105" t="n"/>
      <c r="J579" s="105" t="n"/>
      <c r="K579" s="105" t="n"/>
      <c r="L579" s="105" t="n"/>
      <c r="M579" s="105" t="n"/>
      <c r="N579" s="105" t="n"/>
      <c r="O579" s="105" t="n"/>
      <c r="P579" s="105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5" t="n"/>
      <c r="B580" s="105" t="n"/>
      <c r="C580" s="105" t="n"/>
      <c r="D580" s="105" t="n"/>
      <c r="E580" s="105" t="n"/>
      <c r="F580" s="105" t="n"/>
      <c r="G580" s="105" t="n"/>
      <c r="H580" s="105" t="n"/>
      <c r="I580" s="105" t="n"/>
      <c r="J580" s="105" t="n"/>
      <c r="K580" s="105" t="n"/>
      <c r="L580" s="105" t="n"/>
      <c r="M580" s="105" t="n"/>
      <c r="N580" s="105" t="n"/>
      <c r="O580" s="105" t="n"/>
      <c r="P580" s="105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5" t="n"/>
      <c r="B581" s="105" t="n"/>
      <c r="C581" s="105" t="n"/>
      <c r="D581" s="105" t="n"/>
      <c r="E581" s="105" t="n"/>
      <c r="F581" s="105" t="n"/>
      <c r="G581" s="105" t="n"/>
      <c r="H581" s="105" t="n"/>
      <c r="I581" s="105" t="n"/>
      <c r="J581" s="105" t="n"/>
      <c r="K581" s="105" t="n"/>
      <c r="L581" s="105" t="n"/>
      <c r="M581" s="105" t="n"/>
      <c r="N581" s="105" t="n"/>
      <c r="O581" s="105" t="n"/>
      <c r="P581" s="105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5" t="n"/>
      <c r="B582" s="105" t="n"/>
      <c r="C582" s="105" t="n"/>
      <c r="D582" s="105" t="n"/>
      <c r="E582" s="105" t="n"/>
      <c r="F582" s="105" t="n"/>
      <c r="G582" s="105" t="n"/>
      <c r="H582" s="105" t="n"/>
      <c r="I582" s="105" t="n"/>
      <c r="J582" s="105" t="n"/>
      <c r="K582" s="105" t="n"/>
      <c r="L582" s="105" t="n"/>
      <c r="M582" s="105" t="n"/>
      <c r="N582" s="105" t="n"/>
      <c r="O582" s="105" t="n"/>
      <c r="P582" s="105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5" t="n"/>
      <c r="B583" s="105" t="n"/>
      <c r="C583" s="105" t="n"/>
      <c r="D583" s="105" t="n"/>
      <c r="E583" s="105" t="n"/>
      <c r="F583" s="105" t="n"/>
      <c r="G583" s="105" t="n"/>
      <c r="H583" s="105" t="n"/>
      <c r="I583" s="105" t="n"/>
      <c r="J583" s="105" t="n"/>
      <c r="K583" s="105" t="n"/>
      <c r="L583" s="105" t="n"/>
      <c r="M583" s="105" t="n"/>
      <c r="N583" s="105" t="n"/>
      <c r="O583" s="105" t="n"/>
      <c r="P583" s="105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5" t="n"/>
      <c r="B584" s="105" t="n"/>
      <c r="C584" s="105" t="n"/>
      <c r="D584" s="105" t="n"/>
      <c r="E584" s="105" t="n"/>
      <c r="F584" s="105" t="n"/>
      <c r="G584" s="105" t="n"/>
      <c r="H584" s="105" t="n"/>
      <c r="I584" s="105" t="n"/>
      <c r="J584" s="105" t="n"/>
      <c r="K584" s="105" t="n"/>
      <c r="L584" s="105" t="n"/>
      <c r="M584" s="105" t="n"/>
      <c r="N584" s="105" t="n"/>
      <c r="O584" s="105" t="n"/>
      <c r="P584" s="105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5" t="n"/>
      <c r="B585" s="105" t="n"/>
      <c r="C585" s="105" t="n"/>
      <c r="D585" s="105" t="n"/>
      <c r="E585" s="105" t="n"/>
      <c r="F585" s="105" t="n"/>
      <c r="G585" s="105" t="n"/>
      <c r="H585" s="105" t="n"/>
      <c r="I585" s="105" t="n"/>
      <c r="J585" s="105" t="n"/>
      <c r="K585" s="105" t="n"/>
      <c r="L585" s="105" t="n"/>
      <c r="M585" s="105" t="n"/>
      <c r="N585" s="105" t="n"/>
      <c r="O585" s="105" t="n"/>
      <c r="P585" s="105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5" t="n"/>
      <c r="B586" s="105" t="n"/>
      <c r="C586" s="105" t="n"/>
      <c r="D586" s="105" t="n"/>
      <c r="E586" s="105" t="n"/>
      <c r="F586" s="105" t="n"/>
      <c r="G586" s="105" t="n"/>
      <c r="H586" s="105" t="n"/>
      <c r="I586" s="105" t="n"/>
      <c r="J586" s="105" t="n"/>
      <c r="K586" s="105" t="n"/>
      <c r="L586" s="105" t="n"/>
      <c r="M586" s="105" t="n"/>
      <c r="N586" s="105" t="n"/>
      <c r="O586" s="105" t="n"/>
      <c r="P586" s="105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5" t="n"/>
      <c r="B587" s="105" t="n"/>
      <c r="C587" s="105" t="n"/>
      <c r="D587" s="105" t="n"/>
      <c r="E587" s="105" t="n"/>
      <c r="F587" s="105" t="n"/>
      <c r="G587" s="105" t="n"/>
      <c r="H587" s="105" t="n"/>
      <c r="I587" s="105" t="n"/>
      <c r="J587" s="105" t="n"/>
      <c r="K587" s="105" t="n"/>
      <c r="L587" s="105" t="n"/>
      <c r="M587" s="105" t="n"/>
      <c r="N587" s="105" t="n"/>
      <c r="O587" s="105" t="n"/>
      <c r="P587" s="105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5" t="n"/>
      <c r="B588" s="105" t="n"/>
      <c r="C588" s="105" t="n"/>
      <c r="D588" s="105" t="n"/>
      <c r="E588" s="105" t="n"/>
      <c r="F588" s="105" t="n"/>
      <c r="G588" s="105" t="n"/>
      <c r="H588" s="105" t="n"/>
      <c r="I588" s="105" t="n"/>
      <c r="J588" s="105" t="n"/>
      <c r="K588" s="105" t="n"/>
      <c r="L588" s="105" t="n"/>
      <c r="M588" s="105" t="n"/>
      <c r="N588" s="105" t="n"/>
      <c r="O588" s="105" t="n"/>
      <c r="P588" s="105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5" t="n"/>
      <c r="B589" s="105" t="n"/>
      <c r="C589" s="105" t="n"/>
      <c r="D589" s="105" t="n"/>
      <c r="E589" s="105" t="n"/>
      <c r="F589" s="105" t="n"/>
      <c r="G589" s="105" t="n"/>
      <c r="H589" s="105" t="n"/>
      <c r="I589" s="105" t="n"/>
      <c r="J589" s="105" t="n"/>
      <c r="K589" s="105" t="n"/>
      <c r="L589" s="105" t="n"/>
      <c r="M589" s="105" t="n"/>
      <c r="N589" s="105" t="n"/>
      <c r="O589" s="105" t="n"/>
      <c r="P589" s="105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5" t="n"/>
      <c r="B590" s="105" t="n"/>
      <c r="C590" s="105" t="n"/>
      <c r="D590" s="105" t="n"/>
      <c r="E590" s="105" t="n"/>
      <c r="F590" s="105" t="n"/>
      <c r="G590" s="105" t="n"/>
      <c r="H590" s="105" t="n"/>
      <c r="I590" s="105" t="n"/>
      <c r="J590" s="105" t="n"/>
      <c r="K590" s="105" t="n"/>
      <c r="L590" s="105" t="n"/>
      <c r="M590" s="105" t="n"/>
      <c r="N590" s="105" t="n"/>
      <c r="O590" s="105" t="n"/>
      <c r="P590" s="105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5" t="n"/>
      <c r="B591" s="105" t="n"/>
      <c r="C591" s="105" t="n"/>
      <c r="D591" s="105" t="n"/>
      <c r="E591" s="105" t="n"/>
      <c r="F591" s="105" t="n"/>
      <c r="G591" s="105" t="n"/>
      <c r="H591" s="105" t="n"/>
      <c r="I591" s="105" t="n"/>
      <c r="J591" s="105" t="n"/>
      <c r="K591" s="105" t="n"/>
      <c r="L591" s="105" t="n"/>
      <c r="M591" s="105" t="n"/>
      <c r="N591" s="105" t="n"/>
      <c r="O591" s="105" t="n"/>
      <c r="P591" s="105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5" t="n"/>
      <c r="B592" s="105" t="n"/>
      <c r="C592" s="105" t="n"/>
      <c r="D592" s="105" t="n"/>
      <c r="E592" s="105" t="n"/>
      <c r="F592" s="105" t="n"/>
      <c r="G592" s="105" t="n"/>
      <c r="H592" s="105" t="n"/>
      <c r="I592" s="105" t="n"/>
      <c r="J592" s="105" t="n"/>
      <c r="K592" s="105" t="n"/>
      <c r="L592" s="105" t="n"/>
      <c r="M592" s="105" t="n"/>
      <c r="N592" s="105" t="n"/>
      <c r="O592" s="105" t="n"/>
      <c r="P592" s="105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5" t="n"/>
      <c r="B593" s="105" t="n"/>
      <c r="C593" s="105" t="n"/>
      <c r="D593" s="105" t="n"/>
      <c r="E593" s="105" t="n"/>
      <c r="F593" s="105" t="n"/>
      <c r="G593" s="105" t="n"/>
      <c r="H593" s="105" t="n"/>
      <c r="I593" s="105" t="n"/>
      <c r="J593" s="105" t="n"/>
      <c r="K593" s="105" t="n"/>
      <c r="L593" s="105" t="n"/>
      <c r="M593" s="105" t="n"/>
      <c r="N593" s="105" t="n"/>
      <c r="O593" s="105" t="n"/>
      <c r="P593" s="105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5" t="n"/>
      <c r="B594" s="105" t="n"/>
      <c r="C594" s="105" t="n"/>
      <c r="D594" s="105" t="n"/>
      <c r="E594" s="105" t="n"/>
      <c r="F594" s="105" t="n"/>
      <c r="G594" s="105" t="n"/>
      <c r="H594" s="105" t="n"/>
      <c r="I594" s="105" t="n"/>
      <c r="J594" s="105" t="n"/>
      <c r="K594" s="105" t="n"/>
      <c r="L594" s="105" t="n"/>
      <c r="M594" s="105" t="n"/>
      <c r="N594" s="105" t="n"/>
      <c r="O594" s="105" t="n"/>
      <c r="P594" s="105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5" t="n"/>
      <c r="B595" s="105" t="n"/>
      <c r="C595" s="105" t="n"/>
      <c r="D595" s="105" t="n"/>
      <c r="E595" s="105" t="n"/>
      <c r="F595" s="105" t="n"/>
      <c r="G595" s="105" t="n"/>
      <c r="H595" s="105" t="n"/>
      <c r="I595" s="105" t="n"/>
      <c r="J595" s="105" t="n"/>
      <c r="K595" s="105" t="n"/>
      <c r="L595" s="105" t="n"/>
      <c r="M595" s="105" t="n"/>
      <c r="N595" s="105" t="n"/>
      <c r="O595" s="105" t="n"/>
      <c r="P595" s="105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5" t="n"/>
      <c r="B596" s="105" t="n"/>
      <c r="C596" s="105" t="n"/>
      <c r="D596" s="105" t="n"/>
      <c r="E596" s="105" t="n"/>
      <c r="F596" s="105" t="n"/>
      <c r="G596" s="105" t="n"/>
      <c r="H596" s="105" t="n"/>
      <c r="I596" s="105" t="n"/>
      <c r="J596" s="105" t="n"/>
      <c r="K596" s="105" t="n"/>
      <c r="L596" s="105" t="n"/>
      <c r="M596" s="105" t="n"/>
      <c r="N596" s="105" t="n"/>
      <c r="O596" s="105" t="n"/>
      <c r="P596" s="105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5" t="n"/>
      <c r="B597" s="105" t="n"/>
      <c r="C597" s="105" t="n"/>
      <c r="D597" s="105" t="n"/>
      <c r="E597" s="105" t="n"/>
      <c r="F597" s="105" t="n"/>
      <c r="G597" s="105" t="n"/>
      <c r="H597" s="105" t="n"/>
      <c r="I597" s="105" t="n"/>
      <c r="J597" s="105" t="n"/>
      <c r="K597" s="105" t="n"/>
      <c r="L597" s="105" t="n"/>
      <c r="M597" s="105" t="n"/>
      <c r="N597" s="105" t="n"/>
      <c r="O597" s="105" t="n"/>
      <c r="P597" s="105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5" t="n"/>
      <c r="B598" s="105" t="n"/>
      <c r="C598" s="105" t="n"/>
      <c r="D598" s="105" t="n"/>
      <c r="E598" s="105" t="n"/>
      <c r="F598" s="105" t="n"/>
      <c r="G598" s="105" t="n"/>
      <c r="H598" s="105" t="n"/>
      <c r="I598" s="105" t="n"/>
      <c r="J598" s="105" t="n"/>
      <c r="K598" s="105" t="n"/>
      <c r="L598" s="105" t="n"/>
      <c r="M598" s="105" t="n"/>
      <c r="N598" s="105" t="n"/>
      <c r="O598" s="105" t="n"/>
      <c r="P598" s="105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5" t="n"/>
      <c r="B599" s="105" t="n"/>
      <c r="C599" s="105" t="n"/>
      <c r="D599" s="105" t="n"/>
      <c r="E599" s="105" t="n"/>
      <c r="F599" s="105" t="n"/>
      <c r="G599" s="105" t="n"/>
      <c r="H599" s="105" t="n"/>
      <c r="I599" s="105" t="n"/>
      <c r="J599" s="105" t="n"/>
      <c r="K599" s="105" t="n"/>
      <c r="L599" s="105" t="n"/>
      <c r="M599" s="105" t="n"/>
      <c r="N599" s="105" t="n"/>
      <c r="O599" s="105" t="n"/>
      <c r="P599" s="105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5" t="n"/>
      <c r="B600" s="105" t="n"/>
      <c r="C600" s="105" t="n"/>
      <c r="D600" s="105" t="n"/>
      <c r="E600" s="105" t="n"/>
      <c r="F600" s="105" t="n"/>
      <c r="G600" s="105" t="n"/>
      <c r="H600" s="105" t="n"/>
      <c r="I600" s="105" t="n"/>
      <c r="J600" s="105" t="n"/>
      <c r="K600" s="105" t="n"/>
      <c r="L600" s="105" t="n"/>
      <c r="M600" s="105" t="n"/>
      <c r="N600" s="105" t="n"/>
      <c r="O600" s="105" t="n"/>
      <c r="P600" s="105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5" t="n"/>
      <c r="B601" s="105" t="n"/>
      <c r="C601" s="105" t="n"/>
      <c r="D601" s="105" t="n"/>
      <c r="E601" s="105" t="n"/>
      <c r="F601" s="105" t="n"/>
      <c r="G601" s="105" t="n"/>
      <c r="H601" s="105" t="n"/>
      <c r="I601" s="105" t="n"/>
      <c r="J601" s="105" t="n"/>
      <c r="K601" s="105" t="n"/>
      <c r="L601" s="105" t="n"/>
      <c r="M601" s="105" t="n"/>
      <c r="N601" s="105" t="n"/>
      <c r="O601" s="105" t="n"/>
      <c r="P601" s="105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5" t="n"/>
      <c r="B602" s="105" t="n"/>
      <c r="C602" s="105" t="n"/>
      <c r="D602" s="105" t="n"/>
      <c r="E602" s="105" t="n"/>
      <c r="F602" s="105" t="n"/>
      <c r="G602" s="105" t="n"/>
      <c r="H602" s="105" t="n"/>
      <c r="I602" s="105" t="n"/>
      <c r="J602" s="105" t="n"/>
      <c r="K602" s="105" t="n"/>
      <c r="L602" s="105" t="n"/>
      <c r="M602" s="105" t="n"/>
      <c r="N602" s="105" t="n"/>
      <c r="O602" s="105" t="n"/>
      <c r="P602" s="105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5" t="n"/>
      <c r="B603" s="105" t="n"/>
      <c r="C603" s="105" t="n"/>
      <c r="D603" s="105" t="n"/>
      <c r="E603" s="105" t="n"/>
      <c r="F603" s="105" t="n"/>
      <c r="G603" s="105" t="n"/>
      <c r="H603" s="105" t="n"/>
      <c r="I603" s="105" t="n"/>
      <c r="J603" s="105" t="n"/>
      <c r="K603" s="105" t="n"/>
      <c r="L603" s="105" t="n"/>
      <c r="M603" s="105" t="n"/>
      <c r="N603" s="105" t="n"/>
      <c r="O603" s="105" t="n"/>
      <c r="P603" s="105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5" t="n"/>
      <c r="B604" s="105" t="n"/>
      <c r="C604" s="105" t="n"/>
      <c r="D604" s="105" t="n"/>
      <c r="E604" s="105" t="n"/>
      <c r="F604" s="105" t="n"/>
      <c r="G604" s="105" t="n"/>
      <c r="H604" s="105" t="n"/>
      <c r="I604" s="105" t="n"/>
      <c r="J604" s="105" t="n"/>
      <c r="K604" s="105" t="n"/>
      <c r="L604" s="105" t="n"/>
      <c r="M604" s="105" t="n"/>
      <c r="N604" s="105" t="n"/>
      <c r="O604" s="105" t="n"/>
      <c r="P604" s="105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5" t="n"/>
      <c r="B605" s="105" t="n"/>
      <c r="C605" s="105" t="n"/>
      <c r="D605" s="105" t="n"/>
      <c r="E605" s="105" t="n"/>
      <c r="F605" s="105" t="n"/>
      <c r="G605" s="105" t="n"/>
      <c r="H605" s="105" t="n"/>
      <c r="I605" s="105" t="n"/>
      <c r="J605" s="105" t="n"/>
      <c r="K605" s="105" t="n"/>
      <c r="L605" s="105" t="n"/>
      <c r="M605" s="105" t="n"/>
      <c r="N605" s="105" t="n"/>
      <c r="O605" s="105" t="n"/>
      <c r="P605" s="105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5" t="n"/>
      <c r="B606" s="105" t="n"/>
      <c r="C606" s="105" t="n"/>
      <c r="D606" s="105" t="n"/>
      <c r="E606" s="105" t="n"/>
      <c r="F606" s="105" t="n"/>
      <c r="G606" s="105" t="n"/>
      <c r="H606" s="105" t="n"/>
      <c r="I606" s="105" t="n"/>
      <c r="J606" s="105" t="n"/>
      <c r="K606" s="105" t="n"/>
      <c r="L606" s="105" t="n"/>
      <c r="M606" s="105" t="n"/>
      <c r="N606" s="105" t="n"/>
      <c r="O606" s="105" t="n"/>
      <c r="P606" s="105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5" t="n"/>
      <c r="B607" s="105" t="n"/>
      <c r="C607" s="105" t="n"/>
      <c r="D607" s="105" t="n"/>
      <c r="E607" s="105" t="n"/>
      <c r="F607" s="105" t="n"/>
      <c r="G607" s="105" t="n"/>
      <c r="H607" s="105" t="n"/>
      <c r="I607" s="105" t="n"/>
      <c r="J607" s="105" t="n"/>
      <c r="K607" s="105" t="n"/>
      <c r="L607" s="105" t="n"/>
      <c r="M607" s="105" t="n"/>
      <c r="N607" s="105" t="n"/>
      <c r="O607" s="105" t="n"/>
      <c r="P607" s="105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5" t="n"/>
      <c r="B608" s="105" t="n"/>
      <c r="C608" s="105" t="n"/>
      <c r="D608" s="105" t="n"/>
      <c r="E608" s="105" t="n"/>
      <c r="F608" s="105" t="n"/>
      <c r="G608" s="105" t="n"/>
      <c r="H608" s="105" t="n"/>
      <c r="I608" s="105" t="n"/>
      <c r="J608" s="105" t="n"/>
      <c r="K608" s="105" t="n"/>
      <c r="L608" s="105" t="n"/>
      <c r="M608" s="105" t="n"/>
      <c r="N608" s="105" t="n"/>
      <c r="O608" s="105" t="n"/>
      <c r="P608" s="105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5" t="n"/>
      <c r="B609" s="105" t="n"/>
      <c r="C609" s="105" t="n"/>
      <c r="D609" s="105" t="n"/>
      <c r="E609" s="105" t="n"/>
      <c r="F609" s="105" t="n"/>
      <c r="G609" s="105" t="n"/>
      <c r="H609" s="105" t="n"/>
      <c r="I609" s="105" t="n"/>
      <c r="J609" s="105" t="n"/>
      <c r="K609" s="105" t="n"/>
      <c r="L609" s="105" t="n"/>
      <c r="M609" s="105" t="n"/>
      <c r="N609" s="105" t="n"/>
      <c r="O609" s="105" t="n"/>
      <c r="P609" s="105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5" t="n"/>
      <c r="B610" s="105" t="n"/>
      <c r="C610" s="105" t="n"/>
      <c r="D610" s="105" t="n"/>
      <c r="E610" s="105" t="n"/>
      <c r="F610" s="105" t="n"/>
      <c r="G610" s="105" t="n"/>
      <c r="H610" s="105" t="n"/>
      <c r="I610" s="105" t="n"/>
      <c r="J610" s="105" t="n"/>
      <c r="K610" s="105" t="n"/>
      <c r="L610" s="105" t="n"/>
      <c r="M610" s="105" t="n"/>
      <c r="N610" s="105" t="n"/>
      <c r="O610" s="105" t="n"/>
      <c r="P610" s="105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5" t="n"/>
      <c r="B611" s="105" t="n"/>
      <c r="C611" s="105" t="n"/>
      <c r="D611" s="105" t="n"/>
      <c r="E611" s="105" t="n"/>
      <c r="F611" s="105" t="n"/>
      <c r="G611" s="105" t="n"/>
      <c r="H611" s="105" t="n"/>
      <c r="I611" s="105" t="n"/>
      <c r="J611" s="105" t="n"/>
      <c r="K611" s="105" t="n"/>
      <c r="L611" s="105" t="n"/>
      <c r="M611" s="105" t="n"/>
      <c r="N611" s="105" t="n"/>
      <c r="O611" s="105" t="n"/>
      <c r="P611" s="105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5" t="n"/>
      <c r="B612" s="105" t="n"/>
      <c r="C612" s="105" t="n"/>
      <c r="D612" s="105" t="n"/>
      <c r="E612" s="105" t="n"/>
      <c r="F612" s="105" t="n"/>
      <c r="G612" s="105" t="n"/>
      <c r="H612" s="105" t="n"/>
      <c r="I612" s="105" t="n"/>
      <c r="J612" s="105" t="n"/>
      <c r="K612" s="105" t="n"/>
      <c r="L612" s="105" t="n"/>
      <c r="M612" s="105" t="n"/>
      <c r="N612" s="105" t="n"/>
      <c r="O612" s="105" t="n"/>
      <c r="P612" s="105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5" t="n"/>
      <c r="B613" s="105" t="n"/>
      <c r="C613" s="105" t="n"/>
      <c r="D613" s="105" t="n"/>
      <c r="E613" s="105" t="n"/>
      <c r="F613" s="105" t="n"/>
      <c r="G613" s="105" t="n"/>
      <c r="H613" s="105" t="n"/>
      <c r="I613" s="105" t="n"/>
      <c r="J613" s="105" t="n"/>
      <c r="K613" s="105" t="n"/>
      <c r="L613" s="105" t="n"/>
      <c r="M613" s="105" t="n"/>
      <c r="N613" s="105" t="n"/>
      <c r="O613" s="105" t="n"/>
      <c r="P613" s="105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5" t="n"/>
      <c r="B614" s="105" t="n"/>
      <c r="C614" s="105" t="n"/>
      <c r="D614" s="105" t="n"/>
      <c r="E614" s="105" t="n"/>
      <c r="F614" s="105" t="n"/>
      <c r="G614" s="105" t="n"/>
      <c r="H614" s="105" t="n"/>
      <c r="I614" s="105" t="n"/>
      <c r="J614" s="105" t="n"/>
      <c r="K614" s="105" t="n"/>
      <c r="L614" s="105" t="n"/>
      <c r="M614" s="105" t="n"/>
      <c r="N614" s="105" t="n"/>
      <c r="O614" s="105" t="n"/>
      <c r="P614" s="105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5" t="n"/>
      <c r="B615" s="105" t="n"/>
      <c r="C615" s="105" t="n"/>
      <c r="D615" s="105" t="n"/>
      <c r="E615" s="105" t="n"/>
      <c r="F615" s="105" t="n"/>
      <c r="G615" s="105" t="n"/>
      <c r="H615" s="105" t="n"/>
      <c r="I615" s="105" t="n"/>
      <c r="J615" s="105" t="n"/>
      <c r="K615" s="105" t="n"/>
      <c r="L615" s="105" t="n"/>
      <c r="M615" s="105" t="n"/>
      <c r="N615" s="105" t="n"/>
      <c r="O615" s="105" t="n"/>
      <c r="P615" s="105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5" t="n"/>
      <c r="B616" s="105" t="n"/>
      <c r="C616" s="105" t="n"/>
      <c r="D616" s="105" t="n"/>
      <c r="E616" s="105" t="n"/>
      <c r="F616" s="105" t="n"/>
      <c r="G616" s="105" t="n"/>
      <c r="H616" s="105" t="n"/>
      <c r="I616" s="105" t="n"/>
      <c r="J616" s="105" t="n"/>
      <c r="K616" s="105" t="n"/>
      <c r="L616" s="105" t="n"/>
      <c r="M616" s="105" t="n"/>
      <c r="N616" s="105" t="n"/>
      <c r="O616" s="105" t="n"/>
      <c r="P616" s="105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5" t="n"/>
      <c r="B617" s="105" t="n"/>
      <c r="C617" s="105" t="n"/>
      <c r="D617" s="105" t="n"/>
      <c r="E617" s="105" t="n"/>
      <c r="F617" s="105" t="n"/>
      <c r="G617" s="105" t="n"/>
      <c r="H617" s="105" t="n"/>
      <c r="I617" s="105" t="n"/>
      <c r="J617" s="105" t="n"/>
      <c r="K617" s="105" t="n"/>
      <c r="L617" s="105" t="n"/>
      <c r="M617" s="105" t="n"/>
      <c r="N617" s="105" t="n"/>
      <c r="O617" s="105" t="n"/>
      <c r="P617" s="105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5" t="n"/>
      <c r="B618" s="105" t="n"/>
      <c r="C618" s="105" t="n"/>
      <c r="D618" s="105" t="n"/>
      <c r="E618" s="105" t="n"/>
      <c r="F618" s="105" t="n"/>
      <c r="G618" s="105" t="n"/>
      <c r="H618" s="105" t="n"/>
      <c r="I618" s="105" t="n"/>
      <c r="J618" s="105" t="n"/>
      <c r="K618" s="105" t="n"/>
      <c r="L618" s="105" t="n"/>
      <c r="M618" s="105" t="n"/>
      <c r="N618" s="105" t="n"/>
      <c r="O618" s="105" t="n"/>
      <c r="P618" s="105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5" t="n"/>
      <c r="B619" s="105" t="n"/>
      <c r="C619" s="105" t="n"/>
      <c r="D619" s="105" t="n"/>
      <c r="E619" s="105" t="n"/>
      <c r="F619" s="105" t="n"/>
      <c r="G619" s="105" t="n"/>
      <c r="H619" s="105" t="n"/>
      <c r="I619" s="105" t="n"/>
      <c r="J619" s="105" t="n"/>
      <c r="K619" s="105" t="n"/>
      <c r="L619" s="105" t="n"/>
      <c r="M619" s="105" t="n"/>
      <c r="N619" s="105" t="n"/>
      <c r="O619" s="105" t="n"/>
      <c r="P619" s="105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5" t="n"/>
      <c r="B620" s="105" t="n"/>
      <c r="C620" s="105" t="n"/>
      <c r="D620" s="105" t="n"/>
      <c r="E620" s="105" t="n"/>
      <c r="F620" s="105" t="n"/>
      <c r="G620" s="105" t="n"/>
      <c r="H620" s="105" t="n"/>
      <c r="I620" s="105" t="n"/>
      <c r="J620" s="105" t="n"/>
      <c r="K620" s="105" t="n"/>
      <c r="L620" s="105" t="n"/>
      <c r="M620" s="105" t="n"/>
      <c r="N620" s="105" t="n"/>
      <c r="O620" s="105" t="n"/>
      <c r="P620" s="105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5" t="n"/>
      <c r="B621" s="105" t="n"/>
      <c r="C621" s="105" t="n"/>
      <c r="D621" s="105" t="n"/>
      <c r="E621" s="105" t="n"/>
      <c r="F621" s="105" t="n"/>
      <c r="G621" s="105" t="n"/>
      <c r="H621" s="105" t="n"/>
      <c r="I621" s="105" t="n"/>
      <c r="J621" s="105" t="n"/>
      <c r="K621" s="105" t="n"/>
      <c r="L621" s="105" t="n"/>
      <c r="M621" s="105" t="n"/>
      <c r="N621" s="105" t="n"/>
      <c r="O621" s="105" t="n"/>
      <c r="P621" s="105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5" t="n"/>
      <c r="B622" s="105" t="n"/>
      <c r="C622" s="105" t="n"/>
      <c r="D622" s="105" t="n"/>
      <c r="E622" s="105" t="n"/>
      <c r="F622" s="105" t="n"/>
      <c r="G622" s="105" t="n"/>
      <c r="H622" s="105" t="n"/>
      <c r="I622" s="105" t="n"/>
      <c r="J622" s="105" t="n"/>
      <c r="K622" s="105" t="n"/>
      <c r="L622" s="105" t="n"/>
      <c r="M622" s="105" t="n"/>
      <c r="N622" s="105" t="n"/>
      <c r="O622" s="105" t="n"/>
      <c r="P622" s="105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5" t="n"/>
      <c r="B623" s="105" t="n"/>
      <c r="C623" s="105" t="n"/>
      <c r="D623" s="105" t="n"/>
      <c r="E623" s="105" t="n"/>
      <c r="F623" s="105" t="n"/>
      <c r="G623" s="105" t="n"/>
      <c r="H623" s="105" t="n"/>
      <c r="I623" s="105" t="n"/>
      <c r="J623" s="105" t="n"/>
      <c r="K623" s="105" t="n"/>
      <c r="L623" s="105" t="n"/>
      <c r="M623" s="105" t="n"/>
      <c r="N623" s="105" t="n"/>
      <c r="O623" s="105" t="n"/>
      <c r="P623" s="105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5" t="n"/>
      <c r="B624" s="105" t="n"/>
      <c r="C624" s="105" t="n"/>
      <c r="D624" s="105" t="n"/>
      <c r="E624" s="105" t="n"/>
      <c r="F624" s="105" t="n"/>
      <c r="G624" s="105" t="n"/>
      <c r="H624" s="105" t="n"/>
      <c r="I624" s="105" t="n"/>
      <c r="J624" s="105" t="n"/>
      <c r="K624" s="105" t="n"/>
      <c r="L624" s="105" t="n"/>
      <c r="M624" s="105" t="n"/>
      <c r="N624" s="105" t="n"/>
      <c r="O624" s="105" t="n"/>
      <c r="P624" s="105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5" t="n"/>
      <c r="B625" s="105" t="n"/>
      <c r="C625" s="105" t="n"/>
      <c r="D625" s="105" t="n"/>
      <c r="E625" s="105" t="n"/>
      <c r="F625" s="105" t="n"/>
      <c r="G625" s="105" t="n"/>
      <c r="H625" s="105" t="n"/>
      <c r="I625" s="105" t="n"/>
      <c r="J625" s="105" t="n"/>
      <c r="K625" s="105" t="n"/>
      <c r="L625" s="105" t="n"/>
      <c r="M625" s="105" t="n"/>
      <c r="N625" s="105" t="n"/>
      <c r="O625" s="105" t="n"/>
      <c r="P625" s="105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5" t="n"/>
      <c r="B626" s="105" t="n"/>
      <c r="C626" s="105" t="n"/>
      <c r="D626" s="105" t="n"/>
      <c r="E626" s="105" t="n"/>
      <c r="F626" s="105" t="n"/>
      <c r="G626" s="105" t="n"/>
      <c r="H626" s="105" t="n"/>
      <c r="I626" s="105" t="n"/>
      <c r="J626" s="105" t="n"/>
      <c r="K626" s="105" t="n"/>
      <c r="L626" s="105" t="n"/>
      <c r="M626" s="105" t="n"/>
      <c r="N626" s="105" t="n"/>
      <c r="O626" s="105" t="n"/>
      <c r="P626" s="105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5" t="n"/>
      <c r="B627" s="105" t="n"/>
      <c r="C627" s="105" t="n"/>
      <c r="D627" s="105" t="n"/>
      <c r="E627" s="105" t="n"/>
      <c r="F627" s="105" t="n"/>
      <c r="G627" s="105" t="n"/>
      <c r="H627" s="105" t="n"/>
      <c r="I627" s="105" t="n"/>
      <c r="J627" s="105" t="n"/>
      <c r="K627" s="105" t="n"/>
      <c r="L627" s="105" t="n"/>
      <c r="M627" s="105" t="n"/>
      <c r="N627" s="105" t="n"/>
      <c r="O627" s="105" t="n"/>
      <c r="P627" s="105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5" t="n"/>
      <c r="B628" s="105" t="n"/>
      <c r="C628" s="105" t="n"/>
      <c r="D628" s="105" t="n"/>
      <c r="E628" s="105" t="n"/>
      <c r="F628" s="105" t="n"/>
      <c r="G628" s="105" t="n"/>
      <c r="H628" s="105" t="n"/>
      <c r="I628" s="105" t="n"/>
      <c r="J628" s="105" t="n"/>
      <c r="K628" s="105" t="n"/>
      <c r="L628" s="105" t="n"/>
      <c r="M628" s="105" t="n"/>
      <c r="N628" s="105" t="n"/>
      <c r="O628" s="105" t="n"/>
      <c r="P628" s="105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5" t="n"/>
      <c r="B629" s="105" t="n"/>
      <c r="C629" s="105" t="n"/>
      <c r="D629" s="105" t="n"/>
      <c r="E629" s="105" t="n"/>
      <c r="F629" s="105" t="n"/>
      <c r="G629" s="105" t="n"/>
      <c r="H629" s="105" t="n"/>
      <c r="I629" s="105" t="n"/>
      <c r="J629" s="105" t="n"/>
      <c r="K629" s="105" t="n"/>
      <c r="L629" s="105" t="n"/>
      <c r="M629" s="105" t="n"/>
      <c r="N629" s="105" t="n"/>
      <c r="O629" s="105" t="n"/>
      <c r="P629" s="105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5" t="n"/>
      <c r="B630" s="105" t="n"/>
      <c r="C630" s="105" t="n"/>
      <c r="D630" s="105" t="n"/>
      <c r="E630" s="105" t="n"/>
      <c r="F630" s="105" t="n"/>
      <c r="G630" s="105" t="n"/>
      <c r="H630" s="105" t="n"/>
      <c r="I630" s="105" t="n"/>
      <c r="J630" s="105" t="n"/>
      <c r="K630" s="105" t="n"/>
      <c r="L630" s="105" t="n"/>
      <c r="M630" s="105" t="n"/>
      <c r="N630" s="105" t="n"/>
      <c r="O630" s="105" t="n"/>
      <c r="P630" s="105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5" t="n"/>
      <c r="B631" s="105" t="n"/>
      <c r="C631" s="105" t="n"/>
      <c r="D631" s="105" t="n"/>
      <c r="E631" s="105" t="n"/>
      <c r="F631" s="105" t="n"/>
      <c r="G631" s="105" t="n"/>
      <c r="H631" s="105" t="n"/>
      <c r="I631" s="105" t="n"/>
      <c r="J631" s="105" t="n"/>
      <c r="K631" s="105" t="n"/>
      <c r="L631" s="105" t="n"/>
      <c r="M631" s="105" t="n"/>
      <c r="N631" s="105" t="n"/>
      <c r="O631" s="105" t="n"/>
      <c r="P631" s="105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5" t="n"/>
      <c r="B632" s="105" t="n"/>
      <c r="C632" s="105" t="n"/>
      <c r="D632" s="105" t="n"/>
      <c r="E632" s="105" t="n"/>
      <c r="F632" s="105" t="n"/>
      <c r="G632" s="105" t="n"/>
      <c r="H632" s="105" t="n"/>
      <c r="I632" s="105" t="n"/>
      <c r="J632" s="105" t="n"/>
      <c r="K632" s="105" t="n"/>
      <c r="L632" s="105" t="n"/>
      <c r="M632" s="105" t="n"/>
      <c r="N632" s="105" t="n"/>
      <c r="O632" s="105" t="n"/>
      <c r="P632" s="105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5" t="n"/>
      <c r="B633" s="105" t="n"/>
      <c r="C633" s="105" t="n"/>
      <c r="D633" s="105" t="n"/>
      <c r="E633" s="105" t="n"/>
      <c r="F633" s="105" t="n"/>
      <c r="G633" s="105" t="n"/>
      <c r="H633" s="105" t="n"/>
      <c r="I633" s="105" t="n"/>
      <c r="J633" s="105" t="n"/>
      <c r="K633" s="105" t="n"/>
      <c r="L633" s="105" t="n"/>
      <c r="M633" s="105" t="n"/>
      <c r="N633" s="105" t="n"/>
      <c r="O633" s="105" t="n"/>
      <c r="P633" s="105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5" t="n"/>
      <c r="B634" s="105" t="n"/>
      <c r="C634" s="105" t="n"/>
      <c r="D634" s="105" t="n"/>
      <c r="E634" s="105" t="n"/>
      <c r="F634" s="105" t="n"/>
      <c r="G634" s="105" t="n"/>
      <c r="H634" s="105" t="n"/>
      <c r="I634" s="105" t="n"/>
      <c r="J634" s="105" t="n"/>
      <c r="K634" s="105" t="n"/>
      <c r="L634" s="105" t="n"/>
      <c r="M634" s="105" t="n"/>
      <c r="N634" s="105" t="n"/>
      <c r="O634" s="105" t="n"/>
      <c r="P634" s="105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5" t="n"/>
      <c r="B635" s="105" t="n"/>
      <c r="C635" s="105" t="n"/>
      <c r="D635" s="105" t="n"/>
      <c r="E635" s="105" t="n"/>
      <c r="F635" s="105" t="n"/>
      <c r="G635" s="105" t="n"/>
      <c r="H635" s="105" t="n"/>
      <c r="I635" s="105" t="n"/>
      <c r="J635" s="105" t="n"/>
      <c r="K635" s="105" t="n"/>
      <c r="L635" s="105" t="n"/>
      <c r="M635" s="105" t="n"/>
      <c r="N635" s="105" t="n"/>
      <c r="O635" s="105" t="n"/>
      <c r="P635" s="105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5" t="n"/>
      <c r="B636" s="105" t="n"/>
      <c r="C636" s="105" t="n"/>
      <c r="D636" s="105" t="n"/>
      <c r="E636" s="105" t="n"/>
      <c r="F636" s="105" t="n"/>
      <c r="G636" s="105" t="n"/>
      <c r="H636" s="105" t="n"/>
      <c r="I636" s="105" t="n"/>
      <c r="J636" s="105" t="n"/>
      <c r="K636" s="105" t="n"/>
      <c r="L636" s="105" t="n"/>
      <c r="M636" s="105" t="n"/>
      <c r="N636" s="105" t="n"/>
      <c r="O636" s="105" t="n"/>
      <c r="P636" s="105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5" t="n"/>
      <c r="B637" s="105" t="n"/>
      <c r="C637" s="105" t="n"/>
      <c r="D637" s="105" t="n"/>
      <c r="E637" s="105" t="n"/>
      <c r="F637" s="105" t="n"/>
      <c r="G637" s="105" t="n"/>
      <c r="H637" s="105" t="n"/>
      <c r="I637" s="105" t="n"/>
      <c r="J637" s="105" t="n"/>
      <c r="K637" s="105" t="n"/>
      <c r="L637" s="105" t="n"/>
      <c r="M637" s="105" t="n"/>
      <c r="N637" s="105" t="n"/>
      <c r="O637" s="105" t="n"/>
      <c r="P637" s="105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5" t="n"/>
      <c r="B638" s="105" t="n"/>
      <c r="C638" s="105" t="n"/>
      <c r="D638" s="105" t="n"/>
      <c r="E638" s="105" t="n"/>
      <c r="F638" s="105" t="n"/>
      <c r="G638" s="105" t="n"/>
      <c r="H638" s="105" t="n"/>
      <c r="I638" s="105" t="n"/>
      <c r="J638" s="105" t="n"/>
      <c r="K638" s="105" t="n"/>
      <c r="L638" s="105" t="n"/>
      <c r="M638" s="105" t="n"/>
      <c r="N638" s="105" t="n"/>
      <c r="O638" s="105" t="n"/>
      <c r="P638" s="105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5" t="n"/>
      <c r="B639" s="105" t="n"/>
      <c r="C639" s="105" t="n"/>
      <c r="D639" s="105" t="n"/>
      <c r="E639" s="105" t="n"/>
      <c r="F639" s="105" t="n"/>
      <c r="G639" s="105" t="n"/>
      <c r="H639" s="105" t="n"/>
      <c r="I639" s="105" t="n"/>
      <c r="J639" s="105" t="n"/>
      <c r="K639" s="105" t="n"/>
      <c r="L639" s="105" t="n"/>
      <c r="M639" s="105" t="n"/>
      <c r="N639" s="105" t="n"/>
      <c r="O639" s="105" t="n"/>
      <c r="P639" s="105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5" t="n"/>
      <c r="B640" s="105" t="n"/>
      <c r="C640" s="105" t="n"/>
      <c r="D640" s="105" t="n"/>
      <c r="E640" s="105" t="n"/>
      <c r="F640" s="105" t="n"/>
      <c r="G640" s="105" t="n"/>
      <c r="H640" s="105" t="n"/>
      <c r="I640" s="105" t="n"/>
      <c r="J640" s="105" t="n"/>
      <c r="K640" s="105" t="n"/>
      <c r="L640" s="105" t="n"/>
      <c r="M640" s="105" t="n"/>
      <c r="N640" s="105" t="n"/>
      <c r="O640" s="105" t="n"/>
      <c r="P640" s="105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5" t="n"/>
      <c r="B641" s="105" t="n"/>
      <c r="C641" s="105" t="n"/>
      <c r="D641" s="105" t="n"/>
      <c r="E641" s="105" t="n"/>
      <c r="F641" s="105" t="n"/>
      <c r="G641" s="105" t="n"/>
      <c r="H641" s="105" t="n"/>
      <c r="I641" s="105" t="n"/>
      <c r="J641" s="105" t="n"/>
      <c r="K641" s="105" t="n"/>
      <c r="L641" s="105" t="n"/>
      <c r="M641" s="105" t="n"/>
      <c r="N641" s="105" t="n"/>
      <c r="O641" s="105" t="n"/>
      <c r="P641" s="105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5" t="n"/>
      <c r="B642" s="105" t="n"/>
      <c r="C642" s="105" t="n"/>
      <c r="D642" s="105" t="n"/>
      <c r="E642" s="105" t="n"/>
      <c r="F642" s="105" t="n"/>
      <c r="G642" s="105" t="n"/>
      <c r="H642" s="105" t="n"/>
      <c r="I642" s="105" t="n"/>
      <c r="J642" s="105" t="n"/>
      <c r="K642" s="105" t="n"/>
      <c r="L642" s="105" t="n"/>
      <c r="M642" s="105" t="n"/>
      <c r="N642" s="105" t="n"/>
      <c r="O642" s="105" t="n"/>
      <c r="P642" s="105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5" t="n"/>
      <c r="B643" s="105" t="n"/>
      <c r="C643" s="105" t="n"/>
      <c r="D643" s="105" t="n"/>
      <c r="E643" s="105" t="n"/>
      <c r="F643" s="105" t="n"/>
      <c r="G643" s="105" t="n"/>
      <c r="H643" s="105" t="n"/>
      <c r="I643" s="105" t="n"/>
      <c r="J643" s="105" t="n"/>
      <c r="K643" s="105" t="n"/>
      <c r="L643" s="105" t="n"/>
      <c r="M643" s="105" t="n"/>
      <c r="N643" s="105" t="n"/>
      <c r="O643" s="105" t="n"/>
      <c r="P643" s="105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5" t="n"/>
      <c r="B644" s="105" t="n"/>
      <c r="C644" s="105" t="n"/>
      <c r="D644" s="105" t="n"/>
      <c r="E644" s="105" t="n"/>
      <c r="F644" s="105" t="n"/>
      <c r="G644" s="105" t="n"/>
      <c r="H644" s="105" t="n"/>
      <c r="I644" s="105" t="n"/>
      <c r="J644" s="105" t="n"/>
      <c r="K644" s="105" t="n"/>
      <c r="L644" s="105" t="n"/>
      <c r="M644" s="105" t="n"/>
      <c r="N644" s="105" t="n"/>
      <c r="O644" s="105" t="n"/>
      <c r="P644" s="105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5" t="n"/>
      <c r="B645" s="105" t="n"/>
      <c r="C645" s="105" t="n"/>
      <c r="D645" s="105" t="n"/>
      <c r="E645" s="105" t="n"/>
      <c r="F645" s="105" t="n"/>
      <c r="G645" s="105" t="n"/>
      <c r="H645" s="105" t="n"/>
      <c r="I645" s="105" t="n"/>
      <c r="J645" s="105" t="n"/>
      <c r="K645" s="105" t="n"/>
      <c r="L645" s="105" t="n"/>
      <c r="M645" s="105" t="n"/>
      <c r="N645" s="105" t="n"/>
      <c r="O645" s="105" t="n"/>
      <c r="P645" s="105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5" t="n"/>
      <c r="B646" s="105" t="n"/>
      <c r="C646" s="105" t="n"/>
      <c r="D646" s="105" t="n"/>
      <c r="E646" s="105" t="n"/>
      <c r="F646" s="105" t="n"/>
      <c r="G646" s="105" t="n"/>
      <c r="H646" s="105" t="n"/>
      <c r="I646" s="105" t="n"/>
      <c r="J646" s="105" t="n"/>
      <c r="K646" s="105" t="n"/>
      <c r="L646" s="105" t="n"/>
      <c r="M646" s="105" t="n"/>
      <c r="N646" s="105" t="n"/>
      <c r="O646" s="105" t="n"/>
      <c r="P646" s="105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5" t="n"/>
      <c r="B647" s="105" t="n"/>
      <c r="C647" s="105" t="n"/>
      <c r="D647" s="105" t="n"/>
      <c r="E647" s="105" t="n"/>
      <c r="F647" s="105" t="n"/>
      <c r="G647" s="105" t="n"/>
      <c r="H647" s="105" t="n"/>
      <c r="I647" s="105" t="n"/>
      <c r="J647" s="105" t="n"/>
      <c r="K647" s="105" t="n"/>
      <c r="L647" s="105" t="n"/>
      <c r="M647" s="105" t="n"/>
      <c r="N647" s="105" t="n"/>
      <c r="O647" s="105" t="n"/>
      <c r="P647" s="105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5" t="n"/>
      <c r="B648" s="105" t="n"/>
      <c r="C648" s="105" t="n"/>
      <c r="D648" s="105" t="n"/>
      <c r="E648" s="105" t="n"/>
      <c r="F648" s="105" t="n"/>
      <c r="G648" s="105" t="n"/>
      <c r="H648" s="105" t="n"/>
      <c r="I648" s="105" t="n"/>
      <c r="J648" s="105" t="n"/>
      <c r="K648" s="105" t="n"/>
      <c r="L648" s="105" t="n"/>
      <c r="M648" s="105" t="n"/>
      <c r="N648" s="105" t="n"/>
      <c r="O648" s="105" t="n"/>
      <c r="P648" s="105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5" t="n"/>
      <c r="B649" s="105" t="n"/>
      <c r="C649" s="105" t="n"/>
      <c r="D649" s="105" t="n"/>
      <c r="E649" s="105" t="n"/>
      <c r="F649" s="105" t="n"/>
      <c r="G649" s="105" t="n"/>
      <c r="H649" s="105" t="n"/>
      <c r="I649" s="105" t="n"/>
      <c r="J649" s="105" t="n"/>
      <c r="K649" s="105" t="n"/>
      <c r="L649" s="105" t="n"/>
      <c r="M649" s="105" t="n"/>
      <c r="N649" s="105" t="n"/>
      <c r="O649" s="105" t="n"/>
      <c r="P649" s="105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5" t="n"/>
      <c r="B650" s="105" t="n"/>
      <c r="C650" s="105" t="n"/>
      <c r="D650" s="105" t="n"/>
      <c r="E650" s="105" t="n"/>
      <c r="F650" s="105" t="n"/>
      <c r="G650" s="105" t="n"/>
      <c r="H650" s="105" t="n"/>
      <c r="I650" s="105" t="n"/>
      <c r="J650" s="105" t="n"/>
      <c r="K650" s="105" t="n"/>
      <c r="L650" s="105" t="n"/>
      <c r="M650" s="105" t="n"/>
      <c r="N650" s="105" t="n"/>
      <c r="O650" s="105" t="n"/>
      <c r="P650" s="105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5" t="n"/>
      <c r="B651" s="105" t="n"/>
      <c r="C651" s="105" t="n"/>
      <c r="D651" s="105" t="n"/>
      <c r="E651" s="105" t="n"/>
      <c r="F651" s="105" t="n"/>
      <c r="G651" s="105" t="n"/>
      <c r="H651" s="105" t="n"/>
      <c r="I651" s="105" t="n"/>
      <c r="J651" s="105" t="n"/>
      <c r="K651" s="105" t="n"/>
      <c r="L651" s="105" t="n"/>
      <c r="M651" s="105" t="n"/>
      <c r="N651" s="105" t="n"/>
      <c r="O651" s="105" t="n"/>
      <c r="P651" s="105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5" t="n"/>
      <c r="B652" s="105" t="n"/>
      <c r="C652" s="105" t="n"/>
      <c r="D652" s="105" t="n"/>
      <c r="E652" s="105" t="n"/>
      <c r="F652" s="105" t="n"/>
      <c r="G652" s="105" t="n"/>
      <c r="H652" s="105" t="n"/>
      <c r="I652" s="105" t="n"/>
      <c r="J652" s="105" t="n"/>
      <c r="K652" s="105" t="n"/>
      <c r="L652" s="105" t="n"/>
      <c r="M652" s="105" t="n"/>
      <c r="N652" s="105" t="n"/>
      <c r="O652" s="105" t="n"/>
      <c r="P652" s="105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5" t="n"/>
      <c r="B653" s="105" t="n"/>
      <c r="C653" s="105" t="n"/>
      <c r="D653" s="105" t="n"/>
      <c r="E653" s="105" t="n"/>
      <c r="F653" s="105" t="n"/>
      <c r="G653" s="105" t="n"/>
      <c r="H653" s="105" t="n"/>
      <c r="I653" s="105" t="n"/>
      <c r="J653" s="105" t="n"/>
      <c r="K653" s="105" t="n"/>
      <c r="L653" s="105" t="n"/>
      <c r="M653" s="105" t="n"/>
      <c r="N653" s="105" t="n"/>
      <c r="O653" s="105" t="n"/>
      <c r="P653" s="105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5" t="n"/>
      <c r="B654" s="105" t="n"/>
      <c r="C654" s="105" t="n"/>
      <c r="D654" s="105" t="n"/>
      <c r="E654" s="105" t="n"/>
      <c r="F654" s="105" t="n"/>
      <c r="G654" s="105" t="n"/>
      <c r="H654" s="105" t="n"/>
      <c r="I654" s="105" t="n"/>
      <c r="J654" s="105" t="n"/>
      <c r="K654" s="105" t="n"/>
      <c r="L654" s="105" t="n"/>
      <c r="M654" s="105" t="n"/>
      <c r="N654" s="105" t="n"/>
      <c r="O654" s="105" t="n"/>
      <c r="P654" s="105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5" t="n"/>
      <c r="B655" s="105" t="n"/>
      <c r="C655" s="105" t="n"/>
      <c r="D655" s="105" t="n"/>
      <c r="E655" s="105" t="n"/>
      <c r="F655" s="105" t="n"/>
      <c r="G655" s="105" t="n"/>
      <c r="H655" s="105" t="n"/>
      <c r="I655" s="105" t="n"/>
      <c r="J655" s="105" t="n"/>
      <c r="K655" s="105" t="n"/>
      <c r="L655" s="105" t="n"/>
      <c r="M655" s="105" t="n"/>
      <c r="N655" s="105" t="n"/>
      <c r="O655" s="105" t="n"/>
      <c r="P655" s="105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5" t="n"/>
      <c r="B656" s="105" t="n"/>
      <c r="C656" s="105" t="n"/>
      <c r="D656" s="105" t="n"/>
      <c r="E656" s="105" t="n"/>
      <c r="F656" s="105" t="n"/>
      <c r="G656" s="105" t="n"/>
      <c r="H656" s="105" t="n"/>
      <c r="I656" s="105" t="n"/>
      <c r="J656" s="105" t="n"/>
      <c r="K656" s="105" t="n"/>
      <c r="L656" s="105" t="n"/>
      <c r="M656" s="105" t="n"/>
      <c r="N656" s="105" t="n"/>
      <c r="O656" s="105" t="n"/>
      <c r="P656" s="105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5" t="n"/>
      <c r="B657" s="105" t="n"/>
      <c r="C657" s="105" t="n"/>
      <c r="D657" s="105" t="n"/>
      <c r="E657" s="105" t="n"/>
      <c r="F657" s="105" t="n"/>
      <c r="G657" s="105" t="n"/>
      <c r="H657" s="105" t="n"/>
      <c r="I657" s="105" t="n"/>
      <c r="J657" s="105" t="n"/>
      <c r="K657" s="105" t="n"/>
      <c r="L657" s="105" t="n"/>
      <c r="M657" s="105" t="n"/>
      <c r="N657" s="105" t="n"/>
      <c r="O657" s="105" t="n"/>
      <c r="P657" s="105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5" t="n"/>
      <c r="B658" s="105" t="n"/>
      <c r="C658" s="105" t="n"/>
      <c r="D658" s="105" t="n"/>
      <c r="E658" s="105" t="n"/>
      <c r="F658" s="105" t="n"/>
      <c r="G658" s="105" t="n"/>
      <c r="H658" s="105" t="n"/>
      <c r="I658" s="105" t="n"/>
      <c r="J658" s="105" t="n"/>
      <c r="K658" s="105" t="n"/>
      <c r="L658" s="105" t="n"/>
      <c r="M658" s="105" t="n"/>
      <c r="N658" s="105" t="n"/>
      <c r="O658" s="105" t="n"/>
      <c r="P658" s="105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5" t="n"/>
      <c r="B659" s="105" t="n"/>
      <c r="C659" s="105" t="n"/>
      <c r="D659" s="105" t="n"/>
      <c r="E659" s="105" t="n"/>
      <c r="F659" s="105" t="n"/>
      <c r="G659" s="105" t="n"/>
      <c r="H659" s="105" t="n"/>
      <c r="I659" s="105" t="n"/>
      <c r="J659" s="105" t="n"/>
      <c r="K659" s="105" t="n"/>
      <c r="L659" s="105" t="n"/>
      <c r="M659" s="105" t="n"/>
      <c r="N659" s="105" t="n"/>
      <c r="O659" s="105" t="n"/>
      <c r="P659" s="105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5" t="n"/>
      <c r="B660" s="105" t="n"/>
      <c r="C660" s="105" t="n"/>
      <c r="D660" s="105" t="n"/>
      <c r="E660" s="105" t="n"/>
      <c r="F660" s="105" t="n"/>
      <c r="G660" s="105" t="n"/>
      <c r="H660" s="105" t="n"/>
      <c r="I660" s="105" t="n"/>
      <c r="J660" s="105" t="n"/>
      <c r="K660" s="105" t="n"/>
      <c r="L660" s="105" t="n"/>
      <c r="M660" s="105" t="n"/>
      <c r="N660" s="105" t="n"/>
      <c r="O660" s="105" t="n"/>
      <c r="P660" s="105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5" t="n"/>
      <c r="B661" s="105" t="n"/>
      <c r="C661" s="105" t="n"/>
      <c r="D661" s="105" t="n"/>
      <c r="E661" s="105" t="n"/>
      <c r="F661" s="105" t="n"/>
      <c r="G661" s="105" t="n"/>
      <c r="H661" s="105" t="n"/>
      <c r="I661" s="105" t="n"/>
      <c r="J661" s="105" t="n"/>
      <c r="K661" s="105" t="n"/>
      <c r="L661" s="105" t="n"/>
      <c r="M661" s="105" t="n"/>
      <c r="N661" s="105" t="n"/>
      <c r="O661" s="105" t="n"/>
      <c r="P661" s="105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5" t="n"/>
      <c r="B662" s="105" t="n"/>
      <c r="C662" s="105" t="n"/>
      <c r="D662" s="105" t="n"/>
      <c r="E662" s="105" t="n"/>
      <c r="F662" s="105" t="n"/>
      <c r="G662" s="105" t="n"/>
      <c r="H662" s="105" t="n"/>
      <c r="I662" s="105" t="n"/>
      <c r="J662" s="105" t="n"/>
      <c r="K662" s="105" t="n"/>
      <c r="L662" s="105" t="n"/>
      <c r="M662" s="105" t="n"/>
      <c r="N662" s="105" t="n"/>
      <c r="O662" s="105" t="n"/>
      <c r="P662" s="105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5" t="n"/>
      <c r="B663" s="105" t="n"/>
      <c r="C663" s="105" t="n"/>
      <c r="D663" s="105" t="n"/>
      <c r="E663" s="105" t="n"/>
      <c r="F663" s="105" t="n"/>
      <c r="G663" s="105" t="n"/>
      <c r="H663" s="105" t="n"/>
      <c r="I663" s="105" t="n"/>
      <c r="J663" s="105" t="n"/>
      <c r="K663" s="105" t="n"/>
      <c r="L663" s="105" t="n"/>
      <c r="M663" s="105" t="n"/>
      <c r="N663" s="105" t="n"/>
      <c r="O663" s="105" t="n"/>
      <c r="P663" s="105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5" t="n"/>
      <c r="B664" s="105" t="n"/>
      <c r="C664" s="105" t="n"/>
      <c r="D664" s="105" t="n"/>
      <c r="E664" s="105" t="n"/>
      <c r="F664" s="105" t="n"/>
      <c r="G664" s="105" t="n"/>
      <c r="H664" s="105" t="n"/>
      <c r="I664" s="105" t="n"/>
      <c r="J664" s="105" t="n"/>
      <c r="K664" s="105" t="n"/>
      <c r="L664" s="105" t="n"/>
      <c r="M664" s="105" t="n"/>
      <c r="N664" s="105" t="n"/>
      <c r="O664" s="105" t="n"/>
      <c r="P664" s="105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5" t="n"/>
      <c r="B665" s="105" t="n"/>
      <c r="C665" s="105" t="n"/>
      <c r="D665" s="105" t="n"/>
      <c r="E665" s="105" t="n"/>
      <c r="F665" s="105" t="n"/>
      <c r="G665" s="105" t="n"/>
      <c r="H665" s="105" t="n"/>
      <c r="I665" s="105" t="n"/>
      <c r="J665" s="105" t="n"/>
      <c r="K665" s="105" t="n"/>
      <c r="L665" s="105" t="n"/>
      <c r="M665" s="105" t="n"/>
      <c r="N665" s="105" t="n"/>
      <c r="O665" s="105" t="n"/>
      <c r="P665" s="105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5" t="n"/>
      <c r="B666" s="105" t="n"/>
      <c r="C666" s="105" t="n"/>
      <c r="D666" s="105" t="n"/>
      <c r="E666" s="105" t="n"/>
      <c r="F666" s="105" t="n"/>
      <c r="G666" s="105" t="n"/>
      <c r="H666" s="105" t="n"/>
      <c r="I666" s="105" t="n"/>
      <c r="J666" s="105" t="n"/>
      <c r="K666" s="105" t="n"/>
      <c r="L666" s="105" t="n"/>
      <c r="M666" s="105" t="n"/>
      <c r="N666" s="105" t="n"/>
      <c r="O666" s="105" t="n"/>
      <c r="P666" s="105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5" t="n"/>
      <c r="B667" s="105" t="n"/>
      <c r="C667" s="105" t="n"/>
      <c r="D667" s="105" t="n"/>
      <c r="E667" s="105" t="n"/>
      <c r="F667" s="105" t="n"/>
      <c r="G667" s="105" t="n"/>
      <c r="H667" s="105" t="n"/>
      <c r="I667" s="105" t="n"/>
      <c r="J667" s="105" t="n"/>
      <c r="K667" s="105" t="n"/>
      <c r="L667" s="105" t="n"/>
      <c r="M667" s="105" t="n"/>
      <c r="N667" s="105" t="n"/>
      <c r="O667" s="105" t="n"/>
      <c r="P667" s="105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5" t="n"/>
      <c r="B668" s="105" t="n"/>
      <c r="C668" s="105" t="n"/>
      <c r="D668" s="105" t="n"/>
      <c r="E668" s="105" t="n"/>
      <c r="F668" s="105" t="n"/>
      <c r="G668" s="105" t="n"/>
      <c r="H668" s="105" t="n"/>
      <c r="I668" s="105" t="n"/>
      <c r="J668" s="105" t="n"/>
      <c r="K668" s="105" t="n"/>
      <c r="L668" s="105" t="n"/>
      <c r="M668" s="105" t="n"/>
      <c r="N668" s="105" t="n"/>
      <c r="O668" s="105" t="n"/>
      <c r="P668" s="105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5" t="n"/>
      <c r="B669" s="105" t="n"/>
      <c r="C669" s="105" t="n"/>
      <c r="D669" s="105" t="n"/>
      <c r="E669" s="105" t="n"/>
      <c r="F669" s="105" t="n"/>
      <c r="G669" s="105" t="n"/>
      <c r="H669" s="105" t="n"/>
      <c r="I669" s="105" t="n"/>
      <c r="J669" s="105" t="n"/>
      <c r="K669" s="105" t="n"/>
      <c r="L669" s="105" t="n"/>
      <c r="M669" s="105" t="n"/>
      <c r="N669" s="105" t="n"/>
      <c r="O669" s="105" t="n"/>
      <c r="P669" s="105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5" t="n"/>
      <c r="B670" s="105" t="n"/>
      <c r="C670" s="105" t="n"/>
      <c r="D670" s="105" t="n"/>
      <c r="E670" s="105" t="n"/>
      <c r="F670" s="105" t="n"/>
      <c r="G670" s="105" t="n"/>
      <c r="H670" s="105" t="n"/>
      <c r="I670" s="105" t="n"/>
      <c r="J670" s="105" t="n"/>
      <c r="K670" s="105" t="n"/>
      <c r="L670" s="105" t="n"/>
      <c r="M670" s="105" t="n"/>
      <c r="N670" s="105" t="n"/>
      <c r="O670" s="105" t="n"/>
      <c r="P670" s="105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5" t="n"/>
      <c r="B671" s="105" t="n"/>
      <c r="C671" s="105" t="n"/>
      <c r="D671" s="105" t="n"/>
      <c r="E671" s="105" t="n"/>
      <c r="F671" s="105" t="n"/>
      <c r="G671" s="105" t="n"/>
      <c r="H671" s="105" t="n"/>
      <c r="I671" s="105" t="n"/>
      <c r="J671" s="105" t="n"/>
      <c r="K671" s="105" t="n"/>
      <c r="L671" s="105" t="n"/>
      <c r="M671" s="105" t="n"/>
      <c r="N671" s="105" t="n"/>
      <c r="O671" s="105" t="n"/>
      <c r="P671" s="105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5" t="n"/>
      <c r="B672" s="105" t="n"/>
      <c r="C672" s="105" t="n"/>
      <c r="D672" s="105" t="n"/>
      <c r="E672" s="105" t="n"/>
      <c r="F672" s="105" t="n"/>
      <c r="G672" s="105" t="n"/>
      <c r="H672" s="105" t="n"/>
      <c r="I672" s="105" t="n"/>
      <c r="J672" s="105" t="n"/>
      <c r="K672" s="105" t="n"/>
      <c r="L672" s="105" t="n"/>
      <c r="M672" s="105" t="n"/>
      <c r="N672" s="105" t="n"/>
      <c r="O672" s="105" t="n"/>
      <c r="P672" s="105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5" t="n"/>
      <c r="B673" s="105" t="n"/>
      <c r="C673" s="105" t="n"/>
      <c r="D673" s="105" t="n"/>
      <c r="E673" s="105" t="n"/>
      <c r="F673" s="105" t="n"/>
      <c r="G673" s="105" t="n"/>
      <c r="H673" s="105" t="n"/>
      <c r="I673" s="105" t="n"/>
      <c r="J673" s="105" t="n"/>
      <c r="K673" s="105" t="n"/>
      <c r="L673" s="105" t="n"/>
      <c r="M673" s="105" t="n"/>
      <c r="N673" s="105" t="n"/>
      <c r="O673" s="105" t="n"/>
      <c r="P673" s="105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5" t="n"/>
      <c r="B674" s="105" t="n"/>
      <c r="C674" s="105" t="n"/>
      <c r="D674" s="105" t="n"/>
      <c r="E674" s="105" t="n"/>
      <c r="F674" s="105" t="n"/>
      <c r="G674" s="105" t="n"/>
      <c r="H674" s="105" t="n"/>
      <c r="I674" s="105" t="n"/>
      <c r="J674" s="105" t="n"/>
      <c r="K674" s="105" t="n"/>
      <c r="L674" s="105" t="n"/>
      <c r="M674" s="105" t="n"/>
      <c r="N674" s="105" t="n"/>
      <c r="O674" s="105" t="n"/>
      <c r="P674" s="105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5" t="n"/>
      <c r="B675" s="105" t="n"/>
      <c r="C675" s="105" t="n"/>
      <c r="D675" s="105" t="n"/>
      <c r="E675" s="105" t="n"/>
      <c r="F675" s="105" t="n"/>
      <c r="G675" s="105" t="n"/>
      <c r="H675" s="105" t="n"/>
      <c r="I675" s="105" t="n"/>
      <c r="J675" s="105" t="n"/>
      <c r="K675" s="105" t="n"/>
      <c r="L675" s="105" t="n"/>
      <c r="M675" s="105" t="n"/>
      <c r="N675" s="105" t="n"/>
      <c r="O675" s="105" t="n"/>
      <c r="P675" s="105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5" t="n"/>
      <c r="B676" s="105" t="n"/>
      <c r="C676" s="105" t="n"/>
      <c r="D676" s="105" t="n"/>
      <c r="E676" s="105" t="n"/>
      <c r="F676" s="105" t="n"/>
      <c r="G676" s="105" t="n"/>
      <c r="H676" s="105" t="n"/>
      <c r="I676" s="105" t="n"/>
      <c r="J676" s="105" t="n"/>
      <c r="K676" s="105" t="n"/>
      <c r="L676" s="105" t="n"/>
      <c r="M676" s="105" t="n"/>
      <c r="N676" s="105" t="n"/>
      <c r="O676" s="105" t="n"/>
      <c r="P676" s="105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5" t="n"/>
      <c r="B677" s="105" t="n"/>
      <c r="C677" s="105" t="n"/>
      <c r="D677" s="105" t="n"/>
      <c r="E677" s="105" t="n"/>
      <c r="F677" s="105" t="n"/>
      <c r="G677" s="105" t="n"/>
      <c r="H677" s="105" t="n"/>
      <c r="I677" s="105" t="n"/>
      <c r="J677" s="105" t="n"/>
      <c r="K677" s="105" t="n"/>
      <c r="L677" s="105" t="n"/>
      <c r="M677" s="105" t="n"/>
      <c r="N677" s="105" t="n"/>
      <c r="O677" s="105" t="n"/>
      <c r="P677" s="105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5" t="n"/>
      <c r="B678" s="105" t="n"/>
      <c r="C678" s="105" t="n"/>
      <c r="D678" s="105" t="n"/>
      <c r="E678" s="105" t="n"/>
      <c r="F678" s="105" t="n"/>
      <c r="G678" s="105" t="n"/>
      <c r="H678" s="105" t="n"/>
      <c r="I678" s="105" t="n"/>
      <c r="J678" s="105" t="n"/>
      <c r="K678" s="105" t="n"/>
      <c r="L678" s="105" t="n"/>
      <c r="M678" s="105" t="n"/>
      <c r="N678" s="105" t="n"/>
      <c r="O678" s="105" t="n"/>
      <c r="P678" s="105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5" t="n"/>
      <c r="B679" s="105" t="n"/>
      <c r="C679" s="105" t="n"/>
      <c r="D679" s="105" t="n"/>
      <c r="E679" s="105" t="n"/>
      <c r="F679" s="105" t="n"/>
      <c r="G679" s="105" t="n"/>
      <c r="H679" s="105" t="n"/>
      <c r="I679" s="105" t="n"/>
      <c r="J679" s="105" t="n"/>
      <c r="K679" s="105" t="n"/>
      <c r="L679" s="105" t="n"/>
      <c r="M679" s="105" t="n"/>
      <c r="N679" s="105" t="n"/>
      <c r="O679" s="105" t="n"/>
      <c r="P679" s="105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5" t="n"/>
      <c r="B680" s="105" t="n"/>
      <c r="C680" s="105" t="n"/>
      <c r="D680" s="105" t="n"/>
      <c r="E680" s="105" t="n"/>
      <c r="F680" s="105" t="n"/>
      <c r="G680" s="105" t="n"/>
      <c r="H680" s="105" t="n"/>
      <c r="I680" s="105" t="n"/>
      <c r="J680" s="105" t="n"/>
      <c r="K680" s="105" t="n"/>
      <c r="L680" s="105" t="n"/>
      <c r="M680" s="105" t="n"/>
      <c r="N680" s="105" t="n"/>
      <c r="O680" s="105" t="n"/>
      <c r="P680" s="105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5" t="n"/>
      <c r="B681" s="105" t="n"/>
      <c r="C681" s="105" t="n"/>
      <c r="D681" s="105" t="n"/>
      <c r="E681" s="105" t="n"/>
      <c r="F681" s="105" t="n"/>
      <c r="G681" s="105" t="n"/>
      <c r="H681" s="105" t="n"/>
      <c r="I681" s="105" t="n"/>
      <c r="J681" s="105" t="n"/>
      <c r="K681" s="105" t="n"/>
      <c r="L681" s="105" t="n"/>
      <c r="M681" s="105" t="n"/>
      <c r="N681" s="105" t="n"/>
      <c r="O681" s="105" t="n"/>
      <c r="P681" s="105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5" t="n"/>
      <c r="B682" s="105" t="n"/>
      <c r="C682" s="105" t="n"/>
      <c r="D682" s="105" t="n"/>
      <c r="E682" s="105" t="n"/>
      <c r="F682" s="105" t="n"/>
      <c r="G682" s="105" t="n"/>
      <c r="H682" s="105" t="n"/>
      <c r="I682" s="105" t="n"/>
      <c r="J682" s="105" t="n"/>
      <c r="K682" s="105" t="n"/>
      <c r="L682" s="105" t="n"/>
      <c r="M682" s="105" t="n"/>
      <c r="N682" s="105" t="n"/>
      <c r="O682" s="105" t="n"/>
      <c r="P682" s="105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5" t="n"/>
      <c r="B683" s="105" t="n"/>
      <c r="C683" s="105" t="n"/>
      <c r="D683" s="105" t="n"/>
      <c r="E683" s="105" t="n"/>
      <c r="F683" s="105" t="n"/>
      <c r="G683" s="105" t="n"/>
      <c r="H683" s="105" t="n"/>
      <c r="I683" s="105" t="n"/>
      <c r="J683" s="105" t="n"/>
      <c r="K683" s="105" t="n"/>
      <c r="L683" s="105" t="n"/>
      <c r="M683" s="105" t="n"/>
      <c r="N683" s="105" t="n"/>
      <c r="O683" s="105" t="n"/>
      <c r="P683" s="105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5" t="n"/>
      <c r="B684" s="105" t="n"/>
      <c r="C684" s="105" t="n"/>
      <c r="D684" s="105" t="n"/>
      <c r="E684" s="105" t="n"/>
      <c r="F684" s="105" t="n"/>
      <c r="G684" s="105" t="n"/>
      <c r="H684" s="105" t="n"/>
      <c r="I684" s="105" t="n"/>
      <c r="J684" s="105" t="n"/>
      <c r="K684" s="105" t="n"/>
      <c r="L684" s="105" t="n"/>
      <c r="M684" s="105" t="n"/>
      <c r="N684" s="105" t="n"/>
      <c r="O684" s="105" t="n"/>
      <c r="P684" s="105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5" t="n"/>
      <c r="B685" s="105" t="n"/>
      <c r="C685" s="105" t="n"/>
      <c r="D685" s="105" t="n"/>
      <c r="E685" s="105" t="n"/>
      <c r="F685" s="105" t="n"/>
      <c r="G685" s="105" t="n"/>
      <c r="H685" s="105" t="n"/>
      <c r="I685" s="105" t="n"/>
      <c r="J685" s="105" t="n"/>
      <c r="K685" s="105" t="n"/>
      <c r="L685" s="105" t="n"/>
      <c r="M685" s="105" t="n"/>
      <c r="N685" s="105" t="n"/>
      <c r="O685" s="105" t="n"/>
      <c r="P685" s="105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5" t="n"/>
      <c r="B686" s="105" t="n"/>
      <c r="C686" s="105" t="n"/>
      <c r="D686" s="105" t="n"/>
      <c r="E686" s="105" t="n"/>
      <c r="F686" s="105" t="n"/>
      <c r="G686" s="105" t="n"/>
      <c r="H686" s="105" t="n"/>
      <c r="I686" s="105" t="n"/>
      <c r="J686" s="105" t="n"/>
      <c r="K686" s="105" t="n"/>
      <c r="L686" s="105" t="n"/>
      <c r="M686" s="105" t="n"/>
      <c r="N686" s="105" t="n"/>
      <c r="O686" s="105" t="n"/>
      <c r="P686" s="105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5" t="n"/>
      <c r="B687" s="105" t="n"/>
      <c r="C687" s="105" t="n"/>
      <c r="D687" s="105" t="n"/>
      <c r="E687" s="105" t="n"/>
      <c r="F687" s="105" t="n"/>
      <c r="G687" s="105" t="n"/>
      <c r="H687" s="105" t="n"/>
      <c r="I687" s="105" t="n"/>
      <c r="J687" s="105" t="n"/>
      <c r="K687" s="105" t="n"/>
      <c r="L687" s="105" t="n"/>
      <c r="M687" s="105" t="n"/>
      <c r="N687" s="105" t="n"/>
      <c r="O687" s="105" t="n"/>
      <c r="P687" s="105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5" t="n"/>
      <c r="B688" s="105" t="n"/>
      <c r="C688" s="105" t="n"/>
      <c r="D688" s="105" t="n"/>
      <c r="E688" s="105" t="n"/>
      <c r="F688" s="105" t="n"/>
      <c r="G688" s="105" t="n"/>
      <c r="H688" s="105" t="n"/>
      <c r="I688" s="105" t="n"/>
      <c r="J688" s="105" t="n"/>
      <c r="K688" s="105" t="n"/>
      <c r="L688" s="105" t="n"/>
      <c r="M688" s="105" t="n"/>
      <c r="N688" s="105" t="n"/>
      <c r="O688" s="105" t="n"/>
      <c r="P688" s="105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5" t="n"/>
      <c r="B689" s="105" t="n"/>
      <c r="C689" s="105" t="n"/>
      <c r="D689" s="105" t="n"/>
      <c r="E689" s="105" t="n"/>
      <c r="F689" s="105" t="n"/>
      <c r="G689" s="105" t="n"/>
      <c r="H689" s="105" t="n"/>
      <c r="I689" s="105" t="n"/>
      <c r="J689" s="105" t="n"/>
      <c r="K689" s="105" t="n"/>
      <c r="L689" s="105" t="n"/>
      <c r="M689" s="105" t="n"/>
      <c r="N689" s="105" t="n"/>
      <c r="O689" s="105" t="n"/>
      <c r="P689" s="105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5" t="n"/>
      <c r="B690" s="105" t="n"/>
      <c r="C690" s="105" t="n"/>
      <c r="D690" s="105" t="n"/>
      <c r="E690" s="105" t="n"/>
      <c r="F690" s="105" t="n"/>
      <c r="G690" s="105" t="n"/>
      <c r="H690" s="105" t="n"/>
      <c r="I690" s="105" t="n"/>
      <c r="J690" s="105" t="n"/>
      <c r="K690" s="105" t="n"/>
      <c r="L690" s="105" t="n"/>
      <c r="M690" s="105" t="n"/>
      <c r="N690" s="105" t="n"/>
      <c r="O690" s="105" t="n"/>
      <c r="P690" s="105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5" t="n"/>
      <c r="B691" s="105" t="n"/>
      <c r="C691" s="105" t="n"/>
      <c r="D691" s="105" t="n"/>
      <c r="E691" s="105" t="n"/>
      <c r="F691" s="105" t="n"/>
      <c r="G691" s="105" t="n"/>
      <c r="H691" s="105" t="n"/>
      <c r="I691" s="105" t="n"/>
      <c r="J691" s="105" t="n"/>
      <c r="K691" s="105" t="n"/>
      <c r="L691" s="105" t="n"/>
      <c r="M691" s="105" t="n"/>
      <c r="N691" s="105" t="n"/>
      <c r="O691" s="105" t="n"/>
      <c r="P691" s="105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5" t="n"/>
      <c r="B692" s="105" t="n"/>
      <c r="C692" s="105" t="n"/>
      <c r="D692" s="105" t="n"/>
      <c r="E692" s="105" t="n"/>
      <c r="F692" s="105" t="n"/>
      <c r="G692" s="105" t="n"/>
      <c r="H692" s="105" t="n"/>
      <c r="I692" s="105" t="n"/>
      <c r="J692" s="105" t="n"/>
      <c r="K692" s="105" t="n"/>
      <c r="L692" s="105" t="n"/>
      <c r="M692" s="105" t="n"/>
      <c r="N692" s="105" t="n"/>
      <c r="O692" s="105" t="n"/>
      <c r="P692" s="105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5" t="n"/>
      <c r="B693" s="105" t="n"/>
      <c r="C693" s="105" t="n"/>
      <c r="D693" s="105" t="n"/>
      <c r="E693" s="105" t="n"/>
      <c r="F693" s="105" t="n"/>
      <c r="G693" s="105" t="n"/>
      <c r="H693" s="105" t="n"/>
      <c r="I693" s="105" t="n"/>
      <c r="J693" s="105" t="n"/>
      <c r="K693" s="105" t="n"/>
      <c r="L693" s="105" t="n"/>
      <c r="M693" s="105" t="n"/>
      <c r="N693" s="105" t="n"/>
      <c r="O693" s="105" t="n"/>
      <c r="P693" s="105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5" t="n"/>
      <c r="B694" s="105" t="n"/>
      <c r="C694" s="105" t="n"/>
      <c r="D694" s="105" t="n"/>
      <c r="E694" s="105" t="n"/>
      <c r="F694" s="105" t="n"/>
      <c r="G694" s="105" t="n"/>
      <c r="H694" s="105" t="n"/>
      <c r="I694" s="105" t="n"/>
      <c r="J694" s="105" t="n"/>
      <c r="K694" s="105" t="n"/>
      <c r="L694" s="105" t="n"/>
      <c r="M694" s="105" t="n"/>
      <c r="N694" s="105" t="n"/>
      <c r="O694" s="105" t="n"/>
      <c r="P694" s="105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5" t="n"/>
      <c r="B695" s="105" t="n"/>
      <c r="C695" s="105" t="n"/>
      <c r="D695" s="105" t="n"/>
      <c r="E695" s="105" t="n"/>
      <c r="F695" s="105" t="n"/>
      <c r="G695" s="105" t="n"/>
      <c r="H695" s="105" t="n"/>
      <c r="I695" s="105" t="n"/>
      <c r="J695" s="105" t="n"/>
      <c r="K695" s="105" t="n"/>
      <c r="L695" s="105" t="n"/>
      <c r="M695" s="105" t="n"/>
      <c r="N695" s="105" t="n"/>
      <c r="O695" s="105" t="n"/>
      <c r="P695" s="105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5" t="n"/>
      <c r="B696" s="105" t="n"/>
      <c r="C696" s="105" t="n"/>
      <c r="D696" s="105" t="n"/>
      <c r="E696" s="105" t="n"/>
      <c r="F696" s="105" t="n"/>
      <c r="G696" s="105" t="n"/>
      <c r="H696" s="105" t="n"/>
      <c r="I696" s="105" t="n"/>
      <c r="J696" s="105" t="n"/>
      <c r="K696" s="105" t="n"/>
      <c r="L696" s="105" t="n"/>
      <c r="M696" s="105" t="n"/>
      <c r="N696" s="105" t="n"/>
      <c r="O696" s="105" t="n"/>
      <c r="P696" s="105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5" t="n"/>
      <c r="B697" s="105" t="n"/>
      <c r="C697" s="105" t="n"/>
      <c r="D697" s="105" t="n"/>
      <c r="E697" s="105" t="n"/>
      <c r="F697" s="105" t="n"/>
      <c r="G697" s="105" t="n"/>
      <c r="H697" s="105" t="n"/>
      <c r="I697" s="105" t="n"/>
      <c r="J697" s="105" t="n"/>
      <c r="K697" s="105" t="n"/>
      <c r="L697" s="105" t="n"/>
      <c r="M697" s="105" t="n"/>
      <c r="N697" s="105" t="n"/>
      <c r="O697" s="105" t="n"/>
      <c r="P697" s="105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5" t="n"/>
      <c r="B698" s="105" t="n"/>
      <c r="C698" s="105" t="n"/>
      <c r="D698" s="105" t="n"/>
      <c r="E698" s="105" t="n"/>
      <c r="F698" s="105" t="n"/>
      <c r="G698" s="105" t="n"/>
      <c r="H698" s="105" t="n"/>
      <c r="I698" s="105" t="n"/>
      <c r="J698" s="105" t="n"/>
      <c r="K698" s="105" t="n"/>
      <c r="L698" s="105" t="n"/>
      <c r="M698" s="105" t="n"/>
      <c r="N698" s="105" t="n"/>
      <c r="O698" s="105" t="n"/>
      <c r="P698" s="105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5" t="n"/>
      <c r="B699" s="105" t="n"/>
      <c r="C699" s="105" t="n"/>
      <c r="D699" s="105" t="n"/>
      <c r="E699" s="105" t="n"/>
      <c r="F699" s="105" t="n"/>
      <c r="G699" s="105" t="n"/>
      <c r="H699" s="105" t="n"/>
      <c r="I699" s="105" t="n"/>
      <c r="J699" s="105" t="n"/>
      <c r="K699" s="105" t="n"/>
      <c r="L699" s="105" t="n"/>
      <c r="M699" s="105" t="n"/>
      <c r="N699" s="105" t="n"/>
      <c r="O699" s="105" t="n"/>
      <c r="P699" s="105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5" t="n"/>
      <c r="B700" s="105" t="n"/>
      <c r="C700" s="105" t="n"/>
      <c r="D700" s="105" t="n"/>
      <c r="E700" s="105" t="n"/>
      <c r="F700" s="105" t="n"/>
      <c r="G700" s="105" t="n"/>
      <c r="H700" s="105" t="n"/>
      <c r="I700" s="105" t="n"/>
      <c r="J700" s="105" t="n"/>
      <c r="K700" s="105" t="n"/>
      <c r="L700" s="105" t="n"/>
      <c r="M700" s="105" t="n"/>
      <c r="N700" s="105" t="n"/>
      <c r="O700" s="105" t="n"/>
      <c r="P700" s="105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5" t="n"/>
      <c r="B701" s="105" t="n"/>
      <c r="C701" s="105" t="n"/>
      <c r="D701" s="105" t="n"/>
      <c r="E701" s="105" t="n"/>
      <c r="F701" s="105" t="n"/>
      <c r="G701" s="105" t="n"/>
      <c r="H701" s="105" t="n"/>
      <c r="I701" s="105" t="n"/>
      <c r="J701" s="105" t="n"/>
      <c r="K701" s="105" t="n"/>
      <c r="L701" s="105" t="n"/>
      <c r="M701" s="105" t="n"/>
      <c r="N701" s="105" t="n"/>
      <c r="O701" s="105" t="n"/>
      <c r="P701" s="105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5" t="n"/>
      <c r="B702" s="105" t="n"/>
      <c r="C702" s="105" t="n"/>
      <c r="D702" s="105" t="n"/>
      <c r="E702" s="105" t="n"/>
      <c r="F702" s="105" t="n"/>
      <c r="G702" s="105" t="n"/>
      <c r="H702" s="105" t="n"/>
      <c r="I702" s="105" t="n"/>
      <c r="J702" s="105" t="n"/>
      <c r="K702" s="105" t="n"/>
      <c r="L702" s="105" t="n"/>
      <c r="M702" s="105" t="n"/>
      <c r="N702" s="105" t="n"/>
      <c r="O702" s="105" t="n"/>
      <c r="P702" s="105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5" t="n"/>
      <c r="B703" s="105" t="n"/>
      <c r="C703" s="105" t="n"/>
      <c r="D703" s="105" t="n"/>
      <c r="E703" s="105" t="n"/>
      <c r="F703" s="105" t="n"/>
      <c r="G703" s="105" t="n"/>
      <c r="H703" s="105" t="n"/>
      <c r="I703" s="105" t="n"/>
      <c r="J703" s="105" t="n"/>
      <c r="K703" s="105" t="n"/>
      <c r="L703" s="105" t="n"/>
      <c r="M703" s="105" t="n"/>
      <c r="N703" s="105" t="n"/>
      <c r="O703" s="105" t="n"/>
      <c r="P703" s="105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5" t="n"/>
      <c r="B704" s="105" t="n"/>
      <c r="C704" s="105" t="n"/>
      <c r="D704" s="105" t="n"/>
      <c r="E704" s="105" t="n"/>
      <c r="F704" s="105" t="n"/>
      <c r="G704" s="105" t="n"/>
      <c r="H704" s="105" t="n"/>
      <c r="I704" s="105" t="n"/>
      <c r="J704" s="105" t="n"/>
      <c r="K704" s="105" t="n"/>
      <c r="L704" s="105" t="n"/>
      <c r="M704" s="105" t="n"/>
      <c r="N704" s="105" t="n"/>
      <c r="O704" s="105" t="n"/>
      <c r="P704" s="105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5" t="n"/>
      <c r="B705" s="105" t="n"/>
      <c r="C705" s="105" t="n"/>
      <c r="D705" s="105" t="n"/>
      <c r="E705" s="105" t="n"/>
      <c r="F705" s="105" t="n"/>
      <c r="G705" s="105" t="n"/>
      <c r="H705" s="105" t="n"/>
      <c r="I705" s="105" t="n"/>
      <c r="J705" s="105" t="n"/>
      <c r="K705" s="105" t="n"/>
      <c r="L705" s="105" t="n"/>
      <c r="M705" s="105" t="n"/>
      <c r="N705" s="105" t="n"/>
      <c r="O705" s="105" t="n"/>
      <c r="P705" s="105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5" t="n"/>
      <c r="B706" s="105" t="n"/>
      <c r="C706" s="105" t="n"/>
      <c r="D706" s="105" t="n"/>
      <c r="E706" s="105" t="n"/>
      <c r="F706" s="105" t="n"/>
      <c r="G706" s="105" t="n"/>
      <c r="H706" s="105" t="n"/>
      <c r="I706" s="105" t="n"/>
      <c r="J706" s="105" t="n"/>
      <c r="K706" s="105" t="n"/>
      <c r="L706" s="105" t="n"/>
      <c r="M706" s="105" t="n"/>
      <c r="N706" s="105" t="n"/>
      <c r="O706" s="105" t="n"/>
      <c r="P706" s="105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5" t="n"/>
      <c r="B707" s="105" t="n"/>
      <c r="C707" s="105" t="n"/>
      <c r="D707" s="105" t="n"/>
      <c r="E707" s="105" t="n"/>
      <c r="F707" s="105" t="n"/>
      <c r="G707" s="105" t="n"/>
      <c r="H707" s="105" t="n"/>
      <c r="I707" s="105" t="n"/>
      <c r="J707" s="105" t="n"/>
      <c r="K707" s="105" t="n"/>
      <c r="L707" s="105" t="n"/>
      <c r="M707" s="105" t="n"/>
      <c r="N707" s="105" t="n"/>
      <c r="O707" s="105" t="n"/>
      <c r="P707" s="105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5" t="n"/>
      <c r="B708" s="105" t="n"/>
      <c r="C708" s="105" t="n"/>
      <c r="D708" s="105" t="n"/>
      <c r="E708" s="105" t="n"/>
      <c r="F708" s="105" t="n"/>
      <c r="G708" s="105" t="n"/>
      <c r="H708" s="105" t="n"/>
      <c r="I708" s="105" t="n"/>
      <c r="J708" s="105" t="n"/>
      <c r="K708" s="105" t="n"/>
      <c r="L708" s="105" t="n"/>
      <c r="M708" s="105" t="n"/>
      <c r="N708" s="105" t="n"/>
      <c r="O708" s="105" t="n"/>
      <c r="P708" s="105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5" t="n"/>
      <c r="B709" s="105" t="n"/>
      <c r="C709" s="105" t="n"/>
      <c r="D709" s="105" t="n"/>
      <c r="E709" s="105" t="n"/>
      <c r="F709" s="105" t="n"/>
      <c r="G709" s="105" t="n"/>
      <c r="H709" s="105" t="n"/>
      <c r="I709" s="105" t="n"/>
      <c r="J709" s="105" t="n"/>
      <c r="K709" s="105" t="n"/>
      <c r="L709" s="105" t="n"/>
      <c r="M709" s="105" t="n"/>
      <c r="N709" s="105" t="n"/>
      <c r="O709" s="105" t="n"/>
      <c r="P709" s="105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5" t="n"/>
      <c r="B710" s="105" t="n"/>
      <c r="C710" s="105" t="n"/>
      <c r="D710" s="105" t="n"/>
      <c r="E710" s="105" t="n"/>
      <c r="F710" s="105" t="n"/>
      <c r="G710" s="105" t="n"/>
      <c r="H710" s="105" t="n"/>
      <c r="I710" s="105" t="n"/>
      <c r="J710" s="105" t="n"/>
      <c r="K710" s="105" t="n"/>
      <c r="L710" s="105" t="n"/>
      <c r="M710" s="105" t="n"/>
      <c r="N710" s="105" t="n"/>
      <c r="O710" s="105" t="n"/>
      <c r="P710" s="105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5" t="n"/>
      <c r="B711" s="105" t="n"/>
      <c r="C711" s="105" t="n"/>
      <c r="D711" s="105" t="n"/>
      <c r="E711" s="105" t="n"/>
      <c r="F711" s="105" t="n"/>
      <c r="G711" s="105" t="n"/>
      <c r="H711" s="105" t="n"/>
      <c r="I711" s="105" t="n"/>
      <c r="J711" s="105" t="n"/>
      <c r="K711" s="105" t="n"/>
      <c r="L711" s="105" t="n"/>
      <c r="M711" s="105" t="n"/>
      <c r="N711" s="105" t="n"/>
      <c r="O711" s="105" t="n"/>
      <c r="P711" s="105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5" t="n"/>
      <c r="B712" s="105" t="n"/>
      <c r="C712" s="105" t="n"/>
      <c r="D712" s="105" t="n"/>
      <c r="E712" s="105" t="n"/>
      <c r="F712" s="105" t="n"/>
      <c r="G712" s="105" t="n"/>
      <c r="H712" s="105" t="n"/>
      <c r="I712" s="105" t="n"/>
      <c r="J712" s="105" t="n"/>
      <c r="K712" s="105" t="n"/>
      <c r="L712" s="105" t="n"/>
      <c r="M712" s="105" t="n"/>
      <c r="N712" s="105" t="n"/>
      <c r="O712" s="105" t="n"/>
      <c r="P712" s="105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5" t="n"/>
      <c r="B713" s="105" t="n"/>
      <c r="C713" s="105" t="n"/>
      <c r="D713" s="105" t="n"/>
      <c r="E713" s="105" t="n"/>
      <c r="F713" s="105" t="n"/>
      <c r="G713" s="105" t="n"/>
      <c r="H713" s="105" t="n"/>
      <c r="I713" s="105" t="n"/>
      <c r="J713" s="105" t="n"/>
      <c r="K713" s="105" t="n"/>
      <c r="L713" s="105" t="n"/>
      <c r="M713" s="105" t="n"/>
      <c r="N713" s="105" t="n"/>
      <c r="O713" s="105" t="n"/>
      <c r="P713" s="105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5" t="n"/>
      <c r="B714" s="105" t="n"/>
      <c r="C714" s="105" t="n"/>
      <c r="D714" s="105" t="n"/>
      <c r="E714" s="105" t="n"/>
      <c r="F714" s="105" t="n"/>
      <c r="G714" s="105" t="n"/>
      <c r="H714" s="105" t="n"/>
      <c r="I714" s="105" t="n"/>
      <c r="J714" s="105" t="n"/>
      <c r="K714" s="105" t="n"/>
      <c r="L714" s="105" t="n"/>
      <c r="M714" s="105" t="n"/>
      <c r="N714" s="105" t="n"/>
      <c r="O714" s="105" t="n"/>
      <c r="P714" s="105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5" t="n"/>
      <c r="B715" s="105" t="n"/>
      <c r="C715" s="105" t="n"/>
      <c r="D715" s="105" t="n"/>
      <c r="E715" s="105" t="n"/>
      <c r="F715" s="105" t="n"/>
      <c r="G715" s="105" t="n"/>
      <c r="H715" s="105" t="n"/>
      <c r="I715" s="105" t="n"/>
      <c r="J715" s="105" t="n"/>
      <c r="K715" s="105" t="n"/>
      <c r="L715" s="105" t="n"/>
      <c r="M715" s="105" t="n"/>
      <c r="N715" s="105" t="n"/>
      <c r="O715" s="105" t="n"/>
      <c r="P715" s="105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5" t="n"/>
      <c r="B716" s="105" t="n"/>
      <c r="C716" s="105" t="n"/>
      <c r="D716" s="105" t="n"/>
      <c r="E716" s="105" t="n"/>
      <c r="F716" s="105" t="n"/>
      <c r="G716" s="105" t="n"/>
      <c r="H716" s="105" t="n"/>
      <c r="I716" s="105" t="n"/>
      <c r="J716" s="105" t="n"/>
      <c r="K716" s="105" t="n"/>
      <c r="L716" s="105" t="n"/>
      <c r="M716" s="105" t="n"/>
      <c r="N716" s="105" t="n"/>
      <c r="O716" s="105" t="n"/>
      <c r="P716" s="105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5" t="n"/>
      <c r="B717" s="105" t="n"/>
      <c r="C717" s="105" t="n"/>
      <c r="D717" s="105" t="n"/>
      <c r="E717" s="105" t="n"/>
      <c r="F717" s="105" t="n"/>
      <c r="G717" s="105" t="n"/>
      <c r="H717" s="105" t="n"/>
      <c r="I717" s="105" t="n"/>
      <c r="J717" s="105" t="n"/>
      <c r="K717" s="105" t="n"/>
      <c r="L717" s="105" t="n"/>
      <c r="M717" s="105" t="n"/>
      <c r="N717" s="105" t="n"/>
      <c r="O717" s="105" t="n"/>
      <c r="P717" s="105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5" t="n"/>
      <c r="B718" s="105" t="n"/>
      <c r="C718" s="105" t="n"/>
      <c r="D718" s="105" t="n"/>
      <c r="E718" s="105" t="n"/>
      <c r="F718" s="105" t="n"/>
      <c r="G718" s="105" t="n"/>
      <c r="H718" s="105" t="n"/>
      <c r="I718" s="105" t="n"/>
      <c r="J718" s="105" t="n"/>
      <c r="K718" s="105" t="n"/>
      <c r="L718" s="105" t="n"/>
      <c r="M718" s="105" t="n"/>
      <c r="N718" s="105" t="n"/>
      <c r="O718" s="105" t="n"/>
      <c r="P718" s="105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5" t="n"/>
      <c r="B719" s="105" t="n"/>
      <c r="C719" s="105" t="n"/>
      <c r="D719" s="105" t="n"/>
      <c r="E719" s="105" t="n"/>
      <c r="F719" s="105" t="n"/>
      <c r="G719" s="105" t="n"/>
      <c r="H719" s="105" t="n"/>
      <c r="I719" s="105" t="n"/>
      <c r="J719" s="105" t="n"/>
      <c r="K719" s="105" t="n"/>
      <c r="L719" s="105" t="n"/>
      <c r="M719" s="105" t="n"/>
      <c r="N719" s="105" t="n"/>
      <c r="O719" s="105" t="n"/>
      <c r="P719" s="105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5" t="n"/>
      <c r="B720" s="105" t="n"/>
      <c r="C720" s="105" t="n"/>
      <c r="D720" s="105" t="n"/>
      <c r="E720" s="105" t="n"/>
      <c r="F720" s="105" t="n"/>
      <c r="G720" s="105" t="n"/>
      <c r="H720" s="105" t="n"/>
      <c r="I720" s="105" t="n"/>
      <c r="J720" s="105" t="n"/>
      <c r="K720" s="105" t="n"/>
      <c r="L720" s="105" t="n"/>
      <c r="M720" s="105" t="n"/>
      <c r="N720" s="105" t="n"/>
      <c r="O720" s="105" t="n"/>
      <c r="P720" s="105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5" t="n"/>
      <c r="B721" s="105" t="n"/>
      <c r="C721" s="105" t="n"/>
      <c r="D721" s="105" t="n"/>
      <c r="E721" s="105" t="n"/>
      <c r="F721" s="105" t="n"/>
      <c r="G721" s="105" t="n"/>
      <c r="H721" s="105" t="n"/>
      <c r="I721" s="105" t="n"/>
      <c r="J721" s="105" t="n"/>
      <c r="K721" s="105" t="n"/>
      <c r="L721" s="105" t="n"/>
      <c r="M721" s="105" t="n"/>
      <c r="N721" s="105" t="n"/>
      <c r="O721" s="105" t="n"/>
      <c r="P721" s="105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5" t="n"/>
      <c r="B722" s="105" t="n"/>
      <c r="C722" s="105" t="n"/>
      <c r="D722" s="105" t="n"/>
      <c r="E722" s="105" t="n"/>
      <c r="F722" s="105" t="n"/>
      <c r="G722" s="105" t="n"/>
      <c r="H722" s="105" t="n"/>
      <c r="I722" s="105" t="n"/>
      <c r="J722" s="105" t="n"/>
      <c r="K722" s="105" t="n"/>
      <c r="L722" s="105" t="n"/>
      <c r="M722" s="105" t="n"/>
      <c r="N722" s="105" t="n"/>
      <c r="O722" s="105" t="n"/>
      <c r="P722" s="105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5" t="n"/>
      <c r="B723" s="105" t="n"/>
      <c r="C723" s="105" t="n"/>
      <c r="D723" s="105" t="n"/>
      <c r="E723" s="105" t="n"/>
      <c r="F723" s="105" t="n"/>
      <c r="G723" s="105" t="n"/>
      <c r="H723" s="105" t="n"/>
      <c r="I723" s="105" t="n"/>
      <c r="J723" s="105" t="n"/>
      <c r="K723" s="105" t="n"/>
      <c r="L723" s="105" t="n"/>
      <c r="M723" s="105" t="n"/>
      <c r="N723" s="105" t="n"/>
      <c r="O723" s="105" t="n"/>
      <c r="P723" s="105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5" t="n"/>
      <c r="B724" s="105" t="n"/>
      <c r="C724" s="105" t="n"/>
      <c r="D724" s="105" t="n"/>
      <c r="E724" s="105" t="n"/>
      <c r="F724" s="105" t="n"/>
      <c r="G724" s="105" t="n"/>
      <c r="H724" s="105" t="n"/>
      <c r="I724" s="105" t="n"/>
      <c r="J724" s="105" t="n"/>
      <c r="K724" s="105" t="n"/>
      <c r="L724" s="105" t="n"/>
      <c r="M724" s="105" t="n"/>
      <c r="N724" s="105" t="n"/>
      <c r="O724" s="105" t="n"/>
      <c r="P724" s="105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5" t="n"/>
      <c r="B725" s="105" t="n"/>
      <c r="C725" s="105" t="n"/>
      <c r="D725" s="105" t="n"/>
      <c r="E725" s="105" t="n"/>
      <c r="F725" s="105" t="n"/>
      <c r="G725" s="105" t="n"/>
      <c r="H725" s="105" t="n"/>
      <c r="I725" s="105" t="n"/>
      <c r="J725" s="105" t="n"/>
      <c r="K725" s="105" t="n"/>
      <c r="L725" s="105" t="n"/>
      <c r="M725" s="105" t="n"/>
      <c r="N725" s="105" t="n"/>
      <c r="O725" s="105" t="n"/>
      <c r="P725" s="105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5" t="n"/>
      <c r="B726" s="105" t="n"/>
      <c r="C726" s="105" t="n"/>
      <c r="D726" s="105" t="n"/>
      <c r="E726" s="105" t="n"/>
      <c r="F726" s="105" t="n"/>
      <c r="G726" s="105" t="n"/>
      <c r="H726" s="105" t="n"/>
      <c r="I726" s="105" t="n"/>
      <c r="J726" s="105" t="n"/>
      <c r="K726" s="105" t="n"/>
      <c r="L726" s="105" t="n"/>
      <c r="M726" s="105" t="n"/>
      <c r="N726" s="105" t="n"/>
      <c r="O726" s="105" t="n"/>
      <c r="P726" s="105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5" t="n"/>
      <c r="B727" s="105" t="n"/>
      <c r="C727" s="105" t="n"/>
      <c r="D727" s="105" t="n"/>
      <c r="E727" s="105" t="n"/>
      <c r="F727" s="105" t="n"/>
      <c r="G727" s="105" t="n"/>
      <c r="H727" s="105" t="n"/>
      <c r="I727" s="105" t="n"/>
      <c r="J727" s="105" t="n"/>
      <c r="K727" s="105" t="n"/>
      <c r="L727" s="105" t="n"/>
      <c r="M727" s="105" t="n"/>
      <c r="N727" s="105" t="n"/>
      <c r="O727" s="105" t="n"/>
      <c r="P727" s="105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5" t="n"/>
      <c r="B728" s="105" t="n"/>
      <c r="C728" s="105" t="n"/>
      <c r="D728" s="105" t="n"/>
      <c r="E728" s="105" t="n"/>
      <c r="F728" s="105" t="n"/>
      <c r="G728" s="105" t="n"/>
      <c r="H728" s="105" t="n"/>
      <c r="I728" s="105" t="n"/>
      <c r="J728" s="105" t="n"/>
      <c r="K728" s="105" t="n"/>
      <c r="L728" s="105" t="n"/>
      <c r="M728" s="105" t="n"/>
      <c r="N728" s="105" t="n"/>
      <c r="O728" s="105" t="n"/>
      <c r="P728" s="105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5" t="n"/>
      <c r="B729" s="105" t="n"/>
      <c r="C729" s="105" t="n"/>
      <c r="D729" s="105" t="n"/>
      <c r="E729" s="105" t="n"/>
      <c r="F729" s="105" t="n"/>
      <c r="G729" s="105" t="n"/>
      <c r="H729" s="105" t="n"/>
      <c r="I729" s="105" t="n"/>
      <c r="J729" s="105" t="n"/>
      <c r="K729" s="105" t="n"/>
      <c r="L729" s="105" t="n"/>
      <c r="M729" s="105" t="n"/>
      <c r="N729" s="105" t="n"/>
      <c r="O729" s="105" t="n"/>
      <c r="P729" s="105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5" t="n"/>
      <c r="B730" s="105" t="n"/>
      <c r="C730" s="105" t="n"/>
      <c r="D730" s="105" t="n"/>
      <c r="E730" s="105" t="n"/>
      <c r="F730" s="105" t="n"/>
      <c r="G730" s="105" t="n"/>
      <c r="H730" s="105" t="n"/>
      <c r="I730" s="105" t="n"/>
      <c r="J730" s="105" t="n"/>
      <c r="K730" s="105" t="n"/>
      <c r="L730" s="105" t="n"/>
      <c r="M730" s="105" t="n"/>
      <c r="N730" s="105" t="n"/>
      <c r="O730" s="105" t="n"/>
      <c r="P730" s="105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5" t="n"/>
      <c r="B731" s="105" t="n"/>
      <c r="C731" s="105" t="n"/>
      <c r="D731" s="105" t="n"/>
      <c r="E731" s="105" t="n"/>
      <c r="F731" s="105" t="n"/>
      <c r="G731" s="105" t="n"/>
      <c r="H731" s="105" t="n"/>
      <c r="I731" s="105" t="n"/>
      <c r="J731" s="105" t="n"/>
      <c r="K731" s="105" t="n"/>
      <c r="L731" s="105" t="n"/>
      <c r="M731" s="105" t="n"/>
      <c r="N731" s="105" t="n"/>
      <c r="O731" s="105" t="n"/>
      <c r="P731" s="105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5" t="n"/>
      <c r="B732" s="105" t="n"/>
      <c r="C732" s="105" t="n"/>
      <c r="D732" s="105" t="n"/>
      <c r="E732" s="105" t="n"/>
      <c r="F732" s="105" t="n"/>
      <c r="G732" s="105" t="n"/>
      <c r="H732" s="105" t="n"/>
      <c r="I732" s="105" t="n"/>
      <c r="J732" s="105" t="n"/>
      <c r="K732" s="105" t="n"/>
      <c r="L732" s="105" t="n"/>
      <c r="M732" s="105" t="n"/>
      <c r="N732" s="105" t="n"/>
      <c r="O732" s="105" t="n"/>
      <c r="P732" s="105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5" t="n"/>
      <c r="B733" s="105" t="n"/>
      <c r="C733" s="105" t="n"/>
      <c r="D733" s="105" t="n"/>
      <c r="E733" s="105" t="n"/>
      <c r="F733" s="105" t="n"/>
      <c r="G733" s="105" t="n"/>
      <c r="H733" s="105" t="n"/>
      <c r="I733" s="105" t="n"/>
      <c r="J733" s="105" t="n"/>
      <c r="K733" s="105" t="n"/>
      <c r="L733" s="105" t="n"/>
      <c r="M733" s="105" t="n"/>
      <c r="N733" s="105" t="n"/>
      <c r="O733" s="105" t="n"/>
      <c r="P733" s="105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5" t="n"/>
      <c r="B734" s="105" t="n"/>
      <c r="C734" s="105" t="n"/>
      <c r="D734" s="105" t="n"/>
      <c r="E734" s="105" t="n"/>
      <c r="F734" s="105" t="n"/>
      <c r="G734" s="105" t="n"/>
      <c r="H734" s="105" t="n"/>
      <c r="I734" s="105" t="n"/>
      <c r="J734" s="105" t="n"/>
      <c r="K734" s="105" t="n"/>
      <c r="L734" s="105" t="n"/>
      <c r="M734" s="105" t="n"/>
      <c r="N734" s="105" t="n"/>
      <c r="O734" s="105" t="n"/>
      <c r="P734" s="105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5" t="n"/>
      <c r="B735" s="105" t="n"/>
      <c r="C735" s="105" t="n"/>
      <c r="D735" s="105" t="n"/>
      <c r="E735" s="105" t="n"/>
      <c r="F735" s="105" t="n"/>
      <c r="G735" s="105" t="n"/>
      <c r="H735" s="105" t="n"/>
      <c r="I735" s="105" t="n"/>
      <c r="J735" s="105" t="n"/>
      <c r="K735" s="105" t="n"/>
      <c r="L735" s="105" t="n"/>
      <c r="M735" s="105" t="n"/>
      <c r="N735" s="105" t="n"/>
      <c r="O735" s="105" t="n"/>
      <c r="P735" s="105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5" t="n"/>
      <c r="B736" s="105" t="n"/>
      <c r="C736" s="105" t="n"/>
      <c r="D736" s="105" t="n"/>
      <c r="E736" s="105" t="n"/>
      <c r="F736" s="105" t="n"/>
      <c r="G736" s="105" t="n"/>
      <c r="H736" s="105" t="n"/>
      <c r="I736" s="105" t="n"/>
      <c r="J736" s="105" t="n"/>
      <c r="K736" s="105" t="n"/>
      <c r="L736" s="105" t="n"/>
      <c r="M736" s="105" t="n"/>
      <c r="N736" s="105" t="n"/>
      <c r="O736" s="105" t="n"/>
      <c r="P736" s="105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5" t="n"/>
      <c r="B737" s="105" t="n"/>
      <c r="C737" s="105" t="n"/>
      <c r="D737" s="105" t="n"/>
      <c r="E737" s="105" t="n"/>
      <c r="F737" s="105" t="n"/>
      <c r="G737" s="105" t="n"/>
      <c r="H737" s="105" t="n"/>
      <c r="I737" s="105" t="n"/>
      <c r="J737" s="105" t="n"/>
      <c r="K737" s="105" t="n"/>
      <c r="L737" s="105" t="n"/>
      <c r="M737" s="105" t="n"/>
      <c r="N737" s="105" t="n"/>
      <c r="O737" s="105" t="n"/>
      <c r="P737" s="105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5" t="n"/>
      <c r="B738" s="105" t="n"/>
      <c r="C738" s="105" t="n"/>
      <c r="D738" s="105" t="n"/>
      <c r="E738" s="105" t="n"/>
      <c r="F738" s="105" t="n"/>
      <c r="G738" s="105" t="n"/>
      <c r="H738" s="105" t="n"/>
      <c r="I738" s="105" t="n"/>
      <c r="J738" s="105" t="n"/>
      <c r="K738" s="105" t="n"/>
      <c r="L738" s="105" t="n"/>
      <c r="M738" s="105" t="n"/>
      <c r="N738" s="105" t="n"/>
      <c r="O738" s="105" t="n"/>
      <c r="P738" s="105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5" t="n"/>
      <c r="B739" s="105" t="n"/>
      <c r="C739" s="105" t="n"/>
      <c r="D739" s="105" t="n"/>
      <c r="E739" s="105" t="n"/>
      <c r="F739" s="105" t="n"/>
      <c r="G739" s="105" t="n"/>
      <c r="H739" s="105" t="n"/>
      <c r="I739" s="105" t="n"/>
      <c r="J739" s="105" t="n"/>
      <c r="K739" s="105" t="n"/>
      <c r="L739" s="105" t="n"/>
      <c r="M739" s="105" t="n"/>
      <c r="N739" s="105" t="n"/>
      <c r="O739" s="105" t="n"/>
      <c r="P739" s="105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5" t="n"/>
      <c r="B740" s="105" t="n"/>
      <c r="C740" s="105" t="n"/>
      <c r="D740" s="105" t="n"/>
      <c r="E740" s="105" t="n"/>
      <c r="F740" s="105" t="n"/>
      <c r="G740" s="105" t="n"/>
      <c r="H740" s="105" t="n"/>
      <c r="I740" s="105" t="n"/>
      <c r="J740" s="105" t="n"/>
      <c r="K740" s="105" t="n"/>
      <c r="L740" s="105" t="n"/>
      <c r="M740" s="105" t="n"/>
      <c r="N740" s="105" t="n"/>
      <c r="O740" s="105" t="n"/>
      <c r="P740" s="105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5" t="n"/>
      <c r="B741" s="105" t="n"/>
      <c r="C741" s="105" t="n"/>
      <c r="D741" s="105" t="n"/>
      <c r="E741" s="105" t="n"/>
      <c r="F741" s="105" t="n"/>
      <c r="G741" s="105" t="n"/>
      <c r="H741" s="105" t="n"/>
      <c r="I741" s="105" t="n"/>
      <c r="J741" s="105" t="n"/>
      <c r="K741" s="105" t="n"/>
      <c r="L741" s="105" t="n"/>
      <c r="M741" s="105" t="n"/>
      <c r="N741" s="105" t="n"/>
      <c r="O741" s="105" t="n"/>
      <c r="P741" s="105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5" t="n"/>
      <c r="B742" s="105" t="n"/>
      <c r="C742" s="105" t="n"/>
      <c r="D742" s="105" t="n"/>
      <c r="E742" s="105" t="n"/>
      <c r="F742" s="105" t="n"/>
      <c r="G742" s="105" t="n"/>
      <c r="H742" s="105" t="n"/>
      <c r="I742" s="105" t="n"/>
      <c r="J742" s="105" t="n"/>
      <c r="K742" s="105" t="n"/>
      <c r="L742" s="105" t="n"/>
      <c r="M742" s="105" t="n"/>
      <c r="N742" s="105" t="n"/>
      <c r="O742" s="105" t="n"/>
      <c r="P742" s="105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5" t="n"/>
      <c r="B743" s="105" t="n"/>
      <c r="C743" s="105" t="n"/>
      <c r="D743" s="105" t="n"/>
      <c r="E743" s="105" t="n"/>
      <c r="F743" s="105" t="n"/>
      <c r="G743" s="105" t="n"/>
      <c r="H743" s="105" t="n"/>
      <c r="I743" s="105" t="n"/>
      <c r="J743" s="105" t="n"/>
      <c r="K743" s="105" t="n"/>
      <c r="L743" s="105" t="n"/>
      <c r="M743" s="105" t="n"/>
      <c r="N743" s="105" t="n"/>
      <c r="O743" s="105" t="n"/>
      <c r="P743" s="105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5" t="n"/>
      <c r="B744" s="105" t="n"/>
      <c r="C744" s="105" t="n"/>
      <c r="D744" s="105" t="n"/>
      <c r="E744" s="105" t="n"/>
      <c r="F744" s="105" t="n"/>
      <c r="G744" s="105" t="n"/>
      <c r="H744" s="105" t="n"/>
      <c r="I744" s="105" t="n"/>
      <c r="J744" s="105" t="n"/>
      <c r="K744" s="105" t="n"/>
      <c r="L744" s="105" t="n"/>
      <c r="M744" s="105" t="n"/>
      <c r="N744" s="105" t="n"/>
      <c r="O744" s="105" t="n"/>
      <c r="P744" s="105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5" t="n"/>
      <c r="B745" s="105" t="n"/>
      <c r="C745" s="105" t="n"/>
      <c r="D745" s="105" t="n"/>
      <c r="E745" s="105" t="n"/>
      <c r="F745" s="105" t="n"/>
      <c r="G745" s="105" t="n"/>
      <c r="H745" s="105" t="n"/>
      <c r="I745" s="105" t="n"/>
      <c r="J745" s="105" t="n"/>
      <c r="K745" s="105" t="n"/>
      <c r="L745" s="105" t="n"/>
      <c r="M745" s="105" t="n"/>
      <c r="N745" s="105" t="n"/>
      <c r="O745" s="105" t="n"/>
      <c r="P745" s="105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5" t="n"/>
      <c r="B746" s="105" t="n"/>
      <c r="C746" s="105" t="n"/>
      <c r="D746" s="105" t="n"/>
      <c r="E746" s="105" t="n"/>
      <c r="F746" s="105" t="n"/>
      <c r="G746" s="105" t="n"/>
      <c r="H746" s="105" t="n"/>
      <c r="I746" s="105" t="n"/>
      <c r="J746" s="105" t="n"/>
      <c r="K746" s="105" t="n"/>
      <c r="L746" s="105" t="n"/>
      <c r="M746" s="105" t="n"/>
      <c r="N746" s="105" t="n"/>
      <c r="O746" s="105" t="n"/>
      <c r="P746" s="105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5" t="n"/>
      <c r="B747" s="105" t="n"/>
      <c r="C747" s="105" t="n"/>
      <c r="D747" s="105" t="n"/>
      <c r="E747" s="105" t="n"/>
      <c r="F747" s="105" t="n"/>
      <c r="G747" s="105" t="n"/>
      <c r="H747" s="105" t="n"/>
      <c r="I747" s="105" t="n"/>
      <c r="J747" s="105" t="n"/>
      <c r="K747" s="105" t="n"/>
      <c r="L747" s="105" t="n"/>
      <c r="M747" s="105" t="n"/>
      <c r="N747" s="105" t="n"/>
      <c r="O747" s="105" t="n"/>
      <c r="P747" s="105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5" t="n"/>
      <c r="B748" s="105" t="n"/>
      <c r="C748" s="105" t="n"/>
      <c r="D748" s="105" t="n"/>
      <c r="E748" s="105" t="n"/>
      <c r="F748" s="105" t="n"/>
      <c r="G748" s="105" t="n"/>
      <c r="H748" s="105" t="n"/>
      <c r="I748" s="105" t="n"/>
      <c r="J748" s="105" t="n"/>
      <c r="K748" s="105" t="n"/>
      <c r="L748" s="105" t="n"/>
      <c r="M748" s="105" t="n"/>
      <c r="N748" s="105" t="n"/>
      <c r="O748" s="105" t="n"/>
      <c r="P748" s="105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5" t="n"/>
      <c r="B749" s="105" t="n"/>
      <c r="C749" s="105" t="n"/>
      <c r="D749" s="105" t="n"/>
      <c r="E749" s="105" t="n"/>
      <c r="F749" s="105" t="n"/>
      <c r="G749" s="105" t="n"/>
      <c r="H749" s="105" t="n"/>
      <c r="I749" s="105" t="n"/>
      <c r="J749" s="105" t="n"/>
      <c r="K749" s="105" t="n"/>
      <c r="L749" s="105" t="n"/>
      <c r="M749" s="105" t="n"/>
      <c r="N749" s="105" t="n"/>
      <c r="O749" s="105" t="n"/>
      <c r="P749" s="105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5" t="n"/>
      <c r="B750" s="105" t="n"/>
      <c r="C750" s="105" t="n"/>
      <c r="D750" s="105" t="n"/>
      <c r="E750" s="105" t="n"/>
      <c r="F750" s="105" t="n"/>
      <c r="G750" s="105" t="n"/>
      <c r="H750" s="105" t="n"/>
      <c r="I750" s="105" t="n"/>
      <c r="J750" s="105" t="n"/>
      <c r="K750" s="105" t="n"/>
      <c r="L750" s="105" t="n"/>
      <c r="M750" s="105" t="n"/>
      <c r="N750" s="105" t="n"/>
      <c r="O750" s="105" t="n"/>
      <c r="P750" s="105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5" t="n"/>
      <c r="B751" s="105" t="n"/>
      <c r="C751" s="105" t="n"/>
      <c r="D751" s="105" t="n"/>
      <c r="E751" s="105" t="n"/>
      <c r="F751" s="105" t="n"/>
      <c r="G751" s="105" t="n"/>
      <c r="H751" s="105" t="n"/>
      <c r="I751" s="105" t="n"/>
      <c r="J751" s="105" t="n"/>
      <c r="K751" s="105" t="n"/>
      <c r="L751" s="105" t="n"/>
      <c r="M751" s="105" t="n"/>
      <c r="N751" s="105" t="n"/>
      <c r="O751" s="105" t="n"/>
      <c r="P751" s="105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5" t="n"/>
      <c r="B752" s="105" t="n"/>
      <c r="C752" s="105" t="n"/>
      <c r="D752" s="105" t="n"/>
      <c r="E752" s="105" t="n"/>
      <c r="F752" s="105" t="n"/>
      <c r="G752" s="105" t="n"/>
      <c r="H752" s="105" t="n"/>
      <c r="I752" s="105" t="n"/>
      <c r="J752" s="105" t="n"/>
      <c r="K752" s="105" t="n"/>
      <c r="L752" s="105" t="n"/>
      <c r="M752" s="105" t="n"/>
      <c r="N752" s="105" t="n"/>
      <c r="O752" s="105" t="n"/>
      <c r="P752" s="105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5" t="n"/>
      <c r="B753" s="105" t="n"/>
      <c r="C753" s="105" t="n"/>
      <c r="D753" s="105" t="n"/>
      <c r="E753" s="105" t="n"/>
      <c r="F753" s="105" t="n"/>
      <c r="G753" s="105" t="n"/>
      <c r="H753" s="105" t="n"/>
      <c r="I753" s="105" t="n"/>
      <c r="J753" s="105" t="n"/>
      <c r="K753" s="105" t="n"/>
      <c r="L753" s="105" t="n"/>
      <c r="M753" s="105" t="n"/>
      <c r="N753" s="105" t="n"/>
      <c r="O753" s="105" t="n"/>
      <c r="P753" s="105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5" t="n"/>
      <c r="B754" s="105" t="n"/>
      <c r="C754" s="105" t="n"/>
      <c r="D754" s="105" t="n"/>
      <c r="E754" s="105" t="n"/>
      <c r="F754" s="105" t="n"/>
      <c r="G754" s="105" t="n"/>
      <c r="H754" s="105" t="n"/>
      <c r="I754" s="105" t="n"/>
      <c r="J754" s="105" t="n"/>
      <c r="K754" s="105" t="n"/>
      <c r="L754" s="105" t="n"/>
      <c r="M754" s="105" t="n"/>
      <c r="N754" s="105" t="n"/>
      <c r="O754" s="105" t="n"/>
      <c r="P754" s="105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5" t="n"/>
      <c r="B755" s="105" t="n"/>
      <c r="C755" s="105" t="n"/>
      <c r="D755" s="105" t="n"/>
      <c r="E755" s="105" t="n"/>
      <c r="F755" s="105" t="n"/>
      <c r="G755" s="105" t="n"/>
      <c r="H755" s="105" t="n"/>
      <c r="I755" s="105" t="n"/>
      <c r="J755" s="105" t="n"/>
      <c r="K755" s="105" t="n"/>
      <c r="L755" s="105" t="n"/>
      <c r="M755" s="105" t="n"/>
      <c r="N755" s="105" t="n"/>
      <c r="O755" s="105" t="n"/>
      <c r="P755" s="105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5" t="n"/>
      <c r="B756" s="105" t="n"/>
      <c r="C756" s="105" t="n"/>
      <c r="D756" s="105" t="n"/>
      <c r="E756" s="105" t="n"/>
      <c r="F756" s="105" t="n"/>
      <c r="G756" s="105" t="n"/>
      <c r="H756" s="105" t="n"/>
      <c r="I756" s="105" t="n"/>
      <c r="J756" s="105" t="n"/>
      <c r="K756" s="105" t="n"/>
      <c r="L756" s="105" t="n"/>
      <c r="M756" s="105" t="n"/>
      <c r="N756" s="105" t="n"/>
      <c r="O756" s="105" t="n"/>
      <c r="P756" s="105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5" t="n"/>
      <c r="B757" s="105" t="n"/>
      <c r="C757" s="105" t="n"/>
      <c r="D757" s="105" t="n"/>
      <c r="E757" s="105" t="n"/>
      <c r="F757" s="105" t="n"/>
      <c r="G757" s="105" t="n"/>
      <c r="H757" s="105" t="n"/>
      <c r="I757" s="105" t="n"/>
      <c r="J757" s="105" t="n"/>
      <c r="K757" s="105" t="n"/>
      <c r="L757" s="105" t="n"/>
      <c r="M757" s="105" t="n"/>
      <c r="N757" s="105" t="n"/>
      <c r="O757" s="105" t="n"/>
      <c r="P757" s="105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5" t="n"/>
      <c r="B758" s="105" t="n"/>
      <c r="C758" s="105" t="n"/>
      <c r="D758" s="105" t="n"/>
      <c r="E758" s="105" t="n"/>
      <c r="F758" s="105" t="n"/>
      <c r="G758" s="105" t="n"/>
      <c r="H758" s="105" t="n"/>
      <c r="I758" s="105" t="n"/>
      <c r="J758" s="105" t="n"/>
      <c r="K758" s="105" t="n"/>
      <c r="L758" s="105" t="n"/>
      <c r="M758" s="105" t="n"/>
      <c r="N758" s="105" t="n"/>
      <c r="O758" s="105" t="n"/>
      <c r="P758" s="105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5" t="n"/>
      <c r="B759" s="105" t="n"/>
      <c r="C759" s="105" t="n"/>
      <c r="D759" s="105" t="n"/>
      <c r="E759" s="105" t="n"/>
      <c r="F759" s="105" t="n"/>
      <c r="G759" s="105" t="n"/>
      <c r="H759" s="105" t="n"/>
      <c r="I759" s="105" t="n"/>
      <c r="J759" s="105" t="n"/>
      <c r="K759" s="105" t="n"/>
      <c r="L759" s="105" t="n"/>
      <c r="M759" s="105" t="n"/>
      <c r="N759" s="105" t="n"/>
      <c r="O759" s="105" t="n"/>
      <c r="P759" s="105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5" t="n"/>
      <c r="B760" s="105" t="n"/>
      <c r="C760" s="105" t="n"/>
      <c r="D760" s="105" t="n"/>
      <c r="E760" s="105" t="n"/>
      <c r="F760" s="105" t="n"/>
      <c r="G760" s="105" t="n"/>
      <c r="H760" s="105" t="n"/>
      <c r="I760" s="105" t="n"/>
      <c r="J760" s="105" t="n"/>
      <c r="K760" s="105" t="n"/>
      <c r="L760" s="105" t="n"/>
      <c r="M760" s="105" t="n"/>
      <c r="N760" s="105" t="n"/>
      <c r="O760" s="105" t="n"/>
      <c r="P760" s="105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5" t="n"/>
      <c r="B761" s="105" t="n"/>
      <c r="C761" s="105" t="n"/>
      <c r="D761" s="105" t="n"/>
      <c r="E761" s="105" t="n"/>
      <c r="F761" s="105" t="n"/>
      <c r="G761" s="105" t="n"/>
      <c r="H761" s="105" t="n"/>
      <c r="I761" s="105" t="n"/>
      <c r="J761" s="105" t="n"/>
      <c r="K761" s="105" t="n"/>
      <c r="L761" s="105" t="n"/>
      <c r="M761" s="105" t="n"/>
      <c r="N761" s="105" t="n"/>
      <c r="O761" s="105" t="n"/>
      <c r="P761" s="105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5" t="n"/>
      <c r="B762" s="105" t="n"/>
      <c r="C762" s="105" t="n"/>
      <c r="D762" s="105" t="n"/>
      <c r="E762" s="105" t="n"/>
      <c r="F762" s="105" t="n"/>
      <c r="G762" s="105" t="n"/>
      <c r="H762" s="105" t="n"/>
      <c r="I762" s="105" t="n"/>
      <c r="J762" s="105" t="n"/>
      <c r="K762" s="105" t="n"/>
      <c r="L762" s="105" t="n"/>
      <c r="M762" s="105" t="n"/>
      <c r="N762" s="105" t="n"/>
      <c r="O762" s="105" t="n"/>
      <c r="P762" s="105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5" t="n"/>
      <c r="B763" s="105" t="n"/>
      <c r="C763" s="105" t="n"/>
      <c r="D763" s="105" t="n"/>
      <c r="E763" s="105" t="n"/>
      <c r="F763" s="105" t="n"/>
      <c r="G763" s="105" t="n"/>
      <c r="H763" s="105" t="n"/>
      <c r="I763" s="105" t="n"/>
      <c r="J763" s="105" t="n"/>
      <c r="K763" s="105" t="n"/>
      <c r="L763" s="105" t="n"/>
      <c r="M763" s="105" t="n"/>
      <c r="N763" s="105" t="n"/>
      <c r="O763" s="105" t="n"/>
      <c r="P763" s="105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5" t="n"/>
      <c r="B764" s="105" t="n"/>
      <c r="C764" s="105" t="n"/>
      <c r="D764" s="105" t="n"/>
      <c r="E764" s="105" t="n"/>
      <c r="F764" s="105" t="n"/>
      <c r="G764" s="105" t="n"/>
      <c r="H764" s="105" t="n"/>
      <c r="I764" s="105" t="n"/>
      <c r="J764" s="105" t="n"/>
      <c r="K764" s="105" t="n"/>
      <c r="L764" s="105" t="n"/>
      <c r="M764" s="105" t="n"/>
      <c r="N764" s="105" t="n"/>
      <c r="O764" s="105" t="n"/>
      <c r="P764" s="105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5" t="n"/>
      <c r="B765" s="105" t="n"/>
      <c r="C765" s="105" t="n"/>
      <c r="D765" s="105" t="n"/>
      <c r="E765" s="105" t="n"/>
      <c r="F765" s="105" t="n"/>
      <c r="G765" s="105" t="n"/>
      <c r="H765" s="105" t="n"/>
      <c r="I765" s="105" t="n"/>
      <c r="J765" s="105" t="n"/>
      <c r="K765" s="105" t="n"/>
      <c r="L765" s="105" t="n"/>
      <c r="M765" s="105" t="n"/>
      <c r="N765" s="105" t="n"/>
      <c r="O765" s="105" t="n"/>
      <c r="P765" s="105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5" t="n"/>
      <c r="B766" s="105" t="n"/>
      <c r="C766" s="105" t="n"/>
      <c r="D766" s="105" t="n"/>
      <c r="E766" s="105" t="n"/>
      <c r="F766" s="105" t="n"/>
      <c r="G766" s="105" t="n"/>
      <c r="H766" s="105" t="n"/>
      <c r="I766" s="105" t="n"/>
      <c r="J766" s="105" t="n"/>
      <c r="K766" s="105" t="n"/>
      <c r="L766" s="105" t="n"/>
      <c r="M766" s="105" t="n"/>
      <c r="N766" s="105" t="n"/>
      <c r="O766" s="105" t="n"/>
      <c r="P766" s="105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5" t="n"/>
      <c r="B767" s="105" t="n"/>
      <c r="C767" s="105" t="n"/>
      <c r="D767" s="105" t="n"/>
      <c r="E767" s="105" t="n"/>
      <c r="F767" s="105" t="n"/>
      <c r="G767" s="105" t="n"/>
      <c r="H767" s="105" t="n"/>
      <c r="I767" s="105" t="n"/>
      <c r="J767" s="105" t="n"/>
      <c r="K767" s="105" t="n"/>
      <c r="L767" s="105" t="n"/>
      <c r="M767" s="105" t="n"/>
      <c r="N767" s="105" t="n"/>
      <c r="O767" s="105" t="n"/>
      <c r="P767" s="105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5" t="n"/>
      <c r="B768" s="105" t="n"/>
      <c r="C768" s="105" t="n"/>
      <c r="D768" s="105" t="n"/>
      <c r="E768" s="105" t="n"/>
      <c r="F768" s="105" t="n"/>
      <c r="G768" s="105" t="n"/>
      <c r="H768" s="105" t="n"/>
      <c r="I768" s="105" t="n"/>
      <c r="J768" s="105" t="n"/>
      <c r="K768" s="105" t="n"/>
      <c r="L768" s="105" t="n"/>
      <c r="M768" s="105" t="n"/>
      <c r="N768" s="105" t="n"/>
      <c r="O768" s="105" t="n"/>
      <c r="P768" s="105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5" t="n"/>
      <c r="B769" s="105" t="n"/>
      <c r="C769" s="105" t="n"/>
      <c r="D769" s="105" t="n"/>
      <c r="E769" s="105" t="n"/>
      <c r="F769" s="105" t="n"/>
      <c r="G769" s="105" t="n"/>
      <c r="H769" s="105" t="n"/>
      <c r="I769" s="105" t="n"/>
      <c r="J769" s="105" t="n"/>
      <c r="K769" s="105" t="n"/>
      <c r="L769" s="105" t="n"/>
      <c r="M769" s="105" t="n"/>
      <c r="N769" s="105" t="n"/>
      <c r="O769" s="105" t="n"/>
      <c r="P769" s="105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5" t="n"/>
      <c r="B770" s="105" t="n"/>
      <c r="C770" s="105" t="n"/>
      <c r="D770" s="105" t="n"/>
      <c r="E770" s="105" t="n"/>
      <c r="F770" s="105" t="n"/>
      <c r="G770" s="105" t="n"/>
      <c r="H770" s="105" t="n"/>
      <c r="I770" s="105" t="n"/>
      <c r="J770" s="105" t="n"/>
      <c r="K770" s="105" t="n"/>
      <c r="L770" s="105" t="n"/>
      <c r="M770" s="105" t="n"/>
      <c r="N770" s="105" t="n"/>
      <c r="O770" s="105" t="n"/>
      <c r="P770" s="105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5" t="n"/>
      <c r="B771" s="105" t="n"/>
      <c r="C771" s="105" t="n"/>
      <c r="D771" s="105" t="n"/>
      <c r="E771" s="105" t="n"/>
      <c r="F771" s="105" t="n"/>
      <c r="G771" s="105" t="n"/>
      <c r="H771" s="105" t="n"/>
      <c r="I771" s="105" t="n"/>
      <c r="J771" s="105" t="n"/>
      <c r="K771" s="105" t="n"/>
      <c r="L771" s="105" t="n"/>
      <c r="M771" s="105" t="n"/>
      <c r="N771" s="105" t="n"/>
      <c r="O771" s="105" t="n"/>
      <c r="P771" s="105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5" t="n"/>
      <c r="B772" s="105" t="n"/>
      <c r="C772" s="105" t="n"/>
      <c r="D772" s="105" t="n"/>
      <c r="E772" s="105" t="n"/>
      <c r="F772" s="105" t="n"/>
      <c r="G772" s="105" t="n"/>
      <c r="H772" s="105" t="n"/>
      <c r="I772" s="105" t="n"/>
      <c r="J772" s="105" t="n"/>
      <c r="K772" s="105" t="n"/>
      <c r="L772" s="105" t="n"/>
      <c r="M772" s="105" t="n"/>
      <c r="N772" s="105" t="n"/>
      <c r="O772" s="105" t="n"/>
      <c r="P772" s="105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5" t="n"/>
      <c r="B773" s="105" t="n"/>
      <c r="C773" s="105" t="n"/>
      <c r="D773" s="105" t="n"/>
      <c r="E773" s="105" t="n"/>
      <c r="F773" s="105" t="n"/>
      <c r="G773" s="105" t="n"/>
      <c r="H773" s="105" t="n"/>
      <c r="I773" s="105" t="n"/>
      <c r="J773" s="105" t="n"/>
      <c r="K773" s="105" t="n"/>
      <c r="L773" s="105" t="n"/>
      <c r="M773" s="105" t="n"/>
      <c r="N773" s="105" t="n"/>
      <c r="O773" s="105" t="n"/>
      <c r="P773" s="105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5" t="n"/>
      <c r="B774" s="105" t="n"/>
      <c r="C774" s="105" t="n"/>
      <c r="D774" s="105" t="n"/>
      <c r="E774" s="105" t="n"/>
      <c r="F774" s="105" t="n"/>
      <c r="G774" s="105" t="n"/>
      <c r="H774" s="105" t="n"/>
      <c r="I774" s="105" t="n"/>
      <c r="J774" s="105" t="n"/>
      <c r="K774" s="105" t="n"/>
      <c r="L774" s="105" t="n"/>
      <c r="M774" s="105" t="n"/>
      <c r="N774" s="105" t="n"/>
      <c r="O774" s="105" t="n"/>
      <c r="P774" s="105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5" t="n"/>
      <c r="B775" s="105" t="n"/>
      <c r="C775" s="105" t="n"/>
      <c r="D775" s="105" t="n"/>
      <c r="E775" s="105" t="n"/>
      <c r="F775" s="105" t="n"/>
      <c r="G775" s="105" t="n"/>
      <c r="H775" s="105" t="n"/>
      <c r="I775" s="105" t="n"/>
      <c r="J775" s="105" t="n"/>
      <c r="K775" s="105" t="n"/>
      <c r="L775" s="105" t="n"/>
      <c r="M775" s="105" t="n"/>
      <c r="N775" s="105" t="n"/>
      <c r="O775" s="105" t="n"/>
      <c r="P775" s="105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5" t="n"/>
      <c r="B776" s="105" t="n"/>
      <c r="C776" s="105" t="n"/>
      <c r="D776" s="105" t="n"/>
      <c r="E776" s="105" t="n"/>
      <c r="F776" s="105" t="n"/>
      <c r="G776" s="105" t="n"/>
      <c r="H776" s="105" t="n"/>
      <c r="I776" s="105" t="n"/>
      <c r="J776" s="105" t="n"/>
      <c r="K776" s="105" t="n"/>
      <c r="L776" s="105" t="n"/>
      <c r="M776" s="105" t="n"/>
      <c r="N776" s="105" t="n"/>
      <c r="O776" s="105" t="n"/>
      <c r="P776" s="105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5" t="n"/>
      <c r="B777" s="105" t="n"/>
      <c r="C777" s="105" t="n"/>
      <c r="D777" s="105" t="n"/>
      <c r="E777" s="105" t="n"/>
      <c r="F777" s="105" t="n"/>
      <c r="G777" s="105" t="n"/>
      <c r="H777" s="105" t="n"/>
      <c r="I777" s="105" t="n"/>
      <c r="J777" s="105" t="n"/>
      <c r="K777" s="105" t="n"/>
      <c r="L777" s="105" t="n"/>
      <c r="M777" s="105" t="n"/>
      <c r="N777" s="105" t="n"/>
      <c r="O777" s="105" t="n"/>
      <c r="P777" s="105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5" t="n"/>
      <c r="B778" s="105" t="n"/>
      <c r="C778" s="105" t="n"/>
      <c r="D778" s="105" t="n"/>
      <c r="E778" s="105" t="n"/>
      <c r="F778" s="105" t="n"/>
      <c r="G778" s="105" t="n"/>
      <c r="H778" s="105" t="n"/>
      <c r="I778" s="105" t="n"/>
      <c r="J778" s="105" t="n"/>
      <c r="K778" s="105" t="n"/>
      <c r="L778" s="105" t="n"/>
      <c r="M778" s="105" t="n"/>
      <c r="N778" s="105" t="n"/>
      <c r="O778" s="105" t="n"/>
      <c r="P778" s="105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5" t="n"/>
      <c r="B779" s="105" t="n"/>
      <c r="C779" s="105" t="n"/>
      <c r="D779" s="105" t="n"/>
      <c r="E779" s="105" t="n"/>
      <c r="F779" s="105" t="n"/>
      <c r="G779" s="105" t="n"/>
      <c r="H779" s="105" t="n"/>
      <c r="I779" s="105" t="n"/>
      <c r="J779" s="105" t="n"/>
      <c r="K779" s="105" t="n"/>
      <c r="L779" s="105" t="n"/>
      <c r="M779" s="105" t="n"/>
      <c r="N779" s="105" t="n"/>
      <c r="O779" s="105" t="n"/>
      <c r="P779" s="105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5" t="n"/>
      <c r="B780" s="105" t="n"/>
      <c r="C780" s="105" t="n"/>
      <c r="D780" s="105" t="n"/>
      <c r="E780" s="105" t="n"/>
      <c r="F780" s="105" t="n"/>
      <c r="G780" s="105" t="n"/>
      <c r="H780" s="105" t="n"/>
      <c r="I780" s="105" t="n"/>
      <c r="J780" s="105" t="n"/>
      <c r="K780" s="105" t="n"/>
      <c r="L780" s="105" t="n"/>
      <c r="M780" s="105" t="n"/>
      <c r="N780" s="105" t="n"/>
      <c r="O780" s="105" t="n"/>
      <c r="P780" s="105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5" t="n"/>
      <c r="B781" s="105" t="n"/>
      <c r="C781" s="105" t="n"/>
      <c r="D781" s="105" t="n"/>
      <c r="E781" s="105" t="n"/>
      <c r="F781" s="105" t="n"/>
      <c r="G781" s="105" t="n"/>
      <c r="H781" s="105" t="n"/>
      <c r="I781" s="105" t="n"/>
      <c r="J781" s="105" t="n"/>
      <c r="K781" s="105" t="n"/>
      <c r="L781" s="105" t="n"/>
      <c r="M781" s="105" t="n"/>
      <c r="N781" s="105" t="n"/>
      <c r="O781" s="105" t="n"/>
      <c r="P781" s="105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5" t="n"/>
      <c r="B782" s="105" t="n"/>
      <c r="C782" s="105" t="n"/>
      <c r="D782" s="105" t="n"/>
      <c r="E782" s="105" t="n"/>
      <c r="F782" s="105" t="n"/>
      <c r="G782" s="105" t="n"/>
      <c r="H782" s="105" t="n"/>
      <c r="I782" s="105" t="n"/>
      <c r="J782" s="105" t="n"/>
      <c r="K782" s="105" t="n"/>
      <c r="L782" s="105" t="n"/>
      <c r="M782" s="105" t="n"/>
      <c r="N782" s="105" t="n"/>
      <c r="O782" s="105" t="n"/>
      <c r="P782" s="105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5" t="n"/>
      <c r="B783" s="105" t="n"/>
      <c r="C783" s="105" t="n"/>
      <c r="D783" s="105" t="n"/>
      <c r="E783" s="105" t="n"/>
      <c r="F783" s="105" t="n"/>
      <c r="G783" s="105" t="n"/>
      <c r="H783" s="105" t="n"/>
      <c r="I783" s="105" t="n"/>
      <c r="J783" s="105" t="n"/>
      <c r="K783" s="105" t="n"/>
      <c r="L783" s="105" t="n"/>
      <c r="M783" s="105" t="n"/>
      <c r="N783" s="105" t="n"/>
      <c r="O783" s="105" t="n"/>
      <c r="P783" s="105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5" t="n"/>
      <c r="B784" s="105" t="n"/>
      <c r="C784" s="105" t="n"/>
      <c r="D784" s="105" t="n"/>
      <c r="E784" s="105" t="n"/>
      <c r="F784" s="105" t="n"/>
      <c r="G784" s="105" t="n"/>
      <c r="H784" s="105" t="n"/>
      <c r="I784" s="105" t="n"/>
      <c r="J784" s="105" t="n"/>
      <c r="K784" s="105" t="n"/>
      <c r="L784" s="105" t="n"/>
      <c r="M784" s="105" t="n"/>
      <c r="N784" s="105" t="n"/>
      <c r="O784" s="105" t="n"/>
      <c r="P784" s="105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5" t="n"/>
      <c r="B785" s="105" t="n"/>
      <c r="C785" s="105" t="n"/>
      <c r="D785" s="105" t="n"/>
      <c r="E785" s="105" t="n"/>
      <c r="F785" s="105" t="n"/>
      <c r="G785" s="105" t="n"/>
      <c r="H785" s="105" t="n"/>
      <c r="I785" s="105" t="n"/>
      <c r="J785" s="105" t="n"/>
      <c r="K785" s="105" t="n"/>
      <c r="L785" s="105" t="n"/>
      <c r="M785" s="105" t="n"/>
      <c r="N785" s="105" t="n"/>
      <c r="O785" s="105" t="n"/>
      <c r="P785" s="105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5" t="n"/>
      <c r="B786" s="105" t="n"/>
      <c r="C786" s="105" t="n"/>
      <c r="D786" s="105" t="n"/>
      <c r="E786" s="105" t="n"/>
      <c r="F786" s="105" t="n"/>
      <c r="G786" s="105" t="n"/>
      <c r="H786" s="105" t="n"/>
      <c r="I786" s="105" t="n"/>
      <c r="J786" s="105" t="n"/>
      <c r="K786" s="105" t="n"/>
      <c r="L786" s="105" t="n"/>
      <c r="M786" s="105" t="n"/>
      <c r="N786" s="105" t="n"/>
      <c r="O786" s="105" t="n"/>
      <c r="P786" s="105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5" t="n"/>
      <c r="B787" s="105" t="n"/>
      <c r="C787" s="105" t="n"/>
      <c r="D787" s="105" t="n"/>
      <c r="E787" s="105" t="n"/>
      <c r="F787" s="105" t="n"/>
      <c r="G787" s="105" t="n"/>
      <c r="H787" s="105" t="n"/>
      <c r="I787" s="105" t="n"/>
      <c r="J787" s="105" t="n"/>
      <c r="K787" s="105" t="n"/>
      <c r="L787" s="105" t="n"/>
      <c r="M787" s="105" t="n"/>
      <c r="N787" s="105" t="n"/>
      <c r="O787" s="105" t="n"/>
      <c r="P787" s="105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5" t="n"/>
      <c r="B788" s="105" t="n"/>
      <c r="C788" s="105" t="n"/>
      <c r="D788" s="105" t="n"/>
      <c r="E788" s="105" t="n"/>
      <c r="F788" s="105" t="n"/>
      <c r="G788" s="105" t="n"/>
      <c r="H788" s="105" t="n"/>
      <c r="I788" s="105" t="n"/>
      <c r="J788" s="105" t="n"/>
      <c r="K788" s="105" t="n"/>
      <c r="L788" s="105" t="n"/>
      <c r="M788" s="105" t="n"/>
      <c r="N788" s="105" t="n"/>
      <c r="O788" s="105" t="n"/>
      <c r="P788" s="105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5" t="n"/>
      <c r="B789" s="105" t="n"/>
      <c r="C789" s="105" t="n"/>
      <c r="D789" s="105" t="n"/>
      <c r="E789" s="105" t="n"/>
      <c r="F789" s="105" t="n"/>
      <c r="G789" s="105" t="n"/>
      <c r="H789" s="105" t="n"/>
      <c r="I789" s="105" t="n"/>
      <c r="J789" s="105" t="n"/>
      <c r="K789" s="105" t="n"/>
      <c r="L789" s="105" t="n"/>
      <c r="M789" s="105" t="n"/>
      <c r="N789" s="105" t="n"/>
      <c r="O789" s="105" t="n"/>
      <c r="P789" s="105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5" t="n"/>
      <c r="B790" s="105" t="n"/>
      <c r="C790" s="105" t="n"/>
      <c r="D790" s="105" t="n"/>
      <c r="E790" s="105" t="n"/>
      <c r="F790" s="105" t="n"/>
      <c r="G790" s="105" t="n"/>
      <c r="H790" s="105" t="n"/>
      <c r="I790" s="105" t="n"/>
      <c r="J790" s="105" t="n"/>
      <c r="K790" s="105" t="n"/>
      <c r="L790" s="105" t="n"/>
      <c r="M790" s="105" t="n"/>
      <c r="N790" s="105" t="n"/>
      <c r="O790" s="105" t="n"/>
      <c r="P790" s="105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5" t="n"/>
      <c r="B791" s="105" t="n"/>
      <c r="C791" s="105" t="n"/>
      <c r="D791" s="105" t="n"/>
      <c r="E791" s="105" t="n"/>
      <c r="F791" s="105" t="n"/>
      <c r="G791" s="105" t="n"/>
      <c r="H791" s="105" t="n"/>
      <c r="I791" s="105" t="n"/>
      <c r="J791" s="105" t="n"/>
      <c r="K791" s="105" t="n"/>
      <c r="L791" s="105" t="n"/>
      <c r="M791" s="105" t="n"/>
      <c r="N791" s="105" t="n"/>
      <c r="O791" s="105" t="n"/>
      <c r="P791" s="105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5" t="n"/>
      <c r="B792" s="105" t="n"/>
      <c r="C792" s="105" t="n"/>
      <c r="D792" s="105" t="n"/>
      <c r="E792" s="105" t="n"/>
      <c r="F792" s="105" t="n"/>
      <c r="G792" s="105" t="n"/>
      <c r="H792" s="105" t="n"/>
      <c r="I792" s="105" t="n"/>
      <c r="J792" s="105" t="n"/>
      <c r="K792" s="105" t="n"/>
      <c r="L792" s="105" t="n"/>
      <c r="M792" s="105" t="n"/>
      <c r="N792" s="105" t="n"/>
      <c r="O792" s="105" t="n"/>
      <c r="P792" s="105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5" t="n"/>
      <c r="B793" s="105" t="n"/>
      <c r="C793" s="105" t="n"/>
      <c r="D793" s="105" t="n"/>
      <c r="E793" s="105" t="n"/>
      <c r="F793" s="105" t="n"/>
      <c r="G793" s="105" t="n"/>
      <c r="H793" s="105" t="n"/>
      <c r="I793" s="105" t="n"/>
      <c r="J793" s="105" t="n"/>
      <c r="K793" s="105" t="n"/>
      <c r="L793" s="105" t="n"/>
      <c r="M793" s="105" t="n"/>
      <c r="N793" s="105" t="n"/>
      <c r="O793" s="105" t="n"/>
      <c r="P793" s="105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5" t="n"/>
      <c r="B794" s="105" t="n"/>
      <c r="C794" s="105" t="n"/>
      <c r="D794" s="105" t="n"/>
      <c r="E794" s="105" t="n"/>
      <c r="F794" s="105" t="n"/>
      <c r="G794" s="105" t="n"/>
      <c r="H794" s="105" t="n"/>
      <c r="I794" s="105" t="n"/>
      <c r="J794" s="105" t="n"/>
      <c r="K794" s="105" t="n"/>
      <c r="L794" s="105" t="n"/>
      <c r="M794" s="105" t="n"/>
      <c r="N794" s="105" t="n"/>
      <c r="O794" s="105" t="n"/>
      <c r="P794" s="105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5" t="n"/>
      <c r="B795" s="105" t="n"/>
      <c r="C795" s="105" t="n"/>
      <c r="D795" s="105" t="n"/>
      <c r="E795" s="105" t="n"/>
      <c r="F795" s="105" t="n"/>
      <c r="G795" s="105" t="n"/>
      <c r="H795" s="105" t="n"/>
      <c r="I795" s="105" t="n"/>
      <c r="J795" s="105" t="n"/>
      <c r="K795" s="105" t="n"/>
      <c r="L795" s="105" t="n"/>
      <c r="M795" s="105" t="n"/>
      <c r="N795" s="105" t="n"/>
      <c r="O795" s="105" t="n"/>
      <c r="P795" s="105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5" t="n"/>
      <c r="B796" s="105" t="n"/>
      <c r="C796" s="105" t="n"/>
      <c r="D796" s="105" t="n"/>
      <c r="E796" s="105" t="n"/>
      <c r="F796" s="105" t="n"/>
      <c r="G796" s="105" t="n"/>
      <c r="H796" s="105" t="n"/>
      <c r="I796" s="105" t="n"/>
      <c r="J796" s="105" t="n"/>
      <c r="K796" s="105" t="n"/>
      <c r="L796" s="105" t="n"/>
      <c r="M796" s="105" t="n"/>
      <c r="N796" s="105" t="n"/>
      <c r="O796" s="105" t="n"/>
      <c r="P796" s="105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5" t="n"/>
      <c r="B797" s="105" t="n"/>
      <c r="C797" s="105" t="n"/>
      <c r="D797" s="105" t="n"/>
      <c r="E797" s="105" t="n"/>
      <c r="F797" s="105" t="n"/>
      <c r="G797" s="105" t="n"/>
      <c r="H797" s="105" t="n"/>
      <c r="I797" s="105" t="n"/>
      <c r="J797" s="105" t="n"/>
      <c r="K797" s="105" t="n"/>
      <c r="L797" s="105" t="n"/>
      <c r="M797" s="105" t="n"/>
      <c r="N797" s="105" t="n"/>
      <c r="O797" s="105" t="n"/>
      <c r="P797" s="105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5" t="n"/>
      <c r="B798" s="105" t="n"/>
      <c r="C798" s="105" t="n"/>
      <c r="D798" s="105" t="n"/>
      <c r="E798" s="105" t="n"/>
      <c r="F798" s="105" t="n"/>
      <c r="G798" s="105" t="n"/>
      <c r="H798" s="105" t="n"/>
      <c r="I798" s="105" t="n"/>
      <c r="J798" s="105" t="n"/>
      <c r="K798" s="105" t="n"/>
      <c r="L798" s="105" t="n"/>
      <c r="M798" s="105" t="n"/>
      <c r="N798" s="105" t="n"/>
      <c r="O798" s="105" t="n"/>
      <c r="P798" s="105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5" t="n"/>
      <c r="B799" s="105" t="n"/>
      <c r="C799" s="105" t="n"/>
      <c r="D799" s="105" t="n"/>
      <c r="E799" s="105" t="n"/>
      <c r="F799" s="105" t="n"/>
      <c r="G799" s="105" t="n"/>
      <c r="H799" s="105" t="n"/>
      <c r="I799" s="105" t="n"/>
      <c r="J799" s="105" t="n"/>
      <c r="K799" s="105" t="n"/>
      <c r="L799" s="105" t="n"/>
      <c r="M799" s="105" t="n"/>
      <c r="N799" s="105" t="n"/>
      <c r="O799" s="105" t="n"/>
      <c r="P799" s="105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5" t="n"/>
      <c r="B800" s="105" t="n"/>
      <c r="C800" s="105" t="n"/>
      <c r="D800" s="105" t="n"/>
      <c r="E800" s="105" t="n"/>
      <c r="F800" s="105" t="n"/>
      <c r="G800" s="105" t="n"/>
      <c r="H800" s="105" t="n"/>
      <c r="I800" s="105" t="n"/>
      <c r="J800" s="105" t="n"/>
      <c r="K800" s="105" t="n"/>
      <c r="L800" s="105" t="n"/>
      <c r="M800" s="105" t="n"/>
      <c r="N800" s="105" t="n"/>
      <c r="O800" s="105" t="n"/>
      <c r="P800" s="105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5" t="n"/>
      <c r="B801" s="105" t="n"/>
      <c r="C801" s="105" t="n"/>
      <c r="D801" s="105" t="n"/>
      <c r="E801" s="105" t="n"/>
      <c r="F801" s="105" t="n"/>
      <c r="G801" s="105" t="n"/>
      <c r="H801" s="105" t="n"/>
      <c r="I801" s="105" t="n"/>
      <c r="J801" s="105" t="n"/>
      <c r="K801" s="105" t="n"/>
      <c r="L801" s="105" t="n"/>
      <c r="M801" s="105" t="n"/>
      <c r="N801" s="105" t="n"/>
      <c r="O801" s="105" t="n"/>
      <c r="P801" s="105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5" t="n"/>
      <c r="B802" s="105" t="n"/>
      <c r="C802" s="105" t="n"/>
      <c r="D802" s="105" t="n"/>
      <c r="E802" s="105" t="n"/>
      <c r="F802" s="105" t="n"/>
      <c r="G802" s="105" t="n"/>
      <c r="H802" s="105" t="n"/>
      <c r="I802" s="105" t="n"/>
      <c r="J802" s="105" t="n"/>
      <c r="K802" s="105" t="n"/>
      <c r="L802" s="105" t="n"/>
      <c r="M802" s="105" t="n"/>
      <c r="N802" s="105" t="n"/>
      <c r="O802" s="105" t="n"/>
      <c r="P802" s="105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5" t="n"/>
      <c r="B803" s="105" t="n"/>
      <c r="C803" s="105" t="n"/>
      <c r="D803" s="105" t="n"/>
      <c r="E803" s="105" t="n"/>
      <c r="F803" s="105" t="n"/>
      <c r="G803" s="105" t="n"/>
      <c r="H803" s="105" t="n"/>
      <c r="I803" s="105" t="n"/>
      <c r="J803" s="105" t="n"/>
      <c r="K803" s="105" t="n"/>
      <c r="L803" s="105" t="n"/>
      <c r="M803" s="105" t="n"/>
      <c r="N803" s="105" t="n"/>
      <c r="O803" s="105" t="n"/>
      <c r="P803" s="105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5" t="n"/>
      <c r="B804" s="105" t="n"/>
      <c r="C804" s="105" t="n"/>
      <c r="D804" s="105" t="n"/>
      <c r="E804" s="105" t="n"/>
      <c r="F804" s="105" t="n"/>
      <c r="G804" s="105" t="n"/>
      <c r="H804" s="105" t="n"/>
      <c r="I804" s="105" t="n"/>
      <c r="J804" s="105" t="n"/>
      <c r="K804" s="105" t="n"/>
      <c r="L804" s="105" t="n"/>
      <c r="M804" s="105" t="n"/>
      <c r="N804" s="105" t="n"/>
      <c r="O804" s="105" t="n"/>
      <c r="P804" s="105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5" t="n"/>
      <c r="B805" s="105" t="n"/>
      <c r="C805" s="105" t="n"/>
      <c r="D805" s="105" t="n"/>
      <c r="E805" s="105" t="n"/>
      <c r="F805" s="105" t="n"/>
      <c r="G805" s="105" t="n"/>
      <c r="H805" s="105" t="n"/>
      <c r="I805" s="105" t="n"/>
      <c r="J805" s="105" t="n"/>
      <c r="K805" s="105" t="n"/>
      <c r="L805" s="105" t="n"/>
      <c r="M805" s="105" t="n"/>
      <c r="N805" s="105" t="n"/>
      <c r="O805" s="105" t="n"/>
      <c r="P805" s="105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5" t="n"/>
      <c r="B806" s="105" t="n"/>
      <c r="C806" s="105" t="n"/>
      <c r="D806" s="105" t="n"/>
      <c r="E806" s="105" t="n"/>
      <c r="F806" s="105" t="n"/>
      <c r="G806" s="105" t="n"/>
      <c r="H806" s="105" t="n"/>
      <c r="I806" s="105" t="n"/>
      <c r="J806" s="105" t="n"/>
      <c r="K806" s="105" t="n"/>
      <c r="L806" s="105" t="n"/>
      <c r="M806" s="105" t="n"/>
      <c r="N806" s="105" t="n"/>
      <c r="O806" s="105" t="n"/>
      <c r="P806" s="105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5" t="n"/>
      <c r="B807" s="105" t="n"/>
      <c r="C807" s="105" t="n"/>
      <c r="D807" s="105" t="n"/>
      <c r="E807" s="105" t="n"/>
      <c r="F807" s="105" t="n"/>
      <c r="G807" s="105" t="n"/>
      <c r="H807" s="105" t="n"/>
      <c r="I807" s="105" t="n"/>
      <c r="J807" s="105" t="n"/>
      <c r="K807" s="105" t="n"/>
      <c r="L807" s="105" t="n"/>
      <c r="M807" s="105" t="n"/>
      <c r="N807" s="105" t="n"/>
      <c r="O807" s="105" t="n"/>
      <c r="P807" s="105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5" t="n"/>
      <c r="B808" s="105" t="n"/>
      <c r="C808" s="105" t="n"/>
      <c r="D808" s="105" t="n"/>
      <c r="E808" s="105" t="n"/>
      <c r="F808" s="105" t="n"/>
      <c r="G808" s="105" t="n"/>
      <c r="H808" s="105" t="n"/>
      <c r="I808" s="105" t="n"/>
      <c r="J808" s="105" t="n"/>
      <c r="K808" s="105" t="n"/>
      <c r="L808" s="105" t="n"/>
      <c r="M808" s="105" t="n"/>
      <c r="N808" s="105" t="n"/>
      <c r="O808" s="105" t="n"/>
      <c r="P808" s="105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5" t="n"/>
      <c r="B809" s="105" t="n"/>
      <c r="C809" s="105" t="n"/>
      <c r="D809" s="105" t="n"/>
      <c r="E809" s="105" t="n"/>
      <c r="F809" s="105" t="n"/>
      <c r="G809" s="105" t="n"/>
      <c r="H809" s="105" t="n"/>
      <c r="I809" s="105" t="n"/>
      <c r="J809" s="105" t="n"/>
      <c r="K809" s="105" t="n"/>
      <c r="L809" s="105" t="n"/>
      <c r="M809" s="105" t="n"/>
      <c r="N809" s="105" t="n"/>
      <c r="O809" s="105" t="n"/>
      <c r="P809" s="105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5" t="n"/>
      <c r="B810" s="105" t="n"/>
      <c r="C810" s="105" t="n"/>
      <c r="D810" s="105" t="n"/>
      <c r="E810" s="105" t="n"/>
      <c r="F810" s="105" t="n"/>
      <c r="G810" s="105" t="n"/>
      <c r="H810" s="105" t="n"/>
      <c r="I810" s="105" t="n"/>
      <c r="J810" s="105" t="n"/>
      <c r="K810" s="105" t="n"/>
      <c r="L810" s="105" t="n"/>
      <c r="M810" s="105" t="n"/>
      <c r="N810" s="105" t="n"/>
      <c r="O810" s="105" t="n"/>
      <c r="P810" s="105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5" t="n"/>
      <c r="B811" s="105" t="n"/>
      <c r="C811" s="105" t="n"/>
      <c r="D811" s="105" t="n"/>
      <c r="E811" s="105" t="n"/>
      <c r="F811" s="105" t="n"/>
      <c r="G811" s="105" t="n"/>
      <c r="H811" s="105" t="n"/>
      <c r="I811" s="105" t="n"/>
      <c r="J811" s="105" t="n"/>
      <c r="K811" s="105" t="n"/>
      <c r="L811" s="105" t="n"/>
      <c r="M811" s="105" t="n"/>
      <c r="N811" s="105" t="n"/>
      <c r="O811" s="105" t="n"/>
      <c r="P811" s="105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5" t="n"/>
      <c r="B812" s="105" t="n"/>
      <c r="C812" s="105" t="n"/>
      <c r="D812" s="105" t="n"/>
      <c r="E812" s="105" t="n"/>
      <c r="F812" s="105" t="n"/>
      <c r="G812" s="105" t="n"/>
      <c r="H812" s="105" t="n"/>
      <c r="I812" s="105" t="n"/>
      <c r="J812" s="105" t="n"/>
      <c r="K812" s="105" t="n"/>
      <c r="L812" s="105" t="n"/>
      <c r="M812" s="105" t="n"/>
      <c r="N812" s="105" t="n"/>
      <c r="O812" s="105" t="n"/>
      <c r="P812" s="105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5" t="n"/>
      <c r="B813" s="105" t="n"/>
      <c r="C813" s="105" t="n"/>
      <c r="D813" s="105" t="n"/>
      <c r="E813" s="105" t="n"/>
      <c r="F813" s="105" t="n"/>
      <c r="G813" s="105" t="n"/>
      <c r="H813" s="105" t="n"/>
      <c r="I813" s="105" t="n"/>
      <c r="J813" s="105" t="n"/>
      <c r="K813" s="105" t="n"/>
      <c r="L813" s="105" t="n"/>
      <c r="M813" s="105" t="n"/>
      <c r="N813" s="105" t="n"/>
      <c r="O813" s="105" t="n"/>
      <c r="P813" s="105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5" t="n"/>
      <c r="B814" s="105" t="n"/>
      <c r="C814" s="105" t="n"/>
      <c r="D814" s="105" t="n"/>
      <c r="E814" s="105" t="n"/>
      <c r="F814" s="105" t="n"/>
      <c r="G814" s="105" t="n"/>
      <c r="H814" s="105" t="n"/>
      <c r="I814" s="105" t="n"/>
      <c r="J814" s="105" t="n"/>
      <c r="K814" s="105" t="n"/>
      <c r="L814" s="105" t="n"/>
      <c r="M814" s="105" t="n"/>
      <c r="N814" s="105" t="n"/>
      <c r="O814" s="105" t="n"/>
      <c r="P814" s="105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5" t="n"/>
      <c r="B815" s="105" t="n"/>
      <c r="C815" s="105" t="n"/>
      <c r="D815" s="105" t="n"/>
      <c r="E815" s="105" t="n"/>
      <c r="F815" s="105" t="n"/>
      <c r="G815" s="105" t="n"/>
      <c r="H815" s="105" t="n"/>
      <c r="I815" s="105" t="n"/>
      <c r="J815" s="105" t="n"/>
      <c r="K815" s="105" t="n"/>
      <c r="L815" s="105" t="n"/>
      <c r="M815" s="105" t="n"/>
      <c r="N815" s="105" t="n"/>
      <c r="O815" s="105" t="n"/>
      <c r="P815" s="105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5" t="n"/>
      <c r="B816" s="105" t="n"/>
      <c r="C816" s="105" t="n"/>
      <c r="D816" s="105" t="n"/>
      <c r="E816" s="105" t="n"/>
      <c r="F816" s="105" t="n"/>
      <c r="G816" s="105" t="n"/>
      <c r="H816" s="105" t="n"/>
      <c r="I816" s="105" t="n"/>
      <c r="J816" s="105" t="n"/>
      <c r="K816" s="105" t="n"/>
      <c r="L816" s="105" t="n"/>
      <c r="M816" s="105" t="n"/>
      <c r="N816" s="105" t="n"/>
      <c r="O816" s="105" t="n"/>
      <c r="P816" s="105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5" t="n"/>
      <c r="B817" s="105" t="n"/>
      <c r="C817" s="105" t="n"/>
      <c r="D817" s="105" t="n"/>
      <c r="E817" s="105" t="n"/>
      <c r="F817" s="105" t="n"/>
      <c r="G817" s="105" t="n"/>
      <c r="H817" s="105" t="n"/>
      <c r="I817" s="105" t="n"/>
      <c r="J817" s="105" t="n"/>
      <c r="K817" s="105" t="n"/>
      <c r="L817" s="105" t="n"/>
      <c r="M817" s="105" t="n"/>
      <c r="N817" s="105" t="n"/>
      <c r="O817" s="105" t="n"/>
      <c r="P817" s="105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5" t="n"/>
      <c r="B818" s="105" t="n"/>
      <c r="C818" s="105" t="n"/>
      <c r="D818" s="105" t="n"/>
      <c r="E818" s="105" t="n"/>
      <c r="F818" s="105" t="n"/>
      <c r="G818" s="105" t="n"/>
      <c r="H818" s="105" t="n"/>
      <c r="I818" s="105" t="n"/>
      <c r="J818" s="105" t="n"/>
      <c r="K818" s="105" t="n"/>
      <c r="L818" s="105" t="n"/>
      <c r="M818" s="105" t="n"/>
      <c r="N818" s="105" t="n"/>
      <c r="O818" s="105" t="n"/>
      <c r="P818" s="105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5" t="n"/>
      <c r="B819" s="105" t="n"/>
      <c r="C819" s="105" t="n"/>
      <c r="D819" s="105" t="n"/>
      <c r="E819" s="105" t="n"/>
      <c r="F819" s="105" t="n"/>
      <c r="G819" s="105" t="n"/>
      <c r="H819" s="105" t="n"/>
      <c r="I819" s="105" t="n"/>
      <c r="J819" s="105" t="n"/>
      <c r="K819" s="105" t="n"/>
      <c r="L819" s="105" t="n"/>
      <c r="M819" s="105" t="n"/>
      <c r="N819" s="105" t="n"/>
      <c r="O819" s="105" t="n"/>
      <c r="P819" s="105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5" t="n"/>
      <c r="B820" s="105" t="n"/>
      <c r="C820" s="105" t="n"/>
      <c r="D820" s="105" t="n"/>
      <c r="E820" s="105" t="n"/>
      <c r="F820" s="105" t="n"/>
      <c r="G820" s="105" t="n"/>
      <c r="H820" s="105" t="n"/>
      <c r="I820" s="105" t="n"/>
      <c r="J820" s="105" t="n"/>
      <c r="K820" s="105" t="n"/>
      <c r="L820" s="105" t="n"/>
      <c r="M820" s="105" t="n"/>
      <c r="N820" s="105" t="n"/>
      <c r="O820" s="105" t="n"/>
      <c r="P820" s="105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5" t="n"/>
      <c r="B821" s="105" t="n"/>
      <c r="C821" s="105" t="n"/>
      <c r="D821" s="105" t="n"/>
      <c r="E821" s="105" t="n"/>
      <c r="F821" s="105" t="n"/>
      <c r="G821" s="105" t="n"/>
      <c r="H821" s="105" t="n"/>
      <c r="I821" s="105" t="n"/>
      <c r="J821" s="105" t="n"/>
      <c r="K821" s="105" t="n"/>
      <c r="L821" s="105" t="n"/>
      <c r="M821" s="105" t="n"/>
      <c r="N821" s="105" t="n"/>
      <c r="O821" s="105" t="n"/>
      <c r="P821" s="105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5" t="n"/>
      <c r="B822" s="105" t="n"/>
      <c r="C822" s="105" t="n"/>
      <c r="D822" s="105" t="n"/>
      <c r="E822" s="105" t="n"/>
      <c r="F822" s="105" t="n"/>
      <c r="G822" s="105" t="n"/>
      <c r="H822" s="105" t="n"/>
      <c r="I822" s="105" t="n"/>
      <c r="J822" s="105" t="n"/>
      <c r="K822" s="105" t="n"/>
      <c r="L822" s="105" t="n"/>
      <c r="M822" s="105" t="n"/>
      <c r="N822" s="105" t="n"/>
      <c r="O822" s="105" t="n"/>
      <c r="P822" s="105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5" t="n"/>
      <c r="B823" s="105" t="n"/>
      <c r="C823" s="105" t="n"/>
      <c r="D823" s="105" t="n"/>
      <c r="E823" s="105" t="n"/>
      <c r="F823" s="105" t="n"/>
      <c r="G823" s="105" t="n"/>
      <c r="H823" s="105" t="n"/>
      <c r="I823" s="105" t="n"/>
      <c r="J823" s="105" t="n"/>
      <c r="K823" s="105" t="n"/>
      <c r="L823" s="105" t="n"/>
      <c r="M823" s="105" t="n"/>
      <c r="N823" s="105" t="n"/>
      <c r="O823" s="105" t="n"/>
      <c r="P823" s="105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5" t="n"/>
      <c r="B824" s="105" t="n"/>
      <c r="C824" s="105" t="n"/>
      <c r="D824" s="105" t="n"/>
      <c r="E824" s="105" t="n"/>
      <c r="F824" s="105" t="n"/>
      <c r="G824" s="105" t="n"/>
      <c r="H824" s="105" t="n"/>
      <c r="I824" s="105" t="n"/>
      <c r="J824" s="105" t="n"/>
      <c r="K824" s="105" t="n"/>
      <c r="L824" s="105" t="n"/>
      <c r="M824" s="105" t="n"/>
      <c r="N824" s="105" t="n"/>
      <c r="O824" s="105" t="n"/>
      <c r="P824" s="105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5" t="n"/>
      <c r="B825" s="105" t="n"/>
      <c r="C825" s="105" t="n"/>
      <c r="D825" s="105" t="n"/>
      <c r="E825" s="105" t="n"/>
      <c r="F825" s="105" t="n"/>
      <c r="G825" s="105" t="n"/>
      <c r="H825" s="105" t="n"/>
      <c r="I825" s="105" t="n"/>
      <c r="J825" s="105" t="n"/>
      <c r="K825" s="105" t="n"/>
      <c r="L825" s="105" t="n"/>
      <c r="M825" s="105" t="n"/>
      <c r="N825" s="105" t="n"/>
      <c r="O825" s="105" t="n"/>
      <c r="P825" s="105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5" t="n"/>
      <c r="B826" s="105" t="n"/>
      <c r="C826" s="105" t="n"/>
      <c r="D826" s="105" t="n"/>
      <c r="E826" s="105" t="n"/>
      <c r="F826" s="105" t="n"/>
      <c r="G826" s="105" t="n"/>
      <c r="H826" s="105" t="n"/>
      <c r="I826" s="105" t="n"/>
      <c r="J826" s="105" t="n"/>
      <c r="K826" s="105" t="n"/>
      <c r="L826" s="105" t="n"/>
      <c r="M826" s="105" t="n"/>
      <c r="N826" s="105" t="n"/>
      <c r="O826" s="105" t="n"/>
      <c r="P826" s="105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5" t="n"/>
      <c r="B827" s="105" t="n"/>
      <c r="C827" s="105" t="n"/>
      <c r="D827" s="105" t="n"/>
      <c r="E827" s="105" t="n"/>
      <c r="F827" s="105" t="n"/>
      <c r="G827" s="105" t="n"/>
      <c r="H827" s="105" t="n"/>
      <c r="I827" s="105" t="n"/>
      <c r="J827" s="105" t="n"/>
      <c r="K827" s="105" t="n"/>
      <c r="L827" s="105" t="n"/>
      <c r="M827" s="105" t="n"/>
      <c r="N827" s="105" t="n"/>
      <c r="O827" s="105" t="n"/>
      <c r="P827" s="105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5" t="n"/>
      <c r="B828" s="105" t="n"/>
      <c r="C828" s="105" t="n"/>
      <c r="D828" s="105" t="n"/>
      <c r="E828" s="105" t="n"/>
      <c r="F828" s="105" t="n"/>
      <c r="G828" s="105" t="n"/>
      <c r="H828" s="105" t="n"/>
      <c r="I828" s="105" t="n"/>
      <c r="J828" s="105" t="n"/>
      <c r="K828" s="105" t="n"/>
      <c r="L828" s="105" t="n"/>
      <c r="M828" s="105" t="n"/>
      <c r="N828" s="105" t="n"/>
      <c r="O828" s="105" t="n"/>
      <c r="P828" s="105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5" t="n"/>
      <c r="B829" s="105" t="n"/>
      <c r="C829" s="105" t="n"/>
      <c r="D829" s="105" t="n"/>
      <c r="E829" s="105" t="n"/>
      <c r="F829" s="105" t="n"/>
      <c r="G829" s="105" t="n"/>
      <c r="H829" s="105" t="n"/>
      <c r="I829" s="105" t="n"/>
      <c r="J829" s="105" t="n"/>
      <c r="K829" s="105" t="n"/>
      <c r="L829" s="105" t="n"/>
      <c r="M829" s="105" t="n"/>
      <c r="N829" s="105" t="n"/>
      <c r="O829" s="105" t="n"/>
      <c r="P829" s="105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5" t="n"/>
      <c r="B830" s="105" t="n"/>
      <c r="C830" s="105" t="n"/>
      <c r="D830" s="105" t="n"/>
      <c r="E830" s="105" t="n"/>
      <c r="F830" s="105" t="n"/>
      <c r="G830" s="105" t="n"/>
      <c r="H830" s="105" t="n"/>
      <c r="I830" s="105" t="n"/>
      <c r="J830" s="105" t="n"/>
      <c r="K830" s="105" t="n"/>
      <c r="L830" s="105" t="n"/>
      <c r="M830" s="105" t="n"/>
      <c r="N830" s="105" t="n"/>
      <c r="O830" s="105" t="n"/>
      <c r="P830" s="105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5" t="n"/>
      <c r="B831" s="105" t="n"/>
      <c r="C831" s="105" t="n"/>
      <c r="D831" s="105" t="n"/>
      <c r="E831" s="105" t="n"/>
      <c r="F831" s="105" t="n"/>
      <c r="G831" s="105" t="n"/>
      <c r="H831" s="105" t="n"/>
      <c r="I831" s="105" t="n"/>
      <c r="J831" s="105" t="n"/>
      <c r="K831" s="105" t="n"/>
      <c r="L831" s="105" t="n"/>
      <c r="M831" s="105" t="n"/>
      <c r="N831" s="105" t="n"/>
      <c r="O831" s="105" t="n"/>
      <c r="P831" s="105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5" t="n"/>
      <c r="B832" s="105" t="n"/>
      <c r="C832" s="105" t="n"/>
      <c r="D832" s="105" t="n"/>
      <c r="E832" s="105" t="n"/>
      <c r="F832" s="105" t="n"/>
      <c r="G832" s="105" t="n"/>
      <c r="H832" s="105" t="n"/>
      <c r="I832" s="105" t="n"/>
      <c r="J832" s="105" t="n"/>
      <c r="K832" s="105" t="n"/>
      <c r="L832" s="105" t="n"/>
      <c r="M832" s="105" t="n"/>
      <c r="N832" s="105" t="n"/>
      <c r="O832" s="105" t="n"/>
      <c r="P832" s="105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5" t="n"/>
      <c r="B833" s="105" t="n"/>
      <c r="C833" s="105" t="n"/>
      <c r="D833" s="105" t="n"/>
      <c r="E833" s="105" t="n"/>
      <c r="F833" s="105" t="n"/>
      <c r="G833" s="105" t="n"/>
      <c r="H833" s="105" t="n"/>
      <c r="I833" s="105" t="n"/>
      <c r="J833" s="105" t="n"/>
      <c r="K833" s="105" t="n"/>
      <c r="L833" s="105" t="n"/>
      <c r="M833" s="105" t="n"/>
      <c r="N833" s="105" t="n"/>
      <c r="O833" s="105" t="n"/>
      <c r="P833" s="105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5" t="n"/>
      <c r="B834" s="105" t="n"/>
      <c r="C834" s="105" t="n"/>
      <c r="D834" s="105" t="n"/>
      <c r="E834" s="105" t="n"/>
      <c r="F834" s="105" t="n"/>
      <c r="G834" s="105" t="n"/>
      <c r="H834" s="105" t="n"/>
      <c r="I834" s="105" t="n"/>
      <c r="J834" s="105" t="n"/>
      <c r="K834" s="105" t="n"/>
      <c r="L834" s="105" t="n"/>
      <c r="M834" s="105" t="n"/>
      <c r="N834" s="105" t="n"/>
      <c r="O834" s="105" t="n"/>
      <c r="P834" s="105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5" t="n"/>
      <c r="B835" s="105" t="n"/>
      <c r="C835" s="105" t="n"/>
      <c r="D835" s="105" t="n"/>
      <c r="E835" s="105" t="n"/>
      <c r="F835" s="105" t="n"/>
      <c r="G835" s="105" t="n"/>
      <c r="H835" s="105" t="n"/>
      <c r="I835" s="105" t="n"/>
      <c r="J835" s="105" t="n"/>
      <c r="K835" s="105" t="n"/>
      <c r="L835" s="105" t="n"/>
      <c r="M835" s="105" t="n"/>
      <c r="N835" s="105" t="n"/>
      <c r="O835" s="105" t="n"/>
      <c r="P835" s="105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5" t="n"/>
      <c r="B836" s="105" t="n"/>
      <c r="C836" s="105" t="n"/>
      <c r="D836" s="105" t="n"/>
      <c r="E836" s="105" t="n"/>
      <c r="F836" s="105" t="n"/>
      <c r="G836" s="105" t="n"/>
      <c r="H836" s="105" t="n"/>
      <c r="I836" s="105" t="n"/>
      <c r="J836" s="105" t="n"/>
      <c r="K836" s="105" t="n"/>
      <c r="L836" s="105" t="n"/>
      <c r="M836" s="105" t="n"/>
      <c r="N836" s="105" t="n"/>
      <c r="O836" s="105" t="n"/>
      <c r="P836" s="105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5" t="n"/>
      <c r="B837" s="105" t="n"/>
      <c r="C837" s="105" t="n"/>
      <c r="D837" s="105" t="n"/>
      <c r="E837" s="105" t="n"/>
      <c r="F837" s="105" t="n"/>
      <c r="G837" s="105" t="n"/>
      <c r="H837" s="105" t="n"/>
      <c r="I837" s="105" t="n"/>
      <c r="J837" s="105" t="n"/>
      <c r="K837" s="105" t="n"/>
      <c r="L837" s="105" t="n"/>
      <c r="M837" s="105" t="n"/>
      <c r="N837" s="105" t="n"/>
      <c r="O837" s="105" t="n"/>
      <c r="P837" s="105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5" t="n"/>
      <c r="B838" s="105" t="n"/>
      <c r="C838" s="105" t="n"/>
      <c r="D838" s="105" t="n"/>
      <c r="E838" s="105" t="n"/>
      <c r="F838" s="105" t="n"/>
      <c r="G838" s="105" t="n"/>
      <c r="H838" s="105" t="n"/>
      <c r="I838" s="105" t="n"/>
      <c r="J838" s="105" t="n"/>
      <c r="K838" s="105" t="n"/>
      <c r="L838" s="105" t="n"/>
      <c r="M838" s="105" t="n"/>
      <c r="N838" s="105" t="n"/>
      <c r="O838" s="105" t="n"/>
      <c r="P838" s="105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5" t="n"/>
      <c r="B839" s="105" t="n"/>
      <c r="C839" s="105" t="n"/>
      <c r="D839" s="105" t="n"/>
      <c r="E839" s="105" t="n"/>
      <c r="F839" s="105" t="n"/>
      <c r="G839" s="105" t="n"/>
      <c r="H839" s="105" t="n"/>
      <c r="I839" s="105" t="n"/>
      <c r="J839" s="105" t="n"/>
      <c r="K839" s="105" t="n"/>
      <c r="L839" s="105" t="n"/>
      <c r="M839" s="105" t="n"/>
      <c r="N839" s="105" t="n"/>
      <c r="O839" s="105" t="n"/>
      <c r="P839" s="105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5" t="n"/>
      <c r="B840" s="105" t="n"/>
      <c r="C840" s="105" t="n"/>
      <c r="D840" s="105" t="n"/>
      <c r="E840" s="105" t="n"/>
      <c r="F840" s="105" t="n"/>
      <c r="G840" s="105" t="n"/>
      <c r="H840" s="105" t="n"/>
      <c r="I840" s="105" t="n"/>
      <c r="J840" s="105" t="n"/>
      <c r="K840" s="105" t="n"/>
      <c r="L840" s="105" t="n"/>
      <c r="M840" s="105" t="n"/>
      <c r="N840" s="105" t="n"/>
      <c r="O840" s="105" t="n"/>
      <c r="P840" s="105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5" t="n"/>
      <c r="B841" s="105" t="n"/>
      <c r="C841" s="105" t="n"/>
      <c r="D841" s="105" t="n"/>
      <c r="E841" s="105" t="n"/>
      <c r="F841" s="105" t="n"/>
      <c r="G841" s="105" t="n"/>
      <c r="H841" s="105" t="n"/>
      <c r="I841" s="105" t="n"/>
      <c r="J841" s="105" t="n"/>
      <c r="K841" s="105" t="n"/>
      <c r="L841" s="105" t="n"/>
      <c r="M841" s="105" t="n"/>
      <c r="N841" s="105" t="n"/>
      <c r="O841" s="105" t="n"/>
      <c r="P841" s="105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5" t="n"/>
      <c r="B842" s="105" t="n"/>
      <c r="C842" s="105" t="n"/>
      <c r="D842" s="105" t="n"/>
      <c r="E842" s="105" t="n"/>
      <c r="F842" s="105" t="n"/>
      <c r="G842" s="105" t="n"/>
      <c r="H842" s="105" t="n"/>
      <c r="I842" s="105" t="n"/>
      <c r="J842" s="105" t="n"/>
      <c r="K842" s="105" t="n"/>
      <c r="L842" s="105" t="n"/>
      <c r="M842" s="105" t="n"/>
      <c r="N842" s="105" t="n"/>
      <c r="O842" s="105" t="n"/>
      <c r="P842" s="105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5" t="n"/>
      <c r="B843" s="105" t="n"/>
      <c r="C843" s="105" t="n"/>
      <c r="D843" s="105" t="n"/>
      <c r="E843" s="105" t="n"/>
      <c r="F843" s="105" t="n"/>
      <c r="G843" s="105" t="n"/>
      <c r="H843" s="105" t="n"/>
      <c r="I843" s="105" t="n"/>
      <c r="J843" s="105" t="n"/>
      <c r="K843" s="105" t="n"/>
      <c r="L843" s="105" t="n"/>
      <c r="M843" s="105" t="n"/>
      <c r="N843" s="105" t="n"/>
      <c r="O843" s="105" t="n"/>
      <c r="P843" s="105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5" t="n"/>
      <c r="B844" s="105" t="n"/>
      <c r="C844" s="105" t="n"/>
      <c r="D844" s="105" t="n"/>
      <c r="E844" s="105" t="n"/>
      <c r="F844" s="105" t="n"/>
      <c r="G844" s="105" t="n"/>
      <c r="H844" s="105" t="n"/>
      <c r="I844" s="105" t="n"/>
      <c r="J844" s="105" t="n"/>
      <c r="K844" s="105" t="n"/>
      <c r="L844" s="105" t="n"/>
      <c r="M844" s="105" t="n"/>
      <c r="N844" s="105" t="n"/>
      <c r="O844" s="105" t="n"/>
      <c r="P844" s="105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5" t="n"/>
      <c r="B845" s="105" t="n"/>
      <c r="C845" s="105" t="n"/>
      <c r="D845" s="105" t="n"/>
      <c r="E845" s="105" t="n"/>
      <c r="F845" s="105" t="n"/>
      <c r="G845" s="105" t="n"/>
      <c r="H845" s="105" t="n"/>
      <c r="I845" s="105" t="n"/>
      <c r="J845" s="105" t="n"/>
      <c r="K845" s="105" t="n"/>
      <c r="L845" s="105" t="n"/>
      <c r="M845" s="105" t="n"/>
      <c r="N845" s="105" t="n"/>
      <c r="O845" s="105" t="n"/>
      <c r="P845" s="105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5" t="n"/>
      <c r="B846" s="105" t="n"/>
      <c r="C846" s="105" t="n"/>
      <c r="D846" s="105" t="n"/>
      <c r="E846" s="105" t="n"/>
      <c r="F846" s="105" t="n"/>
      <c r="G846" s="105" t="n"/>
      <c r="H846" s="105" t="n"/>
      <c r="I846" s="105" t="n"/>
      <c r="J846" s="105" t="n"/>
      <c r="K846" s="105" t="n"/>
      <c r="L846" s="105" t="n"/>
      <c r="M846" s="105" t="n"/>
      <c r="N846" s="105" t="n"/>
      <c r="O846" s="105" t="n"/>
      <c r="P846" s="105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5" t="n"/>
      <c r="B847" s="105" t="n"/>
      <c r="C847" s="105" t="n"/>
      <c r="D847" s="105" t="n"/>
      <c r="E847" s="105" t="n"/>
      <c r="F847" s="105" t="n"/>
      <c r="G847" s="105" t="n"/>
      <c r="H847" s="105" t="n"/>
      <c r="I847" s="105" t="n"/>
      <c r="J847" s="105" t="n"/>
      <c r="K847" s="105" t="n"/>
      <c r="L847" s="105" t="n"/>
      <c r="M847" s="105" t="n"/>
      <c r="N847" s="105" t="n"/>
      <c r="O847" s="105" t="n"/>
      <c r="P847" s="105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5" t="n"/>
      <c r="B848" s="105" t="n"/>
      <c r="C848" s="105" t="n"/>
      <c r="D848" s="105" t="n"/>
      <c r="E848" s="105" t="n"/>
      <c r="F848" s="105" t="n"/>
      <c r="G848" s="105" t="n"/>
      <c r="H848" s="105" t="n"/>
      <c r="I848" s="105" t="n"/>
      <c r="J848" s="105" t="n"/>
      <c r="K848" s="105" t="n"/>
      <c r="L848" s="105" t="n"/>
      <c r="M848" s="105" t="n"/>
      <c r="N848" s="105" t="n"/>
      <c r="O848" s="105" t="n"/>
      <c r="P848" s="105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5" t="n"/>
      <c r="B849" s="105" t="n"/>
      <c r="C849" s="105" t="n"/>
      <c r="D849" s="105" t="n"/>
      <c r="E849" s="105" t="n"/>
      <c r="F849" s="105" t="n"/>
      <c r="G849" s="105" t="n"/>
      <c r="H849" s="105" t="n"/>
      <c r="I849" s="105" t="n"/>
      <c r="J849" s="105" t="n"/>
      <c r="K849" s="105" t="n"/>
      <c r="L849" s="105" t="n"/>
      <c r="M849" s="105" t="n"/>
      <c r="N849" s="105" t="n"/>
      <c r="O849" s="105" t="n"/>
      <c r="P849" s="105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5" t="n"/>
      <c r="B850" s="105" t="n"/>
      <c r="C850" s="105" t="n"/>
      <c r="D850" s="105" t="n"/>
      <c r="E850" s="105" t="n"/>
      <c r="F850" s="105" t="n"/>
      <c r="G850" s="105" t="n"/>
      <c r="H850" s="105" t="n"/>
      <c r="I850" s="105" t="n"/>
      <c r="J850" s="105" t="n"/>
      <c r="K850" s="105" t="n"/>
      <c r="L850" s="105" t="n"/>
      <c r="M850" s="105" t="n"/>
      <c r="N850" s="105" t="n"/>
      <c r="O850" s="105" t="n"/>
      <c r="P850" s="105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5" t="n"/>
      <c r="B851" s="105" t="n"/>
      <c r="C851" s="105" t="n"/>
      <c r="D851" s="105" t="n"/>
      <c r="E851" s="105" t="n"/>
      <c r="F851" s="105" t="n"/>
      <c r="G851" s="105" t="n"/>
      <c r="H851" s="105" t="n"/>
      <c r="I851" s="105" t="n"/>
      <c r="J851" s="105" t="n"/>
      <c r="K851" s="105" t="n"/>
      <c r="L851" s="105" t="n"/>
      <c r="M851" s="105" t="n"/>
      <c r="N851" s="105" t="n"/>
      <c r="O851" s="105" t="n"/>
      <c r="P851" s="105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5" t="n"/>
      <c r="B852" s="105" t="n"/>
      <c r="C852" s="105" t="n"/>
      <c r="D852" s="105" t="n"/>
      <c r="E852" s="105" t="n"/>
      <c r="F852" s="105" t="n"/>
      <c r="G852" s="105" t="n"/>
      <c r="H852" s="105" t="n"/>
      <c r="I852" s="105" t="n"/>
      <c r="J852" s="105" t="n"/>
      <c r="K852" s="105" t="n"/>
      <c r="L852" s="105" t="n"/>
      <c r="M852" s="105" t="n"/>
      <c r="N852" s="105" t="n"/>
      <c r="O852" s="105" t="n"/>
      <c r="P852" s="105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5" t="n"/>
      <c r="B853" s="105" t="n"/>
      <c r="C853" s="105" t="n"/>
      <c r="D853" s="105" t="n"/>
      <c r="E853" s="105" t="n"/>
      <c r="F853" s="105" t="n"/>
      <c r="G853" s="105" t="n"/>
      <c r="H853" s="105" t="n"/>
      <c r="I853" s="105" t="n"/>
      <c r="J853" s="105" t="n"/>
      <c r="K853" s="105" t="n"/>
      <c r="L853" s="105" t="n"/>
      <c r="M853" s="105" t="n"/>
      <c r="N853" s="105" t="n"/>
      <c r="O853" s="105" t="n"/>
      <c r="P853" s="105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5" t="n"/>
      <c r="B854" s="105" t="n"/>
      <c r="C854" s="105" t="n"/>
      <c r="D854" s="105" t="n"/>
      <c r="E854" s="105" t="n"/>
      <c r="F854" s="105" t="n"/>
      <c r="G854" s="105" t="n"/>
      <c r="H854" s="105" t="n"/>
      <c r="I854" s="105" t="n"/>
      <c r="J854" s="105" t="n"/>
      <c r="K854" s="105" t="n"/>
      <c r="L854" s="105" t="n"/>
      <c r="M854" s="105" t="n"/>
      <c r="N854" s="105" t="n"/>
      <c r="O854" s="105" t="n"/>
      <c r="P854" s="105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5" t="n"/>
      <c r="B855" s="105" t="n"/>
      <c r="C855" s="105" t="n"/>
      <c r="D855" s="105" t="n"/>
      <c r="E855" s="105" t="n"/>
      <c r="F855" s="105" t="n"/>
      <c r="G855" s="105" t="n"/>
      <c r="H855" s="105" t="n"/>
      <c r="I855" s="105" t="n"/>
      <c r="J855" s="105" t="n"/>
      <c r="K855" s="105" t="n"/>
      <c r="L855" s="105" t="n"/>
      <c r="M855" s="105" t="n"/>
      <c r="N855" s="105" t="n"/>
      <c r="O855" s="105" t="n"/>
      <c r="P855" s="105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5" t="n"/>
      <c r="B856" s="105" t="n"/>
      <c r="C856" s="105" t="n"/>
      <c r="D856" s="105" t="n"/>
      <c r="E856" s="105" t="n"/>
      <c r="F856" s="105" t="n"/>
      <c r="G856" s="105" t="n"/>
      <c r="H856" s="105" t="n"/>
      <c r="I856" s="105" t="n"/>
      <c r="J856" s="105" t="n"/>
      <c r="K856" s="105" t="n"/>
      <c r="L856" s="105" t="n"/>
      <c r="M856" s="105" t="n"/>
      <c r="N856" s="105" t="n"/>
      <c r="O856" s="105" t="n"/>
      <c r="P856" s="105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5" t="n"/>
      <c r="B857" s="105" t="n"/>
      <c r="C857" s="105" t="n"/>
      <c r="D857" s="105" t="n"/>
      <c r="E857" s="105" t="n"/>
      <c r="F857" s="105" t="n"/>
      <c r="G857" s="105" t="n"/>
      <c r="H857" s="105" t="n"/>
      <c r="I857" s="105" t="n"/>
      <c r="J857" s="105" t="n"/>
      <c r="K857" s="105" t="n"/>
      <c r="L857" s="105" t="n"/>
      <c r="M857" s="105" t="n"/>
      <c r="N857" s="105" t="n"/>
      <c r="O857" s="105" t="n"/>
      <c r="P857" s="105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5" t="n"/>
      <c r="B858" s="105" t="n"/>
      <c r="C858" s="105" t="n"/>
      <c r="D858" s="105" t="n"/>
      <c r="E858" s="105" t="n"/>
      <c r="F858" s="105" t="n"/>
      <c r="G858" s="105" t="n"/>
      <c r="H858" s="105" t="n"/>
      <c r="I858" s="105" t="n"/>
      <c r="J858" s="105" t="n"/>
      <c r="K858" s="105" t="n"/>
      <c r="L858" s="105" t="n"/>
      <c r="M858" s="105" t="n"/>
      <c r="N858" s="105" t="n"/>
      <c r="O858" s="105" t="n"/>
      <c r="P858" s="105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5" t="n"/>
      <c r="B859" s="105" t="n"/>
      <c r="C859" s="105" t="n"/>
      <c r="D859" s="105" t="n"/>
      <c r="E859" s="105" t="n"/>
      <c r="F859" s="105" t="n"/>
      <c r="G859" s="105" t="n"/>
      <c r="H859" s="105" t="n"/>
      <c r="I859" s="105" t="n"/>
      <c r="J859" s="105" t="n"/>
      <c r="K859" s="105" t="n"/>
      <c r="L859" s="105" t="n"/>
      <c r="M859" s="105" t="n"/>
      <c r="N859" s="105" t="n"/>
      <c r="O859" s="105" t="n"/>
      <c r="P859" s="105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5" t="n"/>
      <c r="B860" s="105" t="n"/>
      <c r="C860" s="105" t="n"/>
      <c r="D860" s="105" t="n"/>
      <c r="E860" s="105" t="n"/>
      <c r="F860" s="105" t="n"/>
      <c r="G860" s="105" t="n"/>
      <c r="H860" s="105" t="n"/>
      <c r="I860" s="105" t="n"/>
      <c r="J860" s="105" t="n"/>
      <c r="K860" s="105" t="n"/>
      <c r="L860" s="105" t="n"/>
      <c r="M860" s="105" t="n"/>
      <c r="N860" s="105" t="n"/>
      <c r="O860" s="105" t="n"/>
      <c r="P860" s="105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5" t="n"/>
      <c r="B861" s="105" t="n"/>
      <c r="C861" s="105" t="n"/>
      <c r="D861" s="105" t="n"/>
      <c r="E861" s="105" t="n"/>
      <c r="F861" s="105" t="n"/>
      <c r="G861" s="105" t="n"/>
      <c r="H861" s="105" t="n"/>
      <c r="I861" s="105" t="n"/>
      <c r="J861" s="105" t="n"/>
      <c r="K861" s="105" t="n"/>
      <c r="L861" s="105" t="n"/>
      <c r="M861" s="105" t="n"/>
      <c r="N861" s="105" t="n"/>
      <c r="O861" s="105" t="n"/>
      <c r="P861" s="105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5" t="n"/>
      <c r="B862" s="105" t="n"/>
      <c r="C862" s="105" t="n"/>
      <c r="D862" s="105" t="n"/>
      <c r="E862" s="105" t="n"/>
      <c r="F862" s="105" t="n"/>
      <c r="G862" s="105" t="n"/>
      <c r="H862" s="105" t="n"/>
      <c r="I862" s="105" t="n"/>
      <c r="J862" s="105" t="n"/>
      <c r="K862" s="105" t="n"/>
      <c r="L862" s="105" t="n"/>
      <c r="M862" s="105" t="n"/>
      <c r="N862" s="105" t="n"/>
      <c r="O862" s="105" t="n"/>
      <c r="P862" s="105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5" t="n"/>
      <c r="B863" s="105" t="n"/>
      <c r="C863" s="105" t="n"/>
      <c r="D863" s="105" t="n"/>
      <c r="E863" s="105" t="n"/>
      <c r="F863" s="105" t="n"/>
      <c r="G863" s="105" t="n"/>
      <c r="H863" s="105" t="n"/>
      <c r="I863" s="105" t="n"/>
      <c r="J863" s="105" t="n"/>
      <c r="K863" s="105" t="n"/>
      <c r="L863" s="105" t="n"/>
      <c r="M863" s="105" t="n"/>
      <c r="N863" s="105" t="n"/>
      <c r="O863" s="105" t="n"/>
      <c r="P863" s="105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5" t="n"/>
      <c r="B864" s="105" t="n"/>
      <c r="C864" s="105" t="n"/>
      <c r="D864" s="105" t="n"/>
      <c r="E864" s="105" t="n"/>
      <c r="F864" s="105" t="n"/>
      <c r="G864" s="105" t="n"/>
      <c r="H864" s="105" t="n"/>
      <c r="I864" s="105" t="n"/>
      <c r="J864" s="105" t="n"/>
      <c r="K864" s="105" t="n"/>
      <c r="L864" s="105" t="n"/>
      <c r="M864" s="105" t="n"/>
      <c r="N864" s="105" t="n"/>
      <c r="O864" s="105" t="n"/>
      <c r="P864" s="105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5" t="n"/>
      <c r="B865" s="105" t="n"/>
      <c r="C865" s="105" t="n"/>
      <c r="D865" s="105" t="n"/>
      <c r="E865" s="105" t="n"/>
      <c r="F865" s="105" t="n"/>
      <c r="G865" s="105" t="n"/>
      <c r="H865" s="105" t="n"/>
      <c r="I865" s="105" t="n"/>
      <c r="J865" s="105" t="n"/>
      <c r="K865" s="105" t="n"/>
      <c r="L865" s="105" t="n"/>
      <c r="M865" s="105" t="n"/>
      <c r="N865" s="105" t="n"/>
      <c r="O865" s="105" t="n"/>
      <c r="P865" s="105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5" t="n"/>
      <c r="B866" s="105" t="n"/>
      <c r="C866" s="105" t="n"/>
      <c r="D866" s="105" t="n"/>
      <c r="E866" s="105" t="n"/>
      <c r="F866" s="105" t="n"/>
      <c r="G866" s="105" t="n"/>
      <c r="H866" s="105" t="n"/>
      <c r="I866" s="105" t="n"/>
      <c r="J866" s="105" t="n"/>
      <c r="K866" s="105" t="n"/>
      <c r="L866" s="105" t="n"/>
      <c r="M866" s="105" t="n"/>
      <c r="N866" s="105" t="n"/>
      <c r="O866" s="105" t="n"/>
      <c r="P866" s="105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5" t="n"/>
      <c r="B867" s="105" t="n"/>
      <c r="C867" s="105" t="n"/>
      <c r="D867" s="105" t="n"/>
      <c r="E867" s="105" t="n"/>
      <c r="F867" s="105" t="n"/>
      <c r="G867" s="105" t="n"/>
      <c r="H867" s="105" t="n"/>
      <c r="I867" s="105" t="n"/>
      <c r="J867" s="105" t="n"/>
      <c r="K867" s="105" t="n"/>
      <c r="L867" s="105" t="n"/>
      <c r="M867" s="105" t="n"/>
      <c r="N867" s="105" t="n"/>
      <c r="O867" s="105" t="n"/>
      <c r="P867" s="105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5" t="n"/>
      <c r="B868" s="105" t="n"/>
      <c r="C868" s="105" t="n"/>
      <c r="D868" s="105" t="n"/>
      <c r="E868" s="105" t="n"/>
      <c r="F868" s="105" t="n"/>
      <c r="G868" s="105" t="n"/>
      <c r="H868" s="105" t="n"/>
      <c r="I868" s="105" t="n"/>
      <c r="J868" s="105" t="n"/>
      <c r="K868" s="105" t="n"/>
      <c r="L868" s="105" t="n"/>
      <c r="M868" s="105" t="n"/>
      <c r="N868" s="105" t="n"/>
      <c r="O868" s="105" t="n"/>
      <c r="P868" s="105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5" t="n"/>
      <c r="B869" s="105" t="n"/>
      <c r="C869" s="105" t="n"/>
      <c r="D869" s="105" t="n"/>
      <c r="E869" s="105" t="n"/>
      <c r="F869" s="105" t="n"/>
      <c r="G869" s="105" t="n"/>
      <c r="H869" s="105" t="n"/>
      <c r="I869" s="105" t="n"/>
      <c r="J869" s="105" t="n"/>
      <c r="K869" s="105" t="n"/>
      <c r="L869" s="105" t="n"/>
      <c r="M869" s="105" t="n"/>
      <c r="N869" s="105" t="n"/>
      <c r="O869" s="105" t="n"/>
      <c r="P869" s="105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5" t="n"/>
      <c r="B870" s="105" t="n"/>
      <c r="C870" s="105" t="n"/>
      <c r="D870" s="105" t="n"/>
      <c r="E870" s="105" t="n"/>
      <c r="F870" s="105" t="n"/>
      <c r="G870" s="105" t="n"/>
      <c r="H870" s="105" t="n"/>
      <c r="I870" s="105" t="n"/>
      <c r="J870" s="105" t="n"/>
      <c r="K870" s="105" t="n"/>
      <c r="L870" s="105" t="n"/>
      <c r="M870" s="105" t="n"/>
      <c r="N870" s="105" t="n"/>
      <c r="O870" s="105" t="n"/>
      <c r="P870" s="105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5" t="n"/>
      <c r="B871" s="105" t="n"/>
      <c r="C871" s="105" t="n"/>
      <c r="D871" s="105" t="n"/>
      <c r="E871" s="105" t="n"/>
      <c r="F871" s="105" t="n"/>
      <c r="G871" s="105" t="n"/>
      <c r="H871" s="105" t="n"/>
      <c r="I871" s="105" t="n"/>
      <c r="J871" s="105" t="n"/>
      <c r="K871" s="105" t="n"/>
      <c r="L871" s="105" t="n"/>
      <c r="M871" s="105" t="n"/>
      <c r="N871" s="105" t="n"/>
      <c r="O871" s="105" t="n"/>
      <c r="P871" s="105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5" t="n"/>
      <c r="B872" s="105" t="n"/>
      <c r="C872" s="105" t="n"/>
      <c r="D872" s="105" t="n"/>
      <c r="E872" s="105" t="n"/>
      <c r="F872" s="105" t="n"/>
      <c r="G872" s="105" t="n"/>
      <c r="H872" s="105" t="n"/>
      <c r="I872" s="105" t="n"/>
      <c r="J872" s="105" t="n"/>
      <c r="K872" s="105" t="n"/>
      <c r="L872" s="105" t="n"/>
      <c r="M872" s="105" t="n"/>
      <c r="N872" s="105" t="n"/>
      <c r="O872" s="105" t="n"/>
      <c r="P872" s="105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5" t="n"/>
      <c r="B873" s="105" t="n"/>
      <c r="C873" s="105" t="n"/>
      <c r="D873" s="105" t="n"/>
      <c r="E873" s="105" t="n"/>
      <c r="F873" s="105" t="n"/>
      <c r="G873" s="105" t="n"/>
      <c r="H873" s="105" t="n"/>
      <c r="I873" s="105" t="n"/>
      <c r="J873" s="105" t="n"/>
      <c r="K873" s="105" t="n"/>
      <c r="L873" s="105" t="n"/>
      <c r="M873" s="105" t="n"/>
      <c r="N873" s="105" t="n"/>
      <c r="O873" s="105" t="n"/>
      <c r="P873" s="105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5" t="n"/>
      <c r="B874" s="105" t="n"/>
      <c r="C874" s="105" t="n"/>
      <c r="D874" s="105" t="n"/>
      <c r="E874" s="105" t="n"/>
      <c r="F874" s="105" t="n"/>
      <c r="G874" s="105" t="n"/>
      <c r="H874" s="105" t="n"/>
      <c r="I874" s="105" t="n"/>
      <c r="J874" s="105" t="n"/>
      <c r="K874" s="105" t="n"/>
      <c r="L874" s="105" t="n"/>
      <c r="M874" s="105" t="n"/>
      <c r="N874" s="105" t="n"/>
      <c r="O874" s="105" t="n"/>
      <c r="P874" s="105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5" t="n"/>
      <c r="B875" s="105" t="n"/>
      <c r="C875" s="105" t="n"/>
      <c r="D875" s="105" t="n"/>
      <c r="E875" s="105" t="n"/>
      <c r="F875" s="105" t="n"/>
      <c r="G875" s="105" t="n"/>
      <c r="H875" s="105" t="n"/>
      <c r="I875" s="105" t="n"/>
      <c r="J875" s="105" t="n"/>
      <c r="K875" s="105" t="n"/>
      <c r="L875" s="105" t="n"/>
      <c r="M875" s="105" t="n"/>
      <c r="N875" s="105" t="n"/>
      <c r="O875" s="105" t="n"/>
      <c r="P875" s="105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5" t="n"/>
      <c r="B876" s="105" t="n"/>
      <c r="C876" s="105" t="n"/>
      <c r="D876" s="105" t="n"/>
      <c r="E876" s="105" t="n"/>
      <c r="F876" s="105" t="n"/>
      <c r="G876" s="105" t="n"/>
      <c r="H876" s="105" t="n"/>
      <c r="I876" s="105" t="n"/>
      <c r="J876" s="105" t="n"/>
      <c r="K876" s="105" t="n"/>
      <c r="L876" s="105" t="n"/>
      <c r="M876" s="105" t="n"/>
      <c r="N876" s="105" t="n"/>
      <c r="O876" s="105" t="n"/>
      <c r="P876" s="105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5" t="n"/>
      <c r="B877" s="105" t="n"/>
      <c r="C877" s="105" t="n"/>
      <c r="D877" s="105" t="n"/>
      <c r="E877" s="105" t="n"/>
      <c r="F877" s="105" t="n"/>
      <c r="G877" s="105" t="n"/>
      <c r="H877" s="105" t="n"/>
      <c r="I877" s="105" t="n"/>
      <c r="J877" s="105" t="n"/>
      <c r="K877" s="105" t="n"/>
      <c r="L877" s="105" t="n"/>
      <c r="M877" s="105" t="n"/>
      <c r="N877" s="105" t="n"/>
      <c r="O877" s="105" t="n"/>
      <c r="P877" s="105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5" t="n"/>
      <c r="B878" s="105" t="n"/>
      <c r="C878" s="105" t="n"/>
      <c r="D878" s="105" t="n"/>
      <c r="E878" s="105" t="n"/>
      <c r="F878" s="105" t="n"/>
      <c r="G878" s="105" t="n"/>
      <c r="H878" s="105" t="n"/>
      <c r="I878" s="105" t="n"/>
      <c r="J878" s="105" t="n"/>
      <c r="K878" s="105" t="n"/>
      <c r="L878" s="105" t="n"/>
      <c r="M878" s="105" t="n"/>
      <c r="N878" s="105" t="n"/>
      <c r="O878" s="105" t="n"/>
      <c r="P878" s="105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5" t="n"/>
      <c r="B879" s="105" t="n"/>
      <c r="C879" s="105" t="n"/>
      <c r="D879" s="105" t="n"/>
      <c r="E879" s="105" t="n"/>
      <c r="F879" s="105" t="n"/>
      <c r="G879" s="105" t="n"/>
      <c r="H879" s="105" t="n"/>
      <c r="I879" s="105" t="n"/>
      <c r="J879" s="105" t="n"/>
      <c r="K879" s="105" t="n"/>
      <c r="L879" s="105" t="n"/>
      <c r="M879" s="105" t="n"/>
      <c r="N879" s="105" t="n"/>
      <c r="O879" s="105" t="n"/>
      <c r="P879" s="105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5" t="n"/>
      <c r="B880" s="105" t="n"/>
      <c r="C880" s="105" t="n"/>
      <c r="D880" s="105" t="n"/>
      <c r="E880" s="105" t="n"/>
      <c r="F880" s="105" t="n"/>
      <c r="G880" s="105" t="n"/>
      <c r="H880" s="105" t="n"/>
      <c r="I880" s="105" t="n"/>
      <c r="J880" s="105" t="n"/>
      <c r="K880" s="105" t="n"/>
      <c r="L880" s="105" t="n"/>
      <c r="M880" s="105" t="n"/>
      <c r="N880" s="105" t="n"/>
      <c r="O880" s="105" t="n"/>
      <c r="P880" s="105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5" t="n"/>
      <c r="B881" s="105" t="n"/>
      <c r="C881" s="105" t="n"/>
      <c r="D881" s="105" t="n"/>
      <c r="E881" s="105" t="n"/>
      <c r="F881" s="105" t="n"/>
      <c r="G881" s="105" t="n"/>
      <c r="H881" s="105" t="n"/>
      <c r="I881" s="105" t="n"/>
      <c r="J881" s="105" t="n"/>
      <c r="K881" s="105" t="n"/>
      <c r="L881" s="105" t="n"/>
      <c r="M881" s="105" t="n"/>
      <c r="N881" s="105" t="n"/>
      <c r="O881" s="105" t="n"/>
      <c r="P881" s="105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5" t="n"/>
      <c r="B882" s="105" t="n"/>
      <c r="C882" s="105" t="n"/>
      <c r="D882" s="105" t="n"/>
      <c r="E882" s="105" t="n"/>
      <c r="F882" s="105" t="n"/>
      <c r="G882" s="105" t="n"/>
      <c r="H882" s="105" t="n"/>
      <c r="I882" s="105" t="n"/>
      <c r="J882" s="105" t="n"/>
      <c r="K882" s="105" t="n"/>
      <c r="L882" s="105" t="n"/>
      <c r="M882" s="105" t="n"/>
      <c r="N882" s="105" t="n"/>
      <c r="O882" s="105" t="n"/>
      <c r="P882" s="105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5" t="n"/>
      <c r="B883" s="105" t="n"/>
      <c r="C883" s="105" t="n"/>
      <c r="D883" s="105" t="n"/>
      <c r="E883" s="105" t="n"/>
      <c r="F883" s="105" t="n"/>
      <c r="G883" s="105" t="n"/>
      <c r="H883" s="105" t="n"/>
      <c r="I883" s="105" t="n"/>
      <c r="J883" s="105" t="n"/>
      <c r="K883" s="105" t="n"/>
      <c r="L883" s="105" t="n"/>
      <c r="M883" s="105" t="n"/>
      <c r="N883" s="105" t="n"/>
      <c r="O883" s="105" t="n"/>
      <c r="P883" s="105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5" t="n"/>
      <c r="B884" s="105" t="n"/>
      <c r="C884" s="105" t="n"/>
      <c r="D884" s="105" t="n"/>
      <c r="E884" s="105" t="n"/>
      <c r="F884" s="105" t="n"/>
      <c r="G884" s="105" t="n"/>
      <c r="H884" s="105" t="n"/>
      <c r="I884" s="105" t="n"/>
      <c r="J884" s="105" t="n"/>
      <c r="K884" s="105" t="n"/>
      <c r="L884" s="105" t="n"/>
      <c r="M884" s="105" t="n"/>
      <c r="N884" s="105" t="n"/>
      <c r="O884" s="105" t="n"/>
      <c r="P884" s="105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5" t="n"/>
      <c r="B885" s="105" t="n"/>
      <c r="C885" s="105" t="n"/>
      <c r="D885" s="105" t="n"/>
      <c r="E885" s="105" t="n"/>
      <c r="F885" s="105" t="n"/>
      <c r="G885" s="105" t="n"/>
      <c r="H885" s="105" t="n"/>
      <c r="I885" s="105" t="n"/>
      <c r="J885" s="105" t="n"/>
      <c r="K885" s="105" t="n"/>
      <c r="L885" s="105" t="n"/>
      <c r="M885" s="105" t="n"/>
      <c r="N885" s="105" t="n"/>
      <c r="O885" s="105" t="n"/>
      <c r="P885" s="105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5" t="n"/>
      <c r="B886" s="105" t="n"/>
      <c r="C886" s="105" t="n"/>
      <c r="D886" s="105" t="n"/>
      <c r="E886" s="105" t="n"/>
      <c r="F886" s="105" t="n"/>
      <c r="G886" s="105" t="n"/>
      <c r="H886" s="105" t="n"/>
      <c r="I886" s="105" t="n"/>
      <c r="J886" s="105" t="n"/>
      <c r="K886" s="105" t="n"/>
      <c r="L886" s="105" t="n"/>
      <c r="M886" s="105" t="n"/>
      <c r="N886" s="105" t="n"/>
      <c r="O886" s="105" t="n"/>
      <c r="P886" s="105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5" t="n"/>
      <c r="B887" s="105" t="n"/>
      <c r="C887" s="105" t="n"/>
      <c r="D887" s="105" t="n"/>
      <c r="E887" s="105" t="n"/>
      <c r="F887" s="105" t="n"/>
      <c r="G887" s="105" t="n"/>
      <c r="H887" s="105" t="n"/>
      <c r="I887" s="105" t="n"/>
      <c r="J887" s="105" t="n"/>
      <c r="K887" s="105" t="n"/>
      <c r="L887" s="105" t="n"/>
      <c r="M887" s="105" t="n"/>
      <c r="N887" s="105" t="n"/>
      <c r="O887" s="105" t="n"/>
      <c r="P887" s="105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5" t="n"/>
      <c r="B888" s="105" t="n"/>
      <c r="C888" s="105" t="n"/>
      <c r="D888" s="105" t="n"/>
      <c r="E888" s="105" t="n"/>
      <c r="F888" s="105" t="n"/>
      <c r="G888" s="105" t="n"/>
      <c r="H888" s="105" t="n"/>
      <c r="I888" s="105" t="n"/>
      <c r="J888" s="105" t="n"/>
      <c r="K888" s="105" t="n"/>
      <c r="L888" s="105" t="n"/>
      <c r="M888" s="105" t="n"/>
      <c r="N888" s="105" t="n"/>
      <c r="O888" s="105" t="n"/>
      <c r="P888" s="105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5" t="n"/>
      <c r="B889" s="105" t="n"/>
      <c r="C889" s="105" t="n"/>
      <c r="D889" s="105" t="n"/>
      <c r="E889" s="105" t="n"/>
      <c r="F889" s="105" t="n"/>
      <c r="G889" s="105" t="n"/>
      <c r="H889" s="105" t="n"/>
      <c r="I889" s="105" t="n"/>
      <c r="J889" s="105" t="n"/>
      <c r="K889" s="105" t="n"/>
      <c r="L889" s="105" t="n"/>
      <c r="M889" s="105" t="n"/>
      <c r="N889" s="105" t="n"/>
      <c r="O889" s="105" t="n"/>
      <c r="P889" s="105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5" t="n"/>
      <c r="B890" s="105" t="n"/>
      <c r="C890" s="105" t="n"/>
      <c r="D890" s="105" t="n"/>
      <c r="E890" s="105" t="n"/>
      <c r="F890" s="105" t="n"/>
      <c r="G890" s="105" t="n"/>
      <c r="H890" s="105" t="n"/>
      <c r="I890" s="105" t="n"/>
      <c r="J890" s="105" t="n"/>
      <c r="K890" s="105" t="n"/>
      <c r="L890" s="105" t="n"/>
      <c r="M890" s="105" t="n"/>
      <c r="N890" s="105" t="n"/>
      <c r="O890" s="105" t="n"/>
      <c r="P890" s="105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5" t="n"/>
      <c r="B891" s="105" t="n"/>
      <c r="C891" s="105" t="n"/>
      <c r="D891" s="105" t="n"/>
      <c r="E891" s="105" t="n"/>
      <c r="F891" s="105" t="n"/>
      <c r="G891" s="105" t="n"/>
      <c r="H891" s="105" t="n"/>
      <c r="I891" s="105" t="n"/>
      <c r="J891" s="105" t="n"/>
      <c r="K891" s="105" t="n"/>
      <c r="L891" s="105" t="n"/>
      <c r="M891" s="105" t="n"/>
      <c r="N891" s="105" t="n"/>
      <c r="O891" s="105" t="n"/>
      <c r="P891" s="105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5" t="n"/>
      <c r="B892" s="105" t="n"/>
      <c r="C892" s="105" t="n"/>
      <c r="D892" s="105" t="n"/>
      <c r="E892" s="105" t="n"/>
      <c r="F892" s="105" t="n"/>
      <c r="G892" s="105" t="n"/>
      <c r="H892" s="105" t="n"/>
      <c r="I892" s="105" t="n"/>
      <c r="J892" s="105" t="n"/>
      <c r="K892" s="105" t="n"/>
      <c r="L892" s="105" t="n"/>
      <c r="M892" s="105" t="n"/>
      <c r="N892" s="105" t="n"/>
      <c r="O892" s="105" t="n"/>
      <c r="P892" s="105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5" t="n"/>
      <c r="B893" s="105" t="n"/>
      <c r="C893" s="105" t="n"/>
      <c r="D893" s="105" t="n"/>
      <c r="E893" s="105" t="n"/>
      <c r="F893" s="105" t="n"/>
      <c r="G893" s="105" t="n"/>
      <c r="H893" s="105" t="n"/>
      <c r="I893" s="105" t="n"/>
      <c r="J893" s="105" t="n"/>
      <c r="K893" s="105" t="n"/>
      <c r="L893" s="105" t="n"/>
      <c r="M893" s="105" t="n"/>
      <c r="N893" s="105" t="n"/>
      <c r="O893" s="105" t="n"/>
      <c r="P893" s="105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5" t="n"/>
      <c r="B894" s="105" t="n"/>
      <c r="C894" s="105" t="n"/>
      <c r="D894" s="105" t="n"/>
      <c r="E894" s="105" t="n"/>
      <c r="F894" s="105" t="n"/>
      <c r="G894" s="105" t="n"/>
      <c r="H894" s="105" t="n"/>
      <c r="I894" s="105" t="n"/>
      <c r="J894" s="105" t="n"/>
      <c r="K894" s="105" t="n"/>
      <c r="L894" s="105" t="n"/>
      <c r="M894" s="105" t="n"/>
      <c r="N894" s="105" t="n"/>
      <c r="O894" s="105" t="n"/>
      <c r="P894" s="105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5" t="n"/>
      <c r="B895" s="105" t="n"/>
      <c r="C895" s="105" t="n"/>
      <c r="D895" s="105" t="n"/>
      <c r="E895" s="105" t="n"/>
      <c r="F895" s="105" t="n"/>
      <c r="G895" s="105" t="n"/>
      <c r="H895" s="105" t="n"/>
      <c r="I895" s="105" t="n"/>
      <c r="J895" s="105" t="n"/>
      <c r="K895" s="105" t="n"/>
      <c r="L895" s="105" t="n"/>
      <c r="M895" s="105" t="n"/>
      <c r="N895" s="105" t="n"/>
      <c r="O895" s="105" t="n"/>
      <c r="P895" s="105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5" t="n"/>
      <c r="B896" s="105" t="n"/>
      <c r="C896" s="105" t="n"/>
      <c r="D896" s="105" t="n"/>
      <c r="E896" s="105" t="n"/>
      <c r="F896" s="105" t="n"/>
      <c r="G896" s="105" t="n"/>
      <c r="H896" s="105" t="n"/>
      <c r="I896" s="105" t="n"/>
      <c r="J896" s="105" t="n"/>
      <c r="K896" s="105" t="n"/>
      <c r="L896" s="105" t="n"/>
      <c r="M896" s="105" t="n"/>
      <c r="N896" s="105" t="n"/>
      <c r="O896" s="105" t="n"/>
      <c r="P896" s="105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5" t="n"/>
      <c r="B897" s="105" t="n"/>
      <c r="C897" s="105" t="n"/>
      <c r="D897" s="105" t="n"/>
      <c r="E897" s="105" t="n"/>
      <c r="F897" s="105" t="n"/>
      <c r="G897" s="105" t="n"/>
      <c r="H897" s="105" t="n"/>
      <c r="I897" s="105" t="n"/>
      <c r="J897" s="105" t="n"/>
      <c r="K897" s="105" t="n"/>
      <c r="L897" s="105" t="n"/>
      <c r="M897" s="105" t="n"/>
      <c r="N897" s="105" t="n"/>
      <c r="O897" s="105" t="n"/>
      <c r="P897" s="105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5" t="n"/>
      <c r="B898" s="105" t="n"/>
      <c r="C898" s="105" t="n"/>
      <c r="D898" s="105" t="n"/>
      <c r="E898" s="105" t="n"/>
      <c r="F898" s="105" t="n"/>
      <c r="G898" s="105" t="n"/>
      <c r="H898" s="105" t="n"/>
      <c r="I898" s="105" t="n"/>
      <c r="J898" s="105" t="n"/>
      <c r="K898" s="105" t="n"/>
      <c r="L898" s="105" t="n"/>
      <c r="M898" s="105" t="n"/>
      <c r="N898" s="105" t="n"/>
      <c r="O898" s="105" t="n"/>
      <c r="P898" s="105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5" t="n"/>
      <c r="B899" s="105" t="n"/>
      <c r="C899" s="105" t="n"/>
      <c r="D899" s="105" t="n"/>
      <c r="E899" s="105" t="n"/>
      <c r="F899" s="105" t="n"/>
      <c r="G899" s="105" t="n"/>
      <c r="H899" s="105" t="n"/>
      <c r="I899" s="105" t="n"/>
      <c r="J899" s="105" t="n"/>
      <c r="K899" s="105" t="n"/>
      <c r="L899" s="105" t="n"/>
      <c r="M899" s="105" t="n"/>
      <c r="N899" s="105" t="n"/>
      <c r="O899" s="105" t="n"/>
      <c r="P899" s="105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5" t="n"/>
      <c r="B900" s="105" t="n"/>
      <c r="C900" s="105" t="n"/>
      <c r="D900" s="105" t="n"/>
      <c r="E900" s="105" t="n"/>
      <c r="F900" s="105" t="n"/>
      <c r="G900" s="105" t="n"/>
      <c r="H900" s="105" t="n"/>
      <c r="I900" s="105" t="n"/>
      <c r="J900" s="105" t="n"/>
      <c r="K900" s="105" t="n"/>
      <c r="L900" s="105" t="n"/>
      <c r="M900" s="105" t="n"/>
      <c r="N900" s="105" t="n"/>
      <c r="O900" s="105" t="n"/>
      <c r="P900" s="105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5" t="n"/>
      <c r="B901" s="105" t="n"/>
      <c r="C901" s="105" t="n"/>
      <c r="D901" s="105" t="n"/>
      <c r="E901" s="105" t="n"/>
      <c r="F901" s="105" t="n"/>
      <c r="G901" s="105" t="n"/>
      <c r="H901" s="105" t="n"/>
      <c r="I901" s="105" t="n"/>
      <c r="J901" s="105" t="n"/>
      <c r="K901" s="105" t="n"/>
      <c r="L901" s="105" t="n"/>
      <c r="M901" s="105" t="n"/>
      <c r="N901" s="105" t="n"/>
      <c r="O901" s="105" t="n"/>
      <c r="P901" s="105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5" t="n"/>
      <c r="B902" s="105" t="n"/>
      <c r="C902" s="105" t="n"/>
      <c r="D902" s="105" t="n"/>
      <c r="E902" s="105" t="n"/>
      <c r="F902" s="105" t="n"/>
      <c r="G902" s="105" t="n"/>
      <c r="H902" s="105" t="n"/>
      <c r="I902" s="105" t="n"/>
      <c r="J902" s="105" t="n"/>
      <c r="K902" s="105" t="n"/>
      <c r="L902" s="105" t="n"/>
      <c r="M902" s="105" t="n"/>
      <c r="N902" s="105" t="n"/>
      <c r="O902" s="105" t="n"/>
      <c r="P902" s="105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5" t="n"/>
      <c r="B903" s="105" t="n"/>
      <c r="C903" s="105" t="n"/>
      <c r="D903" s="105" t="n"/>
      <c r="E903" s="105" t="n"/>
      <c r="F903" s="105" t="n"/>
      <c r="G903" s="105" t="n"/>
      <c r="H903" s="105" t="n"/>
      <c r="I903" s="105" t="n"/>
      <c r="J903" s="105" t="n"/>
      <c r="K903" s="105" t="n"/>
      <c r="L903" s="105" t="n"/>
      <c r="M903" s="105" t="n"/>
      <c r="N903" s="105" t="n"/>
      <c r="O903" s="105" t="n"/>
      <c r="P903" s="105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5" t="n"/>
      <c r="B904" s="105" t="n"/>
      <c r="C904" s="105" t="n"/>
      <c r="D904" s="105" t="n"/>
      <c r="E904" s="105" t="n"/>
      <c r="F904" s="105" t="n"/>
      <c r="G904" s="105" t="n"/>
      <c r="H904" s="105" t="n"/>
      <c r="I904" s="105" t="n"/>
      <c r="J904" s="105" t="n"/>
      <c r="K904" s="105" t="n"/>
      <c r="L904" s="105" t="n"/>
      <c r="M904" s="105" t="n"/>
      <c r="N904" s="105" t="n"/>
      <c r="O904" s="105" t="n"/>
      <c r="P904" s="105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5" t="n"/>
      <c r="B905" s="105" t="n"/>
      <c r="C905" s="105" t="n"/>
      <c r="D905" s="105" t="n"/>
      <c r="E905" s="105" t="n"/>
      <c r="F905" s="105" t="n"/>
      <c r="G905" s="105" t="n"/>
      <c r="H905" s="105" t="n"/>
      <c r="I905" s="105" t="n"/>
      <c r="J905" s="105" t="n"/>
      <c r="K905" s="105" t="n"/>
      <c r="L905" s="105" t="n"/>
      <c r="M905" s="105" t="n"/>
      <c r="N905" s="105" t="n"/>
      <c r="O905" s="105" t="n"/>
      <c r="P905" s="105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5" t="n"/>
      <c r="B906" s="105" t="n"/>
      <c r="C906" s="105" t="n"/>
      <c r="D906" s="105" t="n"/>
      <c r="E906" s="105" t="n"/>
      <c r="F906" s="105" t="n"/>
      <c r="G906" s="105" t="n"/>
      <c r="H906" s="105" t="n"/>
      <c r="I906" s="105" t="n"/>
      <c r="J906" s="105" t="n"/>
      <c r="K906" s="105" t="n"/>
      <c r="L906" s="105" t="n"/>
      <c r="M906" s="105" t="n"/>
      <c r="N906" s="105" t="n"/>
      <c r="O906" s="105" t="n"/>
      <c r="P906" s="105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5" t="n"/>
      <c r="B907" s="105" t="n"/>
      <c r="C907" s="105" t="n"/>
      <c r="D907" s="105" t="n"/>
      <c r="E907" s="105" t="n"/>
      <c r="F907" s="105" t="n"/>
      <c r="G907" s="105" t="n"/>
      <c r="H907" s="105" t="n"/>
      <c r="I907" s="105" t="n"/>
      <c r="J907" s="105" t="n"/>
      <c r="K907" s="105" t="n"/>
      <c r="L907" s="105" t="n"/>
      <c r="M907" s="105" t="n"/>
      <c r="N907" s="105" t="n"/>
      <c r="O907" s="105" t="n"/>
      <c r="P907" s="105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5" t="n"/>
      <c r="B908" s="105" t="n"/>
      <c r="C908" s="105" t="n"/>
      <c r="D908" s="105" t="n"/>
      <c r="E908" s="105" t="n"/>
      <c r="F908" s="105" t="n"/>
      <c r="G908" s="105" t="n"/>
      <c r="H908" s="105" t="n"/>
      <c r="I908" s="105" t="n"/>
      <c r="J908" s="105" t="n"/>
      <c r="K908" s="105" t="n"/>
      <c r="L908" s="105" t="n"/>
      <c r="M908" s="105" t="n"/>
      <c r="N908" s="105" t="n"/>
      <c r="O908" s="105" t="n"/>
      <c r="P908" s="105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5" t="n"/>
      <c r="B909" s="105" t="n"/>
      <c r="C909" s="105" t="n"/>
      <c r="D909" s="105" t="n"/>
      <c r="E909" s="105" t="n"/>
      <c r="F909" s="105" t="n"/>
      <c r="G909" s="105" t="n"/>
      <c r="H909" s="105" t="n"/>
      <c r="I909" s="105" t="n"/>
      <c r="J909" s="105" t="n"/>
      <c r="K909" s="105" t="n"/>
      <c r="L909" s="105" t="n"/>
      <c r="M909" s="105" t="n"/>
      <c r="N909" s="105" t="n"/>
      <c r="O909" s="105" t="n"/>
      <c r="P909" s="105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5" t="n"/>
      <c r="B910" s="105" t="n"/>
      <c r="C910" s="105" t="n"/>
      <c r="D910" s="105" t="n"/>
      <c r="E910" s="105" t="n"/>
      <c r="F910" s="105" t="n"/>
      <c r="G910" s="105" t="n"/>
      <c r="H910" s="105" t="n"/>
      <c r="I910" s="105" t="n"/>
      <c r="J910" s="105" t="n"/>
      <c r="K910" s="105" t="n"/>
      <c r="L910" s="105" t="n"/>
      <c r="M910" s="105" t="n"/>
      <c r="N910" s="105" t="n"/>
      <c r="O910" s="105" t="n"/>
      <c r="P910" s="105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5" t="n"/>
      <c r="B911" s="105" t="n"/>
      <c r="C911" s="105" t="n"/>
      <c r="D911" s="105" t="n"/>
      <c r="E911" s="105" t="n"/>
      <c r="F911" s="105" t="n"/>
      <c r="G911" s="105" t="n"/>
      <c r="H911" s="105" t="n"/>
      <c r="I911" s="105" t="n"/>
      <c r="J911" s="105" t="n"/>
      <c r="K911" s="105" t="n"/>
      <c r="L911" s="105" t="n"/>
      <c r="M911" s="105" t="n"/>
      <c r="N911" s="105" t="n"/>
      <c r="O911" s="105" t="n"/>
      <c r="P911" s="105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5" t="n"/>
      <c r="B912" s="105" t="n"/>
      <c r="C912" s="105" t="n"/>
      <c r="D912" s="105" t="n"/>
      <c r="E912" s="105" t="n"/>
      <c r="F912" s="105" t="n"/>
      <c r="G912" s="105" t="n"/>
      <c r="H912" s="105" t="n"/>
      <c r="I912" s="105" t="n"/>
      <c r="J912" s="105" t="n"/>
      <c r="K912" s="105" t="n"/>
      <c r="L912" s="105" t="n"/>
      <c r="M912" s="105" t="n"/>
      <c r="N912" s="105" t="n"/>
      <c r="O912" s="105" t="n"/>
      <c r="P912" s="105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5" t="n"/>
      <c r="B913" s="105" t="n"/>
      <c r="C913" s="105" t="n"/>
      <c r="D913" s="105" t="n"/>
      <c r="E913" s="105" t="n"/>
      <c r="F913" s="105" t="n"/>
      <c r="G913" s="105" t="n"/>
      <c r="H913" s="105" t="n"/>
      <c r="I913" s="105" t="n"/>
      <c r="J913" s="105" t="n"/>
      <c r="K913" s="105" t="n"/>
      <c r="L913" s="105" t="n"/>
      <c r="M913" s="105" t="n"/>
      <c r="N913" s="105" t="n"/>
      <c r="O913" s="105" t="n"/>
      <c r="P913" s="105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5" t="n"/>
      <c r="B914" s="105" t="n"/>
      <c r="C914" s="105" t="n"/>
      <c r="D914" s="105" t="n"/>
      <c r="E914" s="105" t="n"/>
      <c r="F914" s="105" t="n"/>
      <c r="G914" s="105" t="n"/>
      <c r="H914" s="105" t="n"/>
      <c r="I914" s="105" t="n"/>
      <c r="J914" s="105" t="n"/>
      <c r="K914" s="105" t="n"/>
      <c r="L914" s="105" t="n"/>
      <c r="M914" s="105" t="n"/>
      <c r="N914" s="105" t="n"/>
      <c r="O914" s="105" t="n"/>
      <c r="P914" s="105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5" t="n"/>
      <c r="B915" s="105" t="n"/>
      <c r="C915" s="105" t="n"/>
      <c r="D915" s="105" t="n"/>
      <c r="E915" s="105" t="n"/>
      <c r="F915" s="105" t="n"/>
      <c r="G915" s="105" t="n"/>
      <c r="H915" s="105" t="n"/>
      <c r="I915" s="105" t="n"/>
      <c r="J915" s="105" t="n"/>
      <c r="K915" s="105" t="n"/>
      <c r="L915" s="105" t="n"/>
      <c r="M915" s="105" t="n"/>
      <c r="N915" s="105" t="n"/>
      <c r="O915" s="105" t="n"/>
      <c r="P915" s="105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5" t="n"/>
      <c r="B916" s="105" t="n"/>
      <c r="C916" s="105" t="n"/>
      <c r="D916" s="105" t="n"/>
      <c r="E916" s="105" t="n"/>
      <c r="F916" s="105" t="n"/>
      <c r="G916" s="105" t="n"/>
      <c r="H916" s="105" t="n"/>
      <c r="I916" s="105" t="n"/>
      <c r="J916" s="105" t="n"/>
      <c r="K916" s="105" t="n"/>
      <c r="L916" s="105" t="n"/>
      <c r="M916" s="105" t="n"/>
      <c r="N916" s="105" t="n"/>
      <c r="O916" s="105" t="n"/>
      <c r="P916" s="105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5" t="n"/>
      <c r="B917" s="105" t="n"/>
      <c r="C917" s="105" t="n"/>
      <c r="D917" s="105" t="n"/>
      <c r="E917" s="105" t="n"/>
      <c r="F917" s="105" t="n"/>
      <c r="G917" s="105" t="n"/>
      <c r="H917" s="105" t="n"/>
      <c r="I917" s="105" t="n"/>
      <c r="J917" s="105" t="n"/>
      <c r="K917" s="105" t="n"/>
      <c r="L917" s="105" t="n"/>
      <c r="M917" s="105" t="n"/>
      <c r="N917" s="105" t="n"/>
      <c r="O917" s="105" t="n"/>
      <c r="P917" s="105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5" t="n"/>
      <c r="B918" s="105" t="n"/>
      <c r="C918" s="105" t="n"/>
      <c r="D918" s="105" t="n"/>
      <c r="E918" s="105" t="n"/>
      <c r="F918" s="105" t="n"/>
      <c r="G918" s="105" t="n"/>
      <c r="H918" s="105" t="n"/>
      <c r="I918" s="105" t="n"/>
      <c r="J918" s="105" t="n"/>
      <c r="K918" s="105" t="n"/>
      <c r="L918" s="105" t="n"/>
      <c r="M918" s="105" t="n"/>
      <c r="N918" s="105" t="n"/>
      <c r="O918" s="105" t="n"/>
      <c r="P918" s="105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5" t="n"/>
      <c r="B919" s="105" t="n"/>
      <c r="C919" s="105" t="n"/>
      <c r="D919" s="105" t="n"/>
      <c r="E919" s="105" t="n"/>
      <c r="F919" s="105" t="n"/>
      <c r="G919" s="105" t="n"/>
      <c r="H919" s="105" t="n"/>
      <c r="I919" s="105" t="n"/>
      <c r="J919" s="105" t="n"/>
      <c r="K919" s="105" t="n"/>
      <c r="L919" s="105" t="n"/>
      <c r="M919" s="105" t="n"/>
      <c r="N919" s="105" t="n"/>
      <c r="O919" s="105" t="n"/>
      <c r="P919" s="105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5" t="n"/>
      <c r="B920" s="105" t="n"/>
      <c r="C920" s="105" t="n"/>
      <c r="D920" s="105" t="n"/>
      <c r="E920" s="105" t="n"/>
      <c r="F920" s="105" t="n"/>
      <c r="G920" s="105" t="n"/>
      <c r="H920" s="105" t="n"/>
      <c r="I920" s="105" t="n"/>
      <c r="J920" s="105" t="n"/>
      <c r="K920" s="105" t="n"/>
      <c r="L920" s="105" t="n"/>
      <c r="M920" s="105" t="n"/>
      <c r="N920" s="105" t="n"/>
      <c r="O920" s="105" t="n"/>
      <c r="P920" s="105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5" t="n"/>
      <c r="B921" s="105" t="n"/>
      <c r="C921" s="105" t="n"/>
      <c r="D921" s="105" t="n"/>
      <c r="E921" s="105" t="n"/>
      <c r="F921" s="105" t="n"/>
      <c r="G921" s="105" t="n"/>
      <c r="H921" s="105" t="n"/>
      <c r="I921" s="105" t="n"/>
      <c r="J921" s="105" t="n"/>
      <c r="K921" s="105" t="n"/>
      <c r="L921" s="105" t="n"/>
      <c r="M921" s="105" t="n"/>
      <c r="N921" s="105" t="n"/>
      <c r="O921" s="105" t="n"/>
      <c r="P921" s="105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5" t="n"/>
      <c r="B922" s="105" t="n"/>
      <c r="C922" s="105" t="n"/>
      <c r="D922" s="105" t="n"/>
      <c r="E922" s="105" t="n"/>
      <c r="F922" s="105" t="n"/>
      <c r="G922" s="105" t="n"/>
      <c r="H922" s="105" t="n"/>
      <c r="I922" s="105" t="n"/>
      <c r="J922" s="105" t="n"/>
      <c r="K922" s="105" t="n"/>
      <c r="L922" s="105" t="n"/>
      <c r="M922" s="105" t="n"/>
      <c r="N922" s="105" t="n"/>
      <c r="O922" s="105" t="n"/>
      <c r="P922" s="105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5" t="n"/>
      <c r="B923" s="105" t="n"/>
      <c r="C923" s="105" t="n"/>
      <c r="D923" s="105" t="n"/>
      <c r="E923" s="105" t="n"/>
      <c r="F923" s="105" t="n"/>
      <c r="G923" s="105" t="n"/>
      <c r="H923" s="105" t="n"/>
      <c r="I923" s="105" t="n"/>
      <c r="J923" s="105" t="n"/>
      <c r="K923" s="105" t="n"/>
      <c r="L923" s="105" t="n"/>
      <c r="M923" s="105" t="n"/>
      <c r="N923" s="105" t="n"/>
      <c r="O923" s="105" t="n"/>
      <c r="P923" s="105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5" t="n"/>
      <c r="B924" s="105" t="n"/>
      <c r="C924" s="105" t="n"/>
      <c r="D924" s="105" t="n"/>
      <c r="E924" s="105" t="n"/>
      <c r="F924" s="105" t="n"/>
      <c r="G924" s="105" t="n"/>
      <c r="H924" s="105" t="n"/>
      <c r="I924" s="105" t="n"/>
      <c r="J924" s="105" t="n"/>
      <c r="K924" s="105" t="n"/>
      <c r="L924" s="105" t="n"/>
      <c r="M924" s="105" t="n"/>
      <c r="N924" s="105" t="n"/>
      <c r="O924" s="105" t="n"/>
      <c r="P924" s="105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5" t="n"/>
      <c r="B925" s="105" t="n"/>
      <c r="C925" s="105" t="n"/>
      <c r="D925" s="105" t="n"/>
      <c r="E925" s="105" t="n"/>
      <c r="F925" s="105" t="n"/>
      <c r="G925" s="105" t="n"/>
      <c r="H925" s="105" t="n"/>
      <c r="I925" s="105" t="n"/>
      <c r="J925" s="105" t="n"/>
      <c r="K925" s="105" t="n"/>
      <c r="L925" s="105" t="n"/>
      <c r="M925" s="105" t="n"/>
      <c r="N925" s="105" t="n"/>
      <c r="O925" s="105" t="n"/>
      <c r="P925" s="105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5" t="n"/>
      <c r="B926" s="105" t="n"/>
      <c r="C926" s="105" t="n"/>
      <c r="D926" s="105" t="n"/>
      <c r="E926" s="105" t="n"/>
      <c r="F926" s="105" t="n"/>
      <c r="G926" s="105" t="n"/>
      <c r="H926" s="105" t="n"/>
      <c r="I926" s="105" t="n"/>
      <c r="J926" s="105" t="n"/>
      <c r="K926" s="105" t="n"/>
      <c r="L926" s="105" t="n"/>
      <c r="M926" s="105" t="n"/>
      <c r="N926" s="105" t="n"/>
      <c r="O926" s="105" t="n"/>
      <c r="P926" s="105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5" t="n"/>
      <c r="B927" s="105" t="n"/>
      <c r="C927" s="105" t="n"/>
      <c r="D927" s="105" t="n"/>
      <c r="E927" s="105" t="n"/>
      <c r="F927" s="105" t="n"/>
      <c r="G927" s="105" t="n"/>
      <c r="H927" s="105" t="n"/>
      <c r="I927" s="105" t="n"/>
      <c r="J927" s="105" t="n"/>
      <c r="K927" s="105" t="n"/>
      <c r="L927" s="105" t="n"/>
      <c r="M927" s="105" t="n"/>
      <c r="N927" s="105" t="n"/>
      <c r="O927" s="105" t="n"/>
      <c r="P927" s="105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5" t="n"/>
      <c r="B928" s="105" t="n"/>
      <c r="C928" s="105" t="n"/>
      <c r="D928" s="105" t="n"/>
      <c r="E928" s="105" t="n"/>
      <c r="F928" s="105" t="n"/>
      <c r="G928" s="105" t="n"/>
      <c r="H928" s="105" t="n"/>
      <c r="I928" s="105" t="n"/>
      <c r="J928" s="105" t="n"/>
      <c r="K928" s="105" t="n"/>
      <c r="L928" s="105" t="n"/>
      <c r="M928" s="105" t="n"/>
      <c r="N928" s="105" t="n"/>
      <c r="O928" s="105" t="n"/>
      <c r="P928" s="105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5" t="n"/>
      <c r="B929" s="105" t="n"/>
      <c r="C929" s="105" t="n"/>
      <c r="D929" s="105" t="n"/>
      <c r="E929" s="105" t="n"/>
      <c r="F929" s="105" t="n"/>
      <c r="G929" s="105" t="n"/>
      <c r="H929" s="105" t="n"/>
      <c r="I929" s="105" t="n"/>
      <c r="J929" s="105" t="n"/>
      <c r="K929" s="105" t="n"/>
      <c r="L929" s="105" t="n"/>
      <c r="M929" s="105" t="n"/>
      <c r="N929" s="105" t="n"/>
      <c r="O929" s="105" t="n"/>
      <c r="P929" s="105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5" t="n"/>
      <c r="B930" s="105" t="n"/>
      <c r="C930" s="105" t="n"/>
      <c r="D930" s="105" t="n"/>
      <c r="E930" s="105" t="n"/>
      <c r="F930" s="105" t="n"/>
      <c r="G930" s="105" t="n"/>
      <c r="H930" s="105" t="n"/>
      <c r="I930" s="105" t="n"/>
      <c r="J930" s="105" t="n"/>
      <c r="K930" s="105" t="n"/>
      <c r="L930" s="105" t="n"/>
      <c r="M930" s="105" t="n"/>
      <c r="N930" s="105" t="n"/>
      <c r="O930" s="105" t="n"/>
      <c r="P930" s="105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5" t="n"/>
      <c r="B931" s="105" t="n"/>
      <c r="C931" s="105" t="n"/>
      <c r="D931" s="105" t="n"/>
      <c r="E931" s="105" t="n"/>
      <c r="F931" s="105" t="n"/>
      <c r="G931" s="105" t="n"/>
      <c r="H931" s="105" t="n"/>
      <c r="I931" s="105" t="n"/>
      <c r="J931" s="105" t="n"/>
      <c r="K931" s="105" t="n"/>
      <c r="L931" s="105" t="n"/>
      <c r="M931" s="105" t="n"/>
      <c r="N931" s="105" t="n"/>
      <c r="O931" s="105" t="n"/>
      <c r="P931" s="105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5" t="n"/>
      <c r="B932" s="105" t="n"/>
      <c r="C932" s="105" t="n"/>
      <c r="D932" s="105" t="n"/>
      <c r="E932" s="105" t="n"/>
      <c r="F932" s="105" t="n"/>
      <c r="G932" s="105" t="n"/>
      <c r="H932" s="105" t="n"/>
      <c r="I932" s="105" t="n"/>
      <c r="J932" s="105" t="n"/>
      <c r="K932" s="105" t="n"/>
      <c r="L932" s="105" t="n"/>
      <c r="M932" s="105" t="n"/>
      <c r="N932" s="105" t="n"/>
      <c r="O932" s="105" t="n"/>
      <c r="P932" s="105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5" t="n"/>
      <c r="B933" s="105" t="n"/>
      <c r="C933" s="105" t="n"/>
      <c r="D933" s="105" t="n"/>
      <c r="E933" s="105" t="n"/>
      <c r="F933" s="105" t="n"/>
      <c r="G933" s="105" t="n"/>
      <c r="H933" s="105" t="n"/>
      <c r="I933" s="105" t="n"/>
      <c r="J933" s="105" t="n"/>
      <c r="K933" s="105" t="n"/>
      <c r="L933" s="105" t="n"/>
      <c r="M933" s="105" t="n"/>
      <c r="N933" s="105" t="n"/>
      <c r="O933" s="105" t="n"/>
      <c r="P933" s="105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5" t="n"/>
      <c r="B934" s="105" t="n"/>
      <c r="C934" s="105" t="n"/>
      <c r="D934" s="105" t="n"/>
      <c r="E934" s="105" t="n"/>
      <c r="F934" s="105" t="n"/>
      <c r="G934" s="105" t="n"/>
      <c r="H934" s="105" t="n"/>
      <c r="I934" s="105" t="n"/>
      <c r="J934" s="105" t="n"/>
      <c r="K934" s="105" t="n"/>
      <c r="L934" s="105" t="n"/>
      <c r="M934" s="105" t="n"/>
      <c r="N934" s="105" t="n"/>
      <c r="O934" s="105" t="n"/>
      <c r="P934" s="105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5" t="n"/>
      <c r="B935" s="105" t="n"/>
      <c r="C935" s="105" t="n"/>
      <c r="D935" s="105" t="n"/>
      <c r="E935" s="105" t="n"/>
      <c r="F935" s="105" t="n"/>
      <c r="G935" s="105" t="n"/>
      <c r="H935" s="105" t="n"/>
      <c r="I935" s="105" t="n"/>
      <c r="J935" s="105" t="n"/>
      <c r="K935" s="105" t="n"/>
      <c r="L935" s="105" t="n"/>
      <c r="M935" s="105" t="n"/>
      <c r="N935" s="105" t="n"/>
      <c r="O935" s="105" t="n"/>
      <c r="P935" s="105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5" t="n"/>
      <c r="B936" s="105" t="n"/>
      <c r="C936" s="105" t="n"/>
      <c r="D936" s="105" t="n"/>
      <c r="E936" s="105" t="n"/>
      <c r="F936" s="105" t="n"/>
      <c r="G936" s="105" t="n"/>
      <c r="H936" s="105" t="n"/>
      <c r="I936" s="105" t="n"/>
      <c r="J936" s="105" t="n"/>
      <c r="K936" s="105" t="n"/>
      <c r="L936" s="105" t="n"/>
      <c r="M936" s="105" t="n"/>
      <c r="N936" s="105" t="n"/>
      <c r="O936" s="105" t="n"/>
      <c r="P936" s="105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5" t="n"/>
      <c r="B937" s="105" t="n"/>
      <c r="C937" s="105" t="n"/>
      <c r="D937" s="105" t="n"/>
      <c r="E937" s="105" t="n"/>
      <c r="F937" s="105" t="n"/>
      <c r="G937" s="105" t="n"/>
      <c r="H937" s="105" t="n"/>
      <c r="I937" s="105" t="n"/>
      <c r="J937" s="105" t="n"/>
      <c r="K937" s="105" t="n"/>
      <c r="L937" s="105" t="n"/>
      <c r="M937" s="105" t="n"/>
      <c r="N937" s="105" t="n"/>
      <c r="O937" s="105" t="n"/>
      <c r="P937" s="105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5" t="n"/>
      <c r="B938" s="105" t="n"/>
      <c r="C938" s="105" t="n"/>
      <c r="D938" s="105" t="n"/>
      <c r="E938" s="105" t="n"/>
      <c r="F938" s="105" t="n"/>
      <c r="G938" s="105" t="n"/>
      <c r="H938" s="105" t="n"/>
      <c r="I938" s="105" t="n"/>
      <c r="J938" s="105" t="n"/>
      <c r="K938" s="105" t="n"/>
      <c r="L938" s="105" t="n"/>
      <c r="M938" s="105" t="n"/>
      <c r="N938" s="105" t="n"/>
      <c r="O938" s="105" t="n"/>
      <c r="P938" s="105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5" t="n"/>
      <c r="B939" s="105" t="n"/>
      <c r="C939" s="105" t="n"/>
      <c r="D939" s="105" t="n"/>
      <c r="E939" s="105" t="n"/>
      <c r="F939" s="105" t="n"/>
      <c r="G939" s="105" t="n"/>
      <c r="H939" s="105" t="n"/>
      <c r="I939" s="105" t="n"/>
      <c r="J939" s="105" t="n"/>
      <c r="K939" s="105" t="n"/>
      <c r="L939" s="105" t="n"/>
      <c r="M939" s="105" t="n"/>
      <c r="N939" s="105" t="n"/>
      <c r="O939" s="105" t="n"/>
      <c r="P939" s="105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5" t="n"/>
      <c r="B940" s="105" t="n"/>
      <c r="C940" s="105" t="n"/>
      <c r="D940" s="105" t="n"/>
      <c r="E940" s="105" t="n"/>
      <c r="F940" s="105" t="n"/>
      <c r="G940" s="105" t="n"/>
      <c r="H940" s="105" t="n"/>
      <c r="I940" s="105" t="n"/>
      <c r="J940" s="105" t="n"/>
      <c r="K940" s="105" t="n"/>
      <c r="L940" s="105" t="n"/>
      <c r="M940" s="105" t="n"/>
      <c r="N940" s="105" t="n"/>
      <c r="O940" s="105" t="n"/>
      <c r="P940" s="105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5" t="n"/>
      <c r="B941" s="105" t="n"/>
      <c r="C941" s="105" t="n"/>
      <c r="D941" s="105" t="n"/>
      <c r="E941" s="105" t="n"/>
      <c r="F941" s="105" t="n"/>
      <c r="G941" s="105" t="n"/>
      <c r="H941" s="105" t="n"/>
      <c r="I941" s="105" t="n"/>
      <c r="J941" s="105" t="n"/>
      <c r="K941" s="105" t="n"/>
      <c r="L941" s="105" t="n"/>
      <c r="M941" s="105" t="n"/>
      <c r="N941" s="105" t="n"/>
      <c r="O941" s="105" t="n"/>
      <c r="P941" s="105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5" t="n"/>
      <c r="B942" s="105" t="n"/>
      <c r="C942" s="105" t="n"/>
      <c r="D942" s="105" t="n"/>
      <c r="E942" s="105" t="n"/>
      <c r="F942" s="105" t="n"/>
      <c r="G942" s="105" t="n"/>
      <c r="H942" s="105" t="n"/>
      <c r="I942" s="105" t="n"/>
      <c r="J942" s="105" t="n"/>
      <c r="K942" s="105" t="n"/>
      <c r="L942" s="105" t="n"/>
      <c r="M942" s="105" t="n"/>
      <c r="N942" s="105" t="n"/>
      <c r="O942" s="105" t="n"/>
      <c r="P942" s="105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5" t="n"/>
      <c r="B943" s="105" t="n"/>
      <c r="C943" s="105" t="n"/>
      <c r="D943" s="105" t="n"/>
      <c r="E943" s="105" t="n"/>
      <c r="F943" s="105" t="n"/>
      <c r="G943" s="105" t="n"/>
      <c r="H943" s="105" t="n"/>
      <c r="I943" s="105" t="n"/>
      <c r="J943" s="105" t="n"/>
      <c r="K943" s="105" t="n"/>
      <c r="L943" s="105" t="n"/>
      <c r="M943" s="105" t="n"/>
      <c r="N943" s="105" t="n"/>
      <c r="O943" s="105" t="n"/>
      <c r="P943" s="105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5" t="n"/>
      <c r="B944" s="105" t="n"/>
      <c r="C944" s="105" t="n"/>
      <c r="D944" s="105" t="n"/>
      <c r="E944" s="105" t="n"/>
      <c r="F944" s="105" t="n"/>
      <c r="G944" s="105" t="n"/>
      <c r="H944" s="105" t="n"/>
      <c r="I944" s="105" t="n"/>
      <c r="J944" s="105" t="n"/>
      <c r="K944" s="105" t="n"/>
      <c r="L944" s="105" t="n"/>
      <c r="M944" s="105" t="n"/>
      <c r="N944" s="105" t="n"/>
      <c r="O944" s="105" t="n"/>
      <c r="P944" s="105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5" t="n"/>
      <c r="B945" s="105" t="n"/>
      <c r="C945" s="105" t="n"/>
      <c r="D945" s="105" t="n"/>
      <c r="E945" s="105" t="n"/>
      <c r="F945" s="105" t="n"/>
      <c r="G945" s="105" t="n"/>
      <c r="H945" s="105" t="n"/>
      <c r="I945" s="105" t="n"/>
      <c r="J945" s="105" t="n"/>
      <c r="K945" s="105" t="n"/>
      <c r="L945" s="105" t="n"/>
      <c r="M945" s="105" t="n"/>
      <c r="N945" s="105" t="n"/>
      <c r="O945" s="105" t="n"/>
      <c r="P945" s="105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5" t="n"/>
      <c r="B946" s="105" t="n"/>
      <c r="C946" s="105" t="n"/>
      <c r="D946" s="105" t="n"/>
      <c r="E946" s="105" t="n"/>
      <c r="F946" s="105" t="n"/>
      <c r="G946" s="105" t="n"/>
      <c r="H946" s="105" t="n"/>
      <c r="I946" s="105" t="n"/>
      <c r="J946" s="105" t="n"/>
      <c r="K946" s="105" t="n"/>
      <c r="L946" s="105" t="n"/>
      <c r="M946" s="105" t="n"/>
      <c r="N946" s="105" t="n"/>
      <c r="O946" s="105" t="n"/>
      <c r="P946" s="105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5" t="n"/>
      <c r="B947" s="105" t="n"/>
      <c r="C947" s="105" t="n"/>
      <c r="D947" s="105" t="n"/>
      <c r="E947" s="105" t="n"/>
      <c r="F947" s="105" t="n"/>
      <c r="G947" s="105" t="n"/>
      <c r="H947" s="105" t="n"/>
      <c r="I947" s="105" t="n"/>
      <c r="J947" s="105" t="n"/>
      <c r="K947" s="105" t="n"/>
      <c r="L947" s="105" t="n"/>
      <c r="M947" s="105" t="n"/>
      <c r="N947" s="105" t="n"/>
      <c r="O947" s="105" t="n"/>
      <c r="P947" s="105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5" t="n"/>
      <c r="B948" s="105" t="n"/>
      <c r="C948" s="105" t="n"/>
      <c r="D948" s="105" t="n"/>
      <c r="E948" s="105" t="n"/>
      <c r="F948" s="105" t="n"/>
      <c r="G948" s="105" t="n"/>
      <c r="H948" s="105" t="n"/>
      <c r="I948" s="105" t="n"/>
      <c r="J948" s="105" t="n"/>
      <c r="K948" s="105" t="n"/>
      <c r="L948" s="105" t="n"/>
      <c r="M948" s="105" t="n"/>
      <c r="N948" s="105" t="n"/>
      <c r="O948" s="105" t="n"/>
      <c r="P948" s="105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5" t="n"/>
      <c r="B949" s="105" t="n"/>
      <c r="C949" s="105" t="n"/>
      <c r="D949" s="105" t="n"/>
      <c r="E949" s="105" t="n"/>
      <c r="F949" s="105" t="n"/>
      <c r="G949" s="105" t="n"/>
      <c r="H949" s="105" t="n"/>
      <c r="I949" s="105" t="n"/>
      <c r="J949" s="105" t="n"/>
      <c r="K949" s="105" t="n"/>
      <c r="L949" s="105" t="n"/>
      <c r="M949" s="105" t="n"/>
      <c r="N949" s="105" t="n"/>
      <c r="O949" s="105" t="n"/>
      <c r="P949" s="105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5" t="n"/>
      <c r="B950" s="105" t="n"/>
      <c r="C950" s="105" t="n"/>
      <c r="D950" s="105" t="n"/>
      <c r="E950" s="105" t="n"/>
      <c r="F950" s="105" t="n"/>
      <c r="G950" s="105" t="n"/>
      <c r="H950" s="105" t="n"/>
      <c r="I950" s="105" t="n"/>
      <c r="J950" s="105" t="n"/>
      <c r="K950" s="105" t="n"/>
      <c r="L950" s="105" t="n"/>
      <c r="M950" s="105" t="n"/>
      <c r="N950" s="105" t="n"/>
      <c r="O950" s="105" t="n"/>
      <c r="P950" s="105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5" t="n"/>
      <c r="B951" s="105" t="n"/>
      <c r="C951" s="105" t="n"/>
      <c r="D951" s="105" t="n"/>
      <c r="E951" s="105" t="n"/>
      <c r="F951" s="105" t="n"/>
      <c r="G951" s="105" t="n"/>
      <c r="H951" s="105" t="n"/>
      <c r="I951" s="105" t="n"/>
      <c r="J951" s="105" t="n"/>
      <c r="K951" s="105" t="n"/>
      <c r="L951" s="105" t="n"/>
      <c r="M951" s="105" t="n"/>
      <c r="N951" s="105" t="n"/>
      <c r="O951" s="105" t="n"/>
      <c r="P951" s="105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5" t="n"/>
      <c r="B952" s="105" t="n"/>
      <c r="C952" s="105" t="n"/>
      <c r="D952" s="105" t="n"/>
      <c r="E952" s="105" t="n"/>
      <c r="F952" s="105" t="n"/>
      <c r="G952" s="105" t="n"/>
      <c r="H952" s="105" t="n"/>
      <c r="I952" s="105" t="n"/>
      <c r="J952" s="105" t="n"/>
      <c r="K952" s="105" t="n"/>
      <c r="L952" s="105" t="n"/>
      <c r="M952" s="105" t="n"/>
      <c r="N952" s="105" t="n"/>
      <c r="O952" s="105" t="n"/>
      <c r="P952" s="105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5" t="n"/>
      <c r="B953" s="105" t="n"/>
      <c r="C953" s="105" t="n"/>
      <c r="D953" s="105" t="n"/>
      <c r="E953" s="105" t="n"/>
      <c r="F953" s="105" t="n"/>
      <c r="G953" s="105" t="n"/>
      <c r="H953" s="105" t="n"/>
      <c r="I953" s="105" t="n"/>
      <c r="J953" s="105" t="n"/>
      <c r="K953" s="105" t="n"/>
      <c r="L953" s="105" t="n"/>
      <c r="M953" s="105" t="n"/>
      <c r="N953" s="105" t="n"/>
      <c r="O953" s="105" t="n"/>
      <c r="P953" s="105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5" t="n"/>
      <c r="B954" s="105" t="n"/>
      <c r="C954" s="105" t="n"/>
      <c r="D954" s="105" t="n"/>
      <c r="E954" s="105" t="n"/>
      <c r="F954" s="105" t="n"/>
      <c r="G954" s="105" t="n"/>
      <c r="H954" s="105" t="n"/>
      <c r="I954" s="105" t="n"/>
      <c r="J954" s="105" t="n"/>
      <c r="K954" s="105" t="n"/>
      <c r="L954" s="105" t="n"/>
      <c r="M954" s="105" t="n"/>
      <c r="N954" s="105" t="n"/>
      <c r="O954" s="105" t="n"/>
      <c r="P954" s="105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5" t="n"/>
      <c r="B955" s="105" t="n"/>
      <c r="C955" s="105" t="n"/>
      <c r="D955" s="105" t="n"/>
      <c r="E955" s="105" t="n"/>
      <c r="F955" s="105" t="n"/>
      <c r="G955" s="105" t="n"/>
      <c r="H955" s="105" t="n"/>
      <c r="I955" s="105" t="n"/>
      <c r="J955" s="105" t="n"/>
      <c r="K955" s="105" t="n"/>
      <c r="L955" s="105" t="n"/>
      <c r="M955" s="105" t="n"/>
      <c r="N955" s="105" t="n"/>
      <c r="O955" s="105" t="n"/>
      <c r="P955" s="105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5" t="n"/>
      <c r="B956" s="105" t="n"/>
      <c r="C956" s="105" t="n"/>
      <c r="D956" s="105" t="n"/>
      <c r="E956" s="105" t="n"/>
      <c r="F956" s="105" t="n"/>
      <c r="G956" s="105" t="n"/>
      <c r="H956" s="105" t="n"/>
      <c r="I956" s="105" t="n"/>
      <c r="J956" s="105" t="n"/>
      <c r="K956" s="105" t="n"/>
      <c r="L956" s="105" t="n"/>
      <c r="M956" s="105" t="n"/>
      <c r="N956" s="105" t="n"/>
      <c r="O956" s="105" t="n"/>
      <c r="P956" s="105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5" t="n"/>
      <c r="B957" s="105" t="n"/>
      <c r="C957" s="105" t="n"/>
      <c r="D957" s="105" t="n"/>
      <c r="E957" s="105" t="n"/>
      <c r="F957" s="105" t="n"/>
      <c r="G957" s="105" t="n"/>
      <c r="H957" s="105" t="n"/>
      <c r="I957" s="105" t="n"/>
      <c r="J957" s="105" t="n"/>
      <c r="K957" s="105" t="n"/>
      <c r="L957" s="105" t="n"/>
      <c r="M957" s="105" t="n"/>
      <c r="N957" s="105" t="n"/>
      <c r="O957" s="105" t="n"/>
      <c r="P957" s="105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5" t="n"/>
      <c r="B958" s="105" t="n"/>
      <c r="C958" s="105" t="n"/>
      <c r="D958" s="105" t="n"/>
      <c r="E958" s="105" t="n"/>
      <c r="F958" s="105" t="n"/>
      <c r="G958" s="105" t="n"/>
      <c r="H958" s="105" t="n"/>
      <c r="I958" s="105" t="n"/>
      <c r="J958" s="105" t="n"/>
      <c r="K958" s="105" t="n"/>
      <c r="L958" s="105" t="n"/>
      <c r="M958" s="105" t="n"/>
      <c r="N958" s="105" t="n"/>
      <c r="O958" s="105" t="n"/>
      <c r="P958" s="105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5" t="n"/>
      <c r="B959" s="105" t="n"/>
      <c r="C959" s="105" t="n"/>
      <c r="D959" s="105" t="n"/>
      <c r="E959" s="105" t="n"/>
      <c r="F959" s="105" t="n"/>
      <c r="G959" s="105" t="n"/>
      <c r="H959" s="105" t="n"/>
      <c r="I959" s="105" t="n"/>
      <c r="J959" s="105" t="n"/>
      <c r="K959" s="105" t="n"/>
      <c r="L959" s="105" t="n"/>
      <c r="M959" s="105" t="n"/>
      <c r="N959" s="105" t="n"/>
      <c r="O959" s="105" t="n"/>
      <c r="P959" s="105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5" t="n"/>
      <c r="B960" s="105" t="n"/>
      <c r="C960" s="105" t="n"/>
      <c r="D960" s="105" t="n"/>
      <c r="E960" s="105" t="n"/>
      <c r="F960" s="105" t="n"/>
      <c r="G960" s="105" t="n"/>
      <c r="H960" s="105" t="n"/>
      <c r="I960" s="105" t="n"/>
      <c r="J960" s="105" t="n"/>
      <c r="K960" s="105" t="n"/>
      <c r="L960" s="105" t="n"/>
      <c r="M960" s="105" t="n"/>
      <c r="N960" s="105" t="n"/>
      <c r="O960" s="105" t="n"/>
      <c r="P960" s="105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5" t="n"/>
      <c r="B961" s="105" t="n"/>
      <c r="C961" s="105" t="n"/>
      <c r="D961" s="105" t="n"/>
      <c r="E961" s="105" t="n"/>
      <c r="F961" s="105" t="n"/>
      <c r="G961" s="105" t="n"/>
      <c r="H961" s="105" t="n"/>
      <c r="I961" s="105" t="n"/>
      <c r="J961" s="105" t="n"/>
      <c r="K961" s="105" t="n"/>
      <c r="L961" s="105" t="n"/>
      <c r="M961" s="105" t="n"/>
      <c r="N961" s="105" t="n"/>
      <c r="O961" s="105" t="n"/>
      <c r="P961" s="105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5" t="n"/>
      <c r="B962" s="105" t="n"/>
      <c r="C962" s="105" t="n"/>
      <c r="D962" s="105" t="n"/>
      <c r="E962" s="105" t="n"/>
      <c r="F962" s="105" t="n"/>
      <c r="G962" s="105" t="n"/>
      <c r="H962" s="105" t="n"/>
      <c r="I962" s="105" t="n"/>
      <c r="J962" s="105" t="n"/>
      <c r="K962" s="105" t="n"/>
      <c r="L962" s="105" t="n"/>
      <c r="M962" s="105" t="n"/>
      <c r="N962" s="105" t="n"/>
      <c r="O962" s="105" t="n"/>
      <c r="P962" s="105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5" t="n"/>
      <c r="B963" s="105" t="n"/>
      <c r="C963" s="105" t="n"/>
      <c r="D963" s="105" t="n"/>
      <c r="E963" s="105" t="n"/>
      <c r="F963" s="105" t="n"/>
      <c r="G963" s="105" t="n"/>
      <c r="H963" s="105" t="n"/>
      <c r="I963" s="105" t="n"/>
      <c r="J963" s="105" t="n"/>
      <c r="K963" s="105" t="n"/>
      <c r="L963" s="105" t="n"/>
      <c r="M963" s="105" t="n"/>
      <c r="N963" s="105" t="n"/>
      <c r="O963" s="105" t="n"/>
      <c r="P963" s="105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5" t="n"/>
      <c r="B964" s="105" t="n"/>
      <c r="C964" s="105" t="n"/>
      <c r="D964" s="105" t="n"/>
      <c r="E964" s="105" t="n"/>
      <c r="F964" s="105" t="n"/>
      <c r="G964" s="105" t="n"/>
      <c r="H964" s="105" t="n"/>
      <c r="I964" s="105" t="n"/>
      <c r="J964" s="105" t="n"/>
      <c r="K964" s="105" t="n"/>
      <c r="L964" s="105" t="n"/>
      <c r="M964" s="105" t="n"/>
      <c r="N964" s="105" t="n"/>
      <c r="O964" s="105" t="n"/>
      <c r="P964" s="105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5" t="n"/>
      <c r="B965" s="105" t="n"/>
      <c r="C965" s="105" t="n"/>
      <c r="D965" s="105" t="n"/>
      <c r="E965" s="105" t="n"/>
      <c r="F965" s="105" t="n"/>
      <c r="G965" s="105" t="n"/>
      <c r="H965" s="105" t="n"/>
      <c r="I965" s="105" t="n"/>
      <c r="J965" s="105" t="n"/>
      <c r="K965" s="105" t="n"/>
      <c r="L965" s="105" t="n"/>
      <c r="M965" s="105" t="n"/>
      <c r="N965" s="105" t="n"/>
      <c r="O965" s="105" t="n"/>
      <c r="P965" s="105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5" t="n"/>
      <c r="B966" s="105" t="n"/>
      <c r="C966" s="105" t="n"/>
      <c r="D966" s="105" t="n"/>
      <c r="E966" s="105" t="n"/>
      <c r="F966" s="105" t="n"/>
      <c r="G966" s="105" t="n"/>
      <c r="H966" s="105" t="n"/>
      <c r="I966" s="105" t="n"/>
      <c r="J966" s="105" t="n"/>
      <c r="K966" s="105" t="n"/>
      <c r="L966" s="105" t="n"/>
      <c r="M966" s="105" t="n"/>
      <c r="N966" s="105" t="n"/>
      <c r="O966" s="105" t="n"/>
      <c r="P966" s="105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5" t="n"/>
      <c r="B967" s="105" t="n"/>
      <c r="C967" s="105" t="n"/>
      <c r="D967" s="105" t="n"/>
      <c r="E967" s="105" t="n"/>
      <c r="F967" s="105" t="n"/>
      <c r="G967" s="105" t="n"/>
      <c r="H967" s="105" t="n"/>
      <c r="I967" s="105" t="n"/>
      <c r="J967" s="105" t="n"/>
      <c r="K967" s="105" t="n"/>
      <c r="L967" s="105" t="n"/>
      <c r="M967" s="105" t="n"/>
      <c r="N967" s="105" t="n"/>
      <c r="O967" s="105" t="n"/>
      <c r="P967" s="105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5" t="n"/>
      <c r="B968" s="105" t="n"/>
      <c r="C968" s="105" t="n"/>
      <c r="D968" s="105" t="n"/>
      <c r="E968" s="105" t="n"/>
      <c r="F968" s="105" t="n"/>
      <c r="G968" s="105" t="n"/>
      <c r="H968" s="105" t="n"/>
      <c r="I968" s="105" t="n"/>
      <c r="J968" s="105" t="n"/>
      <c r="K968" s="105" t="n"/>
      <c r="L968" s="105" t="n"/>
      <c r="M968" s="105" t="n"/>
      <c r="N968" s="105" t="n"/>
      <c r="O968" s="105" t="n"/>
      <c r="P968" s="105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5" t="n"/>
      <c r="B969" s="105" t="n"/>
      <c r="C969" s="105" t="n"/>
      <c r="D969" s="105" t="n"/>
      <c r="E969" s="105" t="n"/>
      <c r="F969" s="105" t="n"/>
      <c r="G969" s="105" t="n"/>
      <c r="H969" s="105" t="n"/>
      <c r="I969" s="105" t="n"/>
      <c r="J969" s="105" t="n"/>
      <c r="K969" s="105" t="n"/>
      <c r="L969" s="105" t="n"/>
      <c r="M969" s="105" t="n"/>
      <c r="N969" s="105" t="n"/>
      <c r="O969" s="105" t="n"/>
      <c r="P969" s="105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5" t="n"/>
      <c r="B970" s="105" t="n"/>
      <c r="C970" s="105" t="n"/>
      <c r="D970" s="105" t="n"/>
      <c r="E970" s="105" t="n"/>
      <c r="F970" s="105" t="n"/>
      <c r="G970" s="105" t="n"/>
      <c r="H970" s="105" t="n"/>
      <c r="I970" s="105" t="n"/>
      <c r="J970" s="105" t="n"/>
      <c r="K970" s="105" t="n"/>
      <c r="L970" s="105" t="n"/>
      <c r="M970" s="105" t="n"/>
      <c r="N970" s="105" t="n"/>
      <c r="O970" s="105" t="n"/>
      <c r="P970" s="105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5" t="n"/>
      <c r="B971" s="105" t="n"/>
      <c r="C971" s="105" t="n"/>
      <c r="D971" s="105" t="n"/>
      <c r="E971" s="105" t="n"/>
      <c r="F971" s="105" t="n"/>
      <c r="G971" s="105" t="n"/>
      <c r="H971" s="105" t="n"/>
      <c r="I971" s="105" t="n"/>
      <c r="J971" s="105" t="n"/>
      <c r="K971" s="105" t="n"/>
      <c r="L971" s="105" t="n"/>
      <c r="M971" s="105" t="n"/>
      <c r="N971" s="105" t="n"/>
      <c r="O971" s="105" t="n"/>
      <c r="P971" s="105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5" t="n"/>
      <c r="B972" s="105" t="n"/>
      <c r="C972" s="105" t="n"/>
      <c r="D972" s="105" t="n"/>
      <c r="E972" s="105" t="n"/>
      <c r="F972" s="105" t="n"/>
      <c r="G972" s="105" t="n"/>
      <c r="H972" s="105" t="n"/>
      <c r="I972" s="105" t="n"/>
      <c r="J972" s="105" t="n"/>
      <c r="K972" s="105" t="n"/>
      <c r="L972" s="105" t="n"/>
      <c r="M972" s="105" t="n"/>
      <c r="N972" s="105" t="n"/>
      <c r="O972" s="105" t="n"/>
      <c r="P972" s="105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5" t="n"/>
      <c r="B973" s="105" t="n"/>
      <c r="C973" s="105" t="n"/>
      <c r="D973" s="105" t="n"/>
      <c r="E973" s="105" t="n"/>
      <c r="F973" s="105" t="n"/>
      <c r="G973" s="105" t="n"/>
      <c r="H973" s="105" t="n"/>
      <c r="I973" s="105" t="n"/>
      <c r="J973" s="105" t="n"/>
      <c r="K973" s="105" t="n"/>
      <c r="L973" s="105" t="n"/>
      <c r="M973" s="105" t="n"/>
      <c r="N973" s="105" t="n"/>
      <c r="O973" s="105" t="n"/>
      <c r="P973" s="105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5" t="n"/>
      <c r="B974" s="105" t="n"/>
      <c r="C974" s="105" t="n"/>
      <c r="D974" s="105" t="n"/>
      <c r="E974" s="105" t="n"/>
      <c r="F974" s="105" t="n"/>
      <c r="G974" s="105" t="n"/>
      <c r="H974" s="105" t="n"/>
      <c r="I974" s="105" t="n"/>
      <c r="J974" s="105" t="n"/>
      <c r="K974" s="105" t="n"/>
      <c r="L974" s="105" t="n"/>
      <c r="M974" s="105" t="n"/>
      <c r="N974" s="105" t="n"/>
      <c r="O974" s="105" t="n"/>
      <c r="P974" s="105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5" t="n"/>
      <c r="B975" s="105" t="n"/>
      <c r="C975" s="105" t="n"/>
      <c r="D975" s="105" t="n"/>
      <c r="E975" s="105" t="n"/>
      <c r="F975" s="105" t="n"/>
      <c r="G975" s="105" t="n"/>
      <c r="H975" s="105" t="n"/>
      <c r="I975" s="105" t="n"/>
      <c r="J975" s="105" t="n"/>
      <c r="K975" s="105" t="n"/>
      <c r="L975" s="105" t="n"/>
      <c r="M975" s="105" t="n"/>
      <c r="N975" s="105" t="n"/>
      <c r="O975" s="105" t="n"/>
      <c r="P975" s="105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5" t="n"/>
      <c r="B976" s="105" t="n"/>
      <c r="C976" s="105" t="n"/>
      <c r="D976" s="105" t="n"/>
      <c r="E976" s="105" t="n"/>
      <c r="F976" s="105" t="n"/>
      <c r="G976" s="105" t="n"/>
      <c r="H976" s="105" t="n"/>
      <c r="I976" s="105" t="n"/>
      <c r="J976" s="105" t="n"/>
      <c r="K976" s="105" t="n"/>
      <c r="L976" s="105" t="n"/>
      <c r="M976" s="105" t="n"/>
      <c r="N976" s="105" t="n"/>
      <c r="O976" s="105" t="n"/>
      <c r="P976" s="105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5" t="n"/>
      <c r="B977" s="105" t="n"/>
      <c r="C977" s="105" t="n"/>
      <c r="D977" s="105" t="n"/>
      <c r="E977" s="105" t="n"/>
      <c r="F977" s="105" t="n"/>
      <c r="G977" s="105" t="n"/>
      <c r="H977" s="105" t="n"/>
      <c r="I977" s="105" t="n"/>
      <c r="J977" s="105" t="n"/>
      <c r="K977" s="105" t="n"/>
      <c r="L977" s="105" t="n"/>
      <c r="M977" s="105" t="n"/>
      <c r="N977" s="105" t="n"/>
      <c r="O977" s="105" t="n"/>
      <c r="P977" s="105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5" t="n"/>
      <c r="B978" s="105" t="n"/>
      <c r="C978" s="105" t="n"/>
      <c r="D978" s="105" t="n"/>
      <c r="E978" s="105" t="n"/>
      <c r="F978" s="105" t="n"/>
      <c r="G978" s="105" t="n"/>
      <c r="H978" s="105" t="n"/>
      <c r="I978" s="105" t="n"/>
      <c r="J978" s="105" t="n"/>
      <c r="K978" s="105" t="n"/>
      <c r="L978" s="105" t="n"/>
      <c r="M978" s="105" t="n"/>
      <c r="N978" s="105" t="n"/>
      <c r="O978" s="105" t="n"/>
      <c r="P978" s="105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5" t="n"/>
      <c r="B979" s="105" t="n"/>
      <c r="C979" s="105" t="n"/>
      <c r="D979" s="105" t="n"/>
      <c r="E979" s="105" t="n"/>
      <c r="F979" s="105" t="n"/>
      <c r="G979" s="105" t="n"/>
      <c r="H979" s="105" t="n"/>
      <c r="I979" s="105" t="n"/>
      <c r="J979" s="105" t="n"/>
      <c r="K979" s="105" t="n"/>
      <c r="L979" s="105" t="n"/>
      <c r="M979" s="105" t="n"/>
      <c r="N979" s="105" t="n"/>
      <c r="O979" s="105" t="n"/>
      <c r="P979" s="105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5" t="n"/>
      <c r="B980" s="105" t="n"/>
      <c r="C980" s="105" t="n"/>
      <c r="D980" s="105" t="n"/>
      <c r="E980" s="105" t="n"/>
      <c r="F980" s="105" t="n"/>
      <c r="G980" s="105" t="n"/>
      <c r="H980" s="105" t="n"/>
      <c r="I980" s="105" t="n"/>
      <c r="J980" s="105" t="n"/>
      <c r="K980" s="105" t="n"/>
      <c r="L980" s="105" t="n"/>
      <c r="M980" s="105" t="n"/>
      <c r="N980" s="105" t="n"/>
      <c r="O980" s="105" t="n"/>
      <c r="P980" s="105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5" t="n"/>
      <c r="B981" s="105" t="n"/>
      <c r="C981" s="105" t="n"/>
      <c r="D981" s="105" t="n"/>
      <c r="E981" s="105" t="n"/>
      <c r="F981" s="105" t="n"/>
      <c r="G981" s="105" t="n"/>
      <c r="H981" s="105" t="n"/>
      <c r="I981" s="105" t="n"/>
      <c r="J981" s="105" t="n"/>
      <c r="K981" s="105" t="n"/>
      <c r="L981" s="105" t="n"/>
      <c r="M981" s="105" t="n"/>
      <c r="N981" s="105" t="n"/>
      <c r="O981" s="105" t="n"/>
      <c r="P981" s="105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5" t="n"/>
      <c r="B982" s="105" t="n"/>
      <c r="C982" s="105" t="n"/>
      <c r="D982" s="105" t="n"/>
      <c r="E982" s="105" t="n"/>
      <c r="F982" s="105" t="n"/>
      <c r="G982" s="105" t="n"/>
      <c r="H982" s="105" t="n"/>
      <c r="I982" s="105" t="n"/>
      <c r="J982" s="105" t="n"/>
      <c r="K982" s="105" t="n"/>
      <c r="L982" s="105" t="n"/>
      <c r="M982" s="105" t="n"/>
      <c r="N982" s="105" t="n"/>
      <c r="O982" s="105" t="n"/>
      <c r="P982" s="105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5" t="n"/>
      <c r="B983" s="105" t="n"/>
      <c r="C983" s="105" t="n"/>
      <c r="D983" s="105" t="n"/>
      <c r="E983" s="105" t="n"/>
      <c r="F983" s="105" t="n"/>
      <c r="G983" s="105" t="n"/>
      <c r="H983" s="105" t="n"/>
      <c r="I983" s="105" t="n"/>
      <c r="J983" s="105" t="n"/>
      <c r="K983" s="105" t="n"/>
      <c r="L983" s="105" t="n"/>
      <c r="M983" s="105" t="n"/>
      <c r="N983" s="105" t="n"/>
      <c r="O983" s="105" t="n"/>
      <c r="P983" s="105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5" t="n"/>
      <c r="B984" s="105" t="n"/>
      <c r="C984" s="105" t="n"/>
      <c r="D984" s="105" t="n"/>
      <c r="E984" s="105" t="n"/>
      <c r="F984" s="105" t="n"/>
      <c r="G984" s="105" t="n"/>
      <c r="H984" s="105" t="n"/>
      <c r="I984" s="105" t="n"/>
      <c r="J984" s="105" t="n"/>
      <c r="K984" s="105" t="n"/>
      <c r="L984" s="105" t="n"/>
      <c r="M984" s="105" t="n"/>
      <c r="N984" s="105" t="n"/>
      <c r="O984" s="105" t="n"/>
      <c r="P984" s="105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5" t="n"/>
      <c r="B985" s="105" t="n"/>
      <c r="C985" s="105" t="n"/>
      <c r="D985" s="105" t="n"/>
      <c r="E985" s="105" t="n"/>
      <c r="F985" s="105" t="n"/>
      <c r="G985" s="105" t="n"/>
      <c r="H985" s="105" t="n"/>
      <c r="I985" s="105" t="n"/>
      <c r="J985" s="105" t="n"/>
      <c r="K985" s="105" t="n"/>
      <c r="L985" s="105" t="n"/>
      <c r="M985" s="105" t="n"/>
      <c r="N985" s="105" t="n"/>
      <c r="O985" s="105" t="n"/>
      <c r="P985" s="105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5" t="n"/>
      <c r="B986" s="105" t="n"/>
      <c r="C986" s="105" t="n"/>
      <c r="D986" s="105" t="n"/>
      <c r="E986" s="105" t="n"/>
      <c r="F986" s="105" t="n"/>
      <c r="G986" s="105" t="n"/>
      <c r="H986" s="105" t="n"/>
      <c r="I986" s="105" t="n"/>
      <c r="J986" s="105" t="n"/>
      <c r="K986" s="105" t="n"/>
      <c r="L986" s="105" t="n"/>
      <c r="M986" s="105" t="n"/>
      <c r="N986" s="105" t="n"/>
      <c r="O986" s="105" t="n"/>
      <c r="P986" s="105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5" t="n"/>
      <c r="B987" s="105" t="n"/>
      <c r="C987" s="105" t="n"/>
      <c r="D987" s="105" t="n"/>
      <c r="E987" s="105" t="n"/>
      <c r="F987" s="105" t="n"/>
      <c r="G987" s="105" t="n"/>
      <c r="H987" s="105" t="n"/>
      <c r="I987" s="105" t="n"/>
      <c r="J987" s="105" t="n"/>
      <c r="K987" s="105" t="n"/>
      <c r="L987" s="105" t="n"/>
      <c r="M987" s="105" t="n"/>
      <c r="N987" s="105" t="n"/>
      <c r="O987" s="105" t="n"/>
      <c r="P987" s="105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5" t="n"/>
      <c r="B988" s="105" t="n"/>
      <c r="C988" s="105" t="n"/>
      <c r="D988" s="105" t="n"/>
      <c r="E988" s="105" t="n"/>
      <c r="F988" s="105" t="n"/>
      <c r="G988" s="105" t="n"/>
      <c r="H988" s="105" t="n"/>
      <c r="I988" s="105" t="n"/>
      <c r="J988" s="105" t="n"/>
      <c r="K988" s="105" t="n"/>
      <c r="L988" s="105" t="n"/>
      <c r="M988" s="105" t="n"/>
      <c r="N988" s="105" t="n"/>
      <c r="O988" s="105" t="n"/>
      <c r="P988" s="105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5" t="n"/>
      <c r="B989" s="105" t="n"/>
      <c r="C989" s="105" t="n"/>
      <c r="D989" s="105" t="n"/>
      <c r="E989" s="105" t="n"/>
      <c r="F989" s="105" t="n"/>
      <c r="G989" s="105" t="n"/>
      <c r="H989" s="105" t="n"/>
      <c r="I989" s="105" t="n"/>
      <c r="J989" s="105" t="n"/>
      <c r="K989" s="105" t="n"/>
      <c r="L989" s="105" t="n"/>
      <c r="M989" s="105" t="n"/>
      <c r="N989" s="105" t="n"/>
      <c r="O989" s="105" t="n"/>
      <c r="P989" s="105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5" t="n"/>
      <c r="B990" s="105" t="n"/>
      <c r="C990" s="105" t="n"/>
      <c r="D990" s="105" t="n"/>
      <c r="E990" s="105" t="n"/>
      <c r="F990" s="105" t="n"/>
      <c r="G990" s="105" t="n"/>
      <c r="H990" s="105" t="n"/>
      <c r="I990" s="105" t="n"/>
      <c r="J990" s="105" t="n"/>
      <c r="K990" s="105" t="n"/>
      <c r="L990" s="105" t="n"/>
      <c r="M990" s="105" t="n"/>
      <c r="N990" s="105" t="n"/>
      <c r="O990" s="105" t="n"/>
      <c r="P990" s="105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5" t="n"/>
      <c r="B991" s="105" t="n"/>
      <c r="C991" s="105" t="n"/>
      <c r="D991" s="105" t="n"/>
      <c r="E991" s="105" t="n"/>
      <c r="F991" s="105" t="n"/>
      <c r="G991" s="105" t="n"/>
      <c r="H991" s="105" t="n"/>
      <c r="I991" s="105" t="n"/>
      <c r="J991" s="105" t="n"/>
      <c r="K991" s="105" t="n"/>
      <c r="L991" s="105" t="n"/>
      <c r="M991" s="105" t="n"/>
      <c r="N991" s="105" t="n"/>
      <c r="O991" s="105" t="n"/>
      <c r="P991" s="105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5" t="n"/>
      <c r="B992" s="105" t="n"/>
      <c r="C992" s="105" t="n"/>
      <c r="D992" s="105" t="n"/>
      <c r="E992" s="105" t="n"/>
      <c r="F992" s="105" t="n"/>
      <c r="G992" s="105" t="n"/>
      <c r="H992" s="105" t="n"/>
      <c r="I992" s="105" t="n"/>
      <c r="J992" s="105" t="n"/>
      <c r="K992" s="105" t="n"/>
      <c r="L992" s="105" t="n"/>
      <c r="M992" s="105" t="n"/>
      <c r="N992" s="105" t="n"/>
      <c r="O992" s="105" t="n"/>
      <c r="P992" s="105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5" t="n"/>
      <c r="B993" s="105" t="n"/>
      <c r="C993" s="105" t="n"/>
      <c r="D993" s="105" t="n"/>
      <c r="E993" s="105" t="n"/>
      <c r="F993" s="105" t="n"/>
      <c r="G993" s="105" t="n"/>
      <c r="H993" s="105" t="n"/>
      <c r="I993" s="105" t="n"/>
      <c r="J993" s="105" t="n"/>
      <c r="K993" s="105" t="n"/>
      <c r="L993" s="105" t="n"/>
      <c r="M993" s="105" t="n"/>
      <c r="N993" s="105" t="n"/>
      <c r="O993" s="105" t="n"/>
      <c r="P993" s="105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5" t="n"/>
      <c r="B994" s="105" t="n"/>
      <c r="C994" s="105" t="n"/>
      <c r="D994" s="105" t="n"/>
      <c r="E994" s="105" t="n"/>
      <c r="F994" s="105" t="n"/>
      <c r="G994" s="105" t="n"/>
      <c r="H994" s="105" t="n"/>
      <c r="I994" s="105" t="n"/>
      <c r="J994" s="105" t="n"/>
      <c r="K994" s="105" t="n"/>
      <c r="L994" s="105" t="n"/>
      <c r="M994" s="105" t="n"/>
      <c r="N994" s="105" t="n"/>
      <c r="O994" s="105" t="n"/>
      <c r="P994" s="105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5" t="n"/>
      <c r="B995" s="105" t="n"/>
      <c r="C995" s="105" t="n"/>
      <c r="D995" s="105" t="n"/>
      <c r="E995" s="105" t="n"/>
      <c r="F995" s="105" t="n"/>
      <c r="G995" s="105" t="n"/>
      <c r="H995" s="105" t="n"/>
      <c r="I995" s="105" t="n"/>
      <c r="J995" s="105" t="n"/>
      <c r="K995" s="105" t="n"/>
      <c r="L995" s="105" t="n"/>
      <c r="M995" s="105" t="n"/>
      <c r="N995" s="105" t="n"/>
      <c r="O995" s="105" t="n"/>
      <c r="P995" s="105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5" t="n"/>
      <c r="B996" s="105" t="n"/>
      <c r="C996" s="105" t="n"/>
      <c r="D996" s="105" t="n"/>
      <c r="E996" s="105" t="n"/>
      <c r="F996" s="105" t="n"/>
      <c r="G996" s="105" t="n"/>
      <c r="H996" s="105" t="n"/>
      <c r="I996" s="105" t="n"/>
      <c r="J996" s="105" t="n"/>
      <c r="K996" s="105" t="n"/>
      <c r="L996" s="105" t="n"/>
      <c r="M996" s="105" t="n"/>
      <c r="N996" s="105" t="n"/>
      <c r="O996" s="105" t="n"/>
      <c r="P996" s="105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5" t="n"/>
      <c r="B997" s="105" t="n"/>
      <c r="C997" s="105" t="n"/>
      <c r="D997" s="105" t="n"/>
      <c r="E997" s="105" t="n"/>
      <c r="F997" s="105" t="n"/>
      <c r="G997" s="105" t="n"/>
      <c r="H997" s="105" t="n"/>
      <c r="I997" s="105" t="n"/>
      <c r="J997" s="105" t="n"/>
      <c r="K997" s="105" t="n"/>
      <c r="L997" s="105" t="n"/>
      <c r="M997" s="105" t="n"/>
      <c r="N997" s="105" t="n"/>
      <c r="O997" s="105" t="n"/>
      <c r="P997" s="105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5" t="n"/>
      <c r="B998" s="105" t="n"/>
      <c r="C998" s="105" t="n"/>
      <c r="D998" s="105" t="n"/>
      <c r="E998" s="105" t="n"/>
      <c r="F998" s="105" t="n"/>
      <c r="G998" s="105" t="n"/>
      <c r="H998" s="105" t="n"/>
      <c r="I998" s="105" t="n"/>
      <c r="J998" s="105" t="n"/>
      <c r="K998" s="105" t="n"/>
      <c r="L998" s="105" t="n"/>
      <c r="M998" s="105" t="n"/>
      <c r="N998" s="105" t="n"/>
      <c r="O998" s="105" t="n"/>
      <c r="P998" s="105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5" t="n"/>
      <c r="B999" s="105" t="n"/>
      <c r="C999" s="105" t="n"/>
      <c r="D999" s="105" t="n"/>
      <c r="E999" s="105" t="n"/>
      <c r="F999" s="105" t="n"/>
      <c r="G999" s="105" t="n"/>
      <c r="H999" s="105" t="n"/>
      <c r="I999" s="105" t="n"/>
      <c r="J999" s="105" t="n"/>
      <c r="K999" s="105" t="n"/>
      <c r="L999" s="105" t="n"/>
      <c r="M999" s="105" t="n"/>
      <c r="N999" s="105" t="n"/>
      <c r="O999" s="105" t="n"/>
      <c r="P999" s="105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5" t="n"/>
      <c r="B1000" s="105" t="n"/>
      <c r="C1000" s="105" t="n"/>
      <c r="D1000" s="105" t="n"/>
      <c r="E1000" s="105" t="n"/>
      <c r="F1000" s="105" t="n"/>
      <c r="G1000" s="105" t="n"/>
      <c r="H1000" s="105" t="n"/>
      <c r="I1000" s="105" t="n"/>
      <c r="J1000" s="105" t="n"/>
      <c r="K1000" s="105" t="n"/>
      <c r="L1000" s="105" t="n"/>
      <c r="M1000" s="105" t="n"/>
      <c r="N1000" s="105" t="n"/>
      <c r="O1000" s="105" t="n"/>
      <c r="P1000" s="105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5" t="n"/>
      <c r="B1001" s="105" t="n"/>
      <c r="C1001" s="105" t="n"/>
      <c r="D1001" s="105" t="n"/>
      <c r="E1001" s="105" t="n"/>
      <c r="F1001" s="105" t="n"/>
      <c r="G1001" s="105" t="n"/>
      <c r="H1001" s="105" t="n"/>
      <c r="I1001" s="105" t="n"/>
      <c r="J1001" s="105" t="n"/>
      <c r="K1001" s="105" t="n"/>
      <c r="L1001" s="105" t="n"/>
      <c r="M1001" s="105" t="n"/>
      <c r="N1001" s="105" t="n"/>
      <c r="O1001" s="105" t="n"/>
      <c r="P1001" s="105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5" t="n"/>
      <c r="B1002" s="105" t="n"/>
      <c r="C1002" s="105" t="n"/>
      <c r="D1002" s="105" t="n"/>
      <c r="E1002" s="105" t="n"/>
      <c r="F1002" s="105" t="n"/>
      <c r="G1002" s="105" t="n"/>
      <c r="H1002" s="105" t="n"/>
      <c r="I1002" s="105" t="n"/>
      <c r="J1002" s="105" t="n"/>
      <c r="K1002" s="105" t="n"/>
      <c r="L1002" s="105" t="n"/>
      <c r="M1002" s="105" t="n"/>
      <c r="N1002" s="105" t="n"/>
      <c r="O1002" s="105" t="n"/>
      <c r="P1002" s="105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5" t="n"/>
      <c r="B1003" s="105" t="n"/>
      <c r="C1003" s="105" t="n"/>
      <c r="D1003" s="105" t="n"/>
      <c r="E1003" s="105" t="n"/>
      <c r="F1003" s="105" t="n"/>
      <c r="G1003" s="105" t="n"/>
      <c r="H1003" s="105" t="n"/>
      <c r="I1003" s="105" t="n"/>
      <c r="J1003" s="105" t="n"/>
      <c r="K1003" s="105" t="n"/>
      <c r="L1003" s="105" t="n"/>
      <c r="M1003" s="105" t="n"/>
      <c r="N1003" s="105" t="n"/>
      <c r="O1003" s="105" t="n"/>
      <c r="P1003" s="105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5" t="n"/>
      <c r="B1004" s="105" t="n"/>
      <c r="C1004" s="105" t="n"/>
      <c r="D1004" s="105" t="n"/>
      <c r="E1004" s="105" t="n"/>
      <c r="F1004" s="105" t="n"/>
      <c r="G1004" s="105" t="n"/>
      <c r="H1004" s="105" t="n"/>
      <c r="I1004" s="105" t="n"/>
      <c r="J1004" s="105" t="n"/>
      <c r="K1004" s="105" t="n"/>
      <c r="L1004" s="105" t="n"/>
      <c r="M1004" s="105" t="n"/>
      <c r="N1004" s="105" t="n"/>
      <c r="O1004" s="105" t="n"/>
      <c r="P1004" s="105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5" t="n"/>
      <c r="B1005" s="105" t="n"/>
      <c r="C1005" s="105" t="n"/>
      <c r="D1005" s="105" t="n"/>
      <c r="E1005" s="105" t="n"/>
      <c r="F1005" s="105" t="n"/>
      <c r="G1005" s="105" t="n"/>
      <c r="H1005" s="105" t="n"/>
      <c r="I1005" s="105" t="n"/>
      <c r="J1005" s="105" t="n"/>
      <c r="K1005" s="105" t="n"/>
      <c r="L1005" s="105" t="n"/>
      <c r="M1005" s="105" t="n"/>
      <c r="N1005" s="105" t="n"/>
      <c r="O1005" s="105" t="n"/>
      <c r="P1005" s="105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5" t="n"/>
      <c r="B1006" s="105" t="n"/>
      <c r="C1006" s="105" t="n"/>
      <c r="D1006" s="105" t="n"/>
      <c r="E1006" s="105" t="n"/>
      <c r="F1006" s="105" t="n"/>
      <c r="G1006" s="105" t="n"/>
      <c r="H1006" s="105" t="n"/>
      <c r="I1006" s="105" t="n"/>
      <c r="J1006" s="105" t="n"/>
      <c r="K1006" s="105" t="n"/>
      <c r="L1006" s="105" t="n"/>
      <c r="M1006" s="105" t="n"/>
      <c r="N1006" s="105" t="n"/>
      <c r="O1006" s="105" t="n"/>
      <c r="P1006" s="105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5" t="n"/>
      <c r="B1007" s="105" t="n"/>
      <c r="C1007" s="105" t="n"/>
      <c r="D1007" s="105" t="n"/>
      <c r="E1007" s="105" t="n"/>
      <c r="F1007" s="105" t="n"/>
      <c r="G1007" s="105" t="n"/>
      <c r="H1007" s="105" t="n"/>
      <c r="I1007" s="105" t="n"/>
      <c r="J1007" s="105" t="n"/>
      <c r="K1007" s="105" t="n"/>
      <c r="L1007" s="105" t="n"/>
      <c r="M1007" s="105" t="n"/>
      <c r="N1007" s="105" t="n"/>
      <c r="O1007" s="105" t="n"/>
      <c r="P1007" s="105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5" t="n"/>
      <c r="B1008" s="105" t="n"/>
      <c r="C1008" s="105" t="n"/>
      <c r="D1008" s="105" t="n"/>
      <c r="E1008" s="105" t="n"/>
      <c r="F1008" s="105" t="n"/>
      <c r="G1008" s="105" t="n"/>
      <c r="H1008" s="105" t="n"/>
      <c r="I1008" s="105" t="n"/>
      <c r="J1008" s="105" t="n"/>
      <c r="K1008" s="105" t="n"/>
      <c r="L1008" s="105" t="n"/>
      <c r="M1008" s="105" t="n"/>
      <c r="N1008" s="105" t="n"/>
      <c r="O1008" s="105" t="n"/>
      <c r="P1008" s="105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5" t="n"/>
      <c r="B1009" s="105" t="n"/>
      <c r="C1009" s="105" t="n"/>
      <c r="D1009" s="105" t="n"/>
      <c r="E1009" s="105" t="n"/>
      <c r="F1009" s="105" t="n"/>
      <c r="G1009" s="105" t="n"/>
      <c r="H1009" s="105" t="n"/>
      <c r="I1009" s="105" t="n"/>
      <c r="J1009" s="105" t="n"/>
      <c r="K1009" s="105" t="n"/>
      <c r="L1009" s="105" t="n"/>
      <c r="M1009" s="105" t="n"/>
      <c r="N1009" s="105" t="n"/>
      <c r="O1009" s="105" t="n"/>
      <c r="P1009" s="105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5" t="n"/>
      <c r="B1010" s="105" t="n"/>
      <c r="C1010" s="105" t="n"/>
      <c r="D1010" s="105" t="n"/>
      <c r="E1010" s="105" t="n"/>
      <c r="F1010" s="105" t="n"/>
      <c r="G1010" s="105" t="n"/>
      <c r="H1010" s="105" t="n"/>
      <c r="I1010" s="105" t="n"/>
      <c r="J1010" s="105" t="n"/>
      <c r="K1010" s="105" t="n"/>
      <c r="L1010" s="105" t="n"/>
      <c r="M1010" s="105" t="n"/>
      <c r="N1010" s="105" t="n"/>
      <c r="O1010" s="105" t="n"/>
      <c r="P1010" s="105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5" t="n"/>
      <c r="B1011" s="105" t="n"/>
      <c r="C1011" s="105" t="n"/>
      <c r="D1011" s="105" t="n"/>
      <c r="E1011" s="105" t="n"/>
      <c r="F1011" s="105" t="n"/>
      <c r="G1011" s="105" t="n"/>
      <c r="H1011" s="105" t="n"/>
      <c r="I1011" s="105" t="n"/>
      <c r="J1011" s="105" t="n"/>
      <c r="K1011" s="105" t="n"/>
      <c r="L1011" s="105" t="n"/>
      <c r="M1011" s="105" t="n"/>
      <c r="N1011" s="105" t="n"/>
      <c r="O1011" s="105" t="n"/>
      <c r="P1011" s="105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5" t="n"/>
      <c r="B1012" s="105" t="n"/>
      <c r="C1012" s="105" t="n"/>
      <c r="D1012" s="105" t="n"/>
      <c r="E1012" s="105" t="n"/>
      <c r="F1012" s="105" t="n"/>
      <c r="G1012" s="105" t="n"/>
      <c r="H1012" s="105" t="n"/>
      <c r="I1012" s="105" t="n"/>
      <c r="J1012" s="105" t="n"/>
      <c r="K1012" s="105" t="n"/>
      <c r="L1012" s="105" t="n"/>
      <c r="M1012" s="105" t="n"/>
      <c r="N1012" s="105" t="n"/>
      <c r="O1012" s="105" t="n"/>
      <c r="P1012" s="105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5" t="n"/>
      <c r="B1013" s="105" t="n"/>
      <c r="C1013" s="105" t="n"/>
      <c r="D1013" s="105" t="n"/>
      <c r="E1013" s="105" t="n"/>
      <c r="F1013" s="105" t="n"/>
      <c r="G1013" s="105" t="n"/>
      <c r="H1013" s="105" t="n"/>
      <c r="I1013" s="105" t="n"/>
      <c r="J1013" s="105" t="n"/>
      <c r="K1013" s="105" t="n"/>
      <c r="L1013" s="105" t="n"/>
      <c r="M1013" s="105" t="n"/>
      <c r="N1013" s="105" t="n"/>
      <c r="O1013" s="105" t="n"/>
      <c r="P1013" s="105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5" t="n"/>
      <c r="B1014" s="105" t="n"/>
      <c r="C1014" s="105" t="n"/>
      <c r="D1014" s="105" t="n"/>
      <c r="E1014" s="105" t="n"/>
      <c r="F1014" s="105" t="n"/>
      <c r="G1014" s="105" t="n"/>
      <c r="H1014" s="105" t="n"/>
      <c r="I1014" s="105" t="n"/>
      <c r="J1014" s="105" t="n"/>
      <c r="K1014" s="105" t="n"/>
      <c r="L1014" s="105" t="n"/>
      <c r="M1014" s="105" t="n"/>
      <c r="N1014" s="105" t="n"/>
      <c r="O1014" s="105" t="n"/>
      <c r="P1014" s="105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5" t="n"/>
      <c r="B1015" s="105" t="n"/>
      <c r="C1015" s="105" t="n"/>
      <c r="D1015" s="105" t="n"/>
      <c r="E1015" s="105" t="n"/>
      <c r="F1015" s="105" t="n"/>
      <c r="G1015" s="105" t="n"/>
      <c r="H1015" s="105" t="n"/>
      <c r="I1015" s="105" t="n"/>
      <c r="J1015" s="105" t="n"/>
      <c r="K1015" s="105" t="n"/>
      <c r="L1015" s="105" t="n"/>
      <c r="M1015" s="105" t="n"/>
      <c r="N1015" s="105" t="n"/>
      <c r="O1015" s="105" t="n"/>
      <c r="P1015" s="105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5" t="n"/>
      <c r="B1016" s="105" t="n"/>
      <c r="C1016" s="105" t="n"/>
      <c r="D1016" s="105" t="n"/>
      <c r="E1016" s="105" t="n"/>
      <c r="F1016" s="105" t="n"/>
      <c r="G1016" s="105" t="n"/>
      <c r="H1016" s="105" t="n"/>
      <c r="I1016" s="105" t="n"/>
      <c r="J1016" s="105" t="n"/>
      <c r="K1016" s="105" t="n"/>
      <c r="L1016" s="105" t="n"/>
      <c r="M1016" s="105" t="n"/>
      <c r="N1016" s="105" t="n"/>
      <c r="O1016" s="105" t="n"/>
      <c r="P1016" s="105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5" t="n"/>
      <c r="B1017" s="105" t="n"/>
      <c r="C1017" s="105" t="n"/>
      <c r="D1017" s="105" t="n"/>
      <c r="E1017" s="105" t="n"/>
      <c r="F1017" s="105" t="n"/>
      <c r="G1017" s="105" t="n"/>
      <c r="H1017" s="105" t="n"/>
      <c r="I1017" s="105" t="n"/>
      <c r="J1017" s="105" t="n"/>
      <c r="K1017" s="105" t="n"/>
      <c r="L1017" s="105" t="n"/>
      <c r="M1017" s="105" t="n"/>
      <c r="N1017" s="105" t="n"/>
      <c r="O1017" s="105" t="n"/>
      <c r="P1017" s="105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5" t="n"/>
      <c r="B1018" s="105" t="n"/>
      <c r="C1018" s="105" t="n"/>
      <c r="D1018" s="105" t="n"/>
      <c r="E1018" s="105" t="n"/>
      <c r="F1018" s="105" t="n"/>
      <c r="G1018" s="105" t="n"/>
      <c r="H1018" s="105" t="n"/>
      <c r="I1018" s="105" t="n"/>
      <c r="J1018" s="105" t="n"/>
      <c r="K1018" s="105" t="n"/>
      <c r="L1018" s="105" t="n"/>
      <c r="M1018" s="105" t="n"/>
      <c r="N1018" s="105" t="n"/>
      <c r="O1018" s="105" t="n"/>
      <c r="P1018" s="105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5" t="n"/>
      <c r="B1019" s="105" t="n"/>
      <c r="C1019" s="105" t="n"/>
      <c r="D1019" s="105" t="n"/>
      <c r="E1019" s="105" t="n"/>
      <c r="F1019" s="105" t="n"/>
      <c r="G1019" s="105" t="n"/>
      <c r="H1019" s="105" t="n"/>
      <c r="I1019" s="105" t="n"/>
      <c r="J1019" s="105" t="n"/>
      <c r="K1019" s="105" t="n"/>
      <c r="L1019" s="105" t="n"/>
      <c r="M1019" s="105" t="n"/>
      <c r="N1019" s="105" t="n"/>
      <c r="O1019" s="105" t="n"/>
      <c r="P1019" s="105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5" t="n"/>
      <c r="B1020" s="105" t="n"/>
      <c r="C1020" s="105" t="n"/>
      <c r="D1020" s="105" t="n"/>
      <c r="E1020" s="105" t="n"/>
      <c r="F1020" s="105" t="n"/>
      <c r="G1020" s="105" t="n"/>
      <c r="H1020" s="105" t="n"/>
      <c r="I1020" s="105" t="n"/>
      <c r="J1020" s="105" t="n"/>
      <c r="K1020" s="105" t="n"/>
      <c r="L1020" s="105" t="n"/>
      <c r="M1020" s="105" t="n"/>
      <c r="N1020" s="105" t="n"/>
      <c r="O1020" s="105" t="n"/>
      <c r="P1020" s="105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5" t="n"/>
      <c r="B1021" s="105" t="n"/>
      <c r="C1021" s="105" t="n"/>
      <c r="D1021" s="105" t="n"/>
      <c r="E1021" s="105" t="n"/>
      <c r="F1021" s="105" t="n"/>
      <c r="G1021" s="105" t="n"/>
      <c r="H1021" s="105" t="n"/>
      <c r="I1021" s="105" t="n"/>
      <c r="J1021" s="105" t="n"/>
      <c r="K1021" s="105" t="n"/>
      <c r="L1021" s="105" t="n"/>
      <c r="M1021" s="105" t="n"/>
      <c r="N1021" s="105" t="n"/>
      <c r="O1021" s="105" t="n"/>
      <c r="P1021" s="105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5" t="n"/>
      <c r="B1022" s="105" t="n"/>
      <c r="C1022" s="105" t="n"/>
      <c r="D1022" s="105" t="n"/>
      <c r="E1022" s="105" t="n"/>
      <c r="F1022" s="105" t="n"/>
      <c r="G1022" s="105" t="n"/>
      <c r="H1022" s="105" t="n"/>
      <c r="I1022" s="105" t="n"/>
      <c r="J1022" s="105" t="n"/>
      <c r="K1022" s="105" t="n"/>
      <c r="L1022" s="105" t="n"/>
      <c r="M1022" s="105" t="n"/>
      <c r="N1022" s="105" t="n"/>
      <c r="O1022" s="105" t="n"/>
      <c r="P1022" s="105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5" t="n"/>
      <c r="B1023" s="105" t="n"/>
      <c r="C1023" s="105" t="n"/>
      <c r="D1023" s="105" t="n"/>
      <c r="E1023" s="105" t="n"/>
      <c r="F1023" s="105" t="n"/>
      <c r="G1023" s="105" t="n"/>
      <c r="H1023" s="105" t="n"/>
      <c r="I1023" s="105" t="n"/>
      <c r="J1023" s="105" t="n"/>
      <c r="K1023" s="105" t="n"/>
      <c r="L1023" s="105" t="n"/>
      <c r="M1023" s="105" t="n"/>
      <c r="N1023" s="105" t="n"/>
      <c r="O1023" s="105" t="n"/>
      <c r="P1023" s="105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5" t="n"/>
      <c r="B1024" s="105" t="n"/>
      <c r="C1024" s="105" t="n"/>
      <c r="D1024" s="105" t="n"/>
      <c r="E1024" s="105" t="n"/>
      <c r="F1024" s="105" t="n"/>
      <c r="G1024" s="105" t="n"/>
      <c r="H1024" s="105" t="n"/>
      <c r="I1024" s="105" t="n"/>
      <c r="J1024" s="105" t="n"/>
      <c r="K1024" s="105" t="n"/>
      <c r="L1024" s="105" t="n"/>
      <c r="M1024" s="105" t="n"/>
      <c r="N1024" s="105" t="n"/>
      <c r="O1024" s="105" t="n"/>
      <c r="P1024" s="105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5" t="n"/>
      <c r="B1025" s="105" t="n"/>
      <c r="C1025" s="105" t="n"/>
      <c r="D1025" s="105" t="n"/>
      <c r="E1025" s="105" t="n"/>
      <c r="F1025" s="105" t="n"/>
      <c r="G1025" s="105" t="n"/>
      <c r="H1025" s="105" t="n"/>
      <c r="I1025" s="105" t="n"/>
      <c r="J1025" s="105" t="n"/>
      <c r="K1025" s="105" t="n"/>
      <c r="L1025" s="105" t="n"/>
      <c r="M1025" s="105" t="n"/>
      <c r="N1025" s="105" t="n"/>
      <c r="O1025" s="105" t="n"/>
      <c r="P1025" s="105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5" t="n"/>
      <c r="B1026" s="105" t="n"/>
      <c r="C1026" s="105" t="n"/>
      <c r="D1026" s="105" t="n"/>
      <c r="E1026" s="105" t="n"/>
      <c r="F1026" s="105" t="n"/>
      <c r="G1026" s="105" t="n"/>
      <c r="H1026" s="105" t="n"/>
      <c r="I1026" s="105" t="n"/>
      <c r="J1026" s="105" t="n"/>
      <c r="K1026" s="105" t="n"/>
      <c r="L1026" s="105" t="n"/>
      <c r="M1026" s="105" t="n"/>
      <c r="N1026" s="105" t="n"/>
      <c r="O1026" s="105" t="n"/>
      <c r="P1026" s="105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5" t="n"/>
      <c r="B1027" s="105" t="n"/>
      <c r="C1027" s="105" t="n"/>
      <c r="D1027" s="105" t="n"/>
      <c r="E1027" s="105" t="n"/>
      <c r="F1027" s="105" t="n"/>
      <c r="G1027" s="105" t="n"/>
      <c r="H1027" s="105" t="n"/>
      <c r="I1027" s="105" t="n"/>
      <c r="J1027" s="105" t="n"/>
      <c r="K1027" s="105" t="n"/>
      <c r="L1027" s="105" t="n"/>
      <c r="M1027" s="105" t="n"/>
      <c r="N1027" s="105" t="n"/>
      <c r="O1027" s="105" t="n"/>
      <c r="P1027" s="105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5" t="n"/>
      <c r="B1028" s="105" t="n"/>
      <c r="C1028" s="105" t="n"/>
      <c r="D1028" s="105" t="n"/>
      <c r="E1028" s="105" t="n"/>
      <c r="F1028" s="105" t="n"/>
      <c r="G1028" s="105" t="n"/>
      <c r="H1028" s="105" t="n"/>
      <c r="I1028" s="105" t="n"/>
      <c r="J1028" s="105" t="n"/>
      <c r="K1028" s="105" t="n"/>
      <c r="L1028" s="105" t="n"/>
      <c r="M1028" s="105" t="n"/>
      <c r="N1028" s="105" t="n"/>
      <c r="O1028" s="105" t="n"/>
      <c r="P1028" s="105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5" t="n"/>
      <c r="B1029" s="105" t="n"/>
      <c r="C1029" s="105" t="n"/>
      <c r="D1029" s="105" t="n"/>
      <c r="E1029" s="105" t="n"/>
      <c r="F1029" s="105" t="n"/>
      <c r="G1029" s="105" t="n"/>
      <c r="H1029" s="105" t="n"/>
      <c r="I1029" s="105" t="n"/>
      <c r="J1029" s="105" t="n"/>
      <c r="K1029" s="105" t="n"/>
      <c r="L1029" s="105" t="n"/>
      <c r="M1029" s="105" t="n"/>
      <c r="N1029" s="105" t="n"/>
      <c r="O1029" s="105" t="n"/>
      <c r="P1029" s="105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5" t="n"/>
      <c r="B1030" s="105" t="n"/>
      <c r="C1030" s="105" t="n"/>
      <c r="D1030" s="105" t="n"/>
      <c r="E1030" s="105" t="n"/>
      <c r="F1030" s="105" t="n"/>
      <c r="G1030" s="105" t="n"/>
      <c r="H1030" s="105" t="n"/>
      <c r="I1030" s="105" t="n"/>
      <c r="J1030" s="105" t="n"/>
      <c r="K1030" s="105" t="n"/>
      <c r="L1030" s="105" t="n"/>
      <c r="M1030" s="105" t="n"/>
      <c r="N1030" s="105" t="n"/>
      <c r="O1030" s="105" t="n"/>
      <c r="P1030" s="105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5" t="n"/>
      <c r="B1031" s="105" t="n"/>
      <c r="C1031" s="105" t="n"/>
      <c r="D1031" s="105" t="n"/>
      <c r="E1031" s="105" t="n"/>
      <c r="F1031" s="105" t="n"/>
      <c r="G1031" s="105" t="n"/>
      <c r="H1031" s="105" t="n"/>
      <c r="I1031" s="105" t="n"/>
      <c r="J1031" s="105" t="n"/>
      <c r="K1031" s="105" t="n"/>
      <c r="L1031" s="105" t="n"/>
      <c r="M1031" s="105" t="n"/>
      <c r="N1031" s="105" t="n"/>
      <c r="O1031" s="105" t="n"/>
      <c r="P1031" s="105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5" t="n"/>
      <c r="B1032" s="105" t="n"/>
      <c r="C1032" s="105" t="n"/>
      <c r="D1032" s="105" t="n"/>
      <c r="E1032" s="105" t="n"/>
      <c r="F1032" s="105" t="n"/>
      <c r="G1032" s="105" t="n"/>
      <c r="H1032" s="105" t="n"/>
      <c r="I1032" s="105" t="n"/>
      <c r="J1032" s="105" t="n"/>
      <c r="K1032" s="105" t="n"/>
      <c r="L1032" s="105" t="n"/>
      <c r="M1032" s="105" t="n"/>
      <c r="N1032" s="105" t="n"/>
      <c r="O1032" s="105" t="n"/>
      <c r="P1032" s="105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5" t="n"/>
      <c r="B1033" s="105" t="n"/>
      <c r="C1033" s="105" t="n"/>
      <c r="D1033" s="105" t="n"/>
      <c r="E1033" s="105" t="n"/>
      <c r="F1033" s="105" t="n"/>
      <c r="G1033" s="105" t="n"/>
      <c r="H1033" s="105" t="n"/>
      <c r="I1033" s="105" t="n"/>
      <c r="J1033" s="105" t="n"/>
      <c r="K1033" s="105" t="n"/>
      <c r="L1033" s="105" t="n"/>
      <c r="M1033" s="105" t="n"/>
      <c r="N1033" s="105" t="n"/>
      <c r="O1033" s="105" t="n"/>
      <c r="P1033" s="105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5" t="n"/>
      <c r="B1034" s="105" t="n"/>
      <c r="C1034" s="105" t="n"/>
      <c r="D1034" s="105" t="n"/>
      <c r="E1034" s="105" t="n"/>
      <c r="F1034" s="105" t="n"/>
      <c r="G1034" s="105" t="n"/>
      <c r="H1034" s="105" t="n"/>
      <c r="I1034" s="105" t="n"/>
      <c r="J1034" s="105" t="n"/>
      <c r="K1034" s="105" t="n"/>
      <c r="L1034" s="105" t="n"/>
      <c r="M1034" s="105" t="n"/>
      <c r="N1034" s="105" t="n"/>
      <c r="O1034" s="105" t="n"/>
      <c r="P1034" s="105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5" t="n"/>
      <c r="B1035" s="105" t="n"/>
      <c r="C1035" s="105" t="n"/>
      <c r="D1035" s="105" t="n"/>
      <c r="E1035" s="105" t="n"/>
      <c r="F1035" s="105" t="n"/>
      <c r="G1035" s="105" t="n"/>
      <c r="H1035" s="105" t="n"/>
      <c r="I1035" s="105" t="n"/>
      <c r="J1035" s="105" t="n"/>
      <c r="K1035" s="105" t="n"/>
      <c r="L1035" s="105" t="n"/>
      <c r="M1035" s="105" t="n"/>
      <c r="N1035" s="105" t="n"/>
      <c r="O1035" s="105" t="n"/>
      <c r="P1035" s="105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5" t="n"/>
      <c r="B1036" s="105" t="n"/>
      <c r="C1036" s="105" t="n"/>
      <c r="D1036" s="105" t="n"/>
      <c r="E1036" s="105" t="n"/>
      <c r="F1036" s="105" t="n"/>
      <c r="G1036" s="105" t="n"/>
      <c r="H1036" s="105" t="n"/>
      <c r="I1036" s="105" t="n"/>
      <c r="J1036" s="105" t="n"/>
      <c r="K1036" s="105" t="n"/>
      <c r="L1036" s="105" t="n"/>
      <c r="M1036" s="105" t="n"/>
      <c r="N1036" s="105" t="n"/>
      <c r="O1036" s="105" t="n"/>
      <c r="P1036" s="105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5" t="n"/>
      <c r="B1037" s="105" t="n"/>
      <c r="C1037" s="105" t="n"/>
      <c r="D1037" s="105" t="n"/>
      <c r="E1037" s="105" t="n"/>
      <c r="F1037" s="105" t="n"/>
      <c r="G1037" s="105" t="n"/>
      <c r="H1037" s="105" t="n"/>
      <c r="I1037" s="105" t="n"/>
      <c r="J1037" s="105" t="n"/>
      <c r="K1037" s="105" t="n"/>
      <c r="L1037" s="105" t="n"/>
      <c r="M1037" s="105" t="n"/>
      <c r="N1037" s="105" t="n"/>
      <c r="O1037" s="105" t="n"/>
      <c r="P1037" s="105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5" t="n"/>
      <c r="B1038" s="105" t="n"/>
      <c r="C1038" s="105" t="n"/>
      <c r="D1038" s="105" t="n"/>
      <c r="E1038" s="105" t="n"/>
      <c r="F1038" s="105" t="n"/>
      <c r="G1038" s="105" t="n"/>
      <c r="H1038" s="105" t="n"/>
      <c r="I1038" s="105" t="n"/>
      <c r="J1038" s="105" t="n"/>
      <c r="K1038" s="105" t="n"/>
      <c r="L1038" s="105" t="n"/>
      <c r="M1038" s="105" t="n"/>
      <c r="N1038" s="105" t="n"/>
      <c r="O1038" s="105" t="n"/>
      <c r="P1038" s="105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5" t="n"/>
      <c r="B1039" s="105" t="n"/>
      <c r="C1039" s="105" t="n"/>
      <c r="D1039" s="105" t="n"/>
      <c r="E1039" s="105" t="n"/>
      <c r="F1039" s="105" t="n"/>
      <c r="G1039" s="105" t="n"/>
      <c r="H1039" s="105" t="n"/>
      <c r="I1039" s="105" t="n"/>
      <c r="J1039" s="105" t="n"/>
      <c r="K1039" s="105" t="n"/>
      <c r="L1039" s="105" t="n"/>
      <c r="M1039" s="105" t="n"/>
      <c r="N1039" s="105" t="n"/>
      <c r="O1039" s="105" t="n"/>
      <c r="P1039" s="105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5" t="n"/>
      <c r="B1040" s="105" t="n"/>
      <c r="C1040" s="105" t="n"/>
      <c r="D1040" s="105" t="n"/>
      <c r="E1040" s="105" t="n"/>
      <c r="F1040" s="105" t="n"/>
      <c r="G1040" s="105" t="n"/>
      <c r="H1040" s="105" t="n"/>
      <c r="I1040" s="105" t="n"/>
      <c r="J1040" s="105" t="n"/>
      <c r="K1040" s="105" t="n"/>
      <c r="L1040" s="105" t="n"/>
      <c r="M1040" s="105" t="n"/>
      <c r="N1040" s="105" t="n"/>
      <c r="O1040" s="105" t="n"/>
      <c r="P1040" s="105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5" t="n"/>
      <c r="B1041" s="105" t="n"/>
      <c r="C1041" s="105" t="n"/>
      <c r="D1041" s="105" t="n"/>
      <c r="E1041" s="105" t="n"/>
      <c r="F1041" s="105" t="n"/>
      <c r="G1041" s="105" t="n"/>
      <c r="H1041" s="105" t="n"/>
      <c r="I1041" s="105" t="n"/>
      <c r="J1041" s="105" t="n"/>
      <c r="K1041" s="105" t="n"/>
      <c r="L1041" s="105" t="n"/>
      <c r="M1041" s="105" t="n"/>
      <c r="N1041" s="105" t="n"/>
      <c r="O1041" s="105" t="n"/>
      <c r="P1041" s="105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5" t="n"/>
      <c r="B1042" s="105" t="n"/>
      <c r="C1042" s="105" t="n"/>
      <c r="D1042" s="105" t="n"/>
      <c r="E1042" s="105" t="n"/>
      <c r="F1042" s="105" t="n"/>
      <c r="G1042" s="105" t="n"/>
      <c r="H1042" s="105" t="n"/>
      <c r="I1042" s="105" t="n"/>
      <c r="J1042" s="105" t="n"/>
      <c r="K1042" s="105" t="n"/>
      <c r="L1042" s="105" t="n"/>
      <c r="M1042" s="105" t="n"/>
      <c r="N1042" s="105" t="n"/>
      <c r="O1042" s="105" t="n"/>
      <c r="P1042" s="105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5" t="n"/>
      <c r="B1043" s="105" t="n"/>
      <c r="C1043" s="105" t="n"/>
      <c r="D1043" s="105" t="n"/>
      <c r="E1043" s="105" t="n"/>
      <c r="F1043" s="105" t="n"/>
      <c r="G1043" s="105" t="n"/>
      <c r="H1043" s="105" t="n"/>
      <c r="I1043" s="105" t="n"/>
      <c r="J1043" s="105" t="n"/>
      <c r="K1043" s="105" t="n"/>
      <c r="L1043" s="105" t="n"/>
      <c r="M1043" s="105" t="n"/>
      <c r="N1043" s="105" t="n"/>
      <c r="O1043" s="105" t="n"/>
      <c r="P1043" s="105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5" t="n"/>
      <c r="B1044" s="105" t="n"/>
      <c r="C1044" s="105" t="n"/>
      <c r="D1044" s="105" t="n"/>
      <c r="E1044" s="105" t="n"/>
      <c r="F1044" s="105" t="n"/>
      <c r="G1044" s="105" t="n"/>
      <c r="H1044" s="105" t="n"/>
      <c r="I1044" s="105" t="n"/>
      <c r="J1044" s="105" t="n"/>
      <c r="K1044" s="105" t="n"/>
      <c r="L1044" s="105" t="n"/>
      <c r="M1044" s="105" t="n"/>
      <c r="N1044" s="105" t="n"/>
      <c r="O1044" s="105" t="n"/>
      <c r="P1044" s="105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5" t="n"/>
      <c r="B1045" s="105" t="n"/>
      <c r="C1045" s="105" t="n"/>
      <c r="D1045" s="105" t="n"/>
      <c r="E1045" s="105" t="n"/>
      <c r="F1045" s="105" t="n"/>
      <c r="G1045" s="105" t="n"/>
      <c r="H1045" s="105" t="n"/>
      <c r="I1045" s="105" t="n"/>
      <c r="J1045" s="105" t="n"/>
      <c r="K1045" s="105" t="n"/>
      <c r="L1045" s="105" t="n"/>
      <c r="M1045" s="105" t="n"/>
      <c r="N1045" s="105" t="n"/>
      <c r="O1045" s="105" t="n"/>
      <c r="P1045" s="105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5" t="n"/>
      <c r="B1046" s="105" t="n"/>
      <c r="C1046" s="105" t="n"/>
      <c r="D1046" s="105" t="n"/>
      <c r="E1046" s="105" t="n"/>
      <c r="F1046" s="105" t="n"/>
      <c r="G1046" s="105" t="n"/>
      <c r="H1046" s="105" t="n"/>
      <c r="I1046" s="105" t="n"/>
      <c r="J1046" s="105" t="n"/>
      <c r="K1046" s="105" t="n"/>
      <c r="L1046" s="105" t="n"/>
      <c r="M1046" s="105" t="n"/>
      <c r="N1046" s="105" t="n"/>
      <c r="O1046" s="105" t="n"/>
      <c r="P1046" s="105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5" t="n"/>
      <c r="B1047" s="105" t="n"/>
      <c r="C1047" s="105" t="n"/>
      <c r="D1047" s="105" t="n"/>
      <c r="E1047" s="105" t="n"/>
      <c r="F1047" s="105" t="n"/>
      <c r="G1047" s="105" t="n"/>
      <c r="H1047" s="105" t="n"/>
      <c r="I1047" s="105" t="n"/>
      <c r="J1047" s="105" t="n"/>
      <c r="K1047" s="105" t="n"/>
      <c r="L1047" s="105" t="n"/>
      <c r="M1047" s="105" t="n"/>
      <c r="N1047" s="105" t="n"/>
      <c r="O1047" s="105" t="n"/>
      <c r="P1047" s="105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5" t="n"/>
      <c r="B1048" s="105" t="n"/>
      <c r="C1048" s="105" t="n"/>
      <c r="D1048" s="105" t="n"/>
      <c r="E1048" s="105" t="n"/>
      <c r="F1048" s="105" t="n"/>
      <c r="G1048" s="105" t="n"/>
      <c r="H1048" s="105" t="n"/>
      <c r="I1048" s="105" t="n"/>
      <c r="J1048" s="105" t="n"/>
      <c r="K1048" s="105" t="n"/>
      <c r="L1048" s="105" t="n"/>
      <c r="M1048" s="105" t="n"/>
      <c r="N1048" s="105" t="n"/>
      <c r="O1048" s="105" t="n"/>
      <c r="P1048" s="105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5" t="n"/>
      <c r="B1049" s="105" t="n"/>
      <c r="C1049" s="105" t="n"/>
      <c r="D1049" s="105" t="n"/>
      <c r="E1049" s="105" t="n"/>
      <c r="F1049" s="105" t="n"/>
      <c r="G1049" s="105" t="n"/>
      <c r="H1049" s="105" t="n"/>
      <c r="I1049" s="105" t="n"/>
      <c r="J1049" s="105" t="n"/>
      <c r="K1049" s="105" t="n"/>
      <c r="L1049" s="105" t="n"/>
      <c r="M1049" s="105" t="n"/>
      <c r="N1049" s="105" t="n"/>
      <c r="O1049" s="105" t="n"/>
      <c r="P1049" s="105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5" t="n"/>
      <c r="B1050" s="105" t="n"/>
      <c r="C1050" s="105" t="n"/>
      <c r="D1050" s="105" t="n"/>
      <c r="E1050" s="105" t="n"/>
      <c r="F1050" s="105" t="n"/>
      <c r="G1050" s="105" t="n"/>
      <c r="H1050" s="105" t="n"/>
      <c r="I1050" s="105" t="n"/>
      <c r="J1050" s="105" t="n"/>
      <c r="K1050" s="105" t="n"/>
      <c r="L1050" s="105" t="n"/>
      <c r="M1050" s="105" t="n"/>
      <c r="N1050" s="105" t="n"/>
      <c r="O1050" s="105" t="n"/>
      <c r="P1050" s="105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5" t="n"/>
      <c r="B1051" s="105" t="n"/>
      <c r="C1051" s="105" t="n"/>
      <c r="D1051" s="105" t="n"/>
      <c r="E1051" s="105" t="n"/>
      <c r="F1051" s="105" t="n"/>
      <c r="G1051" s="105" t="n"/>
      <c r="H1051" s="105" t="n"/>
      <c r="I1051" s="105" t="n"/>
      <c r="J1051" s="105" t="n"/>
      <c r="K1051" s="105" t="n"/>
      <c r="L1051" s="105" t="n"/>
      <c r="M1051" s="105" t="n"/>
      <c r="N1051" s="105" t="n"/>
      <c r="O1051" s="105" t="n"/>
      <c r="P1051" s="105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5" t="n"/>
      <c r="B1052" s="105" t="n"/>
      <c r="C1052" s="105" t="n"/>
      <c r="D1052" s="105" t="n"/>
      <c r="E1052" s="105" t="n"/>
      <c r="F1052" s="105" t="n"/>
      <c r="G1052" s="105" t="n"/>
      <c r="H1052" s="105" t="n"/>
      <c r="I1052" s="105" t="n"/>
      <c r="J1052" s="105" t="n"/>
      <c r="K1052" s="105" t="n"/>
      <c r="L1052" s="105" t="n"/>
      <c r="M1052" s="105" t="n"/>
      <c r="N1052" s="105" t="n"/>
      <c r="O1052" s="105" t="n"/>
      <c r="P1052" s="105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5" t="n"/>
      <c r="B1053" s="105" t="n"/>
      <c r="C1053" s="105" t="n"/>
      <c r="D1053" s="105" t="n"/>
      <c r="E1053" s="105" t="n"/>
      <c r="F1053" s="105" t="n"/>
      <c r="G1053" s="105" t="n"/>
      <c r="H1053" s="105" t="n"/>
      <c r="I1053" s="105" t="n"/>
      <c r="J1053" s="105" t="n"/>
      <c r="K1053" s="105" t="n"/>
      <c r="L1053" s="105" t="n"/>
      <c r="M1053" s="105" t="n"/>
      <c r="N1053" s="105" t="n"/>
      <c r="O1053" s="105" t="n"/>
      <c r="P1053" s="105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5" t="n"/>
      <c r="B1054" s="105" t="n"/>
      <c r="C1054" s="105" t="n"/>
      <c r="D1054" s="105" t="n"/>
      <c r="E1054" s="105" t="n"/>
      <c r="F1054" s="105" t="n"/>
      <c r="G1054" s="105" t="n"/>
      <c r="H1054" s="105" t="n"/>
      <c r="I1054" s="105" t="n"/>
      <c r="J1054" s="105" t="n"/>
      <c r="K1054" s="105" t="n"/>
      <c r="L1054" s="105" t="n"/>
      <c r="M1054" s="105" t="n"/>
      <c r="N1054" s="105" t="n"/>
      <c r="O1054" s="105" t="n"/>
      <c r="P1054" s="105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5" t="n"/>
      <c r="B1055" s="105" t="n"/>
      <c r="C1055" s="105" t="n"/>
      <c r="D1055" s="105" t="n"/>
      <c r="E1055" s="105" t="n"/>
      <c r="F1055" s="105" t="n"/>
      <c r="G1055" s="105" t="n"/>
      <c r="H1055" s="105" t="n"/>
      <c r="I1055" s="105" t="n"/>
      <c r="J1055" s="105" t="n"/>
      <c r="K1055" s="105" t="n"/>
      <c r="L1055" s="105" t="n"/>
      <c r="M1055" s="105" t="n"/>
      <c r="N1055" s="105" t="n"/>
      <c r="O1055" s="105" t="n"/>
      <c r="P1055" s="105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5" t="n"/>
      <c r="B1056" s="105" t="n"/>
      <c r="C1056" s="105" t="n"/>
      <c r="D1056" s="105" t="n"/>
      <c r="E1056" s="105" t="n"/>
      <c r="F1056" s="105" t="n"/>
      <c r="G1056" s="105" t="n"/>
      <c r="H1056" s="105" t="n"/>
      <c r="I1056" s="105" t="n"/>
      <c r="J1056" s="105" t="n"/>
      <c r="K1056" s="105" t="n"/>
      <c r="L1056" s="105" t="n"/>
      <c r="M1056" s="105" t="n"/>
      <c r="N1056" s="105" t="n"/>
      <c r="O1056" s="105" t="n"/>
      <c r="P1056" s="105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5" t="n"/>
      <c r="B1057" s="105" t="n"/>
      <c r="C1057" s="105" t="n"/>
      <c r="D1057" s="105" t="n"/>
      <c r="E1057" s="105" t="n"/>
      <c r="F1057" s="105" t="n"/>
      <c r="G1057" s="105" t="n"/>
      <c r="H1057" s="105" t="n"/>
      <c r="I1057" s="105" t="n"/>
      <c r="J1057" s="105" t="n"/>
      <c r="K1057" s="105" t="n"/>
      <c r="L1057" s="105" t="n"/>
      <c r="M1057" s="105" t="n"/>
      <c r="N1057" s="105" t="n"/>
      <c r="O1057" s="105" t="n"/>
      <c r="P1057" s="105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5" t="n"/>
      <c r="B1058" s="105" t="n"/>
      <c r="C1058" s="105" t="n"/>
      <c r="D1058" s="105" t="n"/>
      <c r="E1058" s="105" t="n"/>
      <c r="F1058" s="105" t="n"/>
      <c r="G1058" s="105" t="n"/>
      <c r="H1058" s="105" t="n"/>
      <c r="I1058" s="105" t="n"/>
      <c r="J1058" s="105" t="n"/>
      <c r="K1058" s="105" t="n"/>
      <c r="L1058" s="105" t="n"/>
      <c r="M1058" s="105" t="n"/>
      <c r="N1058" s="105" t="n"/>
      <c r="O1058" s="105" t="n"/>
      <c r="P1058" s="105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5" t="n"/>
      <c r="B1059" s="105" t="n"/>
      <c r="C1059" s="105" t="n"/>
      <c r="D1059" s="105" t="n"/>
      <c r="E1059" s="105" t="n"/>
      <c r="F1059" s="105" t="n"/>
      <c r="G1059" s="105" t="n"/>
      <c r="H1059" s="105" t="n"/>
      <c r="I1059" s="105" t="n"/>
      <c r="J1059" s="105" t="n"/>
      <c r="K1059" s="105" t="n"/>
      <c r="L1059" s="105" t="n"/>
      <c r="M1059" s="105" t="n"/>
      <c r="N1059" s="105" t="n"/>
      <c r="O1059" s="105" t="n"/>
      <c r="P1059" s="105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5" t="n"/>
      <c r="B1060" s="105" t="n"/>
      <c r="C1060" s="105" t="n"/>
      <c r="D1060" s="105" t="n"/>
      <c r="E1060" s="105" t="n"/>
      <c r="F1060" s="105" t="n"/>
      <c r="G1060" s="105" t="n"/>
      <c r="H1060" s="105" t="n"/>
      <c r="I1060" s="105" t="n"/>
      <c r="J1060" s="105" t="n"/>
      <c r="K1060" s="105" t="n"/>
      <c r="L1060" s="105" t="n"/>
      <c r="M1060" s="105" t="n"/>
      <c r="N1060" s="105" t="n"/>
      <c r="O1060" s="105" t="n"/>
      <c r="P1060" s="105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5" t="n"/>
      <c r="B1061" s="105" t="n"/>
      <c r="C1061" s="105" t="n"/>
      <c r="D1061" s="105" t="n"/>
      <c r="E1061" s="105" t="n"/>
      <c r="F1061" s="105" t="n"/>
      <c r="G1061" s="105" t="n"/>
      <c r="H1061" s="105" t="n"/>
      <c r="I1061" s="105" t="n"/>
      <c r="J1061" s="105" t="n"/>
      <c r="K1061" s="105" t="n"/>
      <c r="L1061" s="105" t="n"/>
      <c r="M1061" s="105" t="n"/>
      <c r="N1061" s="105" t="n"/>
      <c r="O1061" s="105" t="n"/>
      <c r="P1061" s="105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5" t="n"/>
      <c r="B1062" s="105" t="n"/>
      <c r="C1062" s="105" t="n"/>
      <c r="D1062" s="105" t="n"/>
      <c r="E1062" s="105" t="n"/>
      <c r="F1062" s="105" t="n"/>
      <c r="G1062" s="105" t="n"/>
      <c r="H1062" s="105" t="n"/>
      <c r="I1062" s="105" t="n"/>
      <c r="J1062" s="105" t="n"/>
      <c r="K1062" s="105" t="n"/>
      <c r="L1062" s="105" t="n"/>
      <c r="M1062" s="105" t="n"/>
      <c r="N1062" s="105" t="n"/>
      <c r="O1062" s="105" t="n"/>
      <c r="P1062" s="105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5" t="n"/>
      <c r="B1063" s="105" t="n"/>
      <c r="C1063" s="105" t="n"/>
      <c r="D1063" s="105" t="n"/>
      <c r="E1063" s="105" t="n"/>
      <c r="F1063" s="105" t="n"/>
      <c r="G1063" s="105" t="n"/>
      <c r="H1063" s="105" t="n"/>
      <c r="I1063" s="105" t="n"/>
      <c r="J1063" s="105" t="n"/>
      <c r="K1063" s="105" t="n"/>
      <c r="L1063" s="105" t="n"/>
      <c r="M1063" s="105" t="n"/>
      <c r="N1063" s="105" t="n"/>
      <c r="O1063" s="105" t="n"/>
      <c r="P1063" s="105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5" t="n"/>
      <c r="B1064" s="105" t="n"/>
      <c r="C1064" s="105" t="n"/>
      <c r="D1064" s="105" t="n"/>
      <c r="E1064" s="105" t="n"/>
      <c r="F1064" s="105" t="n"/>
      <c r="G1064" s="105" t="n"/>
      <c r="H1064" s="105" t="n"/>
      <c r="I1064" s="105" t="n"/>
      <c r="J1064" s="105" t="n"/>
      <c r="K1064" s="105" t="n"/>
      <c r="L1064" s="105" t="n"/>
      <c r="M1064" s="105" t="n"/>
      <c r="N1064" s="105" t="n"/>
      <c r="O1064" s="105" t="n"/>
      <c r="P1064" s="105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5" t="n"/>
      <c r="B1065" s="105" t="n"/>
      <c r="C1065" s="105" t="n"/>
      <c r="D1065" s="105" t="n"/>
      <c r="E1065" s="105" t="n"/>
      <c r="F1065" s="105" t="n"/>
      <c r="G1065" s="105" t="n"/>
      <c r="H1065" s="105" t="n"/>
      <c r="I1065" s="105" t="n"/>
      <c r="J1065" s="105" t="n"/>
      <c r="K1065" s="105" t="n"/>
      <c r="L1065" s="105" t="n"/>
      <c r="M1065" s="105" t="n"/>
      <c r="N1065" s="105" t="n"/>
      <c r="O1065" s="105" t="n"/>
      <c r="P1065" s="105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5" t="n"/>
      <c r="B1066" s="105" t="n"/>
      <c r="C1066" s="105" t="n"/>
      <c r="D1066" s="105" t="n"/>
      <c r="E1066" s="105" t="n"/>
      <c r="F1066" s="105" t="n"/>
      <c r="G1066" s="105" t="n"/>
      <c r="H1066" s="105" t="n"/>
      <c r="I1066" s="105" t="n"/>
      <c r="J1066" s="105" t="n"/>
      <c r="K1066" s="105" t="n"/>
      <c r="L1066" s="105" t="n"/>
      <c r="M1066" s="105" t="n"/>
      <c r="N1066" s="105" t="n"/>
      <c r="O1066" s="105" t="n"/>
      <c r="P1066" s="105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5" t="n"/>
      <c r="B1067" s="105" t="n"/>
      <c r="C1067" s="105" t="n"/>
      <c r="D1067" s="105" t="n"/>
      <c r="E1067" s="105" t="n"/>
      <c r="F1067" s="105" t="n"/>
      <c r="G1067" s="105" t="n"/>
      <c r="H1067" s="105" t="n"/>
      <c r="I1067" s="105" t="n"/>
      <c r="J1067" s="105" t="n"/>
      <c r="K1067" s="105" t="n"/>
      <c r="L1067" s="105" t="n"/>
      <c r="M1067" s="105" t="n"/>
      <c r="N1067" s="105" t="n"/>
      <c r="O1067" s="105" t="n"/>
      <c r="P1067" s="105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5" t="n"/>
      <c r="B1068" s="105" t="n"/>
      <c r="C1068" s="105" t="n"/>
      <c r="D1068" s="105" t="n"/>
      <c r="E1068" s="105" t="n"/>
      <c r="F1068" s="105" t="n"/>
      <c r="G1068" s="105" t="n"/>
      <c r="H1068" s="105" t="n"/>
      <c r="I1068" s="105" t="n"/>
      <c r="J1068" s="105" t="n"/>
      <c r="K1068" s="105" t="n"/>
      <c r="L1068" s="105" t="n"/>
      <c r="M1068" s="105" t="n"/>
      <c r="N1068" s="105" t="n"/>
      <c r="O1068" s="105" t="n"/>
      <c r="P1068" s="105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5" t="n"/>
      <c r="B1069" s="105" t="n"/>
      <c r="C1069" s="105" t="n"/>
      <c r="D1069" s="105" t="n"/>
      <c r="E1069" s="105" t="n"/>
      <c r="F1069" s="105" t="n"/>
      <c r="G1069" s="105" t="n"/>
      <c r="H1069" s="105" t="n"/>
      <c r="I1069" s="105" t="n"/>
      <c r="J1069" s="105" t="n"/>
      <c r="K1069" s="105" t="n"/>
      <c r="L1069" s="105" t="n"/>
      <c r="M1069" s="105" t="n"/>
      <c r="N1069" s="105" t="n"/>
      <c r="O1069" s="105" t="n"/>
      <c r="P1069" s="105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5" t="n"/>
      <c r="B1070" s="105" t="n"/>
      <c r="C1070" s="105" t="n"/>
      <c r="D1070" s="105" t="n"/>
      <c r="E1070" s="105" t="n"/>
      <c r="F1070" s="105" t="n"/>
      <c r="G1070" s="105" t="n"/>
      <c r="H1070" s="105" t="n"/>
      <c r="I1070" s="105" t="n"/>
      <c r="J1070" s="105" t="n"/>
      <c r="K1070" s="105" t="n"/>
      <c r="L1070" s="105" t="n"/>
      <c r="M1070" s="105" t="n"/>
      <c r="N1070" s="105" t="n"/>
      <c r="O1070" s="105" t="n"/>
      <c r="P1070" s="105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5" t="n"/>
      <c r="B1071" s="105" t="n"/>
      <c r="C1071" s="105" t="n"/>
      <c r="D1071" s="105" t="n"/>
      <c r="E1071" s="105" t="n"/>
      <c r="F1071" s="105" t="n"/>
      <c r="G1071" s="105" t="n"/>
      <c r="H1071" s="105" t="n"/>
      <c r="I1071" s="105" t="n"/>
      <c r="J1071" s="105" t="n"/>
      <c r="K1071" s="105" t="n"/>
      <c r="L1071" s="105" t="n"/>
      <c r="M1071" s="105" t="n"/>
      <c r="N1071" s="105" t="n"/>
      <c r="O1071" s="105" t="n"/>
      <c r="P1071" s="105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20.25" customWidth="1" style="239" min="1" max="1"/>
    <col collapsed="1" width="22.13" customWidth="1" style="239" min="2" max="2"/>
    <col hidden="1" outlineLevel="1" width="13.63" customWidth="1" style="239" min="3" max="6"/>
    <col width="13.63" customWidth="1" style="239" min="7" max="11"/>
    <col collapsed="1" width="13.63" customWidth="1" style="239" min="12" max="12"/>
    <col hidden="1" outlineLevel="1" width="13.63" customWidth="1" style="239" min="13" max="14"/>
    <col width="13.63" customWidth="1" style="239" min="15" max="15"/>
    <col width="3" customWidth="1" style="239" min="16" max="16"/>
    <col collapsed="1" width="11.25" customWidth="1" style="239" min="17" max="17"/>
    <col hidden="1" outlineLevel="1" width="14.63" customWidth="1" style="239" min="18" max="18"/>
    <col hidden="1" outlineLevel="1" width="11.88" customWidth="1" style="239" min="19" max="21"/>
    <col width="11.88" customWidth="1" style="239" min="22" max="26"/>
    <col collapsed="1" width="11.88" customWidth="1" style="239" min="27" max="27"/>
    <col hidden="1" outlineLevel="1" width="11.88" customWidth="1" style="239" min="28" max="29"/>
    <col width="12.63" customWidth="1" style="239" min="30" max="36"/>
  </cols>
  <sheetData>
    <row r="1" ht="15.75" customHeight="1" s="239">
      <c r="A1" s="123">
        <f>"Update to: " &amp; DAY(NOW())</f>
        <v/>
      </c>
      <c r="C1" s="125" t="inlineStr">
        <is>
          <t>MTD</t>
        </is>
      </c>
      <c r="K1" s="125" t="n"/>
      <c r="L1" s="125" t="n"/>
      <c r="M1" s="125" t="n"/>
      <c r="N1" s="125" t="n"/>
      <c r="O1" s="95" t="inlineStr">
        <is>
          <t>VS. SPLM</t>
        </is>
      </c>
      <c r="P1" s="31" t="n"/>
      <c r="Q1" s="128" t="n"/>
      <c r="R1" s="125" t="inlineStr">
        <is>
          <t>Full Month</t>
        </is>
      </c>
      <c r="Z1" s="125" t="n"/>
      <c r="AA1" s="125" t="n"/>
      <c r="AB1" s="125" t="n"/>
      <c r="AC1" s="125" t="n"/>
      <c r="AD1" s="95" t="inlineStr">
        <is>
          <t>Vs. LM</t>
        </is>
      </c>
      <c r="AE1" s="31" t="n"/>
      <c r="AF1" s="31" t="n"/>
      <c r="AG1" s="31" t="n"/>
      <c r="AH1" s="31" t="n"/>
      <c r="AI1" s="31" t="n"/>
      <c r="AJ1" s="31" t="n"/>
    </row>
    <row r="2" ht="15.75" customHeight="1" s="239">
      <c r="A2" s="137" t="inlineStr">
        <is>
          <t>Project Group</t>
        </is>
      </c>
      <c r="B2" s="133" t="n"/>
      <c r="C2" s="135" t="n">
        <v>46023</v>
      </c>
      <c r="D2" s="135" t="n">
        <v>46054</v>
      </c>
      <c r="E2" s="135" t="n">
        <v>46082</v>
      </c>
      <c r="F2" s="135" t="n">
        <v>46113</v>
      </c>
      <c r="G2" s="135" t="n">
        <v>46143</v>
      </c>
      <c r="H2" s="135" t="n">
        <v>46174</v>
      </c>
      <c r="I2" s="135" t="n">
        <v>46204</v>
      </c>
      <c r="J2" s="135" t="n">
        <v>46235</v>
      </c>
      <c r="K2" s="136" t="n">
        <v>46266</v>
      </c>
      <c r="L2" s="136" t="n">
        <v>46296</v>
      </c>
      <c r="M2" s="136" t="n">
        <v>46327</v>
      </c>
      <c r="N2" s="136" t="n">
        <v>46357</v>
      </c>
      <c r="P2" s="31" t="n"/>
      <c r="Q2" s="137" t="inlineStr">
        <is>
          <t>Full Month</t>
        </is>
      </c>
      <c r="R2" s="135" t="n">
        <v>46048</v>
      </c>
      <c r="S2" s="135" t="n">
        <v>46054</v>
      </c>
      <c r="T2" s="135" t="n">
        <v>46082</v>
      </c>
      <c r="U2" s="135" t="n">
        <v>46113</v>
      </c>
      <c r="V2" s="135" t="n">
        <v>46143</v>
      </c>
      <c r="W2" s="135" t="n">
        <v>46174</v>
      </c>
      <c r="X2" s="135" t="n">
        <v>46204</v>
      </c>
      <c r="Y2" s="135" t="n">
        <v>46235</v>
      </c>
      <c r="Z2" s="136" t="n">
        <v>46266</v>
      </c>
      <c r="AA2" s="136" t="n">
        <v>46296</v>
      </c>
      <c r="AB2" s="136" t="n">
        <v>46327</v>
      </c>
      <c r="AC2" s="136" t="n">
        <v>46357</v>
      </c>
      <c r="AE2" s="138" t="n"/>
      <c r="AF2" s="138" t="n"/>
      <c r="AG2" s="138" t="n"/>
      <c r="AH2" s="138" t="n"/>
      <c r="AI2" s="138" t="n"/>
      <c r="AJ2" s="138" t="n"/>
    </row>
    <row r="3" ht="15.75" customHeight="1" s="239">
      <c r="A3" s="139" t="inlineStr">
        <is>
          <t>Traffic (Page Views)</t>
        </is>
      </c>
      <c r="C3" s="142" t="n">
        <v>2601280</v>
      </c>
      <c r="D3" s="142" t="n">
        <v>3470470</v>
      </c>
      <c r="E3" s="142" t="n">
        <v>3221705</v>
      </c>
      <c r="F3" s="142" t="n">
        <v>2699883</v>
      </c>
      <c r="G3" s="142">
        <f>SUM(G7,G48,G89,G130,G172)</f>
        <v/>
      </c>
      <c r="H3" s="142">
        <f>SUM(H7,H48,H89,H130,H172)</f>
        <v/>
      </c>
      <c r="I3" s="142">
        <f>SUM(I7,I48,I89,I130,I172)</f>
        <v/>
      </c>
      <c r="J3" s="142">
        <f>SUM(J7,J48,J89,J130,J172)</f>
        <v/>
      </c>
      <c r="K3" s="142">
        <f>SUM(K7,K48,K89,K130,K172)</f>
        <v/>
      </c>
      <c r="L3" s="142">
        <f>SUM(L7,L48,L89,L130,L172)</f>
        <v/>
      </c>
      <c r="M3" s="142" t="n"/>
      <c r="N3" s="142" t="n"/>
      <c r="O3" s="143">
        <f>L3-K3</f>
        <v/>
      </c>
      <c r="P3" s="139" t="n"/>
      <c r="Q3" s="139" t="n"/>
      <c r="R3" s="139">
        <f>SUM(R7,R48,Q48)</f>
        <v/>
      </c>
      <c r="S3" s="139">
        <f>SUM(S7,S48,C48)</f>
        <v/>
      </c>
      <c r="T3" s="139">
        <f>SUM(T7,T48,D48)</f>
        <v/>
      </c>
      <c r="U3" s="139">
        <f>SUM(U7,U48,E48)</f>
        <v/>
      </c>
      <c r="V3" s="142">
        <f>SUM(V7,V48,V89,V130,V172)</f>
        <v/>
      </c>
      <c r="W3" s="142">
        <f>SUM(W7,W48,W89,W130,W172)</f>
        <v/>
      </c>
      <c r="X3" s="142">
        <f>SUM(X7,X48,X89,X130,X172)</f>
        <v/>
      </c>
      <c r="Y3" s="142">
        <f>SUM(Y7,Y48,Y89,Y130,Y172)</f>
        <v/>
      </c>
      <c r="Z3" s="142">
        <f>SUM(Z7, Z48, Z89, Z130, Z172)</f>
        <v/>
      </c>
      <c r="AA3" s="142">
        <f>SUM(AA7, AA48, AA89, AA130, AA172)</f>
        <v/>
      </c>
      <c r="AB3" s="142" t="n"/>
      <c r="AC3" s="142" t="n"/>
      <c r="AD3" s="143">
        <f>AA3-Z3</f>
        <v/>
      </c>
      <c r="AE3" s="139" t="n"/>
      <c r="AF3" s="139" t="n"/>
      <c r="AG3" s="139" t="n"/>
      <c r="AH3" s="139" t="n"/>
      <c r="AI3" s="139" t="n"/>
      <c r="AJ3" s="139" t="n"/>
    </row>
    <row r="4" ht="15.75" customHeight="1" s="239">
      <c r="A4" s="59" t="inlineStr">
        <is>
          <t xml:space="preserve">   Net change</t>
        </is>
      </c>
      <c r="B4" s="60" t="n"/>
      <c r="C4" s="144">
        <f>C3-Q3</f>
        <v/>
      </c>
      <c r="D4" s="144">
        <f>D3-C3</f>
        <v/>
      </c>
      <c r="E4" s="144">
        <f>E3-D3</f>
        <v/>
      </c>
      <c r="F4" s="144">
        <f>F3-E3</f>
        <v/>
      </c>
      <c r="G4" s="144">
        <f>G3-F3</f>
        <v/>
      </c>
      <c r="H4" s="144">
        <f>H3-G3</f>
        <v/>
      </c>
      <c r="I4" s="144">
        <f>I3-H3</f>
        <v/>
      </c>
      <c r="J4" s="144">
        <f>J3-I3</f>
        <v/>
      </c>
      <c r="K4" s="144">
        <f>K3-J3</f>
        <v/>
      </c>
      <c r="L4" s="144">
        <f>L3-K3</f>
        <v/>
      </c>
      <c r="M4" s="144" t="n"/>
      <c r="N4" s="144" t="n"/>
      <c r="O4" s="143" t="n"/>
      <c r="P4" s="146" t="n"/>
      <c r="Q4" s="146" t="n"/>
      <c r="R4" s="59" t="n"/>
      <c r="S4" s="59">
        <f>S3-R3</f>
        <v/>
      </c>
      <c r="T4" s="59">
        <f>T3-S3</f>
        <v/>
      </c>
      <c r="U4" s="59">
        <f>U3-T3</f>
        <v/>
      </c>
      <c r="V4" s="144">
        <f>V3-U3</f>
        <v/>
      </c>
      <c r="W4" s="144">
        <f>W3-V3</f>
        <v/>
      </c>
      <c r="X4" s="144">
        <f>X3-W3</f>
        <v/>
      </c>
      <c r="Y4" s="144">
        <f>Y3-X3</f>
        <v/>
      </c>
      <c r="Z4" s="144">
        <f>Z3-Y3</f>
        <v/>
      </c>
      <c r="AA4" s="144">
        <f>AA3-Z3</f>
        <v/>
      </c>
      <c r="AB4" s="144" t="n"/>
      <c r="AC4" s="144" t="n"/>
      <c r="AD4" s="143" t="n"/>
      <c r="AE4" s="146" t="n"/>
      <c r="AF4" s="146" t="n"/>
      <c r="AG4" s="146" t="n"/>
      <c r="AH4" s="146" t="n"/>
      <c r="AI4" s="146" t="n"/>
      <c r="AJ4" s="146" t="n"/>
    </row>
    <row r="5" ht="15.75" customHeight="1" s="239">
      <c r="A5" s="59" t="inlineStr">
        <is>
          <t xml:space="preserve">  Growth Rate (%)</t>
        </is>
      </c>
      <c r="B5" s="60" t="n"/>
      <c r="C5" s="147" t="n"/>
      <c r="D5" s="147">
        <f>D3/C3-1</f>
        <v/>
      </c>
      <c r="E5" s="147">
        <f>E3/D3-1</f>
        <v/>
      </c>
      <c r="F5" s="147">
        <f>F3/E3-1</f>
        <v/>
      </c>
      <c r="G5" s="147">
        <f>IFERROR(G3/F3-1,0)</f>
        <v/>
      </c>
      <c r="H5" s="147">
        <f>IFERROR(H3/G3-1,0)</f>
        <v/>
      </c>
      <c r="I5" s="147">
        <f>IFERROR(I3/H3-1,0)</f>
        <v/>
      </c>
      <c r="J5" s="147">
        <f>IFERROR(J3/I3-1,0)</f>
        <v/>
      </c>
      <c r="K5" s="147">
        <f>IFERROR(K3/J3-1,0)</f>
        <v/>
      </c>
      <c r="L5" s="147">
        <f>IFERROR(L3/K3-1,0)</f>
        <v/>
      </c>
      <c r="M5" s="147" t="n"/>
      <c r="N5" s="147" t="n"/>
      <c r="O5" s="148" t="n"/>
      <c r="P5" s="68" t="n"/>
      <c r="Q5" s="68" t="n"/>
      <c r="R5" s="68" t="n"/>
      <c r="S5" s="147">
        <f>IFERROR(S3/R3-1,0)</f>
        <v/>
      </c>
      <c r="T5" s="147">
        <f>IFERROR(T3/S3-1,0)</f>
        <v/>
      </c>
      <c r="U5" s="147">
        <f>IFERROR(U3/T3-1,0)</f>
        <v/>
      </c>
      <c r="V5" s="147">
        <f>IFERROR(V3/U3-1,0)</f>
        <v/>
      </c>
      <c r="W5" s="147">
        <f>IFERROR(W3/V3-1,0)</f>
        <v/>
      </c>
      <c r="X5" s="147">
        <f>IFERROR(X3/W3-1,0)</f>
        <v/>
      </c>
      <c r="Y5" s="147">
        <f>IFERROR(Y3/X3-1,0)</f>
        <v/>
      </c>
      <c r="Z5" s="147">
        <f>IFERROR(Z3/Y3-1,0)</f>
        <v/>
      </c>
      <c r="AA5" s="147">
        <f>IFERROR(AA3/Z3-1,0)</f>
        <v/>
      </c>
      <c r="AB5" s="147" t="n"/>
      <c r="AC5" s="147" t="n"/>
      <c r="AD5" s="143" t="n"/>
      <c r="AE5" s="68" t="n"/>
      <c r="AF5" s="68" t="n"/>
      <c r="AG5" s="68" t="n"/>
      <c r="AH5" s="68" t="n"/>
      <c r="AI5" s="68" t="n"/>
      <c r="AJ5" s="68" t="n"/>
    </row>
    <row r="6">
      <c r="A6" s="208" t="n"/>
      <c r="B6" s="59" t="n"/>
      <c r="C6" s="8" t="n"/>
      <c r="D6" s="8" t="n"/>
      <c r="E6" s="8" t="n"/>
      <c r="F6" s="8" t="n"/>
      <c r="G6" s="150" t="n"/>
      <c r="H6" s="150" t="n"/>
      <c r="I6" s="150" t="n"/>
      <c r="J6" s="150" t="n"/>
      <c r="K6" s="150" t="n"/>
      <c r="L6" s="150" t="n"/>
      <c r="M6" s="150" t="n"/>
      <c r="N6" s="150" t="n"/>
      <c r="O6" s="151" t="n"/>
      <c r="P6" s="8" t="n"/>
      <c r="Q6" s="8" t="n"/>
      <c r="R6" s="8" t="n"/>
      <c r="S6" s="8" t="n"/>
      <c r="T6" s="8" t="n"/>
      <c r="U6" s="8" t="n"/>
      <c r="V6" s="150" t="n"/>
      <c r="W6" s="150" t="n"/>
      <c r="X6" s="150" t="n"/>
      <c r="Y6" s="150" t="n"/>
      <c r="Z6" s="150" t="n"/>
      <c r="AA6" s="150" t="n"/>
      <c r="AB6" s="150" t="n"/>
      <c r="AC6" s="150" t="n"/>
      <c r="AD6" s="143" t="n"/>
      <c r="AE6" s="8" t="n"/>
      <c r="AF6" s="8" t="n"/>
      <c r="AG6" s="8" t="n"/>
      <c r="AH6" s="8" t="n"/>
      <c r="AI6" s="8" t="n"/>
      <c r="AJ6" s="8" t="n"/>
    </row>
    <row r="7" ht="15" customHeight="1" s="239">
      <c r="A7" s="208" t="inlineStr">
        <is>
          <t>Organic</t>
        </is>
      </c>
      <c r="B7" s="63" t="n"/>
      <c r="C7" s="153">
        <f>SUM(C9,C10,C47)</f>
        <v/>
      </c>
      <c r="D7" s="153">
        <f>SUM(D9,D10,D47)</f>
        <v/>
      </c>
      <c r="E7" s="153">
        <f>SUM(E9,E10,E47)</f>
        <v/>
      </c>
      <c r="F7" s="153">
        <f>SUM(F9,F10,F47)</f>
        <v/>
      </c>
      <c r="G7" s="154">
        <f>SUM(G9:G46)</f>
        <v/>
      </c>
      <c r="H7" s="154">
        <f>SUM(H9:H46)</f>
        <v/>
      </c>
      <c r="I7" s="154">
        <f>SUM(I9:I46)</f>
        <v/>
      </c>
      <c r="J7" s="154">
        <f>SUM(J9:J46)</f>
        <v/>
      </c>
      <c r="K7" s="154">
        <f>SUM(K9:K46)</f>
        <v/>
      </c>
      <c r="L7" s="154">
        <f>SUM(L9:L46)</f>
        <v/>
      </c>
      <c r="M7" s="154" t="n"/>
      <c r="N7" s="154" t="n"/>
      <c r="O7" s="143">
        <f>L7-K7</f>
        <v/>
      </c>
      <c r="P7" s="153" t="n"/>
      <c r="Q7" s="153" t="n"/>
      <c r="R7" s="153">
        <f>SUM(R9,R10,R11)</f>
        <v/>
      </c>
      <c r="S7" s="153">
        <f>SUM(S9,S10,S11)</f>
        <v/>
      </c>
      <c r="T7" s="153">
        <f>SUM(T9,T10,T11)</f>
        <v/>
      </c>
      <c r="U7" s="153">
        <f>SUM(U9,U10,U11)</f>
        <v/>
      </c>
      <c r="V7" s="154">
        <f>SUM(V9:V46)</f>
        <v/>
      </c>
      <c r="W7" s="154">
        <f>SUM(W9:W46)</f>
        <v/>
      </c>
      <c r="X7" s="154">
        <f>SUM(X9:X46)</f>
        <v/>
      </c>
      <c r="Y7" s="154">
        <f>SUM(Y9:Y46)</f>
        <v/>
      </c>
      <c r="Z7" s="154">
        <f>SUM(Z9:Z46)</f>
        <v/>
      </c>
      <c r="AA7" s="154">
        <f>SUM(AA9:AA46)</f>
        <v/>
      </c>
      <c r="AB7" s="154" t="n"/>
      <c r="AC7" s="154" t="n"/>
      <c r="AD7" s="143">
        <f>AA7-Z7</f>
        <v/>
      </c>
      <c r="AE7" s="153" t="n"/>
      <c r="AF7" s="153" t="n"/>
      <c r="AG7" s="153" t="n"/>
      <c r="AH7" s="153" t="n"/>
      <c r="AI7" s="153" t="n"/>
      <c r="AJ7" s="153" t="n"/>
    </row>
    <row r="8" collapsed="1" ht="15" customHeight="1" s="239">
      <c r="A8" s="59" t="inlineStr">
        <is>
          <t xml:space="preserve">  Net change</t>
        </is>
      </c>
      <c r="B8" s="59" t="n"/>
      <c r="C8" s="60">
        <f>C7-Q7</f>
        <v/>
      </c>
      <c r="D8" s="60">
        <f>D7-C7</f>
        <v/>
      </c>
      <c r="E8" s="60">
        <f>E7-D7</f>
        <v/>
      </c>
      <c r="F8" s="60">
        <f>F7-E7</f>
        <v/>
      </c>
      <c r="G8" s="156">
        <f>G7-F7</f>
        <v/>
      </c>
      <c r="H8" s="156">
        <f>H7-G7</f>
        <v/>
      </c>
      <c r="I8" s="156">
        <f>I7-H7</f>
        <v/>
      </c>
      <c r="J8" s="156">
        <f>J7-I7</f>
        <v/>
      </c>
      <c r="K8" s="156">
        <f>K7-J7</f>
        <v/>
      </c>
      <c r="L8" s="156">
        <f>L7-K7</f>
        <v/>
      </c>
      <c r="M8" s="156" t="n"/>
      <c r="N8" s="156" t="n"/>
      <c r="O8" s="143">
        <f>L8-K8</f>
        <v/>
      </c>
      <c r="P8" s="60" t="n"/>
      <c r="Q8" s="60" t="n"/>
      <c r="R8" s="60" t="n"/>
      <c r="S8" s="60">
        <f>S7-R7</f>
        <v/>
      </c>
      <c r="T8" s="60">
        <f>T7-S7</f>
        <v/>
      </c>
      <c r="U8" s="60">
        <f>U7-T7</f>
        <v/>
      </c>
      <c r="V8" s="156">
        <f>V7-U7</f>
        <v/>
      </c>
      <c r="W8" s="156">
        <f>W7-V7</f>
        <v/>
      </c>
      <c r="X8" s="156">
        <f>X7-W7</f>
        <v/>
      </c>
      <c r="Y8" s="156">
        <f>Y7-X7</f>
        <v/>
      </c>
      <c r="Z8" s="156">
        <f>Z7-Y7</f>
        <v/>
      </c>
      <c r="AA8" s="156">
        <f>AA7-Z7</f>
        <v/>
      </c>
      <c r="AB8" s="156" t="n"/>
      <c r="AC8" s="156" t="n"/>
      <c r="AD8" s="143">
        <f>AA8-Z8</f>
        <v/>
      </c>
      <c r="AE8" s="60" t="n"/>
      <c r="AF8" s="60" t="n"/>
      <c r="AG8" s="60" t="n"/>
      <c r="AH8" s="60" t="n"/>
      <c r="AI8" s="60" t="n"/>
      <c r="AJ8" s="60" t="n"/>
    </row>
    <row r="9" hidden="1" outlineLevel="1" ht="15" customHeight="1" s="239">
      <c r="A9" s="170" t="n"/>
      <c r="B9" s="170" t="inlineStr">
        <is>
          <t>Cinema Hub</t>
        </is>
      </c>
      <c r="C9" s="170" t="n"/>
      <c r="D9" s="170" t="n"/>
      <c r="E9" s="170" t="n"/>
      <c r="F9" s="170" t="n"/>
      <c r="G9" s="161">
        <f>SUMPRODUCT(('MTD Pivot'!$B$3:$B$300=$B9)*('MTD Pivot'!$C$3:$C$300=$A$7)*('MTD Pivot'!$D$2:$K$2=G$2)*'MTD Pivot'!$D$3:$K$300)</f>
        <v/>
      </c>
      <c r="H9" s="161">
        <f>SUMPRODUCT(('MTD Pivot'!$B$3:$B$300=$B9)*('MTD Pivot'!$C$3:$C$300=$A$7)*('MTD Pivot'!$D$2:$K$2=H$2)*'MTD Pivot'!$D$3:$K$300)</f>
        <v/>
      </c>
      <c r="I9" s="161">
        <f>SUMPRODUCT(('MTD Pivot'!$B$3:$B$300=$B9)*('MTD Pivot'!$C$3:$C$300=$A$7)*('MTD Pivot'!$D$2:$K$2=I$2)*'MTD Pivot'!$D$3:$K$300)</f>
        <v/>
      </c>
      <c r="J9" s="161">
        <f>SUMPRODUCT(('MTD Pivot'!$B$3:$B$300=$B9)*('MTD Pivot'!$C$3:$C$300=$A$7)*('MTD Pivot'!$D$2:$K$2=J$2)*'MTD Pivot'!$D$3:$K$300)</f>
        <v/>
      </c>
      <c r="K9" s="161">
        <f>SUMPRODUCT(('MTD Pivot'!$B$3:$B$300=$B9)*('MTD Pivot'!$C$3:$C$300=$A$7)*('MTD Pivot'!$D$2:$K$2=K$2)*'MTD Pivot'!$D$3:$K$300)</f>
        <v/>
      </c>
      <c r="L9" s="161">
        <f>SUMPRODUCT(('MTD Pivot'!$B$3:$B$300=$B9)*('MTD Pivot'!$C$3:$C$300=$A$7)*('MTD Pivot'!$D$2:$K$2=L$2)*'MTD Pivot'!$D$3:$K$300)</f>
        <v/>
      </c>
      <c r="M9" s="161" t="n"/>
      <c r="N9" s="161" t="n"/>
      <c r="O9" s="143">
        <f>L9-K9</f>
        <v/>
      </c>
      <c r="P9" s="170" t="n"/>
      <c r="Q9" s="170" t="n"/>
      <c r="R9" s="170" t="n"/>
      <c r="S9" s="170" t="n"/>
      <c r="T9" s="170" t="n"/>
      <c r="U9" s="170" t="n"/>
      <c r="V9" s="161">
        <f>SUMPRODUCT(('Full month Pivot'!$B$3:$B$300=$B9)*('Full month Pivot'!$C$3:$C$300=$A$7)*('Full month Pivot'!$D$2:$K$2=V$2)*'Full month Pivot'!$D$3:$K$300)</f>
        <v/>
      </c>
      <c r="W9" s="161">
        <f>SUMPRODUCT(('Full month Pivot'!$B$3:$B$300=$B9)*('Full month Pivot'!$C$3:$C$300=$A$7)*('Full month Pivot'!$D$2:$K$2=W$2)*'Full month Pivot'!$D$3:$K$300)</f>
        <v/>
      </c>
      <c r="X9" s="161">
        <f>SUMPRODUCT(('Full month Pivot'!$B$3:$B$300=$B9)*('Full month Pivot'!$C$3:$C$300=$A$7)*('Full month Pivot'!$D$2:$K$2=X$2)*'Full month Pivot'!$D$3:$K$300)</f>
        <v/>
      </c>
      <c r="Y9" s="161">
        <f>SUMPRODUCT(('Full month Pivot'!$B$3:$B$300=$B9)*('Full month Pivot'!$C$3:$C$300=$A$7)*('Full month Pivot'!$D$2:$K$2=Y$2)*'Full month Pivot'!$D$3:$K$300)</f>
        <v/>
      </c>
      <c r="Z9" s="161">
        <f>SUMPRODUCT(('Full month Pivot'!$B$3:$B$300=$B9)*('Full month Pivot'!$C$3:$C$300=$A$7)*('Full month Pivot'!$D$2:$K$2=Z$2)*'Full month Pivot'!$D$3:$K$300)</f>
        <v/>
      </c>
      <c r="AA9" s="161">
        <f>SUMPRODUCT(('Full month Pivot'!$B$3:$B$300=$B9)*('Full month Pivot'!$C$3:$C$300=$A$7)*('Full month Pivot'!$D$2:$K$2=AA$2)*'Full month Pivot'!$D$3:$K$300)</f>
        <v/>
      </c>
      <c r="AB9" s="161" t="n"/>
      <c r="AC9" s="161" t="n"/>
      <c r="AD9" s="143">
        <f>AA9-Z9</f>
        <v/>
      </c>
      <c r="AE9" s="170" t="n"/>
      <c r="AF9" s="170" t="n"/>
      <c r="AG9" s="170" t="n"/>
      <c r="AH9" s="170" t="n"/>
      <c r="AI9" s="170" t="n"/>
      <c r="AJ9" s="170" t="n"/>
    </row>
    <row r="10" hidden="1" outlineLevel="1" ht="15" customHeight="1" s="239">
      <c r="A10" s="170" t="n"/>
      <c r="B10" s="170" t="inlineStr">
        <is>
          <t>Phạt nguội</t>
        </is>
      </c>
      <c r="C10" s="170" t="n"/>
      <c r="D10" s="170" t="n"/>
      <c r="E10" s="170" t="n"/>
      <c r="F10" s="170" t="n"/>
      <c r="G10" s="161">
        <f>SUMPRODUCT(('MTD Pivot'!$B$3:$B$300=$B10)*('MTD Pivot'!$C$3:$C$300=$A$7)*('MTD Pivot'!$D$2:$K$2=G$2)*'MTD Pivot'!$D$3:$K$300)</f>
        <v/>
      </c>
      <c r="H10" s="161">
        <f>SUMPRODUCT(('MTD Pivot'!$B$3:$B$300=$B10)*('MTD Pivot'!$C$3:$C$300=$A$7)*('MTD Pivot'!$D$2:$K$2=H$2)*'MTD Pivot'!$D$3:$K$300)</f>
        <v/>
      </c>
      <c r="I10" s="161">
        <f>SUMPRODUCT(('MTD Pivot'!$B$3:$B$300=$B10)*('MTD Pivot'!$C$3:$C$300=$A$7)*('MTD Pivot'!$D$2:$K$2=I$2)*'MTD Pivot'!$D$3:$K$300)</f>
        <v/>
      </c>
      <c r="J10" s="161">
        <f>SUMPRODUCT(('MTD Pivot'!$B$3:$B$300=$B10)*('MTD Pivot'!$C$3:$C$300=$A$7)*('MTD Pivot'!$D$2:$K$2=J$2)*'MTD Pivot'!$D$3:$K$300)</f>
        <v/>
      </c>
      <c r="K10" s="161">
        <f>SUMPRODUCT(('MTD Pivot'!$B$3:$B$300=$B10)*('MTD Pivot'!$C$3:$C$300=$A$7)*('MTD Pivot'!$D$2:$K$2=K$2)*'MTD Pivot'!$D$3:$K$300)</f>
        <v/>
      </c>
      <c r="L10" s="161">
        <f>SUMPRODUCT(('MTD Pivot'!$B$3:$B$300=$B10)*('MTD Pivot'!$C$3:$C$300=$A$7)*('MTD Pivot'!$D$2:$K$2=L$2)*'MTD Pivot'!$D$3:$K$300)</f>
        <v/>
      </c>
      <c r="M10" s="161" t="n"/>
      <c r="N10" s="161" t="n"/>
      <c r="O10" s="143">
        <f>L10-K10</f>
        <v/>
      </c>
      <c r="P10" s="170" t="n"/>
      <c r="Q10" s="170" t="n"/>
      <c r="R10" s="170" t="n"/>
      <c r="S10" s="170" t="n"/>
      <c r="T10" s="170" t="n"/>
      <c r="U10" s="170" t="n"/>
      <c r="V10" s="161">
        <f>SUMPRODUCT(('Full month Pivot'!$B$3:$B$300=$B10)*('Full month Pivot'!$C$3:$C$300=$A$7)*('Full month Pivot'!$D$2:$K$2=V$2)*'Full month Pivot'!$D$3:$K$300)</f>
        <v/>
      </c>
      <c r="W10" s="161">
        <f>SUMPRODUCT(('Full month Pivot'!$B$3:$B$300=$B10)*('Full month Pivot'!$C$3:$C$300=$A$7)*('Full month Pivot'!$D$2:$K$2=W$2)*'Full month Pivot'!$D$3:$K$300)</f>
        <v/>
      </c>
      <c r="X10" s="161">
        <f>SUMPRODUCT(('Full month Pivot'!$B$3:$B$300=$B10)*('Full month Pivot'!$C$3:$C$300=$A$7)*('Full month Pivot'!$D$2:$K$2=X$2)*'Full month Pivot'!$D$3:$K$300)</f>
        <v/>
      </c>
      <c r="Y10" s="161">
        <f>SUMPRODUCT(('Full month Pivot'!$B$3:$B$300=$B10)*('Full month Pivot'!$C$3:$C$300=$A$7)*('Full month Pivot'!$D$2:$K$2=Y$2)*'Full month Pivot'!$D$3:$K$300)</f>
        <v/>
      </c>
      <c r="Z10" s="161">
        <f>SUMPRODUCT(('Full month Pivot'!$B$3:$B$300=$B10)*('Full month Pivot'!$C$3:$C$300=$A$7)*('Full month Pivot'!$D$2:$K$2=Z$2)*'Full month Pivot'!$D$3:$K$300)</f>
        <v/>
      </c>
      <c r="AA10" s="161">
        <f>SUMPRODUCT(('Full month Pivot'!$B$3:$B$300=$B10)*('Full month Pivot'!$C$3:$C$300=$A$7)*('Full month Pivot'!$D$2:$K$2=AA$2)*'Full month Pivot'!$D$3:$K$300)</f>
        <v/>
      </c>
      <c r="AB10" s="161" t="n"/>
      <c r="AC10" s="161" t="n"/>
      <c r="AD10" s="143">
        <f>AA10-Z10</f>
        <v/>
      </c>
      <c r="AE10" s="170" t="n"/>
      <c r="AF10" s="170" t="n"/>
      <c r="AG10" s="170" t="n"/>
      <c r="AH10" s="170" t="n"/>
      <c r="AI10" s="170" t="n"/>
      <c r="AJ10" s="170" t="n"/>
    </row>
    <row r="11" hidden="1" outlineLevel="1" ht="15" customHeight="1" s="239">
      <c r="A11" s="170" t="n"/>
      <c r="B11" s="170" t="inlineStr">
        <is>
          <t>Home MoMo</t>
        </is>
      </c>
      <c r="C11" s="170" t="n"/>
      <c r="D11" s="170" t="n"/>
      <c r="E11" s="170" t="n"/>
      <c r="F11" s="170" t="n"/>
      <c r="G11" s="161">
        <f>SUMPRODUCT(('MTD Pivot'!$B$3:$B$300=$B11)*('MTD Pivot'!$C$3:$C$300=$A$7)*('MTD Pivot'!$D$2:$K$2=G$2)*'MTD Pivot'!$D$3:$K$300)</f>
        <v/>
      </c>
      <c r="H11" s="161">
        <f>SUMPRODUCT(('MTD Pivot'!$B$3:$B$300=$B11)*('MTD Pivot'!$C$3:$C$300=$A$7)*('MTD Pivot'!$D$2:$K$2=H$2)*'MTD Pivot'!$D$3:$K$300)</f>
        <v/>
      </c>
      <c r="I11" s="161">
        <f>SUMPRODUCT(('MTD Pivot'!$B$3:$B$300=$B11)*('MTD Pivot'!$C$3:$C$300=$A$7)*('MTD Pivot'!$D$2:$K$2=I$2)*'MTD Pivot'!$D$3:$K$300)</f>
        <v/>
      </c>
      <c r="J11" s="161">
        <f>SUMPRODUCT(('MTD Pivot'!$B$3:$B$300=$B11)*('MTD Pivot'!$C$3:$C$300=$A$7)*('MTD Pivot'!$D$2:$K$2=J$2)*'MTD Pivot'!$D$3:$K$300)</f>
        <v/>
      </c>
      <c r="K11" s="161">
        <f>SUMPRODUCT(('MTD Pivot'!$B$3:$B$300=$B11)*('MTD Pivot'!$C$3:$C$300=$A$7)*('MTD Pivot'!$D$2:$K$2=K$2)*'MTD Pivot'!$D$3:$K$300)</f>
        <v/>
      </c>
      <c r="L11" s="161">
        <f>SUMPRODUCT(('MTD Pivot'!$B$3:$B$300=$B11)*('MTD Pivot'!$C$3:$C$300=$A$7)*('MTD Pivot'!$D$2:$K$2=L$2)*'MTD Pivot'!$D$3:$K$300)</f>
        <v/>
      </c>
      <c r="M11" s="161" t="n"/>
      <c r="N11" s="161" t="n"/>
      <c r="O11" s="143">
        <f>L11-K11</f>
        <v/>
      </c>
      <c r="P11" s="170" t="n"/>
      <c r="Q11" s="170" t="n"/>
      <c r="R11" s="170" t="n"/>
      <c r="S11" s="170" t="n"/>
      <c r="T11" s="170" t="n"/>
      <c r="U11" s="170" t="n"/>
      <c r="V11" s="161">
        <f>SUMPRODUCT(('Full month Pivot'!$B$3:$B$300=$B11)*('Full month Pivot'!$C$3:$C$300=$A$7)*('Full month Pivot'!$D$2:$K$2=V$2)*'Full month Pivot'!$D$3:$K$300)</f>
        <v/>
      </c>
      <c r="W11" s="161">
        <f>SUMPRODUCT(('Full month Pivot'!$B$3:$B$300=$B11)*('Full month Pivot'!$C$3:$C$300=$A$7)*('Full month Pivot'!$D$2:$K$2=W$2)*'Full month Pivot'!$D$3:$K$300)</f>
        <v/>
      </c>
      <c r="X11" s="161">
        <f>SUMPRODUCT(('Full month Pivot'!$B$3:$B$300=$B11)*('Full month Pivot'!$C$3:$C$300=$A$7)*('Full month Pivot'!$D$2:$K$2=X$2)*'Full month Pivot'!$D$3:$K$300)</f>
        <v/>
      </c>
      <c r="Y11" s="161">
        <f>SUMPRODUCT(('Full month Pivot'!$B$3:$B$300=$B11)*('Full month Pivot'!$C$3:$C$300=$A$7)*('Full month Pivot'!$D$2:$K$2=Y$2)*'Full month Pivot'!$D$3:$K$300)</f>
        <v/>
      </c>
      <c r="Z11" s="161">
        <f>SUMPRODUCT(('Full month Pivot'!$B$3:$B$300=$B11)*('Full month Pivot'!$C$3:$C$300=$A$7)*('Full month Pivot'!$D$2:$K$2=Z$2)*'Full month Pivot'!$D$3:$K$300)</f>
        <v/>
      </c>
      <c r="AA11" s="161">
        <f>SUMPRODUCT(('Full month Pivot'!$B$3:$B$300=$B11)*('Full month Pivot'!$C$3:$C$300=$A$7)*('Full month Pivot'!$D$2:$K$2=AA$2)*'Full month Pivot'!$D$3:$K$300)</f>
        <v/>
      </c>
      <c r="AB11" s="161" t="n"/>
      <c r="AC11" s="161" t="n"/>
      <c r="AD11" s="143">
        <f>AA11-Z11</f>
        <v/>
      </c>
      <c r="AE11" s="170" t="n"/>
      <c r="AF11" s="163" t="n"/>
      <c r="AG11" s="170" t="n"/>
      <c r="AH11" s="170" t="n"/>
      <c r="AI11" s="170" t="n"/>
      <c r="AJ11" s="170" t="n"/>
    </row>
    <row r="12" hidden="1" outlineLevel="1" ht="15" customHeight="1" s="239">
      <c r="A12" s="170" t="n"/>
      <c r="B12" s="170" t="inlineStr">
        <is>
          <t>Tiktok</t>
        </is>
      </c>
      <c r="C12" s="170" t="n"/>
      <c r="D12" s="170" t="n"/>
      <c r="E12" s="170" t="n"/>
      <c r="F12" s="170" t="n"/>
      <c r="G12" s="161">
        <f>SUMPRODUCT(('MTD Pivot'!$B$3:$B$300=$B12)*('MTD Pivot'!$C$3:$C$300=$A$7)*('MTD Pivot'!$D$2:$K$2=G$2)*'MTD Pivot'!$D$3:$K$300)</f>
        <v/>
      </c>
      <c r="H12" s="161">
        <f>SUMPRODUCT(('MTD Pivot'!$B$3:$B$300=$B12)*('MTD Pivot'!$C$3:$C$300=$A$7)*('MTD Pivot'!$D$2:$K$2=H$2)*'MTD Pivot'!$D$3:$K$300)</f>
        <v/>
      </c>
      <c r="I12" s="161">
        <f>SUMPRODUCT(('MTD Pivot'!$B$3:$B$300=$B12)*('MTD Pivot'!$C$3:$C$300=$A$7)*('MTD Pivot'!$D$2:$K$2=I$2)*'MTD Pivot'!$D$3:$K$300)</f>
        <v/>
      </c>
      <c r="J12" s="161">
        <f>SUMPRODUCT(('MTD Pivot'!$B$3:$B$300=$B12)*('MTD Pivot'!$C$3:$C$300=$A$7)*('MTD Pivot'!$D$2:$K$2=J$2)*'MTD Pivot'!$D$3:$K$300)</f>
        <v/>
      </c>
      <c r="K12" s="161">
        <f>SUMPRODUCT(('MTD Pivot'!$B$3:$B$300=$B12)*('MTD Pivot'!$C$3:$C$300=$A$7)*('MTD Pivot'!$D$2:$K$2=K$2)*'MTD Pivot'!$D$3:$K$300)</f>
        <v/>
      </c>
      <c r="L12" s="161">
        <f>SUMPRODUCT(('MTD Pivot'!$B$3:$B$300=$B12)*('MTD Pivot'!$C$3:$C$300=$A$7)*('MTD Pivot'!$D$2:$K$2=L$2)*'MTD Pivot'!$D$3:$K$300)</f>
        <v/>
      </c>
      <c r="M12" s="161" t="n"/>
      <c r="N12" s="161" t="n"/>
      <c r="O12" s="143">
        <f>L12-K12</f>
        <v/>
      </c>
      <c r="P12" s="170" t="n"/>
      <c r="Q12" s="170" t="n"/>
      <c r="R12" s="170" t="n"/>
      <c r="S12" s="170" t="n"/>
      <c r="T12" s="170" t="n"/>
      <c r="U12" s="170" t="n"/>
      <c r="V12" s="161">
        <f>SUMPRODUCT(('Full month Pivot'!$B$3:$B$300=$B12)*('Full month Pivot'!$C$3:$C$300=$A$7)*('Full month Pivot'!$D$2:$K$2=V$2)*'Full month Pivot'!$D$3:$K$300)</f>
        <v/>
      </c>
      <c r="W12" s="161">
        <f>SUMPRODUCT(('Full month Pivot'!$B$3:$B$300=$B12)*('Full month Pivot'!$C$3:$C$300=$A$7)*('Full month Pivot'!$D$2:$K$2=W$2)*'Full month Pivot'!$D$3:$K$300)</f>
        <v/>
      </c>
      <c r="X12" s="161">
        <f>SUMPRODUCT(('Full month Pivot'!$B$3:$B$300=$B12)*('Full month Pivot'!$C$3:$C$300=$A$7)*('Full month Pivot'!$D$2:$K$2=X$2)*'Full month Pivot'!$D$3:$K$300)</f>
        <v/>
      </c>
      <c r="Y12" s="161">
        <f>SUMPRODUCT(('Full month Pivot'!$B$3:$B$300=$B12)*('Full month Pivot'!$C$3:$C$300=$A$7)*('Full month Pivot'!$D$2:$K$2=Y$2)*'Full month Pivot'!$D$3:$K$300)</f>
        <v/>
      </c>
      <c r="Z12" s="161">
        <f>SUMPRODUCT(('Full month Pivot'!$B$3:$B$300=$B12)*('Full month Pivot'!$C$3:$C$300=$A$7)*('Full month Pivot'!$D$2:$K$2=Z$2)*'Full month Pivot'!$D$3:$K$300)</f>
        <v/>
      </c>
      <c r="AA12" s="161">
        <f>SUMPRODUCT(('Full month Pivot'!$B$3:$B$300=$B12)*('Full month Pivot'!$C$3:$C$300=$A$7)*('Full month Pivot'!$D$2:$K$2=AA$2)*'Full month Pivot'!$D$3:$K$300)</f>
        <v/>
      </c>
      <c r="AB12" s="161" t="n"/>
      <c r="AC12" s="161" t="n"/>
      <c r="AD12" s="143">
        <f>AA12-Z12</f>
        <v/>
      </c>
      <c r="AE12" s="170" t="n"/>
      <c r="AF12" s="170" t="n"/>
      <c r="AG12" s="170" t="n"/>
      <c r="AH12" s="170" t="n"/>
      <c r="AI12" s="170" t="n"/>
      <c r="AJ12" s="170" t="n"/>
    </row>
    <row r="13" hidden="1" outlineLevel="1" ht="15" customHeight="1" s="239">
      <c r="A13" s="170" t="n"/>
      <c r="B13" s="170" t="inlineStr">
        <is>
          <t>Financial Hub</t>
        </is>
      </c>
      <c r="C13" s="170" t="n"/>
      <c r="D13" s="170" t="n"/>
      <c r="E13" s="170" t="n"/>
      <c r="F13" s="170" t="n"/>
      <c r="G13" s="161">
        <f>SUMPRODUCT(('MTD Pivot'!$B$3:$B$300=$B13)*('MTD Pivot'!$C$3:$C$300=$A$7)*('MTD Pivot'!$D$2:$K$2=G$2)*'MTD Pivot'!$D$3:$K$300)</f>
        <v/>
      </c>
      <c r="H13" s="161">
        <f>SUMPRODUCT(('MTD Pivot'!$B$3:$B$300=$B13)*('MTD Pivot'!$C$3:$C$300=$A$7)*('MTD Pivot'!$D$2:$K$2=H$2)*'MTD Pivot'!$D$3:$K$300)</f>
        <v/>
      </c>
      <c r="I13" s="161">
        <f>SUMPRODUCT(('MTD Pivot'!$B$3:$B$300=$B13)*('MTD Pivot'!$C$3:$C$300=$A$7)*('MTD Pivot'!$D$2:$K$2=I$2)*'MTD Pivot'!$D$3:$K$300)</f>
        <v/>
      </c>
      <c r="J13" s="161">
        <f>SUMPRODUCT(('MTD Pivot'!$B$3:$B$300=$B13)*('MTD Pivot'!$C$3:$C$300=$A$7)*('MTD Pivot'!$D$2:$K$2=J$2)*'MTD Pivot'!$D$3:$K$300)</f>
        <v/>
      </c>
      <c r="K13" s="161">
        <f>SUMPRODUCT(('MTD Pivot'!$B$3:$B$300=$B13)*('MTD Pivot'!$C$3:$C$300=$A$7)*('MTD Pivot'!$D$2:$K$2=K$2)*'MTD Pivot'!$D$3:$K$300)</f>
        <v/>
      </c>
      <c r="L13" s="161">
        <f>SUMPRODUCT(('MTD Pivot'!$B$3:$B$300=$B13)*('MTD Pivot'!$C$3:$C$300=$A$7)*('MTD Pivot'!$D$2:$K$2=L$2)*'MTD Pivot'!$D$3:$K$300)</f>
        <v/>
      </c>
      <c r="M13" s="161" t="n"/>
      <c r="N13" s="161" t="n"/>
      <c r="O13" s="143">
        <f>L13-K13</f>
        <v/>
      </c>
      <c r="P13" s="170" t="n"/>
      <c r="Q13" s="170" t="n"/>
      <c r="R13" s="170" t="n"/>
      <c r="S13" s="170" t="n"/>
      <c r="T13" s="170" t="n"/>
      <c r="U13" s="170" t="n"/>
      <c r="V13" s="161">
        <f>SUMPRODUCT(('Full month Pivot'!$B$3:$B$300=$B13)*('Full month Pivot'!$C$3:$C$300=$A$7)*('Full month Pivot'!$D$2:$K$2=V$2)*'Full month Pivot'!$D$3:$K$300)</f>
        <v/>
      </c>
      <c r="W13" s="161">
        <f>SUMPRODUCT(('Full month Pivot'!$B$3:$B$300=$B13)*('Full month Pivot'!$C$3:$C$300=$A$7)*('Full month Pivot'!$D$2:$K$2=W$2)*'Full month Pivot'!$D$3:$K$300)</f>
        <v/>
      </c>
      <c r="X13" s="161">
        <f>SUMPRODUCT(('Full month Pivot'!$B$3:$B$300=$B13)*('Full month Pivot'!$C$3:$C$300=$A$7)*('Full month Pivot'!$D$2:$K$2=X$2)*'Full month Pivot'!$D$3:$K$300)</f>
        <v/>
      </c>
      <c r="Y13" s="161">
        <f>SUMPRODUCT(('Full month Pivot'!$B$3:$B$300=$B13)*('Full month Pivot'!$C$3:$C$300=$A$7)*('Full month Pivot'!$D$2:$K$2=Y$2)*'Full month Pivot'!$D$3:$K$300)</f>
        <v/>
      </c>
      <c r="Z13" s="161">
        <f>SUMPRODUCT(('Full month Pivot'!$B$3:$B$300=$B13)*('Full month Pivot'!$C$3:$C$300=$A$7)*('Full month Pivot'!$D$2:$K$2=Z$2)*'Full month Pivot'!$D$3:$K$300)</f>
        <v/>
      </c>
      <c r="AA13" s="161">
        <f>SUMPRODUCT(('Full month Pivot'!$B$3:$B$300=$B13)*('Full month Pivot'!$C$3:$C$300=$A$7)*('Full month Pivot'!$D$2:$K$2=AA$2)*'Full month Pivot'!$D$3:$K$300)</f>
        <v/>
      </c>
      <c r="AB13" s="161" t="n"/>
      <c r="AC13" s="161" t="n"/>
      <c r="AD13" s="143">
        <f>AA13-Z13</f>
        <v/>
      </c>
      <c r="AE13" s="170" t="n"/>
      <c r="AF13" s="170" t="n"/>
      <c r="AG13" s="170" t="n"/>
      <c r="AH13" s="170" t="n"/>
      <c r="AI13" s="170" t="n"/>
      <c r="AJ13" s="170" t="n"/>
    </row>
    <row r="14" hidden="1" outlineLevel="1" ht="15" customHeight="1" s="239">
      <c r="A14" s="170" t="n"/>
      <c r="B14" s="170" t="inlineStr">
        <is>
          <t>Vé Xe</t>
        </is>
      </c>
      <c r="C14" s="170" t="n"/>
      <c r="D14" s="170" t="n"/>
      <c r="E14" s="170" t="n"/>
      <c r="F14" s="170" t="n"/>
      <c r="G14" s="161">
        <f>SUMPRODUCT(('MTD Pivot'!$B$3:$B$300=$B14)*('MTD Pivot'!$C$3:$C$300=$A$7)*('MTD Pivot'!$D$2:$K$2=G$2)*'MTD Pivot'!$D$3:$K$300)</f>
        <v/>
      </c>
      <c r="H14" s="161">
        <f>SUMPRODUCT(('MTD Pivot'!$B$3:$B$300=$B14)*('MTD Pivot'!$C$3:$C$300=$A$7)*('MTD Pivot'!$D$2:$K$2=H$2)*'MTD Pivot'!$D$3:$K$300)</f>
        <v/>
      </c>
      <c r="I14" s="161">
        <f>SUMPRODUCT(('MTD Pivot'!$B$3:$B$300=$B14)*('MTD Pivot'!$C$3:$C$300=$A$7)*('MTD Pivot'!$D$2:$K$2=I$2)*'MTD Pivot'!$D$3:$K$300)</f>
        <v/>
      </c>
      <c r="J14" s="161">
        <f>SUMPRODUCT(('MTD Pivot'!$B$3:$B$300=$B14)*('MTD Pivot'!$C$3:$C$300=$A$7)*('MTD Pivot'!$D$2:$K$2=J$2)*'MTD Pivot'!$D$3:$K$300)</f>
        <v/>
      </c>
      <c r="K14" s="161">
        <f>SUMPRODUCT(('MTD Pivot'!$B$3:$B$300=$B14)*('MTD Pivot'!$C$3:$C$300=$A$7)*('MTD Pivot'!$D$2:$K$2=K$2)*'MTD Pivot'!$D$3:$K$300)</f>
        <v/>
      </c>
      <c r="L14" s="161">
        <f>SUMPRODUCT(('MTD Pivot'!$B$3:$B$300=$B14)*('MTD Pivot'!$C$3:$C$300=$A$7)*('MTD Pivot'!$D$2:$K$2=L$2)*'MTD Pivot'!$D$3:$K$300)</f>
        <v/>
      </c>
      <c r="M14" s="161" t="n"/>
      <c r="N14" s="161" t="n"/>
      <c r="O14" s="143">
        <f>L14-K14</f>
        <v/>
      </c>
      <c r="P14" s="170" t="n"/>
      <c r="Q14" s="170" t="n"/>
      <c r="R14" s="170" t="n"/>
      <c r="S14" s="170" t="n"/>
      <c r="T14" s="170" t="n"/>
      <c r="U14" s="170" t="n"/>
      <c r="V14" s="161">
        <f>SUMPRODUCT(('Full month Pivot'!$B$3:$B$300=$B14)*('Full month Pivot'!$C$3:$C$300=$A$7)*('Full month Pivot'!$D$2:$K$2=V$2)*'Full month Pivot'!$D$3:$K$300)</f>
        <v/>
      </c>
      <c r="W14" s="161">
        <f>SUMPRODUCT(('Full month Pivot'!$B$3:$B$300=$B14)*('Full month Pivot'!$C$3:$C$300=$A$7)*('Full month Pivot'!$D$2:$K$2=W$2)*'Full month Pivot'!$D$3:$K$300)</f>
        <v/>
      </c>
      <c r="X14" s="161">
        <f>SUMPRODUCT(('Full month Pivot'!$B$3:$B$300=$B14)*('Full month Pivot'!$C$3:$C$300=$A$7)*('Full month Pivot'!$D$2:$K$2=X$2)*'Full month Pivot'!$D$3:$K$300)</f>
        <v/>
      </c>
      <c r="Y14" s="161">
        <f>SUMPRODUCT(('Full month Pivot'!$B$3:$B$300=$B14)*('Full month Pivot'!$C$3:$C$300=$A$7)*('Full month Pivot'!$D$2:$K$2=Y$2)*'Full month Pivot'!$D$3:$K$300)</f>
        <v/>
      </c>
      <c r="Z14" s="161">
        <f>SUMPRODUCT(('Full month Pivot'!$B$3:$B$300=$B14)*('Full month Pivot'!$C$3:$C$300=$A$7)*('Full month Pivot'!$D$2:$K$2=Z$2)*'Full month Pivot'!$D$3:$K$300)</f>
        <v/>
      </c>
      <c r="AA14" s="161">
        <f>SUMPRODUCT(('Full month Pivot'!$B$3:$B$300=$B14)*('Full month Pivot'!$C$3:$C$300=$A$7)*('Full month Pivot'!$D$2:$K$2=AA$2)*'Full month Pivot'!$D$3:$K$300)</f>
        <v/>
      </c>
      <c r="AB14" s="161" t="n"/>
      <c r="AC14" s="161" t="n"/>
      <c r="AD14" s="143">
        <f>AA14-Z14</f>
        <v/>
      </c>
      <c r="AE14" s="170" t="n"/>
      <c r="AF14" s="170" t="n"/>
      <c r="AG14" s="170" t="n"/>
      <c r="AH14" s="170" t="n"/>
      <c r="AI14" s="170" t="n"/>
      <c r="AJ14" s="170" t="n"/>
    </row>
    <row r="15" hidden="1" outlineLevel="1" ht="15.75" customHeight="1" s="239">
      <c r="A15" s="170" t="n"/>
      <c r="B15" s="170" t="inlineStr">
        <is>
          <t>OTA</t>
        </is>
      </c>
      <c r="C15" s="170" t="n"/>
      <c r="D15" s="170" t="n"/>
      <c r="E15" s="170" t="n"/>
      <c r="F15" s="170" t="n"/>
      <c r="G15" s="161">
        <f>SUMPRODUCT(('MTD Pivot'!$B$3:$B$300=$B15)*('MTD Pivot'!$C$3:$C$300=$A$7)*('MTD Pivot'!$D$2:$K$2=G$2)*'MTD Pivot'!$D$3:$K$300)</f>
        <v/>
      </c>
      <c r="H15" s="161">
        <f>SUMPRODUCT(('MTD Pivot'!$B$3:$B$300=$B15)*('MTD Pivot'!$C$3:$C$300=$A$7)*('MTD Pivot'!$D$2:$K$2=H$2)*'MTD Pivot'!$D$3:$K$300)</f>
        <v/>
      </c>
      <c r="I15" s="161">
        <f>SUMPRODUCT(('MTD Pivot'!$B$3:$B$300=$B15)*('MTD Pivot'!$C$3:$C$300=$A$7)*('MTD Pivot'!$D$2:$K$2=I$2)*'MTD Pivot'!$D$3:$K$300)</f>
        <v/>
      </c>
      <c r="J15" s="161">
        <f>SUMPRODUCT(('MTD Pivot'!$B$3:$B$300=$B15)*('MTD Pivot'!$C$3:$C$300=$A$7)*('MTD Pivot'!$D$2:$K$2=J$2)*'MTD Pivot'!$D$3:$K$300)</f>
        <v/>
      </c>
      <c r="K15" s="161">
        <f>SUMPRODUCT(('MTD Pivot'!$B$3:$B$300=$B15)*('MTD Pivot'!$C$3:$C$300=$A$7)*('MTD Pivot'!$D$2:$K$2=K$2)*'MTD Pivot'!$D$3:$K$300)</f>
        <v/>
      </c>
      <c r="L15" s="161">
        <f>SUMPRODUCT(('MTD Pivot'!$B$3:$B$300=$B15)*('MTD Pivot'!$C$3:$C$300=$A$7)*('MTD Pivot'!$D$2:$K$2=L$2)*'MTD Pivot'!$D$3:$K$300)</f>
        <v/>
      </c>
      <c r="M15" s="161" t="n"/>
      <c r="N15" s="161" t="n"/>
      <c r="O15" s="143">
        <f>L15-K15</f>
        <v/>
      </c>
      <c r="P15" s="170" t="n"/>
      <c r="Q15" s="170" t="n"/>
      <c r="R15" s="170" t="n"/>
      <c r="S15" s="170" t="n"/>
      <c r="T15" s="170" t="n"/>
      <c r="U15" s="170" t="n"/>
      <c r="V15" s="161">
        <f>SUMPRODUCT(('Full month Pivot'!$B$3:$B$300=$B15)*('Full month Pivot'!$C$3:$C$300=$A$7)*('Full month Pivot'!$D$2:$K$2=V$2)*'Full month Pivot'!$D$3:$K$300)</f>
        <v/>
      </c>
      <c r="W15" s="161">
        <f>SUMPRODUCT(('Full month Pivot'!$B$3:$B$300=$B15)*('Full month Pivot'!$C$3:$C$300=$A$7)*('Full month Pivot'!$D$2:$K$2=W$2)*'Full month Pivot'!$D$3:$K$300)</f>
        <v/>
      </c>
      <c r="X15" s="161">
        <f>SUMPRODUCT(('Full month Pivot'!$B$3:$B$300=$B15)*('Full month Pivot'!$C$3:$C$300=$A$7)*('Full month Pivot'!$D$2:$K$2=X$2)*'Full month Pivot'!$D$3:$K$300)</f>
        <v/>
      </c>
      <c r="Y15" s="161">
        <f>SUMPRODUCT(('Full month Pivot'!$B$3:$B$300=$B15)*('Full month Pivot'!$C$3:$C$300=$A$7)*('Full month Pivot'!$D$2:$K$2=Y$2)*'Full month Pivot'!$D$3:$K$300)</f>
        <v/>
      </c>
      <c r="Z15" s="161">
        <f>SUMPRODUCT(('Full month Pivot'!$B$3:$B$300=$B15)*('Full month Pivot'!$C$3:$C$300=$A$7)*('Full month Pivot'!$D$2:$K$2=Z$2)*'Full month Pivot'!$D$3:$K$300)</f>
        <v/>
      </c>
      <c r="AA15" s="161">
        <f>SUMPRODUCT(('Full month Pivot'!$B$3:$B$300=$B15)*('Full month Pivot'!$C$3:$C$300=$A$7)*('Full month Pivot'!$D$2:$K$2=AA$2)*'Full month Pivot'!$D$3:$K$300)</f>
        <v/>
      </c>
      <c r="AB15" s="161" t="n"/>
      <c r="AC15" s="161" t="n"/>
      <c r="AD15" s="143">
        <f>AA15-Z15</f>
        <v/>
      </c>
      <c r="AE15" s="170" t="n"/>
      <c r="AF15" s="170" t="n"/>
      <c r="AG15" s="170" t="n"/>
      <c r="AH15" s="170" t="n"/>
      <c r="AI15" s="170" t="n"/>
      <c r="AJ15" s="170" t="n"/>
    </row>
    <row r="16" hidden="1" outlineLevel="1" ht="15.75" customHeight="1" s="239">
      <c r="A16" s="170" t="n"/>
      <c r="B16" s="170" t="inlineStr">
        <is>
          <t>Merchant</t>
        </is>
      </c>
      <c r="C16" s="170" t="n"/>
      <c r="D16" s="170" t="n"/>
      <c r="E16" s="170" t="n"/>
      <c r="F16" s="170" t="n"/>
      <c r="G16" s="161">
        <f>SUMPRODUCT(('MTD Pivot'!$B$3:$B$300=$B16)*('MTD Pivot'!$C$3:$C$300=$A$7)*('MTD Pivot'!$D$2:$K$2=G$2)*'MTD Pivot'!$D$3:$K$300)</f>
        <v/>
      </c>
      <c r="H16" s="161">
        <f>SUMPRODUCT(('MTD Pivot'!$B$3:$B$300=$B16)*('MTD Pivot'!$C$3:$C$300=$A$7)*('MTD Pivot'!$D$2:$K$2=H$2)*'MTD Pivot'!$D$3:$K$300)</f>
        <v/>
      </c>
      <c r="I16" s="161">
        <f>SUMPRODUCT(('MTD Pivot'!$B$3:$B$300=$B16)*('MTD Pivot'!$C$3:$C$300=$A$7)*('MTD Pivot'!$D$2:$K$2=I$2)*'MTD Pivot'!$D$3:$K$300)</f>
        <v/>
      </c>
      <c r="J16" s="161">
        <f>SUMPRODUCT(('MTD Pivot'!$B$3:$B$300=$B16)*('MTD Pivot'!$C$3:$C$300=$A$7)*('MTD Pivot'!$D$2:$K$2=J$2)*'MTD Pivot'!$D$3:$K$300)</f>
        <v/>
      </c>
      <c r="K16" s="161">
        <f>SUMPRODUCT(('MTD Pivot'!$B$3:$B$300=$B16)*('MTD Pivot'!$C$3:$C$300=$A$7)*('MTD Pivot'!$D$2:$K$2=K$2)*'MTD Pivot'!$D$3:$K$300)</f>
        <v/>
      </c>
      <c r="L16" s="161">
        <f>SUMPRODUCT(('MTD Pivot'!$B$3:$B$300=$B16)*('MTD Pivot'!$C$3:$C$300=$A$7)*('MTD Pivot'!$D$2:$K$2=L$2)*'MTD Pivot'!$D$3:$K$300)</f>
        <v/>
      </c>
      <c r="M16" s="161" t="n"/>
      <c r="N16" s="161" t="n"/>
      <c r="O16" s="143">
        <f>L16-K16</f>
        <v/>
      </c>
      <c r="P16" s="170" t="n"/>
      <c r="Q16" s="170" t="n"/>
      <c r="R16" s="170" t="n"/>
      <c r="S16" s="170" t="n"/>
      <c r="T16" s="170" t="n"/>
      <c r="U16" s="170" t="n"/>
      <c r="V16" s="161">
        <f>SUMPRODUCT(('Full month Pivot'!$B$3:$B$300=$B16)*('Full month Pivot'!$C$3:$C$300=$A$7)*('Full month Pivot'!$D$2:$K$2=V$2)*'Full month Pivot'!$D$3:$K$300)</f>
        <v/>
      </c>
      <c r="W16" s="161">
        <f>SUMPRODUCT(('Full month Pivot'!$B$3:$B$300=$B16)*('Full month Pivot'!$C$3:$C$300=$A$7)*('Full month Pivot'!$D$2:$K$2=W$2)*'Full month Pivot'!$D$3:$K$300)</f>
        <v/>
      </c>
      <c r="X16" s="161">
        <f>SUMPRODUCT(('Full month Pivot'!$B$3:$B$300=$B16)*('Full month Pivot'!$C$3:$C$300=$A$7)*('Full month Pivot'!$D$2:$K$2=X$2)*'Full month Pivot'!$D$3:$K$300)</f>
        <v/>
      </c>
      <c r="Y16" s="161">
        <f>SUMPRODUCT(('Full month Pivot'!$B$3:$B$300=$B16)*('Full month Pivot'!$C$3:$C$300=$A$7)*('Full month Pivot'!$D$2:$K$2=Y$2)*'Full month Pivot'!$D$3:$K$300)</f>
        <v/>
      </c>
      <c r="Z16" s="161">
        <f>SUMPRODUCT(('Full month Pivot'!$B$3:$B$300=$B16)*('Full month Pivot'!$C$3:$C$300=$A$7)*('Full month Pivot'!$D$2:$K$2=Z$2)*'Full month Pivot'!$D$3:$K$300)</f>
        <v/>
      </c>
      <c r="AA16" s="161">
        <f>SUMPRODUCT(('Full month Pivot'!$B$3:$B$300=$B16)*('Full month Pivot'!$C$3:$C$300=$A$7)*('Full month Pivot'!$D$2:$K$2=AA$2)*'Full month Pivot'!$D$3:$K$300)</f>
        <v/>
      </c>
      <c r="AB16" s="161" t="n"/>
      <c r="AC16" s="161" t="n"/>
      <c r="AD16" s="143">
        <f>AA16-Z16</f>
        <v/>
      </c>
      <c r="AE16" s="170" t="n"/>
      <c r="AF16" s="170" t="n"/>
      <c r="AG16" s="170" t="n"/>
      <c r="AH16" s="170" t="n"/>
      <c r="AI16" s="170" t="n"/>
      <c r="AJ16" s="170" t="n"/>
    </row>
    <row r="17" hidden="1" outlineLevel="1" ht="15.75" customHeight="1" s="239">
      <c r="A17" s="170" t="n"/>
      <c r="B17" s="170" t="inlineStr">
        <is>
          <t>Sim</t>
        </is>
      </c>
      <c r="C17" s="170" t="n"/>
      <c r="D17" s="170" t="n"/>
      <c r="E17" s="170" t="n"/>
      <c r="F17" s="170" t="n"/>
      <c r="G17" s="161">
        <f>SUMPRODUCT(('MTD Pivot'!$B$3:$B$300=$B17)*('MTD Pivot'!$C$3:$C$300=$A$7)*('MTD Pivot'!$D$2:$K$2=G$2)*'MTD Pivot'!$D$3:$K$300)</f>
        <v/>
      </c>
      <c r="H17" s="161">
        <f>SUMPRODUCT(('MTD Pivot'!$B$3:$B$300=$B17)*('MTD Pivot'!$C$3:$C$300=$A$7)*('MTD Pivot'!$D$2:$K$2=H$2)*'MTD Pivot'!$D$3:$K$300)</f>
        <v/>
      </c>
      <c r="I17" s="161">
        <f>SUMPRODUCT(('MTD Pivot'!$B$3:$B$300=$B17)*('MTD Pivot'!$C$3:$C$300=$A$7)*('MTD Pivot'!$D$2:$K$2=I$2)*'MTD Pivot'!$D$3:$K$300)</f>
        <v/>
      </c>
      <c r="J17" s="161">
        <f>SUMPRODUCT(('MTD Pivot'!$B$3:$B$300=$B17)*('MTD Pivot'!$C$3:$C$300=$A$7)*('MTD Pivot'!$D$2:$K$2=J$2)*'MTD Pivot'!$D$3:$K$300)</f>
        <v/>
      </c>
      <c r="K17" s="161">
        <f>SUMPRODUCT(('MTD Pivot'!$B$3:$B$300=$B17)*('MTD Pivot'!$C$3:$C$300=$A$7)*('MTD Pivot'!$D$2:$K$2=K$2)*'MTD Pivot'!$D$3:$K$300)</f>
        <v/>
      </c>
      <c r="L17" s="161">
        <f>SUMPRODUCT(('MTD Pivot'!$B$3:$B$300=$B17)*('MTD Pivot'!$C$3:$C$300=$A$7)*('MTD Pivot'!$D$2:$K$2=L$2)*'MTD Pivot'!$D$3:$K$300)</f>
        <v/>
      </c>
      <c r="M17" s="161" t="n"/>
      <c r="N17" s="161" t="n"/>
      <c r="O17" s="143">
        <f>L17-K17</f>
        <v/>
      </c>
      <c r="P17" s="170" t="n"/>
      <c r="Q17" s="170" t="n"/>
      <c r="R17" s="170" t="n"/>
      <c r="S17" s="170" t="n"/>
      <c r="T17" s="170" t="n"/>
      <c r="U17" s="170" t="n"/>
      <c r="V17" s="161">
        <f>SUMPRODUCT(('Full month Pivot'!$B$3:$B$300=$B17)*('Full month Pivot'!$C$3:$C$300=$A$7)*('Full month Pivot'!$D$2:$K$2=V$2)*'Full month Pivot'!$D$3:$K$300)</f>
        <v/>
      </c>
      <c r="W17" s="161">
        <f>SUMPRODUCT(('Full month Pivot'!$B$3:$B$300=$B17)*('Full month Pivot'!$C$3:$C$300=$A$7)*('Full month Pivot'!$D$2:$K$2=W$2)*'Full month Pivot'!$D$3:$K$300)</f>
        <v/>
      </c>
      <c r="X17" s="161">
        <f>SUMPRODUCT(('Full month Pivot'!$B$3:$B$300=$B17)*('Full month Pivot'!$C$3:$C$300=$A$7)*('Full month Pivot'!$D$2:$K$2=X$2)*'Full month Pivot'!$D$3:$K$300)</f>
        <v/>
      </c>
      <c r="Y17" s="161">
        <f>SUMPRODUCT(('Full month Pivot'!$B$3:$B$300=$B17)*('Full month Pivot'!$C$3:$C$300=$A$7)*('Full month Pivot'!$D$2:$K$2=Y$2)*'Full month Pivot'!$D$3:$K$300)</f>
        <v/>
      </c>
      <c r="Z17" s="161">
        <f>SUMPRODUCT(('Full month Pivot'!$B$3:$B$300=$B17)*('Full month Pivot'!$C$3:$C$300=$A$7)*('Full month Pivot'!$D$2:$K$2=Z$2)*'Full month Pivot'!$D$3:$K$300)</f>
        <v/>
      </c>
      <c r="AA17" s="161">
        <f>SUMPRODUCT(('Full month Pivot'!$B$3:$B$300=$B17)*('Full month Pivot'!$C$3:$C$300=$A$7)*('Full month Pivot'!$D$2:$K$2=AA$2)*'Full month Pivot'!$D$3:$K$300)</f>
        <v/>
      </c>
      <c r="AB17" s="161" t="n"/>
      <c r="AC17" s="161" t="n"/>
      <c r="AD17" s="143">
        <f>AA17-Z17</f>
        <v/>
      </c>
      <c r="AE17" s="170" t="n"/>
      <c r="AF17" s="170" t="n"/>
      <c r="AG17" s="170" t="n"/>
      <c r="AH17" s="170" t="n"/>
      <c r="AI17" s="170" t="n"/>
      <c r="AJ17" s="170" t="n"/>
    </row>
    <row r="18" hidden="1" outlineLevel="1" ht="15.75" customHeight="1" s="239">
      <c r="A18" s="170" t="n"/>
      <c r="B18" s="170" t="inlineStr">
        <is>
          <t>Game</t>
        </is>
      </c>
      <c r="C18" s="170" t="n"/>
      <c r="D18" s="170" t="n"/>
      <c r="E18" s="170" t="n"/>
      <c r="F18" s="170" t="n"/>
      <c r="G18" s="161">
        <f>SUMPRODUCT(('MTD Pivot'!$B$3:$B$300=$B18)*('MTD Pivot'!$C$3:$C$300=$A$7)*('MTD Pivot'!$D$2:$K$2=G$2)*'MTD Pivot'!$D$3:$K$300)</f>
        <v/>
      </c>
      <c r="H18" s="161">
        <f>SUMPRODUCT(('MTD Pivot'!$B$3:$B$300=$B18)*('MTD Pivot'!$C$3:$C$300=$A$7)*('MTD Pivot'!$D$2:$K$2=H$2)*'MTD Pivot'!$D$3:$K$300)</f>
        <v/>
      </c>
      <c r="I18" s="161">
        <f>SUMPRODUCT(('MTD Pivot'!$B$3:$B$300=$B18)*('MTD Pivot'!$C$3:$C$300=$A$7)*('MTD Pivot'!$D$2:$K$2=I$2)*'MTD Pivot'!$D$3:$K$300)</f>
        <v/>
      </c>
      <c r="J18" s="161">
        <f>SUMPRODUCT(('MTD Pivot'!$B$3:$B$300=$B18)*('MTD Pivot'!$C$3:$C$300=$A$7)*('MTD Pivot'!$D$2:$K$2=J$2)*'MTD Pivot'!$D$3:$K$300)</f>
        <v/>
      </c>
      <c r="K18" s="161">
        <f>SUMPRODUCT(('MTD Pivot'!$B$3:$B$300=$B18)*('MTD Pivot'!$C$3:$C$300=$A$7)*('MTD Pivot'!$D$2:$K$2=K$2)*'MTD Pivot'!$D$3:$K$300)</f>
        <v/>
      </c>
      <c r="L18" s="161">
        <f>SUMPRODUCT(('MTD Pivot'!$B$3:$B$300=$B18)*('MTD Pivot'!$C$3:$C$300=$A$7)*('MTD Pivot'!$D$2:$K$2=L$2)*'MTD Pivot'!$D$3:$K$300)</f>
        <v/>
      </c>
      <c r="M18" s="161" t="n"/>
      <c r="N18" s="161" t="n"/>
      <c r="O18" s="143">
        <f>L18-K18</f>
        <v/>
      </c>
      <c r="P18" s="170" t="n"/>
      <c r="Q18" s="170" t="n"/>
      <c r="R18" s="170" t="n"/>
      <c r="S18" s="170" t="n"/>
      <c r="T18" s="170" t="n"/>
      <c r="U18" s="170" t="n"/>
      <c r="V18" s="161">
        <f>SUMPRODUCT(('Full month Pivot'!$B$3:$B$300=$B18)*('Full month Pivot'!$C$3:$C$300=$A$7)*('Full month Pivot'!$D$2:$K$2=V$2)*'Full month Pivot'!$D$3:$K$300)</f>
        <v/>
      </c>
      <c r="W18" s="161">
        <f>SUMPRODUCT(('Full month Pivot'!$B$3:$B$300=$B18)*('Full month Pivot'!$C$3:$C$300=$A$7)*('Full month Pivot'!$D$2:$K$2=W$2)*'Full month Pivot'!$D$3:$K$300)</f>
        <v/>
      </c>
      <c r="X18" s="161">
        <f>SUMPRODUCT(('Full month Pivot'!$B$3:$B$300=$B18)*('Full month Pivot'!$C$3:$C$300=$A$7)*('Full month Pivot'!$D$2:$K$2=X$2)*'Full month Pivot'!$D$3:$K$300)</f>
        <v/>
      </c>
      <c r="Y18" s="161">
        <f>SUMPRODUCT(('Full month Pivot'!$B$3:$B$300=$B18)*('Full month Pivot'!$C$3:$C$300=$A$7)*('Full month Pivot'!$D$2:$K$2=Y$2)*'Full month Pivot'!$D$3:$K$300)</f>
        <v/>
      </c>
      <c r="Z18" s="161">
        <f>SUMPRODUCT(('Full month Pivot'!$B$3:$B$300=$B18)*('Full month Pivot'!$C$3:$C$300=$A$7)*('Full month Pivot'!$D$2:$K$2=Z$2)*'Full month Pivot'!$D$3:$K$300)</f>
        <v/>
      </c>
      <c r="AA18" s="161">
        <f>SUMPRODUCT(('Full month Pivot'!$B$3:$B$300=$B18)*('Full month Pivot'!$C$3:$C$300=$A$7)*('Full month Pivot'!$D$2:$K$2=AA$2)*'Full month Pivot'!$D$3:$K$300)</f>
        <v/>
      </c>
      <c r="AB18" s="161" t="n"/>
      <c r="AC18" s="161" t="n"/>
      <c r="AD18" s="143">
        <f>AA18-Z18</f>
        <v/>
      </c>
      <c r="AE18" s="170" t="n"/>
      <c r="AF18" s="170" t="n"/>
      <c r="AG18" s="170" t="n"/>
      <c r="AH18" s="170" t="n"/>
      <c r="AI18" s="170" t="n"/>
      <c r="AJ18" s="170" t="n"/>
    </row>
    <row r="19" hidden="1" outlineLevel="1" ht="15.75" customHeight="1" s="239">
      <c r="A19" s="170" t="n"/>
      <c r="B19" s="170" t="inlineStr">
        <is>
          <t>Bảo Hiểm Ô Tô</t>
        </is>
      </c>
      <c r="C19" s="170" t="n"/>
      <c r="D19" s="170" t="n"/>
      <c r="E19" s="170" t="n"/>
      <c r="F19" s="170" t="n"/>
      <c r="G19" s="161">
        <f>SUMPRODUCT(('MTD Pivot'!$B$3:$B$300=$B19)*('MTD Pivot'!$C$3:$C$300=$A$7)*('MTD Pivot'!$D$2:$K$2=G$2)*'MTD Pivot'!$D$3:$K$300)</f>
        <v/>
      </c>
      <c r="H19" s="161">
        <f>SUMPRODUCT(('MTD Pivot'!$B$3:$B$300=$B19)*('MTD Pivot'!$C$3:$C$300=$A$7)*('MTD Pivot'!$D$2:$K$2=H$2)*'MTD Pivot'!$D$3:$K$300)</f>
        <v/>
      </c>
      <c r="I19" s="161">
        <f>SUMPRODUCT(('MTD Pivot'!$B$3:$B$300=$B19)*('MTD Pivot'!$C$3:$C$300=$A$7)*('MTD Pivot'!$D$2:$K$2=I$2)*'MTD Pivot'!$D$3:$K$300)</f>
        <v/>
      </c>
      <c r="J19" s="161">
        <f>SUMPRODUCT(('MTD Pivot'!$B$3:$B$300=$B19)*('MTD Pivot'!$C$3:$C$300=$A$7)*('MTD Pivot'!$D$2:$K$2=J$2)*'MTD Pivot'!$D$3:$K$300)</f>
        <v/>
      </c>
      <c r="K19" s="161">
        <f>SUMPRODUCT(('MTD Pivot'!$B$3:$B$300=$B19)*('MTD Pivot'!$C$3:$C$300=$A$7)*('MTD Pivot'!$D$2:$K$2=K$2)*'MTD Pivot'!$D$3:$K$300)</f>
        <v/>
      </c>
      <c r="L19" s="161">
        <f>SUMPRODUCT(('MTD Pivot'!$B$3:$B$300=$B19)*('MTD Pivot'!$C$3:$C$300=$A$7)*('MTD Pivot'!$D$2:$K$2=L$2)*'MTD Pivot'!$D$3:$K$300)</f>
        <v/>
      </c>
      <c r="M19" s="161" t="n"/>
      <c r="N19" s="161" t="n"/>
      <c r="O19" s="143">
        <f>L19-K19</f>
        <v/>
      </c>
      <c r="P19" s="170" t="n"/>
      <c r="Q19" s="170" t="n"/>
      <c r="R19" s="170" t="n"/>
      <c r="S19" s="170" t="n"/>
      <c r="T19" s="170" t="n"/>
      <c r="U19" s="170" t="n"/>
      <c r="V19" s="161">
        <f>SUMPRODUCT(('Full month Pivot'!$B$3:$B$300=$B19)*('Full month Pivot'!$C$3:$C$300=$A$7)*('Full month Pivot'!$D$2:$K$2=V$2)*'Full month Pivot'!$D$3:$K$300)</f>
        <v/>
      </c>
      <c r="W19" s="161">
        <f>SUMPRODUCT(('Full month Pivot'!$B$3:$B$300=$B19)*('Full month Pivot'!$C$3:$C$300=$A$7)*('Full month Pivot'!$D$2:$K$2=W$2)*'Full month Pivot'!$D$3:$K$300)</f>
        <v/>
      </c>
      <c r="X19" s="161">
        <f>SUMPRODUCT(('Full month Pivot'!$B$3:$B$300=$B19)*('Full month Pivot'!$C$3:$C$300=$A$7)*('Full month Pivot'!$D$2:$K$2=X$2)*'Full month Pivot'!$D$3:$K$300)</f>
        <v/>
      </c>
      <c r="Y19" s="161">
        <f>SUMPRODUCT(('Full month Pivot'!$B$3:$B$300=$B19)*('Full month Pivot'!$C$3:$C$300=$A$7)*('Full month Pivot'!$D$2:$K$2=Y$2)*'Full month Pivot'!$D$3:$K$300)</f>
        <v/>
      </c>
      <c r="Z19" s="161">
        <f>SUMPRODUCT(('Full month Pivot'!$B$3:$B$300=$B19)*('Full month Pivot'!$C$3:$C$300=$A$7)*('Full month Pivot'!$D$2:$K$2=Z$2)*'Full month Pivot'!$D$3:$K$300)</f>
        <v/>
      </c>
      <c r="AA19" s="161">
        <f>SUMPRODUCT(('Full month Pivot'!$B$3:$B$300=$B19)*('Full month Pivot'!$C$3:$C$300=$A$7)*('Full month Pivot'!$D$2:$K$2=AA$2)*'Full month Pivot'!$D$3:$K$300)</f>
        <v/>
      </c>
      <c r="AB19" s="161" t="n"/>
      <c r="AC19" s="161" t="n"/>
      <c r="AD19" s="143">
        <f>AA19-Z19</f>
        <v/>
      </c>
      <c r="AE19" s="170" t="n"/>
      <c r="AF19" s="170" t="n"/>
      <c r="AG19" s="170" t="n"/>
      <c r="AH19" s="170" t="n"/>
      <c r="AI19" s="170" t="n"/>
      <c r="AJ19" s="170" t="n"/>
    </row>
    <row r="20" hidden="1" outlineLevel="1" ht="15.75" customHeight="1" s="239">
      <c r="A20" s="170" t="n"/>
      <c r="B20" s="170" t="inlineStr">
        <is>
          <t>Bảo Hiểm Xe Máy</t>
        </is>
      </c>
      <c r="C20" s="170" t="n"/>
      <c r="D20" s="170" t="n"/>
      <c r="E20" s="170" t="n"/>
      <c r="F20" s="170" t="n"/>
      <c r="G20" s="161">
        <f>SUMPRODUCT(('MTD Pivot'!$B$3:$B$300=$B20)*('MTD Pivot'!$C$3:$C$300=$A$7)*('MTD Pivot'!$D$2:$K$2=G$2)*'MTD Pivot'!$D$3:$K$300)</f>
        <v/>
      </c>
      <c r="H20" s="161">
        <f>SUMPRODUCT(('MTD Pivot'!$B$3:$B$300=$B20)*('MTD Pivot'!$C$3:$C$300=$A$7)*('MTD Pivot'!$D$2:$K$2=H$2)*'MTD Pivot'!$D$3:$K$300)</f>
        <v/>
      </c>
      <c r="I20" s="161">
        <f>SUMPRODUCT(('MTD Pivot'!$B$3:$B$300=$B20)*('MTD Pivot'!$C$3:$C$300=$A$7)*('MTD Pivot'!$D$2:$K$2=I$2)*'MTD Pivot'!$D$3:$K$300)</f>
        <v/>
      </c>
      <c r="J20" s="161">
        <f>SUMPRODUCT(('MTD Pivot'!$B$3:$B$300=$B20)*('MTD Pivot'!$C$3:$C$300=$A$7)*('MTD Pivot'!$D$2:$K$2=J$2)*'MTD Pivot'!$D$3:$K$300)</f>
        <v/>
      </c>
      <c r="K20" s="161">
        <f>SUMPRODUCT(('MTD Pivot'!$B$3:$B$300=$B20)*('MTD Pivot'!$C$3:$C$300=$A$7)*('MTD Pivot'!$D$2:$K$2=K$2)*'MTD Pivot'!$D$3:$K$300)</f>
        <v/>
      </c>
      <c r="L20" s="161">
        <f>SUMPRODUCT(('MTD Pivot'!$B$3:$B$300=$B20)*('MTD Pivot'!$C$3:$C$300=$A$7)*('MTD Pivot'!$D$2:$K$2=L$2)*'MTD Pivot'!$D$3:$K$300)</f>
        <v/>
      </c>
      <c r="M20" s="161" t="n"/>
      <c r="N20" s="161" t="n"/>
      <c r="O20" s="143">
        <f>L20-K20</f>
        <v/>
      </c>
      <c r="P20" s="170" t="n"/>
      <c r="Q20" s="170" t="n"/>
      <c r="R20" s="170" t="n"/>
      <c r="S20" s="170" t="n"/>
      <c r="T20" s="170" t="n"/>
      <c r="U20" s="170" t="n"/>
      <c r="V20" s="161">
        <f>SUMPRODUCT(('Full month Pivot'!$B$3:$B$300=$B20)*('Full month Pivot'!$C$3:$C$300=$A$7)*('Full month Pivot'!$D$2:$K$2=V$2)*'Full month Pivot'!$D$3:$K$300)</f>
        <v/>
      </c>
      <c r="W20" s="161">
        <f>SUMPRODUCT(('Full month Pivot'!$B$3:$B$300=$B20)*('Full month Pivot'!$C$3:$C$300=$A$7)*('Full month Pivot'!$D$2:$K$2=W$2)*'Full month Pivot'!$D$3:$K$300)</f>
        <v/>
      </c>
      <c r="X20" s="161">
        <f>SUMPRODUCT(('Full month Pivot'!$B$3:$B$300=$B20)*('Full month Pivot'!$C$3:$C$300=$A$7)*('Full month Pivot'!$D$2:$K$2=X$2)*'Full month Pivot'!$D$3:$K$300)</f>
        <v/>
      </c>
      <c r="Y20" s="161">
        <f>SUMPRODUCT(('Full month Pivot'!$B$3:$B$300=$B20)*('Full month Pivot'!$C$3:$C$300=$A$7)*('Full month Pivot'!$D$2:$K$2=Y$2)*'Full month Pivot'!$D$3:$K$300)</f>
        <v/>
      </c>
      <c r="Z20" s="161">
        <f>SUMPRODUCT(('Full month Pivot'!$B$3:$B$300=$B20)*('Full month Pivot'!$C$3:$C$300=$A$7)*('Full month Pivot'!$D$2:$K$2=Z$2)*'Full month Pivot'!$D$3:$K$300)</f>
        <v/>
      </c>
      <c r="AA20" s="161">
        <f>SUMPRODUCT(('Full month Pivot'!$B$3:$B$300=$B20)*('Full month Pivot'!$C$3:$C$300=$A$7)*('Full month Pivot'!$D$2:$K$2=AA$2)*'Full month Pivot'!$D$3:$K$300)</f>
        <v/>
      </c>
      <c r="AB20" s="161" t="n"/>
      <c r="AC20" s="161" t="n"/>
      <c r="AD20" s="143">
        <f>AA20-Z20</f>
        <v/>
      </c>
      <c r="AE20" s="170" t="n"/>
      <c r="AF20" s="170" t="n"/>
      <c r="AG20" s="170" t="n"/>
      <c r="AH20" s="170" t="n"/>
      <c r="AI20" s="170" t="n"/>
      <c r="AJ20" s="170" t="n"/>
    </row>
    <row r="21" hidden="1" outlineLevel="1" ht="15.75" customHeight="1" s="239">
      <c r="A21" s="170" t="n"/>
      <c r="B21" s="170" t="inlineStr">
        <is>
          <t>Bảo Hiểm Y Tế</t>
        </is>
      </c>
      <c r="C21" s="170" t="n"/>
      <c r="D21" s="170" t="n"/>
      <c r="E21" s="170" t="n"/>
      <c r="F21" s="170" t="n"/>
      <c r="G21" s="161">
        <f>SUMPRODUCT(('MTD Pivot'!$B$3:$B$300=$B21)*('MTD Pivot'!$C$3:$C$300=$A$7)*('MTD Pivot'!$D$2:$K$2=G$2)*'MTD Pivot'!$D$3:$K$300)</f>
        <v/>
      </c>
      <c r="H21" s="161">
        <f>SUMPRODUCT(('MTD Pivot'!$B$3:$B$300=$B21)*('MTD Pivot'!$C$3:$C$300=$A$7)*('MTD Pivot'!$D$2:$K$2=H$2)*'MTD Pivot'!$D$3:$K$300)</f>
        <v/>
      </c>
      <c r="I21" s="161">
        <f>SUMPRODUCT(('MTD Pivot'!$B$3:$B$300=$B21)*('MTD Pivot'!$C$3:$C$300=$A$7)*('MTD Pivot'!$D$2:$K$2=I$2)*'MTD Pivot'!$D$3:$K$300)</f>
        <v/>
      </c>
      <c r="J21" s="161">
        <f>SUMPRODUCT(('MTD Pivot'!$B$3:$B$300=$B21)*('MTD Pivot'!$C$3:$C$300=$A$7)*('MTD Pivot'!$D$2:$K$2=J$2)*'MTD Pivot'!$D$3:$K$300)</f>
        <v/>
      </c>
      <c r="K21" s="161">
        <f>SUMPRODUCT(('MTD Pivot'!$B$3:$B$300=$B21)*('MTD Pivot'!$C$3:$C$300=$A$7)*('MTD Pivot'!$D$2:$K$2=K$2)*'MTD Pivot'!$D$3:$K$300)</f>
        <v/>
      </c>
      <c r="L21" s="161">
        <f>SUMPRODUCT(('MTD Pivot'!$B$3:$B$300=$B21)*('MTD Pivot'!$C$3:$C$300=$A$7)*('MTD Pivot'!$D$2:$K$2=L$2)*'MTD Pivot'!$D$3:$K$300)</f>
        <v/>
      </c>
      <c r="M21" s="161" t="n"/>
      <c r="N21" s="161" t="n"/>
      <c r="O21" s="143">
        <f>L21-K21</f>
        <v/>
      </c>
      <c r="P21" s="170" t="n"/>
      <c r="Q21" s="170" t="n"/>
      <c r="R21" s="170" t="n"/>
      <c r="S21" s="170" t="n"/>
      <c r="T21" s="170" t="n"/>
      <c r="U21" s="170" t="n"/>
      <c r="V21" s="161">
        <f>SUMPRODUCT(('Full month Pivot'!$B$3:$B$300=$B21)*('Full month Pivot'!$C$3:$C$300=$A$7)*('Full month Pivot'!$D$2:$K$2=V$2)*'Full month Pivot'!$D$3:$K$300)</f>
        <v/>
      </c>
      <c r="W21" s="161">
        <f>SUMPRODUCT(('Full month Pivot'!$B$3:$B$300=$B21)*('Full month Pivot'!$C$3:$C$300=$A$7)*('Full month Pivot'!$D$2:$K$2=W$2)*'Full month Pivot'!$D$3:$K$300)</f>
        <v/>
      </c>
      <c r="X21" s="161">
        <f>SUMPRODUCT(('Full month Pivot'!$B$3:$B$300=$B21)*('Full month Pivot'!$C$3:$C$300=$A$7)*('Full month Pivot'!$D$2:$K$2=X$2)*'Full month Pivot'!$D$3:$K$300)</f>
        <v/>
      </c>
      <c r="Y21" s="161">
        <f>SUMPRODUCT(('Full month Pivot'!$B$3:$B$300=$B21)*('Full month Pivot'!$C$3:$C$300=$A$7)*('Full month Pivot'!$D$2:$K$2=Y$2)*'Full month Pivot'!$D$3:$K$300)</f>
        <v/>
      </c>
      <c r="Z21" s="161">
        <f>SUMPRODUCT(('Full month Pivot'!$B$3:$B$300=$B21)*('Full month Pivot'!$C$3:$C$300=$A$7)*('Full month Pivot'!$D$2:$K$2=Z$2)*'Full month Pivot'!$D$3:$K$300)</f>
        <v/>
      </c>
      <c r="AA21" s="161">
        <f>SUMPRODUCT(('Full month Pivot'!$B$3:$B$300=$B21)*('Full month Pivot'!$C$3:$C$300=$A$7)*('Full month Pivot'!$D$2:$K$2=AA$2)*'Full month Pivot'!$D$3:$K$300)</f>
        <v/>
      </c>
      <c r="AB21" s="161" t="n"/>
      <c r="AC21" s="161" t="n"/>
      <c r="AD21" s="143">
        <f>AA21-Z21</f>
        <v/>
      </c>
      <c r="AE21" s="170" t="n"/>
      <c r="AF21" s="170" t="n"/>
      <c r="AG21" s="170" t="n"/>
      <c r="AH21" s="170" t="n"/>
      <c r="AI21" s="170" t="n"/>
      <c r="AJ21" s="170" t="n"/>
    </row>
    <row r="22" hidden="1" outlineLevel="1" ht="15.75" customHeight="1" s="239">
      <c r="A22" s="170" t="n"/>
      <c r="B22" s="170" t="inlineStr">
        <is>
          <t>Data</t>
        </is>
      </c>
      <c r="C22" s="170" t="n"/>
      <c r="D22" s="170" t="n"/>
      <c r="E22" s="170" t="n"/>
      <c r="F22" s="170" t="n"/>
      <c r="G22" s="161">
        <f>SUMPRODUCT(('MTD Pivot'!$B$3:$B$300=$B22)*('MTD Pivot'!$C$3:$C$300=$A$7)*('MTD Pivot'!$D$2:$K$2=G$2)*'MTD Pivot'!$D$3:$K$300)</f>
        <v/>
      </c>
      <c r="H22" s="161">
        <f>SUMPRODUCT(('MTD Pivot'!$B$3:$B$300=$B22)*('MTD Pivot'!$C$3:$C$300=$A$7)*('MTD Pivot'!$D$2:$K$2=H$2)*'MTD Pivot'!$D$3:$K$300)</f>
        <v/>
      </c>
      <c r="I22" s="161">
        <f>SUMPRODUCT(('MTD Pivot'!$B$3:$B$300=$B22)*('MTD Pivot'!$C$3:$C$300=$A$7)*('MTD Pivot'!$D$2:$K$2=I$2)*'MTD Pivot'!$D$3:$K$300)</f>
        <v/>
      </c>
      <c r="J22" s="161">
        <f>SUMPRODUCT(('MTD Pivot'!$B$3:$B$300=$B22)*('MTD Pivot'!$C$3:$C$300=$A$7)*('MTD Pivot'!$D$2:$K$2=J$2)*'MTD Pivot'!$D$3:$K$300)</f>
        <v/>
      </c>
      <c r="K22" s="161">
        <f>SUMPRODUCT(('MTD Pivot'!$B$3:$B$300=$B22)*('MTD Pivot'!$C$3:$C$300=$A$7)*('MTD Pivot'!$D$2:$K$2=K$2)*'MTD Pivot'!$D$3:$K$300)</f>
        <v/>
      </c>
      <c r="L22" s="161">
        <f>SUMPRODUCT(('MTD Pivot'!$B$3:$B$300=$B22)*('MTD Pivot'!$C$3:$C$300=$A$7)*('MTD Pivot'!$D$2:$K$2=L$2)*'MTD Pivot'!$D$3:$K$300)</f>
        <v/>
      </c>
      <c r="M22" s="161" t="n"/>
      <c r="N22" s="161" t="n"/>
      <c r="O22" s="143">
        <f>L22-K22</f>
        <v/>
      </c>
      <c r="P22" s="170" t="n"/>
      <c r="Q22" s="170" t="n"/>
      <c r="R22" s="170" t="n"/>
      <c r="S22" s="170" t="n"/>
      <c r="T22" s="170" t="n"/>
      <c r="U22" s="170" t="n"/>
      <c r="V22" s="161">
        <f>SUMPRODUCT(('Full month Pivot'!$B$3:$B$300=$B22)*('Full month Pivot'!$C$3:$C$300=$A$7)*('Full month Pivot'!$D$2:$K$2=V$2)*'Full month Pivot'!$D$3:$K$300)</f>
        <v/>
      </c>
      <c r="W22" s="161">
        <f>SUMPRODUCT(('Full month Pivot'!$B$3:$B$300=$B22)*('Full month Pivot'!$C$3:$C$300=$A$7)*('Full month Pivot'!$D$2:$K$2=W$2)*'Full month Pivot'!$D$3:$K$300)</f>
        <v/>
      </c>
      <c r="X22" s="161">
        <f>SUMPRODUCT(('Full month Pivot'!$B$3:$B$300=$B22)*('Full month Pivot'!$C$3:$C$300=$A$7)*('Full month Pivot'!$D$2:$K$2=X$2)*'Full month Pivot'!$D$3:$K$300)</f>
        <v/>
      </c>
      <c r="Y22" s="161">
        <f>SUMPRODUCT(('Full month Pivot'!$B$3:$B$300=$B22)*('Full month Pivot'!$C$3:$C$300=$A$7)*('Full month Pivot'!$D$2:$K$2=Y$2)*'Full month Pivot'!$D$3:$K$300)</f>
        <v/>
      </c>
      <c r="Z22" s="161">
        <f>SUMPRODUCT(('Full month Pivot'!$B$3:$B$300=$B22)*('Full month Pivot'!$C$3:$C$300=$A$7)*('Full month Pivot'!$D$2:$K$2=Z$2)*'Full month Pivot'!$D$3:$K$300)</f>
        <v/>
      </c>
      <c r="AA22" s="161">
        <f>SUMPRODUCT(('Full month Pivot'!$B$3:$B$300=$B22)*('Full month Pivot'!$C$3:$C$300=$A$7)*('Full month Pivot'!$D$2:$K$2=AA$2)*'Full month Pivot'!$D$3:$K$300)</f>
        <v/>
      </c>
      <c r="AB22" s="161" t="n"/>
      <c r="AC22" s="161" t="n"/>
      <c r="AD22" s="143">
        <f>AA22-Z22</f>
        <v/>
      </c>
      <c r="AE22" s="170" t="n"/>
      <c r="AF22" s="170" t="n"/>
      <c r="AG22" s="170" t="n"/>
      <c r="AH22" s="170" t="n"/>
      <c r="AI22" s="170" t="n"/>
      <c r="AJ22" s="170" t="n"/>
    </row>
    <row r="23" hidden="1" outlineLevel="1" ht="15.75" customHeight="1" s="239">
      <c r="A23" s="170" t="n"/>
      <c r="B23" s="170" t="inlineStr">
        <is>
          <t>Soundbox</t>
        </is>
      </c>
      <c r="C23" s="170" t="n"/>
      <c r="D23" s="170" t="n"/>
      <c r="E23" s="170" t="n"/>
      <c r="F23" s="170" t="n"/>
      <c r="G23" s="161">
        <f>SUMPRODUCT(('MTD Pivot'!$B$3:$B$300=$B23)*('MTD Pivot'!$C$3:$C$300=$A$7)*('MTD Pivot'!$D$2:$K$2=G$2)*'MTD Pivot'!$D$3:$K$300)</f>
        <v/>
      </c>
      <c r="H23" s="161">
        <f>SUMPRODUCT(('MTD Pivot'!$B$3:$B$300=$B23)*('MTD Pivot'!$C$3:$C$300=$A$7)*('MTD Pivot'!$D$2:$K$2=H$2)*'MTD Pivot'!$D$3:$K$300)</f>
        <v/>
      </c>
      <c r="I23" s="161">
        <f>SUMPRODUCT(('MTD Pivot'!$B$3:$B$300=$B23)*('MTD Pivot'!$C$3:$C$300=$A$7)*('MTD Pivot'!$D$2:$K$2=I$2)*'MTD Pivot'!$D$3:$K$300)</f>
        <v/>
      </c>
      <c r="J23" s="161">
        <f>SUMPRODUCT(('MTD Pivot'!$B$3:$B$300=$B23)*('MTD Pivot'!$C$3:$C$300=$A$7)*('MTD Pivot'!$D$2:$K$2=J$2)*'MTD Pivot'!$D$3:$K$300)</f>
        <v/>
      </c>
      <c r="K23" s="161">
        <f>SUMPRODUCT(('MTD Pivot'!$B$3:$B$300=$B23)*('MTD Pivot'!$C$3:$C$300=$A$7)*('MTD Pivot'!$D$2:$K$2=K$2)*'MTD Pivot'!$D$3:$K$300)</f>
        <v/>
      </c>
      <c r="L23" s="161">
        <f>SUMPRODUCT(('MTD Pivot'!$B$3:$B$300=$B23)*('MTD Pivot'!$C$3:$C$300=$A$7)*('MTD Pivot'!$D$2:$K$2=L$2)*'MTD Pivot'!$D$3:$K$300)</f>
        <v/>
      </c>
      <c r="M23" s="161" t="n"/>
      <c r="N23" s="161" t="n"/>
      <c r="O23" s="143">
        <f>L23-K23</f>
        <v/>
      </c>
      <c r="P23" s="170" t="n"/>
      <c r="Q23" s="170" t="n"/>
      <c r="R23" s="170" t="n"/>
      <c r="S23" s="170" t="n"/>
      <c r="T23" s="170" t="n"/>
      <c r="U23" s="170" t="n"/>
      <c r="V23" s="161">
        <f>SUMPRODUCT(('Full month Pivot'!$B$3:$B$300=$B23)*('Full month Pivot'!$C$3:$C$300=$A$7)*('Full month Pivot'!$D$2:$K$2=V$2)*'Full month Pivot'!$D$3:$K$300)</f>
        <v/>
      </c>
      <c r="W23" s="161">
        <f>SUMPRODUCT(('Full month Pivot'!$B$3:$B$300=$B23)*('Full month Pivot'!$C$3:$C$300=$A$7)*('Full month Pivot'!$D$2:$K$2=W$2)*'Full month Pivot'!$D$3:$K$300)</f>
        <v/>
      </c>
      <c r="X23" s="161">
        <f>SUMPRODUCT(('Full month Pivot'!$B$3:$B$300=$B23)*('Full month Pivot'!$C$3:$C$300=$A$7)*('Full month Pivot'!$D$2:$K$2=X$2)*'Full month Pivot'!$D$3:$K$300)</f>
        <v/>
      </c>
      <c r="Y23" s="161">
        <f>SUMPRODUCT(('Full month Pivot'!$B$3:$B$300=$B23)*('Full month Pivot'!$C$3:$C$300=$A$7)*('Full month Pivot'!$D$2:$K$2=Y$2)*'Full month Pivot'!$D$3:$K$300)</f>
        <v/>
      </c>
      <c r="Z23" s="161">
        <f>SUMPRODUCT(('Full month Pivot'!$B$3:$B$300=$B23)*('Full month Pivot'!$C$3:$C$300=$A$7)*('Full month Pivot'!$D$2:$K$2=Z$2)*'Full month Pivot'!$D$3:$K$300)</f>
        <v/>
      </c>
      <c r="AA23" s="161">
        <f>SUMPRODUCT(('Full month Pivot'!$B$3:$B$300=$B23)*('Full month Pivot'!$C$3:$C$300=$A$7)*('Full month Pivot'!$D$2:$K$2=AA$2)*'Full month Pivot'!$D$3:$K$300)</f>
        <v/>
      </c>
      <c r="AB23" s="161" t="n"/>
      <c r="AC23" s="161" t="n"/>
      <c r="AD23" s="143">
        <f>AA23-Z23</f>
        <v/>
      </c>
      <c r="AE23" s="170" t="n"/>
      <c r="AF23" s="170" t="n"/>
      <c r="AG23" s="170" t="n"/>
      <c r="AH23" s="170" t="n"/>
      <c r="AI23" s="170" t="n"/>
      <c r="AJ23" s="170" t="n"/>
    </row>
    <row r="24" hidden="1" outlineLevel="1" ht="15.75" customHeight="1" s="239">
      <c r="A24" s="171" t="n"/>
      <c r="B24" s="170" t="inlineStr">
        <is>
          <t>New User</t>
        </is>
      </c>
      <c r="C24" s="171" t="n"/>
      <c r="D24" s="171" t="n"/>
      <c r="E24" s="171" t="n"/>
      <c r="F24" s="171" t="n"/>
      <c r="G24" s="161">
        <f>SUMPRODUCT(('MTD Pivot'!$B$3:$B$300=$B24)*('MTD Pivot'!$C$3:$C$300=$A$7)*('MTD Pivot'!$D$2:$K$2=G$2)*'MTD Pivot'!$D$3:$K$300)</f>
        <v/>
      </c>
      <c r="H24" s="161">
        <f>SUMPRODUCT(('MTD Pivot'!$B$3:$B$300=$B24)*('MTD Pivot'!$C$3:$C$300=$A$7)*('MTD Pivot'!$D$2:$K$2=H$2)*'MTD Pivot'!$D$3:$K$300)</f>
        <v/>
      </c>
      <c r="I24" s="161">
        <f>SUMPRODUCT(('MTD Pivot'!$B$3:$B$300=$B24)*('MTD Pivot'!$C$3:$C$300=$A$7)*('MTD Pivot'!$D$2:$K$2=I$2)*'MTD Pivot'!$D$3:$K$300)</f>
        <v/>
      </c>
      <c r="J24" s="161">
        <f>SUMPRODUCT(('MTD Pivot'!$B$3:$B$300=$B24)*('MTD Pivot'!$C$3:$C$300=$A$7)*('MTD Pivot'!$D$2:$K$2=J$2)*'MTD Pivot'!$D$3:$K$300)</f>
        <v/>
      </c>
      <c r="K24" s="161">
        <f>SUMPRODUCT(('MTD Pivot'!$B$3:$B$300=$B24)*('MTD Pivot'!$C$3:$C$300=$A$7)*('MTD Pivot'!$D$2:$K$2=K$2)*'MTD Pivot'!$D$3:$K$300)</f>
        <v/>
      </c>
      <c r="L24" s="161">
        <f>SUMPRODUCT(('MTD Pivot'!$B$3:$B$300=$B24)*('MTD Pivot'!$C$3:$C$300=$A$7)*('MTD Pivot'!$D$2:$K$2=L$2)*'MTD Pivot'!$D$3:$K$300)</f>
        <v/>
      </c>
      <c r="M24" s="172" t="n"/>
      <c r="N24" s="172" t="n"/>
      <c r="O24" s="143">
        <f>L24-K24</f>
        <v/>
      </c>
      <c r="P24" s="171" t="n"/>
      <c r="Q24" s="171" t="n"/>
      <c r="R24" s="171" t="n"/>
      <c r="S24" s="171" t="n"/>
      <c r="T24" s="171" t="n"/>
      <c r="U24" s="171" t="n"/>
      <c r="V24" s="161">
        <f>SUMPRODUCT(('Full month Pivot'!$B$3:$B$300=$B24)*('Full month Pivot'!$C$3:$C$300=$A$7)*('Full month Pivot'!$D$2:$K$2=V$2)*'Full month Pivot'!$D$3:$K$300)</f>
        <v/>
      </c>
      <c r="W24" s="161">
        <f>SUMPRODUCT(('Full month Pivot'!$B$3:$B$300=$B24)*('Full month Pivot'!$C$3:$C$300=$A$7)*('Full month Pivot'!$D$2:$K$2=W$2)*'Full month Pivot'!$D$3:$K$300)</f>
        <v/>
      </c>
      <c r="X24" s="161">
        <f>SUMPRODUCT(('Full month Pivot'!$B$3:$B$300=$B24)*('Full month Pivot'!$C$3:$C$300=$A$7)*('Full month Pivot'!$D$2:$K$2=X$2)*'Full month Pivot'!$D$3:$K$300)</f>
        <v/>
      </c>
      <c r="Y24" s="161">
        <f>SUMPRODUCT(('Full month Pivot'!$B$3:$B$300=$B24)*('Full month Pivot'!$C$3:$C$300=$A$7)*('Full month Pivot'!$D$2:$K$2=Y$2)*'Full month Pivot'!$D$3:$K$300)</f>
        <v/>
      </c>
      <c r="Z24" s="161">
        <f>SUMPRODUCT(('Full month Pivot'!$B$3:$B$300=$B24)*('Full month Pivot'!$C$3:$C$300=$A$7)*('Full month Pivot'!$D$2:$K$2=Z$2)*'Full month Pivot'!$D$3:$K$300)</f>
        <v/>
      </c>
      <c r="AA24" s="161">
        <f>SUMPRODUCT(('Full month Pivot'!$B$3:$B$300=$B24)*('Full month Pivot'!$C$3:$C$300=$A$7)*('Full month Pivot'!$D$2:$K$2=AA$2)*'Full month Pivot'!$D$3:$K$300)</f>
        <v/>
      </c>
      <c r="AB24" s="172" t="n"/>
      <c r="AC24" s="172" t="n"/>
      <c r="AD24" s="143">
        <f>AA24-Z24</f>
        <v/>
      </c>
      <c r="AE24" s="171" t="n"/>
      <c r="AF24" s="171" t="n"/>
      <c r="AG24" s="171" t="n"/>
      <c r="AH24" s="171" t="n"/>
      <c r="AI24" s="171" t="n"/>
      <c r="AJ24" s="171" t="n"/>
    </row>
    <row r="25" hidden="1" outlineLevel="1" ht="15.75" customHeight="1" s="239">
      <c r="A25" s="171" t="n"/>
      <c r="B25" s="170" t="inlineStr">
        <is>
          <t>Hỏi đáp</t>
        </is>
      </c>
      <c r="C25" s="171" t="n"/>
      <c r="D25" s="171" t="n"/>
      <c r="E25" s="171" t="n"/>
      <c r="F25" s="171" t="n"/>
      <c r="G25" s="161">
        <f>SUMPRODUCT(('MTD Pivot'!$B$3:$B$300=$B25)*('MTD Pivot'!$C$3:$C$300=$A$7)*('MTD Pivot'!$D$2:$K$2=G$2)*'MTD Pivot'!$D$3:$K$300)</f>
        <v/>
      </c>
      <c r="H25" s="161">
        <f>SUMPRODUCT(('MTD Pivot'!$B$3:$B$300=$B25)*('MTD Pivot'!$C$3:$C$300=$A$7)*('MTD Pivot'!$D$2:$K$2=H$2)*'MTD Pivot'!$D$3:$K$300)</f>
        <v/>
      </c>
      <c r="I25" s="161">
        <f>SUMPRODUCT(('MTD Pivot'!$B$3:$B$300=$B25)*('MTD Pivot'!$C$3:$C$300=$A$7)*('MTD Pivot'!$D$2:$K$2=I$2)*'MTD Pivot'!$D$3:$K$300)</f>
        <v/>
      </c>
      <c r="J25" s="161">
        <f>SUMPRODUCT(('MTD Pivot'!$B$3:$B$300=$B25)*('MTD Pivot'!$C$3:$C$300=$A$7)*('MTD Pivot'!$D$2:$K$2=J$2)*'MTD Pivot'!$D$3:$K$300)</f>
        <v/>
      </c>
      <c r="K25" s="161">
        <f>SUMPRODUCT(('MTD Pivot'!$B$3:$B$300=$B25)*('MTD Pivot'!$C$3:$C$300=$A$7)*('MTD Pivot'!$D$2:$K$2=K$2)*'MTD Pivot'!$D$3:$K$300)</f>
        <v/>
      </c>
      <c r="L25" s="161">
        <f>SUMPRODUCT(('MTD Pivot'!$B$3:$B$300=$B25)*('MTD Pivot'!$C$3:$C$300=$A$7)*('MTD Pivot'!$D$2:$K$2=L$2)*'MTD Pivot'!$D$3:$K$300)</f>
        <v/>
      </c>
      <c r="M25" s="172" t="n"/>
      <c r="N25" s="172" t="n"/>
      <c r="O25" s="143">
        <f>L25-K25</f>
        <v/>
      </c>
      <c r="P25" s="171" t="n"/>
      <c r="Q25" s="171" t="n"/>
      <c r="R25" s="171" t="n"/>
      <c r="S25" s="171" t="n"/>
      <c r="T25" s="171" t="n"/>
      <c r="U25" s="171" t="n"/>
      <c r="V25" s="161">
        <f>SUMPRODUCT(('Full month Pivot'!$B$3:$B$300=$B25)*('Full month Pivot'!$C$3:$C$300=$A$7)*('Full month Pivot'!$D$2:$K$2=V$2)*'Full month Pivot'!$D$3:$K$300)</f>
        <v/>
      </c>
      <c r="W25" s="161">
        <f>SUMPRODUCT(('Full month Pivot'!$B$3:$B$300=$B25)*('Full month Pivot'!$C$3:$C$300=$A$7)*('Full month Pivot'!$D$2:$K$2=W$2)*'Full month Pivot'!$D$3:$K$300)</f>
        <v/>
      </c>
      <c r="X25" s="161">
        <f>SUMPRODUCT(('Full month Pivot'!$B$3:$B$300=$B25)*('Full month Pivot'!$C$3:$C$300=$A$7)*('Full month Pivot'!$D$2:$K$2=X$2)*'Full month Pivot'!$D$3:$K$300)</f>
        <v/>
      </c>
      <c r="Y25" s="161">
        <f>SUMPRODUCT(('Full month Pivot'!$B$3:$B$300=$B25)*('Full month Pivot'!$C$3:$C$300=$A$7)*('Full month Pivot'!$D$2:$K$2=Y$2)*'Full month Pivot'!$D$3:$K$300)</f>
        <v/>
      </c>
      <c r="Z25" s="161">
        <f>SUMPRODUCT(('Full month Pivot'!$B$3:$B$300=$B25)*('Full month Pivot'!$C$3:$C$300=$A$7)*('Full month Pivot'!$D$2:$K$2=Z$2)*'Full month Pivot'!$D$3:$K$300)</f>
        <v/>
      </c>
      <c r="AA25" s="161">
        <f>SUMPRODUCT(('Full month Pivot'!$B$3:$B$300=$B25)*('Full month Pivot'!$C$3:$C$300=$A$7)*('Full month Pivot'!$D$2:$K$2=AA$2)*'Full month Pivot'!$D$3:$K$300)</f>
        <v/>
      </c>
      <c r="AB25" s="172" t="n"/>
      <c r="AC25" s="172" t="n"/>
      <c r="AD25" s="143">
        <f>AA25-Z25</f>
        <v/>
      </c>
      <c r="AE25" s="171" t="n"/>
      <c r="AF25" s="171" t="n"/>
      <c r="AG25" s="171" t="n"/>
      <c r="AH25" s="171" t="n"/>
      <c r="AI25" s="171" t="n"/>
      <c r="AJ25" s="171" t="n"/>
    </row>
    <row r="26" hidden="1" outlineLevel="1" ht="15.75" customHeight="1" s="239">
      <c r="A26" s="171" t="n"/>
      <c r="B26" s="170" t="inlineStr">
        <is>
          <t>TnC</t>
        </is>
      </c>
      <c r="C26" s="171" t="n"/>
      <c r="D26" s="171" t="n"/>
      <c r="E26" s="171" t="n"/>
      <c r="F26" s="171" t="n"/>
      <c r="G26" s="161">
        <f>SUMPRODUCT(('MTD Pivot'!$B$3:$B$300=$B26)*('MTD Pivot'!$C$3:$C$300=$A$7)*('MTD Pivot'!$D$2:$K$2=G$2)*'MTD Pivot'!$D$3:$K$300)</f>
        <v/>
      </c>
      <c r="H26" s="161">
        <f>SUMPRODUCT(('MTD Pivot'!$B$3:$B$300=$B26)*('MTD Pivot'!$C$3:$C$300=$A$7)*('MTD Pivot'!$D$2:$K$2=H$2)*'MTD Pivot'!$D$3:$K$300)</f>
        <v/>
      </c>
      <c r="I26" s="161">
        <f>SUMPRODUCT(('MTD Pivot'!$B$3:$B$300=$B26)*('MTD Pivot'!$C$3:$C$300=$A$7)*('MTD Pivot'!$D$2:$K$2=I$2)*'MTD Pivot'!$D$3:$K$300)</f>
        <v/>
      </c>
      <c r="J26" s="161">
        <f>SUMPRODUCT(('MTD Pivot'!$B$3:$B$300=$B26)*('MTD Pivot'!$C$3:$C$300=$A$7)*('MTD Pivot'!$D$2:$K$2=J$2)*'MTD Pivot'!$D$3:$K$300)</f>
        <v/>
      </c>
      <c r="K26" s="161">
        <f>SUMPRODUCT(('MTD Pivot'!$B$3:$B$300=$B26)*('MTD Pivot'!$C$3:$C$300=$A$7)*('MTD Pivot'!$D$2:$K$2=K$2)*'MTD Pivot'!$D$3:$K$300)</f>
        <v/>
      </c>
      <c r="L26" s="161">
        <f>SUMPRODUCT(('MTD Pivot'!$B$3:$B$300=$B26)*('MTD Pivot'!$C$3:$C$300=$A$7)*('MTD Pivot'!$D$2:$K$2=L$2)*'MTD Pivot'!$D$3:$K$300)</f>
        <v/>
      </c>
      <c r="M26" s="172" t="n"/>
      <c r="N26" s="172" t="n"/>
      <c r="O26" s="143">
        <f>L26-K26</f>
        <v/>
      </c>
      <c r="P26" s="171" t="n"/>
      <c r="Q26" s="171" t="n"/>
      <c r="R26" s="171" t="n"/>
      <c r="S26" s="171" t="n"/>
      <c r="T26" s="171" t="n"/>
      <c r="U26" s="171" t="n"/>
      <c r="V26" s="161">
        <f>SUMPRODUCT(('Full month Pivot'!$B$3:$B$300=$B26)*('Full month Pivot'!$C$3:$C$300=$A$7)*('Full month Pivot'!$D$2:$K$2=V$2)*'Full month Pivot'!$D$3:$K$300)</f>
        <v/>
      </c>
      <c r="W26" s="161">
        <f>SUMPRODUCT(('Full month Pivot'!$B$3:$B$300=$B26)*('Full month Pivot'!$C$3:$C$300=$A$7)*('Full month Pivot'!$D$2:$K$2=W$2)*'Full month Pivot'!$D$3:$K$300)</f>
        <v/>
      </c>
      <c r="X26" s="161">
        <f>SUMPRODUCT(('Full month Pivot'!$B$3:$B$300=$B26)*('Full month Pivot'!$C$3:$C$300=$A$7)*('Full month Pivot'!$D$2:$K$2=X$2)*'Full month Pivot'!$D$3:$K$300)</f>
        <v/>
      </c>
      <c r="Y26" s="161">
        <f>SUMPRODUCT(('Full month Pivot'!$B$3:$B$300=$B26)*('Full month Pivot'!$C$3:$C$300=$A$7)*('Full month Pivot'!$D$2:$K$2=Y$2)*'Full month Pivot'!$D$3:$K$300)</f>
        <v/>
      </c>
      <c r="Z26" s="161">
        <f>SUMPRODUCT(('Full month Pivot'!$B$3:$B$300=$B26)*('Full month Pivot'!$C$3:$C$300=$A$7)*('Full month Pivot'!$D$2:$K$2=Z$2)*'Full month Pivot'!$D$3:$K$300)</f>
        <v/>
      </c>
      <c r="AA26" s="161">
        <f>SUMPRODUCT(('Full month Pivot'!$B$3:$B$300=$B26)*('Full month Pivot'!$C$3:$C$300=$A$7)*('Full month Pivot'!$D$2:$K$2=AA$2)*'Full month Pivot'!$D$3:$K$300)</f>
        <v/>
      </c>
      <c r="AB26" s="172" t="n"/>
      <c r="AC26" s="172" t="n"/>
      <c r="AD26" s="143">
        <f>AA26-Z26</f>
        <v/>
      </c>
      <c r="AE26" s="171" t="n"/>
      <c r="AF26" s="171" t="n"/>
      <c r="AG26" s="171" t="n"/>
      <c r="AH26" s="171" t="n"/>
      <c r="AI26" s="171" t="n"/>
      <c r="AJ26" s="171" t="n"/>
    </row>
    <row r="27" hidden="1" outlineLevel="1" ht="15.75" customHeight="1" s="239">
      <c r="A27" s="171" t="n"/>
      <c r="B27" s="170" t="inlineStr">
        <is>
          <t>Trust</t>
        </is>
      </c>
      <c r="C27" s="171" t="n"/>
      <c r="D27" s="171" t="n"/>
      <c r="E27" s="171" t="n"/>
      <c r="F27" s="171" t="n"/>
      <c r="G27" s="161">
        <f>SUMPRODUCT(('MTD Pivot'!$B$3:$B$300=$B27)*('MTD Pivot'!$C$3:$C$300=$A$7)*('MTD Pivot'!$D$2:$K$2=G$2)*'MTD Pivot'!$D$3:$K$300)</f>
        <v/>
      </c>
      <c r="H27" s="161">
        <f>SUMPRODUCT(('MTD Pivot'!$B$3:$B$300=$B27)*('MTD Pivot'!$C$3:$C$300=$A$7)*('MTD Pivot'!$D$2:$K$2=H$2)*'MTD Pivot'!$D$3:$K$300)</f>
        <v/>
      </c>
      <c r="I27" s="161">
        <f>SUMPRODUCT(('MTD Pivot'!$B$3:$B$300=$B27)*('MTD Pivot'!$C$3:$C$300=$A$7)*('MTD Pivot'!$D$2:$K$2=I$2)*'MTD Pivot'!$D$3:$K$300)</f>
        <v/>
      </c>
      <c r="J27" s="161">
        <f>SUMPRODUCT(('MTD Pivot'!$B$3:$B$300=$B27)*('MTD Pivot'!$C$3:$C$300=$A$7)*('MTD Pivot'!$D$2:$K$2=J$2)*'MTD Pivot'!$D$3:$K$300)</f>
        <v/>
      </c>
      <c r="K27" s="161">
        <f>SUMPRODUCT(('MTD Pivot'!$B$3:$B$300=$B27)*('MTD Pivot'!$C$3:$C$300=$A$7)*('MTD Pivot'!$D$2:$K$2=K$2)*'MTD Pivot'!$D$3:$K$300)</f>
        <v/>
      </c>
      <c r="L27" s="161">
        <f>SUMPRODUCT(('MTD Pivot'!$B$3:$B$300=$B27)*('MTD Pivot'!$C$3:$C$300=$A$7)*('MTD Pivot'!$D$2:$K$2=L$2)*'MTD Pivot'!$D$3:$K$300)</f>
        <v/>
      </c>
      <c r="M27" s="172" t="n"/>
      <c r="N27" s="172" t="n"/>
      <c r="O27" s="143">
        <f>L27-K27</f>
        <v/>
      </c>
      <c r="P27" s="171" t="n"/>
      <c r="Q27" s="171" t="n"/>
      <c r="R27" s="171" t="n"/>
      <c r="S27" s="171" t="n"/>
      <c r="T27" s="171" t="n"/>
      <c r="U27" s="171" t="n"/>
      <c r="V27" s="161">
        <f>SUMPRODUCT(('Full month Pivot'!$B$3:$B$300=$B27)*('Full month Pivot'!$C$3:$C$300=$A$7)*('Full month Pivot'!$D$2:$K$2=V$2)*'Full month Pivot'!$D$3:$K$300)</f>
        <v/>
      </c>
      <c r="W27" s="161">
        <f>SUMPRODUCT(('Full month Pivot'!$B$3:$B$300=$B27)*('Full month Pivot'!$C$3:$C$300=$A$7)*('Full month Pivot'!$D$2:$K$2=W$2)*'Full month Pivot'!$D$3:$K$300)</f>
        <v/>
      </c>
      <c r="X27" s="161">
        <f>SUMPRODUCT(('Full month Pivot'!$B$3:$B$300=$B27)*('Full month Pivot'!$C$3:$C$300=$A$7)*('Full month Pivot'!$D$2:$K$2=X$2)*'Full month Pivot'!$D$3:$K$300)</f>
        <v/>
      </c>
      <c r="Y27" s="161">
        <f>SUMPRODUCT(('Full month Pivot'!$B$3:$B$300=$B27)*('Full month Pivot'!$C$3:$C$300=$A$7)*('Full month Pivot'!$D$2:$K$2=Y$2)*'Full month Pivot'!$D$3:$K$300)</f>
        <v/>
      </c>
      <c r="Z27" s="161">
        <f>SUMPRODUCT(('Full month Pivot'!$B$3:$B$300=$B27)*('Full month Pivot'!$C$3:$C$300=$A$7)*('Full month Pivot'!$D$2:$K$2=Z$2)*'Full month Pivot'!$D$3:$K$300)</f>
        <v/>
      </c>
      <c r="AA27" s="161">
        <f>SUMPRODUCT(('Full month Pivot'!$B$3:$B$300=$B27)*('Full month Pivot'!$C$3:$C$300=$A$7)*('Full month Pivot'!$D$2:$K$2=AA$2)*'Full month Pivot'!$D$3:$K$300)</f>
        <v/>
      </c>
      <c r="AB27" s="172" t="n"/>
      <c r="AC27" s="172" t="n"/>
      <c r="AD27" s="143">
        <f>AA27-Z27</f>
        <v/>
      </c>
      <c r="AE27" s="171" t="n"/>
      <c r="AF27" s="171" t="n"/>
      <c r="AG27" s="171" t="n"/>
      <c r="AH27" s="171" t="n"/>
      <c r="AI27" s="171" t="n"/>
      <c r="AJ27" s="171" t="n"/>
    </row>
    <row r="28" hidden="1" outlineLevel="1" ht="15.75" customHeight="1" s="239">
      <c r="A28" s="171" t="n"/>
      <c r="B28" s="170" t="inlineStr">
        <is>
          <t>Guide</t>
        </is>
      </c>
      <c r="C28" s="171" t="n"/>
      <c r="D28" s="171" t="n"/>
      <c r="E28" s="171" t="n"/>
      <c r="F28" s="171" t="n"/>
      <c r="G28" s="161">
        <f>SUMPRODUCT(('MTD Pivot'!$B$3:$B$300=$B28)*('MTD Pivot'!$C$3:$C$300=$A$7)*('MTD Pivot'!$D$2:$K$2=G$2)*'MTD Pivot'!$D$3:$K$300)</f>
        <v/>
      </c>
      <c r="H28" s="161">
        <f>SUMPRODUCT(('MTD Pivot'!$B$3:$B$300=$B28)*('MTD Pivot'!$C$3:$C$300=$A$7)*('MTD Pivot'!$D$2:$K$2=H$2)*'MTD Pivot'!$D$3:$K$300)</f>
        <v/>
      </c>
      <c r="I28" s="161">
        <f>SUMPRODUCT(('MTD Pivot'!$B$3:$B$300=$B28)*('MTD Pivot'!$C$3:$C$300=$A$7)*('MTD Pivot'!$D$2:$K$2=I$2)*'MTD Pivot'!$D$3:$K$300)</f>
        <v/>
      </c>
      <c r="J28" s="161">
        <f>SUMPRODUCT(('MTD Pivot'!$B$3:$B$300=$B28)*('MTD Pivot'!$C$3:$C$300=$A$7)*('MTD Pivot'!$D$2:$K$2=J$2)*'MTD Pivot'!$D$3:$K$300)</f>
        <v/>
      </c>
      <c r="K28" s="161">
        <f>SUMPRODUCT(('MTD Pivot'!$B$3:$B$300=$B28)*('MTD Pivot'!$C$3:$C$300=$A$7)*('MTD Pivot'!$D$2:$K$2=K$2)*'MTD Pivot'!$D$3:$K$300)</f>
        <v/>
      </c>
      <c r="L28" s="161">
        <f>SUMPRODUCT(('MTD Pivot'!$B$3:$B$300=$B28)*('MTD Pivot'!$C$3:$C$300=$A$7)*('MTD Pivot'!$D$2:$K$2=L$2)*'MTD Pivot'!$D$3:$K$300)</f>
        <v/>
      </c>
      <c r="M28" s="172" t="n"/>
      <c r="N28" s="172" t="n"/>
      <c r="O28" s="143">
        <f>L28-K28</f>
        <v/>
      </c>
      <c r="P28" s="171" t="n"/>
      <c r="Q28" s="171" t="n"/>
      <c r="R28" s="171" t="n"/>
      <c r="S28" s="171" t="n"/>
      <c r="T28" s="171" t="n"/>
      <c r="U28" s="171" t="n"/>
      <c r="V28" s="161">
        <f>SUMPRODUCT(('Full month Pivot'!$B$3:$B$300=$B28)*('Full month Pivot'!$C$3:$C$300=$A$7)*('Full month Pivot'!$D$2:$K$2=V$2)*'Full month Pivot'!$D$3:$K$300)</f>
        <v/>
      </c>
      <c r="W28" s="161">
        <f>SUMPRODUCT(('Full month Pivot'!$B$3:$B$300=$B28)*('Full month Pivot'!$C$3:$C$300=$A$7)*('Full month Pivot'!$D$2:$K$2=W$2)*'Full month Pivot'!$D$3:$K$300)</f>
        <v/>
      </c>
      <c r="X28" s="161">
        <f>SUMPRODUCT(('Full month Pivot'!$B$3:$B$300=$B28)*('Full month Pivot'!$C$3:$C$300=$A$7)*('Full month Pivot'!$D$2:$K$2=X$2)*'Full month Pivot'!$D$3:$K$300)</f>
        <v/>
      </c>
      <c r="Y28" s="161">
        <f>SUMPRODUCT(('Full month Pivot'!$B$3:$B$300=$B28)*('Full month Pivot'!$C$3:$C$300=$A$7)*('Full month Pivot'!$D$2:$K$2=Y$2)*'Full month Pivot'!$D$3:$K$300)</f>
        <v/>
      </c>
      <c r="Z28" s="161">
        <f>SUMPRODUCT(('Full month Pivot'!$B$3:$B$300=$B28)*('Full month Pivot'!$C$3:$C$300=$A$7)*('Full month Pivot'!$D$2:$K$2=Z$2)*'Full month Pivot'!$D$3:$K$300)</f>
        <v/>
      </c>
      <c r="AA28" s="161">
        <f>SUMPRODUCT(('Full month Pivot'!$B$3:$B$300=$B28)*('Full month Pivot'!$C$3:$C$300=$A$7)*('Full month Pivot'!$D$2:$K$2=AA$2)*'Full month Pivot'!$D$3:$K$300)</f>
        <v/>
      </c>
      <c r="AB28" s="172" t="n"/>
      <c r="AC28" s="172" t="n"/>
      <c r="AD28" s="143">
        <f>AA28-Z28</f>
        <v/>
      </c>
      <c r="AE28" s="171" t="n"/>
      <c r="AF28" s="171" t="n"/>
      <c r="AG28" s="171" t="n"/>
      <c r="AH28" s="171" t="n"/>
      <c r="AI28" s="171" t="n"/>
      <c r="AJ28" s="171" t="n"/>
    </row>
    <row r="29" hidden="1" outlineLevel="1" ht="15.75" customHeight="1" s="239">
      <c r="A29" s="171" t="n"/>
      <c r="B29" s="170" t="inlineStr">
        <is>
          <t>Khuyến mãi</t>
        </is>
      </c>
      <c r="C29" s="171" t="n"/>
      <c r="D29" s="171" t="n"/>
      <c r="E29" s="171" t="n"/>
      <c r="F29" s="171" t="n"/>
      <c r="G29" s="161">
        <f>SUMPRODUCT(('MTD Pivot'!$B$3:$B$300=$B29)*('MTD Pivot'!$C$3:$C$300=$A$7)*('MTD Pivot'!$D$2:$K$2=G$2)*'MTD Pivot'!$D$3:$K$300)</f>
        <v/>
      </c>
      <c r="H29" s="161">
        <f>SUMPRODUCT(('MTD Pivot'!$B$3:$B$300=$B29)*('MTD Pivot'!$C$3:$C$300=$A$7)*('MTD Pivot'!$D$2:$K$2=H$2)*'MTD Pivot'!$D$3:$K$300)</f>
        <v/>
      </c>
      <c r="I29" s="161">
        <f>SUMPRODUCT(('MTD Pivot'!$B$3:$B$300=$B29)*('MTD Pivot'!$C$3:$C$300=$A$7)*('MTD Pivot'!$D$2:$K$2=I$2)*'MTD Pivot'!$D$3:$K$300)</f>
        <v/>
      </c>
      <c r="J29" s="161">
        <f>SUMPRODUCT(('MTD Pivot'!$B$3:$B$300=$B29)*('MTD Pivot'!$C$3:$C$300=$A$7)*('MTD Pivot'!$D$2:$K$2=J$2)*'MTD Pivot'!$D$3:$K$300)</f>
        <v/>
      </c>
      <c r="K29" s="161">
        <f>SUMPRODUCT(('MTD Pivot'!$B$3:$B$300=$B29)*('MTD Pivot'!$C$3:$C$300=$A$7)*('MTD Pivot'!$D$2:$K$2=K$2)*'MTD Pivot'!$D$3:$K$300)</f>
        <v/>
      </c>
      <c r="L29" s="161">
        <f>SUMPRODUCT(('MTD Pivot'!$B$3:$B$300=$B29)*('MTD Pivot'!$C$3:$C$300=$A$7)*('MTD Pivot'!$D$2:$K$2=L$2)*'MTD Pivot'!$D$3:$K$300)</f>
        <v/>
      </c>
      <c r="M29" s="172" t="n"/>
      <c r="N29" s="172" t="n"/>
      <c r="O29" s="143">
        <f>L29-K29</f>
        <v/>
      </c>
      <c r="P29" s="171" t="n"/>
      <c r="Q29" s="171" t="n"/>
      <c r="R29" s="171" t="n"/>
      <c r="S29" s="171" t="n"/>
      <c r="T29" s="171" t="n"/>
      <c r="U29" s="171" t="n"/>
      <c r="V29" s="161">
        <f>SUMPRODUCT(('Full month Pivot'!$B$3:$B$300=$B29)*('Full month Pivot'!$C$3:$C$300=$A$7)*('Full month Pivot'!$D$2:$K$2=V$2)*'Full month Pivot'!$D$3:$K$300)</f>
        <v/>
      </c>
      <c r="W29" s="161">
        <f>SUMPRODUCT(('Full month Pivot'!$B$3:$B$300=$B29)*('Full month Pivot'!$C$3:$C$300=$A$7)*('Full month Pivot'!$D$2:$K$2=W$2)*'Full month Pivot'!$D$3:$K$300)</f>
        <v/>
      </c>
      <c r="X29" s="161">
        <f>SUMPRODUCT(('Full month Pivot'!$B$3:$B$300=$B29)*('Full month Pivot'!$C$3:$C$300=$A$7)*('Full month Pivot'!$D$2:$K$2=X$2)*'Full month Pivot'!$D$3:$K$300)</f>
        <v/>
      </c>
      <c r="Y29" s="161">
        <f>SUMPRODUCT(('Full month Pivot'!$B$3:$B$300=$B29)*('Full month Pivot'!$C$3:$C$300=$A$7)*('Full month Pivot'!$D$2:$K$2=Y$2)*'Full month Pivot'!$D$3:$K$300)</f>
        <v/>
      </c>
      <c r="Z29" s="161">
        <f>SUMPRODUCT(('Full month Pivot'!$B$3:$B$300=$B29)*('Full month Pivot'!$C$3:$C$300=$A$7)*('Full month Pivot'!$D$2:$K$2=Z$2)*'Full month Pivot'!$D$3:$K$300)</f>
        <v/>
      </c>
      <c r="AA29" s="161">
        <f>SUMPRODUCT(('Full month Pivot'!$B$3:$B$300=$B29)*('Full month Pivot'!$C$3:$C$300=$A$7)*('Full month Pivot'!$D$2:$K$2=AA$2)*'Full month Pivot'!$D$3:$K$300)</f>
        <v/>
      </c>
      <c r="AB29" s="172" t="n"/>
      <c r="AC29" s="172" t="n"/>
      <c r="AD29" s="143">
        <f>AA29-Z29</f>
        <v/>
      </c>
      <c r="AE29" s="171" t="n"/>
      <c r="AF29" s="171" t="n"/>
      <c r="AG29" s="171" t="n"/>
      <c r="AH29" s="171" t="n"/>
      <c r="AI29" s="171" t="n"/>
      <c r="AJ29" s="171" t="n"/>
    </row>
    <row r="30" hidden="1" outlineLevel="1" ht="15.75" customHeight="1" s="239">
      <c r="A30" s="171" t="n"/>
      <c r="B30" s="170" t="inlineStr">
        <is>
          <t>Campaign</t>
        </is>
      </c>
      <c r="C30" s="171" t="n"/>
      <c r="D30" s="171" t="n"/>
      <c r="E30" s="171" t="n"/>
      <c r="F30" s="171" t="n"/>
      <c r="G30" s="161">
        <f>SUMPRODUCT(('MTD Pivot'!$B$3:$B$300=$B30)*('MTD Pivot'!$C$3:$C$300=$A$7)*('MTD Pivot'!$D$2:$K$2=G$2)*'MTD Pivot'!$D$3:$K$300)</f>
        <v/>
      </c>
      <c r="H30" s="161">
        <f>SUMPRODUCT(('MTD Pivot'!$B$3:$B$300=$B30)*('MTD Pivot'!$C$3:$C$300=$A$7)*('MTD Pivot'!$D$2:$K$2=H$2)*'MTD Pivot'!$D$3:$K$300)</f>
        <v/>
      </c>
      <c r="I30" s="161">
        <f>SUMPRODUCT(('MTD Pivot'!$B$3:$B$300=$B30)*('MTD Pivot'!$C$3:$C$300=$A$7)*('MTD Pivot'!$D$2:$K$2=I$2)*'MTD Pivot'!$D$3:$K$300)</f>
        <v/>
      </c>
      <c r="J30" s="161">
        <f>SUMPRODUCT(('MTD Pivot'!$B$3:$B$300=$B30)*('MTD Pivot'!$C$3:$C$300=$A$7)*('MTD Pivot'!$D$2:$K$2=J$2)*'MTD Pivot'!$D$3:$K$300)</f>
        <v/>
      </c>
      <c r="K30" s="161">
        <f>SUMPRODUCT(('MTD Pivot'!$B$3:$B$300=$B30)*('MTD Pivot'!$C$3:$C$300=$A$7)*('MTD Pivot'!$D$2:$K$2=K$2)*'MTD Pivot'!$D$3:$K$300)</f>
        <v/>
      </c>
      <c r="L30" s="161">
        <f>SUMPRODUCT(('MTD Pivot'!$B$3:$B$300=$B30)*('MTD Pivot'!$C$3:$C$300=$A$7)*('MTD Pivot'!$D$2:$K$2=L$2)*'MTD Pivot'!$D$3:$K$300)</f>
        <v/>
      </c>
      <c r="M30" s="172" t="n"/>
      <c r="N30" s="172" t="n"/>
      <c r="O30" s="143">
        <f>L30-K30</f>
        <v/>
      </c>
      <c r="P30" s="171" t="n"/>
      <c r="Q30" s="171" t="n"/>
      <c r="R30" s="171" t="n"/>
      <c r="S30" s="171" t="n"/>
      <c r="T30" s="171" t="n"/>
      <c r="U30" s="171" t="n"/>
      <c r="V30" s="161">
        <f>SUMPRODUCT(('Full month Pivot'!$B$3:$B$300=$B30)*('Full month Pivot'!$C$3:$C$300=$A$7)*('Full month Pivot'!$D$2:$K$2=V$2)*'Full month Pivot'!$D$3:$K$300)</f>
        <v/>
      </c>
      <c r="W30" s="161">
        <f>SUMPRODUCT(('Full month Pivot'!$B$3:$B$300=$B30)*('Full month Pivot'!$C$3:$C$300=$A$7)*('Full month Pivot'!$D$2:$K$2=W$2)*'Full month Pivot'!$D$3:$K$300)</f>
        <v/>
      </c>
      <c r="X30" s="161">
        <f>SUMPRODUCT(('Full month Pivot'!$B$3:$B$300=$B30)*('Full month Pivot'!$C$3:$C$300=$A$7)*('Full month Pivot'!$D$2:$K$2=X$2)*'Full month Pivot'!$D$3:$K$300)</f>
        <v/>
      </c>
      <c r="Y30" s="161">
        <f>SUMPRODUCT(('Full month Pivot'!$B$3:$B$300=$B30)*('Full month Pivot'!$C$3:$C$300=$A$7)*('Full month Pivot'!$D$2:$K$2=Y$2)*'Full month Pivot'!$D$3:$K$300)</f>
        <v/>
      </c>
      <c r="Z30" s="161">
        <f>SUMPRODUCT(('Full month Pivot'!$B$3:$B$300=$B30)*('Full month Pivot'!$C$3:$C$300=$A$7)*('Full month Pivot'!$D$2:$K$2=Z$2)*'Full month Pivot'!$D$3:$K$300)</f>
        <v/>
      </c>
      <c r="AA30" s="161">
        <f>SUMPRODUCT(('Full month Pivot'!$B$3:$B$300=$B30)*('Full month Pivot'!$C$3:$C$300=$A$7)*('Full month Pivot'!$D$2:$K$2=AA$2)*'Full month Pivot'!$D$3:$K$300)</f>
        <v/>
      </c>
      <c r="AB30" s="172" t="n"/>
      <c r="AC30" s="172" t="n"/>
      <c r="AD30" s="143">
        <f>AA30-Z30</f>
        <v/>
      </c>
      <c r="AE30" s="171" t="n"/>
      <c r="AF30" s="171" t="n"/>
      <c r="AG30" s="171" t="n"/>
      <c r="AH30" s="171" t="n"/>
      <c r="AI30" s="171" t="n"/>
      <c r="AJ30" s="171" t="n"/>
    </row>
    <row r="31" hidden="1" outlineLevel="1" ht="15.75" customHeight="1" s="239">
      <c r="A31" s="171" t="n"/>
      <c r="B31" s="170" t="inlineStr">
        <is>
          <t>Blog</t>
        </is>
      </c>
      <c r="C31" s="171" t="n"/>
      <c r="D31" s="171" t="n"/>
      <c r="E31" s="171" t="n"/>
      <c r="F31" s="171" t="n"/>
      <c r="G31" s="161">
        <f>SUMPRODUCT(('MTD Pivot'!$B$3:$B$300=$B31)*('MTD Pivot'!$C$3:$C$300=$A$7)*('MTD Pivot'!$D$2:$K$2=G$2)*'MTD Pivot'!$D$3:$K$300)</f>
        <v/>
      </c>
      <c r="H31" s="161">
        <f>SUMPRODUCT(('MTD Pivot'!$B$3:$B$300=$B31)*('MTD Pivot'!$C$3:$C$300=$A$7)*('MTD Pivot'!$D$2:$K$2=H$2)*'MTD Pivot'!$D$3:$K$300)</f>
        <v/>
      </c>
      <c r="I31" s="161">
        <f>SUMPRODUCT(('MTD Pivot'!$B$3:$B$300=$B31)*('MTD Pivot'!$C$3:$C$300=$A$7)*('MTD Pivot'!$D$2:$K$2=I$2)*'MTD Pivot'!$D$3:$K$300)</f>
        <v/>
      </c>
      <c r="J31" s="161">
        <f>SUMPRODUCT(('MTD Pivot'!$B$3:$B$300=$B31)*('MTD Pivot'!$C$3:$C$300=$A$7)*('MTD Pivot'!$D$2:$K$2=J$2)*'MTD Pivot'!$D$3:$K$300)</f>
        <v/>
      </c>
      <c r="K31" s="161">
        <f>SUMPRODUCT(('MTD Pivot'!$B$3:$B$300=$B31)*('MTD Pivot'!$C$3:$C$300=$A$7)*('MTD Pivot'!$D$2:$K$2=K$2)*'MTD Pivot'!$D$3:$K$300)</f>
        <v/>
      </c>
      <c r="L31" s="161">
        <f>SUMPRODUCT(('MTD Pivot'!$B$3:$B$300=$B31)*('MTD Pivot'!$C$3:$C$300=$A$7)*('MTD Pivot'!$D$2:$K$2=L$2)*'MTD Pivot'!$D$3:$K$300)</f>
        <v/>
      </c>
      <c r="M31" s="172" t="n"/>
      <c r="N31" s="172" t="n"/>
      <c r="O31" s="143">
        <f>L31-K31</f>
        <v/>
      </c>
      <c r="P31" s="171" t="n"/>
      <c r="Q31" s="171" t="n"/>
      <c r="R31" s="171" t="n"/>
      <c r="S31" s="171" t="n"/>
      <c r="T31" s="171" t="n"/>
      <c r="U31" s="171" t="n"/>
      <c r="V31" s="161">
        <f>SUMPRODUCT(('Full month Pivot'!$B$3:$B$300=$B31)*('Full month Pivot'!$C$3:$C$300=$A$7)*('Full month Pivot'!$D$2:$K$2=V$2)*'Full month Pivot'!$D$3:$K$300)</f>
        <v/>
      </c>
      <c r="W31" s="161">
        <f>SUMPRODUCT(('Full month Pivot'!$B$3:$B$300=$B31)*('Full month Pivot'!$C$3:$C$300=$A$7)*('Full month Pivot'!$D$2:$K$2=W$2)*'Full month Pivot'!$D$3:$K$300)</f>
        <v/>
      </c>
      <c r="X31" s="161">
        <f>SUMPRODUCT(('Full month Pivot'!$B$3:$B$300=$B31)*('Full month Pivot'!$C$3:$C$300=$A$7)*('Full month Pivot'!$D$2:$K$2=X$2)*'Full month Pivot'!$D$3:$K$300)</f>
        <v/>
      </c>
      <c r="Y31" s="161">
        <f>SUMPRODUCT(('Full month Pivot'!$B$3:$B$300=$B31)*('Full month Pivot'!$C$3:$C$300=$A$7)*('Full month Pivot'!$D$2:$K$2=Y$2)*'Full month Pivot'!$D$3:$K$300)</f>
        <v/>
      </c>
      <c r="Z31" s="161">
        <f>SUMPRODUCT(('Full month Pivot'!$B$3:$B$300=$B31)*('Full month Pivot'!$C$3:$C$300=$A$7)*('Full month Pivot'!$D$2:$K$2=Z$2)*'Full month Pivot'!$D$3:$K$300)</f>
        <v/>
      </c>
      <c r="AA31" s="161">
        <f>SUMPRODUCT(('Full month Pivot'!$B$3:$B$300=$B31)*('Full month Pivot'!$C$3:$C$300=$A$7)*('Full month Pivot'!$D$2:$K$2=AA$2)*'Full month Pivot'!$D$3:$K$300)</f>
        <v/>
      </c>
      <c r="AB31" s="172" t="n"/>
      <c r="AC31" s="172" t="n"/>
      <c r="AD31" s="143">
        <f>AA31-Z31</f>
        <v/>
      </c>
      <c r="AE31" s="171" t="n"/>
      <c r="AF31" s="171" t="n"/>
      <c r="AG31" s="171" t="n"/>
      <c r="AH31" s="171" t="n"/>
      <c r="AI31" s="171" t="n"/>
      <c r="AJ31" s="171" t="n"/>
    </row>
    <row r="32" hidden="1" outlineLevel="1" ht="15.75" customHeight="1" s="239">
      <c r="A32" s="171" t="n"/>
      <c r="B32" s="170" t="inlineStr">
        <is>
          <t>Application Store</t>
        </is>
      </c>
      <c r="C32" s="171" t="n"/>
      <c r="D32" s="171" t="n"/>
      <c r="E32" s="171" t="n"/>
      <c r="F32" s="171" t="n"/>
      <c r="G32" s="161">
        <f>SUMPRODUCT(('MTD Pivot'!$B$3:$B$300=$B32)*('MTD Pivot'!$C$3:$C$300=$A$7)*('MTD Pivot'!$D$2:$K$2=G$2)*'MTD Pivot'!$D$3:$K$300)</f>
        <v/>
      </c>
      <c r="H32" s="161">
        <f>SUMPRODUCT(('MTD Pivot'!$B$3:$B$300=$B32)*('MTD Pivot'!$C$3:$C$300=$A$7)*('MTD Pivot'!$D$2:$K$2=H$2)*'MTD Pivot'!$D$3:$K$300)</f>
        <v/>
      </c>
      <c r="I32" s="161">
        <f>SUMPRODUCT(('MTD Pivot'!$B$3:$B$300=$B32)*('MTD Pivot'!$C$3:$C$300=$A$7)*('MTD Pivot'!$D$2:$K$2=I$2)*'MTD Pivot'!$D$3:$K$300)</f>
        <v/>
      </c>
      <c r="J32" s="161">
        <f>SUMPRODUCT(('MTD Pivot'!$B$3:$B$300=$B32)*('MTD Pivot'!$C$3:$C$300=$A$7)*('MTD Pivot'!$D$2:$K$2=J$2)*'MTD Pivot'!$D$3:$K$300)</f>
        <v/>
      </c>
      <c r="K32" s="161">
        <f>SUMPRODUCT(('MTD Pivot'!$B$3:$B$300=$B32)*('MTD Pivot'!$C$3:$C$300=$A$7)*('MTD Pivot'!$D$2:$K$2=K$2)*'MTD Pivot'!$D$3:$K$300)</f>
        <v/>
      </c>
      <c r="L32" s="161">
        <f>SUMPRODUCT(('MTD Pivot'!$B$3:$B$300=$B32)*('MTD Pivot'!$C$3:$C$300=$A$7)*('MTD Pivot'!$D$2:$K$2=L$2)*'MTD Pivot'!$D$3:$K$300)</f>
        <v/>
      </c>
      <c r="M32" s="172" t="n"/>
      <c r="N32" s="172" t="n"/>
      <c r="O32" s="143">
        <f>L32-K32</f>
        <v/>
      </c>
      <c r="P32" s="171" t="n"/>
      <c r="Q32" s="171" t="n"/>
      <c r="R32" s="171" t="n"/>
      <c r="S32" s="171" t="n"/>
      <c r="T32" s="171" t="n"/>
      <c r="U32" s="171" t="n"/>
      <c r="V32" s="161">
        <f>SUMPRODUCT(('Full month Pivot'!$B$3:$B$300=$B32)*('Full month Pivot'!$C$3:$C$300=$A$7)*('Full month Pivot'!$D$2:$K$2=V$2)*'Full month Pivot'!$D$3:$K$300)</f>
        <v/>
      </c>
      <c r="W32" s="161">
        <f>SUMPRODUCT(('Full month Pivot'!$B$3:$B$300=$B32)*('Full month Pivot'!$C$3:$C$300=$A$7)*('Full month Pivot'!$D$2:$K$2=W$2)*'Full month Pivot'!$D$3:$K$300)</f>
        <v/>
      </c>
      <c r="X32" s="161">
        <f>SUMPRODUCT(('Full month Pivot'!$B$3:$B$300=$B32)*('Full month Pivot'!$C$3:$C$300=$A$7)*('Full month Pivot'!$D$2:$K$2=X$2)*'Full month Pivot'!$D$3:$K$300)</f>
        <v/>
      </c>
      <c r="Y32" s="161">
        <f>SUMPRODUCT(('Full month Pivot'!$B$3:$B$300=$B32)*('Full month Pivot'!$C$3:$C$300=$A$7)*('Full month Pivot'!$D$2:$K$2=Y$2)*'Full month Pivot'!$D$3:$K$300)</f>
        <v/>
      </c>
      <c r="Z32" s="161">
        <f>SUMPRODUCT(('Full month Pivot'!$B$3:$B$300=$B32)*('Full month Pivot'!$C$3:$C$300=$A$7)*('Full month Pivot'!$D$2:$K$2=Z$2)*'Full month Pivot'!$D$3:$K$300)</f>
        <v/>
      </c>
      <c r="AA32" s="161">
        <f>SUMPRODUCT(('Full month Pivot'!$B$3:$B$300=$B32)*('Full month Pivot'!$C$3:$C$300=$A$7)*('Full month Pivot'!$D$2:$K$2=AA$2)*'Full month Pivot'!$D$3:$K$300)</f>
        <v/>
      </c>
      <c r="AB32" s="172" t="n"/>
      <c r="AC32" s="172" t="n"/>
      <c r="AD32" s="143">
        <f>AA32-Z32</f>
        <v/>
      </c>
      <c r="AE32" s="171" t="n"/>
      <c r="AF32" s="171" t="n"/>
      <c r="AG32" s="171" t="n"/>
      <c r="AH32" s="171" t="n"/>
      <c r="AI32" s="171" t="n"/>
      <c r="AJ32" s="171" t="n"/>
    </row>
    <row r="33" hidden="1" outlineLevel="1" ht="15.75" customHeight="1" s="239">
      <c r="A33" s="171" t="n"/>
      <c r="B33" s="170" t="inlineStr">
        <is>
          <t>Vé số</t>
        </is>
      </c>
      <c r="C33" s="171" t="n"/>
      <c r="D33" s="171" t="n"/>
      <c r="E33" s="171" t="n"/>
      <c r="F33" s="171" t="n"/>
      <c r="G33" s="161">
        <f>SUMPRODUCT(('MTD Pivot'!$B$3:$B$300=$B33)*('MTD Pivot'!$C$3:$C$300=$A$7)*('MTD Pivot'!$D$2:$K$2=G$2)*'MTD Pivot'!$D$3:$K$300)</f>
        <v/>
      </c>
      <c r="H33" s="161">
        <f>SUMPRODUCT(('MTD Pivot'!$B$3:$B$300=$B33)*('MTD Pivot'!$C$3:$C$300=$A$7)*('MTD Pivot'!$D$2:$K$2=H$2)*'MTD Pivot'!$D$3:$K$300)</f>
        <v/>
      </c>
      <c r="I33" s="161">
        <f>SUMPRODUCT(('MTD Pivot'!$B$3:$B$300=$B33)*('MTD Pivot'!$C$3:$C$300=$A$7)*('MTD Pivot'!$D$2:$K$2=I$2)*'MTD Pivot'!$D$3:$K$300)</f>
        <v/>
      </c>
      <c r="J33" s="161">
        <f>SUMPRODUCT(('MTD Pivot'!$B$3:$B$300=$B33)*('MTD Pivot'!$C$3:$C$300=$A$7)*('MTD Pivot'!$D$2:$K$2=J$2)*'MTD Pivot'!$D$3:$K$300)</f>
        <v/>
      </c>
      <c r="K33" s="161">
        <f>SUMPRODUCT(('MTD Pivot'!$B$3:$B$300=$B33)*('MTD Pivot'!$C$3:$C$300=$A$7)*('MTD Pivot'!$D$2:$K$2=K$2)*'MTD Pivot'!$D$3:$K$300)</f>
        <v/>
      </c>
      <c r="L33" s="161">
        <f>SUMPRODUCT(('MTD Pivot'!$B$3:$B$300=$B33)*('MTD Pivot'!$C$3:$C$300=$A$7)*('MTD Pivot'!$D$2:$K$2=L$2)*'MTD Pivot'!$D$3:$K$300)</f>
        <v/>
      </c>
      <c r="M33" s="172" t="n"/>
      <c r="N33" s="172" t="n"/>
      <c r="O33" s="143">
        <f>L33-K33</f>
        <v/>
      </c>
      <c r="P33" s="171" t="n"/>
      <c r="Q33" s="171" t="n"/>
      <c r="R33" s="171" t="n"/>
      <c r="S33" s="171" t="n"/>
      <c r="T33" s="171" t="n"/>
      <c r="U33" s="171" t="n"/>
      <c r="V33" s="161">
        <f>SUMPRODUCT(('Full month Pivot'!$B$3:$B$300=$B33)*('Full month Pivot'!$C$3:$C$300=$A$7)*('Full month Pivot'!$D$2:$K$2=V$2)*'Full month Pivot'!$D$3:$K$300)</f>
        <v/>
      </c>
      <c r="W33" s="161">
        <f>SUMPRODUCT(('Full month Pivot'!$B$3:$B$300=$B33)*('Full month Pivot'!$C$3:$C$300=$A$7)*('Full month Pivot'!$D$2:$K$2=W$2)*'Full month Pivot'!$D$3:$K$300)</f>
        <v/>
      </c>
      <c r="X33" s="161">
        <f>SUMPRODUCT(('Full month Pivot'!$B$3:$B$300=$B33)*('Full month Pivot'!$C$3:$C$300=$A$7)*('Full month Pivot'!$D$2:$K$2=X$2)*'Full month Pivot'!$D$3:$K$300)</f>
        <v/>
      </c>
      <c r="Y33" s="161">
        <f>SUMPRODUCT(('Full month Pivot'!$B$3:$B$300=$B33)*('Full month Pivot'!$C$3:$C$300=$A$7)*('Full month Pivot'!$D$2:$K$2=Y$2)*'Full month Pivot'!$D$3:$K$300)</f>
        <v/>
      </c>
      <c r="Z33" s="161">
        <f>SUMPRODUCT(('Full month Pivot'!$B$3:$B$300=$B33)*('Full month Pivot'!$C$3:$C$300=$A$7)*('Full month Pivot'!$D$2:$K$2=Z$2)*'Full month Pivot'!$D$3:$K$300)</f>
        <v/>
      </c>
      <c r="AA33" s="161">
        <f>SUMPRODUCT(('Full month Pivot'!$B$3:$B$300=$B33)*('Full month Pivot'!$C$3:$C$300=$A$7)*('Full month Pivot'!$D$2:$K$2=AA$2)*'Full month Pivot'!$D$3:$K$300)</f>
        <v/>
      </c>
      <c r="AB33" s="172" t="n"/>
      <c r="AC33" s="172" t="n"/>
      <c r="AD33" s="143">
        <f>AA33-Z33</f>
        <v/>
      </c>
      <c r="AE33" s="171" t="n"/>
      <c r="AF33" s="171" t="n"/>
      <c r="AG33" s="171" t="n"/>
      <c r="AH33" s="171" t="n"/>
      <c r="AI33" s="171" t="n"/>
      <c r="AJ33" s="171" t="n"/>
    </row>
    <row r="34" hidden="1" outlineLevel="1" ht="15.75" customHeight="1" s="239">
      <c r="A34" s="171" t="n"/>
      <c r="B34" s="170" t="inlineStr">
        <is>
          <t>Dịch vụ liên kết</t>
        </is>
      </c>
      <c r="C34" s="171" t="n"/>
      <c r="D34" s="171" t="n"/>
      <c r="E34" s="171" t="n"/>
      <c r="F34" s="171" t="n"/>
      <c r="G34" s="161">
        <f>SUMPRODUCT(('MTD Pivot'!$B$3:$B$300=$B34)*('MTD Pivot'!$C$3:$C$300=$A$7)*('MTD Pivot'!$D$2:$K$2=G$2)*'MTD Pivot'!$D$3:$K$300)</f>
        <v/>
      </c>
      <c r="H34" s="161">
        <f>SUMPRODUCT(('MTD Pivot'!$B$3:$B$300=$B34)*('MTD Pivot'!$C$3:$C$300=$A$7)*('MTD Pivot'!$D$2:$K$2=H$2)*'MTD Pivot'!$D$3:$K$300)</f>
        <v/>
      </c>
      <c r="I34" s="161">
        <f>SUMPRODUCT(('MTD Pivot'!$B$3:$B$300=$B34)*('MTD Pivot'!$C$3:$C$300=$A$7)*('MTD Pivot'!$D$2:$K$2=I$2)*'MTD Pivot'!$D$3:$K$300)</f>
        <v/>
      </c>
      <c r="J34" s="161">
        <f>SUMPRODUCT(('MTD Pivot'!$B$3:$B$300=$B34)*('MTD Pivot'!$C$3:$C$300=$A$7)*('MTD Pivot'!$D$2:$K$2=J$2)*'MTD Pivot'!$D$3:$K$300)</f>
        <v/>
      </c>
      <c r="K34" s="161">
        <f>SUMPRODUCT(('MTD Pivot'!$B$3:$B$300=$B34)*('MTD Pivot'!$C$3:$C$300=$A$7)*('MTD Pivot'!$D$2:$K$2=K$2)*'MTD Pivot'!$D$3:$K$300)</f>
        <v/>
      </c>
      <c r="L34" s="161">
        <f>SUMPRODUCT(('MTD Pivot'!$B$3:$B$300=$B34)*('MTD Pivot'!$C$3:$C$300=$A$7)*('MTD Pivot'!$D$2:$K$2=L$2)*'MTD Pivot'!$D$3:$K$300)</f>
        <v/>
      </c>
      <c r="M34" s="172" t="n"/>
      <c r="N34" s="172" t="n"/>
      <c r="O34" s="143">
        <f>L34-K34</f>
        <v/>
      </c>
      <c r="P34" s="171" t="n"/>
      <c r="Q34" s="171" t="n"/>
      <c r="R34" s="171" t="n"/>
      <c r="S34" s="171" t="n"/>
      <c r="T34" s="171" t="n"/>
      <c r="U34" s="171" t="n"/>
      <c r="V34" s="161">
        <f>SUMPRODUCT(('Full month Pivot'!$B$3:$B$300=$B34)*('Full month Pivot'!$C$3:$C$300=$A$7)*('Full month Pivot'!$D$2:$K$2=V$2)*'Full month Pivot'!$D$3:$K$300)</f>
        <v/>
      </c>
      <c r="W34" s="161">
        <f>SUMPRODUCT(('Full month Pivot'!$B$3:$B$300=$B34)*('Full month Pivot'!$C$3:$C$300=$A$7)*('Full month Pivot'!$D$2:$K$2=W$2)*'Full month Pivot'!$D$3:$K$300)</f>
        <v/>
      </c>
      <c r="X34" s="161">
        <f>SUMPRODUCT(('Full month Pivot'!$B$3:$B$300=$B34)*('Full month Pivot'!$C$3:$C$300=$A$7)*('Full month Pivot'!$D$2:$K$2=X$2)*'Full month Pivot'!$D$3:$K$300)</f>
        <v/>
      </c>
      <c r="Y34" s="161">
        <f>SUMPRODUCT(('Full month Pivot'!$B$3:$B$300=$B34)*('Full month Pivot'!$C$3:$C$300=$A$7)*('Full month Pivot'!$D$2:$K$2=Y$2)*'Full month Pivot'!$D$3:$K$300)</f>
        <v/>
      </c>
      <c r="Z34" s="161">
        <f>SUMPRODUCT(('Full month Pivot'!$B$3:$B$300=$B34)*('Full month Pivot'!$C$3:$C$300=$A$7)*('Full month Pivot'!$D$2:$K$2=Z$2)*'Full month Pivot'!$D$3:$K$300)</f>
        <v/>
      </c>
      <c r="AA34" s="161">
        <f>SUMPRODUCT(('Full month Pivot'!$B$3:$B$300=$B34)*('Full month Pivot'!$C$3:$C$300=$A$7)*('Full month Pivot'!$D$2:$K$2=AA$2)*'Full month Pivot'!$D$3:$K$300)</f>
        <v/>
      </c>
      <c r="AB34" s="172" t="n"/>
      <c r="AC34" s="172" t="n"/>
      <c r="AD34" s="143">
        <f>AA34-Z34</f>
        <v/>
      </c>
      <c r="AE34" s="171" t="n"/>
      <c r="AF34" s="171" t="n"/>
      <c r="AG34" s="171" t="n"/>
      <c r="AH34" s="171" t="n"/>
      <c r="AI34" s="171" t="n"/>
      <c r="AJ34" s="171" t="n"/>
    </row>
    <row r="35" hidden="1" outlineLevel="1" ht="15.75" customHeight="1" s="239">
      <c r="A35" s="171" t="n"/>
      <c r="B35" s="170" t="inlineStr">
        <is>
          <t>Billpay</t>
        </is>
      </c>
      <c r="C35" s="171" t="n"/>
      <c r="D35" s="171" t="n"/>
      <c r="E35" s="171" t="n"/>
      <c r="F35" s="171" t="n"/>
      <c r="G35" s="161">
        <f>SUMPRODUCT(('MTD Pivot'!$B$3:$B$300=$B35)*('MTD Pivot'!$C$3:$C$300=$A$7)*('MTD Pivot'!$D$2:$K$2=G$2)*'MTD Pivot'!$D$3:$K$300)</f>
        <v/>
      </c>
      <c r="H35" s="161">
        <f>SUMPRODUCT(('MTD Pivot'!$B$3:$B$300=$B35)*('MTD Pivot'!$C$3:$C$300=$A$7)*('MTD Pivot'!$D$2:$K$2=H$2)*'MTD Pivot'!$D$3:$K$300)</f>
        <v/>
      </c>
      <c r="I35" s="161">
        <f>SUMPRODUCT(('MTD Pivot'!$B$3:$B$300=$B35)*('MTD Pivot'!$C$3:$C$300=$A$7)*('MTD Pivot'!$D$2:$K$2=I$2)*'MTD Pivot'!$D$3:$K$300)</f>
        <v/>
      </c>
      <c r="J35" s="161">
        <f>SUMPRODUCT(('MTD Pivot'!$B$3:$B$300=$B35)*('MTD Pivot'!$C$3:$C$300=$A$7)*('MTD Pivot'!$D$2:$K$2=J$2)*'MTD Pivot'!$D$3:$K$300)</f>
        <v/>
      </c>
      <c r="K35" s="161">
        <f>SUMPRODUCT(('MTD Pivot'!$B$3:$B$300=$B35)*('MTD Pivot'!$C$3:$C$300=$A$7)*('MTD Pivot'!$D$2:$K$2=K$2)*'MTD Pivot'!$D$3:$K$300)</f>
        <v/>
      </c>
      <c r="L35" s="161">
        <f>SUMPRODUCT(('MTD Pivot'!$B$3:$B$300=$B35)*('MTD Pivot'!$C$3:$C$300=$A$7)*('MTD Pivot'!$D$2:$K$2=L$2)*'MTD Pivot'!$D$3:$K$300)</f>
        <v/>
      </c>
      <c r="M35" s="172" t="n"/>
      <c r="N35" s="172" t="n"/>
      <c r="O35" s="143">
        <f>L35-K35</f>
        <v/>
      </c>
      <c r="P35" s="171" t="n"/>
      <c r="Q35" s="171" t="n"/>
      <c r="R35" s="171" t="n"/>
      <c r="S35" s="171" t="n"/>
      <c r="T35" s="171" t="n"/>
      <c r="U35" s="171" t="n"/>
      <c r="V35" s="161">
        <f>SUMPRODUCT(('Full month Pivot'!$B$3:$B$300=$B35)*('Full month Pivot'!$C$3:$C$300=$A$7)*('Full month Pivot'!$D$2:$K$2=V$2)*'Full month Pivot'!$D$3:$K$300)</f>
        <v/>
      </c>
      <c r="W35" s="161">
        <f>SUMPRODUCT(('Full month Pivot'!$B$3:$B$300=$B35)*('Full month Pivot'!$C$3:$C$300=$A$7)*('Full month Pivot'!$D$2:$K$2=W$2)*'Full month Pivot'!$D$3:$K$300)</f>
        <v/>
      </c>
      <c r="X35" s="161">
        <f>SUMPRODUCT(('Full month Pivot'!$B$3:$B$300=$B35)*('Full month Pivot'!$C$3:$C$300=$A$7)*('Full month Pivot'!$D$2:$K$2=X$2)*'Full month Pivot'!$D$3:$K$300)</f>
        <v/>
      </c>
      <c r="Y35" s="161">
        <f>SUMPRODUCT(('Full month Pivot'!$B$3:$B$300=$B35)*('Full month Pivot'!$C$3:$C$300=$A$7)*('Full month Pivot'!$D$2:$K$2=Y$2)*'Full month Pivot'!$D$3:$K$300)</f>
        <v/>
      </c>
      <c r="Z35" s="161">
        <f>SUMPRODUCT(('Full month Pivot'!$B$3:$B$300=$B35)*('Full month Pivot'!$C$3:$C$300=$A$7)*('Full month Pivot'!$D$2:$K$2=Z$2)*'Full month Pivot'!$D$3:$K$300)</f>
        <v/>
      </c>
      <c r="AA35" s="161">
        <f>SUMPRODUCT(('Full month Pivot'!$B$3:$B$300=$B35)*('Full month Pivot'!$C$3:$C$300=$A$7)*('Full month Pivot'!$D$2:$K$2=AA$2)*'Full month Pivot'!$D$3:$K$300)</f>
        <v/>
      </c>
      <c r="AB35" s="172" t="n"/>
      <c r="AC35" s="172" t="n"/>
      <c r="AD35" s="143">
        <f>AA35-Z35</f>
        <v/>
      </c>
      <c r="AE35" s="171" t="n"/>
      <c r="AF35" s="171" t="n"/>
      <c r="AG35" s="171" t="n"/>
      <c r="AH35" s="171" t="n"/>
      <c r="AI35" s="171" t="n"/>
      <c r="AJ35" s="171" t="n"/>
    </row>
    <row r="36" hidden="1" outlineLevel="1" ht="15.75" customHeight="1" s="239">
      <c r="A36" s="171" t="n"/>
      <c r="B36" s="170" t="inlineStr">
        <is>
          <t>P2P</t>
        </is>
      </c>
      <c r="C36" s="171" t="n"/>
      <c r="D36" s="171" t="n"/>
      <c r="E36" s="171" t="n"/>
      <c r="F36" s="171" t="n"/>
      <c r="G36" s="161">
        <f>SUMPRODUCT(('MTD Pivot'!$B$3:$B$300=$B36)*('MTD Pivot'!$C$3:$C$300=$A$7)*('MTD Pivot'!$D$2:$K$2=G$2)*'MTD Pivot'!$D$3:$K$300)</f>
        <v/>
      </c>
      <c r="H36" s="161">
        <f>SUMPRODUCT(('MTD Pivot'!$B$3:$B$300=$B36)*('MTD Pivot'!$C$3:$C$300=$A$7)*('MTD Pivot'!$D$2:$K$2=H$2)*'MTD Pivot'!$D$3:$K$300)</f>
        <v/>
      </c>
      <c r="I36" s="161">
        <f>SUMPRODUCT(('MTD Pivot'!$B$3:$B$300=$B36)*('MTD Pivot'!$C$3:$C$300=$A$7)*('MTD Pivot'!$D$2:$K$2=I$2)*'MTD Pivot'!$D$3:$K$300)</f>
        <v/>
      </c>
      <c r="J36" s="161">
        <f>SUMPRODUCT(('MTD Pivot'!$B$3:$B$300=$B36)*('MTD Pivot'!$C$3:$C$300=$A$7)*('MTD Pivot'!$D$2:$K$2=J$2)*'MTD Pivot'!$D$3:$K$300)</f>
        <v/>
      </c>
      <c r="K36" s="161">
        <f>SUMPRODUCT(('MTD Pivot'!$B$3:$B$300=$B36)*('MTD Pivot'!$C$3:$C$300=$A$7)*('MTD Pivot'!$D$2:$K$2=K$2)*'MTD Pivot'!$D$3:$K$300)</f>
        <v/>
      </c>
      <c r="L36" s="161">
        <f>SUMPRODUCT(('MTD Pivot'!$B$3:$B$300=$B36)*('MTD Pivot'!$C$3:$C$300=$A$7)*('MTD Pivot'!$D$2:$K$2=L$2)*'MTD Pivot'!$D$3:$K$300)</f>
        <v/>
      </c>
      <c r="M36" s="172" t="n"/>
      <c r="N36" s="172" t="n"/>
      <c r="O36" s="143">
        <f>L36-K36</f>
        <v/>
      </c>
      <c r="P36" s="171" t="n"/>
      <c r="Q36" s="171" t="n"/>
      <c r="R36" s="171" t="n"/>
      <c r="S36" s="171" t="n"/>
      <c r="T36" s="171" t="n"/>
      <c r="U36" s="171" t="n"/>
      <c r="V36" s="161">
        <f>SUMPRODUCT(('Full month Pivot'!$B$3:$B$300=$B36)*('Full month Pivot'!$C$3:$C$300=$A$7)*('Full month Pivot'!$D$2:$K$2=V$2)*'Full month Pivot'!$D$3:$K$300)</f>
        <v/>
      </c>
      <c r="W36" s="161">
        <f>SUMPRODUCT(('Full month Pivot'!$B$3:$B$300=$B36)*('Full month Pivot'!$C$3:$C$300=$A$7)*('Full month Pivot'!$D$2:$K$2=W$2)*'Full month Pivot'!$D$3:$K$300)</f>
        <v/>
      </c>
      <c r="X36" s="161">
        <f>SUMPRODUCT(('Full month Pivot'!$B$3:$B$300=$B36)*('Full month Pivot'!$C$3:$C$300=$A$7)*('Full month Pivot'!$D$2:$K$2=X$2)*'Full month Pivot'!$D$3:$K$300)</f>
        <v/>
      </c>
      <c r="Y36" s="161">
        <f>SUMPRODUCT(('Full month Pivot'!$B$3:$B$300=$B36)*('Full month Pivot'!$C$3:$C$300=$A$7)*('Full month Pivot'!$D$2:$K$2=Y$2)*'Full month Pivot'!$D$3:$K$300)</f>
        <v/>
      </c>
      <c r="Z36" s="161">
        <f>SUMPRODUCT(('Full month Pivot'!$B$3:$B$300=$B36)*('Full month Pivot'!$C$3:$C$300=$A$7)*('Full month Pivot'!$D$2:$K$2=Z$2)*'Full month Pivot'!$D$3:$K$300)</f>
        <v/>
      </c>
      <c r="AA36" s="161">
        <f>SUMPRODUCT(('Full month Pivot'!$B$3:$B$300=$B36)*('Full month Pivot'!$C$3:$C$300=$A$7)*('Full month Pivot'!$D$2:$K$2=AA$2)*'Full month Pivot'!$D$3:$K$300)</f>
        <v/>
      </c>
      <c r="AB36" s="172" t="n"/>
      <c r="AC36" s="172" t="n"/>
      <c r="AD36" s="143">
        <f>AA36-Z36</f>
        <v/>
      </c>
      <c r="AE36" s="171" t="n"/>
      <c r="AF36" s="171" t="n"/>
      <c r="AG36" s="171" t="n"/>
      <c r="AH36" s="171" t="n"/>
      <c r="AI36" s="171" t="n"/>
      <c r="AJ36" s="171" t="n"/>
    </row>
    <row r="37" hidden="1" outlineLevel="1" ht="15.75" customHeight="1" s="239">
      <c r="A37" s="171" t="n"/>
      <c r="B37" s="170" t="inlineStr">
        <is>
          <t>Điện</t>
        </is>
      </c>
      <c r="C37" s="171" t="n"/>
      <c r="D37" s="171" t="n"/>
      <c r="E37" s="171" t="n"/>
      <c r="F37" s="171" t="n"/>
      <c r="G37" s="161">
        <f>SUMPRODUCT(('MTD Pivot'!$B$3:$B$300=$B37)*('MTD Pivot'!$C$3:$C$300=$A$7)*('MTD Pivot'!$D$2:$K$2=G$2)*'MTD Pivot'!$D$3:$K$300)</f>
        <v/>
      </c>
      <c r="H37" s="161">
        <f>SUMPRODUCT(('MTD Pivot'!$B$3:$B$300=$B37)*('MTD Pivot'!$C$3:$C$300=$A$7)*('MTD Pivot'!$D$2:$K$2=H$2)*'MTD Pivot'!$D$3:$K$300)</f>
        <v/>
      </c>
      <c r="I37" s="161">
        <f>SUMPRODUCT(('MTD Pivot'!$B$3:$B$300=$B37)*('MTD Pivot'!$C$3:$C$300=$A$7)*('MTD Pivot'!$D$2:$K$2=I$2)*'MTD Pivot'!$D$3:$K$300)</f>
        <v/>
      </c>
      <c r="J37" s="161">
        <f>SUMPRODUCT(('MTD Pivot'!$B$3:$B$300=$B37)*('MTD Pivot'!$C$3:$C$300=$A$7)*('MTD Pivot'!$D$2:$K$2=J$2)*'MTD Pivot'!$D$3:$K$300)</f>
        <v/>
      </c>
      <c r="K37" s="161">
        <f>SUMPRODUCT(('MTD Pivot'!$B$3:$B$300=$B37)*('MTD Pivot'!$C$3:$C$300=$A$7)*('MTD Pivot'!$D$2:$K$2=K$2)*'MTD Pivot'!$D$3:$K$300)</f>
        <v/>
      </c>
      <c r="L37" s="161">
        <f>SUMPRODUCT(('MTD Pivot'!$B$3:$B$300=$B37)*('MTD Pivot'!$C$3:$C$300=$A$7)*('MTD Pivot'!$D$2:$K$2=L$2)*'MTD Pivot'!$D$3:$K$300)</f>
        <v/>
      </c>
      <c r="M37" s="172" t="n"/>
      <c r="N37" s="172" t="n"/>
      <c r="O37" s="143">
        <f>L37-K37</f>
        <v/>
      </c>
      <c r="P37" s="171" t="n"/>
      <c r="Q37" s="171" t="n"/>
      <c r="R37" s="171" t="n"/>
      <c r="S37" s="171" t="n"/>
      <c r="T37" s="171" t="n"/>
      <c r="U37" s="171" t="n"/>
      <c r="V37" s="161">
        <f>SUMPRODUCT(('Full month Pivot'!$B$3:$B$300=$B37)*('Full month Pivot'!$C$3:$C$300=$A$7)*('Full month Pivot'!$D$2:$K$2=V$2)*'Full month Pivot'!$D$3:$K$300)</f>
        <v/>
      </c>
      <c r="W37" s="161">
        <f>SUMPRODUCT(('Full month Pivot'!$B$3:$B$300=$B37)*('Full month Pivot'!$C$3:$C$300=$A$7)*('Full month Pivot'!$D$2:$K$2=W$2)*'Full month Pivot'!$D$3:$K$300)</f>
        <v/>
      </c>
      <c r="X37" s="161">
        <f>SUMPRODUCT(('Full month Pivot'!$B$3:$B$300=$B37)*('Full month Pivot'!$C$3:$C$300=$A$7)*('Full month Pivot'!$D$2:$K$2=X$2)*'Full month Pivot'!$D$3:$K$300)</f>
        <v/>
      </c>
      <c r="Y37" s="161">
        <f>SUMPRODUCT(('Full month Pivot'!$B$3:$B$300=$B37)*('Full month Pivot'!$C$3:$C$300=$A$7)*('Full month Pivot'!$D$2:$K$2=Y$2)*'Full month Pivot'!$D$3:$K$300)</f>
        <v/>
      </c>
      <c r="Z37" s="161">
        <f>SUMPRODUCT(('Full month Pivot'!$B$3:$B$300=$B37)*('Full month Pivot'!$C$3:$C$300=$A$7)*('Full month Pivot'!$D$2:$K$2=Z$2)*'Full month Pivot'!$D$3:$K$300)</f>
        <v/>
      </c>
      <c r="AA37" s="161">
        <f>SUMPRODUCT(('Full month Pivot'!$B$3:$B$300=$B37)*('Full month Pivot'!$C$3:$C$300=$A$7)*('Full month Pivot'!$D$2:$K$2=AA$2)*'Full month Pivot'!$D$3:$K$300)</f>
        <v/>
      </c>
      <c r="AB37" s="172" t="n"/>
      <c r="AC37" s="172" t="n"/>
      <c r="AD37" s="143">
        <f>AA37-Z37</f>
        <v/>
      </c>
      <c r="AE37" s="171" t="n"/>
      <c r="AF37" s="171" t="n"/>
      <c r="AG37" s="171" t="n"/>
      <c r="AH37" s="171" t="n"/>
      <c r="AI37" s="171" t="n"/>
      <c r="AJ37" s="171" t="n"/>
    </row>
    <row r="38" hidden="1" outlineLevel="1" ht="15.75" customHeight="1" s="239">
      <c r="A38" s="171" t="n"/>
      <c r="B38" s="170" t="inlineStr">
        <is>
          <t>Cross Border</t>
        </is>
      </c>
      <c r="C38" s="171" t="n"/>
      <c r="D38" s="171" t="n"/>
      <c r="E38" s="171" t="n"/>
      <c r="F38" s="171" t="n"/>
      <c r="G38" s="161">
        <f>SUMPRODUCT(('MTD Pivot'!$B$3:$B$300=$B38)*('MTD Pivot'!$C$3:$C$300=$A$7)*('MTD Pivot'!$D$2:$K$2=G$2)*'MTD Pivot'!$D$3:$K$300)</f>
        <v/>
      </c>
      <c r="H38" s="161">
        <f>SUMPRODUCT(('MTD Pivot'!$B$3:$B$300=$B38)*('MTD Pivot'!$C$3:$C$300=$A$7)*('MTD Pivot'!$D$2:$K$2=H$2)*'MTD Pivot'!$D$3:$K$300)</f>
        <v/>
      </c>
      <c r="I38" s="161">
        <f>SUMPRODUCT(('MTD Pivot'!$B$3:$B$300=$B38)*('MTD Pivot'!$C$3:$C$300=$A$7)*('MTD Pivot'!$D$2:$K$2=I$2)*'MTD Pivot'!$D$3:$K$300)</f>
        <v/>
      </c>
      <c r="J38" s="161">
        <f>SUMPRODUCT(('MTD Pivot'!$B$3:$B$300=$B38)*('MTD Pivot'!$C$3:$C$300=$A$7)*('MTD Pivot'!$D$2:$K$2=J$2)*'MTD Pivot'!$D$3:$K$300)</f>
        <v/>
      </c>
      <c r="K38" s="161">
        <f>SUMPRODUCT(('MTD Pivot'!$B$3:$B$300=$B38)*('MTD Pivot'!$C$3:$C$300=$A$7)*('MTD Pivot'!$D$2:$K$2=K$2)*'MTD Pivot'!$D$3:$K$300)</f>
        <v/>
      </c>
      <c r="L38" s="161">
        <f>SUMPRODUCT(('MTD Pivot'!$B$3:$B$300=$B38)*('MTD Pivot'!$C$3:$C$300=$A$7)*('MTD Pivot'!$D$2:$K$2=L$2)*'MTD Pivot'!$D$3:$K$300)</f>
        <v/>
      </c>
      <c r="M38" s="172" t="n"/>
      <c r="N38" s="172" t="n"/>
      <c r="O38" s="143">
        <f>L38-K38</f>
        <v/>
      </c>
      <c r="P38" s="171" t="n"/>
      <c r="Q38" s="171" t="n"/>
      <c r="R38" s="171" t="n"/>
      <c r="S38" s="171" t="n"/>
      <c r="T38" s="171" t="n"/>
      <c r="U38" s="171" t="n"/>
      <c r="V38" s="161">
        <f>SUMPRODUCT(('Full month Pivot'!$B$3:$B$300=$B38)*('Full month Pivot'!$C$3:$C$300=$A$7)*('Full month Pivot'!$D$2:$K$2=V$2)*'Full month Pivot'!$D$3:$K$300)</f>
        <v/>
      </c>
      <c r="W38" s="161">
        <f>SUMPRODUCT(('Full month Pivot'!$B$3:$B$300=$B38)*('Full month Pivot'!$C$3:$C$300=$A$7)*('Full month Pivot'!$D$2:$K$2=W$2)*'Full month Pivot'!$D$3:$K$300)</f>
        <v/>
      </c>
      <c r="X38" s="161">
        <f>SUMPRODUCT(('Full month Pivot'!$B$3:$B$300=$B38)*('Full month Pivot'!$C$3:$C$300=$A$7)*('Full month Pivot'!$D$2:$K$2=X$2)*'Full month Pivot'!$D$3:$K$300)</f>
        <v/>
      </c>
      <c r="Y38" s="161">
        <f>SUMPRODUCT(('Full month Pivot'!$B$3:$B$300=$B38)*('Full month Pivot'!$C$3:$C$300=$A$7)*('Full month Pivot'!$D$2:$K$2=Y$2)*'Full month Pivot'!$D$3:$K$300)</f>
        <v/>
      </c>
      <c r="Z38" s="161">
        <f>SUMPRODUCT(('Full month Pivot'!$B$3:$B$300=$B38)*('Full month Pivot'!$C$3:$C$300=$A$7)*('Full month Pivot'!$D$2:$K$2=Z$2)*'Full month Pivot'!$D$3:$K$300)</f>
        <v/>
      </c>
      <c r="AA38" s="161">
        <f>SUMPRODUCT(('Full month Pivot'!$B$3:$B$300=$B38)*('Full month Pivot'!$C$3:$C$300=$A$7)*('Full month Pivot'!$D$2:$K$2=AA$2)*'Full month Pivot'!$D$3:$K$300)</f>
        <v/>
      </c>
      <c r="AB38" s="172" t="n"/>
      <c r="AC38" s="172" t="n"/>
      <c r="AD38" s="143">
        <f>AA38-Z38</f>
        <v/>
      </c>
      <c r="AE38" s="171" t="n"/>
      <c r="AF38" s="171" t="n"/>
      <c r="AG38" s="171" t="n"/>
      <c r="AH38" s="171" t="n"/>
      <c r="AI38" s="171" t="n"/>
      <c r="AJ38" s="171" t="n"/>
    </row>
    <row r="39" hidden="1" outlineLevel="1" ht="15.75" customHeight="1" s="239">
      <c r="A39" s="171" t="n"/>
      <c r="B39" s="170" t="inlineStr">
        <is>
          <t>Hoàn Tiền Mua Sắm</t>
        </is>
      </c>
      <c r="C39" s="171" t="n"/>
      <c r="D39" s="171" t="n"/>
      <c r="E39" s="171" t="n"/>
      <c r="F39" s="171" t="n"/>
      <c r="G39" s="161">
        <f>SUMPRODUCT(('MTD Pivot'!$B$3:$B$300=$B39)*('MTD Pivot'!$C$3:$C$300=$A$7)*('MTD Pivot'!$D$2:$K$2=G$2)*'MTD Pivot'!$D$3:$K$300)</f>
        <v/>
      </c>
      <c r="H39" s="161">
        <f>SUMPRODUCT(('MTD Pivot'!$B$3:$B$300=$B39)*('MTD Pivot'!$C$3:$C$300=$A$7)*('MTD Pivot'!$D$2:$K$2=H$2)*'MTD Pivot'!$D$3:$K$300)</f>
        <v/>
      </c>
      <c r="I39" s="161">
        <f>SUMPRODUCT(('MTD Pivot'!$B$3:$B$300=$B39)*('MTD Pivot'!$C$3:$C$300=$A$7)*('MTD Pivot'!$D$2:$K$2=I$2)*'MTD Pivot'!$D$3:$K$300)</f>
        <v/>
      </c>
      <c r="J39" s="161">
        <f>SUMPRODUCT(('MTD Pivot'!$B$3:$B$300=$B39)*('MTD Pivot'!$C$3:$C$300=$A$7)*('MTD Pivot'!$D$2:$K$2=J$2)*'MTD Pivot'!$D$3:$K$300)</f>
        <v/>
      </c>
      <c r="K39" s="161">
        <f>SUMPRODUCT(('MTD Pivot'!$B$3:$B$300=$B39)*('MTD Pivot'!$C$3:$C$300=$A$7)*('MTD Pivot'!$D$2:$K$2=K$2)*'MTD Pivot'!$D$3:$K$300)</f>
        <v/>
      </c>
      <c r="L39" s="161">
        <f>SUMPRODUCT(('MTD Pivot'!$B$3:$B$300=$B39)*('MTD Pivot'!$C$3:$C$300=$A$7)*('MTD Pivot'!$D$2:$K$2=L$2)*'MTD Pivot'!$D$3:$K$300)</f>
        <v/>
      </c>
      <c r="M39" s="172" t="n"/>
      <c r="N39" s="172" t="n"/>
      <c r="O39" s="143">
        <f>L39-K39</f>
        <v/>
      </c>
      <c r="P39" s="171" t="n"/>
      <c r="Q39" s="171" t="n"/>
      <c r="R39" s="171" t="n"/>
      <c r="S39" s="171" t="n"/>
      <c r="T39" s="171" t="n"/>
      <c r="U39" s="171" t="n"/>
      <c r="V39" s="161">
        <f>SUMPRODUCT(('Full month Pivot'!$B$3:$B$300=$B39)*('Full month Pivot'!$C$3:$C$300=$A$7)*('Full month Pivot'!$D$2:$K$2=V$2)*'Full month Pivot'!$D$3:$K$300)</f>
        <v/>
      </c>
      <c r="W39" s="161">
        <f>SUMPRODUCT(('Full month Pivot'!$B$3:$B$300=$B39)*('Full month Pivot'!$C$3:$C$300=$A$7)*('Full month Pivot'!$D$2:$K$2=W$2)*'Full month Pivot'!$D$3:$K$300)</f>
        <v/>
      </c>
      <c r="X39" s="161">
        <f>SUMPRODUCT(('Full month Pivot'!$B$3:$B$300=$B39)*('Full month Pivot'!$C$3:$C$300=$A$7)*('Full month Pivot'!$D$2:$K$2=X$2)*'Full month Pivot'!$D$3:$K$300)</f>
        <v/>
      </c>
      <c r="Y39" s="161">
        <f>SUMPRODUCT(('Full month Pivot'!$B$3:$B$300=$B39)*('Full month Pivot'!$C$3:$C$300=$A$7)*('Full month Pivot'!$D$2:$K$2=Y$2)*'Full month Pivot'!$D$3:$K$300)</f>
        <v/>
      </c>
      <c r="Z39" s="161">
        <f>SUMPRODUCT(('Full month Pivot'!$B$3:$B$300=$B39)*('Full month Pivot'!$C$3:$C$300=$A$7)*('Full month Pivot'!$D$2:$K$2=Z$2)*'Full month Pivot'!$D$3:$K$300)</f>
        <v/>
      </c>
      <c r="AA39" s="161">
        <f>SUMPRODUCT(('Full month Pivot'!$B$3:$B$300=$B39)*('Full month Pivot'!$C$3:$C$300=$A$7)*('Full month Pivot'!$D$2:$K$2=AA$2)*'Full month Pivot'!$D$3:$K$300)</f>
        <v/>
      </c>
      <c r="AB39" s="172" t="n"/>
      <c r="AC39" s="172" t="n"/>
      <c r="AD39" s="143">
        <f>AA39-Z39</f>
        <v/>
      </c>
      <c r="AE39" s="171" t="n"/>
      <c r="AF39" s="171" t="n"/>
      <c r="AG39" s="171" t="n"/>
      <c r="AH39" s="171" t="n"/>
      <c r="AI39" s="171" t="n"/>
      <c r="AJ39" s="171" t="n"/>
    </row>
    <row r="40" hidden="1" outlineLevel="1" ht="15.75" customHeight="1" s="239">
      <c r="A40" s="171" t="n"/>
      <c r="B40" s="170" t="inlineStr">
        <is>
          <t>Mở tài khoản ngân hàng</t>
        </is>
      </c>
      <c r="C40" s="171" t="n"/>
      <c r="D40" s="171" t="n"/>
      <c r="E40" s="171" t="n"/>
      <c r="F40" s="171" t="n"/>
      <c r="G40" s="161">
        <f>SUMPRODUCT(('MTD Pivot'!$B$3:$B$300=$B40)*('MTD Pivot'!$C$3:$C$300=$A$7)*('MTD Pivot'!$D$2:$K$2=G$2)*'MTD Pivot'!$D$3:$K$300)</f>
        <v/>
      </c>
      <c r="H40" s="161">
        <f>SUMPRODUCT(('MTD Pivot'!$B$3:$B$300=$B40)*('MTD Pivot'!$C$3:$C$300=$A$7)*('MTD Pivot'!$D$2:$K$2=H$2)*'MTD Pivot'!$D$3:$K$300)</f>
        <v/>
      </c>
      <c r="I40" s="161">
        <f>SUMPRODUCT(('MTD Pivot'!$B$3:$B$300=$B40)*('MTD Pivot'!$C$3:$C$300=$A$7)*('MTD Pivot'!$D$2:$K$2=I$2)*'MTD Pivot'!$D$3:$K$300)</f>
        <v/>
      </c>
      <c r="J40" s="161">
        <f>SUMPRODUCT(('MTD Pivot'!$B$3:$B$300=$B40)*('MTD Pivot'!$C$3:$C$300=$A$7)*('MTD Pivot'!$D$2:$K$2=J$2)*'MTD Pivot'!$D$3:$K$300)</f>
        <v/>
      </c>
      <c r="K40" s="161">
        <f>SUMPRODUCT(('MTD Pivot'!$B$3:$B$300=$B40)*('MTD Pivot'!$C$3:$C$300=$A$7)*('MTD Pivot'!$D$2:$K$2=K$2)*'MTD Pivot'!$D$3:$K$300)</f>
        <v/>
      </c>
      <c r="L40" s="161">
        <f>SUMPRODUCT(('MTD Pivot'!$B$3:$B$300=$B40)*('MTD Pivot'!$C$3:$C$300=$A$7)*('MTD Pivot'!$D$2:$K$2=L$2)*'MTD Pivot'!$D$3:$K$300)</f>
        <v/>
      </c>
      <c r="M40" s="172" t="n"/>
      <c r="N40" s="172" t="n"/>
      <c r="O40" s="143">
        <f>L40-K40</f>
        <v/>
      </c>
      <c r="P40" s="171" t="n"/>
      <c r="Q40" s="171" t="n"/>
      <c r="R40" s="171" t="n"/>
      <c r="S40" s="171" t="n"/>
      <c r="T40" s="171" t="n"/>
      <c r="U40" s="171" t="n"/>
      <c r="V40" s="161">
        <f>SUMPRODUCT(('Full month Pivot'!$B$3:$B$300=$B40)*('Full month Pivot'!$C$3:$C$300=$A$7)*('Full month Pivot'!$D$2:$K$2=V$2)*'Full month Pivot'!$D$3:$K$300)</f>
        <v/>
      </c>
      <c r="W40" s="161">
        <f>SUMPRODUCT(('Full month Pivot'!$B$3:$B$300=$B40)*('Full month Pivot'!$C$3:$C$300=$A$7)*('Full month Pivot'!$D$2:$K$2=W$2)*'Full month Pivot'!$D$3:$K$300)</f>
        <v/>
      </c>
      <c r="X40" s="161">
        <f>SUMPRODUCT(('Full month Pivot'!$B$3:$B$300=$B40)*('Full month Pivot'!$C$3:$C$300=$A$7)*('Full month Pivot'!$D$2:$K$2=X$2)*'Full month Pivot'!$D$3:$K$300)</f>
        <v/>
      </c>
      <c r="Y40" s="161">
        <f>SUMPRODUCT(('Full month Pivot'!$B$3:$B$300=$B40)*('Full month Pivot'!$C$3:$C$300=$A$7)*('Full month Pivot'!$D$2:$K$2=Y$2)*'Full month Pivot'!$D$3:$K$300)</f>
        <v/>
      </c>
      <c r="Z40" s="161">
        <f>SUMPRODUCT(('Full month Pivot'!$B$3:$B$300=$B40)*('Full month Pivot'!$C$3:$C$300=$A$7)*('Full month Pivot'!$D$2:$K$2=Z$2)*'Full month Pivot'!$D$3:$K$300)</f>
        <v/>
      </c>
      <c r="AA40" s="161">
        <f>SUMPRODUCT(('Full month Pivot'!$B$3:$B$300=$B40)*('Full month Pivot'!$C$3:$C$300=$A$7)*('Full month Pivot'!$D$2:$K$2=AA$2)*'Full month Pivot'!$D$3:$K$300)</f>
        <v/>
      </c>
      <c r="AB40" s="172" t="n"/>
      <c r="AC40" s="172" t="n"/>
      <c r="AD40" s="143">
        <f>AA40-Z40</f>
        <v/>
      </c>
      <c r="AE40" s="171" t="n"/>
      <c r="AF40" s="171" t="n"/>
      <c r="AG40" s="171" t="n"/>
      <c r="AH40" s="171" t="n"/>
      <c r="AI40" s="171" t="n"/>
      <c r="AJ40" s="171" t="n"/>
    </row>
    <row r="41" hidden="1" outlineLevel="1" ht="15.75" customHeight="1" s="239">
      <c r="A41" s="171" t="n"/>
      <c r="B41" s="170" t="inlineStr">
        <is>
          <t>Student Hub</t>
        </is>
      </c>
      <c r="C41" s="171" t="n"/>
      <c r="D41" s="171" t="n"/>
      <c r="E41" s="171" t="n"/>
      <c r="F41" s="171" t="n"/>
      <c r="G41" s="161">
        <f>SUMPRODUCT(('MTD Pivot'!$B$3:$B$300=$B41)*('MTD Pivot'!$C$3:$C$300=$A$7)*('MTD Pivot'!$D$2:$K$2=G$2)*'MTD Pivot'!$D$3:$K$300)</f>
        <v/>
      </c>
      <c r="H41" s="161">
        <f>SUMPRODUCT(('MTD Pivot'!$B$3:$B$300=$B41)*('MTD Pivot'!$C$3:$C$300=$A$7)*('MTD Pivot'!$D$2:$K$2=H$2)*'MTD Pivot'!$D$3:$K$300)</f>
        <v/>
      </c>
      <c r="I41" s="161">
        <f>SUMPRODUCT(('MTD Pivot'!$B$3:$B$300=$B41)*('MTD Pivot'!$C$3:$C$300=$A$7)*('MTD Pivot'!$D$2:$K$2=I$2)*'MTD Pivot'!$D$3:$K$300)</f>
        <v/>
      </c>
      <c r="J41" s="161">
        <f>SUMPRODUCT(('MTD Pivot'!$B$3:$B$300=$B41)*('MTD Pivot'!$C$3:$C$300=$A$7)*('MTD Pivot'!$D$2:$K$2=J$2)*'MTD Pivot'!$D$3:$K$300)</f>
        <v/>
      </c>
      <c r="K41" s="161">
        <f>SUMPRODUCT(('MTD Pivot'!$B$3:$B$300=$B41)*('MTD Pivot'!$C$3:$C$300=$A$7)*('MTD Pivot'!$D$2:$K$2=K$2)*'MTD Pivot'!$D$3:$K$300)</f>
        <v/>
      </c>
      <c r="L41" s="161">
        <f>SUMPRODUCT(('MTD Pivot'!$B$3:$B$300=$B41)*('MTD Pivot'!$C$3:$C$300=$A$7)*('MTD Pivot'!$D$2:$K$2=L$2)*'MTD Pivot'!$D$3:$K$300)</f>
        <v/>
      </c>
      <c r="M41" s="172" t="n"/>
      <c r="N41" s="172" t="n"/>
      <c r="O41" s="143">
        <f>L41-K41</f>
        <v/>
      </c>
      <c r="P41" s="171" t="n"/>
      <c r="Q41" s="171" t="n"/>
      <c r="R41" s="171" t="n"/>
      <c r="S41" s="171" t="n"/>
      <c r="T41" s="171" t="n"/>
      <c r="U41" s="171" t="n"/>
      <c r="V41" s="161">
        <f>SUMPRODUCT(('Full month Pivot'!$B$3:$B$300=$B41)*('Full month Pivot'!$C$3:$C$300=$A$7)*('Full month Pivot'!$D$2:$K$2=V$2)*'Full month Pivot'!$D$3:$K$300)</f>
        <v/>
      </c>
      <c r="W41" s="161">
        <f>SUMPRODUCT(('Full month Pivot'!$B$3:$B$300=$B41)*('Full month Pivot'!$C$3:$C$300=$A$7)*('Full month Pivot'!$D$2:$K$2=W$2)*'Full month Pivot'!$D$3:$K$300)</f>
        <v/>
      </c>
      <c r="X41" s="161">
        <f>SUMPRODUCT(('Full month Pivot'!$B$3:$B$300=$B41)*('Full month Pivot'!$C$3:$C$300=$A$7)*('Full month Pivot'!$D$2:$K$2=X$2)*'Full month Pivot'!$D$3:$K$300)</f>
        <v/>
      </c>
      <c r="Y41" s="161">
        <f>SUMPRODUCT(('Full month Pivot'!$B$3:$B$300=$B41)*('Full month Pivot'!$C$3:$C$300=$A$7)*('Full month Pivot'!$D$2:$K$2=Y$2)*'Full month Pivot'!$D$3:$K$300)</f>
        <v/>
      </c>
      <c r="Z41" s="161">
        <f>SUMPRODUCT(('Full month Pivot'!$B$3:$B$300=$B41)*('Full month Pivot'!$C$3:$C$300=$A$7)*('Full month Pivot'!$D$2:$K$2=Z$2)*'Full month Pivot'!$D$3:$K$300)</f>
        <v/>
      </c>
      <c r="AA41" s="161">
        <f>SUMPRODUCT(('Full month Pivot'!$B$3:$B$300=$B41)*('Full month Pivot'!$C$3:$C$300=$A$7)*('Full month Pivot'!$D$2:$K$2=AA$2)*'Full month Pivot'!$D$3:$K$300)</f>
        <v/>
      </c>
      <c r="AB41" s="172" t="n"/>
      <c r="AC41" s="172" t="n"/>
      <c r="AD41" s="143">
        <f>AA41-Z41</f>
        <v/>
      </c>
      <c r="AE41" s="171" t="n"/>
      <c r="AF41" s="171" t="n"/>
      <c r="AG41" s="171" t="n"/>
      <c r="AH41" s="171" t="n"/>
      <c r="AI41" s="171" t="n"/>
      <c r="AJ41" s="171" t="n"/>
    </row>
    <row r="42" hidden="1" outlineLevel="1" ht="15.75" customHeight="1" s="239">
      <c r="A42" s="170" t="n"/>
      <c r="B42" s="170" t="inlineStr">
        <is>
          <t>Tiện ích giao thông</t>
        </is>
      </c>
      <c r="C42" s="170" t="n"/>
      <c r="D42" s="170" t="n"/>
      <c r="E42" s="170" t="n"/>
      <c r="F42" s="170" t="n"/>
      <c r="G42" s="161">
        <f>SUMPRODUCT(('MTD Pivot'!$B$3:$B$300=$B42)*('MTD Pivot'!$C$3:$C$300=$A$7)*('MTD Pivot'!$D$2:$K$2=G$2)*'MTD Pivot'!$D$3:$K$300)</f>
        <v/>
      </c>
      <c r="H42" s="161">
        <f>SUMPRODUCT(('MTD Pivot'!$B$3:$B$300=$B42)*('MTD Pivot'!$C$3:$C$300=$A$7)*('MTD Pivot'!$D$2:$K$2=H$2)*'MTD Pivot'!$D$3:$K$300)</f>
        <v/>
      </c>
      <c r="I42" s="161">
        <f>SUMPRODUCT(('MTD Pivot'!$B$3:$B$300=$B42)*('MTD Pivot'!$C$3:$C$300=$A$7)*('MTD Pivot'!$D$2:$K$2=I$2)*'MTD Pivot'!$D$3:$K$300)</f>
        <v/>
      </c>
      <c r="J42" s="161">
        <f>SUMPRODUCT(('MTD Pivot'!$B$3:$B$300=$B42)*('MTD Pivot'!$C$3:$C$300=$A$7)*('MTD Pivot'!$D$2:$K$2=J$2)*'MTD Pivot'!$D$3:$K$300)</f>
        <v/>
      </c>
      <c r="K42" s="161">
        <f>SUMPRODUCT(('MTD Pivot'!$B$3:$B$300=$B42)*('MTD Pivot'!$C$3:$C$300=$A$7)*('MTD Pivot'!$D$2:$K$2=K$2)*'MTD Pivot'!$D$3:$K$300)</f>
        <v/>
      </c>
      <c r="L42" s="161">
        <f>SUMPRODUCT(('MTD Pivot'!$B$3:$B$300=$B42)*('MTD Pivot'!$C$3:$C$300=$A$7)*('MTD Pivot'!$D$2:$K$2=L$2)*'MTD Pivot'!$D$3:$K$300)</f>
        <v/>
      </c>
      <c r="M42" s="161" t="n"/>
      <c r="N42" s="161" t="n"/>
      <c r="O42" s="143">
        <f>L42-K42</f>
        <v/>
      </c>
      <c r="P42" s="170" t="n"/>
      <c r="Q42" s="170" t="n"/>
      <c r="R42" s="170" t="n"/>
      <c r="S42" s="170" t="n"/>
      <c r="T42" s="170" t="n"/>
      <c r="U42" s="170" t="n"/>
      <c r="V42" s="161">
        <f>SUMPRODUCT(('Full month Pivot'!$B$3:$B$300=$B42)*('Full month Pivot'!$C$3:$C$300=$A$7)*('Full month Pivot'!$D$2:$K$2=V$2)*'Full month Pivot'!$D$3:$K$300)</f>
        <v/>
      </c>
      <c r="W42" s="161">
        <f>SUMPRODUCT(('Full month Pivot'!$B$3:$B$300=$B42)*('Full month Pivot'!$C$3:$C$300=$A$7)*('Full month Pivot'!$D$2:$K$2=W$2)*'Full month Pivot'!$D$3:$K$300)</f>
        <v/>
      </c>
      <c r="X42" s="161">
        <f>SUMPRODUCT(('Full month Pivot'!$B$3:$B$300=$B42)*('Full month Pivot'!$C$3:$C$300=$A$7)*('Full month Pivot'!$D$2:$K$2=X$2)*'Full month Pivot'!$D$3:$K$300)</f>
        <v/>
      </c>
      <c r="Y42" s="161">
        <f>SUMPRODUCT(('Full month Pivot'!$B$3:$B$300=$B42)*('Full month Pivot'!$C$3:$C$300=$A$7)*('Full month Pivot'!$D$2:$K$2=Y$2)*'Full month Pivot'!$D$3:$K$300)</f>
        <v/>
      </c>
      <c r="Z42" s="161">
        <f>SUMPRODUCT(('Full month Pivot'!$B$3:$B$300=$B42)*('Full month Pivot'!$C$3:$C$300=$A$7)*('Full month Pivot'!$D$2:$K$2=Z$2)*'Full month Pivot'!$D$3:$K$300)</f>
        <v/>
      </c>
      <c r="AA42" s="161">
        <f>SUMPRODUCT(('Full month Pivot'!$B$3:$B$300=$B42)*('Full month Pivot'!$C$3:$C$300=$A$7)*('Full month Pivot'!$D$2:$K$2=AA$2)*'Full month Pivot'!$D$3:$K$300)</f>
        <v/>
      </c>
      <c r="AB42" s="161" t="n"/>
      <c r="AC42" s="161" t="n"/>
      <c r="AD42" s="143">
        <f>AA42-Z42</f>
        <v/>
      </c>
      <c r="AE42" s="170" t="n"/>
      <c r="AF42" s="170" t="n"/>
      <c r="AG42" s="170" t="n"/>
      <c r="AH42" s="170" t="n"/>
      <c r="AI42" s="170" t="n"/>
      <c r="AJ42" s="170" t="n"/>
    </row>
    <row r="43" hidden="1" outlineLevel="1" ht="15.75" customHeight="1" s="239">
      <c r="A43" s="170" t="n"/>
      <c r="B43" s="170" t="inlineStr">
        <is>
          <t>Phí không dừng</t>
        </is>
      </c>
      <c r="C43" s="170" t="n"/>
      <c r="D43" s="170" t="n"/>
      <c r="E43" s="170" t="n"/>
      <c r="F43" s="170" t="n"/>
      <c r="G43" s="161">
        <f>SUMPRODUCT(('MTD Pivot'!$B$3:$B$300=$B43)*('MTD Pivot'!$C$3:$C$300=$A$7)*('MTD Pivot'!$D$2:$K$2=G$2)*'MTD Pivot'!$D$3:$K$300)</f>
        <v/>
      </c>
      <c r="H43" s="161">
        <f>SUMPRODUCT(('MTD Pivot'!$B$3:$B$300=$B43)*('MTD Pivot'!$C$3:$C$300=$A$7)*('MTD Pivot'!$D$2:$K$2=H$2)*'MTD Pivot'!$D$3:$K$300)</f>
        <v/>
      </c>
      <c r="I43" s="161">
        <f>SUMPRODUCT(('MTD Pivot'!$B$3:$B$300=$B43)*('MTD Pivot'!$C$3:$C$300=$A$7)*('MTD Pivot'!$D$2:$K$2=I$2)*'MTD Pivot'!$D$3:$K$300)</f>
        <v/>
      </c>
      <c r="J43" s="161">
        <f>SUMPRODUCT(('MTD Pivot'!$B$3:$B$300=$B43)*('MTD Pivot'!$C$3:$C$300=$A$7)*('MTD Pivot'!$D$2:$K$2=J$2)*'MTD Pivot'!$D$3:$K$300)</f>
        <v/>
      </c>
      <c r="K43" s="161">
        <f>SUMPRODUCT(('MTD Pivot'!$B$3:$B$300=$B43)*('MTD Pivot'!$C$3:$C$300=$A$7)*('MTD Pivot'!$D$2:$K$2=K$2)*'MTD Pivot'!$D$3:$K$300)</f>
        <v/>
      </c>
      <c r="L43" s="161">
        <f>SUMPRODUCT(('MTD Pivot'!$B$3:$B$300=$B43)*('MTD Pivot'!$C$3:$C$300=$A$7)*('MTD Pivot'!$D$2:$K$2=L$2)*'MTD Pivot'!$D$3:$K$300)</f>
        <v/>
      </c>
      <c r="M43" s="161" t="n"/>
      <c r="N43" s="161" t="n"/>
      <c r="O43" s="143">
        <f>L43-K43</f>
        <v/>
      </c>
      <c r="P43" s="170" t="n"/>
      <c r="Q43" s="170" t="n"/>
      <c r="R43" s="170" t="n"/>
      <c r="S43" s="170" t="n"/>
      <c r="T43" s="170" t="n"/>
      <c r="U43" s="170" t="n"/>
      <c r="V43" s="161">
        <f>SUMPRODUCT(('Full month Pivot'!$B$3:$B$300=$B43)*('Full month Pivot'!$C$3:$C$300=$A$7)*('Full month Pivot'!$D$2:$K$2=V$2)*'Full month Pivot'!$D$3:$K$300)</f>
        <v/>
      </c>
      <c r="W43" s="161">
        <f>SUMPRODUCT(('Full month Pivot'!$B$3:$B$300=$B43)*('Full month Pivot'!$C$3:$C$300=$A$7)*('Full month Pivot'!$D$2:$K$2=W$2)*'Full month Pivot'!$D$3:$K$300)</f>
        <v/>
      </c>
      <c r="X43" s="161">
        <f>SUMPRODUCT(('Full month Pivot'!$B$3:$B$300=$B43)*('Full month Pivot'!$C$3:$C$300=$A$7)*('Full month Pivot'!$D$2:$K$2=X$2)*'Full month Pivot'!$D$3:$K$300)</f>
        <v/>
      </c>
      <c r="Y43" s="161">
        <f>SUMPRODUCT(('Full month Pivot'!$B$3:$B$300=$B43)*('Full month Pivot'!$C$3:$C$300=$A$7)*('Full month Pivot'!$D$2:$K$2=Y$2)*'Full month Pivot'!$D$3:$K$300)</f>
        <v/>
      </c>
      <c r="Z43" s="161">
        <f>SUMPRODUCT(('Full month Pivot'!$B$3:$B$300=$B43)*('Full month Pivot'!$C$3:$C$300=$A$7)*('Full month Pivot'!$D$2:$K$2=Z$2)*'Full month Pivot'!$D$3:$K$300)</f>
        <v/>
      </c>
      <c r="AA43" s="161">
        <f>SUMPRODUCT(('Full month Pivot'!$B$3:$B$300=$B43)*('Full month Pivot'!$C$3:$C$300=$A$7)*('Full month Pivot'!$D$2:$K$2=AA$2)*'Full month Pivot'!$D$3:$K$300)</f>
        <v/>
      </c>
      <c r="AB43" s="161" t="n"/>
      <c r="AC43" s="161" t="n"/>
      <c r="AD43" s="143">
        <f>AA43-Z43</f>
        <v/>
      </c>
      <c r="AE43" s="170" t="n"/>
      <c r="AF43" s="170" t="n"/>
      <c r="AG43" s="170" t="n"/>
      <c r="AH43" s="170" t="n"/>
      <c r="AI43" s="170" t="n"/>
      <c r="AJ43" s="170" t="n"/>
    </row>
    <row r="44" hidden="1" outlineLevel="1" ht="15.75" customHeight="1" s="239">
      <c r="A44" s="170" t="n"/>
      <c r="B44" s="170" t="inlineStr">
        <is>
          <t>Tiệm vàng online</t>
        </is>
      </c>
      <c r="C44" s="170" t="n"/>
      <c r="D44" s="170" t="n"/>
      <c r="E44" s="170" t="n"/>
      <c r="F44" s="170" t="n"/>
      <c r="G44" s="161">
        <f>SUMPRODUCT(('MTD Pivot'!$B$3:$B$300=$B44)*('MTD Pivot'!$C$3:$C$300=$A$7)*('MTD Pivot'!$D$2:$K$2=G$2)*'MTD Pivot'!$D$3:$K$300)</f>
        <v/>
      </c>
      <c r="H44" s="161">
        <f>SUMPRODUCT(('MTD Pivot'!$B$3:$B$300=$B44)*('MTD Pivot'!$C$3:$C$300=$A$7)*('MTD Pivot'!$D$2:$K$2=H$2)*'MTD Pivot'!$D$3:$K$300)</f>
        <v/>
      </c>
      <c r="I44" s="161">
        <f>SUMPRODUCT(('MTD Pivot'!$B$3:$B$300=$B44)*('MTD Pivot'!$C$3:$C$300=$A$7)*('MTD Pivot'!$D$2:$K$2=I$2)*'MTD Pivot'!$D$3:$K$300)</f>
        <v/>
      </c>
      <c r="J44" s="161">
        <f>SUMPRODUCT(('MTD Pivot'!$B$3:$B$300=$B44)*('MTD Pivot'!$C$3:$C$300=$A$7)*('MTD Pivot'!$D$2:$K$2=J$2)*'MTD Pivot'!$D$3:$K$300)</f>
        <v/>
      </c>
      <c r="K44" s="161">
        <f>SUMPRODUCT(('MTD Pivot'!$B$3:$B$300=$B44)*('MTD Pivot'!$C$3:$C$300=$A$7)*('MTD Pivot'!$D$2:$K$2=K$2)*'MTD Pivot'!$D$3:$K$300)</f>
        <v/>
      </c>
      <c r="L44" s="161">
        <f>SUMPRODUCT(('MTD Pivot'!$B$3:$B$300=$B44)*('MTD Pivot'!$C$3:$C$300=$A$7)*('MTD Pivot'!$D$2:$K$2=L$2)*'MTD Pivot'!$D$3:$K$300)</f>
        <v/>
      </c>
      <c r="M44" s="161" t="n"/>
      <c r="N44" s="161" t="n"/>
      <c r="O44" s="143">
        <f>L44-K44</f>
        <v/>
      </c>
      <c r="P44" s="170" t="n"/>
      <c r="Q44" s="170" t="n"/>
      <c r="R44" s="170" t="n"/>
      <c r="S44" s="170" t="n"/>
      <c r="T44" s="170" t="n"/>
      <c r="U44" s="170" t="n"/>
      <c r="V44" s="161">
        <f>SUMPRODUCT(('Full month Pivot'!$B$3:$B$300=$B44)*('Full month Pivot'!$C$3:$C$300=$A$7)*('Full month Pivot'!$D$2:$K$2=V$2)*'Full month Pivot'!$D$3:$K$300)</f>
        <v/>
      </c>
      <c r="W44" s="161">
        <f>SUMPRODUCT(('Full month Pivot'!$B$3:$B$300=$B44)*('Full month Pivot'!$C$3:$C$300=$A$7)*('Full month Pivot'!$D$2:$K$2=W$2)*'Full month Pivot'!$D$3:$K$300)</f>
        <v/>
      </c>
      <c r="X44" s="161">
        <f>SUMPRODUCT(('Full month Pivot'!$B$3:$B$300=$B44)*('Full month Pivot'!$C$3:$C$300=$A$7)*('Full month Pivot'!$D$2:$K$2=X$2)*'Full month Pivot'!$D$3:$K$300)</f>
        <v/>
      </c>
      <c r="Y44" s="161">
        <f>SUMPRODUCT(('Full month Pivot'!$B$3:$B$300=$B44)*('Full month Pivot'!$C$3:$C$300=$A$7)*('Full month Pivot'!$D$2:$K$2=Y$2)*'Full month Pivot'!$D$3:$K$300)</f>
        <v/>
      </c>
      <c r="Z44" s="161">
        <f>SUMPRODUCT(('Full month Pivot'!$B$3:$B$300=$B44)*('Full month Pivot'!$C$3:$C$300=$A$7)*('Full month Pivot'!$D$2:$K$2=Z$2)*'Full month Pivot'!$D$3:$K$300)</f>
        <v/>
      </c>
      <c r="AA44" s="161">
        <f>SUMPRODUCT(('Full month Pivot'!$B$3:$B$300=$B44)*('Full month Pivot'!$C$3:$C$300=$A$7)*('Full month Pivot'!$D$2:$K$2=AA$2)*'Full month Pivot'!$D$3:$K$300)</f>
        <v/>
      </c>
      <c r="AB44" s="161" t="n"/>
      <c r="AC44" s="161" t="n"/>
      <c r="AD44" s="143">
        <f>AA44-Z44</f>
        <v/>
      </c>
      <c r="AE44" s="170" t="n"/>
      <c r="AF44" s="170" t="n"/>
      <c r="AG44" s="170" t="n"/>
      <c r="AH44" s="170" t="n"/>
      <c r="AI44" s="170" t="n"/>
      <c r="AJ44" s="170" t="n"/>
    </row>
    <row r="45" hidden="1" outlineLevel="1" ht="15.75" customHeight="1" s="239">
      <c r="A45" s="170" t="n"/>
      <c r="B45" s="170" t="inlineStr">
        <is>
          <t>Download</t>
        </is>
      </c>
      <c r="C45" s="170" t="n"/>
      <c r="D45" s="170" t="n"/>
      <c r="E45" s="170" t="n"/>
      <c r="F45" s="170" t="n"/>
      <c r="G45" s="161">
        <f>SUMPRODUCT(('MTD Pivot'!$B$3:$B$300=$B45)*('MTD Pivot'!$C$3:$C$300=$A$7)*('MTD Pivot'!$D$2:$K$2=G$2)*'MTD Pivot'!$D$3:$K$300)</f>
        <v/>
      </c>
      <c r="H45" s="161">
        <f>SUMPRODUCT(('MTD Pivot'!$B$3:$B$300=$B45)*('MTD Pivot'!$C$3:$C$300=$A$7)*('MTD Pivot'!$D$2:$K$2=H$2)*'MTD Pivot'!$D$3:$K$300)</f>
        <v/>
      </c>
      <c r="I45" s="161">
        <f>SUMPRODUCT(('MTD Pivot'!$B$3:$B$300=$B45)*('MTD Pivot'!$C$3:$C$300=$A$7)*('MTD Pivot'!$D$2:$K$2=I$2)*'MTD Pivot'!$D$3:$K$300)</f>
        <v/>
      </c>
      <c r="J45" s="161">
        <f>SUMPRODUCT(('MTD Pivot'!$B$3:$B$300=$B45)*('MTD Pivot'!$C$3:$C$300=$A$7)*('MTD Pivot'!$D$2:$K$2=J$2)*'MTD Pivot'!$D$3:$K$300)</f>
        <v/>
      </c>
      <c r="K45" s="161">
        <f>SUMPRODUCT(('MTD Pivot'!$B$3:$B$300=$B45)*('MTD Pivot'!$C$3:$C$300=$A$7)*('MTD Pivot'!$D$2:$K$2=K$2)*'MTD Pivot'!$D$3:$K$300)</f>
        <v/>
      </c>
      <c r="L45" s="161">
        <f>SUMPRODUCT(('MTD Pivot'!$B$3:$B$300=$B45)*('MTD Pivot'!$C$3:$C$300=$A$7)*('MTD Pivot'!$D$2:$K$2=L$2)*'MTD Pivot'!$D$3:$K$300)</f>
        <v/>
      </c>
      <c r="M45" s="161" t="n"/>
      <c r="N45" s="161" t="n"/>
      <c r="O45" s="143">
        <f>L45-K45</f>
        <v/>
      </c>
      <c r="P45" s="170" t="n"/>
      <c r="Q45" s="170" t="n"/>
      <c r="R45" s="170" t="n"/>
      <c r="S45" s="170" t="n"/>
      <c r="T45" s="170" t="n"/>
      <c r="U45" s="170" t="n"/>
      <c r="V45" s="161">
        <f>SUMPRODUCT(('Full month Pivot'!$B$3:$B$300=$B45)*('Full month Pivot'!$C$3:$C$300=$A$7)*('Full month Pivot'!$D$2:$K$2=V$2)*'Full month Pivot'!$D$3:$K$300)</f>
        <v/>
      </c>
      <c r="W45" s="161">
        <f>SUMPRODUCT(('Full month Pivot'!$B$3:$B$300=$B45)*('Full month Pivot'!$C$3:$C$300=$A$7)*('Full month Pivot'!$D$2:$K$2=W$2)*'Full month Pivot'!$D$3:$K$300)</f>
        <v/>
      </c>
      <c r="X45" s="161">
        <f>SUMPRODUCT(('Full month Pivot'!$B$3:$B$300=$B45)*('Full month Pivot'!$C$3:$C$300=$A$7)*('Full month Pivot'!$D$2:$K$2=X$2)*'Full month Pivot'!$D$3:$K$300)</f>
        <v/>
      </c>
      <c r="Y45" s="161">
        <f>SUMPRODUCT(('Full month Pivot'!$B$3:$B$300=$B45)*('Full month Pivot'!$C$3:$C$300=$A$7)*('Full month Pivot'!$D$2:$K$2=Y$2)*'Full month Pivot'!$D$3:$K$300)</f>
        <v/>
      </c>
      <c r="Z45" s="161">
        <f>SUMPRODUCT(('Full month Pivot'!$B$3:$B$300=$B45)*('Full month Pivot'!$C$3:$C$300=$A$7)*('Full month Pivot'!$D$2:$K$2=Z$2)*'Full month Pivot'!$D$3:$K$300)</f>
        <v/>
      </c>
      <c r="AA45" s="161">
        <f>SUMPRODUCT(('Full month Pivot'!$B$3:$B$300=$B45)*('Full month Pivot'!$C$3:$C$300=$A$7)*('Full month Pivot'!$D$2:$K$2=AA$2)*'Full month Pivot'!$D$3:$K$300)</f>
        <v/>
      </c>
      <c r="AB45" s="161" t="n"/>
      <c r="AC45" s="161" t="n"/>
      <c r="AD45" s="143">
        <f>AA45-Z45</f>
        <v/>
      </c>
      <c r="AE45" s="170" t="n"/>
      <c r="AF45" s="170" t="n"/>
      <c r="AG45" s="170" t="n"/>
      <c r="AH45" s="170" t="n"/>
      <c r="AI45" s="170" t="n"/>
      <c r="AJ45" s="170" t="n"/>
    </row>
    <row r="46" hidden="1" outlineLevel="1" ht="15.75" customHeight="1" s="239">
      <c r="A46" s="170" t="n"/>
      <c r="B46" s="170" t="inlineStr">
        <is>
          <t>Others</t>
        </is>
      </c>
      <c r="C46" s="170" t="n"/>
      <c r="D46" s="170" t="n"/>
      <c r="E46" s="170" t="n"/>
      <c r="F46" s="170" t="n"/>
      <c r="G46" s="161">
        <f>SUMPRODUCT(('MTD Pivot'!$B$3:$B$300=$B46)*('MTD Pivot'!$C$3:$C$300=$A$7)*('MTD Pivot'!$D$2:$K$2=G$2)*'MTD Pivot'!$D$3:$K$300)</f>
        <v/>
      </c>
      <c r="H46" s="161">
        <f>SUMPRODUCT(('MTD Pivot'!$B$3:$B$300=$B46)*('MTD Pivot'!$C$3:$C$300=$A$7)*('MTD Pivot'!$D$2:$K$2=H$2)*'MTD Pivot'!$D$3:$K$300)</f>
        <v/>
      </c>
      <c r="I46" s="161">
        <f>SUMPRODUCT(('MTD Pivot'!$B$3:$B$300=$B46)*('MTD Pivot'!$C$3:$C$300=$A$7)*('MTD Pivot'!$D$2:$K$2=I$2)*'MTD Pivot'!$D$3:$K$300)</f>
        <v/>
      </c>
      <c r="J46" s="161">
        <f>SUMPRODUCT(('MTD Pivot'!$B$3:$B$300=$B46)*('MTD Pivot'!$C$3:$C$300=$A$7)*('MTD Pivot'!$D$2:$K$2=J$2)*'MTD Pivot'!$D$3:$K$300)</f>
        <v/>
      </c>
      <c r="K46" s="161">
        <f>SUMPRODUCT(('MTD Pivot'!$B$3:$B$300=$B46)*('MTD Pivot'!$C$3:$C$300=$A$7)*('MTD Pivot'!$D$2:$K$2=K$2)*'MTD Pivot'!$D$3:$K$300)</f>
        <v/>
      </c>
      <c r="L46" s="161">
        <f>SUMPRODUCT(('MTD Pivot'!$B$3:$B$300=$B46)*('MTD Pivot'!$C$3:$C$300=$A$7)*('MTD Pivot'!$D$2:$K$2=L$2)*'MTD Pivot'!$D$3:$K$300)</f>
        <v/>
      </c>
      <c r="M46" s="161" t="n"/>
      <c r="N46" s="161" t="n"/>
      <c r="O46" s="143">
        <f>L46-K46</f>
        <v/>
      </c>
      <c r="P46" s="170" t="n"/>
      <c r="Q46" s="170" t="n"/>
      <c r="R46" s="170" t="n"/>
      <c r="S46" s="170" t="n"/>
      <c r="T46" s="170" t="n"/>
      <c r="U46" s="170" t="n"/>
      <c r="V46" s="161">
        <f>SUMPRODUCT(('Full month Pivot'!$B$3:$B$300=$B46)*('Full month Pivot'!$C$3:$C$300=$A$7)*('Full month Pivot'!$D$2:$K$2=V$2)*'Full month Pivot'!$D$3:$K$300)</f>
        <v/>
      </c>
      <c r="W46" s="161">
        <f>SUMPRODUCT(('Full month Pivot'!$B$3:$B$300=$B46)*('Full month Pivot'!$C$3:$C$300=$A$7)*('Full month Pivot'!$D$2:$K$2=W$2)*'Full month Pivot'!$D$3:$K$300)</f>
        <v/>
      </c>
      <c r="X46" s="161">
        <f>SUMPRODUCT(('Full month Pivot'!$B$3:$B$300=$B46)*('Full month Pivot'!$C$3:$C$300=$A$7)*('Full month Pivot'!$D$2:$K$2=X$2)*'Full month Pivot'!$D$3:$K$300)</f>
        <v/>
      </c>
      <c r="Y46" s="161">
        <f>SUMPRODUCT(('Full month Pivot'!$B$3:$B$300=$B46)*('Full month Pivot'!$C$3:$C$300=$A$7)*('Full month Pivot'!$D$2:$K$2=Y$2)*'Full month Pivot'!$D$3:$K$300)</f>
        <v/>
      </c>
      <c r="Z46" s="161">
        <f>SUMPRODUCT(('Full month Pivot'!$B$3:$B$300=$B46)*('Full month Pivot'!$C$3:$C$300=$A$7)*('Full month Pivot'!$D$2:$K$2=Z$2)*'Full month Pivot'!$D$3:$K$300)</f>
        <v/>
      </c>
      <c r="AA46" s="161">
        <f>SUMPRODUCT(('Full month Pivot'!$B$3:$B$300=$B46)*('Full month Pivot'!$C$3:$C$300=$A$7)*('Full month Pivot'!$D$2:$K$2=AA$2)*'Full month Pivot'!$D$3:$K$300)</f>
        <v/>
      </c>
      <c r="AB46" s="161" t="n"/>
      <c r="AC46" s="161" t="n"/>
      <c r="AD46" s="143">
        <f>AA46-Z46</f>
        <v/>
      </c>
      <c r="AE46" s="170" t="n"/>
      <c r="AF46" s="170" t="n"/>
      <c r="AG46" s="170" t="n"/>
      <c r="AH46" s="170" t="n"/>
      <c r="AI46" s="170" t="n"/>
      <c r="AJ46" s="170" t="n"/>
    </row>
    <row r="47" ht="15" customHeight="1" s="239">
      <c r="A47" s="59" t="n"/>
      <c r="B47" s="208" t="n"/>
      <c r="C47" s="8" t="n"/>
      <c r="D47" s="8" t="n"/>
      <c r="E47" s="8" t="n"/>
      <c r="F47" s="8" t="n"/>
      <c r="G47" s="150" t="n"/>
      <c r="H47" s="150" t="n"/>
      <c r="I47" s="150" t="n"/>
      <c r="J47" s="150" t="n"/>
      <c r="K47" s="150" t="n"/>
      <c r="L47" s="150" t="n"/>
      <c r="M47" s="150" t="n"/>
      <c r="N47" s="150" t="n"/>
      <c r="O47" s="143" t="n"/>
      <c r="P47" s="8" t="n"/>
      <c r="Q47" s="8" t="n"/>
      <c r="R47" s="8" t="n"/>
      <c r="S47" s="8" t="n"/>
      <c r="T47" s="8" t="n"/>
      <c r="U47" s="8" t="n"/>
      <c r="V47" s="150" t="n"/>
      <c r="W47" s="150" t="n"/>
      <c r="X47" s="150" t="n"/>
      <c r="Y47" s="150" t="n"/>
      <c r="Z47" s="150" t="n"/>
      <c r="AA47" s="150" t="n"/>
      <c r="AB47" s="150" t="n"/>
      <c r="AC47" s="150" t="n"/>
      <c r="AD47" s="143" t="n"/>
      <c r="AE47" s="8" t="n"/>
      <c r="AF47" s="8" t="n"/>
      <c r="AG47" s="8" t="n"/>
      <c r="AH47" s="8" t="n"/>
      <c r="AI47" s="8" t="n"/>
      <c r="AJ47" s="8" t="n"/>
    </row>
    <row r="48" ht="15" customHeight="1" s="239">
      <c r="A48" s="208" t="inlineStr">
        <is>
          <t>Paid</t>
        </is>
      </c>
      <c r="B48" s="153" t="n"/>
      <c r="C48" s="153" t="n"/>
      <c r="D48" s="153" t="n"/>
      <c r="E48" s="153" t="n"/>
      <c r="F48" s="153" t="n"/>
      <c r="G48" s="154">
        <f>SUM(G50:G87)</f>
        <v/>
      </c>
      <c r="H48" s="154">
        <f>SUM(H50:H87)</f>
        <v/>
      </c>
      <c r="I48" s="154">
        <f>SUM(I50:I87)</f>
        <v/>
      </c>
      <c r="J48" s="154">
        <f>SUM(J50:J87)</f>
        <v/>
      </c>
      <c r="K48" s="154">
        <f>SUM(K50:K87)</f>
        <v/>
      </c>
      <c r="L48" s="154">
        <f>SUM(L50:L87)</f>
        <v/>
      </c>
      <c r="M48" s="154" t="n"/>
      <c r="N48" s="154" t="n"/>
      <c r="O48" s="143">
        <f>L48-K48</f>
        <v/>
      </c>
      <c r="P48" s="153" t="n"/>
      <c r="Q48" s="153" t="n"/>
      <c r="R48" s="153">
        <f>SUM(R50,R51,R52)</f>
        <v/>
      </c>
      <c r="S48" s="153">
        <f>SUM(S50,S51,S52)</f>
        <v/>
      </c>
      <c r="T48" s="153">
        <f>SUM(T50,T51,T52)</f>
        <v/>
      </c>
      <c r="U48" s="153">
        <f>SUM(U50,U51,U52)</f>
        <v/>
      </c>
      <c r="V48" s="154">
        <f>SUM(V50:V87)</f>
        <v/>
      </c>
      <c r="W48" s="154">
        <f>SUM(W50:W87)</f>
        <v/>
      </c>
      <c r="X48" s="154">
        <f>SUM(X50:X87)</f>
        <v/>
      </c>
      <c r="Y48" s="154">
        <f>SUM(Y50:Y87)</f>
        <v/>
      </c>
      <c r="Z48" s="154">
        <f>SUM(Z50:Z87)</f>
        <v/>
      </c>
      <c r="AA48" s="154">
        <f>SUM(AA50:AA87)</f>
        <v/>
      </c>
      <c r="AB48" s="154" t="n"/>
      <c r="AC48" s="154" t="n"/>
      <c r="AD48" s="143">
        <f>AA48-Z48</f>
        <v/>
      </c>
      <c r="AE48" s="153" t="n"/>
      <c r="AF48" s="153" t="n"/>
      <c r="AG48" s="153" t="n"/>
      <c r="AH48" s="153" t="n"/>
      <c r="AI48" s="153" t="n"/>
      <c r="AJ48" s="153" t="n"/>
    </row>
    <row r="49" ht="15" customHeight="1" s="239">
      <c r="A49" s="59" t="inlineStr">
        <is>
          <t xml:space="preserve">  Net change</t>
        </is>
      </c>
      <c r="B49" s="59" t="n"/>
      <c r="C49" s="60">
        <f>C48-Q48</f>
        <v/>
      </c>
      <c r="D49" s="60">
        <f>D48-C48</f>
        <v/>
      </c>
      <c r="E49" s="60">
        <f>E48-D48</f>
        <v/>
      </c>
      <c r="F49" s="60">
        <f>F48-E48</f>
        <v/>
      </c>
      <c r="G49" s="156">
        <f>G48-F48</f>
        <v/>
      </c>
      <c r="H49" s="156">
        <f>H48-G48</f>
        <v/>
      </c>
      <c r="I49" s="156">
        <f>I48-H48</f>
        <v/>
      </c>
      <c r="J49" s="156">
        <f>J48-I48</f>
        <v/>
      </c>
      <c r="K49" s="156">
        <f>K48-J48</f>
        <v/>
      </c>
      <c r="L49" s="156">
        <f>L48-K48</f>
        <v/>
      </c>
      <c r="M49" s="156" t="n"/>
      <c r="N49" s="156" t="n"/>
      <c r="O49" s="143">
        <f>L49-K49</f>
        <v/>
      </c>
      <c r="P49" s="60" t="n"/>
      <c r="Q49" s="60" t="n"/>
      <c r="R49" s="60" t="n"/>
      <c r="S49" s="60">
        <f>S48-R48</f>
        <v/>
      </c>
      <c r="T49" s="60">
        <f>T48-S48</f>
        <v/>
      </c>
      <c r="U49" s="60">
        <f>U48-T48</f>
        <v/>
      </c>
      <c r="V49" s="156">
        <f>V48-U48</f>
        <v/>
      </c>
      <c r="W49" s="156">
        <f>W48-V48</f>
        <v/>
      </c>
      <c r="X49" s="156">
        <f>X48-W48</f>
        <v/>
      </c>
      <c r="Y49" s="156">
        <f>Y48-X48</f>
        <v/>
      </c>
      <c r="Z49" s="156">
        <f>Z48-Y48</f>
        <v/>
      </c>
      <c r="AA49" s="156">
        <f>AA48-Z48</f>
        <v/>
      </c>
      <c r="AB49" s="156" t="n"/>
      <c r="AC49" s="156" t="n"/>
      <c r="AD49" s="143">
        <f>AA49-Z49</f>
        <v/>
      </c>
      <c r="AE49" s="60" t="n"/>
      <c r="AF49" s="60" t="n"/>
      <c r="AG49" s="60" t="n"/>
      <c r="AH49" s="60" t="n"/>
      <c r="AI49" s="60" t="n"/>
      <c r="AJ49" s="60" t="n"/>
    </row>
    <row r="50" outlineLevel="1" ht="15" customHeight="1" s="239">
      <c r="A50" s="170" t="n"/>
      <c r="B50" s="170" t="inlineStr">
        <is>
          <t>Cinema Hub</t>
        </is>
      </c>
      <c r="C50" s="170" t="n"/>
      <c r="D50" s="170" t="n"/>
      <c r="E50" s="170" t="n"/>
      <c r="F50" s="170" t="n"/>
      <c r="G50" s="161">
        <f>SUMPRODUCT(('MTD Pivot'!$B$3:$B$300=$B50)*('MTD Pivot'!$C$3:$C$300=$A$48)*('MTD Pivot'!$D$2:$K$2=G$2)*'MTD Pivot'!$D$3:$K$300)</f>
        <v/>
      </c>
      <c r="H50" s="161">
        <f>SUMPRODUCT(('MTD Pivot'!$B$3:$B$300=$B50)*('MTD Pivot'!$C$3:$C$300=$A$48)*('MTD Pivot'!$D$2:$K$2=H$2)*'MTD Pivot'!$D$3:$K$300)</f>
        <v/>
      </c>
      <c r="I50" s="161">
        <f>SUMPRODUCT(('MTD Pivot'!$B$3:$B$300=$B50)*('MTD Pivot'!$C$3:$C$300=$A$48)*('MTD Pivot'!$D$2:$K$2=I$2)*'MTD Pivot'!$D$3:$K$300)</f>
        <v/>
      </c>
      <c r="J50" s="161">
        <f>SUMPRODUCT(('MTD Pivot'!$B$3:$B$300=$B50)*('MTD Pivot'!$C$3:$C$300=$A$48)*('MTD Pivot'!$D$2:$K$2=J$2)*'MTD Pivot'!$D$3:$K$300)</f>
        <v/>
      </c>
      <c r="K50" s="161">
        <f>SUMPRODUCT(('MTD Pivot'!$B$3:$B$300=$B50)*('MTD Pivot'!$C$3:$C$300=$A$48)*('MTD Pivot'!$D$2:$K$2=K$2)*'MTD Pivot'!$D$3:$K$300)</f>
        <v/>
      </c>
      <c r="L50" s="161">
        <f>SUMPRODUCT(('MTD Pivot'!$B$3:$B$300=$B50)*('MTD Pivot'!$C$3:$C$300=$A$48)*('MTD Pivot'!$D$2:$K$2=L$2)*'MTD Pivot'!$D$3:$K$300)</f>
        <v/>
      </c>
      <c r="M50" s="161" t="n"/>
      <c r="N50" s="161" t="n"/>
      <c r="O50" s="143">
        <f>L50-K50</f>
        <v/>
      </c>
      <c r="P50" s="170" t="n"/>
      <c r="Q50" s="170" t="n"/>
      <c r="R50" s="170" t="n"/>
      <c r="S50" s="170" t="n"/>
      <c r="T50" s="170" t="n"/>
      <c r="U50" s="170" t="n"/>
      <c r="V50" s="161">
        <f>SUMPRODUCT(('Full month Pivot'!$B$3:$B$300=$B50)*('Full month Pivot'!$C$3:$C$300=$A$48)*('Full month Pivot'!$D$2:$K$2=V$2)*'Full month Pivot'!$D$3:$K$300)</f>
        <v/>
      </c>
      <c r="W50" s="161">
        <f>SUMPRODUCT(('Full month Pivot'!$B$3:$B$300=$B50)*('Full month Pivot'!$C$3:$C$300=$A$48)*('Full month Pivot'!$D$2:$K$2=W$2)*'Full month Pivot'!$D$3:$K$300)</f>
        <v/>
      </c>
      <c r="X50" s="161">
        <f>SUMPRODUCT(('Full month Pivot'!$B$3:$B$300=$B50)*('Full month Pivot'!$C$3:$C$300=$A$48)*('Full month Pivot'!$D$2:$K$2=X$2)*'Full month Pivot'!$D$3:$K$300)</f>
        <v/>
      </c>
      <c r="Y50" s="161">
        <f>SUMPRODUCT(('Full month Pivot'!$B$3:$B$300=$B50)*('Full month Pivot'!$C$3:$C$300=$A$48)*('Full month Pivot'!$D$2:$K$2=Y$2)*'Full month Pivot'!$D$3:$K$300)</f>
        <v/>
      </c>
      <c r="Z50" s="161">
        <f>SUMPRODUCT(('Full month Pivot'!$B$3:$B$300=$B50)*('Full month Pivot'!$C$3:$C$300=$A$48)*('Full month Pivot'!$D$2:$K$2=Z$2)*'Full month Pivot'!$D$3:$K$300)</f>
        <v/>
      </c>
      <c r="AA50" s="161">
        <f>SUMPRODUCT(('Full month Pivot'!$B$3:$B$300=$B50)*('Full month Pivot'!$C$3:$C$300=$A$48)*('Full month Pivot'!$D$2:$K$2=AA$2)*'Full month Pivot'!$D$3:$K$300)</f>
        <v/>
      </c>
      <c r="AB50" s="161" t="n"/>
      <c r="AC50" s="161" t="n"/>
      <c r="AD50" s="143">
        <f>AA50-Z50</f>
        <v/>
      </c>
      <c r="AE50" s="170" t="n"/>
      <c r="AF50" s="170" t="n"/>
      <c r="AG50" s="170" t="n"/>
      <c r="AH50" s="170" t="n"/>
      <c r="AI50" s="170" t="n"/>
      <c r="AJ50" s="170" t="n"/>
    </row>
    <row r="51" outlineLevel="1" ht="15" customHeight="1" s="239">
      <c r="A51" s="170" t="n"/>
      <c r="B51" s="170" t="inlineStr">
        <is>
          <t>Phạt nguội</t>
        </is>
      </c>
      <c r="C51" s="170" t="n"/>
      <c r="D51" s="170" t="n"/>
      <c r="E51" s="170" t="n"/>
      <c r="F51" s="170" t="n"/>
      <c r="G51" s="161">
        <f>SUMPRODUCT(('MTD Pivot'!$B$3:$B$300=$B51)*('MTD Pivot'!$C$3:$C$300=$A$48)*('MTD Pivot'!$D$2:$K$2=G$2)*'MTD Pivot'!$D$3:$K$300)</f>
        <v/>
      </c>
      <c r="H51" s="161">
        <f>SUMPRODUCT(('MTD Pivot'!$B$3:$B$300=$B51)*('MTD Pivot'!$C$3:$C$300=$A$48)*('MTD Pivot'!$D$2:$K$2=H$2)*'MTD Pivot'!$D$3:$K$300)</f>
        <v/>
      </c>
      <c r="I51" s="161">
        <f>SUMPRODUCT(('MTD Pivot'!$B$3:$B$300=$B51)*('MTD Pivot'!$C$3:$C$300=$A$48)*('MTD Pivot'!$D$2:$K$2=I$2)*'MTD Pivot'!$D$3:$K$300)</f>
        <v/>
      </c>
      <c r="J51" s="161">
        <f>SUMPRODUCT(('MTD Pivot'!$B$3:$B$300=$B51)*('MTD Pivot'!$C$3:$C$300=$A$48)*('MTD Pivot'!$D$2:$K$2=J$2)*'MTD Pivot'!$D$3:$K$300)</f>
        <v/>
      </c>
      <c r="K51" s="161">
        <f>SUMPRODUCT(('MTD Pivot'!$B$3:$B$300=$B51)*('MTD Pivot'!$C$3:$C$300=$A$48)*('MTD Pivot'!$D$2:$K$2=K$2)*'MTD Pivot'!$D$3:$K$300)</f>
        <v/>
      </c>
      <c r="L51" s="161">
        <f>SUMPRODUCT(('MTD Pivot'!$B$3:$B$300=$B51)*('MTD Pivot'!$C$3:$C$300=$A$48)*('MTD Pivot'!$D$2:$K$2=L$2)*'MTD Pivot'!$D$3:$K$300)</f>
        <v/>
      </c>
      <c r="M51" s="161" t="n"/>
      <c r="N51" s="161" t="n"/>
      <c r="O51" s="143">
        <f>L51-K51</f>
        <v/>
      </c>
      <c r="P51" s="170" t="n"/>
      <c r="Q51" s="170" t="n"/>
      <c r="R51" s="170" t="n"/>
      <c r="S51" s="170" t="n"/>
      <c r="T51" s="170" t="n"/>
      <c r="U51" s="170" t="n"/>
      <c r="V51" s="161">
        <f>SUMPRODUCT(('Full month Pivot'!$B$3:$B$300=$B51)*('Full month Pivot'!$C$3:$C$300=$A$48)*('Full month Pivot'!$D$2:$K$2=V$2)*'Full month Pivot'!$D$3:$K$300)</f>
        <v/>
      </c>
      <c r="W51" s="161">
        <f>SUMPRODUCT(('Full month Pivot'!$B$3:$B$300=$B51)*('Full month Pivot'!$C$3:$C$300=$A$48)*('Full month Pivot'!$D$2:$K$2=W$2)*'Full month Pivot'!$D$3:$K$300)</f>
        <v/>
      </c>
      <c r="X51" s="161">
        <f>SUMPRODUCT(('Full month Pivot'!$B$3:$B$300=$B51)*('Full month Pivot'!$C$3:$C$300=$A$48)*('Full month Pivot'!$D$2:$K$2=X$2)*'Full month Pivot'!$D$3:$K$300)</f>
        <v/>
      </c>
      <c r="Y51" s="161">
        <f>SUMPRODUCT(('Full month Pivot'!$B$3:$B$300=$B51)*('Full month Pivot'!$C$3:$C$300=$A$48)*('Full month Pivot'!$D$2:$K$2=Y$2)*'Full month Pivot'!$D$3:$K$300)</f>
        <v/>
      </c>
      <c r="Z51" s="161">
        <f>SUMPRODUCT(('Full month Pivot'!$B$3:$B$300=$B51)*('Full month Pivot'!$C$3:$C$300=$A$48)*('Full month Pivot'!$D$2:$K$2=Z$2)*'Full month Pivot'!$D$3:$K$300)</f>
        <v/>
      </c>
      <c r="AA51" s="161">
        <f>SUMPRODUCT(('Full month Pivot'!$B$3:$B$300=$B51)*('Full month Pivot'!$C$3:$C$300=$A$48)*('Full month Pivot'!$D$2:$K$2=AA$2)*'Full month Pivot'!$D$3:$K$300)</f>
        <v/>
      </c>
      <c r="AB51" s="161" t="n"/>
      <c r="AC51" s="161" t="n"/>
      <c r="AD51" s="143">
        <f>AA51-Z51</f>
        <v/>
      </c>
      <c r="AE51" s="170" t="n"/>
      <c r="AF51" s="170" t="n"/>
      <c r="AG51" s="170" t="n"/>
      <c r="AH51" s="170" t="n"/>
      <c r="AI51" s="170" t="n"/>
      <c r="AJ51" s="170" t="n"/>
    </row>
    <row r="52" outlineLevel="1" ht="15" customHeight="1" s="239">
      <c r="A52" s="170" t="n"/>
      <c r="B52" s="170" t="inlineStr">
        <is>
          <t>Home MoMo</t>
        </is>
      </c>
      <c r="C52" s="170" t="n"/>
      <c r="D52" s="170" t="n"/>
      <c r="E52" s="170" t="n"/>
      <c r="F52" s="170" t="n"/>
      <c r="G52" s="161">
        <f>SUMPRODUCT(('MTD Pivot'!$B$3:$B$300=$B52)*('MTD Pivot'!$C$3:$C$300=$A$48)*('MTD Pivot'!$D$2:$K$2=G$2)*'MTD Pivot'!$D$3:$K$300)</f>
        <v/>
      </c>
      <c r="H52" s="161">
        <f>SUMPRODUCT(('MTD Pivot'!$B$3:$B$300=$B52)*('MTD Pivot'!$C$3:$C$300=$A$48)*('MTD Pivot'!$D$2:$K$2=H$2)*'MTD Pivot'!$D$3:$K$300)</f>
        <v/>
      </c>
      <c r="I52" s="161">
        <f>SUMPRODUCT(('MTD Pivot'!$B$3:$B$300=$B52)*('MTD Pivot'!$C$3:$C$300=$A$48)*('MTD Pivot'!$D$2:$K$2=I$2)*'MTD Pivot'!$D$3:$K$300)</f>
        <v/>
      </c>
      <c r="J52" s="161">
        <f>SUMPRODUCT(('MTD Pivot'!$B$3:$B$300=$B52)*('MTD Pivot'!$C$3:$C$300=$A$48)*('MTD Pivot'!$D$2:$K$2=J$2)*'MTD Pivot'!$D$3:$K$300)</f>
        <v/>
      </c>
      <c r="K52" s="161">
        <f>SUMPRODUCT(('MTD Pivot'!$B$3:$B$300=$B52)*('MTD Pivot'!$C$3:$C$300=$A$48)*('MTD Pivot'!$D$2:$K$2=K$2)*'MTD Pivot'!$D$3:$K$300)</f>
        <v/>
      </c>
      <c r="L52" s="161">
        <f>SUMPRODUCT(('MTD Pivot'!$B$3:$B$300=$B52)*('MTD Pivot'!$C$3:$C$300=$A$48)*('MTD Pivot'!$D$2:$K$2=L$2)*'MTD Pivot'!$D$3:$K$300)</f>
        <v/>
      </c>
      <c r="M52" s="161" t="n"/>
      <c r="N52" s="161" t="n"/>
      <c r="O52" s="143">
        <f>L52-K52</f>
        <v/>
      </c>
      <c r="P52" s="170" t="n"/>
      <c r="Q52" s="170" t="n"/>
      <c r="R52" s="170" t="n"/>
      <c r="S52" s="170" t="n"/>
      <c r="T52" s="170" t="n"/>
      <c r="U52" s="170" t="n"/>
      <c r="V52" s="161">
        <f>SUMPRODUCT(('Full month Pivot'!$B$3:$B$300=$B52)*('Full month Pivot'!$C$3:$C$300=$A$48)*('Full month Pivot'!$D$2:$K$2=V$2)*'Full month Pivot'!$D$3:$K$300)</f>
        <v/>
      </c>
      <c r="W52" s="161">
        <f>SUMPRODUCT(('Full month Pivot'!$B$3:$B$300=$B52)*('Full month Pivot'!$C$3:$C$300=$A$48)*('Full month Pivot'!$D$2:$K$2=W$2)*'Full month Pivot'!$D$3:$K$300)</f>
        <v/>
      </c>
      <c r="X52" s="161">
        <f>SUMPRODUCT(('Full month Pivot'!$B$3:$B$300=$B52)*('Full month Pivot'!$C$3:$C$300=$A$48)*('Full month Pivot'!$D$2:$K$2=X$2)*'Full month Pivot'!$D$3:$K$300)</f>
        <v/>
      </c>
      <c r="Y52" s="161">
        <f>SUMPRODUCT(('Full month Pivot'!$B$3:$B$300=$B52)*('Full month Pivot'!$C$3:$C$300=$A$48)*('Full month Pivot'!$D$2:$K$2=Y$2)*'Full month Pivot'!$D$3:$K$300)</f>
        <v/>
      </c>
      <c r="Z52" s="161">
        <f>SUMPRODUCT(('Full month Pivot'!$B$3:$B$300=$B52)*('Full month Pivot'!$C$3:$C$300=$A$48)*('Full month Pivot'!$D$2:$K$2=Z$2)*'Full month Pivot'!$D$3:$K$300)</f>
        <v/>
      </c>
      <c r="AA52" s="161">
        <f>SUMPRODUCT(('Full month Pivot'!$B$3:$B$300=$B52)*('Full month Pivot'!$C$3:$C$300=$A$48)*('Full month Pivot'!$D$2:$K$2=AA$2)*'Full month Pivot'!$D$3:$K$300)</f>
        <v/>
      </c>
      <c r="AB52" s="161" t="n"/>
      <c r="AC52" s="161" t="n"/>
      <c r="AD52" s="143">
        <f>AA52-Z52</f>
        <v/>
      </c>
      <c r="AE52" s="170" t="n"/>
      <c r="AF52" s="170" t="n"/>
      <c r="AG52" s="170" t="n"/>
      <c r="AH52" s="170" t="n"/>
      <c r="AI52" s="170" t="n"/>
      <c r="AJ52" s="170" t="n"/>
    </row>
    <row r="53" outlineLevel="1" ht="15" customHeight="1" s="239">
      <c r="A53" s="170" t="n"/>
      <c r="B53" s="170" t="inlineStr">
        <is>
          <t>Tiktok</t>
        </is>
      </c>
      <c r="C53" s="170" t="n"/>
      <c r="D53" s="170" t="n"/>
      <c r="E53" s="170" t="n"/>
      <c r="F53" s="170" t="n"/>
      <c r="G53" s="161">
        <f>SUMPRODUCT(('MTD Pivot'!$B$3:$B$300=$B53)*('MTD Pivot'!$C$3:$C$300=$A$48)*('MTD Pivot'!$D$2:$K$2=G$2)*'MTD Pivot'!$D$3:$K$300)</f>
        <v/>
      </c>
      <c r="H53" s="161">
        <f>SUMPRODUCT(('MTD Pivot'!$B$3:$B$300=$B53)*('MTD Pivot'!$C$3:$C$300=$A$48)*('MTD Pivot'!$D$2:$K$2=H$2)*'MTD Pivot'!$D$3:$K$300)</f>
        <v/>
      </c>
      <c r="I53" s="161">
        <f>SUMPRODUCT(('MTD Pivot'!$B$3:$B$300=$B53)*('MTD Pivot'!$C$3:$C$300=$A$48)*('MTD Pivot'!$D$2:$K$2=I$2)*'MTD Pivot'!$D$3:$K$300)</f>
        <v/>
      </c>
      <c r="J53" s="161">
        <f>SUMPRODUCT(('MTD Pivot'!$B$3:$B$300=$B53)*('MTD Pivot'!$C$3:$C$300=$A$48)*('MTD Pivot'!$D$2:$K$2=J$2)*'MTD Pivot'!$D$3:$K$300)</f>
        <v/>
      </c>
      <c r="K53" s="161">
        <f>SUMPRODUCT(('MTD Pivot'!$B$3:$B$300=$B53)*('MTD Pivot'!$C$3:$C$300=$A$48)*('MTD Pivot'!$D$2:$K$2=K$2)*'MTD Pivot'!$D$3:$K$300)</f>
        <v/>
      </c>
      <c r="L53" s="161">
        <f>SUMPRODUCT(('MTD Pivot'!$B$3:$B$300=$B53)*('MTD Pivot'!$C$3:$C$300=$A$48)*('MTD Pivot'!$D$2:$K$2=L$2)*'MTD Pivot'!$D$3:$K$300)</f>
        <v/>
      </c>
      <c r="M53" s="161" t="n"/>
      <c r="N53" s="161" t="n"/>
      <c r="O53" s="143">
        <f>L53-K53</f>
        <v/>
      </c>
      <c r="P53" s="170" t="n"/>
      <c r="Q53" s="170" t="n"/>
      <c r="R53" s="170" t="n"/>
      <c r="S53" s="170" t="n"/>
      <c r="T53" s="170" t="n"/>
      <c r="U53" s="170" t="n"/>
      <c r="V53" s="161">
        <f>SUMPRODUCT(('Full month Pivot'!$B$3:$B$300=$B53)*('Full month Pivot'!$C$3:$C$300=$A$48)*('Full month Pivot'!$D$2:$K$2=V$2)*'Full month Pivot'!$D$3:$K$300)</f>
        <v/>
      </c>
      <c r="W53" s="161">
        <f>SUMPRODUCT(('Full month Pivot'!$B$3:$B$300=$B53)*('Full month Pivot'!$C$3:$C$300=$A$48)*('Full month Pivot'!$D$2:$K$2=W$2)*'Full month Pivot'!$D$3:$K$300)</f>
        <v/>
      </c>
      <c r="X53" s="161">
        <f>SUMPRODUCT(('Full month Pivot'!$B$3:$B$300=$B53)*('Full month Pivot'!$C$3:$C$300=$A$48)*('Full month Pivot'!$D$2:$K$2=X$2)*'Full month Pivot'!$D$3:$K$300)</f>
        <v/>
      </c>
      <c r="Y53" s="161">
        <f>SUMPRODUCT(('Full month Pivot'!$B$3:$B$300=$B53)*('Full month Pivot'!$C$3:$C$300=$A$48)*('Full month Pivot'!$D$2:$K$2=Y$2)*'Full month Pivot'!$D$3:$K$300)</f>
        <v/>
      </c>
      <c r="Z53" s="161">
        <f>SUMPRODUCT(('Full month Pivot'!$B$3:$B$300=$B53)*('Full month Pivot'!$C$3:$C$300=$A$48)*('Full month Pivot'!$D$2:$K$2=Z$2)*'Full month Pivot'!$D$3:$K$300)</f>
        <v/>
      </c>
      <c r="AA53" s="161">
        <f>SUMPRODUCT(('Full month Pivot'!$B$3:$B$300=$B53)*('Full month Pivot'!$C$3:$C$300=$A$48)*('Full month Pivot'!$D$2:$K$2=AA$2)*'Full month Pivot'!$D$3:$K$300)</f>
        <v/>
      </c>
      <c r="AB53" s="161" t="n"/>
      <c r="AC53" s="161" t="n"/>
      <c r="AD53" s="143">
        <f>AA53-Z53</f>
        <v/>
      </c>
      <c r="AE53" s="170" t="n"/>
      <c r="AF53" s="170" t="n"/>
      <c r="AG53" s="170" t="n"/>
      <c r="AH53" s="170" t="n"/>
      <c r="AI53" s="170" t="n"/>
      <c r="AJ53" s="170" t="n"/>
    </row>
    <row r="54" outlineLevel="1" ht="15" customHeight="1" s="239">
      <c r="A54" s="170" t="n"/>
      <c r="B54" s="170" t="inlineStr">
        <is>
          <t>Financial Hub</t>
        </is>
      </c>
      <c r="C54" s="170" t="n"/>
      <c r="D54" s="170" t="n"/>
      <c r="E54" s="170" t="n"/>
      <c r="F54" s="170" t="n"/>
      <c r="G54" s="161">
        <f>SUMPRODUCT(('MTD Pivot'!$B$3:$B$300=$B54)*('MTD Pivot'!$C$3:$C$300=$A$48)*('MTD Pivot'!$D$2:$K$2=G$2)*'MTD Pivot'!$D$3:$K$300)</f>
        <v/>
      </c>
      <c r="H54" s="161">
        <f>SUMPRODUCT(('MTD Pivot'!$B$3:$B$300=$B54)*('MTD Pivot'!$C$3:$C$300=$A$48)*('MTD Pivot'!$D$2:$K$2=H$2)*'MTD Pivot'!$D$3:$K$300)</f>
        <v/>
      </c>
      <c r="I54" s="161">
        <f>SUMPRODUCT(('MTD Pivot'!$B$3:$B$300=$B54)*('MTD Pivot'!$C$3:$C$300=$A$48)*('MTD Pivot'!$D$2:$K$2=I$2)*'MTD Pivot'!$D$3:$K$300)</f>
        <v/>
      </c>
      <c r="J54" s="161">
        <f>SUMPRODUCT(('MTD Pivot'!$B$3:$B$300=$B54)*('MTD Pivot'!$C$3:$C$300=$A$48)*('MTD Pivot'!$D$2:$K$2=J$2)*'MTD Pivot'!$D$3:$K$300)</f>
        <v/>
      </c>
      <c r="K54" s="161">
        <f>SUMPRODUCT(('MTD Pivot'!$B$3:$B$300=$B54)*('MTD Pivot'!$C$3:$C$300=$A$48)*('MTD Pivot'!$D$2:$K$2=K$2)*'MTD Pivot'!$D$3:$K$300)</f>
        <v/>
      </c>
      <c r="L54" s="161">
        <f>SUMPRODUCT(('MTD Pivot'!$B$3:$B$300=$B54)*('MTD Pivot'!$C$3:$C$300=$A$48)*('MTD Pivot'!$D$2:$K$2=L$2)*'MTD Pivot'!$D$3:$K$300)</f>
        <v/>
      </c>
      <c r="M54" s="161" t="n"/>
      <c r="N54" s="161" t="n"/>
      <c r="O54" s="143">
        <f>L54-K54</f>
        <v/>
      </c>
      <c r="P54" s="170" t="n"/>
      <c r="Q54" s="170" t="n"/>
      <c r="R54" s="170" t="n"/>
      <c r="S54" s="170" t="n"/>
      <c r="T54" s="170" t="n"/>
      <c r="U54" s="170" t="n"/>
      <c r="V54" s="161">
        <f>SUMPRODUCT(('Full month Pivot'!$B$3:$B$300=$B54)*('Full month Pivot'!$C$3:$C$300=$A$48)*('Full month Pivot'!$D$2:$K$2=V$2)*'Full month Pivot'!$D$3:$K$300)</f>
        <v/>
      </c>
      <c r="W54" s="161">
        <f>SUMPRODUCT(('Full month Pivot'!$B$3:$B$300=$B54)*('Full month Pivot'!$C$3:$C$300=$A$48)*('Full month Pivot'!$D$2:$K$2=W$2)*'Full month Pivot'!$D$3:$K$300)</f>
        <v/>
      </c>
      <c r="X54" s="161">
        <f>SUMPRODUCT(('Full month Pivot'!$B$3:$B$300=$B54)*('Full month Pivot'!$C$3:$C$300=$A$48)*('Full month Pivot'!$D$2:$K$2=X$2)*'Full month Pivot'!$D$3:$K$300)</f>
        <v/>
      </c>
      <c r="Y54" s="161">
        <f>SUMPRODUCT(('Full month Pivot'!$B$3:$B$300=$B54)*('Full month Pivot'!$C$3:$C$300=$A$48)*('Full month Pivot'!$D$2:$K$2=Y$2)*'Full month Pivot'!$D$3:$K$300)</f>
        <v/>
      </c>
      <c r="Z54" s="161">
        <f>SUMPRODUCT(('Full month Pivot'!$B$3:$B$300=$B54)*('Full month Pivot'!$C$3:$C$300=$A$48)*('Full month Pivot'!$D$2:$K$2=Z$2)*'Full month Pivot'!$D$3:$K$300)</f>
        <v/>
      </c>
      <c r="AA54" s="161">
        <f>SUMPRODUCT(('Full month Pivot'!$B$3:$B$300=$B54)*('Full month Pivot'!$C$3:$C$300=$A$48)*('Full month Pivot'!$D$2:$K$2=AA$2)*'Full month Pivot'!$D$3:$K$300)</f>
        <v/>
      </c>
      <c r="AB54" s="161" t="n"/>
      <c r="AC54" s="161" t="n"/>
      <c r="AD54" s="143">
        <f>AA54-Z54</f>
        <v/>
      </c>
      <c r="AE54" s="170" t="n"/>
      <c r="AF54" s="170" t="n"/>
      <c r="AG54" s="170" t="n"/>
      <c r="AH54" s="170" t="n"/>
      <c r="AI54" s="170" t="n"/>
      <c r="AJ54" s="170" t="n"/>
    </row>
    <row r="55" outlineLevel="1" ht="15" customHeight="1" s="239">
      <c r="A55" s="170" t="n"/>
      <c r="B55" s="170" t="inlineStr">
        <is>
          <t>Vé Xe</t>
        </is>
      </c>
      <c r="C55" s="170" t="n"/>
      <c r="D55" s="170" t="n"/>
      <c r="E55" s="170" t="n"/>
      <c r="F55" s="170" t="n"/>
      <c r="G55" s="161">
        <f>SUMPRODUCT(('MTD Pivot'!$B$3:$B$300=$B55)*('MTD Pivot'!$C$3:$C$300=$A$48)*('MTD Pivot'!$D$2:$K$2=G$2)*'MTD Pivot'!$D$3:$K$300)</f>
        <v/>
      </c>
      <c r="H55" s="161">
        <f>SUMPRODUCT(('MTD Pivot'!$B$3:$B$300=$B55)*('MTD Pivot'!$C$3:$C$300=$A$48)*('MTD Pivot'!$D$2:$K$2=H$2)*'MTD Pivot'!$D$3:$K$300)</f>
        <v/>
      </c>
      <c r="I55" s="161">
        <f>SUMPRODUCT(('MTD Pivot'!$B$3:$B$300=$B55)*('MTD Pivot'!$C$3:$C$300=$A$48)*('MTD Pivot'!$D$2:$K$2=I$2)*'MTD Pivot'!$D$3:$K$300)</f>
        <v/>
      </c>
      <c r="J55" s="161">
        <f>SUMPRODUCT(('MTD Pivot'!$B$3:$B$300=$B55)*('MTD Pivot'!$C$3:$C$300=$A$48)*('MTD Pivot'!$D$2:$K$2=J$2)*'MTD Pivot'!$D$3:$K$300)</f>
        <v/>
      </c>
      <c r="K55" s="161">
        <f>SUMPRODUCT(('MTD Pivot'!$B$3:$B$300=$B55)*('MTD Pivot'!$C$3:$C$300=$A$48)*('MTD Pivot'!$D$2:$K$2=K$2)*'MTD Pivot'!$D$3:$K$300)</f>
        <v/>
      </c>
      <c r="L55" s="161">
        <f>SUMPRODUCT(('MTD Pivot'!$B$3:$B$300=$B55)*('MTD Pivot'!$C$3:$C$300=$A$48)*('MTD Pivot'!$D$2:$K$2=L$2)*'MTD Pivot'!$D$3:$K$300)</f>
        <v/>
      </c>
      <c r="M55" s="161" t="n"/>
      <c r="N55" s="161" t="n"/>
      <c r="O55" s="143">
        <f>L55-K55</f>
        <v/>
      </c>
      <c r="P55" s="170" t="n"/>
      <c r="Q55" s="170" t="n"/>
      <c r="R55" s="170" t="n"/>
      <c r="S55" s="170" t="n"/>
      <c r="T55" s="170" t="n"/>
      <c r="U55" s="170" t="n"/>
      <c r="V55" s="161">
        <f>SUMPRODUCT(('Full month Pivot'!$B$3:$B$300=$B55)*('Full month Pivot'!$C$3:$C$300=$A$48)*('Full month Pivot'!$D$2:$K$2=V$2)*'Full month Pivot'!$D$3:$K$300)</f>
        <v/>
      </c>
      <c r="W55" s="161">
        <f>SUMPRODUCT(('Full month Pivot'!$B$3:$B$300=$B55)*('Full month Pivot'!$C$3:$C$300=$A$48)*('Full month Pivot'!$D$2:$K$2=W$2)*'Full month Pivot'!$D$3:$K$300)</f>
        <v/>
      </c>
      <c r="X55" s="161">
        <f>SUMPRODUCT(('Full month Pivot'!$B$3:$B$300=$B55)*('Full month Pivot'!$C$3:$C$300=$A$48)*('Full month Pivot'!$D$2:$K$2=X$2)*'Full month Pivot'!$D$3:$K$300)</f>
        <v/>
      </c>
      <c r="Y55" s="161">
        <f>SUMPRODUCT(('Full month Pivot'!$B$3:$B$300=$B55)*('Full month Pivot'!$C$3:$C$300=$A$48)*('Full month Pivot'!$D$2:$K$2=Y$2)*'Full month Pivot'!$D$3:$K$300)</f>
        <v/>
      </c>
      <c r="Z55" s="161">
        <f>SUMPRODUCT(('Full month Pivot'!$B$3:$B$300=$B55)*('Full month Pivot'!$C$3:$C$300=$A$48)*('Full month Pivot'!$D$2:$K$2=Z$2)*'Full month Pivot'!$D$3:$K$300)</f>
        <v/>
      </c>
      <c r="AA55" s="161">
        <f>SUMPRODUCT(('Full month Pivot'!$B$3:$B$300=$B55)*('Full month Pivot'!$C$3:$C$300=$A$48)*('Full month Pivot'!$D$2:$K$2=AA$2)*'Full month Pivot'!$D$3:$K$300)</f>
        <v/>
      </c>
      <c r="AB55" s="161" t="n"/>
      <c r="AC55" s="161" t="n"/>
      <c r="AD55" s="143">
        <f>AA55-Z55</f>
        <v/>
      </c>
      <c r="AE55" s="170" t="n"/>
      <c r="AF55" s="170" t="n"/>
      <c r="AG55" s="170" t="n"/>
      <c r="AH55" s="170" t="n"/>
      <c r="AI55" s="170" t="n"/>
      <c r="AJ55" s="170" t="n"/>
    </row>
    <row r="56" outlineLevel="1" ht="15.75" customHeight="1" s="239">
      <c r="A56" s="170" t="n"/>
      <c r="B56" s="170" t="inlineStr">
        <is>
          <t>OTA</t>
        </is>
      </c>
      <c r="C56" s="170" t="n"/>
      <c r="D56" s="170" t="n"/>
      <c r="E56" s="170" t="n"/>
      <c r="F56" s="170" t="n"/>
      <c r="G56" s="161">
        <f>SUMPRODUCT(('MTD Pivot'!$B$3:$B$300=$B56)*('MTD Pivot'!$C$3:$C$300=$A$48)*('MTD Pivot'!$D$2:$K$2=G$2)*'MTD Pivot'!$D$3:$K$300)</f>
        <v/>
      </c>
      <c r="H56" s="161">
        <f>SUMPRODUCT(('MTD Pivot'!$B$3:$B$300=$B56)*('MTD Pivot'!$C$3:$C$300=$A$48)*('MTD Pivot'!$D$2:$K$2=H$2)*'MTD Pivot'!$D$3:$K$300)</f>
        <v/>
      </c>
      <c r="I56" s="161">
        <f>SUMPRODUCT(('MTD Pivot'!$B$3:$B$300=$B56)*('MTD Pivot'!$C$3:$C$300=$A$48)*('MTD Pivot'!$D$2:$K$2=I$2)*'MTD Pivot'!$D$3:$K$300)</f>
        <v/>
      </c>
      <c r="J56" s="161">
        <f>SUMPRODUCT(('MTD Pivot'!$B$3:$B$300=$B56)*('MTD Pivot'!$C$3:$C$300=$A$48)*('MTD Pivot'!$D$2:$K$2=J$2)*'MTD Pivot'!$D$3:$K$300)</f>
        <v/>
      </c>
      <c r="K56" s="161">
        <f>SUMPRODUCT(('MTD Pivot'!$B$3:$B$300=$B56)*('MTD Pivot'!$C$3:$C$300=$A$48)*('MTD Pivot'!$D$2:$K$2=K$2)*'MTD Pivot'!$D$3:$K$300)</f>
        <v/>
      </c>
      <c r="L56" s="161">
        <f>SUMPRODUCT(('MTD Pivot'!$B$3:$B$300=$B56)*('MTD Pivot'!$C$3:$C$300=$A$48)*('MTD Pivot'!$D$2:$K$2=L$2)*'MTD Pivot'!$D$3:$K$300)</f>
        <v/>
      </c>
      <c r="M56" s="161" t="n"/>
      <c r="N56" s="161" t="n"/>
      <c r="O56" s="143">
        <f>L56-K56</f>
        <v/>
      </c>
      <c r="P56" s="170" t="n"/>
      <c r="Q56" s="170" t="n"/>
      <c r="R56" s="170" t="n"/>
      <c r="S56" s="170" t="n"/>
      <c r="T56" s="170" t="n"/>
      <c r="U56" s="170" t="n"/>
      <c r="V56" s="161">
        <f>SUMPRODUCT(('Full month Pivot'!$B$3:$B$300=$B56)*('Full month Pivot'!$C$3:$C$300=$A$48)*('Full month Pivot'!$D$2:$K$2=V$2)*'Full month Pivot'!$D$3:$K$300)</f>
        <v/>
      </c>
      <c r="W56" s="161">
        <f>SUMPRODUCT(('Full month Pivot'!$B$3:$B$300=$B56)*('Full month Pivot'!$C$3:$C$300=$A$48)*('Full month Pivot'!$D$2:$K$2=W$2)*'Full month Pivot'!$D$3:$K$300)</f>
        <v/>
      </c>
      <c r="X56" s="161">
        <f>SUMPRODUCT(('Full month Pivot'!$B$3:$B$300=$B56)*('Full month Pivot'!$C$3:$C$300=$A$48)*('Full month Pivot'!$D$2:$K$2=X$2)*'Full month Pivot'!$D$3:$K$300)</f>
        <v/>
      </c>
      <c r="Y56" s="161">
        <f>SUMPRODUCT(('Full month Pivot'!$B$3:$B$300=$B56)*('Full month Pivot'!$C$3:$C$300=$A$48)*('Full month Pivot'!$D$2:$K$2=Y$2)*'Full month Pivot'!$D$3:$K$300)</f>
        <v/>
      </c>
      <c r="Z56" s="161">
        <f>SUMPRODUCT(('Full month Pivot'!$B$3:$B$300=$B56)*('Full month Pivot'!$C$3:$C$300=$A$48)*('Full month Pivot'!$D$2:$K$2=Z$2)*'Full month Pivot'!$D$3:$K$300)</f>
        <v/>
      </c>
      <c r="AA56" s="161">
        <f>SUMPRODUCT(('Full month Pivot'!$B$3:$B$300=$B56)*('Full month Pivot'!$C$3:$C$300=$A$48)*('Full month Pivot'!$D$2:$K$2=AA$2)*'Full month Pivot'!$D$3:$K$300)</f>
        <v/>
      </c>
      <c r="AB56" s="161" t="n"/>
      <c r="AC56" s="161" t="n"/>
      <c r="AD56" s="143">
        <f>AA56-Z56</f>
        <v/>
      </c>
      <c r="AE56" s="170" t="n"/>
      <c r="AF56" s="170" t="n"/>
      <c r="AG56" s="170" t="n"/>
      <c r="AH56" s="170" t="n"/>
      <c r="AI56" s="170" t="n"/>
      <c r="AJ56" s="170" t="n"/>
    </row>
    <row r="57" outlineLevel="1" ht="15.75" customHeight="1" s="239">
      <c r="A57" s="170" t="n"/>
      <c r="B57" s="170" t="inlineStr">
        <is>
          <t>Merchant</t>
        </is>
      </c>
      <c r="C57" s="170" t="n"/>
      <c r="D57" s="170" t="n"/>
      <c r="E57" s="170" t="n"/>
      <c r="F57" s="170" t="n"/>
      <c r="G57" s="161">
        <f>SUMPRODUCT(('MTD Pivot'!$B$3:$B$300=$B57)*('MTD Pivot'!$C$3:$C$300=$A$48)*('MTD Pivot'!$D$2:$K$2=G$2)*'MTD Pivot'!$D$3:$K$300)</f>
        <v/>
      </c>
      <c r="H57" s="161">
        <f>SUMPRODUCT(('MTD Pivot'!$B$3:$B$300=$B57)*('MTD Pivot'!$C$3:$C$300=$A$48)*('MTD Pivot'!$D$2:$K$2=H$2)*'MTD Pivot'!$D$3:$K$300)</f>
        <v/>
      </c>
      <c r="I57" s="161">
        <f>SUMPRODUCT(('MTD Pivot'!$B$3:$B$300=$B57)*('MTD Pivot'!$C$3:$C$300=$A$48)*('MTD Pivot'!$D$2:$K$2=I$2)*'MTD Pivot'!$D$3:$K$300)</f>
        <v/>
      </c>
      <c r="J57" s="161">
        <f>SUMPRODUCT(('MTD Pivot'!$B$3:$B$300=$B57)*('MTD Pivot'!$C$3:$C$300=$A$48)*('MTD Pivot'!$D$2:$K$2=J$2)*'MTD Pivot'!$D$3:$K$300)</f>
        <v/>
      </c>
      <c r="K57" s="161">
        <f>SUMPRODUCT(('MTD Pivot'!$B$3:$B$300=$B57)*('MTD Pivot'!$C$3:$C$300=$A$48)*('MTD Pivot'!$D$2:$K$2=K$2)*'MTD Pivot'!$D$3:$K$300)</f>
        <v/>
      </c>
      <c r="L57" s="161">
        <f>SUMPRODUCT(('MTD Pivot'!$B$3:$B$300=$B57)*('MTD Pivot'!$C$3:$C$300=$A$48)*('MTD Pivot'!$D$2:$K$2=L$2)*'MTD Pivot'!$D$3:$K$300)</f>
        <v/>
      </c>
      <c r="M57" s="161" t="n"/>
      <c r="N57" s="161" t="n"/>
      <c r="O57" s="143">
        <f>L57-K57</f>
        <v/>
      </c>
      <c r="P57" s="170" t="n"/>
      <c r="Q57" s="170" t="n"/>
      <c r="R57" s="170" t="n"/>
      <c r="S57" s="170" t="n"/>
      <c r="T57" s="170" t="n"/>
      <c r="U57" s="170" t="n"/>
      <c r="V57" s="161">
        <f>SUMPRODUCT(('Full month Pivot'!$B$3:$B$300=$B57)*('Full month Pivot'!$C$3:$C$300=$A$48)*('Full month Pivot'!$D$2:$K$2=V$2)*'Full month Pivot'!$D$3:$K$300)</f>
        <v/>
      </c>
      <c r="W57" s="161">
        <f>SUMPRODUCT(('Full month Pivot'!$B$3:$B$300=$B57)*('Full month Pivot'!$C$3:$C$300=$A$48)*('Full month Pivot'!$D$2:$K$2=W$2)*'Full month Pivot'!$D$3:$K$300)</f>
        <v/>
      </c>
      <c r="X57" s="161">
        <f>SUMPRODUCT(('Full month Pivot'!$B$3:$B$300=$B57)*('Full month Pivot'!$C$3:$C$300=$A$48)*('Full month Pivot'!$D$2:$K$2=X$2)*'Full month Pivot'!$D$3:$K$300)</f>
        <v/>
      </c>
      <c r="Y57" s="161">
        <f>SUMPRODUCT(('Full month Pivot'!$B$3:$B$300=$B57)*('Full month Pivot'!$C$3:$C$300=$A$48)*('Full month Pivot'!$D$2:$K$2=Y$2)*'Full month Pivot'!$D$3:$K$300)</f>
        <v/>
      </c>
      <c r="Z57" s="161">
        <f>SUMPRODUCT(('Full month Pivot'!$B$3:$B$300=$B57)*('Full month Pivot'!$C$3:$C$300=$A$48)*('Full month Pivot'!$D$2:$K$2=Z$2)*'Full month Pivot'!$D$3:$K$300)</f>
        <v/>
      </c>
      <c r="AA57" s="161">
        <f>SUMPRODUCT(('Full month Pivot'!$B$3:$B$300=$B57)*('Full month Pivot'!$C$3:$C$300=$A$48)*('Full month Pivot'!$D$2:$K$2=AA$2)*'Full month Pivot'!$D$3:$K$300)</f>
        <v/>
      </c>
      <c r="AB57" s="161" t="n"/>
      <c r="AC57" s="161" t="n"/>
      <c r="AD57" s="143">
        <f>AA57-Z57</f>
        <v/>
      </c>
      <c r="AE57" s="170" t="n"/>
      <c r="AF57" s="170" t="n"/>
      <c r="AG57" s="170" t="n"/>
      <c r="AH57" s="170" t="n"/>
      <c r="AI57" s="170" t="n"/>
      <c r="AJ57" s="170" t="n"/>
    </row>
    <row r="58" outlineLevel="1" ht="15.75" customHeight="1" s="239">
      <c r="A58" s="170" t="n"/>
      <c r="B58" s="170" t="inlineStr">
        <is>
          <t>Sim</t>
        </is>
      </c>
      <c r="C58" s="170" t="n"/>
      <c r="D58" s="170" t="n"/>
      <c r="E58" s="170" t="n"/>
      <c r="F58" s="170" t="n"/>
      <c r="G58" s="161">
        <f>SUMPRODUCT(('MTD Pivot'!$B$3:$B$300=$B58)*('MTD Pivot'!$C$3:$C$300=$A$48)*('MTD Pivot'!$D$2:$K$2=G$2)*'MTD Pivot'!$D$3:$K$300)</f>
        <v/>
      </c>
      <c r="H58" s="161">
        <f>SUMPRODUCT(('MTD Pivot'!$B$3:$B$300=$B58)*('MTD Pivot'!$C$3:$C$300=$A$48)*('MTD Pivot'!$D$2:$K$2=H$2)*'MTD Pivot'!$D$3:$K$300)</f>
        <v/>
      </c>
      <c r="I58" s="161">
        <f>SUMPRODUCT(('MTD Pivot'!$B$3:$B$300=$B58)*('MTD Pivot'!$C$3:$C$300=$A$48)*('MTD Pivot'!$D$2:$K$2=I$2)*'MTD Pivot'!$D$3:$K$300)</f>
        <v/>
      </c>
      <c r="J58" s="161">
        <f>SUMPRODUCT(('MTD Pivot'!$B$3:$B$300=$B58)*('MTD Pivot'!$C$3:$C$300=$A$48)*('MTD Pivot'!$D$2:$K$2=J$2)*'MTD Pivot'!$D$3:$K$300)</f>
        <v/>
      </c>
      <c r="K58" s="161">
        <f>SUMPRODUCT(('MTD Pivot'!$B$3:$B$300=$B58)*('MTD Pivot'!$C$3:$C$300=$A$48)*('MTD Pivot'!$D$2:$K$2=K$2)*'MTD Pivot'!$D$3:$K$300)</f>
        <v/>
      </c>
      <c r="L58" s="161">
        <f>SUMPRODUCT(('MTD Pivot'!$B$3:$B$300=$B58)*('MTD Pivot'!$C$3:$C$300=$A$48)*('MTD Pivot'!$D$2:$K$2=L$2)*'MTD Pivot'!$D$3:$K$300)</f>
        <v/>
      </c>
      <c r="M58" s="161" t="n"/>
      <c r="N58" s="161" t="n"/>
      <c r="O58" s="143">
        <f>L58-K58</f>
        <v/>
      </c>
      <c r="P58" s="170" t="n"/>
      <c r="Q58" s="170" t="n"/>
      <c r="R58" s="170" t="n"/>
      <c r="S58" s="170" t="n"/>
      <c r="T58" s="170" t="n"/>
      <c r="U58" s="170" t="n"/>
      <c r="V58" s="161">
        <f>SUMPRODUCT(('Full month Pivot'!$B$3:$B$300=$B58)*('Full month Pivot'!$C$3:$C$300=$A$48)*('Full month Pivot'!$D$2:$K$2=V$2)*'Full month Pivot'!$D$3:$K$300)</f>
        <v/>
      </c>
      <c r="W58" s="161">
        <f>SUMPRODUCT(('Full month Pivot'!$B$3:$B$300=$B58)*('Full month Pivot'!$C$3:$C$300=$A$48)*('Full month Pivot'!$D$2:$K$2=W$2)*'Full month Pivot'!$D$3:$K$300)</f>
        <v/>
      </c>
      <c r="X58" s="161">
        <f>SUMPRODUCT(('Full month Pivot'!$B$3:$B$300=$B58)*('Full month Pivot'!$C$3:$C$300=$A$48)*('Full month Pivot'!$D$2:$K$2=X$2)*'Full month Pivot'!$D$3:$K$300)</f>
        <v/>
      </c>
      <c r="Y58" s="161">
        <f>SUMPRODUCT(('Full month Pivot'!$B$3:$B$300=$B58)*('Full month Pivot'!$C$3:$C$300=$A$48)*('Full month Pivot'!$D$2:$K$2=Y$2)*'Full month Pivot'!$D$3:$K$300)</f>
        <v/>
      </c>
      <c r="Z58" s="161">
        <f>SUMPRODUCT(('Full month Pivot'!$B$3:$B$300=$B58)*('Full month Pivot'!$C$3:$C$300=$A$48)*('Full month Pivot'!$D$2:$K$2=Z$2)*'Full month Pivot'!$D$3:$K$300)</f>
        <v/>
      </c>
      <c r="AA58" s="161">
        <f>SUMPRODUCT(('Full month Pivot'!$B$3:$B$300=$B58)*('Full month Pivot'!$C$3:$C$300=$A$48)*('Full month Pivot'!$D$2:$K$2=AA$2)*'Full month Pivot'!$D$3:$K$300)</f>
        <v/>
      </c>
      <c r="AB58" s="161" t="n"/>
      <c r="AC58" s="161" t="n"/>
      <c r="AD58" s="143">
        <f>AA58-Z58</f>
        <v/>
      </c>
      <c r="AE58" s="170" t="n"/>
      <c r="AF58" s="170" t="n"/>
      <c r="AG58" s="170" t="n"/>
      <c r="AH58" s="170" t="n"/>
      <c r="AI58" s="170" t="n"/>
      <c r="AJ58" s="170" t="n"/>
    </row>
    <row r="59" outlineLevel="1" ht="15.75" customHeight="1" s="239">
      <c r="A59" s="170" t="n"/>
      <c r="B59" s="170" t="inlineStr">
        <is>
          <t>Game</t>
        </is>
      </c>
      <c r="C59" s="170" t="n"/>
      <c r="D59" s="170" t="n"/>
      <c r="E59" s="170" t="n"/>
      <c r="F59" s="170" t="n"/>
      <c r="G59" s="161">
        <f>SUMPRODUCT(('MTD Pivot'!$B$3:$B$300=$B59)*('MTD Pivot'!$C$3:$C$300=$A$48)*('MTD Pivot'!$D$2:$K$2=G$2)*'MTD Pivot'!$D$3:$K$300)</f>
        <v/>
      </c>
      <c r="H59" s="161">
        <f>SUMPRODUCT(('MTD Pivot'!$B$3:$B$300=$B59)*('MTD Pivot'!$C$3:$C$300=$A$48)*('MTD Pivot'!$D$2:$K$2=H$2)*'MTD Pivot'!$D$3:$K$300)</f>
        <v/>
      </c>
      <c r="I59" s="161">
        <f>SUMPRODUCT(('MTD Pivot'!$B$3:$B$300=$B59)*('MTD Pivot'!$C$3:$C$300=$A$48)*('MTD Pivot'!$D$2:$K$2=I$2)*'MTD Pivot'!$D$3:$K$300)</f>
        <v/>
      </c>
      <c r="J59" s="161">
        <f>SUMPRODUCT(('MTD Pivot'!$B$3:$B$300=$B59)*('MTD Pivot'!$C$3:$C$300=$A$48)*('MTD Pivot'!$D$2:$K$2=J$2)*'MTD Pivot'!$D$3:$K$300)</f>
        <v/>
      </c>
      <c r="K59" s="161">
        <f>SUMPRODUCT(('MTD Pivot'!$B$3:$B$300=$B59)*('MTD Pivot'!$C$3:$C$300=$A$48)*('MTD Pivot'!$D$2:$K$2=K$2)*'MTD Pivot'!$D$3:$K$300)</f>
        <v/>
      </c>
      <c r="L59" s="161">
        <f>SUMPRODUCT(('MTD Pivot'!$B$3:$B$300=$B59)*('MTD Pivot'!$C$3:$C$300=$A$48)*('MTD Pivot'!$D$2:$K$2=L$2)*'MTD Pivot'!$D$3:$K$300)</f>
        <v/>
      </c>
      <c r="M59" s="161" t="n"/>
      <c r="N59" s="161" t="n"/>
      <c r="O59" s="143">
        <f>L59-K59</f>
        <v/>
      </c>
      <c r="P59" s="170" t="n"/>
      <c r="Q59" s="170" t="n"/>
      <c r="R59" s="170" t="n"/>
      <c r="S59" s="170" t="n"/>
      <c r="T59" s="170" t="n"/>
      <c r="U59" s="170" t="n"/>
      <c r="V59" s="161">
        <f>SUMPRODUCT(('Full month Pivot'!$B$3:$B$300=$B59)*('Full month Pivot'!$C$3:$C$300=$A$48)*('Full month Pivot'!$D$2:$K$2=V$2)*'Full month Pivot'!$D$3:$K$300)</f>
        <v/>
      </c>
      <c r="W59" s="161">
        <f>SUMPRODUCT(('Full month Pivot'!$B$3:$B$300=$B59)*('Full month Pivot'!$C$3:$C$300=$A$48)*('Full month Pivot'!$D$2:$K$2=W$2)*'Full month Pivot'!$D$3:$K$300)</f>
        <v/>
      </c>
      <c r="X59" s="161">
        <f>SUMPRODUCT(('Full month Pivot'!$B$3:$B$300=$B59)*('Full month Pivot'!$C$3:$C$300=$A$48)*('Full month Pivot'!$D$2:$K$2=X$2)*'Full month Pivot'!$D$3:$K$300)</f>
        <v/>
      </c>
      <c r="Y59" s="161">
        <f>SUMPRODUCT(('Full month Pivot'!$B$3:$B$300=$B59)*('Full month Pivot'!$C$3:$C$300=$A$48)*('Full month Pivot'!$D$2:$K$2=Y$2)*'Full month Pivot'!$D$3:$K$300)</f>
        <v/>
      </c>
      <c r="Z59" s="161">
        <f>SUMPRODUCT(('Full month Pivot'!$B$3:$B$300=$B59)*('Full month Pivot'!$C$3:$C$300=$A$48)*('Full month Pivot'!$D$2:$K$2=Z$2)*'Full month Pivot'!$D$3:$K$300)</f>
        <v/>
      </c>
      <c r="AA59" s="161">
        <f>SUMPRODUCT(('Full month Pivot'!$B$3:$B$300=$B59)*('Full month Pivot'!$C$3:$C$300=$A$48)*('Full month Pivot'!$D$2:$K$2=AA$2)*'Full month Pivot'!$D$3:$K$300)</f>
        <v/>
      </c>
      <c r="AB59" s="161" t="n"/>
      <c r="AC59" s="161" t="n"/>
      <c r="AD59" s="143">
        <f>AA59-Z59</f>
        <v/>
      </c>
      <c r="AE59" s="170" t="n"/>
      <c r="AF59" s="170" t="n"/>
      <c r="AG59" s="170" t="n"/>
      <c r="AH59" s="170" t="n"/>
      <c r="AI59" s="170" t="n"/>
      <c r="AJ59" s="170" t="n"/>
    </row>
    <row r="60" outlineLevel="1" ht="15.75" customHeight="1" s="239">
      <c r="A60" s="170" t="n"/>
      <c r="B60" s="170" t="inlineStr">
        <is>
          <t>Bảo Hiểm Ô Tô</t>
        </is>
      </c>
      <c r="C60" s="170" t="n"/>
      <c r="D60" s="170" t="n"/>
      <c r="E60" s="170" t="n"/>
      <c r="F60" s="170" t="n"/>
      <c r="G60" s="161">
        <f>SUMPRODUCT(('MTD Pivot'!$B$3:$B$300=$B60)*('MTD Pivot'!$C$3:$C$300=$A$48)*('MTD Pivot'!$D$2:$K$2=G$2)*'MTD Pivot'!$D$3:$K$300)</f>
        <v/>
      </c>
      <c r="H60" s="161">
        <f>SUMPRODUCT(('MTD Pivot'!$B$3:$B$300=$B60)*('MTD Pivot'!$C$3:$C$300=$A$48)*('MTD Pivot'!$D$2:$K$2=H$2)*'MTD Pivot'!$D$3:$K$300)</f>
        <v/>
      </c>
      <c r="I60" s="161">
        <f>SUMPRODUCT(('MTD Pivot'!$B$3:$B$300=$B60)*('MTD Pivot'!$C$3:$C$300=$A$48)*('MTD Pivot'!$D$2:$K$2=I$2)*'MTD Pivot'!$D$3:$K$300)</f>
        <v/>
      </c>
      <c r="J60" s="161">
        <f>SUMPRODUCT(('MTD Pivot'!$B$3:$B$300=$B60)*('MTD Pivot'!$C$3:$C$300=$A$48)*('MTD Pivot'!$D$2:$K$2=J$2)*'MTD Pivot'!$D$3:$K$300)</f>
        <v/>
      </c>
      <c r="K60" s="161">
        <f>SUMPRODUCT(('MTD Pivot'!$B$3:$B$300=$B60)*('MTD Pivot'!$C$3:$C$300=$A$48)*('MTD Pivot'!$D$2:$K$2=K$2)*'MTD Pivot'!$D$3:$K$300)</f>
        <v/>
      </c>
      <c r="L60" s="161">
        <f>SUMPRODUCT(('MTD Pivot'!$B$3:$B$300=$B60)*('MTD Pivot'!$C$3:$C$300=$A$48)*('MTD Pivot'!$D$2:$K$2=L$2)*'MTD Pivot'!$D$3:$K$300)</f>
        <v/>
      </c>
      <c r="M60" s="161" t="n"/>
      <c r="N60" s="161" t="n"/>
      <c r="O60" s="143">
        <f>L60-K60</f>
        <v/>
      </c>
      <c r="P60" s="170" t="n"/>
      <c r="Q60" s="170" t="n"/>
      <c r="R60" s="170" t="n"/>
      <c r="S60" s="170" t="n"/>
      <c r="T60" s="170" t="n"/>
      <c r="U60" s="170" t="n"/>
      <c r="V60" s="161">
        <f>SUMPRODUCT(('Full month Pivot'!$B$3:$B$300=$B60)*('Full month Pivot'!$C$3:$C$300=$A$48)*('Full month Pivot'!$D$2:$K$2=V$2)*'Full month Pivot'!$D$3:$K$300)</f>
        <v/>
      </c>
      <c r="W60" s="161">
        <f>SUMPRODUCT(('Full month Pivot'!$B$3:$B$300=$B60)*('Full month Pivot'!$C$3:$C$300=$A$48)*('Full month Pivot'!$D$2:$K$2=W$2)*'Full month Pivot'!$D$3:$K$300)</f>
        <v/>
      </c>
      <c r="X60" s="161">
        <f>SUMPRODUCT(('Full month Pivot'!$B$3:$B$300=$B60)*('Full month Pivot'!$C$3:$C$300=$A$48)*('Full month Pivot'!$D$2:$K$2=X$2)*'Full month Pivot'!$D$3:$K$300)</f>
        <v/>
      </c>
      <c r="Y60" s="161">
        <f>SUMPRODUCT(('Full month Pivot'!$B$3:$B$300=$B60)*('Full month Pivot'!$C$3:$C$300=$A$48)*('Full month Pivot'!$D$2:$K$2=Y$2)*'Full month Pivot'!$D$3:$K$300)</f>
        <v/>
      </c>
      <c r="Z60" s="161">
        <f>SUMPRODUCT(('Full month Pivot'!$B$3:$B$300=$B60)*('Full month Pivot'!$C$3:$C$300=$A$48)*('Full month Pivot'!$D$2:$K$2=Z$2)*'Full month Pivot'!$D$3:$K$300)</f>
        <v/>
      </c>
      <c r="AA60" s="161">
        <f>SUMPRODUCT(('Full month Pivot'!$B$3:$B$300=$B60)*('Full month Pivot'!$C$3:$C$300=$A$48)*('Full month Pivot'!$D$2:$K$2=AA$2)*'Full month Pivot'!$D$3:$K$300)</f>
        <v/>
      </c>
      <c r="AB60" s="161" t="n"/>
      <c r="AC60" s="161" t="n"/>
      <c r="AD60" s="143">
        <f>AA60-Z60</f>
        <v/>
      </c>
      <c r="AE60" s="170" t="n"/>
      <c r="AF60" s="170" t="n"/>
      <c r="AG60" s="170" t="n"/>
      <c r="AH60" s="170" t="n"/>
      <c r="AI60" s="170" t="n"/>
      <c r="AJ60" s="170" t="n"/>
    </row>
    <row r="61" outlineLevel="1" ht="15.75" customHeight="1" s="239">
      <c r="A61" s="170" t="n"/>
      <c r="B61" s="170" t="inlineStr">
        <is>
          <t>Bảo Hiểm Xe Máy</t>
        </is>
      </c>
      <c r="C61" s="170" t="n"/>
      <c r="D61" s="170" t="n"/>
      <c r="E61" s="170" t="n"/>
      <c r="F61" s="170" t="n"/>
      <c r="G61" s="161">
        <f>SUMPRODUCT(('MTD Pivot'!$B$3:$B$300=$B61)*('MTD Pivot'!$C$3:$C$300=$A$48)*('MTD Pivot'!$D$2:$K$2=G$2)*'MTD Pivot'!$D$3:$K$300)</f>
        <v/>
      </c>
      <c r="H61" s="161">
        <f>SUMPRODUCT(('MTD Pivot'!$B$3:$B$300=$B61)*('MTD Pivot'!$C$3:$C$300=$A$48)*('MTD Pivot'!$D$2:$K$2=H$2)*'MTD Pivot'!$D$3:$K$300)</f>
        <v/>
      </c>
      <c r="I61" s="161">
        <f>SUMPRODUCT(('MTD Pivot'!$B$3:$B$300=$B61)*('MTD Pivot'!$C$3:$C$300=$A$48)*('MTD Pivot'!$D$2:$K$2=I$2)*'MTD Pivot'!$D$3:$K$300)</f>
        <v/>
      </c>
      <c r="J61" s="161">
        <f>SUMPRODUCT(('MTD Pivot'!$B$3:$B$300=$B61)*('MTD Pivot'!$C$3:$C$300=$A$48)*('MTD Pivot'!$D$2:$K$2=J$2)*'MTD Pivot'!$D$3:$K$300)</f>
        <v/>
      </c>
      <c r="K61" s="161">
        <f>SUMPRODUCT(('MTD Pivot'!$B$3:$B$300=$B61)*('MTD Pivot'!$C$3:$C$300=$A$48)*('MTD Pivot'!$D$2:$K$2=K$2)*'MTD Pivot'!$D$3:$K$300)</f>
        <v/>
      </c>
      <c r="L61" s="161">
        <f>SUMPRODUCT(('MTD Pivot'!$B$3:$B$300=$B61)*('MTD Pivot'!$C$3:$C$300=$A$48)*('MTD Pivot'!$D$2:$K$2=L$2)*'MTD Pivot'!$D$3:$K$300)</f>
        <v/>
      </c>
      <c r="M61" s="161" t="n"/>
      <c r="N61" s="161" t="n"/>
      <c r="O61" s="143">
        <f>L61-K61</f>
        <v/>
      </c>
      <c r="P61" s="170" t="n"/>
      <c r="Q61" s="170" t="n"/>
      <c r="R61" s="170" t="n"/>
      <c r="S61" s="170" t="n"/>
      <c r="T61" s="170" t="n"/>
      <c r="U61" s="170" t="n"/>
      <c r="V61" s="161">
        <f>SUMPRODUCT(('Full month Pivot'!$B$3:$B$300=$B61)*('Full month Pivot'!$C$3:$C$300=$A$48)*('Full month Pivot'!$D$2:$K$2=V$2)*'Full month Pivot'!$D$3:$K$300)</f>
        <v/>
      </c>
      <c r="W61" s="161">
        <f>SUMPRODUCT(('Full month Pivot'!$B$3:$B$300=$B61)*('Full month Pivot'!$C$3:$C$300=$A$48)*('Full month Pivot'!$D$2:$K$2=W$2)*'Full month Pivot'!$D$3:$K$300)</f>
        <v/>
      </c>
      <c r="X61" s="161">
        <f>SUMPRODUCT(('Full month Pivot'!$B$3:$B$300=$B61)*('Full month Pivot'!$C$3:$C$300=$A$48)*('Full month Pivot'!$D$2:$K$2=X$2)*'Full month Pivot'!$D$3:$K$300)</f>
        <v/>
      </c>
      <c r="Y61" s="161">
        <f>SUMPRODUCT(('Full month Pivot'!$B$3:$B$300=$B61)*('Full month Pivot'!$C$3:$C$300=$A$48)*('Full month Pivot'!$D$2:$K$2=Y$2)*'Full month Pivot'!$D$3:$K$300)</f>
        <v/>
      </c>
      <c r="Z61" s="161">
        <f>SUMPRODUCT(('Full month Pivot'!$B$3:$B$300=$B61)*('Full month Pivot'!$C$3:$C$300=$A$48)*('Full month Pivot'!$D$2:$K$2=Z$2)*'Full month Pivot'!$D$3:$K$300)</f>
        <v/>
      </c>
      <c r="AA61" s="161">
        <f>SUMPRODUCT(('Full month Pivot'!$B$3:$B$300=$B61)*('Full month Pivot'!$C$3:$C$300=$A$48)*('Full month Pivot'!$D$2:$K$2=AA$2)*'Full month Pivot'!$D$3:$K$300)</f>
        <v/>
      </c>
      <c r="AB61" s="161" t="n"/>
      <c r="AC61" s="161" t="n"/>
      <c r="AD61" s="143">
        <f>AA61-Z61</f>
        <v/>
      </c>
      <c r="AE61" s="170" t="n"/>
      <c r="AF61" s="170" t="n"/>
      <c r="AG61" s="170" t="n"/>
      <c r="AH61" s="170" t="n"/>
      <c r="AI61" s="170" t="n"/>
      <c r="AJ61" s="170" t="n"/>
    </row>
    <row r="62" outlineLevel="1" ht="15.75" customHeight="1" s="239">
      <c r="A62" s="170" t="n"/>
      <c r="B62" s="170" t="inlineStr">
        <is>
          <t>Bảo Hiểm Y Tế</t>
        </is>
      </c>
      <c r="C62" s="170" t="n"/>
      <c r="D62" s="170" t="n"/>
      <c r="E62" s="170" t="n"/>
      <c r="F62" s="170" t="n"/>
      <c r="G62" s="161">
        <f>SUMPRODUCT(('MTD Pivot'!$B$3:$B$300=$B62)*('MTD Pivot'!$C$3:$C$300=$A$48)*('MTD Pivot'!$D$2:$K$2=G$2)*'MTD Pivot'!$D$3:$K$300)</f>
        <v/>
      </c>
      <c r="H62" s="161">
        <f>SUMPRODUCT(('MTD Pivot'!$B$3:$B$300=$B62)*('MTD Pivot'!$C$3:$C$300=$A$48)*('MTD Pivot'!$D$2:$K$2=H$2)*'MTD Pivot'!$D$3:$K$300)</f>
        <v/>
      </c>
      <c r="I62" s="161">
        <f>SUMPRODUCT(('MTD Pivot'!$B$3:$B$300=$B62)*('MTD Pivot'!$C$3:$C$300=$A$48)*('MTD Pivot'!$D$2:$K$2=I$2)*'MTD Pivot'!$D$3:$K$300)</f>
        <v/>
      </c>
      <c r="J62" s="161">
        <f>SUMPRODUCT(('MTD Pivot'!$B$3:$B$300=$B62)*('MTD Pivot'!$C$3:$C$300=$A$48)*('MTD Pivot'!$D$2:$K$2=J$2)*'MTD Pivot'!$D$3:$K$300)</f>
        <v/>
      </c>
      <c r="K62" s="161">
        <f>SUMPRODUCT(('MTD Pivot'!$B$3:$B$300=$B62)*('MTD Pivot'!$C$3:$C$300=$A$48)*('MTD Pivot'!$D$2:$K$2=K$2)*'MTD Pivot'!$D$3:$K$300)</f>
        <v/>
      </c>
      <c r="L62" s="161">
        <f>SUMPRODUCT(('MTD Pivot'!$B$3:$B$300=$B62)*('MTD Pivot'!$C$3:$C$300=$A$48)*('MTD Pivot'!$D$2:$K$2=L$2)*'MTD Pivot'!$D$3:$K$300)</f>
        <v/>
      </c>
      <c r="M62" s="161" t="n"/>
      <c r="N62" s="161" t="n"/>
      <c r="O62" s="143">
        <f>L62-K62</f>
        <v/>
      </c>
      <c r="P62" s="170" t="n"/>
      <c r="Q62" s="170" t="n"/>
      <c r="R62" s="170" t="n"/>
      <c r="S62" s="170" t="n"/>
      <c r="T62" s="170" t="n"/>
      <c r="U62" s="170" t="n"/>
      <c r="V62" s="161">
        <f>SUMPRODUCT(('Full month Pivot'!$B$3:$B$300=$B62)*('Full month Pivot'!$C$3:$C$300=$A$48)*('Full month Pivot'!$D$2:$K$2=V$2)*'Full month Pivot'!$D$3:$K$300)</f>
        <v/>
      </c>
      <c r="W62" s="161">
        <f>SUMPRODUCT(('Full month Pivot'!$B$3:$B$300=$B62)*('Full month Pivot'!$C$3:$C$300=$A$48)*('Full month Pivot'!$D$2:$K$2=W$2)*'Full month Pivot'!$D$3:$K$300)</f>
        <v/>
      </c>
      <c r="X62" s="161">
        <f>SUMPRODUCT(('Full month Pivot'!$B$3:$B$300=$B62)*('Full month Pivot'!$C$3:$C$300=$A$48)*('Full month Pivot'!$D$2:$K$2=X$2)*'Full month Pivot'!$D$3:$K$300)</f>
        <v/>
      </c>
      <c r="Y62" s="161">
        <f>SUMPRODUCT(('Full month Pivot'!$B$3:$B$300=$B62)*('Full month Pivot'!$C$3:$C$300=$A$48)*('Full month Pivot'!$D$2:$K$2=Y$2)*'Full month Pivot'!$D$3:$K$300)</f>
        <v/>
      </c>
      <c r="Z62" s="161">
        <f>SUMPRODUCT(('Full month Pivot'!$B$3:$B$300=$B62)*('Full month Pivot'!$C$3:$C$300=$A$48)*('Full month Pivot'!$D$2:$K$2=Z$2)*'Full month Pivot'!$D$3:$K$300)</f>
        <v/>
      </c>
      <c r="AA62" s="161">
        <f>SUMPRODUCT(('Full month Pivot'!$B$3:$B$300=$B62)*('Full month Pivot'!$C$3:$C$300=$A$48)*('Full month Pivot'!$D$2:$K$2=AA$2)*'Full month Pivot'!$D$3:$K$300)</f>
        <v/>
      </c>
      <c r="AB62" s="161" t="n"/>
      <c r="AC62" s="161" t="n"/>
      <c r="AD62" s="143">
        <f>AA62-Z62</f>
        <v/>
      </c>
      <c r="AE62" s="170" t="n"/>
      <c r="AF62" s="170" t="n"/>
      <c r="AG62" s="170" t="n"/>
      <c r="AH62" s="170" t="n"/>
      <c r="AI62" s="170" t="n"/>
      <c r="AJ62" s="170" t="n"/>
    </row>
    <row r="63" outlineLevel="1" ht="15.75" customHeight="1" s="239">
      <c r="A63" s="170" t="n"/>
      <c r="B63" s="170" t="inlineStr">
        <is>
          <t>Data</t>
        </is>
      </c>
      <c r="C63" s="170" t="n"/>
      <c r="D63" s="170" t="n"/>
      <c r="E63" s="170" t="n"/>
      <c r="F63" s="170" t="n"/>
      <c r="G63" s="161">
        <f>SUMPRODUCT(('MTD Pivot'!$B$3:$B$300=$B63)*('MTD Pivot'!$C$3:$C$300=$A$48)*('MTD Pivot'!$D$2:$K$2=G$2)*'MTD Pivot'!$D$3:$K$300)</f>
        <v/>
      </c>
      <c r="H63" s="161">
        <f>SUMPRODUCT(('MTD Pivot'!$B$3:$B$300=$B63)*('MTD Pivot'!$C$3:$C$300=$A$48)*('MTD Pivot'!$D$2:$K$2=H$2)*'MTD Pivot'!$D$3:$K$300)</f>
        <v/>
      </c>
      <c r="I63" s="161">
        <f>SUMPRODUCT(('MTD Pivot'!$B$3:$B$300=$B63)*('MTD Pivot'!$C$3:$C$300=$A$48)*('MTD Pivot'!$D$2:$K$2=I$2)*'MTD Pivot'!$D$3:$K$300)</f>
        <v/>
      </c>
      <c r="J63" s="161">
        <f>SUMPRODUCT(('MTD Pivot'!$B$3:$B$300=$B63)*('MTD Pivot'!$C$3:$C$300=$A$48)*('MTD Pivot'!$D$2:$K$2=J$2)*'MTD Pivot'!$D$3:$K$300)</f>
        <v/>
      </c>
      <c r="K63" s="161">
        <f>SUMPRODUCT(('MTD Pivot'!$B$3:$B$300=$B63)*('MTD Pivot'!$C$3:$C$300=$A$48)*('MTD Pivot'!$D$2:$K$2=K$2)*'MTD Pivot'!$D$3:$K$300)</f>
        <v/>
      </c>
      <c r="L63" s="161">
        <f>SUMPRODUCT(('MTD Pivot'!$B$3:$B$300=$B63)*('MTD Pivot'!$C$3:$C$300=$A$48)*('MTD Pivot'!$D$2:$K$2=L$2)*'MTD Pivot'!$D$3:$K$300)</f>
        <v/>
      </c>
      <c r="M63" s="161" t="n"/>
      <c r="N63" s="161" t="n"/>
      <c r="O63" s="143">
        <f>L63-K63</f>
        <v/>
      </c>
      <c r="P63" s="170" t="n"/>
      <c r="Q63" s="170" t="n"/>
      <c r="R63" s="170" t="n"/>
      <c r="S63" s="170" t="n"/>
      <c r="T63" s="170" t="n"/>
      <c r="U63" s="170" t="n"/>
      <c r="V63" s="161">
        <f>SUMPRODUCT(('Full month Pivot'!$B$3:$B$300=$B63)*('Full month Pivot'!$C$3:$C$300=$A$48)*('Full month Pivot'!$D$2:$K$2=V$2)*'Full month Pivot'!$D$3:$K$300)</f>
        <v/>
      </c>
      <c r="W63" s="161">
        <f>SUMPRODUCT(('Full month Pivot'!$B$3:$B$300=$B63)*('Full month Pivot'!$C$3:$C$300=$A$48)*('Full month Pivot'!$D$2:$K$2=W$2)*'Full month Pivot'!$D$3:$K$300)</f>
        <v/>
      </c>
      <c r="X63" s="161">
        <f>SUMPRODUCT(('Full month Pivot'!$B$3:$B$300=$B63)*('Full month Pivot'!$C$3:$C$300=$A$48)*('Full month Pivot'!$D$2:$K$2=X$2)*'Full month Pivot'!$D$3:$K$300)</f>
        <v/>
      </c>
      <c r="Y63" s="161">
        <f>SUMPRODUCT(('Full month Pivot'!$B$3:$B$300=$B63)*('Full month Pivot'!$C$3:$C$300=$A$48)*('Full month Pivot'!$D$2:$K$2=Y$2)*'Full month Pivot'!$D$3:$K$300)</f>
        <v/>
      </c>
      <c r="Z63" s="161">
        <f>SUMPRODUCT(('Full month Pivot'!$B$3:$B$300=$B63)*('Full month Pivot'!$C$3:$C$300=$A$48)*('Full month Pivot'!$D$2:$K$2=Z$2)*'Full month Pivot'!$D$3:$K$300)</f>
        <v/>
      </c>
      <c r="AA63" s="161">
        <f>SUMPRODUCT(('Full month Pivot'!$B$3:$B$300=$B63)*('Full month Pivot'!$C$3:$C$300=$A$48)*('Full month Pivot'!$D$2:$K$2=AA$2)*'Full month Pivot'!$D$3:$K$300)</f>
        <v/>
      </c>
      <c r="AB63" s="161" t="n"/>
      <c r="AC63" s="161" t="n"/>
      <c r="AD63" s="143">
        <f>AA63-Z63</f>
        <v/>
      </c>
      <c r="AE63" s="170" t="n"/>
      <c r="AF63" s="170" t="n"/>
      <c r="AG63" s="170" t="n"/>
      <c r="AH63" s="170" t="n"/>
      <c r="AI63" s="170" t="n"/>
      <c r="AJ63" s="170" t="n"/>
    </row>
    <row r="64" outlineLevel="1" ht="15.75" customHeight="1" s="239">
      <c r="A64" s="170" t="n"/>
      <c r="B64" s="170" t="inlineStr">
        <is>
          <t>Soundbox</t>
        </is>
      </c>
      <c r="C64" s="170" t="n"/>
      <c r="D64" s="170" t="n"/>
      <c r="E64" s="170" t="n"/>
      <c r="F64" s="170" t="n"/>
      <c r="G64" s="161">
        <f>SUMPRODUCT(('MTD Pivot'!$B$3:$B$300=$B64)*('MTD Pivot'!$C$3:$C$300=$A$48)*('MTD Pivot'!$D$2:$K$2=G$2)*'MTD Pivot'!$D$3:$K$300)</f>
        <v/>
      </c>
      <c r="H64" s="161">
        <f>SUMPRODUCT(('MTD Pivot'!$B$3:$B$300=$B64)*('MTD Pivot'!$C$3:$C$300=$A$48)*('MTD Pivot'!$D$2:$K$2=H$2)*'MTD Pivot'!$D$3:$K$300)</f>
        <v/>
      </c>
      <c r="I64" s="161">
        <f>SUMPRODUCT(('MTD Pivot'!$B$3:$B$300=$B64)*('MTD Pivot'!$C$3:$C$300=$A$48)*('MTD Pivot'!$D$2:$K$2=I$2)*'MTD Pivot'!$D$3:$K$300)</f>
        <v/>
      </c>
      <c r="J64" s="161">
        <f>SUMPRODUCT(('MTD Pivot'!$B$3:$B$300=$B64)*('MTD Pivot'!$C$3:$C$300=$A$48)*('MTD Pivot'!$D$2:$K$2=J$2)*'MTD Pivot'!$D$3:$K$300)</f>
        <v/>
      </c>
      <c r="K64" s="161">
        <f>SUMPRODUCT(('MTD Pivot'!$B$3:$B$300=$B64)*('MTD Pivot'!$C$3:$C$300=$A$48)*('MTD Pivot'!$D$2:$K$2=K$2)*'MTD Pivot'!$D$3:$K$300)</f>
        <v/>
      </c>
      <c r="L64" s="161">
        <f>SUMPRODUCT(('MTD Pivot'!$B$3:$B$300=$B64)*('MTD Pivot'!$C$3:$C$300=$A$48)*('MTD Pivot'!$D$2:$K$2=L$2)*'MTD Pivot'!$D$3:$K$300)</f>
        <v/>
      </c>
      <c r="M64" s="161" t="n"/>
      <c r="N64" s="161" t="n"/>
      <c r="O64" s="143">
        <f>L64-K64</f>
        <v/>
      </c>
      <c r="P64" s="170" t="n"/>
      <c r="Q64" s="170" t="n"/>
      <c r="R64" s="170" t="n"/>
      <c r="S64" s="170" t="n"/>
      <c r="T64" s="170" t="n"/>
      <c r="U64" s="170" t="n"/>
      <c r="V64" s="161">
        <f>SUMPRODUCT(('Full month Pivot'!$B$3:$B$300=$B64)*('Full month Pivot'!$C$3:$C$300=$A$48)*('Full month Pivot'!$D$2:$K$2=V$2)*'Full month Pivot'!$D$3:$K$300)</f>
        <v/>
      </c>
      <c r="W64" s="161">
        <f>SUMPRODUCT(('Full month Pivot'!$B$3:$B$300=$B64)*('Full month Pivot'!$C$3:$C$300=$A$48)*('Full month Pivot'!$D$2:$K$2=W$2)*'Full month Pivot'!$D$3:$K$300)</f>
        <v/>
      </c>
      <c r="X64" s="161">
        <f>SUMPRODUCT(('Full month Pivot'!$B$3:$B$300=$B64)*('Full month Pivot'!$C$3:$C$300=$A$48)*('Full month Pivot'!$D$2:$K$2=X$2)*'Full month Pivot'!$D$3:$K$300)</f>
        <v/>
      </c>
      <c r="Y64" s="161">
        <f>SUMPRODUCT(('Full month Pivot'!$B$3:$B$300=$B64)*('Full month Pivot'!$C$3:$C$300=$A$48)*('Full month Pivot'!$D$2:$K$2=Y$2)*'Full month Pivot'!$D$3:$K$300)</f>
        <v/>
      </c>
      <c r="Z64" s="161">
        <f>SUMPRODUCT(('Full month Pivot'!$B$3:$B$300=$B64)*('Full month Pivot'!$C$3:$C$300=$A$48)*('Full month Pivot'!$D$2:$K$2=Z$2)*'Full month Pivot'!$D$3:$K$300)</f>
        <v/>
      </c>
      <c r="AA64" s="161">
        <f>SUMPRODUCT(('Full month Pivot'!$B$3:$B$300=$B64)*('Full month Pivot'!$C$3:$C$300=$A$48)*('Full month Pivot'!$D$2:$K$2=AA$2)*'Full month Pivot'!$D$3:$K$300)</f>
        <v/>
      </c>
      <c r="AB64" s="161" t="n"/>
      <c r="AC64" s="161" t="n"/>
      <c r="AD64" s="143">
        <f>AA64-Z64</f>
        <v/>
      </c>
      <c r="AE64" s="170" t="n"/>
      <c r="AF64" s="170" t="n"/>
      <c r="AG64" s="170" t="n"/>
      <c r="AH64" s="170" t="n"/>
      <c r="AI64" s="170" t="n"/>
      <c r="AJ64" s="170" t="n"/>
    </row>
    <row r="65" outlineLevel="1" ht="15.75" customHeight="1" s="239">
      <c r="A65" s="170" t="n"/>
      <c r="B65" s="170" t="inlineStr">
        <is>
          <t>New User</t>
        </is>
      </c>
      <c r="C65" s="170" t="n"/>
      <c r="D65" s="170" t="n"/>
      <c r="E65" s="170" t="n"/>
      <c r="F65" s="170" t="n"/>
      <c r="G65" s="161">
        <f>SUMPRODUCT(('MTD Pivot'!$B$3:$B$300=$B65)*('MTD Pivot'!$C$3:$C$300=$A$48)*('MTD Pivot'!$D$2:$K$2=G$2)*'MTD Pivot'!$D$3:$K$300)</f>
        <v/>
      </c>
      <c r="H65" s="161">
        <f>SUMPRODUCT(('MTD Pivot'!$B$3:$B$300=$B65)*('MTD Pivot'!$C$3:$C$300=$A$48)*('MTD Pivot'!$D$2:$K$2=H$2)*'MTD Pivot'!$D$3:$K$300)</f>
        <v/>
      </c>
      <c r="I65" s="161">
        <f>SUMPRODUCT(('MTD Pivot'!$B$3:$B$300=$B65)*('MTD Pivot'!$C$3:$C$300=$A$48)*('MTD Pivot'!$D$2:$K$2=I$2)*'MTD Pivot'!$D$3:$K$300)</f>
        <v/>
      </c>
      <c r="J65" s="161">
        <f>SUMPRODUCT(('MTD Pivot'!$B$3:$B$300=$B65)*('MTD Pivot'!$C$3:$C$300=$A$48)*('MTD Pivot'!$D$2:$K$2=J$2)*'MTD Pivot'!$D$3:$K$300)</f>
        <v/>
      </c>
      <c r="K65" s="161">
        <f>SUMPRODUCT(('MTD Pivot'!$B$3:$B$300=$B65)*('MTD Pivot'!$C$3:$C$300=$A$48)*('MTD Pivot'!$D$2:$K$2=K$2)*'MTD Pivot'!$D$3:$K$300)</f>
        <v/>
      </c>
      <c r="L65" s="161">
        <f>SUMPRODUCT(('MTD Pivot'!$B$3:$B$300=$B65)*('MTD Pivot'!$C$3:$C$300=$A$48)*('MTD Pivot'!$D$2:$K$2=L$2)*'MTD Pivot'!$D$3:$K$300)</f>
        <v/>
      </c>
      <c r="M65" s="161" t="n"/>
      <c r="N65" s="161" t="n"/>
      <c r="O65" s="143">
        <f>L65-K65</f>
        <v/>
      </c>
      <c r="P65" s="170" t="n"/>
      <c r="Q65" s="170" t="n"/>
      <c r="R65" s="170" t="n"/>
      <c r="S65" s="170" t="n"/>
      <c r="T65" s="170" t="n"/>
      <c r="U65" s="170" t="n"/>
      <c r="V65" s="161">
        <f>SUMPRODUCT(('Full month Pivot'!$B$3:$B$300=$B65)*('Full month Pivot'!$C$3:$C$300=$A$48)*('Full month Pivot'!$D$2:$K$2=V$2)*'Full month Pivot'!$D$3:$K$300)</f>
        <v/>
      </c>
      <c r="W65" s="161">
        <f>SUMPRODUCT(('Full month Pivot'!$B$3:$B$300=$B65)*('Full month Pivot'!$C$3:$C$300=$A$48)*('Full month Pivot'!$D$2:$K$2=W$2)*'Full month Pivot'!$D$3:$K$300)</f>
        <v/>
      </c>
      <c r="X65" s="161">
        <f>SUMPRODUCT(('Full month Pivot'!$B$3:$B$300=$B65)*('Full month Pivot'!$C$3:$C$300=$A$48)*('Full month Pivot'!$D$2:$K$2=X$2)*'Full month Pivot'!$D$3:$K$300)</f>
        <v/>
      </c>
      <c r="Y65" s="161">
        <f>SUMPRODUCT(('Full month Pivot'!$B$3:$B$300=$B65)*('Full month Pivot'!$C$3:$C$300=$A$48)*('Full month Pivot'!$D$2:$K$2=Y$2)*'Full month Pivot'!$D$3:$K$300)</f>
        <v/>
      </c>
      <c r="Z65" s="161">
        <f>SUMPRODUCT(('Full month Pivot'!$B$3:$B$300=$B65)*('Full month Pivot'!$C$3:$C$300=$A$48)*('Full month Pivot'!$D$2:$K$2=Z$2)*'Full month Pivot'!$D$3:$K$300)</f>
        <v/>
      </c>
      <c r="AA65" s="161">
        <f>SUMPRODUCT(('Full month Pivot'!$B$3:$B$300=$B65)*('Full month Pivot'!$C$3:$C$300=$A$48)*('Full month Pivot'!$D$2:$K$2=AA$2)*'Full month Pivot'!$D$3:$K$300)</f>
        <v/>
      </c>
      <c r="AB65" s="161" t="n"/>
      <c r="AC65" s="161" t="n"/>
      <c r="AD65" s="143">
        <f>AA65-Z65</f>
        <v/>
      </c>
      <c r="AE65" s="170" t="n"/>
      <c r="AF65" s="170" t="n"/>
      <c r="AG65" s="170" t="n"/>
      <c r="AH65" s="170" t="n"/>
      <c r="AI65" s="170" t="n"/>
      <c r="AJ65" s="170" t="n"/>
    </row>
    <row r="66" outlineLevel="1" ht="15.75" customHeight="1" s="239">
      <c r="A66" s="170" t="n"/>
      <c r="B66" s="170" t="inlineStr">
        <is>
          <t>Hỏi đáp</t>
        </is>
      </c>
      <c r="C66" s="170" t="n"/>
      <c r="D66" s="170" t="n"/>
      <c r="E66" s="170" t="n"/>
      <c r="F66" s="170" t="n"/>
      <c r="G66" s="161">
        <f>SUMPRODUCT(('MTD Pivot'!$B$3:$B$300=$B66)*('MTD Pivot'!$C$3:$C$300=$A$48)*('MTD Pivot'!$D$2:$K$2=G$2)*'MTD Pivot'!$D$3:$K$300)</f>
        <v/>
      </c>
      <c r="H66" s="161">
        <f>SUMPRODUCT(('MTD Pivot'!$B$3:$B$300=$B66)*('MTD Pivot'!$C$3:$C$300=$A$48)*('MTD Pivot'!$D$2:$K$2=H$2)*'MTD Pivot'!$D$3:$K$300)</f>
        <v/>
      </c>
      <c r="I66" s="161">
        <f>SUMPRODUCT(('MTD Pivot'!$B$3:$B$300=$B66)*('MTD Pivot'!$C$3:$C$300=$A$48)*('MTD Pivot'!$D$2:$K$2=I$2)*'MTD Pivot'!$D$3:$K$300)</f>
        <v/>
      </c>
      <c r="J66" s="161">
        <f>SUMPRODUCT(('MTD Pivot'!$B$3:$B$300=$B66)*('MTD Pivot'!$C$3:$C$300=$A$48)*('MTD Pivot'!$D$2:$K$2=J$2)*'MTD Pivot'!$D$3:$K$300)</f>
        <v/>
      </c>
      <c r="K66" s="161">
        <f>SUMPRODUCT(('MTD Pivot'!$B$3:$B$300=$B66)*('MTD Pivot'!$C$3:$C$300=$A$48)*('MTD Pivot'!$D$2:$K$2=K$2)*'MTD Pivot'!$D$3:$K$300)</f>
        <v/>
      </c>
      <c r="L66" s="161">
        <f>SUMPRODUCT(('MTD Pivot'!$B$3:$B$300=$B66)*('MTD Pivot'!$C$3:$C$300=$A$48)*('MTD Pivot'!$D$2:$K$2=L$2)*'MTD Pivot'!$D$3:$K$300)</f>
        <v/>
      </c>
      <c r="M66" s="161" t="n"/>
      <c r="N66" s="161" t="n"/>
      <c r="O66" s="143">
        <f>L66-K66</f>
        <v/>
      </c>
      <c r="P66" s="170" t="n"/>
      <c r="Q66" s="170" t="n"/>
      <c r="R66" s="170" t="n"/>
      <c r="S66" s="170" t="n"/>
      <c r="T66" s="170" t="n"/>
      <c r="U66" s="170" t="n"/>
      <c r="V66" s="161">
        <f>SUMPRODUCT(('Full month Pivot'!$B$3:$B$300=$B66)*('Full month Pivot'!$C$3:$C$300=$A$48)*('Full month Pivot'!$D$2:$K$2=V$2)*'Full month Pivot'!$D$3:$K$300)</f>
        <v/>
      </c>
      <c r="W66" s="161">
        <f>SUMPRODUCT(('Full month Pivot'!$B$3:$B$300=$B66)*('Full month Pivot'!$C$3:$C$300=$A$48)*('Full month Pivot'!$D$2:$K$2=W$2)*'Full month Pivot'!$D$3:$K$300)</f>
        <v/>
      </c>
      <c r="X66" s="161">
        <f>SUMPRODUCT(('Full month Pivot'!$B$3:$B$300=$B66)*('Full month Pivot'!$C$3:$C$300=$A$48)*('Full month Pivot'!$D$2:$K$2=X$2)*'Full month Pivot'!$D$3:$K$300)</f>
        <v/>
      </c>
      <c r="Y66" s="161">
        <f>SUMPRODUCT(('Full month Pivot'!$B$3:$B$300=$B66)*('Full month Pivot'!$C$3:$C$300=$A$48)*('Full month Pivot'!$D$2:$K$2=Y$2)*'Full month Pivot'!$D$3:$K$300)</f>
        <v/>
      </c>
      <c r="Z66" s="161">
        <f>SUMPRODUCT(('Full month Pivot'!$B$3:$B$300=$B66)*('Full month Pivot'!$C$3:$C$300=$A$48)*('Full month Pivot'!$D$2:$K$2=Z$2)*'Full month Pivot'!$D$3:$K$300)</f>
        <v/>
      </c>
      <c r="AA66" s="161">
        <f>SUMPRODUCT(('Full month Pivot'!$B$3:$B$300=$B66)*('Full month Pivot'!$C$3:$C$300=$A$48)*('Full month Pivot'!$D$2:$K$2=AA$2)*'Full month Pivot'!$D$3:$K$300)</f>
        <v/>
      </c>
      <c r="AB66" s="161" t="n"/>
      <c r="AC66" s="161" t="n"/>
      <c r="AD66" s="143">
        <f>AA66-Z66</f>
        <v/>
      </c>
      <c r="AE66" s="170" t="n"/>
      <c r="AF66" s="170" t="n"/>
      <c r="AG66" s="170" t="n"/>
      <c r="AH66" s="170" t="n"/>
      <c r="AI66" s="170" t="n"/>
      <c r="AJ66" s="170" t="n"/>
    </row>
    <row r="67" outlineLevel="1" ht="15.75" customHeight="1" s="239">
      <c r="A67" s="170" t="n"/>
      <c r="B67" s="170" t="inlineStr">
        <is>
          <t>TnC</t>
        </is>
      </c>
      <c r="C67" s="170" t="n"/>
      <c r="D67" s="170" t="n"/>
      <c r="E67" s="170" t="n"/>
      <c r="F67" s="170" t="n"/>
      <c r="G67" s="161">
        <f>SUMPRODUCT(('MTD Pivot'!$B$3:$B$300=$B67)*('MTD Pivot'!$C$3:$C$300=$A$48)*('MTD Pivot'!$D$2:$K$2=G$2)*'MTD Pivot'!$D$3:$K$300)</f>
        <v/>
      </c>
      <c r="H67" s="161">
        <f>SUMPRODUCT(('MTD Pivot'!$B$3:$B$300=$B67)*('MTD Pivot'!$C$3:$C$300=$A$48)*('MTD Pivot'!$D$2:$K$2=H$2)*'MTD Pivot'!$D$3:$K$300)</f>
        <v/>
      </c>
      <c r="I67" s="161">
        <f>SUMPRODUCT(('MTD Pivot'!$B$3:$B$300=$B67)*('MTD Pivot'!$C$3:$C$300=$A$48)*('MTD Pivot'!$D$2:$K$2=I$2)*'MTD Pivot'!$D$3:$K$300)</f>
        <v/>
      </c>
      <c r="J67" s="161">
        <f>SUMPRODUCT(('MTD Pivot'!$B$3:$B$300=$B67)*('MTD Pivot'!$C$3:$C$300=$A$48)*('MTD Pivot'!$D$2:$K$2=J$2)*'MTD Pivot'!$D$3:$K$300)</f>
        <v/>
      </c>
      <c r="K67" s="161">
        <f>SUMPRODUCT(('MTD Pivot'!$B$3:$B$300=$B67)*('MTD Pivot'!$C$3:$C$300=$A$48)*('MTD Pivot'!$D$2:$K$2=K$2)*'MTD Pivot'!$D$3:$K$300)</f>
        <v/>
      </c>
      <c r="L67" s="161">
        <f>SUMPRODUCT(('MTD Pivot'!$B$3:$B$300=$B67)*('MTD Pivot'!$C$3:$C$300=$A$48)*('MTD Pivot'!$D$2:$K$2=L$2)*'MTD Pivot'!$D$3:$K$300)</f>
        <v/>
      </c>
      <c r="M67" s="161" t="n"/>
      <c r="N67" s="161" t="n"/>
      <c r="O67" s="143">
        <f>L67-K67</f>
        <v/>
      </c>
      <c r="P67" s="170" t="n"/>
      <c r="Q67" s="170" t="n"/>
      <c r="R67" s="170" t="n"/>
      <c r="S67" s="170" t="n"/>
      <c r="T67" s="170" t="n"/>
      <c r="U67" s="170" t="n"/>
      <c r="V67" s="161">
        <f>SUMPRODUCT(('Full month Pivot'!$B$3:$B$300=$B67)*('Full month Pivot'!$C$3:$C$300=$A$48)*('Full month Pivot'!$D$2:$K$2=V$2)*'Full month Pivot'!$D$3:$K$300)</f>
        <v/>
      </c>
      <c r="W67" s="161">
        <f>SUMPRODUCT(('Full month Pivot'!$B$3:$B$300=$B67)*('Full month Pivot'!$C$3:$C$300=$A$48)*('Full month Pivot'!$D$2:$K$2=W$2)*'Full month Pivot'!$D$3:$K$300)</f>
        <v/>
      </c>
      <c r="X67" s="161">
        <f>SUMPRODUCT(('Full month Pivot'!$B$3:$B$300=$B67)*('Full month Pivot'!$C$3:$C$300=$A$48)*('Full month Pivot'!$D$2:$K$2=X$2)*'Full month Pivot'!$D$3:$K$300)</f>
        <v/>
      </c>
      <c r="Y67" s="161">
        <f>SUMPRODUCT(('Full month Pivot'!$B$3:$B$300=$B67)*('Full month Pivot'!$C$3:$C$300=$A$48)*('Full month Pivot'!$D$2:$K$2=Y$2)*'Full month Pivot'!$D$3:$K$300)</f>
        <v/>
      </c>
      <c r="Z67" s="161">
        <f>SUMPRODUCT(('Full month Pivot'!$B$3:$B$300=$B67)*('Full month Pivot'!$C$3:$C$300=$A$48)*('Full month Pivot'!$D$2:$K$2=Z$2)*'Full month Pivot'!$D$3:$K$300)</f>
        <v/>
      </c>
      <c r="AA67" s="161">
        <f>SUMPRODUCT(('Full month Pivot'!$B$3:$B$300=$B67)*('Full month Pivot'!$C$3:$C$300=$A$48)*('Full month Pivot'!$D$2:$K$2=AA$2)*'Full month Pivot'!$D$3:$K$300)</f>
        <v/>
      </c>
      <c r="AB67" s="161" t="n"/>
      <c r="AC67" s="161" t="n"/>
      <c r="AD67" s="143">
        <f>AA67-Z67</f>
        <v/>
      </c>
      <c r="AE67" s="170" t="n"/>
      <c r="AF67" s="170" t="n"/>
      <c r="AG67" s="170" t="n"/>
      <c r="AH67" s="170" t="n"/>
      <c r="AI67" s="170" t="n"/>
      <c r="AJ67" s="170" t="n"/>
    </row>
    <row r="68" outlineLevel="1" ht="15.75" customHeight="1" s="239">
      <c r="A68" s="170" t="n"/>
      <c r="B68" s="170" t="inlineStr">
        <is>
          <t>Trust</t>
        </is>
      </c>
      <c r="C68" s="170" t="n"/>
      <c r="D68" s="170" t="n"/>
      <c r="E68" s="170" t="n"/>
      <c r="F68" s="170" t="n"/>
      <c r="G68" s="161">
        <f>SUMPRODUCT(('MTD Pivot'!$B$3:$B$300=$B68)*('MTD Pivot'!$C$3:$C$300=$A$48)*('MTD Pivot'!$D$2:$K$2=G$2)*'MTD Pivot'!$D$3:$K$300)</f>
        <v/>
      </c>
      <c r="H68" s="161">
        <f>SUMPRODUCT(('MTD Pivot'!$B$3:$B$300=$B68)*('MTD Pivot'!$C$3:$C$300=$A$48)*('MTD Pivot'!$D$2:$K$2=H$2)*'MTD Pivot'!$D$3:$K$300)</f>
        <v/>
      </c>
      <c r="I68" s="161">
        <f>SUMPRODUCT(('MTD Pivot'!$B$3:$B$300=$B68)*('MTD Pivot'!$C$3:$C$300=$A$48)*('MTD Pivot'!$D$2:$K$2=I$2)*'MTD Pivot'!$D$3:$K$300)</f>
        <v/>
      </c>
      <c r="J68" s="161">
        <f>SUMPRODUCT(('MTD Pivot'!$B$3:$B$300=$B68)*('MTD Pivot'!$C$3:$C$300=$A$48)*('MTD Pivot'!$D$2:$K$2=J$2)*'MTD Pivot'!$D$3:$K$300)</f>
        <v/>
      </c>
      <c r="K68" s="161">
        <f>SUMPRODUCT(('MTD Pivot'!$B$3:$B$300=$B68)*('MTD Pivot'!$C$3:$C$300=$A$48)*('MTD Pivot'!$D$2:$K$2=K$2)*'MTD Pivot'!$D$3:$K$300)</f>
        <v/>
      </c>
      <c r="L68" s="161">
        <f>SUMPRODUCT(('MTD Pivot'!$B$3:$B$300=$B68)*('MTD Pivot'!$C$3:$C$300=$A$48)*('MTD Pivot'!$D$2:$K$2=L$2)*'MTD Pivot'!$D$3:$K$300)</f>
        <v/>
      </c>
      <c r="M68" s="161" t="n"/>
      <c r="N68" s="161" t="n"/>
      <c r="O68" s="143">
        <f>L68-K68</f>
        <v/>
      </c>
      <c r="P68" s="170" t="n"/>
      <c r="Q68" s="170" t="n"/>
      <c r="R68" s="170" t="n"/>
      <c r="S68" s="170" t="n"/>
      <c r="T68" s="170" t="n"/>
      <c r="U68" s="170" t="n"/>
      <c r="V68" s="161">
        <f>SUMPRODUCT(('Full month Pivot'!$B$3:$B$300=$B68)*('Full month Pivot'!$C$3:$C$300=$A$48)*('Full month Pivot'!$D$2:$K$2=V$2)*'Full month Pivot'!$D$3:$K$300)</f>
        <v/>
      </c>
      <c r="W68" s="161">
        <f>SUMPRODUCT(('Full month Pivot'!$B$3:$B$300=$B68)*('Full month Pivot'!$C$3:$C$300=$A$48)*('Full month Pivot'!$D$2:$K$2=W$2)*'Full month Pivot'!$D$3:$K$300)</f>
        <v/>
      </c>
      <c r="X68" s="161">
        <f>SUMPRODUCT(('Full month Pivot'!$B$3:$B$300=$B68)*('Full month Pivot'!$C$3:$C$300=$A$48)*('Full month Pivot'!$D$2:$K$2=X$2)*'Full month Pivot'!$D$3:$K$300)</f>
        <v/>
      </c>
      <c r="Y68" s="161">
        <f>SUMPRODUCT(('Full month Pivot'!$B$3:$B$300=$B68)*('Full month Pivot'!$C$3:$C$300=$A$48)*('Full month Pivot'!$D$2:$K$2=Y$2)*'Full month Pivot'!$D$3:$K$300)</f>
        <v/>
      </c>
      <c r="Z68" s="161">
        <f>SUMPRODUCT(('Full month Pivot'!$B$3:$B$300=$B68)*('Full month Pivot'!$C$3:$C$300=$A$48)*('Full month Pivot'!$D$2:$K$2=Z$2)*'Full month Pivot'!$D$3:$K$300)</f>
        <v/>
      </c>
      <c r="AA68" s="161">
        <f>SUMPRODUCT(('Full month Pivot'!$B$3:$B$300=$B68)*('Full month Pivot'!$C$3:$C$300=$A$48)*('Full month Pivot'!$D$2:$K$2=AA$2)*'Full month Pivot'!$D$3:$K$300)</f>
        <v/>
      </c>
      <c r="AB68" s="161" t="n"/>
      <c r="AC68" s="161" t="n"/>
      <c r="AD68" s="143">
        <f>AA68-Z68</f>
        <v/>
      </c>
      <c r="AE68" s="170" t="n"/>
      <c r="AF68" s="170" t="n"/>
      <c r="AG68" s="170" t="n"/>
      <c r="AH68" s="170" t="n"/>
      <c r="AI68" s="170" t="n"/>
      <c r="AJ68" s="170" t="n"/>
    </row>
    <row r="69" outlineLevel="1" ht="15.75" customHeight="1" s="239">
      <c r="A69" s="170" t="n"/>
      <c r="B69" s="170" t="inlineStr">
        <is>
          <t>Guide</t>
        </is>
      </c>
      <c r="C69" s="170" t="n"/>
      <c r="D69" s="170" t="n"/>
      <c r="E69" s="170" t="n"/>
      <c r="F69" s="170" t="n"/>
      <c r="G69" s="161">
        <f>SUMPRODUCT(('MTD Pivot'!$B$3:$B$300=$B69)*('MTD Pivot'!$C$3:$C$300=$A$48)*('MTD Pivot'!$D$2:$K$2=G$2)*'MTD Pivot'!$D$3:$K$300)</f>
        <v/>
      </c>
      <c r="H69" s="161">
        <f>SUMPRODUCT(('MTD Pivot'!$B$3:$B$300=$B69)*('MTD Pivot'!$C$3:$C$300=$A$48)*('MTD Pivot'!$D$2:$K$2=H$2)*'MTD Pivot'!$D$3:$K$300)</f>
        <v/>
      </c>
      <c r="I69" s="161">
        <f>SUMPRODUCT(('MTD Pivot'!$B$3:$B$300=$B69)*('MTD Pivot'!$C$3:$C$300=$A$48)*('MTD Pivot'!$D$2:$K$2=I$2)*'MTD Pivot'!$D$3:$K$300)</f>
        <v/>
      </c>
      <c r="J69" s="161">
        <f>SUMPRODUCT(('MTD Pivot'!$B$3:$B$300=$B69)*('MTD Pivot'!$C$3:$C$300=$A$48)*('MTD Pivot'!$D$2:$K$2=J$2)*'MTD Pivot'!$D$3:$K$300)</f>
        <v/>
      </c>
      <c r="K69" s="161">
        <f>SUMPRODUCT(('MTD Pivot'!$B$3:$B$300=$B69)*('MTD Pivot'!$C$3:$C$300=$A$48)*('MTD Pivot'!$D$2:$K$2=K$2)*'MTD Pivot'!$D$3:$K$300)</f>
        <v/>
      </c>
      <c r="L69" s="161">
        <f>SUMPRODUCT(('MTD Pivot'!$B$3:$B$300=$B69)*('MTD Pivot'!$C$3:$C$300=$A$48)*('MTD Pivot'!$D$2:$K$2=L$2)*'MTD Pivot'!$D$3:$K$300)</f>
        <v/>
      </c>
      <c r="M69" s="161" t="n"/>
      <c r="N69" s="161" t="n"/>
      <c r="O69" s="143">
        <f>L69-K69</f>
        <v/>
      </c>
      <c r="P69" s="170" t="n"/>
      <c r="Q69" s="170" t="n"/>
      <c r="R69" s="170" t="n"/>
      <c r="S69" s="170" t="n"/>
      <c r="T69" s="170" t="n"/>
      <c r="U69" s="170" t="n"/>
      <c r="V69" s="161">
        <f>SUMPRODUCT(('Full month Pivot'!$B$3:$B$300=$B69)*('Full month Pivot'!$C$3:$C$300=$A$48)*('Full month Pivot'!$D$2:$K$2=V$2)*'Full month Pivot'!$D$3:$K$300)</f>
        <v/>
      </c>
      <c r="W69" s="161">
        <f>SUMPRODUCT(('Full month Pivot'!$B$3:$B$300=$B69)*('Full month Pivot'!$C$3:$C$300=$A$48)*('Full month Pivot'!$D$2:$K$2=W$2)*'Full month Pivot'!$D$3:$K$300)</f>
        <v/>
      </c>
      <c r="X69" s="161">
        <f>SUMPRODUCT(('Full month Pivot'!$B$3:$B$300=$B69)*('Full month Pivot'!$C$3:$C$300=$A$48)*('Full month Pivot'!$D$2:$K$2=X$2)*'Full month Pivot'!$D$3:$K$300)</f>
        <v/>
      </c>
      <c r="Y69" s="161">
        <f>SUMPRODUCT(('Full month Pivot'!$B$3:$B$300=$B69)*('Full month Pivot'!$C$3:$C$300=$A$48)*('Full month Pivot'!$D$2:$K$2=Y$2)*'Full month Pivot'!$D$3:$K$300)</f>
        <v/>
      </c>
      <c r="Z69" s="161">
        <f>SUMPRODUCT(('Full month Pivot'!$B$3:$B$300=$B69)*('Full month Pivot'!$C$3:$C$300=$A$48)*('Full month Pivot'!$D$2:$K$2=Z$2)*'Full month Pivot'!$D$3:$K$300)</f>
        <v/>
      </c>
      <c r="AA69" s="161">
        <f>SUMPRODUCT(('Full month Pivot'!$B$3:$B$300=$B69)*('Full month Pivot'!$C$3:$C$300=$A$48)*('Full month Pivot'!$D$2:$K$2=AA$2)*'Full month Pivot'!$D$3:$K$300)</f>
        <v/>
      </c>
      <c r="AB69" s="161" t="n"/>
      <c r="AC69" s="161" t="n"/>
      <c r="AD69" s="143">
        <f>AA69-Z69</f>
        <v/>
      </c>
      <c r="AE69" s="170" t="n"/>
      <c r="AF69" s="170" t="n"/>
      <c r="AG69" s="170" t="n"/>
      <c r="AH69" s="170" t="n"/>
      <c r="AI69" s="170" t="n"/>
      <c r="AJ69" s="170" t="n"/>
    </row>
    <row r="70" outlineLevel="1" ht="15.75" customHeight="1" s="239">
      <c r="A70" s="170" t="n"/>
      <c r="B70" s="170" t="inlineStr">
        <is>
          <t>Khuyến mãi</t>
        </is>
      </c>
      <c r="C70" s="170" t="n"/>
      <c r="D70" s="170" t="n"/>
      <c r="E70" s="170" t="n"/>
      <c r="F70" s="170" t="n"/>
      <c r="G70" s="161">
        <f>SUMPRODUCT(('MTD Pivot'!$B$3:$B$300=$B70)*('MTD Pivot'!$C$3:$C$300=$A$48)*('MTD Pivot'!$D$2:$K$2=G$2)*'MTD Pivot'!$D$3:$K$300)</f>
        <v/>
      </c>
      <c r="H70" s="161">
        <f>SUMPRODUCT(('MTD Pivot'!$B$3:$B$300=$B70)*('MTD Pivot'!$C$3:$C$300=$A$48)*('MTD Pivot'!$D$2:$K$2=H$2)*'MTD Pivot'!$D$3:$K$300)</f>
        <v/>
      </c>
      <c r="I70" s="161">
        <f>SUMPRODUCT(('MTD Pivot'!$B$3:$B$300=$B70)*('MTD Pivot'!$C$3:$C$300=$A$48)*('MTD Pivot'!$D$2:$K$2=I$2)*'MTD Pivot'!$D$3:$K$300)</f>
        <v/>
      </c>
      <c r="J70" s="161">
        <f>SUMPRODUCT(('MTD Pivot'!$B$3:$B$300=$B70)*('MTD Pivot'!$C$3:$C$300=$A$48)*('MTD Pivot'!$D$2:$K$2=J$2)*'MTD Pivot'!$D$3:$K$300)</f>
        <v/>
      </c>
      <c r="K70" s="161">
        <f>SUMPRODUCT(('MTD Pivot'!$B$3:$B$300=$B70)*('MTD Pivot'!$C$3:$C$300=$A$48)*('MTD Pivot'!$D$2:$K$2=K$2)*'MTD Pivot'!$D$3:$K$300)</f>
        <v/>
      </c>
      <c r="L70" s="161">
        <f>SUMPRODUCT(('MTD Pivot'!$B$3:$B$300=$B70)*('MTD Pivot'!$C$3:$C$300=$A$48)*('MTD Pivot'!$D$2:$K$2=L$2)*'MTD Pivot'!$D$3:$K$300)</f>
        <v/>
      </c>
      <c r="M70" s="161" t="n"/>
      <c r="N70" s="161" t="n"/>
      <c r="O70" s="143">
        <f>L70-K70</f>
        <v/>
      </c>
      <c r="P70" s="170" t="n"/>
      <c r="Q70" s="170" t="n"/>
      <c r="R70" s="170" t="n"/>
      <c r="S70" s="170" t="n"/>
      <c r="T70" s="170" t="n"/>
      <c r="U70" s="170" t="n"/>
      <c r="V70" s="161">
        <f>SUMPRODUCT(('Full month Pivot'!$B$3:$B$300=$B70)*('Full month Pivot'!$C$3:$C$300=$A$48)*('Full month Pivot'!$D$2:$K$2=V$2)*'Full month Pivot'!$D$3:$K$300)</f>
        <v/>
      </c>
      <c r="W70" s="161">
        <f>SUMPRODUCT(('Full month Pivot'!$B$3:$B$300=$B70)*('Full month Pivot'!$C$3:$C$300=$A$48)*('Full month Pivot'!$D$2:$K$2=W$2)*'Full month Pivot'!$D$3:$K$300)</f>
        <v/>
      </c>
      <c r="X70" s="161">
        <f>SUMPRODUCT(('Full month Pivot'!$B$3:$B$300=$B70)*('Full month Pivot'!$C$3:$C$300=$A$48)*('Full month Pivot'!$D$2:$K$2=X$2)*'Full month Pivot'!$D$3:$K$300)</f>
        <v/>
      </c>
      <c r="Y70" s="161">
        <f>SUMPRODUCT(('Full month Pivot'!$B$3:$B$300=$B70)*('Full month Pivot'!$C$3:$C$300=$A$48)*('Full month Pivot'!$D$2:$K$2=Y$2)*'Full month Pivot'!$D$3:$K$300)</f>
        <v/>
      </c>
      <c r="Z70" s="161">
        <f>SUMPRODUCT(('Full month Pivot'!$B$3:$B$300=$B70)*('Full month Pivot'!$C$3:$C$300=$A$48)*('Full month Pivot'!$D$2:$K$2=Z$2)*'Full month Pivot'!$D$3:$K$300)</f>
        <v/>
      </c>
      <c r="AA70" s="161">
        <f>SUMPRODUCT(('Full month Pivot'!$B$3:$B$300=$B70)*('Full month Pivot'!$C$3:$C$300=$A$48)*('Full month Pivot'!$D$2:$K$2=AA$2)*'Full month Pivot'!$D$3:$K$300)</f>
        <v/>
      </c>
      <c r="AB70" s="161" t="n"/>
      <c r="AC70" s="161" t="n"/>
      <c r="AD70" s="143">
        <f>AA70-Z70</f>
        <v/>
      </c>
      <c r="AE70" s="170" t="n"/>
      <c r="AF70" s="170" t="n"/>
      <c r="AG70" s="170" t="n"/>
      <c r="AH70" s="170" t="n"/>
      <c r="AI70" s="170" t="n"/>
      <c r="AJ70" s="170" t="n"/>
    </row>
    <row r="71" outlineLevel="1" ht="15.75" customHeight="1" s="239">
      <c r="A71" s="170" t="n"/>
      <c r="B71" s="170" t="inlineStr">
        <is>
          <t>Campaign</t>
        </is>
      </c>
      <c r="C71" s="170" t="n"/>
      <c r="D71" s="170" t="n"/>
      <c r="E71" s="170" t="n"/>
      <c r="F71" s="170" t="n"/>
      <c r="G71" s="161">
        <f>SUMPRODUCT(('MTD Pivot'!$B$3:$B$300=$B71)*('MTD Pivot'!$C$3:$C$300=$A$48)*('MTD Pivot'!$D$2:$K$2=G$2)*'MTD Pivot'!$D$3:$K$300)</f>
        <v/>
      </c>
      <c r="H71" s="161">
        <f>SUMPRODUCT(('MTD Pivot'!$B$3:$B$300=$B71)*('MTD Pivot'!$C$3:$C$300=$A$48)*('MTD Pivot'!$D$2:$K$2=H$2)*'MTD Pivot'!$D$3:$K$300)</f>
        <v/>
      </c>
      <c r="I71" s="161">
        <f>SUMPRODUCT(('MTD Pivot'!$B$3:$B$300=$B71)*('MTD Pivot'!$C$3:$C$300=$A$48)*('MTD Pivot'!$D$2:$K$2=I$2)*'MTD Pivot'!$D$3:$K$300)</f>
        <v/>
      </c>
      <c r="J71" s="161">
        <f>SUMPRODUCT(('MTD Pivot'!$B$3:$B$300=$B71)*('MTD Pivot'!$C$3:$C$300=$A$48)*('MTD Pivot'!$D$2:$K$2=J$2)*'MTD Pivot'!$D$3:$K$300)</f>
        <v/>
      </c>
      <c r="K71" s="161">
        <f>SUMPRODUCT(('MTD Pivot'!$B$3:$B$300=$B71)*('MTD Pivot'!$C$3:$C$300=$A$48)*('MTD Pivot'!$D$2:$K$2=K$2)*'MTD Pivot'!$D$3:$K$300)</f>
        <v/>
      </c>
      <c r="L71" s="161">
        <f>SUMPRODUCT(('MTD Pivot'!$B$3:$B$300=$B71)*('MTD Pivot'!$C$3:$C$300=$A$48)*('MTD Pivot'!$D$2:$K$2=L$2)*'MTD Pivot'!$D$3:$K$300)</f>
        <v/>
      </c>
      <c r="M71" s="161" t="n"/>
      <c r="N71" s="161" t="n"/>
      <c r="O71" s="143">
        <f>L71-K71</f>
        <v/>
      </c>
      <c r="P71" s="170" t="n"/>
      <c r="Q71" s="170" t="n"/>
      <c r="R71" s="170" t="n"/>
      <c r="S71" s="170" t="n"/>
      <c r="T71" s="170" t="n"/>
      <c r="U71" s="170" t="n"/>
      <c r="V71" s="161">
        <f>SUMPRODUCT(('Full month Pivot'!$B$3:$B$300=$B71)*('Full month Pivot'!$C$3:$C$300=$A$48)*('Full month Pivot'!$D$2:$K$2=V$2)*'Full month Pivot'!$D$3:$K$300)</f>
        <v/>
      </c>
      <c r="W71" s="161">
        <f>SUMPRODUCT(('Full month Pivot'!$B$3:$B$300=$B71)*('Full month Pivot'!$C$3:$C$300=$A$48)*('Full month Pivot'!$D$2:$K$2=W$2)*'Full month Pivot'!$D$3:$K$300)</f>
        <v/>
      </c>
      <c r="X71" s="161">
        <f>SUMPRODUCT(('Full month Pivot'!$B$3:$B$300=$B71)*('Full month Pivot'!$C$3:$C$300=$A$48)*('Full month Pivot'!$D$2:$K$2=X$2)*'Full month Pivot'!$D$3:$K$300)</f>
        <v/>
      </c>
      <c r="Y71" s="161">
        <f>SUMPRODUCT(('Full month Pivot'!$B$3:$B$300=$B71)*('Full month Pivot'!$C$3:$C$300=$A$48)*('Full month Pivot'!$D$2:$K$2=Y$2)*'Full month Pivot'!$D$3:$K$300)</f>
        <v/>
      </c>
      <c r="Z71" s="161">
        <f>SUMPRODUCT(('Full month Pivot'!$B$3:$B$300=$B71)*('Full month Pivot'!$C$3:$C$300=$A$48)*('Full month Pivot'!$D$2:$K$2=Z$2)*'Full month Pivot'!$D$3:$K$300)</f>
        <v/>
      </c>
      <c r="AA71" s="161">
        <f>SUMPRODUCT(('Full month Pivot'!$B$3:$B$300=$B71)*('Full month Pivot'!$C$3:$C$300=$A$48)*('Full month Pivot'!$D$2:$K$2=AA$2)*'Full month Pivot'!$D$3:$K$300)</f>
        <v/>
      </c>
      <c r="AB71" s="161" t="n"/>
      <c r="AC71" s="161" t="n"/>
      <c r="AD71" s="143">
        <f>AA71-Z71</f>
        <v/>
      </c>
      <c r="AE71" s="170" t="n"/>
      <c r="AF71" s="170" t="n"/>
      <c r="AG71" s="170" t="n"/>
      <c r="AH71" s="170" t="n"/>
      <c r="AI71" s="170" t="n"/>
      <c r="AJ71" s="170" t="n"/>
    </row>
    <row r="72" outlineLevel="1" ht="15.75" customHeight="1" s="239">
      <c r="A72" s="170" t="n"/>
      <c r="B72" s="170" t="inlineStr">
        <is>
          <t>Blog</t>
        </is>
      </c>
      <c r="C72" s="170" t="n"/>
      <c r="D72" s="170" t="n"/>
      <c r="E72" s="170" t="n"/>
      <c r="F72" s="170" t="n"/>
      <c r="G72" s="161">
        <f>SUMPRODUCT(('MTD Pivot'!$B$3:$B$300=$B72)*('MTD Pivot'!$C$3:$C$300=$A$48)*('MTD Pivot'!$D$2:$K$2=G$2)*'MTD Pivot'!$D$3:$K$300)</f>
        <v/>
      </c>
      <c r="H72" s="161">
        <f>SUMPRODUCT(('MTD Pivot'!$B$3:$B$300=$B72)*('MTD Pivot'!$C$3:$C$300=$A$48)*('MTD Pivot'!$D$2:$K$2=H$2)*'MTD Pivot'!$D$3:$K$300)</f>
        <v/>
      </c>
      <c r="I72" s="161">
        <f>SUMPRODUCT(('MTD Pivot'!$B$3:$B$300=$B72)*('MTD Pivot'!$C$3:$C$300=$A$48)*('MTD Pivot'!$D$2:$K$2=I$2)*'MTD Pivot'!$D$3:$K$300)</f>
        <v/>
      </c>
      <c r="J72" s="161">
        <f>SUMPRODUCT(('MTD Pivot'!$B$3:$B$300=$B72)*('MTD Pivot'!$C$3:$C$300=$A$48)*('MTD Pivot'!$D$2:$K$2=J$2)*'MTD Pivot'!$D$3:$K$300)</f>
        <v/>
      </c>
      <c r="K72" s="161">
        <f>SUMPRODUCT(('MTD Pivot'!$B$3:$B$300=$B72)*('MTD Pivot'!$C$3:$C$300=$A$48)*('MTD Pivot'!$D$2:$K$2=K$2)*'MTD Pivot'!$D$3:$K$300)</f>
        <v/>
      </c>
      <c r="L72" s="161">
        <f>SUMPRODUCT(('MTD Pivot'!$B$3:$B$300=$B72)*('MTD Pivot'!$C$3:$C$300=$A$48)*('MTD Pivot'!$D$2:$K$2=L$2)*'MTD Pivot'!$D$3:$K$300)</f>
        <v/>
      </c>
      <c r="M72" s="161" t="n"/>
      <c r="N72" s="161" t="n"/>
      <c r="O72" s="143">
        <f>L72-K72</f>
        <v/>
      </c>
      <c r="P72" s="170" t="n"/>
      <c r="Q72" s="170" t="n"/>
      <c r="R72" s="170" t="n"/>
      <c r="S72" s="170" t="n"/>
      <c r="T72" s="170" t="n"/>
      <c r="U72" s="170" t="n"/>
      <c r="V72" s="161">
        <f>SUMPRODUCT(('Full month Pivot'!$B$3:$B$300=$B72)*('Full month Pivot'!$C$3:$C$300=$A$48)*('Full month Pivot'!$D$2:$K$2=V$2)*'Full month Pivot'!$D$3:$K$300)</f>
        <v/>
      </c>
      <c r="W72" s="161">
        <f>SUMPRODUCT(('Full month Pivot'!$B$3:$B$300=$B72)*('Full month Pivot'!$C$3:$C$300=$A$48)*('Full month Pivot'!$D$2:$K$2=W$2)*'Full month Pivot'!$D$3:$K$300)</f>
        <v/>
      </c>
      <c r="X72" s="161">
        <f>SUMPRODUCT(('Full month Pivot'!$B$3:$B$300=$B72)*('Full month Pivot'!$C$3:$C$300=$A$48)*('Full month Pivot'!$D$2:$K$2=X$2)*'Full month Pivot'!$D$3:$K$300)</f>
        <v/>
      </c>
      <c r="Y72" s="161">
        <f>SUMPRODUCT(('Full month Pivot'!$B$3:$B$300=$B72)*('Full month Pivot'!$C$3:$C$300=$A$48)*('Full month Pivot'!$D$2:$K$2=Y$2)*'Full month Pivot'!$D$3:$K$300)</f>
        <v/>
      </c>
      <c r="Z72" s="161">
        <f>SUMPRODUCT(('Full month Pivot'!$B$3:$B$300=$B72)*('Full month Pivot'!$C$3:$C$300=$A$48)*('Full month Pivot'!$D$2:$K$2=Z$2)*'Full month Pivot'!$D$3:$K$300)</f>
        <v/>
      </c>
      <c r="AA72" s="161">
        <f>SUMPRODUCT(('Full month Pivot'!$B$3:$B$300=$B72)*('Full month Pivot'!$C$3:$C$300=$A$48)*('Full month Pivot'!$D$2:$K$2=AA$2)*'Full month Pivot'!$D$3:$K$300)</f>
        <v/>
      </c>
      <c r="AB72" s="161" t="n"/>
      <c r="AC72" s="161" t="n"/>
      <c r="AD72" s="143">
        <f>AA72-Z72</f>
        <v/>
      </c>
      <c r="AE72" s="170" t="n"/>
      <c r="AF72" s="170" t="n"/>
      <c r="AG72" s="170" t="n"/>
      <c r="AH72" s="170" t="n"/>
      <c r="AI72" s="170" t="n"/>
      <c r="AJ72" s="170" t="n"/>
    </row>
    <row r="73" outlineLevel="1" ht="15.75" customHeight="1" s="239">
      <c r="A73" s="170" t="n"/>
      <c r="B73" s="170" t="inlineStr">
        <is>
          <t>Application Store</t>
        </is>
      </c>
      <c r="C73" s="170" t="n"/>
      <c r="D73" s="170" t="n"/>
      <c r="E73" s="170" t="n"/>
      <c r="F73" s="170" t="n"/>
      <c r="G73" s="161">
        <f>SUMPRODUCT(('MTD Pivot'!$B$3:$B$300=$B73)*('MTD Pivot'!$C$3:$C$300=$A$48)*('MTD Pivot'!$D$2:$K$2=G$2)*'MTD Pivot'!$D$3:$K$300)</f>
        <v/>
      </c>
      <c r="H73" s="161">
        <f>SUMPRODUCT(('MTD Pivot'!$B$3:$B$300=$B73)*('MTD Pivot'!$C$3:$C$300=$A$48)*('MTD Pivot'!$D$2:$K$2=H$2)*'MTD Pivot'!$D$3:$K$300)</f>
        <v/>
      </c>
      <c r="I73" s="161">
        <f>SUMPRODUCT(('MTD Pivot'!$B$3:$B$300=$B73)*('MTD Pivot'!$C$3:$C$300=$A$48)*('MTD Pivot'!$D$2:$K$2=I$2)*'MTD Pivot'!$D$3:$K$300)</f>
        <v/>
      </c>
      <c r="J73" s="161">
        <f>SUMPRODUCT(('MTD Pivot'!$B$3:$B$300=$B73)*('MTD Pivot'!$C$3:$C$300=$A$48)*('MTD Pivot'!$D$2:$K$2=J$2)*'MTD Pivot'!$D$3:$K$300)</f>
        <v/>
      </c>
      <c r="K73" s="161">
        <f>SUMPRODUCT(('MTD Pivot'!$B$3:$B$300=$B73)*('MTD Pivot'!$C$3:$C$300=$A$48)*('MTD Pivot'!$D$2:$K$2=K$2)*'MTD Pivot'!$D$3:$K$300)</f>
        <v/>
      </c>
      <c r="L73" s="161">
        <f>SUMPRODUCT(('MTD Pivot'!$B$3:$B$300=$B73)*('MTD Pivot'!$C$3:$C$300=$A$48)*('MTD Pivot'!$D$2:$K$2=L$2)*'MTD Pivot'!$D$3:$K$300)</f>
        <v/>
      </c>
      <c r="M73" s="161" t="n"/>
      <c r="N73" s="161" t="n"/>
      <c r="O73" s="143">
        <f>L73-K73</f>
        <v/>
      </c>
      <c r="P73" s="170" t="n"/>
      <c r="Q73" s="170" t="n"/>
      <c r="R73" s="170" t="n"/>
      <c r="S73" s="170" t="n"/>
      <c r="T73" s="170" t="n"/>
      <c r="U73" s="170" t="n"/>
      <c r="V73" s="161">
        <f>SUMPRODUCT(('Full month Pivot'!$B$3:$B$300=$B73)*('Full month Pivot'!$C$3:$C$300=$A$48)*('Full month Pivot'!$D$2:$K$2=V$2)*'Full month Pivot'!$D$3:$K$300)</f>
        <v/>
      </c>
      <c r="W73" s="161">
        <f>SUMPRODUCT(('Full month Pivot'!$B$3:$B$300=$B73)*('Full month Pivot'!$C$3:$C$300=$A$48)*('Full month Pivot'!$D$2:$K$2=W$2)*'Full month Pivot'!$D$3:$K$300)</f>
        <v/>
      </c>
      <c r="X73" s="161">
        <f>SUMPRODUCT(('Full month Pivot'!$B$3:$B$300=$B73)*('Full month Pivot'!$C$3:$C$300=$A$48)*('Full month Pivot'!$D$2:$K$2=X$2)*'Full month Pivot'!$D$3:$K$300)</f>
        <v/>
      </c>
      <c r="Y73" s="161">
        <f>SUMPRODUCT(('Full month Pivot'!$B$3:$B$300=$B73)*('Full month Pivot'!$C$3:$C$300=$A$48)*('Full month Pivot'!$D$2:$K$2=Y$2)*'Full month Pivot'!$D$3:$K$300)</f>
        <v/>
      </c>
      <c r="Z73" s="161">
        <f>SUMPRODUCT(('Full month Pivot'!$B$3:$B$300=$B73)*('Full month Pivot'!$C$3:$C$300=$A$48)*('Full month Pivot'!$D$2:$K$2=Z$2)*'Full month Pivot'!$D$3:$K$300)</f>
        <v/>
      </c>
      <c r="AA73" s="161">
        <f>SUMPRODUCT(('Full month Pivot'!$B$3:$B$300=$B73)*('Full month Pivot'!$C$3:$C$300=$A$48)*('Full month Pivot'!$D$2:$K$2=AA$2)*'Full month Pivot'!$D$3:$K$300)</f>
        <v/>
      </c>
      <c r="AB73" s="161" t="n"/>
      <c r="AC73" s="161" t="n"/>
      <c r="AD73" s="143">
        <f>AA73-Z73</f>
        <v/>
      </c>
      <c r="AE73" s="170" t="n"/>
      <c r="AF73" s="170" t="n"/>
      <c r="AG73" s="170" t="n"/>
      <c r="AH73" s="170" t="n"/>
      <c r="AI73" s="170" t="n"/>
      <c r="AJ73" s="170" t="n"/>
    </row>
    <row r="74" outlineLevel="1" ht="15.75" customHeight="1" s="239">
      <c r="A74" s="170" t="n"/>
      <c r="B74" s="170" t="inlineStr">
        <is>
          <t>Vé số</t>
        </is>
      </c>
      <c r="C74" s="170" t="n"/>
      <c r="D74" s="170" t="n"/>
      <c r="E74" s="170" t="n"/>
      <c r="F74" s="170" t="n"/>
      <c r="G74" s="161">
        <f>SUMPRODUCT(('MTD Pivot'!$B$3:$B$300=$B74)*('MTD Pivot'!$C$3:$C$300=$A$48)*('MTD Pivot'!$D$2:$K$2=G$2)*'MTD Pivot'!$D$3:$K$300)</f>
        <v/>
      </c>
      <c r="H74" s="161">
        <f>SUMPRODUCT(('MTD Pivot'!$B$3:$B$300=$B74)*('MTD Pivot'!$C$3:$C$300=$A$48)*('MTD Pivot'!$D$2:$K$2=H$2)*'MTD Pivot'!$D$3:$K$300)</f>
        <v/>
      </c>
      <c r="I74" s="161">
        <f>SUMPRODUCT(('MTD Pivot'!$B$3:$B$300=$B74)*('MTD Pivot'!$C$3:$C$300=$A$48)*('MTD Pivot'!$D$2:$K$2=I$2)*'MTD Pivot'!$D$3:$K$300)</f>
        <v/>
      </c>
      <c r="J74" s="161">
        <f>SUMPRODUCT(('MTD Pivot'!$B$3:$B$300=$B74)*('MTD Pivot'!$C$3:$C$300=$A$48)*('MTD Pivot'!$D$2:$K$2=J$2)*'MTD Pivot'!$D$3:$K$300)</f>
        <v/>
      </c>
      <c r="K74" s="161">
        <f>SUMPRODUCT(('MTD Pivot'!$B$3:$B$300=$B74)*('MTD Pivot'!$C$3:$C$300=$A$48)*('MTD Pivot'!$D$2:$K$2=K$2)*'MTD Pivot'!$D$3:$K$300)</f>
        <v/>
      </c>
      <c r="L74" s="161">
        <f>SUMPRODUCT(('MTD Pivot'!$B$3:$B$300=$B74)*('MTD Pivot'!$C$3:$C$300=$A$48)*('MTD Pivot'!$D$2:$K$2=L$2)*'MTD Pivot'!$D$3:$K$300)</f>
        <v/>
      </c>
      <c r="M74" s="161" t="n"/>
      <c r="N74" s="161" t="n"/>
      <c r="O74" s="143">
        <f>L74-K74</f>
        <v/>
      </c>
      <c r="P74" s="170" t="n"/>
      <c r="Q74" s="170" t="n"/>
      <c r="R74" s="170" t="n"/>
      <c r="S74" s="170" t="n"/>
      <c r="T74" s="170" t="n"/>
      <c r="U74" s="170" t="n"/>
      <c r="V74" s="161">
        <f>SUMPRODUCT(('Full month Pivot'!$B$3:$B$300=$B74)*('Full month Pivot'!$C$3:$C$300=$A$48)*('Full month Pivot'!$D$2:$K$2=V$2)*'Full month Pivot'!$D$3:$K$300)</f>
        <v/>
      </c>
      <c r="W74" s="161">
        <f>SUMPRODUCT(('Full month Pivot'!$B$3:$B$300=$B74)*('Full month Pivot'!$C$3:$C$300=$A$48)*('Full month Pivot'!$D$2:$K$2=W$2)*'Full month Pivot'!$D$3:$K$300)</f>
        <v/>
      </c>
      <c r="X74" s="161">
        <f>SUMPRODUCT(('Full month Pivot'!$B$3:$B$300=$B74)*('Full month Pivot'!$C$3:$C$300=$A$48)*('Full month Pivot'!$D$2:$K$2=X$2)*'Full month Pivot'!$D$3:$K$300)</f>
        <v/>
      </c>
      <c r="Y74" s="161">
        <f>SUMPRODUCT(('Full month Pivot'!$B$3:$B$300=$B74)*('Full month Pivot'!$C$3:$C$300=$A$48)*('Full month Pivot'!$D$2:$K$2=Y$2)*'Full month Pivot'!$D$3:$K$300)</f>
        <v/>
      </c>
      <c r="Z74" s="161">
        <f>SUMPRODUCT(('Full month Pivot'!$B$3:$B$300=$B74)*('Full month Pivot'!$C$3:$C$300=$A$48)*('Full month Pivot'!$D$2:$K$2=Z$2)*'Full month Pivot'!$D$3:$K$300)</f>
        <v/>
      </c>
      <c r="AA74" s="161">
        <f>SUMPRODUCT(('Full month Pivot'!$B$3:$B$300=$B74)*('Full month Pivot'!$C$3:$C$300=$A$48)*('Full month Pivot'!$D$2:$K$2=AA$2)*'Full month Pivot'!$D$3:$K$300)</f>
        <v/>
      </c>
      <c r="AB74" s="161" t="n"/>
      <c r="AC74" s="161" t="n"/>
      <c r="AD74" s="143">
        <f>AA74-Z74</f>
        <v/>
      </c>
      <c r="AE74" s="170" t="n"/>
      <c r="AF74" s="170" t="n"/>
      <c r="AG74" s="170" t="n"/>
      <c r="AH74" s="170" t="n"/>
      <c r="AI74" s="170" t="n"/>
      <c r="AJ74" s="170" t="n"/>
    </row>
    <row r="75" outlineLevel="1" ht="15.75" customHeight="1" s="239">
      <c r="A75" s="170" t="n"/>
      <c r="B75" s="170" t="inlineStr">
        <is>
          <t>Dịch vụ liên kết</t>
        </is>
      </c>
      <c r="C75" s="170" t="n"/>
      <c r="D75" s="170" t="n"/>
      <c r="E75" s="170" t="n"/>
      <c r="F75" s="170" t="n"/>
      <c r="G75" s="161">
        <f>SUMPRODUCT(('MTD Pivot'!$B$3:$B$300=$B75)*('MTD Pivot'!$C$3:$C$300=$A$48)*('MTD Pivot'!$D$2:$K$2=G$2)*'MTD Pivot'!$D$3:$K$300)</f>
        <v/>
      </c>
      <c r="H75" s="161">
        <f>SUMPRODUCT(('MTD Pivot'!$B$3:$B$300=$B75)*('MTD Pivot'!$C$3:$C$300=$A$48)*('MTD Pivot'!$D$2:$K$2=H$2)*'MTD Pivot'!$D$3:$K$300)</f>
        <v/>
      </c>
      <c r="I75" s="161">
        <f>SUMPRODUCT(('MTD Pivot'!$B$3:$B$300=$B75)*('MTD Pivot'!$C$3:$C$300=$A$48)*('MTD Pivot'!$D$2:$K$2=I$2)*'MTD Pivot'!$D$3:$K$300)</f>
        <v/>
      </c>
      <c r="J75" s="161">
        <f>SUMPRODUCT(('MTD Pivot'!$B$3:$B$300=$B75)*('MTD Pivot'!$C$3:$C$300=$A$48)*('MTD Pivot'!$D$2:$K$2=J$2)*'MTD Pivot'!$D$3:$K$300)</f>
        <v/>
      </c>
      <c r="K75" s="161">
        <f>SUMPRODUCT(('MTD Pivot'!$B$3:$B$300=$B75)*('MTD Pivot'!$C$3:$C$300=$A$48)*('MTD Pivot'!$D$2:$K$2=K$2)*'MTD Pivot'!$D$3:$K$300)</f>
        <v/>
      </c>
      <c r="L75" s="161">
        <f>SUMPRODUCT(('MTD Pivot'!$B$3:$B$300=$B75)*('MTD Pivot'!$C$3:$C$300=$A$48)*('MTD Pivot'!$D$2:$K$2=L$2)*'MTD Pivot'!$D$3:$K$300)</f>
        <v/>
      </c>
      <c r="M75" s="161" t="n"/>
      <c r="N75" s="161" t="n"/>
      <c r="O75" s="143">
        <f>L75-K75</f>
        <v/>
      </c>
      <c r="P75" s="170" t="n"/>
      <c r="Q75" s="170" t="n"/>
      <c r="R75" s="170" t="n"/>
      <c r="S75" s="170" t="n"/>
      <c r="T75" s="170" t="n"/>
      <c r="U75" s="170" t="n"/>
      <c r="V75" s="161">
        <f>SUMPRODUCT(('Full month Pivot'!$B$3:$B$300=$B75)*('Full month Pivot'!$C$3:$C$300=$A$48)*('Full month Pivot'!$D$2:$K$2=V$2)*'Full month Pivot'!$D$3:$K$300)</f>
        <v/>
      </c>
      <c r="W75" s="161">
        <f>SUMPRODUCT(('Full month Pivot'!$B$3:$B$300=$B75)*('Full month Pivot'!$C$3:$C$300=$A$48)*('Full month Pivot'!$D$2:$K$2=W$2)*'Full month Pivot'!$D$3:$K$300)</f>
        <v/>
      </c>
      <c r="X75" s="161">
        <f>SUMPRODUCT(('Full month Pivot'!$B$3:$B$300=$B75)*('Full month Pivot'!$C$3:$C$300=$A$48)*('Full month Pivot'!$D$2:$K$2=X$2)*'Full month Pivot'!$D$3:$K$300)</f>
        <v/>
      </c>
      <c r="Y75" s="161">
        <f>SUMPRODUCT(('Full month Pivot'!$B$3:$B$300=$B75)*('Full month Pivot'!$C$3:$C$300=$A$48)*('Full month Pivot'!$D$2:$K$2=Y$2)*'Full month Pivot'!$D$3:$K$300)</f>
        <v/>
      </c>
      <c r="Z75" s="161">
        <f>SUMPRODUCT(('Full month Pivot'!$B$3:$B$300=$B75)*('Full month Pivot'!$C$3:$C$300=$A$48)*('Full month Pivot'!$D$2:$K$2=Z$2)*'Full month Pivot'!$D$3:$K$300)</f>
        <v/>
      </c>
      <c r="AA75" s="161">
        <f>SUMPRODUCT(('Full month Pivot'!$B$3:$B$300=$B75)*('Full month Pivot'!$C$3:$C$300=$A$48)*('Full month Pivot'!$D$2:$K$2=AA$2)*'Full month Pivot'!$D$3:$K$300)</f>
        <v/>
      </c>
      <c r="AB75" s="161" t="n"/>
      <c r="AC75" s="161" t="n"/>
      <c r="AD75" s="143">
        <f>AA75-Z75</f>
        <v/>
      </c>
      <c r="AE75" s="170" t="n"/>
      <c r="AF75" s="170" t="n"/>
      <c r="AG75" s="170" t="n"/>
      <c r="AH75" s="170" t="n"/>
      <c r="AI75" s="170" t="n"/>
      <c r="AJ75" s="170" t="n"/>
    </row>
    <row r="76" outlineLevel="1" ht="15.75" customHeight="1" s="239">
      <c r="A76" s="170" t="n"/>
      <c r="B76" s="170" t="inlineStr">
        <is>
          <t>Billpay</t>
        </is>
      </c>
      <c r="C76" s="170" t="n"/>
      <c r="D76" s="170" t="n"/>
      <c r="E76" s="170" t="n"/>
      <c r="F76" s="170" t="n"/>
      <c r="G76" s="161">
        <f>SUMPRODUCT(('MTD Pivot'!$B$3:$B$300=$B76)*('MTD Pivot'!$C$3:$C$300=$A$48)*('MTD Pivot'!$D$2:$K$2=G$2)*'MTD Pivot'!$D$3:$K$300)</f>
        <v/>
      </c>
      <c r="H76" s="161">
        <f>SUMPRODUCT(('MTD Pivot'!$B$3:$B$300=$B76)*('MTD Pivot'!$C$3:$C$300=$A$48)*('MTD Pivot'!$D$2:$K$2=H$2)*'MTD Pivot'!$D$3:$K$300)</f>
        <v/>
      </c>
      <c r="I76" s="161">
        <f>SUMPRODUCT(('MTD Pivot'!$B$3:$B$300=$B76)*('MTD Pivot'!$C$3:$C$300=$A$48)*('MTD Pivot'!$D$2:$K$2=I$2)*'MTD Pivot'!$D$3:$K$300)</f>
        <v/>
      </c>
      <c r="J76" s="161">
        <f>SUMPRODUCT(('MTD Pivot'!$B$3:$B$300=$B76)*('MTD Pivot'!$C$3:$C$300=$A$48)*('MTD Pivot'!$D$2:$K$2=J$2)*'MTD Pivot'!$D$3:$K$300)</f>
        <v/>
      </c>
      <c r="K76" s="161">
        <f>SUMPRODUCT(('MTD Pivot'!$B$3:$B$300=$B76)*('MTD Pivot'!$C$3:$C$300=$A$48)*('MTD Pivot'!$D$2:$K$2=K$2)*'MTD Pivot'!$D$3:$K$300)</f>
        <v/>
      </c>
      <c r="L76" s="161">
        <f>SUMPRODUCT(('MTD Pivot'!$B$3:$B$300=$B76)*('MTD Pivot'!$C$3:$C$300=$A$48)*('MTD Pivot'!$D$2:$K$2=L$2)*'MTD Pivot'!$D$3:$K$300)</f>
        <v/>
      </c>
      <c r="M76" s="161" t="n"/>
      <c r="N76" s="161" t="n"/>
      <c r="O76" s="143">
        <f>L76-K76</f>
        <v/>
      </c>
      <c r="P76" s="170" t="n"/>
      <c r="Q76" s="170" t="n"/>
      <c r="R76" s="170" t="n"/>
      <c r="S76" s="170" t="n"/>
      <c r="T76" s="170" t="n"/>
      <c r="U76" s="170" t="n"/>
      <c r="V76" s="161">
        <f>SUMPRODUCT(('Full month Pivot'!$B$3:$B$300=$B76)*('Full month Pivot'!$C$3:$C$300=$A$48)*('Full month Pivot'!$D$2:$K$2=V$2)*'Full month Pivot'!$D$3:$K$300)</f>
        <v/>
      </c>
      <c r="W76" s="161">
        <f>SUMPRODUCT(('Full month Pivot'!$B$3:$B$300=$B76)*('Full month Pivot'!$C$3:$C$300=$A$48)*('Full month Pivot'!$D$2:$K$2=W$2)*'Full month Pivot'!$D$3:$K$300)</f>
        <v/>
      </c>
      <c r="X76" s="161">
        <f>SUMPRODUCT(('Full month Pivot'!$B$3:$B$300=$B76)*('Full month Pivot'!$C$3:$C$300=$A$48)*('Full month Pivot'!$D$2:$K$2=X$2)*'Full month Pivot'!$D$3:$K$300)</f>
        <v/>
      </c>
      <c r="Y76" s="161">
        <f>SUMPRODUCT(('Full month Pivot'!$B$3:$B$300=$B76)*('Full month Pivot'!$C$3:$C$300=$A$48)*('Full month Pivot'!$D$2:$K$2=Y$2)*'Full month Pivot'!$D$3:$K$300)</f>
        <v/>
      </c>
      <c r="Z76" s="161">
        <f>SUMPRODUCT(('Full month Pivot'!$B$3:$B$300=$B76)*('Full month Pivot'!$C$3:$C$300=$A$48)*('Full month Pivot'!$D$2:$K$2=Z$2)*'Full month Pivot'!$D$3:$K$300)</f>
        <v/>
      </c>
      <c r="AA76" s="161">
        <f>SUMPRODUCT(('Full month Pivot'!$B$3:$B$300=$B76)*('Full month Pivot'!$C$3:$C$300=$A$48)*('Full month Pivot'!$D$2:$K$2=AA$2)*'Full month Pivot'!$D$3:$K$300)</f>
        <v/>
      </c>
      <c r="AB76" s="161" t="n"/>
      <c r="AC76" s="161" t="n"/>
      <c r="AD76" s="143">
        <f>AA76-Z76</f>
        <v/>
      </c>
      <c r="AE76" s="170" t="n"/>
      <c r="AF76" s="170" t="n"/>
      <c r="AG76" s="170" t="n"/>
      <c r="AH76" s="170" t="n"/>
      <c r="AI76" s="170" t="n"/>
      <c r="AJ76" s="170" t="n"/>
    </row>
    <row r="77" outlineLevel="1" ht="15.75" customHeight="1" s="239">
      <c r="A77" s="170" t="n"/>
      <c r="B77" s="170" t="inlineStr">
        <is>
          <t>P2P</t>
        </is>
      </c>
      <c r="C77" s="170" t="n"/>
      <c r="D77" s="170" t="n"/>
      <c r="E77" s="170" t="n"/>
      <c r="F77" s="170" t="n"/>
      <c r="G77" s="161">
        <f>SUMPRODUCT(('MTD Pivot'!$B$3:$B$300=$B77)*('MTD Pivot'!$C$3:$C$300=$A$48)*('MTD Pivot'!$D$2:$K$2=G$2)*'MTD Pivot'!$D$3:$K$300)</f>
        <v/>
      </c>
      <c r="H77" s="161">
        <f>SUMPRODUCT(('MTD Pivot'!$B$3:$B$300=$B77)*('MTD Pivot'!$C$3:$C$300=$A$48)*('MTD Pivot'!$D$2:$K$2=H$2)*'MTD Pivot'!$D$3:$K$300)</f>
        <v/>
      </c>
      <c r="I77" s="161">
        <f>SUMPRODUCT(('MTD Pivot'!$B$3:$B$300=$B77)*('MTD Pivot'!$C$3:$C$300=$A$48)*('MTD Pivot'!$D$2:$K$2=I$2)*'MTD Pivot'!$D$3:$K$300)</f>
        <v/>
      </c>
      <c r="J77" s="161">
        <f>SUMPRODUCT(('MTD Pivot'!$B$3:$B$300=$B77)*('MTD Pivot'!$C$3:$C$300=$A$48)*('MTD Pivot'!$D$2:$K$2=J$2)*'MTD Pivot'!$D$3:$K$300)</f>
        <v/>
      </c>
      <c r="K77" s="161">
        <f>SUMPRODUCT(('MTD Pivot'!$B$3:$B$300=$B77)*('MTD Pivot'!$C$3:$C$300=$A$48)*('MTD Pivot'!$D$2:$K$2=K$2)*'MTD Pivot'!$D$3:$K$300)</f>
        <v/>
      </c>
      <c r="L77" s="161">
        <f>SUMPRODUCT(('MTD Pivot'!$B$3:$B$300=$B77)*('MTD Pivot'!$C$3:$C$300=$A$48)*('MTD Pivot'!$D$2:$K$2=L$2)*'MTD Pivot'!$D$3:$K$300)</f>
        <v/>
      </c>
      <c r="M77" s="161" t="n"/>
      <c r="N77" s="161" t="n"/>
      <c r="O77" s="143">
        <f>L77-K77</f>
        <v/>
      </c>
      <c r="P77" s="170" t="n"/>
      <c r="Q77" s="170" t="n"/>
      <c r="R77" s="170" t="n"/>
      <c r="S77" s="170" t="n"/>
      <c r="T77" s="170" t="n"/>
      <c r="U77" s="170" t="n"/>
      <c r="V77" s="161">
        <f>SUMPRODUCT(('Full month Pivot'!$B$3:$B$300=$B77)*('Full month Pivot'!$C$3:$C$300=$A$48)*('Full month Pivot'!$D$2:$K$2=V$2)*'Full month Pivot'!$D$3:$K$300)</f>
        <v/>
      </c>
      <c r="W77" s="161">
        <f>SUMPRODUCT(('Full month Pivot'!$B$3:$B$300=$B77)*('Full month Pivot'!$C$3:$C$300=$A$48)*('Full month Pivot'!$D$2:$K$2=W$2)*'Full month Pivot'!$D$3:$K$300)</f>
        <v/>
      </c>
      <c r="X77" s="161">
        <f>SUMPRODUCT(('Full month Pivot'!$B$3:$B$300=$B77)*('Full month Pivot'!$C$3:$C$300=$A$48)*('Full month Pivot'!$D$2:$K$2=X$2)*'Full month Pivot'!$D$3:$K$300)</f>
        <v/>
      </c>
      <c r="Y77" s="161">
        <f>SUMPRODUCT(('Full month Pivot'!$B$3:$B$300=$B77)*('Full month Pivot'!$C$3:$C$300=$A$48)*('Full month Pivot'!$D$2:$K$2=Y$2)*'Full month Pivot'!$D$3:$K$300)</f>
        <v/>
      </c>
      <c r="Z77" s="161">
        <f>SUMPRODUCT(('Full month Pivot'!$B$3:$B$300=$B77)*('Full month Pivot'!$C$3:$C$300=$A$48)*('Full month Pivot'!$D$2:$K$2=Z$2)*'Full month Pivot'!$D$3:$K$300)</f>
        <v/>
      </c>
      <c r="AA77" s="161">
        <f>SUMPRODUCT(('Full month Pivot'!$B$3:$B$300=$B77)*('Full month Pivot'!$C$3:$C$300=$A$48)*('Full month Pivot'!$D$2:$K$2=AA$2)*'Full month Pivot'!$D$3:$K$300)</f>
        <v/>
      </c>
      <c r="AB77" s="161" t="n"/>
      <c r="AC77" s="161" t="n"/>
      <c r="AD77" s="143">
        <f>AA77-Z77</f>
        <v/>
      </c>
      <c r="AE77" s="170" t="n"/>
      <c r="AF77" s="170" t="n"/>
      <c r="AG77" s="170" t="n"/>
      <c r="AH77" s="170" t="n"/>
      <c r="AI77" s="170" t="n"/>
      <c r="AJ77" s="170" t="n"/>
    </row>
    <row r="78" outlineLevel="1" ht="15.75" customHeight="1" s="239">
      <c r="A78" s="170" t="n"/>
      <c r="B78" s="170" t="inlineStr">
        <is>
          <t>Điện</t>
        </is>
      </c>
      <c r="C78" s="170" t="n"/>
      <c r="D78" s="170" t="n"/>
      <c r="E78" s="170" t="n"/>
      <c r="F78" s="170" t="n"/>
      <c r="G78" s="161">
        <f>SUMPRODUCT(('MTD Pivot'!$B$3:$B$300=$B78)*('MTD Pivot'!$C$3:$C$300=$A$48)*('MTD Pivot'!$D$2:$K$2=G$2)*'MTD Pivot'!$D$3:$K$300)</f>
        <v/>
      </c>
      <c r="H78" s="161">
        <f>SUMPRODUCT(('MTD Pivot'!$B$3:$B$300=$B78)*('MTD Pivot'!$C$3:$C$300=$A$48)*('MTD Pivot'!$D$2:$K$2=H$2)*'MTD Pivot'!$D$3:$K$300)</f>
        <v/>
      </c>
      <c r="I78" s="161">
        <f>SUMPRODUCT(('MTD Pivot'!$B$3:$B$300=$B78)*('MTD Pivot'!$C$3:$C$300=$A$48)*('MTD Pivot'!$D$2:$K$2=I$2)*'MTD Pivot'!$D$3:$K$300)</f>
        <v/>
      </c>
      <c r="J78" s="161">
        <f>SUMPRODUCT(('MTD Pivot'!$B$3:$B$300=$B78)*('MTD Pivot'!$C$3:$C$300=$A$48)*('MTD Pivot'!$D$2:$K$2=J$2)*'MTD Pivot'!$D$3:$K$300)</f>
        <v/>
      </c>
      <c r="K78" s="161">
        <f>SUMPRODUCT(('MTD Pivot'!$B$3:$B$300=$B78)*('MTD Pivot'!$C$3:$C$300=$A$48)*('MTD Pivot'!$D$2:$K$2=K$2)*'MTD Pivot'!$D$3:$K$300)</f>
        <v/>
      </c>
      <c r="L78" s="161">
        <f>SUMPRODUCT(('MTD Pivot'!$B$3:$B$300=$B78)*('MTD Pivot'!$C$3:$C$300=$A$48)*('MTD Pivot'!$D$2:$K$2=L$2)*'MTD Pivot'!$D$3:$K$300)</f>
        <v/>
      </c>
      <c r="M78" s="161" t="n"/>
      <c r="N78" s="161" t="n"/>
      <c r="O78" s="143">
        <f>L78-K78</f>
        <v/>
      </c>
      <c r="P78" s="170" t="n"/>
      <c r="Q78" s="170" t="n"/>
      <c r="R78" s="170" t="n"/>
      <c r="S78" s="170" t="n"/>
      <c r="T78" s="170" t="n"/>
      <c r="U78" s="170" t="n"/>
      <c r="V78" s="161">
        <f>SUMPRODUCT(('Full month Pivot'!$B$3:$B$300=$B78)*('Full month Pivot'!$C$3:$C$300=$A$48)*('Full month Pivot'!$D$2:$K$2=V$2)*'Full month Pivot'!$D$3:$K$300)</f>
        <v/>
      </c>
      <c r="W78" s="161">
        <f>SUMPRODUCT(('Full month Pivot'!$B$3:$B$300=$B78)*('Full month Pivot'!$C$3:$C$300=$A$48)*('Full month Pivot'!$D$2:$K$2=W$2)*'Full month Pivot'!$D$3:$K$300)</f>
        <v/>
      </c>
      <c r="X78" s="161">
        <f>SUMPRODUCT(('Full month Pivot'!$B$3:$B$300=$B78)*('Full month Pivot'!$C$3:$C$300=$A$48)*('Full month Pivot'!$D$2:$K$2=X$2)*'Full month Pivot'!$D$3:$K$300)</f>
        <v/>
      </c>
      <c r="Y78" s="161">
        <f>SUMPRODUCT(('Full month Pivot'!$B$3:$B$300=$B78)*('Full month Pivot'!$C$3:$C$300=$A$48)*('Full month Pivot'!$D$2:$K$2=Y$2)*'Full month Pivot'!$D$3:$K$300)</f>
        <v/>
      </c>
      <c r="Z78" s="161">
        <f>SUMPRODUCT(('Full month Pivot'!$B$3:$B$300=$B78)*('Full month Pivot'!$C$3:$C$300=$A$48)*('Full month Pivot'!$D$2:$K$2=Z$2)*'Full month Pivot'!$D$3:$K$300)</f>
        <v/>
      </c>
      <c r="AA78" s="161">
        <f>SUMPRODUCT(('Full month Pivot'!$B$3:$B$300=$B78)*('Full month Pivot'!$C$3:$C$300=$A$48)*('Full month Pivot'!$D$2:$K$2=AA$2)*'Full month Pivot'!$D$3:$K$300)</f>
        <v/>
      </c>
      <c r="AB78" s="161" t="n"/>
      <c r="AC78" s="161" t="n"/>
      <c r="AD78" s="143">
        <f>AA78-Z78</f>
        <v/>
      </c>
      <c r="AE78" s="170" t="n"/>
      <c r="AF78" s="170" t="n"/>
      <c r="AG78" s="170" t="n"/>
      <c r="AH78" s="170" t="n"/>
      <c r="AI78" s="170" t="n"/>
      <c r="AJ78" s="170" t="n"/>
    </row>
    <row r="79" outlineLevel="1" ht="15.75" customHeight="1" s="239">
      <c r="A79" s="170" t="n"/>
      <c r="B79" s="170" t="inlineStr">
        <is>
          <t>Cross Border</t>
        </is>
      </c>
      <c r="C79" s="170" t="n"/>
      <c r="D79" s="170" t="n"/>
      <c r="E79" s="170" t="n"/>
      <c r="F79" s="170" t="n"/>
      <c r="G79" s="161">
        <f>SUMPRODUCT(('MTD Pivot'!$B$3:$B$300=$B79)*('MTD Pivot'!$C$3:$C$300=$A$48)*('MTD Pivot'!$D$2:$K$2=G$2)*'MTD Pivot'!$D$3:$K$300)</f>
        <v/>
      </c>
      <c r="H79" s="161">
        <f>SUMPRODUCT(('MTD Pivot'!$B$3:$B$300=$B79)*('MTD Pivot'!$C$3:$C$300=$A$48)*('MTD Pivot'!$D$2:$K$2=H$2)*'MTD Pivot'!$D$3:$K$300)</f>
        <v/>
      </c>
      <c r="I79" s="161">
        <f>SUMPRODUCT(('MTD Pivot'!$B$3:$B$300=$B79)*('MTD Pivot'!$C$3:$C$300=$A$48)*('MTD Pivot'!$D$2:$K$2=I$2)*'MTD Pivot'!$D$3:$K$300)</f>
        <v/>
      </c>
      <c r="J79" s="161">
        <f>SUMPRODUCT(('MTD Pivot'!$B$3:$B$300=$B79)*('MTD Pivot'!$C$3:$C$300=$A$48)*('MTD Pivot'!$D$2:$K$2=J$2)*'MTD Pivot'!$D$3:$K$300)</f>
        <v/>
      </c>
      <c r="K79" s="161">
        <f>SUMPRODUCT(('MTD Pivot'!$B$3:$B$300=$B79)*('MTD Pivot'!$C$3:$C$300=$A$48)*('MTD Pivot'!$D$2:$K$2=K$2)*'MTD Pivot'!$D$3:$K$300)</f>
        <v/>
      </c>
      <c r="L79" s="161">
        <f>SUMPRODUCT(('MTD Pivot'!$B$3:$B$300=$B79)*('MTD Pivot'!$C$3:$C$300=$A$48)*('MTD Pivot'!$D$2:$K$2=L$2)*'MTD Pivot'!$D$3:$K$300)</f>
        <v/>
      </c>
      <c r="M79" s="161" t="n"/>
      <c r="N79" s="161" t="n"/>
      <c r="O79" s="143">
        <f>L79-K79</f>
        <v/>
      </c>
      <c r="P79" s="170" t="n"/>
      <c r="Q79" s="170" t="n"/>
      <c r="R79" s="170" t="n"/>
      <c r="S79" s="170" t="n"/>
      <c r="T79" s="170" t="n"/>
      <c r="U79" s="170" t="n"/>
      <c r="V79" s="161">
        <f>SUMPRODUCT(('Full month Pivot'!$B$3:$B$300=$B79)*('Full month Pivot'!$C$3:$C$300=$A$48)*('Full month Pivot'!$D$2:$K$2=V$2)*'Full month Pivot'!$D$3:$K$300)</f>
        <v/>
      </c>
      <c r="W79" s="161">
        <f>SUMPRODUCT(('Full month Pivot'!$B$3:$B$300=$B79)*('Full month Pivot'!$C$3:$C$300=$A$48)*('Full month Pivot'!$D$2:$K$2=W$2)*'Full month Pivot'!$D$3:$K$300)</f>
        <v/>
      </c>
      <c r="X79" s="161">
        <f>SUMPRODUCT(('Full month Pivot'!$B$3:$B$300=$B79)*('Full month Pivot'!$C$3:$C$300=$A$48)*('Full month Pivot'!$D$2:$K$2=X$2)*'Full month Pivot'!$D$3:$K$300)</f>
        <v/>
      </c>
      <c r="Y79" s="161">
        <f>SUMPRODUCT(('Full month Pivot'!$B$3:$B$300=$B79)*('Full month Pivot'!$C$3:$C$300=$A$48)*('Full month Pivot'!$D$2:$K$2=Y$2)*'Full month Pivot'!$D$3:$K$300)</f>
        <v/>
      </c>
      <c r="Z79" s="161">
        <f>SUMPRODUCT(('Full month Pivot'!$B$3:$B$300=$B79)*('Full month Pivot'!$C$3:$C$300=$A$48)*('Full month Pivot'!$D$2:$K$2=Z$2)*'Full month Pivot'!$D$3:$K$300)</f>
        <v/>
      </c>
      <c r="AA79" s="161">
        <f>SUMPRODUCT(('Full month Pivot'!$B$3:$B$300=$B79)*('Full month Pivot'!$C$3:$C$300=$A$48)*('Full month Pivot'!$D$2:$K$2=AA$2)*'Full month Pivot'!$D$3:$K$300)</f>
        <v/>
      </c>
      <c r="AB79" s="161" t="n"/>
      <c r="AC79" s="161" t="n"/>
      <c r="AD79" s="143">
        <f>AA79-Z79</f>
        <v/>
      </c>
      <c r="AE79" s="170" t="n"/>
      <c r="AF79" s="170" t="n"/>
      <c r="AG79" s="170" t="n"/>
      <c r="AH79" s="170" t="n"/>
      <c r="AI79" s="170" t="n"/>
      <c r="AJ79" s="170" t="n"/>
    </row>
    <row r="80" outlineLevel="1" ht="15.75" customHeight="1" s="239">
      <c r="A80" s="170" t="n"/>
      <c r="B80" s="170" t="inlineStr">
        <is>
          <t>Hoàn Tiền Mua Sắm</t>
        </is>
      </c>
      <c r="C80" s="170" t="n"/>
      <c r="D80" s="170" t="n"/>
      <c r="E80" s="170" t="n"/>
      <c r="F80" s="170" t="n"/>
      <c r="G80" s="161">
        <f>SUMPRODUCT(('MTD Pivot'!$B$3:$B$300=$B80)*('MTD Pivot'!$C$3:$C$300=$A$48)*('MTD Pivot'!$D$2:$K$2=G$2)*'MTD Pivot'!$D$3:$K$300)</f>
        <v/>
      </c>
      <c r="H80" s="161">
        <f>SUMPRODUCT(('MTD Pivot'!$B$3:$B$300=$B80)*('MTD Pivot'!$C$3:$C$300=$A$48)*('MTD Pivot'!$D$2:$K$2=H$2)*'MTD Pivot'!$D$3:$K$300)</f>
        <v/>
      </c>
      <c r="I80" s="161">
        <f>SUMPRODUCT(('MTD Pivot'!$B$3:$B$300=$B80)*('MTD Pivot'!$C$3:$C$300=$A$48)*('MTD Pivot'!$D$2:$K$2=I$2)*'MTD Pivot'!$D$3:$K$300)</f>
        <v/>
      </c>
      <c r="J80" s="161">
        <f>SUMPRODUCT(('MTD Pivot'!$B$3:$B$300=$B80)*('MTD Pivot'!$C$3:$C$300=$A$48)*('MTD Pivot'!$D$2:$K$2=J$2)*'MTD Pivot'!$D$3:$K$300)</f>
        <v/>
      </c>
      <c r="K80" s="161">
        <f>SUMPRODUCT(('MTD Pivot'!$B$3:$B$300=$B80)*('MTD Pivot'!$C$3:$C$300=$A$48)*('MTD Pivot'!$D$2:$K$2=K$2)*'MTD Pivot'!$D$3:$K$300)</f>
        <v/>
      </c>
      <c r="L80" s="161">
        <f>SUMPRODUCT(('MTD Pivot'!$B$3:$B$300=$B80)*('MTD Pivot'!$C$3:$C$300=$A$48)*('MTD Pivot'!$D$2:$K$2=L$2)*'MTD Pivot'!$D$3:$K$300)</f>
        <v/>
      </c>
      <c r="M80" s="161" t="n"/>
      <c r="N80" s="161" t="n"/>
      <c r="O80" s="143">
        <f>L80-K80</f>
        <v/>
      </c>
      <c r="P80" s="170" t="n"/>
      <c r="Q80" s="170" t="n"/>
      <c r="R80" s="170" t="n"/>
      <c r="S80" s="170" t="n"/>
      <c r="T80" s="170" t="n"/>
      <c r="U80" s="170" t="n"/>
      <c r="V80" s="161">
        <f>SUMPRODUCT(('Full month Pivot'!$B$3:$B$300=$B80)*('Full month Pivot'!$C$3:$C$300=$A$48)*('Full month Pivot'!$D$2:$K$2=V$2)*'Full month Pivot'!$D$3:$K$300)</f>
        <v/>
      </c>
      <c r="W80" s="161">
        <f>SUMPRODUCT(('Full month Pivot'!$B$3:$B$300=$B80)*('Full month Pivot'!$C$3:$C$300=$A$48)*('Full month Pivot'!$D$2:$K$2=W$2)*'Full month Pivot'!$D$3:$K$300)</f>
        <v/>
      </c>
      <c r="X80" s="161">
        <f>SUMPRODUCT(('Full month Pivot'!$B$3:$B$300=$B80)*('Full month Pivot'!$C$3:$C$300=$A$48)*('Full month Pivot'!$D$2:$K$2=X$2)*'Full month Pivot'!$D$3:$K$300)</f>
        <v/>
      </c>
      <c r="Y80" s="161">
        <f>SUMPRODUCT(('Full month Pivot'!$B$3:$B$300=$B80)*('Full month Pivot'!$C$3:$C$300=$A$48)*('Full month Pivot'!$D$2:$K$2=Y$2)*'Full month Pivot'!$D$3:$K$300)</f>
        <v/>
      </c>
      <c r="Z80" s="161">
        <f>SUMPRODUCT(('Full month Pivot'!$B$3:$B$300=$B80)*('Full month Pivot'!$C$3:$C$300=$A$48)*('Full month Pivot'!$D$2:$K$2=Z$2)*'Full month Pivot'!$D$3:$K$300)</f>
        <v/>
      </c>
      <c r="AA80" s="161">
        <f>SUMPRODUCT(('Full month Pivot'!$B$3:$B$300=$B80)*('Full month Pivot'!$C$3:$C$300=$A$48)*('Full month Pivot'!$D$2:$K$2=AA$2)*'Full month Pivot'!$D$3:$K$300)</f>
        <v/>
      </c>
      <c r="AB80" s="161" t="n"/>
      <c r="AC80" s="161" t="n"/>
      <c r="AD80" s="143">
        <f>AA80-Z80</f>
        <v/>
      </c>
      <c r="AE80" s="170" t="n"/>
      <c r="AF80" s="170" t="n"/>
      <c r="AG80" s="170" t="n"/>
      <c r="AH80" s="170" t="n"/>
      <c r="AI80" s="170" t="n"/>
      <c r="AJ80" s="170" t="n"/>
    </row>
    <row r="81" outlineLevel="1" ht="15.75" customHeight="1" s="239">
      <c r="A81" s="170" t="n"/>
      <c r="B81" s="170" t="inlineStr">
        <is>
          <t>Mở tài khoản ngân hàng</t>
        </is>
      </c>
      <c r="C81" s="170" t="n"/>
      <c r="D81" s="170" t="n"/>
      <c r="E81" s="170" t="n"/>
      <c r="F81" s="170" t="n"/>
      <c r="G81" s="161">
        <f>SUMPRODUCT(('MTD Pivot'!$B$3:$B$300=$B81)*('MTD Pivot'!$C$3:$C$300=$A$48)*('MTD Pivot'!$D$2:$K$2=G$2)*'MTD Pivot'!$D$3:$K$300)</f>
        <v/>
      </c>
      <c r="H81" s="161">
        <f>SUMPRODUCT(('MTD Pivot'!$B$3:$B$300=$B81)*('MTD Pivot'!$C$3:$C$300=$A$48)*('MTD Pivot'!$D$2:$K$2=H$2)*'MTD Pivot'!$D$3:$K$300)</f>
        <v/>
      </c>
      <c r="I81" s="161">
        <f>SUMPRODUCT(('MTD Pivot'!$B$3:$B$300=$B81)*('MTD Pivot'!$C$3:$C$300=$A$48)*('MTD Pivot'!$D$2:$K$2=I$2)*'MTD Pivot'!$D$3:$K$300)</f>
        <v/>
      </c>
      <c r="J81" s="161">
        <f>SUMPRODUCT(('MTD Pivot'!$B$3:$B$300=$B81)*('MTD Pivot'!$C$3:$C$300=$A$48)*('MTD Pivot'!$D$2:$K$2=J$2)*'MTD Pivot'!$D$3:$K$300)</f>
        <v/>
      </c>
      <c r="K81" s="161">
        <f>SUMPRODUCT(('MTD Pivot'!$B$3:$B$300=$B81)*('MTD Pivot'!$C$3:$C$300=$A$48)*('MTD Pivot'!$D$2:$K$2=K$2)*'MTD Pivot'!$D$3:$K$300)</f>
        <v/>
      </c>
      <c r="L81" s="161">
        <f>SUMPRODUCT(('MTD Pivot'!$B$3:$B$300=$B81)*('MTD Pivot'!$C$3:$C$300=$A$48)*('MTD Pivot'!$D$2:$K$2=L$2)*'MTD Pivot'!$D$3:$K$300)</f>
        <v/>
      </c>
      <c r="M81" s="161" t="n"/>
      <c r="N81" s="161" t="n"/>
      <c r="O81" s="143">
        <f>L81-K81</f>
        <v/>
      </c>
      <c r="P81" s="170" t="n"/>
      <c r="Q81" s="170" t="n"/>
      <c r="R81" s="170" t="n"/>
      <c r="S81" s="170" t="n"/>
      <c r="T81" s="170" t="n"/>
      <c r="U81" s="170" t="n"/>
      <c r="V81" s="161">
        <f>SUMPRODUCT(('Full month Pivot'!$B$3:$B$300=$B81)*('Full month Pivot'!$C$3:$C$300=$A$48)*('Full month Pivot'!$D$2:$K$2=V$2)*'Full month Pivot'!$D$3:$K$300)</f>
        <v/>
      </c>
      <c r="W81" s="161">
        <f>SUMPRODUCT(('Full month Pivot'!$B$3:$B$300=$B81)*('Full month Pivot'!$C$3:$C$300=$A$48)*('Full month Pivot'!$D$2:$K$2=W$2)*'Full month Pivot'!$D$3:$K$300)</f>
        <v/>
      </c>
      <c r="X81" s="161">
        <f>SUMPRODUCT(('Full month Pivot'!$B$3:$B$300=$B81)*('Full month Pivot'!$C$3:$C$300=$A$48)*('Full month Pivot'!$D$2:$K$2=X$2)*'Full month Pivot'!$D$3:$K$300)</f>
        <v/>
      </c>
      <c r="Y81" s="161">
        <f>SUMPRODUCT(('Full month Pivot'!$B$3:$B$300=$B81)*('Full month Pivot'!$C$3:$C$300=$A$48)*('Full month Pivot'!$D$2:$K$2=Y$2)*'Full month Pivot'!$D$3:$K$300)</f>
        <v/>
      </c>
      <c r="Z81" s="161">
        <f>SUMPRODUCT(('Full month Pivot'!$B$3:$B$300=$B81)*('Full month Pivot'!$C$3:$C$300=$A$48)*('Full month Pivot'!$D$2:$K$2=Z$2)*'Full month Pivot'!$D$3:$K$300)</f>
        <v/>
      </c>
      <c r="AA81" s="161">
        <f>SUMPRODUCT(('Full month Pivot'!$B$3:$B$300=$B81)*('Full month Pivot'!$C$3:$C$300=$A$48)*('Full month Pivot'!$D$2:$K$2=AA$2)*'Full month Pivot'!$D$3:$K$300)</f>
        <v/>
      </c>
      <c r="AB81" s="161" t="n"/>
      <c r="AC81" s="161" t="n"/>
      <c r="AD81" s="143">
        <f>AA81-Z81</f>
        <v/>
      </c>
      <c r="AE81" s="170" t="n"/>
      <c r="AF81" s="170" t="n"/>
      <c r="AG81" s="170" t="n"/>
      <c r="AH81" s="170" t="n"/>
      <c r="AI81" s="170" t="n"/>
      <c r="AJ81" s="170" t="n"/>
    </row>
    <row r="82" outlineLevel="1" ht="15.75" customHeight="1" s="239">
      <c r="A82" s="170" t="n"/>
      <c r="B82" s="170" t="inlineStr">
        <is>
          <t>Student Hub</t>
        </is>
      </c>
      <c r="C82" s="170" t="n"/>
      <c r="D82" s="170" t="n"/>
      <c r="E82" s="170" t="n"/>
      <c r="F82" s="170" t="n"/>
      <c r="G82" s="161">
        <f>SUMPRODUCT(('MTD Pivot'!$B$3:$B$300=$B82)*('MTD Pivot'!$C$3:$C$300=$A$48)*('MTD Pivot'!$D$2:$K$2=G$2)*'MTD Pivot'!$D$3:$K$300)</f>
        <v/>
      </c>
      <c r="H82" s="161">
        <f>SUMPRODUCT(('MTD Pivot'!$B$3:$B$300=$B82)*('MTD Pivot'!$C$3:$C$300=$A$48)*('MTD Pivot'!$D$2:$K$2=H$2)*'MTD Pivot'!$D$3:$K$300)</f>
        <v/>
      </c>
      <c r="I82" s="161">
        <f>SUMPRODUCT(('MTD Pivot'!$B$3:$B$300=$B82)*('MTD Pivot'!$C$3:$C$300=$A$48)*('MTD Pivot'!$D$2:$K$2=I$2)*'MTD Pivot'!$D$3:$K$300)</f>
        <v/>
      </c>
      <c r="J82" s="161">
        <f>SUMPRODUCT(('MTD Pivot'!$B$3:$B$300=$B82)*('MTD Pivot'!$C$3:$C$300=$A$48)*('MTD Pivot'!$D$2:$K$2=J$2)*'MTD Pivot'!$D$3:$K$300)</f>
        <v/>
      </c>
      <c r="K82" s="161">
        <f>SUMPRODUCT(('MTD Pivot'!$B$3:$B$300=$B82)*('MTD Pivot'!$C$3:$C$300=$A$48)*('MTD Pivot'!$D$2:$K$2=K$2)*'MTD Pivot'!$D$3:$K$300)</f>
        <v/>
      </c>
      <c r="L82" s="161">
        <f>SUMPRODUCT(('MTD Pivot'!$B$3:$B$300=$B82)*('MTD Pivot'!$C$3:$C$300=$A$48)*('MTD Pivot'!$D$2:$K$2=L$2)*'MTD Pivot'!$D$3:$K$300)</f>
        <v/>
      </c>
      <c r="M82" s="161" t="n"/>
      <c r="N82" s="161" t="n"/>
      <c r="O82" s="143">
        <f>L82-K82</f>
        <v/>
      </c>
      <c r="P82" s="170" t="n"/>
      <c r="Q82" s="170" t="n"/>
      <c r="R82" s="170" t="n"/>
      <c r="S82" s="170" t="n"/>
      <c r="T82" s="170" t="n"/>
      <c r="U82" s="170" t="n"/>
      <c r="V82" s="161">
        <f>SUMPRODUCT(('Full month Pivot'!$B$3:$B$300=$B82)*('Full month Pivot'!$C$3:$C$300=$A$48)*('Full month Pivot'!$D$2:$K$2=V$2)*'Full month Pivot'!$D$3:$K$300)</f>
        <v/>
      </c>
      <c r="W82" s="161">
        <f>SUMPRODUCT(('Full month Pivot'!$B$3:$B$300=$B82)*('Full month Pivot'!$C$3:$C$300=$A$48)*('Full month Pivot'!$D$2:$K$2=W$2)*'Full month Pivot'!$D$3:$K$300)</f>
        <v/>
      </c>
      <c r="X82" s="161">
        <f>SUMPRODUCT(('Full month Pivot'!$B$3:$B$300=$B82)*('Full month Pivot'!$C$3:$C$300=$A$48)*('Full month Pivot'!$D$2:$K$2=X$2)*'Full month Pivot'!$D$3:$K$300)</f>
        <v/>
      </c>
      <c r="Y82" s="161">
        <f>SUMPRODUCT(('Full month Pivot'!$B$3:$B$300=$B82)*('Full month Pivot'!$C$3:$C$300=$A$48)*('Full month Pivot'!$D$2:$K$2=Y$2)*'Full month Pivot'!$D$3:$K$300)</f>
        <v/>
      </c>
      <c r="Z82" s="161">
        <f>SUMPRODUCT(('Full month Pivot'!$B$3:$B$300=$B82)*('Full month Pivot'!$C$3:$C$300=$A$48)*('Full month Pivot'!$D$2:$K$2=Z$2)*'Full month Pivot'!$D$3:$K$300)</f>
        <v/>
      </c>
      <c r="AA82" s="161">
        <f>SUMPRODUCT(('Full month Pivot'!$B$3:$B$300=$B82)*('Full month Pivot'!$C$3:$C$300=$A$48)*('Full month Pivot'!$D$2:$K$2=AA$2)*'Full month Pivot'!$D$3:$K$300)</f>
        <v/>
      </c>
      <c r="AB82" s="161" t="n"/>
      <c r="AC82" s="161" t="n"/>
      <c r="AD82" s="143">
        <f>AA82-Z82</f>
        <v/>
      </c>
      <c r="AE82" s="170" t="n"/>
      <c r="AF82" s="170" t="n"/>
      <c r="AG82" s="170" t="n"/>
      <c r="AH82" s="170" t="n"/>
      <c r="AI82" s="170" t="n"/>
      <c r="AJ82" s="170" t="n"/>
    </row>
    <row r="83" outlineLevel="1" ht="15.75" customHeight="1" s="239">
      <c r="A83" s="170" t="n"/>
      <c r="B83" s="170" t="inlineStr">
        <is>
          <t>Tiện ích giao thông</t>
        </is>
      </c>
      <c r="C83" s="170" t="n"/>
      <c r="D83" s="170" t="n"/>
      <c r="E83" s="170" t="n"/>
      <c r="F83" s="170" t="n"/>
      <c r="G83" s="161">
        <f>SUMPRODUCT(('MTD Pivot'!$B$3:$B$300=$B83)*('MTD Pivot'!$C$3:$C$300=$A$48)*('MTD Pivot'!$D$2:$K$2=G$2)*'MTD Pivot'!$D$3:$K$300)</f>
        <v/>
      </c>
      <c r="H83" s="161">
        <f>SUMPRODUCT(('MTD Pivot'!$B$3:$B$300=$B83)*('MTD Pivot'!$C$3:$C$300=$A$48)*('MTD Pivot'!$D$2:$K$2=H$2)*'MTD Pivot'!$D$3:$K$300)</f>
        <v/>
      </c>
      <c r="I83" s="161">
        <f>SUMPRODUCT(('MTD Pivot'!$B$3:$B$300=$B83)*('MTD Pivot'!$C$3:$C$300=$A$48)*('MTD Pivot'!$D$2:$K$2=I$2)*'MTD Pivot'!$D$3:$K$300)</f>
        <v/>
      </c>
      <c r="J83" s="161">
        <f>SUMPRODUCT(('MTD Pivot'!$B$3:$B$300=$B83)*('MTD Pivot'!$C$3:$C$300=$A$48)*('MTD Pivot'!$D$2:$K$2=J$2)*'MTD Pivot'!$D$3:$K$300)</f>
        <v/>
      </c>
      <c r="K83" s="161">
        <f>SUMPRODUCT(('MTD Pivot'!$B$3:$B$300=$B83)*('MTD Pivot'!$C$3:$C$300=$A$48)*('MTD Pivot'!$D$2:$K$2=K$2)*'MTD Pivot'!$D$3:$K$300)</f>
        <v/>
      </c>
      <c r="L83" s="161">
        <f>SUMPRODUCT(('MTD Pivot'!$B$3:$B$300=$B83)*('MTD Pivot'!$C$3:$C$300=$A$48)*('MTD Pivot'!$D$2:$K$2=L$2)*'MTD Pivot'!$D$3:$K$300)</f>
        <v/>
      </c>
      <c r="M83" s="161" t="n"/>
      <c r="N83" s="161" t="n"/>
      <c r="O83" s="143">
        <f>L83-K83</f>
        <v/>
      </c>
      <c r="P83" s="170" t="n"/>
      <c r="Q83" s="170" t="n"/>
      <c r="R83" s="170" t="n"/>
      <c r="S83" s="170" t="n"/>
      <c r="T83" s="170" t="n"/>
      <c r="U83" s="170" t="n"/>
      <c r="V83" s="161">
        <f>SUMPRODUCT(('Full month Pivot'!$B$3:$B$300=$B83)*('Full month Pivot'!$C$3:$C$300=$A$48)*('Full month Pivot'!$D$2:$K$2=V$2)*'Full month Pivot'!$D$3:$K$300)</f>
        <v/>
      </c>
      <c r="W83" s="161">
        <f>SUMPRODUCT(('Full month Pivot'!$B$3:$B$300=$B83)*('Full month Pivot'!$C$3:$C$300=$A$48)*('Full month Pivot'!$D$2:$K$2=W$2)*'Full month Pivot'!$D$3:$K$300)</f>
        <v/>
      </c>
      <c r="X83" s="161">
        <f>SUMPRODUCT(('Full month Pivot'!$B$3:$B$300=$B83)*('Full month Pivot'!$C$3:$C$300=$A$48)*('Full month Pivot'!$D$2:$K$2=X$2)*'Full month Pivot'!$D$3:$K$300)</f>
        <v/>
      </c>
      <c r="Y83" s="161">
        <f>SUMPRODUCT(('Full month Pivot'!$B$3:$B$300=$B83)*('Full month Pivot'!$C$3:$C$300=$A$48)*('Full month Pivot'!$D$2:$K$2=Y$2)*'Full month Pivot'!$D$3:$K$300)</f>
        <v/>
      </c>
      <c r="Z83" s="161">
        <f>SUMPRODUCT(('Full month Pivot'!$B$3:$B$300=$B83)*('Full month Pivot'!$C$3:$C$300=$A$48)*('Full month Pivot'!$D$2:$K$2=Z$2)*'Full month Pivot'!$D$3:$K$300)</f>
        <v/>
      </c>
      <c r="AA83" s="161">
        <f>SUMPRODUCT(('Full month Pivot'!$B$3:$B$300=$B83)*('Full month Pivot'!$C$3:$C$300=$A$48)*('Full month Pivot'!$D$2:$K$2=AA$2)*'Full month Pivot'!$D$3:$K$300)</f>
        <v/>
      </c>
      <c r="AB83" s="161" t="n"/>
      <c r="AC83" s="161" t="n"/>
      <c r="AD83" s="143">
        <f>AA83-Z83</f>
        <v/>
      </c>
      <c r="AE83" s="170" t="n"/>
      <c r="AF83" s="170" t="n"/>
      <c r="AG83" s="170" t="n"/>
      <c r="AH83" s="170" t="n"/>
      <c r="AI83" s="170" t="n"/>
      <c r="AJ83" s="170" t="n"/>
    </row>
    <row r="84" outlineLevel="1" ht="15.75" customHeight="1" s="239">
      <c r="A84" s="170" t="n"/>
      <c r="B84" s="170" t="inlineStr">
        <is>
          <t>Phí không dừng</t>
        </is>
      </c>
      <c r="C84" s="170" t="n"/>
      <c r="D84" s="170" t="n"/>
      <c r="E84" s="170" t="n"/>
      <c r="F84" s="170" t="n"/>
      <c r="G84" s="161">
        <f>SUMPRODUCT(('MTD Pivot'!$B$3:$B$300=$B84)*('MTD Pivot'!$C$3:$C$300=$A$48)*('MTD Pivot'!$D$2:$K$2=G$2)*'MTD Pivot'!$D$3:$K$300)</f>
        <v/>
      </c>
      <c r="H84" s="161">
        <f>SUMPRODUCT(('MTD Pivot'!$B$3:$B$300=$B84)*('MTD Pivot'!$C$3:$C$300=$A$48)*('MTD Pivot'!$D$2:$K$2=H$2)*'MTD Pivot'!$D$3:$K$300)</f>
        <v/>
      </c>
      <c r="I84" s="161">
        <f>SUMPRODUCT(('MTD Pivot'!$B$3:$B$300=$B84)*('MTD Pivot'!$C$3:$C$300=$A$48)*('MTD Pivot'!$D$2:$K$2=I$2)*'MTD Pivot'!$D$3:$K$300)</f>
        <v/>
      </c>
      <c r="J84" s="161">
        <f>SUMPRODUCT(('MTD Pivot'!$B$3:$B$300=$B84)*('MTD Pivot'!$C$3:$C$300=$A$48)*('MTD Pivot'!$D$2:$K$2=J$2)*'MTD Pivot'!$D$3:$K$300)</f>
        <v/>
      </c>
      <c r="K84" s="161">
        <f>SUMPRODUCT(('MTD Pivot'!$B$3:$B$300=$B84)*('MTD Pivot'!$C$3:$C$300=$A$48)*('MTD Pivot'!$D$2:$K$2=K$2)*'MTD Pivot'!$D$3:$K$300)</f>
        <v/>
      </c>
      <c r="L84" s="161">
        <f>SUMPRODUCT(('MTD Pivot'!$B$3:$B$300=$B84)*('MTD Pivot'!$C$3:$C$300=$A$48)*('MTD Pivot'!$D$2:$K$2=L$2)*'MTD Pivot'!$D$3:$K$300)</f>
        <v/>
      </c>
      <c r="M84" s="161" t="n"/>
      <c r="N84" s="161" t="n"/>
      <c r="O84" s="143">
        <f>L84-K84</f>
        <v/>
      </c>
      <c r="P84" s="170" t="n"/>
      <c r="Q84" s="170" t="n"/>
      <c r="R84" s="170" t="n"/>
      <c r="S84" s="170" t="n"/>
      <c r="T84" s="170" t="n"/>
      <c r="U84" s="170" t="n"/>
      <c r="V84" s="161">
        <f>SUMPRODUCT(('Full month Pivot'!$B$3:$B$300=$B84)*('Full month Pivot'!$C$3:$C$300=$A$48)*('Full month Pivot'!$D$2:$K$2=V$2)*'Full month Pivot'!$D$3:$K$300)</f>
        <v/>
      </c>
      <c r="W84" s="161">
        <f>SUMPRODUCT(('Full month Pivot'!$B$3:$B$300=$B84)*('Full month Pivot'!$C$3:$C$300=$A$48)*('Full month Pivot'!$D$2:$K$2=W$2)*'Full month Pivot'!$D$3:$K$300)</f>
        <v/>
      </c>
      <c r="X84" s="161">
        <f>SUMPRODUCT(('Full month Pivot'!$B$3:$B$300=$B84)*('Full month Pivot'!$C$3:$C$300=$A$48)*('Full month Pivot'!$D$2:$K$2=X$2)*'Full month Pivot'!$D$3:$K$300)</f>
        <v/>
      </c>
      <c r="Y84" s="161">
        <f>SUMPRODUCT(('Full month Pivot'!$B$3:$B$300=$B84)*('Full month Pivot'!$C$3:$C$300=$A$48)*('Full month Pivot'!$D$2:$K$2=Y$2)*'Full month Pivot'!$D$3:$K$300)</f>
        <v/>
      </c>
      <c r="Z84" s="161">
        <f>SUMPRODUCT(('Full month Pivot'!$B$3:$B$300=$B84)*('Full month Pivot'!$C$3:$C$300=$A$48)*('Full month Pivot'!$D$2:$K$2=Z$2)*'Full month Pivot'!$D$3:$K$300)</f>
        <v/>
      </c>
      <c r="AA84" s="161">
        <f>SUMPRODUCT(('Full month Pivot'!$B$3:$B$300=$B84)*('Full month Pivot'!$C$3:$C$300=$A$48)*('Full month Pivot'!$D$2:$K$2=AA$2)*'Full month Pivot'!$D$3:$K$300)</f>
        <v/>
      </c>
      <c r="AB84" s="161" t="n"/>
      <c r="AC84" s="161" t="n"/>
      <c r="AD84" s="143">
        <f>AA84-Z84</f>
        <v/>
      </c>
      <c r="AE84" s="170" t="n"/>
      <c r="AF84" s="170" t="n"/>
      <c r="AG84" s="170" t="n"/>
      <c r="AH84" s="170" t="n"/>
      <c r="AI84" s="170" t="n"/>
      <c r="AJ84" s="170" t="n"/>
    </row>
    <row r="85" outlineLevel="1" ht="15.75" customHeight="1" s="239">
      <c r="A85" s="170" t="n"/>
      <c r="B85" s="170" t="inlineStr">
        <is>
          <t>Tiệm vàng online</t>
        </is>
      </c>
      <c r="C85" s="170" t="n"/>
      <c r="D85" s="170" t="n"/>
      <c r="E85" s="170" t="n"/>
      <c r="F85" s="170" t="n"/>
      <c r="G85" s="161">
        <f>SUMPRODUCT(('MTD Pivot'!$B$3:$B$300=$B85)*('MTD Pivot'!$C$3:$C$300=$A$48)*('MTD Pivot'!$D$2:$K$2=G$2)*'MTD Pivot'!$D$3:$K$300)</f>
        <v/>
      </c>
      <c r="H85" s="161">
        <f>SUMPRODUCT(('MTD Pivot'!$B$3:$B$300=$B85)*('MTD Pivot'!$C$3:$C$300=$A$48)*('MTD Pivot'!$D$2:$K$2=H$2)*'MTD Pivot'!$D$3:$K$300)</f>
        <v/>
      </c>
      <c r="I85" s="161">
        <f>SUMPRODUCT(('MTD Pivot'!$B$3:$B$300=$B85)*('MTD Pivot'!$C$3:$C$300=$A$48)*('MTD Pivot'!$D$2:$K$2=I$2)*'MTD Pivot'!$D$3:$K$300)</f>
        <v/>
      </c>
      <c r="J85" s="161">
        <f>SUMPRODUCT(('MTD Pivot'!$B$3:$B$300=$B85)*('MTD Pivot'!$C$3:$C$300=$A$48)*('MTD Pivot'!$D$2:$K$2=J$2)*'MTD Pivot'!$D$3:$K$300)</f>
        <v/>
      </c>
      <c r="K85" s="161">
        <f>SUMPRODUCT(('MTD Pivot'!$B$3:$B$300=$B85)*('MTD Pivot'!$C$3:$C$300=$A$48)*('MTD Pivot'!$D$2:$K$2=K$2)*'MTD Pivot'!$D$3:$K$300)</f>
        <v/>
      </c>
      <c r="L85" s="161">
        <f>SUMPRODUCT(('MTD Pivot'!$B$3:$B$300=$B85)*('MTD Pivot'!$C$3:$C$300=$A$48)*('MTD Pivot'!$D$2:$K$2=L$2)*'MTD Pivot'!$D$3:$K$300)</f>
        <v/>
      </c>
      <c r="M85" s="161" t="n"/>
      <c r="N85" s="161" t="n"/>
      <c r="O85" s="143">
        <f>L85-K85</f>
        <v/>
      </c>
      <c r="P85" s="170" t="n"/>
      <c r="Q85" s="170" t="n"/>
      <c r="R85" s="170" t="n"/>
      <c r="S85" s="170" t="n"/>
      <c r="T85" s="170" t="n"/>
      <c r="U85" s="170" t="n"/>
      <c r="V85" s="161">
        <f>SUMPRODUCT(('Full month Pivot'!$B$3:$B$300=$B85)*('Full month Pivot'!$C$3:$C$300=$A$48)*('Full month Pivot'!$D$2:$K$2=V$2)*'Full month Pivot'!$D$3:$K$300)</f>
        <v/>
      </c>
      <c r="W85" s="161">
        <f>SUMPRODUCT(('Full month Pivot'!$B$3:$B$300=$B85)*('Full month Pivot'!$C$3:$C$300=$A$48)*('Full month Pivot'!$D$2:$K$2=W$2)*'Full month Pivot'!$D$3:$K$300)</f>
        <v/>
      </c>
      <c r="X85" s="161">
        <f>SUMPRODUCT(('Full month Pivot'!$B$3:$B$300=$B85)*('Full month Pivot'!$C$3:$C$300=$A$48)*('Full month Pivot'!$D$2:$K$2=X$2)*'Full month Pivot'!$D$3:$K$300)</f>
        <v/>
      </c>
      <c r="Y85" s="161">
        <f>SUMPRODUCT(('Full month Pivot'!$B$3:$B$300=$B85)*('Full month Pivot'!$C$3:$C$300=$A$48)*('Full month Pivot'!$D$2:$K$2=Y$2)*'Full month Pivot'!$D$3:$K$300)</f>
        <v/>
      </c>
      <c r="Z85" s="161">
        <f>SUMPRODUCT(('Full month Pivot'!$B$3:$B$300=$B85)*('Full month Pivot'!$C$3:$C$300=$A$48)*('Full month Pivot'!$D$2:$K$2=Z$2)*'Full month Pivot'!$D$3:$K$300)</f>
        <v/>
      </c>
      <c r="AA85" s="161">
        <f>SUMPRODUCT(('Full month Pivot'!$B$3:$B$300=$B85)*('Full month Pivot'!$C$3:$C$300=$A$48)*('Full month Pivot'!$D$2:$K$2=AA$2)*'Full month Pivot'!$D$3:$K$300)</f>
        <v/>
      </c>
      <c r="AB85" s="161" t="n"/>
      <c r="AC85" s="161" t="n"/>
      <c r="AD85" s="143">
        <f>AA85-Z85</f>
        <v/>
      </c>
      <c r="AE85" s="170" t="n"/>
      <c r="AF85" s="170" t="n"/>
      <c r="AG85" s="170" t="n"/>
      <c r="AH85" s="170" t="n"/>
      <c r="AI85" s="170" t="n"/>
      <c r="AJ85" s="170" t="n"/>
    </row>
    <row r="86" outlineLevel="1" ht="15.75" customHeight="1" s="239">
      <c r="A86" s="170" t="n"/>
      <c r="B86" s="170" t="inlineStr">
        <is>
          <t>Download</t>
        </is>
      </c>
      <c r="C86" s="170" t="n"/>
      <c r="D86" s="170" t="n"/>
      <c r="E86" s="170" t="n"/>
      <c r="F86" s="170" t="n"/>
      <c r="G86" s="161">
        <f>SUMPRODUCT(('MTD Pivot'!$B$3:$B$300=$B86)*('MTD Pivot'!$C$3:$C$300=$A$48)*('MTD Pivot'!$D$2:$K$2=G$2)*'MTD Pivot'!$D$3:$K$300)</f>
        <v/>
      </c>
      <c r="H86" s="161">
        <f>SUMPRODUCT(('MTD Pivot'!$B$3:$B$300=$B86)*('MTD Pivot'!$C$3:$C$300=$A$48)*('MTD Pivot'!$D$2:$K$2=H$2)*'MTD Pivot'!$D$3:$K$300)</f>
        <v/>
      </c>
      <c r="I86" s="161">
        <f>SUMPRODUCT(('MTD Pivot'!$B$3:$B$300=$B86)*('MTD Pivot'!$C$3:$C$300=$A$48)*('MTD Pivot'!$D$2:$K$2=I$2)*'MTD Pivot'!$D$3:$K$300)</f>
        <v/>
      </c>
      <c r="J86" s="161">
        <f>SUMPRODUCT(('MTD Pivot'!$B$3:$B$300=$B86)*('MTD Pivot'!$C$3:$C$300=$A$48)*('MTD Pivot'!$D$2:$K$2=J$2)*'MTD Pivot'!$D$3:$K$300)</f>
        <v/>
      </c>
      <c r="K86" s="161">
        <f>SUMPRODUCT(('MTD Pivot'!$B$3:$B$300=$B86)*('MTD Pivot'!$C$3:$C$300=$A$48)*('MTD Pivot'!$D$2:$K$2=K$2)*'MTD Pivot'!$D$3:$K$300)</f>
        <v/>
      </c>
      <c r="L86" s="161">
        <f>SUMPRODUCT(('MTD Pivot'!$B$3:$B$300=$B86)*('MTD Pivot'!$C$3:$C$300=$A$48)*('MTD Pivot'!$D$2:$K$2=L$2)*'MTD Pivot'!$D$3:$K$300)</f>
        <v/>
      </c>
      <c r="M86" s="161" t="n"/>
      <c r="N86" s="161" t="n"/>
      <c r="O86" s="143">
        <f>L86-K86</f>
        <v/>
      </c>
      <c r="P86" s="170" t="n"/>
      <c r="Q86" s="170" t="n"/>
      <c r="R86" s="170" t="n"/>
      <c r="S86" s="170" t="n"/>
      <c r="T86" s="170" t="n"/>
      <c r="U86" s="170" t="n"/>
      <c r="V86" s="161">
        <f>SUMPRODUCT(('Full month Pivot'!$B$3:$B$300=$B86)*('Full month Pivot'!$C$3:$C$300=$A$48)*('Full month Pivot'!$D$2:$K$2=V$2)*'Full month Pivot'!$D$3:$K$300)</f>
        <v/>
      </c>
      <c r="W86" s="161">
        <f>SUMPRODUCT(('Full month Pivot'!$B$3:$B$300=$B86)*('Full month Pivot'!$C$3:$C$300=$A$48)*('Full month Pivot'!$D$2:$K$2=W$2)*'Full month Pivot'!$D$3:$K$300)</f>
        <v/>
      </c>
      <c r="X86" s="161">
        <f>SUMPRODUCT(('Full month Pivot'!$B$3:$B$300=$B86)*('Full month Pivot'!$C$3:$C$300=$A$48)*('Full month Pivot'!$D$2:$K$2=X$2)*'Full month Pivot'!$D$3:$K$300)</f>
        <v/>
      </c>
      <c r="Y86" s="161">
        <f>SUMPRODUCT(('Full month Pivot'!$B$3:$B$300=$B86)*('Full month Pivot'!$C$3:$C$300=$A$48)*('Full month Pivot'!$D$2:$K$2=Y$2)*'Full month Pivot'!$D$3:$K$300)</f>
        <v/>
      </c>
      <c r="Z86" s="161">
        <f>SUMPRODUCT(('Full month Pivot'!$B$3:$B$300=$B86)*('Full month Pivot'!$C$3:$C$300=$A$48)*('Full month Pivot'!$D$2:$K$2=Z$2)*'Full month Pivot'!$D$3:$K$300)</f>
        <v/>
      </c>
      <c r="AA86" s="161">
        <f>SUMPRODUCT(('Full month Pivot'!$B$3:$B$300=$B86)*('Full month Pivot'!$C$3:$C$300=$A$48)*('Full month Pivot'!$D$2:$K$2=AA$2)*'Full month Pivot'!$D$3:$K$300)</f>
        <v/>
      </c>
      <c r="AB86" s="161" t="n"/>
      <c r="AC86" s="161" t="n"/>
      <c r="AD86" s="143">
        <f>AA86-Z86</f>
        <v/>
      </c>
      <c r="AE86" s="170" t="n"/>
      <c r="AF86" s="170" t="n"/>
      <c r="AG86" s="170" t="n"/>
      <c r="AH86" s="170" t="n"/>
      <c r="AI86" s="170" t="n"/>
      <c r="AJ86" s="170" t="n"/>
    </row>
    <row r="87" outlineLevel="1" ht="15.75" customHeight="1" s="239">
      <c r="A87" s="170" t="n"/>
      <c r="B87" s="170" t="inlineStr">
        <is>
          <t>Others</t>
        </is>
      </c>
      <c r="C87" s="170" t="n"/>
      <c r="D87" s="170" t="n"/>
      <c r="E87" s="170" t="n"/>
      <c r="F87" s="170" t="n"/>
      <c r="G87" s="161">
        <f>SUMPRODUCT(('MTD Pivot'!$B$3:$B$300=$B87)*('MTD Pivot'!$C$3:$C$300=$A$48)*('MTD Pivot'!$D$2:$K$2=G$2)*'MTD Pivot'!$D$3:$K$300)</f>
        <v/>
      </c>
      <c r="H87" s="161">
        <f>SUMPRODUCT(('MTD Pivot'!$B$3:$B$300=$B87)*('MTD Pivot'!$C$3:$C$300=$A$48)*('MTD Pivot'!$D$2:$K$2=H$2)*'MTD Pivot'!$D$3:$K$300)</f>
        <v/>
      </c>
      <c r="I87" s="161">
        <f>SUMPRODUCT(('MTD Pivot'!$B$3:$B$300=$B87)*('MTD Pivot'!$C$3:$C$300=$A$48)*('MTD Pivot'!$D$2:$K$2=I$2)*'MTD Pivot'!$D$3:$K$300)</f>
        <v/>
      </c>
      <c r="J87" s="161">
        <f>SUMPRODUCT(('MTD Pivot'!$B$3:$B$300=$B87)*('MTD Pivot'!$C$3:$C$300=$A$48)*('MTD Pivot'!$D$2:$K$2=J$2)*'MTD Pivot'!$D$3:$K$300)</f>
        <v/>
      </c>
      <c r="K87" s="161">
        <f>SUMPRODUCT(('MTD Pivot'!$B$3:$B$300=$B87)*('MTD Pivot'!$C$3:$C$300=$A$48)*('MTD Pivot'!$D$2:$K$2=K$2)*'MTD Pivot'!$D$3:$K$300)</f>
        <v/>
      </c>
      <c r="L87" s="161">
        <f>SUMPRODUCT(('MTD Pivot'!$B$3:$B$300=$B87)*('MTD Pivot'!$C$3:$C$300=$A$48)*('MTD Pivot'!$D$2:$K$2=L$2)*'MTD Pivot'!$D$3:$K$300)</f>
        <v/>
      </c>
      <c r="M87" s="161" t="n"/>
      <c r="N87" s="161" t="n"/>
      <c r="O87" s="143">
        <f>L87-K87</f>
        <v/>
      </c>
      <c r="P87" s="170" t="n"/>
      <c r="Q87" s="170" t="n"/>
      <c r="R87" s="170" t="n"/>
      <c r="S87" s="170" t="n"/>
      <c r="T87" s="170" t="n"/>
      <c r="U87" s="170" t="n"/>
      <c r="V87" s="161">
        <f>SUMPRODUCT(('Full month Pivot'!$B$3:$B$300=$B87)*('Full month Pivot'!$C$3:$C$300=$A$48)*('Full month Pivot'!$D$2:$K$2=V$2)*'Full month Pivot'!$D$3:$K$300)</f>
        <v/>
      </c>
      <c r="W87" s="161">
        <f>SUMPRODUCT(('Full month Pivot'!$B$3:$B$300=$B87)*('Full month Pivot'!$C$3:$C$300=$A$48)*('Full month Pivot'!$D$2:$K$2=W$2)*'Full month Pivot'!$D$3:$K$300)</f>
        <v/>
      </c>
      <c r="X87" s="161">
        <f>SUMPRODUCT(('Full month Pivot'!$B$3:$B$300=$B87)*('Full month Pivot'!$C$3:$C$300=$A$48)*('Full month Pivot'!$D$2:$K$2=X$2)*'Full month Pivot'!$D$3:$K$300)</f>
        <v/>
      </c>
      <c r="Y87" s="161">
        <f>SUMPRODUCT(('Full month Pivot'!$B$3:$B$300=$B87)*('Full month Pivot'!$C$3:$C$300=$A$48)*('Full month Pivot'!$D$2:$K$2=Y$2)*'Full month Pivot'!$D$3:$K$300)</f>
        <v/>
      </c>
      <c r="Z87" s="161">
        <f>SUMPRODUCT(('Full month Pivot'!$B$3:$B$300=$B87)*('Full month Pivot'!$C$3:$C$300=$A$48)*('Full month Pivot'!$D$2:$K$2=Z$2)*'Full month Pivot'!$D$3:$K$300)</f>
        <v/>
      </c>
      <c r="AA87" s="161">
        <f>SUMPRODUCT(('Full month Pivot'!$B$3:$B$300=$B87)*('Full month Pivot'!$C$3:$C$300=$A$48)*('Full month Pivot'!$D$2:$K$2=AA$2)*'Full month Pivot'!$D$3:$K$300)</f>
        <v/>
      </c>
      <c r="AB87" s="161" t="n"/>
      <c r="AC87" s="161" t="n"/>
      <c r="AD87" s="143">
        <f>AA87-Z87</f>
        <v/>
      </c>
      <c r="AE87" s="170" t="n"/>
      <c r="AF87" s="170" t="n"/>
      <c r="AG87" s="170" t="n"/>
      <c r="AH87" s="170" t="n"/>
      <c r="AI87" s="170" t="n"/>
      <c r="AJ87" s="170" t="n"/>
    </row>
    <row r="88" ht="15" customHeight="1" s="239">
      <c r="A88" s="59" t="n"/>
      <c r="B88" s="88" t="n"/>
      <c r="C88" s="8" t="n"/>
      <c r="D88" s="8" t="n"/>
      <c r="E88" s="8" t="n"/>
      <c r="F88" s="8" t="n"/>
      <c r="G88" s="150" t="n"/>
      <c r="H88" s="150" t="n"/>
      <c r="I88" s="150" t="n"/>
      <c r="J88" s="150" t="n"/>
      <c r="K88" s="150" t="n"/>
      <c r="L88" s="150" t="n"/>
      <c r="M88" s="150" t="n"/>
      <c r="N88" s="150" t="n"/>
      <c r="O88" s="143" t="n"/>
      <c r="P88" s="8" t="n"/>
      <c r="Q88" s="8" t="n"/>
      <c r="R88" s="8" t="n"/>
      <c r="S88" s="8" t="n"/>
      <c r="T88" s="8" t="n"/>
      <c r="U88" s="8" t="n"/>
      <c r="V88" s="150" t="n"/>
      <c r="W88" s="150" t="n"/>
      <c r="X88" s="150" t="n"/>
      <c r="Y88" s="150" t="n"/>
      <c r="Z88" s="150" t="n"/>
      <c r="AA88" s="150" t="n"/>
      <c r="AB88" s="150" t="n"/>
      <c r="AC88" s="150" t="n"/>
      <c r="AD88" s="143" t="n"/>
      <c r="AE88" s="8" t="n"/>
      <c r="AF88" s="8" t="n"/>
      <c r="AG88" s="8" t="n"/>
      <c r="AH88" s="8" t="n"/>
      <c r="AI88" s="8" t="n"/>
      <c r="AJ88" s="8" t="n"/>
    </row>
    <row r="89" ht="15" customHeight="1" s="239">
      <c r="A89" s="208" t="inlineStr">
        <is>
          <t>Direct</t>
        </is>
      </c>
      <c r="B89" s="153" t="n"/>
      <c r="C89" s="153">
        <f>C88-Q88</f>
        <v/>
      </c>
      <c r="D89" s="153">
        <f>D88-C88</f>
        <v/>
      </c>
      <c r="E89" s="153">
        <f>E88-D88</f>
        <v/>
      </c>
      <c r="F89" s="153">
        <f>F88-E88</f>
        <v/>
      </c>
      <c r="G89" s="154">
        <f>SUM(G91:G128)</f>
        <v/>
      </c>
      <c r="H89" s="154">
        <f>SUM(H91:H128)</f>
        <v/>
      </c>
      <c r="I89" s="154">
        <f>SUM(I91:I128)</f>
        <v/>
      </c>
      <c r="J89" s="154">
        <f>SUM(J91:J128)</f>
        <v/>
      </c>
      <c r="K89" s="154">
        <f>SUM(K91:K128)</f>
        <v/>
      </c>
      <c r="L89" s="154">
        <f>SUM(L91:L128)</f>
        <v/>
      </c>
      <c r="M89" s="154" t="n"/>
      <c r="N89" s="154" t="n"/>
      <c r="O89" s="143">
        <f>L89-K89</f>
        <v/>
      </c>
      <c r="P89" s="153" t="n"/>
      <c r="Q89" s="153" t="n"/>
      <c r="R89" s="153">
        <f>SUM(R91,R92,R93)</f>
        <v/>
      </c>
      <c r="S89" s="153">
        <f>SUM(S91,S92,S93)</f>
        <v/>
      </c>
      <c r="T89" s="153">
        <f>SUM(T91,T92,T93)</f>
        <v/>
      </c>
      <c r="U89" s="153">
        <f>SUM(U91,U92,U93)</f>
        <v/>
      </c>
      <c r="V89" s="154">
        <f>SUM(V91:V128)</f>
        <v/>
      </c>
      <c r="W89" s="154">
        <f>SUM(W91:W128)</f>
        <v/>
      </c>
      <c r="X89" s="154">
        <f>SUM(X91:X128)</f>
        <v/>
      </c>
      <c r="Y89" s="154">
        <f>SUM(Y91:Y128)</f>
        <v/>
      </c>
      <c r="Z89" s="154">
        <f>SUM(Z91:Z128)</f>
        <v/>
      </c>
      <c r="AA89" s="154">
        <f>SUM(AA91:AA128)</f>
        <v/>
      </c>
      <c r="AB89" s="154" t="n"/>
      <c r="AC89" s="154" t="n"/>
      <c r="AD89" s="143">
        <f>AA89-Z89</f>
        <v/>
      </c>
      <c r="AE89" s="153" t="n"/>
      <c r="AF89" s="153" t="n"/>
      <c r="AG89" s="153" t="n"/>
      <c r="AH89" s="153" t="n"/>
      <c r="AI89" s="153" t="n"/>
      <c r="AJ89" s="153" t="n"/>
    </row>
    <row r="90" collapsed="1" ht="15" customHeight="1" s="239">
      <c r="A90" s="59" t="inlineStr">
        <is>
          <t xml:space="preserve">  Net change</t>
        </is>
      </c>
      <c r="B90" s="59" t="n"/>
      <c r="C90" s="60" t="n"/>
      <c r="D90" s="60" t="n"/>
      <c r="E90" s="60" t="n"/>
      <c r="F90" s="60" t="n"/>
      <c r="G90" s="156">
        <f>G89-F89</f>
        <v/>
      </c>
      <c r="H90" s="156">
        <f>H89-G89</f>
        <v/>
      </c>
      <c r="I90" s="156">
        <f>I89-H89</f>
        <v/>
      </c>
      <c r="J90" s="156">
        <f>J89-I89</f>
        <v/>
      </c>
      <c r="K90" s="156">
        <f>K89-J89</f>
        <v/>
      </c>
      <c r="L90" s="156">
        <f>L89-K89</f>
        <v/>
      </c>
      <c r="M90" s="156" t="n"/>
      <c r="N90" s="156" t="n"/>
      <c r="O90" s="143">
        <f>L90-K90</f>
        <v/>
      </c>
      <c r="P90" s="60" t="n"/>
      <c r="Q90" s="60" t="n"/>
      <c r="R90" s="60" t="n"/>
      <c r="S90" s="60">
        <f>S89-R89</f>
        <v/>
      </c>
      <c r="T90" s="60">
        <f>T89-S89</f>
        <v/>
      </c>
      <c r="U90" s="60">
        <f>U89-T89</f>
        <v/>
      </c>
      <c r="V90" s="156">
        <f>V89-U89</f>
        <v/>
      </c>
      <c r="W90" s="156">
        <f>W89-V89</f>
        <v/>
      </c>
      <c r="X90" s="156">
        <f>X89-W89</f>
        <v/>
      </c>
      <c r="Y90" s="156">
        <f>Y89-X89</f>
        <v/>
      </c>
      <c r="Z90" s="156">
        <f>Z89-Y89</f>
        <v/>
      </c>
      <c r="AA90" s="156">
        <f>AA89-Z89</f>
        <v/>
      </c>
      <c r="AB90" s="156" t="n"/>
      <c r="AC90" s="156" t="n"/>
      <c r="AD90" s="143">
        <f>AA90-Z90</f>
        <v/>
      </c>
      <c r="AE90" s="60" t="n"/>
      <c r="AF90" s="60" t="n"/>
      <c r="AG90" s="60" t="n"/>
      <c r="AH90" s="60" t="n"/>
      <c r="AI90" s="60" t="n"/>
      <c r="AJ90" s="60" t="n"/>
    </row>
    <row r="91" hidden="1" outlineLevel="1" ht="15" customHeight="1" s="239">
      <c r="A91" s="170" t="n"/>
      <c r="B91" s="170" t="inlineStr">
        <is>
          <t>Cinema Hub</t>
        </is>
      </c>
      <c r="C91" s="170" t="n"/>
      <c r="D91" s="170" t="n"/>
      <c r="E91" s="170" t="n"/>
      <c r="F91" s="170" t="n"/>
      <c r="G91" s="161">
        <f>SUMPRODUCT(('MTD Pivot'!$B$3:$B$300=$B91)*('MTD Pivot'!$C$3:$C$300=$A$89)*('MTD Pivot'!$D$2:$K$2=G$2)*'MTD Pivot'!$D$3:$K$300)</f>
        <v/>
      </c>
      <c r="H91" s="161">
        <f>SUMPRODUCT(('MTD Pivot'!$B$3:$B$300=$B91)*('MTD Pivot'!$C$3:$C$300=$A$89)*('MTD Pivot'!$D$2:$K$2=H$2)*'MTD Pivot'!$D$3:$K$300)</f>
        <v/>
      </c>
      <c r="I91" s="161">
        <f>SUMPRODUCT(('MTD Pivot'!$B$3:$B$300=$B91)*('MTD Pivot'!$C$3:$C$300=$A$89)*('MTD Pivot'!$D$2:$K$2=I$2)*'MTD Pivot'!$D$3:$K$300)</f>
        <v/>
      </c>
      <c r="J91" s="161">
        <f>SUMPRODUCT(('MTD Pivot'!$B$3:$B$300=$B91)*('MTD Pivot'!$C$3:$C$300=$A$89)*('MTD Pivot'!$D$2:$K$2=J$2)*'MTD Pivot'!$D$3:$K$300)</f>
        <v/>
      </c>
      <c r="K91" s="161">
        <f>SUMPRODUCT(('MTD Pivot'!$B$3:$B$300=$B91)*('MTD Pivot'!$C$3:$C$300=$A$89)*('MTD Pivot'!$D$2:$K$2=K$2)*'MTD Pivot'!$D$3:$K$300)</f>
        <v/>
      </c>
      <c r="L91" s="161">
        <f>SUMPRODUCT(('MTD Pivot'!$B$3:$B$300=$B91)*('MTD Pivot'!$C$3:$C$300=$A$89)*('MTD Pivot'!$D$2:$K$2=L$2)*'MTD Pivot'!$D$3:$K$300)</f>
        <v/>
      </c>
      <c r="M91" s="161" t="n"/>
      <c r="N91" s="161" t="n"/>
      <c r="O91" s="143">
        <f>L91-K91</f>
        <v/>
      </c>
      <c r="P91" s="170" t="n"/>
      <c r="Q91" s="170" t="n"/>
      <c r="R91" s="170" t="n"/>
      <c r="S91" s="170" t="n"/>
      <c r="T91" s="170" t="n"/>
      <c r="U91" s="170" t="n"/>
      <c r="V91" s="161">
        <f>SUMPRODUCT(('Full month Pivot'!$B$3:$B$300=$B91)*('Full month Pivot'!$C$3:$C$300=$A$89)*('Full month Pivot'!$D$2:$K$2=V$2)*'Full month Pivot'!$D$3:$K$300)</f>
        <v/>
      </c>
      <c r="W91" s="161">
        <f>SUMPRODUCT(('Full month Pivot'!$B$3:$B$300=$B91)*('Full month Pivot'!$C$3:$C$300=$A$89)*('Full month Pivot'!$D$2:$K$2=W$2)*'Full month Pivot'!$D$3:$K$300)</f>
        <v/>
      </c>
      <c r="X91" s="161">
        <f>SUMPRODUCT(('Full month Pivot'!$B$3:$B$300=$B91)*('Full month Pivot'!$C$3:$C$300=$A$89)*('Full month Pivot'!$D$2:$K$2=X$2)*'Full month Pivot'!$D$3:$K$300)</f>
        <v/>
      </c>
      <c r="Y91" s="161">
        <f>SUMPRODUCT(('Full month Pivot'!$B$3:$B$300=$B91)*('Full month Pivot'!$C$3:$C$300=$A$89)*('Full month Pivot'!$D$2:$K$2=Y$2)*'Full month Pivot'!$D$3:$K$300)</f>
        <v/>
      </c>
      <c r="Z91" s="161">
        <f>SUMPRODUCT(('Full month Pivot'!$B$3:$B$300=$B91)*('Full month Pivot'!$C$3:$C$300=$A$89)*('Full month Pivot'!$D$2:$K$2=Z$2)*'Full month Pivot'!$D$3:$K$300)</f>
        <v/>
      </c>
      <c r="AA91" s="161">
        <f>SUMPRODUCT(('Full month Pivot'!$B$3:$B$300=$B91)*('Full month Pivot'!$C$3:$C$300=$A$89)*('Full month Pivot'!$D$2:$K$2=AA$2)*'Full month Pivot'!$D$3:$K$300)</f>
        <v/>
      </c>
      <c r="AB91" s="161" t="n"/>
      <c r="AC91" s="161" t="n"/>
      <c r="AD91" s="143">
        <f>AA91-Z91</f>
        <v/>
      </c>
      <c r="AE91" s="170" t="n"/>
      <c r="AF91" s="170" t="n"/>
      <c r="AG91" s="170" t="n"/>
      <c r="AH91" s="170" t="n"/>
      <c r="AI91" s="170" t="n"/>
      <c r="AJ91" s="170" t="n"/>
    </row>
    <row r="92" hidden="1" outlineLevel="1" ht="15" customHeight="1" s="239">
      <c r="A92" s="170" t="n"/>
      <c r="B92" s="170" t="inlineStr">
        <is>
          <t>Phạt nguội</t>
        </is>
      </c>
      <c r="C92" s="170" t="n"/>
      <c r="D92" s="170" t="n"/>
      <c r="E92" s="170" t="n"/>
      <c r="F92" s="170" t="n"/>
      <c r="G92" s="161">
        <f>SUMPRODUCT(('MTD Pivot'!$B$3:$B$300=$B92)*('MTD Pivot'!$C$3:$C$300=$A$89)*('MTD Pivot'!$D$2:$K$2=G$2)*'MTD Pivot'!$D$3:$K$300)</f>
        <v/>
      </c>
      <c r="H92" s="161">
        <f>SUMPRODUCT(('MTD Pivot'!$B$3:$B$300=$B92)*('MTD Pivot'!$C$3:$C$300=$A$89)*('MTD Pivot'!$D$2:$K$2=H$2)*'MTD Pivot'!$D$3:$K$300)</f>
        <v/>
      </c>
      <c r="I92" s="161">
        <f>SUMPRODUCT(('MTD Pivot'!$B$3:$B$300=$B92)*('MTD Pivot'!$C$3:$C$300=$A$89)*('MTD Pivot'!$D$2:$K$2=I$2)*'MTD Pivot'!$D$3:$K$300)</f>
        <v/>
      </c>
      <c r="J92" s="161">
        <f>SUMPRODUCT(('MTD Pivot'!$B$3:$B$300=$B92)*('MTD Pivot'!$C$3:$C$300=$A$89)*('MTD Pivot'!$D$2:$K$2=J$2)*'MTD Pivot'!$D$3:$K$300)</f>
        <v/>
      </c>
      <c r="K92" s="161">
        <f>SUMPRODUCT(('MTD Pivot'!$B$3:$B$300=$B92)*('MTD Pivot'!$C$3:$C$300=$A$89)*('MTD Pivot'!$D$2:$K$2=K$2)*'MTD Pivot'!$D$3:$K$300)</f>
        <v/>
      </c>
      <c r="L92" s="161">
        <f>SUMPRODUCT(('MTD Pivot'!$B$3:$B$300=$B92)*('MTD Pivot'!$C$3:$C$300=$A$89)*('MTD Pivot'!$D$2:$K$2=L$2)*'MTD Pivot'!$D$3:$K$300)</f>
        <v/>
      </c>
      <c r="M92" s="161" t="n"/>
      <c r="N92" s="161" t="n"/>
      <c r="O92" s="143">
        <f>L92-K92</f>
        <v/>
      </c>
      <c r="P92" s="170" t="n"/>
      <c r="Q92" s="170" t="n"/>
      <c r="R92" s="170" t="n"/>
      <c r="S92" s="170" t="n"/>
      <c r="T92" s="170" t="n"/>
      <c r="U92" s="170" t="n"/>
      <c r="V92" s="161">
        <f>SUMPRODUCT(('Full month Pivot'!$B$3:$B$300=$B92)*('Full month Pivot'!$C$3:$C$300=$A$89)*('Full month Pivot'!$D$2:$K$2=V$2)*'Full month Pivot'!$D$3:$K$300)</f>
        <v/>
      </c>
      <c r="W92" s="161">
        <f>SUMPRODUCT(('Full month Pivot'!$B$3:$B$300=$B92)*('Full month Pivot'!$C$3:$C$300=$A$89)*('Full month Pivot'!$D$2:$K$2=W$2)*'Full month Pivot'!$D$3:$K$300)</f>
        <v/>
      </c>
      <c r="X92" s="161">
        <f>SUMPRODUCT(('Full month Pivot'!$B$3:$B$300=$B92)*('Full month Pivot'!$C$3:$C$300=$A$89)*('Full month Pivot'!$D$2:$K$2=X$2)*'Full month Pivot'!$D$3:$K$300)</f>
        <v/>
      </c>
      <c r="Y92" s="161">
        <f>SUMPRODUCT(('Full month Pivot'!$B$3:$B$300=$B92)*('Full month Pivot'!$C$3:$C$300=$A$89)*('Full month Pivot'!$D$2:$K$2=Y$2)*'Full month Pivot'!$D$3:$K$300)</f>
        <v/>
      </c>
      <c r="Z92" s="161">
        <f>SUMPRODUCT(('Full month Pivot'!$B$3:$B$300=$B92)*('Full month Pivot'!$C$3:$C$300=$A$89)*('Full month Pivot'!$D$2:$K$2=Z$2)*'Full month Pivot'!$D$3:$K$300)</f>
        <v/>
      </c>
      <c r="AA92" s="161">
        <f>SUMPRODUCT(('Full month Pivot'!$B$3:$B$300=$B92)*('Full month Pivot'!$C$3:$C$300=$A$89)*('Full month Pivot'!$D$2:$K$2=AA$2)*'Full month Pivot'!$D$3:$K$300)</f>
        <v/>
      </c>
      <c r="AB92" s="161" t="n"/>
      <c r="AC92" s="161" t="n"/>
      <c r="AD92" s="143">
        <f>AA92-Z92</f>
        <v/>
      </c>
      <c r="AE92" s="170" t="n"/>
      <c r="AF92" s="170" t="n"/>
      <c r="AG92" s="170" t="n"/>
      <c r="AH92" s="170" t="n"/>
      <c r="AI92" s="170" t="n"/>
      <c r="AJ92" s="170" t="n"/>
    </row>
    <row r="93" hidden="1" outlineLevel="1" ht="15" customHeight="1" s="239">
      <c r="A93" s="170" t="n"/>
      <c r="B93" s="170" t="inlineStr">
        <is>
          <t>Home MoMo</t>
        </is>
      </c>
      <c r="C93" s="170" t="n"/>
      <c r="D93" s="170" t="n"/>
      <c r="E93" s="170" t="n"/>
      <c r="F93" s="170" t="n"/>
      <c r="G93" s="161">
        <f>SUMPRODUCT(('MTD Pivot'!$B$3:$B$300=$B93)*('MTD Pivot'!$C$3:$C$300=$A$89)*('MTD Pivot'!$D$2:$K$2=G$2)*'MTD Pivot'!$D$3:$K$300)</f>
        <v/>
      </c>
      <c r="H93" s="161">
        <f>SUMPRODUCT(('MTD Pivot'!$B$3:$B$300=$B93)*('MTD Pivot'!$C$3:$C$300=$A$89)*('MTD Pivot'!$D$2:$K$2=H$2)*'MTD Pivot'!$D$3:$K$300)</f>
        <v/>
      </c>
      <c r="I93" s="161">
        <f>SUMPRODUCT(('MTD Pivot'!$B$3:$B$300=$B93)*('MTD Pivot'!$C$3:$C$300=$A$89)*('MTD Pivot'!$D$2:$K$2=I$2)*'MTD Pivot'!$D$3:$K$300)</f>
        <v/>
      </c>
      <c r="J93" s="161">
        <f>SUMPRODUCT(('MTD Pivot'!$B$3:$B$300=$B93)*('MTD Pivot'!$C$3:$C$300=$A$89)*('MTD Pivot'!$D$2:$K$2=J$2)*'MTD Pivot'!$D$3:$K$300)</f>
        <v/>
      </c>
      <c r="K93" s="161">
        <f>SUMPRODUCT(('MTD Pivot'!$B$3:$B$300=$B93)*('MTD Pivot'!$C$3:$C$300=$A$89)*('MTD Pivot'!$D$2:$K$2=K$2)*'MTD Pivot'!$D$3:$K$300)</f>
        <v/>
      </c>
      <c r="L93" s="161">
        <f>SUMPRODUCT(('MTD Pivot'!$B$3:$B$300=$B93)*('MTD Pivot'!$C$3:$C$300=$A$89)*('MTD Pivot'!$D$2:$K$2=L$2)*'MTD Pivot'!$D$3:$K$300)</f>
        <v/>
      </c>
      <c r="M93" s="161" t="n"/>
      <c r="N93" s="161" t="n"/>
      <c r="O93" s="143">
        <f>L93-K93</f>
        <v/>
      </c>
      <c r="P93" s="170" t="n"/>
      <c r="Q93" s="170" t="n"/>
      <c r="R93" s="170" t="n"/>
      <c r="S93" s="170" t="n"/>
      <c r="T93" s="170" t="n"/>
      <c r="U93" s="170" t="n"/>
      <c r="V93" s="161">
        <f>SUMPRODUCT(('Full month Pivot'!$B$3:$B$300=$B93)*('Full month Pivot'!$C$3:$C$300=$A$89)*('Full month Pivot'!$D$2:$K$2=V$2)*'Full month Pivot'!$D$3:$K$300)</f>
        <v/>
      </c>
      <c r="W93" s="161">
        <f>SUMPRODUCT(('Full month Pivot'!$B$3:$B$300=$B93)*('Full month Pivot'!$C$3:$C$300=$A$89)*('Full month Pivot'!$D$2:$K$2=W$2)*'Full month Pivot'!$D$3:$K$300)</f>
        <v/>
      </c>
      <c r="X93" s="161">
        <f>SUMPRODUCT(('Full month Pivot'!$B$3:$B$300=$B93)*('Full month Pivot'!$C$3:$C$300=$A$89)*('Full month Pivot'!$D$2:$K$2=X$2)*'Full month Pivot'!$D$3:$K$300)</f>
        <v/>
      </c>
      <c r="Y93" s="161">
        <f>SUMPRODUCT(('Full month Pivot'!$B$3:$B$300=$B93)*('Full month Pivot'!$C$3:$C$300=$A$89)*('Full month Pivot'!$D$2:$K$2=Y$2)*'Full month Pivot'!$D$3:$K$300)</f>
        <v/>
      </c>
      <c r="Z93" s="161">
        <f>SUMPRODUCT(('Full month Pivot'!$B$3:$B$300=$B93)*('Full month Pivot'!$C$3:$C$300=$A$89)*('Full month Pivot'!$D$2:$K$2=Z$2)*'Full month Pivot'!$D$3:$K$300)</f>
        <v/>
      </c>
      <c r="AA93" s="161">
        <f>SUMPRODUCT(('Full month Pivot'!$B$3:$B$300=$B93)*('Full month Pivot'!$C$3:$C$300=$A$89)*('Full month Pivot'!$D$2:$K$2=AA$2)*'Full month Pivot'!$D$3:$K$300)</f>
        <v/>
      </c>
      <c r="AB93" s="161" t="n"/>
      <c r="AC93" s="161" t="n"/>
      <c r="AD93" s="143">
        <f>AA93-Z93</f>
        <v/>
      </c>
      <c r="AE93" s="170" t="n"/>
      <c r="AF93" s="170" t="n"/>
      <c r="AG93" s="170" t="n"/>
      <c r="AH93" s="170" t="n"/>
      <c r="AI93" s="170" t="n"/>
      <c r="AJ93" s="170" t="n"/>
    </row>
    <row r="94" hidden="1" outlineLevel="1" ht="15" customHeight="1" s="239">
      <c r="A94" s="170" t="n"/>
      <c r="B94" s="170" t="inlineStr">
        <is>
          <t>Tiktok</t>
        </is>
      </c>
      <c r="C94" s="170" t="n"/>
      <c r="D94" s="170" t="n"/>
      <c r="E94" s="170" t="n"/>
      <c r="F94" s="170" t="n"/>
      <c r="G94" s="161">
        <f>SUMPRODUCT(('MTD Pivot'!$B$3:$B$300=$B94)*('MTD Pivot'!$C$3:$C$300=$A$89)*('MTD Pivot'!$D$2:$K$2=G$2)*'MTD Pivot'!$D$3:$K$300)</f>
        <v/>
      </c>
      <c r="H94" s="161">
        <f>SUMPRODUCT(('MTD Pivot'!$B$3:$B$300=$B94)*('MTD Pivot'!$C$3:$C$300=$A$89)*('MTD Pivot'!$D$2:$K$2=H$2)*'MTD Pivot'!$D$3:$K$300)</f>
        <v/>
      </c>
      <c r="I94" s="161">
        <f>SUMPRODUCT(('MTD Pivot'!$B$3:$B$300=$B94)*('MTD Pivot'!$C$3:$C$300=$A$89)*('MTD Pivot'!$D$2:$K$2=I$2)*'MTD Pivot'!$D$3:$K$300)</f>
        <v/>
      </c>
      <c r="J94" s="161">
        <f>SUMPRODUCT(('MTD Pivot'!$B$3:$B$300=$B94)*('MTD Pivot'!$C$3:$C$300=$A$89)*('MTD Pivot'!$D$2:$K$2=J$2)*'MTD Pivot'!$D$3:$K$300)</f>
        <v/>
      </c>
      <c r="K94" s="161">
        <f>SUMPRODUCT(('MTD Pivot'!$B$3:$B$300=$B94)*('MTD Pivot'!$C$3:$C$300=$A$89)*('MTD Pivot'!$D$2:$K$2=K$2)*'MTD Pivot'!$D$3:$K$300)</f>
        <v/>
      </c>
      <c r="L94" s="161">
        <f>SUMPRODUCT(('MTD Pivot'!$B$3:$B$300=$B94)*('MTD Pivot'!$C$3:$C$300=$A$89)*('MTD Pivot'!$D$2:$K$2=L$2)*'MTD Pivot'!$D$3:$K$300)</f>
        <v/>
      </c>
      <c r="M94" s="161" t="n"/>
      <c r="N94" s="161" t="n"/>
      <c r="O94" s="143">
        <f>L94-K94</f>
        <v/>
      </c>
      <c r="P94" s="170" t="n"/>
      <c r="Q94" s="170" t="n"/>
      <c r="R94" s="170" t="n"/>
      <c r="S94" s="170" t="n"/>
      <c r="T94" s="170" t="n"/>
      <c r="U94" s="170" t="n"/>
      <c r="V94" s="161">
        <f>SUMPRODUCT(('Full month Pivot'!$B$3:$B$300=$B94)*('Full month Pivot'!$C$3:$C$300=$A$89)*('Full month Pivot'!$D$2:$K$2=V$2)*'Full month Pivot'!$D$3:$K$300)</f>
        <v/>
      </c>
      <c r="W94" s="161">
        <f>SUMPRODUCT(('Full month Pivot'!$B$3:$B$300=$B94)*('Full month Pivot'!$C$3:$C$300=$A$89)*('Full month Pivot'!$D$2:$K$2=W$2)*'Full month Pivot'!$D$3:$K$300)</f>
        <v/>
      </c>
      <c r="X94" s="161">
        <f>SUMPRODUCT(('Full month Pivot'!$B$3:$B$300=$B94)*('Full month Pivot'!$C$3:$C$300=$A$89)*('Full month Pivot'!$D$2:$K$2=X$2)*'Full month Pivot'!$D$3:$K$300)</f>
        <v/>
      </c>
      <c r="Y94" s="161">
        <f>SUMPRODUCT(('Full month Pivot'!$B$3:$B$300=$B94)*('Full month Pivot'!$C$3:$C$300=$A$89)*('Full month Pivot'!$D$2:$K$2=Y$2)*'Full month Pivot'!$D$3:$K$300)</f>
        <v/>
      </c>
      <c r="Z94" s="161">
        <f>SUMPRODUCT(('Full month Pivot'!$B$3:$B$300=$B94)*('Full month Pivot'!$C$3:$C$300=$A$89)*('Full month Pivot'!$D$2:$K$2=Z$2)*'Full month Pivot'!$D$3:$K$300)</f>
        <v/>
      </c>
      <c r="AA94" s="161">
        <f>SUMPRODUCT(('Full month Pivot'!$B$3:$B$300=$B94)*('Full month Pivot'!$C$3:$C$300=$A$89)*('Full month Pivot'!$D$2:$K$2=AA$2)*'Full month Pivot'!$D$3:$K$300)</f>
        <v/>
      </c>
      <c r="AB94" s="161" t="n"/>
      <c r="AC94" s="161" t="n"/>
      <c r="AD94" s="143">
        <f>AA94-Z94</f>
        <v/>
      </c>
      <c r="AE94" s="170" t="n"/>
      <c r="AF94" s="170" t="n"/>
      <c r="AG94" s="170" t="n"/>
      <c r="AH94" s="170" t="n"/>
      <c r="AI94" s="170" t="n"/>
      <c r="AJ94" s="170" t="n"/>
    </row>
    <row r="95" hidden="1" outlineLevel="1" ht="15" customHeight="1" s="239">
      <c r="A95" s="170" t="n"/>
      <c r="B95" s="170" t="inlineStr">
        <is>
          <t>Financial Hub</t>
        </is>
      </c>
      <c r="C95" s="170" t="n"/>
      <c r="D95" s="170" t="n"/>
      <c r="E95" s="170" t="n"/>
      <c r="F95" s="170" t="n"/>
      <c r="G95" s="161">
        <f>SUMPRODUCT(('MTD Pivot'!$B$3:$B$300=$B95)*('MTD Pivot'!$C$3:$C$300=$A$89)*('MTD Pivot'!$D$2:$K$2=G$2)*'MTD Pivot'!$D$3:$K$300)</f>
        <v/>
      </c>
      <c r="H95" s="161">
        <f>SUMPRODUCT(('MTD Pivot'!$B$3:$B$300=$B95)*('MTD Pivot'!$C$3:$C$300=$A$89)*('MTD Pivot'!$D$2:$K$2=H$2)*'MTD Pivot'!$D$3:$K$300)</f>
        <v/>
      </c>
      <c r="I95" s="161">
        <f>SUMPRODUCT(('MTD Pivot'!$B$3:$B$300=$B95)*('MTD Pivot'!$C$3:$C$300=$A$89)*('MTD Pivot'!$D$2:$K$2=I$2)*'MTD Pivot'!$D$3:$K$300)</f>
        <v/>
      </c>
      <c r="J95" s="161">
        <f>SUMPRODUCT(('MTD Pivot'!$B$3:$B$300=$B95)*('MTD Pivot'!$C$3:$C$300=$A$89)*('MTD Pivot'!$D$2:$K$2=J$2)*'MTD Pivot'!$D$3:$K$300)</f>
        <v/>
      </c>
      <c r="K95" s="161">
        <f>SUMPRODUCT(('MTD Pivot'!$B$3:$B$300=$B95)*('MTD Pivot'!$C$3:$C$300=$A$89)*('MTD Pivot'!$D$2:$K$2=K$2)*'MTD Pivot'!$D$3:$K$300)</f>
        <v/>
      </c>
      <c r="L95" s="161">
        <f>SUMPRODUCT(('MTD Pivot'!$B$3:$B$300=$B95)*('MTD Pivot'!$C$3:$C$300=$A$89)*('MTD Pivot'!$D$2:$K$2=L$2)*'MTD Pivot'!$D$3:$K$300)</f>
        <v/>
      </c>
      <c r="M95" s="161" t="n"/>
      <c r="N95" s="161" t="n"/>
      <c r="O95" s="143">
        <f>L95-K95</f>
        <v/>
      </c>
      <c r="P95" s="170" t="n"/>
      <c r="Q95" s="170" t="n"/>
      <c r="R95" s="170" t="n"/>
      <c r="S95" s="170" t="n"/>
      <c r="T95" s="170" t="n"/>
      <c r="U95" s="170" t="n"/>
      <c r="V95" s="161">
        <f>SUMPRODUCT(('Full month Pivot'!$B$3:$B$300=$B95)*('Full month Pivot'!$C$3:$C$300=$A$89)*('Full month Pivot'!$D$2:$K$2=V$2)*'Full month Pivot'!$D$3:$K$300)</f>
        <v/>
      </c>
      <c r="W95" s="161">
        <f>SUMPRODUCT(('Full month Pivot'!$B$3:$B$300=$B95)*('Full month Pivot'!$C$3:$C$300=$A$89)*('Full month Pivot'!$D$2:$K$2=W$2)*'Full month Pivot'!$D$3:$K$300)</f>
        <v/>
      </c>
      <c r="X95" s="161">
        <f>SUMPRODUCT(('Full month Pivot'!$B$3:$B$300=$B95)*('Full month Pivot'!$C$3:$C$300=$A$89)*('Full month Pivot'!$D$2:$K$2=X$2)*'Full month Pivot'!$D$3:$K$300)</f>
        <v/>
      </c>
      <c r="Y95" s="161">
        <f>SUMPRODUCT(('Full month Pivot'!$B$3:$B$300=$B95)*('Full month Pivot'!$C$3:$C$300=$A$89)*('Full month Pivot'!$D$2:$K$2=Y$2)*'Full month Pivot'!$D$3:$K$300)</f>
        <v/>
      </c>
      <c r="Z95" s="161">
        <f>SUMPRODUCT(('Full month Pivot'!$B$3:$B$300=$B95)*('Full month Pivot'!$C$3:$C$300=$A$89)*('Full month Pivot'!$D$2:$K$2=Z$2)*'Full month Pivot'!$D$3:$K$300)</f>
        <v/>
      </c>
      <c r="AA95" s="161">
        <f>SUMPRODUCT(('Full month Pivot'!$B$3:$B$300=$B95)*('Full month Pivot'!$C$3:$C$300=$A$89)*('Full month Pivot'!$D$2:$K$2=AA$2)*'Full month Pivot'!$D$3:$K$300)</f>
        <v/>
      </c>
      <c r="AB95" s="161" t="n"/>
      <c r="AC95" s="161" t="n"/>
      <c r="AD95" s="143">
        <f>AA95-Z95</f>
        <v/>
      </c>
      <c r="AE95" s="170" t="n"/>
      <c r="AF95" s="170" t="n"/>
      <c r="AG95" s="170" t="n"/>
      <c r="AH95" s="170" t="n"/>
      <c r="AI95" s="170" t="n"/>
      <c r="AJ95" s="170" t="n"/>
    </row>
    <row r="96" hidden="1" outlineLevel="1" ht="15" customHeight="1" s="239">
      <c r="A96" s="170" t="n"/>
      <c r="B96" s="170" t="inlineStr">
        <is>
          <t>Vé Xe</t>
        </is>
      </c>
      <c r="C96" s="170" t="n"/>
      <c r="D96" s="170" t="n"/>
      <c r="E96" s="170" t="n"/>
      <c r="F96" s="170" t="n"/>
      <c r="G96" s="161">
        <f>SUMPRODUCT(('MTD Pivot'!$B$3:$B$300=$B96)*('MTD Pivot'!$C$3:$C$300=$A$89)*('MTD Pivot'!$D$2:$K$2=G$2)*'MTD Pivot'!$D$3:$K$300)</f>
        <v/>
      </c>
      <c r="H96" s="161">
        <f>SUMPRODUCT(('MTD Pivot'!$B$3:$B$300=$B96)*('MTD Pivot'!$C$3:$C$300=$A$89)*('MTD Pivot'!$D$2:$K$2=H$2)*'MTD Pivot'!$D$3:$K$300)</f>
        <v/>
      </c>
      <c r="I96" s="161">
        <f>SUMPRODUCT(('MTD Pivot'!$B$3:$B$300=$B96)*('MTD Pivot'!$C$3:$C$300=$A$89)*('MTD Pivot'!$D$2:$K$2=I$2)*'MTD Pivot'!$D$3:$K$300)</f>
        <v/>
      </c>
      <c r="J96" s="161">
        <f>SUMPRODUCT(('MTD Pivot'!$B$3:$B$300=$B96)*('MTD Pivot'!$C$3:$C$300=$A$89)*('MTD Pivot'!$D$2:$K$2=J$2)*'MTD Pivot'!$D$3:$K$300)</f>
        <v/>
      </c>
      <c r="K96" s="161">
        <f>SUMPRODUCT(('MTD Pivot'!$B$3:$B$300=$B96)*('MTD Pivot'!$C$3:$C$300=$A$89)*('MTD Pivot'!$D$2:$K$2=K$2)*'MTD Pivot'!$D$3:$K$300)</f>
        <v/>
      </c>
      <c r="L96" s="161">
        <f>SUMPRODUCT(('MTD Pivot'!$B$3:$B$300=$B96)*('MTD Pivot'!$C$3:$C$300=$A$89)*('MTD Pivot'!$D$2:$K$2=L$2)*'MTD Pivot'!$D$3:$K$300)</f>
        <v/>
      </c>
      <c r="M96" s="161" t="n"/>
      <c r="N96" s="161" t="n"/>
      <c r="O96" s="143">
        <f>L96-K96</f>
        <v/>
      </c>
      <c r="P96" s="170" t="n"/>
      <c r="Q96" s="170" t="n"/>
      <c r="R96" s="170" t="n"/>
      <c r="S96" s="170" t="n"/>
      <c r="T96" s="170" t="n"/>
      <c r="U96" s="170" t="n"/>
      <c r="V96" s="161">
        <f>SUMPRODUCT(('Full month Pivot'!$B$3:$B$300=$B96)*('Full month Pivot'!$C$3:$C$300=$A$89)*('Full month Pivot'!$D$2:$K$2=V$2)*'Full month Pivot'!$D$3:$K$300)</f>
        <v/>
      </c>
      <c r="W96" s="161">
        <f>SUMPRODUCT(('Full month Pivot'!$B$3:$B$300=$B96)*('Full month Pivot'!$C$3:$C$300=$A$89)*('Full month Pivot'!$D$2:$K$2=W$2)*'Full month Pivot'!$D$3:$K$300)</f>
        <v/>
      </c>
      <c r="X96" s="161">
        <f>SUMPRODUCT(('Full month Pivot'!$B$3:$B$300=$B96)*('Full month Pivot'!$C$3:$C$300=$A$89)*('Full month Pivot'!$D$2:$K$2=X$2)*'Full month Pivot'!$D$3:$K$300)</f>
        <v/>
      </c>
      <c r="Y96" s="161">
        <f>SUMPRODUCT(('Full month Pivot'!$B$3:$B$300=$B96)*('Full month Pivot'!$C$3:$C$300=$A$89)*('Full month Pivot'!$D$2:$K$2=Y$2)*'Full month Pivot'!$D$3:$K$300)</f>
        <v/>
      </c>
      <c r="Z96" s="161">
        <f>SUMPRODUCT(('Full month Pivot'!$B$3:$B$300=$B96)*('Full month Pivot'!$C$3:$C$300=$A$89)*('Full month Pivot'!$D$2:$K$2=Z$2)*'Full month Pivot'!$D$3:$K$300)</f>
        <v/>
      </c>
      <c r="AA96" s="161">
        <f>SUMPRODUCT(('Full month Pivot'!$B$3:$B$300=$B96)*('Full month Pivot'!$C$3:$C$300=$A$89)*('Full month Pivot'!$D$2:$K$2=AA$2)*'Full month Pivot'!$D$3:$K$300)</f>
        <v/>
      </c>
      <c r="AB96" s="161" t="n"/>
      <c r="AC96" s="161" t="n"/>
      <c r="AD96" s="143">
        <f>AA96-Z96</f>
        <v/>
      </c>
      <c r="AE96" s="170" t="n"/>
      <c r="AF96" s="170" t="n"/>
      <c r="AG96" s="170" t="n"/>
      <c r="AH96" s="170" t="n"/>
      <c r="AI96" s="170" t="n"/>
      <c r="AJ96" s="170" t="n"/>
    </row>
    <row r="97" hidden="1" outlineLevel="1" ht="15" customHeight="1" s="239">
      <c r="A97" s="170" t="n"/>
      <c r="B97" s="170" t="inlineStr">
        <is>
          <t>OTA</t>
        </is>
      </c>
      <c r="C97" s="170" t="n"/>
      <c r="D97" s="170" t="n"/>
      <c r="E97" s="170" t="n"/>
      <c r="F97" s="170" t="n"/>
      <c r="G97" s="161">
        <f>SUMPRODUCT(('MTD Pivot'!$B$3:$B$300=$B97)*('MTD Pivot'!$C$3:$C$300=$A$89)*('MTD Pivot'!$D$2:$K$2=G$2)*'MTD Pivot'!$D$3:$K$300)</f>
        <v/>
      </c>
      <c r="H97" s="161">
        <f>SUMPRODUCT(('MTD Pivot'!$B$3:$B$300=$B97)*('MTD Pivot'!$C$3:$C$300=$A$89)*('MTD Pivot'!$D$2:$K$2=H$2)*'MTD Pivot'!$D$3:$K$300)</f>
        <v/>
      </c>
      <c r="I97" s="161">
        <f>SUMPRODUCT(('MTD Pivot'!$B$3:$B$300=$B97)*('MTD Pivot'!$C$3:$C$300=$A$89)*('MTD Pivot'!$D$2:$K$2=I$2)*'MTD Pivot'!$D$3:$K$300)</f>
        <v/>
      </c>
      <c r="J97" s="161">
        <f>SUMPRODUCT(('MTD Pivot'!$B$3:$B$300=$B97)*('MTD Pivot'!$C$3:$C$300=$A$89)*('MTD Pivot'!$D$2:$K$2=J$2)*'MTD Pivot'!$D$3:$K$300)</f>
        <v/>
      </c>
      <c r="K97" s="161">
        <f>SUMPRODUCT(('MTD Pivot'!$B$3:$B$300=$B97)*('MTD Pivot'!$C$3:$C$300=$A$89)*('MTD Pivot'!$D$2:$K$2=K$2)*'MTD Pivot'!$D$3:$K$300)</f>
        <v/>
      </c>
      <c r="L97" s="161">
        <f>SUMPRODUCT(('MTD Pivot'!$B$3:$B$300=$B97)*('MTD Pivot'!$C$3:$C$300=$A$89)*('MTD Pivot'!$D$2:$K$2=L$2)*'MTD Pivot'!$D$3:$K$300)</f>
        <v/>
      </c>
      <c r="M97" s="161" t="n"/>
      <c r="N97" s="161" t="n"/>
      <c r="O97" s="143">
        <f>L97-K97</f>
        <v/>
      </c>
      <c r="P97" s="170" t="n"/>
      <c r="Q97" s="170" t="n"/>
      <c r="R97" s="170" t="n"/>
      <c r="S97" s="170" t="n"/>
      <c r="T97" s="170" t="n"/>
      <c r="U97" s="170" t="n"/>
      <c r="V97" s="161">
        <f>SUMPRODUCT(('Full month Pivot'!$B$3:$B$300=$B97)*('Full month Pivot'!$C$3:$C$300=$A$89)*('Full month Pivot'!$D$2:$K$2=V$2)*'Full month Pivot'!$D$3:$K$300)</f>
        <v/>
      </c>
      <c r="W97" s="161">
        <f>SUMPRODUCT(('Full month Pivot'!$B$3:$B$300=$B97)*('Full month Pivot'!$C$3:$C$300=$A$89)*('Full month Pivot'!$D$2:$K$2=W$2)*'Full month Pivot'!$D$3:$K$300)</f>
        <v/>
      </c>
      <c r="X97" s="161">
        <f>SUMPRODUCT(('Full month Pivot'!$B$3:$B$300=$B97)*('Full month Pivot'!$C$3:$C$300=$A$89)*('Full month Pivot'!$D$2:$K$2=X$2)*'Full month Pivot'!$D$3:$K$300)</f>
        <v/>
      </c>
      <c r="Y97" s="161">
        <f>SUMPRODUCT(('Full month Pivot'!$B$3:$B$300=$B97)*('Full month Pivot'!$C$3:$C$300=$A$89)*('Full month Pivot'!$D$2:$K$2=Y$2)*'Full month Pivot'!$D$3:$K$300)</f>
        <v/>
      </c>
      <c r="Z97" s="161">
        <f>SUMPRODUCT(('Full month Pivot'!$B$3:$B$300=$B97)*('Full month Pivot'!$C$3:$C$300=$A$89)*('Full month Pivot'!$D$2:$K$2=Z$2)*'Full month Pivot'!$D$3:$K$300)</f>
        <v/>
      </c>
      <c r="AA97" s="161">
        <f>SUMPRODUCT(('Full month Pivot'!$B$3:$B$300=$B97)*('Full month Pivot'!$C$3:$C$300=$A$89)*('Full month Pivot'!$D$2:$K$2=AA$2)*'Full month Pivot'!$D$3:$K$300)</f>
        <v/>
      </c>
      <c r="AB97" s="161" t="n"/>
      <c r="AC97" s="161" t="n"/>
      <c r="AD97" s="143">
        <f>AA97-Z97</f>
        <v/>
      </c>
      <c r="AE97" s="170" t="n"/>
      <c r="AF97" s="170" t="n"/>
      <c r="AG97" s="170" t="n"/>
      <c r="AH97" s="170" t="n"/>
      <c r="AI97" s="170" t="n"/>
      <c r="AJ97" s="170" t="n"/>
    </row>
    <row r="98" hidden="1" outlineLevel="1" ht="15" customHeight="1" s="239">
      <c r="A98" s="170" t="n"/>
      <c r="B98" s="170" t="inlineStr">
        <is>
          <t>Merchant</t>
        </is>
      </c>
      <c r="C98" s="170" t="n"/>
      <c r="D98" s="170" t="n"/>
      <c r="E98" s="170" t="n"/>
      <c r="F98" s="170" t="n"/>
      <c r="G98" s="161">
        <f>SUMPRODUCT(('MTD Pivot'!$B$3:$B$300=$B98)*('MTD Pivot'!$C$3:$C$300=$A$89)*('MTD Pivot'!$D$2:$K$2=G$2)*'MTD Pivot'!$D$3:$K$300)</f>
        <v/>
      </c>
      <c r="H98" s="161">
        <f>SUMPRODUCT(('MTD Pivot'!$B$3:$B$300=$B98)*('MTD Pivot'!$C$3:$C$300=$A$89)*('MTD Pivot'!$D$2:$K$2=H$2)*'MTD Pivot'!$D$3:$K$300)</f>
        <v/>
      </c>
      <c r="I98" s="161">
        <f>SUMPRODUCT(('MTD Pivot'!$B$3:$B$300=$B98)*('MTD Pivot'!$C$3:$C$300=$A$89)*('MTD Pivot'!$D$2:$K$2=I$2)*'MTD Pivot'!$D$3:$K$300)</f>
        <v/>
      </c>
      <c r="J98" s="161">
        <f>SUMPRODUCT(('MTD Pivot'!$B$3:$B$300=$B98)*('MTD Pivot'!$C$3:$C$300=$A$89)*('MTD Pivot'!$D$2:$K$2=J$2)*'MTD Pivot'!$D$3:$K$300)</f>
        <v/>
      </c>
      <c r="K98" s="161">
        <f>SUMPRODUCT(('MTD Pivot'!$B$3:$B$300=$B98)*('MTD Pivot'!$C$3:$C$300=$A$89)*('MTD Pivot'!$D$2:$K$2=K$2)*'MTD Pivot'!$D$3:$K$300)</f>
        <v/>
      </c>
      <c r="L98" s="161">
        <f>SUMPRODUCT(('MTD Pivot'!$B$3:$B$300=$B98)*('MTD Pivot'!$C$3:$C$300=$A$89)*('MTD Pivot'!$D$2:$K$2=L$2)*'MTD Pivot'!$D$3:$K$300)</f>
        <v/>
      </c>
      <c r="M98" s="161" t="n"/>
      <c r="N98" s="161" t="n"/>
      <c r="O98" s="143">
        <f>L98-K98</f>
        <v/>
      </c>
      <c r="P98" s="170" t="n"/>
      <c r="Q98" s="170" t="n"/>
      <c r="R98" s="170" t="n"/>
      <c r="S98" s="170" t="n"/>
      <c r="T98" s="170" t="n"/>
      <c r="U98" s="170" t="n"/>
      <c r="V98" s="161">
        <f>SUMPRODUCT(('Full month Pivot'!$B$3:$B$300=$B98)*('Full month Pivot'!$C$3:$C$300=$A$89)*('Full month Pivot'!$D$2:$K$2=V$2)*'Full month Pivot'!$D$3:$K$300)</f>
        <v/>
      </c>
      <c r="W98" s="161">
        <f>SUMPRODUCT(('Full month Pivot'!$B$3:$B$300=$B98)*('Full month Pivot'!$C$3:$C$300=$A$89)*('Full month Pivot'!$D$2:$K$2=W$2)*'Full month Pivot'!$D$3:$K$300)</f>
        <v/>
      </c>
      <c r="X98" s="161">
        <f>SUMPRODUCT(('Full month Pivot'!$B$3:$B$300=$B98)*('Full month Pivot'!$C$3:$C$300=$A$89)*('Full month Pivot'!$D$2:$K$2=X$2)*'Full month Pivot'!$D$3:$K$300)</f>
        <v/>
      </c>
      <c r="Y98" s="161">
        <f>SUMPRODUCT(('Full month Pivot'!$B$3:$B$300=$B98)*('Full month Pivot'!$C$3:$C$300=$A$89)*('Full month Pivot'!$D$2:$K$2=Y$2)*'Full month Pivot'!$D$3:$K$300)</f>
        <v/>
      </c>
      <c r="Z98" s="161">
        <f>SUMPRODUCT(('Full month Pivot'!$B$3:$B$300=$B98)*('Full month Pivot'!$C$3:$C$300=$A$89)*('Full month Pivot'!$D$2:$K$2=Z$2)*'Full month Pivot'!$D$3:$K$300)</f>
        <v/>
      </c>
      <c r="AA98" s="161">
        <f>SUMPRODUCT(('Full month Pivot'!$B$3:$B$300=$B98)*('Full month Pivot'!$C$3:$C$300=$A$89)*('Full month Pivot'!$D$2:$K$2=AA$2)*'Full month Pivot'!$D$3:$K$300)</f>
        <v/>
      </c>
      <c r="AB98" s="161" t="n"/>
      <c r="AC98" s="161" t="n"/>
      <c r="AD98" s="143">
        <f>AA98-Z98</f>
        <v/>
      </c>
      <c r="AE98" s="170" t="n"/>
      <c r="AF98" s="170" t="n"/>
      <c r="AG98" s="170" t="n"/>
      <c r="AH98" s="170" t="n"/>
      <c r="AI98" s="170" t="n"/>
      <c r="AJ98" s="170" t="n"/>
    </row>
    <row r="99" hidden="1" outlineLevel="1" ht="15" customHeight="1" s="239">
      <c r="A99" s="170" t="n"/>
      <c r="B99" s="170" t="inlineStr">
        <is>
          <t>Sim</t>
        </is>
      </c>
      <c r="C99" s="170" t="n"/>
      <c r="D99" s="170" t="n"/>
      <c r="E99" s="170" t="n"/>
      <c r="F99" s="170" t="n"/>
      <c r="G99" s="161">
        <f>SUMPRODUCT(('MTD Pivot'!$B$3:$B$300=$B99)*('MTD Pivot'!$C$3:$C$300=$A$89)*('MTD Pivot'!$D$2:$K$2=G$2)*'MTD Pivot'!$D$3:$K$300)</f>
        <v/>
      </c>
      <c r="H99" s="161">
        <f>SUMPRODUCT(('MTD Pivot'!$B$3:$B$300=$B99)*('MTD Pivot'!$C$3:$C$300=$A$89)*('MTD Pivot'!$D$2:$K$2=H$2)*'MTD Pivot'!$D$3:$K$300)</f>
        <v/>
      </c>
      <c r="I99" s="161">
        <f>SUMPRODUCT(('MTD Pivot'!$B$3:$B$300=$B99)*('MTD Pivot'!$C$3:$C$300=$A$89)*('MTD Pivot'!$D$2:$K$2=I$2)*'MTD Pivot'!$D$3:$K$300)</f>
        <v/>
      </c>
      <c r="J99" s="161">
        <f>SUMPRODUCT(('MTD Pivot'!$B$3:$B$300=$B99)*('MTD Pivot'!$C$3:$C$300=$A$89)*('MTD Pivot'!$D$2:$K$2=J$2)*'MTD Pivot'!$D$3:$K$300)</f>
        <v/>
      </c>
      <c r="K99" s="161">
        <f>SUMPRODUCT(('MTD Pivot'!$B$3:$B$300=$B99)*('MTD Pivot'!$C$3:$C$300=$A$89)*('MTD Pivot'!$D$2:$K$2=K$2)*'MTD Pivot'!$D$3:$K$300)</f>
        <v/>
      </c>
      <c r="L99" s="161">
        <f>SUMPRODUCT(('MTD Pivot'!$B$3:$B$300=$B99)*('MTD Pivot'!$C$3:$C$300=$A$89)*('MTD Pivot'!$D$2:$K$2=L$2)*'MTD Pivot'!$D$3:$K$300)</f>
        <v/>
      </c>
      <c r="M99" s="161" t="n"/>
      <c r="N99" s="161" t="n"/>
      <c r="O99" s="143">
        <f>L99-K99</f>
        <v/>
      </c>
      <c r="P99" s="170" t="n"/>
      <c r="Q99" s="170" t="n"/>
      <c r="R99" s="170" t="n"/>
      <c r="S99" s="170" t="n"/>
      <c r="T99" s="170" t="n"/>
      <c r="U99" s="170" t="n"/>
      <c r="V99" s="161">
        <f>SUMPRODUCT(('Full month Pivot'!$B$3:$B$300=$B99)*('Full month Pivot'!$C$3:$C$300=$A$89)*('Full month Pivot'!$D$2:$K$2=V$2)*'Full month Pivot'!$D$3:$K$300)</f>
        <v/>
      </c>
      <c r="W99" s="161">
        <f>SUMPRODUCT(('Full month Pivot'!$B$3:$B$300=$B99)*('Full month Pivot'!$C$3:$C$300=$A$89)*('Full month Pivot'!$D$2:$K$2=W$2)*'Full month Pivot'!$D$3:$K$300)</f>
        <v/>
      </c>
      <c r="X99" s="161">
        <f>SUMPRODUCT(('Full month Pivot'!$B$3:$B$300=$B99)*('Full month Pivot'!$C$3:$C$300=$A$89)*('Full month Pivot'!$D$2:$K$2=X$2)*'Full month Pivot'!$D$3:$K$300)</f>
        <v/>
      </c>
      <c r="Y99" s="161">
        <f>SUMPRODUCT(('Full month Pivot'!$B$3:$B$300=$B99)*('Full month Pivot'!$C$3:$C$300=$A$89)*('Full month Pivot'!$D$2:$K$2=Y$2)*'Full month Pivot'!$D$3:$K$300)</f>
        <v/>
      </c>
      <c r="Z99" s="161">
        <f>SUMPRODUCT(('Full month Pivot'!$B$3:$B$300=$B99)*('Full month Pivot'!$C$3:$C$300=$A$89)*('Full month Pivot'!$D$2:$K$2=Z$2)*'Full month Pivot'!$D$3:$K$300)</f>
        <v/>
      </c>
      <c r="AA99" s="161">
        <f>SUMPRODUCT(('Full month Pivot'!$B$3:$B$300=$B99)*('Full month Pivot'!$C$3:$C$300=$A$89)*('Full month Pivot'!$D$2:$K$2=AA$2)*'Full month Pivot'!$D$3:$K$300)</f>
        <v/>
      </c>
      <c r="AB99" s="161" t="n"/>
      <c r="AC99" s="161" t="n"/>
      <c r="AD99" s="143">
        <f>AA99-Z99</f>
        <v/>
      </c>
      <c r="AE99" s="170" t="n"/>
      <c r="AF99" s="170" t="n"/>
      <c r="AG99" s="170" t="n"/>
      <c r="AH99" s="170" t="n"/>
      <c r="AI99" s="170" t="n"/>
      <c r="AJ99" s="170" t="n"/>
    </row>
    <row r="100" hidden="1" outlineLevel="1" ht="15" customHeight="1" s="239">
      <c r="A100" s="170" t="n"/>
      <c r="B100" s="170" t="inlineStr">
        <is>
          <t>Game</t>
        </is>
      </c>
      <c r="C100" s="170" t="n"/>
      <c r="D100" s="170" t="n"/>
      <c r="E100" s="170" t="n"/>
      <c r="F100" s="170" t="n"/>
      <c r="G100" s="161">
        <f>SUMPRODUCT(('MTD Pivot'!$B$3:$B$300=$B100)*('MTD Pivot'!$C$3:$C$300=$A$89)*('MTD Pivot'!$D$2:$K$2=G$2)*'MTD Pivot'!$D$3:$K$300)</f>
        <v/>
      </c>
      <c r="H100" s="161">
        <f>SUMPRODUCT(('MTD Pivot'!$B$3:$B$300=$B100)*('MTD Pivot'!$C$3:$C$300=$A$89)*('MTD Pivot'!$D$2:$K$2=H$2)*'MTD Pivot'!$D$3:$K$300)</f>
        <v/>
      </c>
      <c r="I100" s="161">
        <f>SUMPRODUCT(('MTD Pivot'!$B$3:$B$300=$B100)*('MTD Pivot'!$C$3:$C$300=$A$89)*('MTD Pivot'!$D$2:$K$2=I$2)*'MTD Pivot'!$D$3:$K$300)</f>
        <v/>
      </c>
      <c r="J100" s="161">
        <f>SUMPRODUCT(('MTD Pivot'!$B$3:$B$300=$B100)*('MTD Pivot'!$C$3:$C$300=$A$89)*('MTD Pivot'!$D$2:$K$2=J$2)*'MTD Pivot'!$D$3:$K$300)</f>
        <v/>
      </c>
      <c r="K100" s="161">
        <f>SUMPRODUCT(('MTD Pivot'!$B$3:$B$300=$B100)*('MTD Pivot'!$C$3:$C$300=$A$89)*('MTD Pivot'!$D$2:$K$2=K$2)*'MTD Pivot'!$D$3:$K$300)</f>
        <v/>
      </c>
      <c r="L100" s="161">
        <f>SUMPRODUCT(('MTD Pivot'!$B$3:$B$300=$B100)*('MTD Pivot'!$C$3:$C$300=$A$89)*('MTD Pivot'!$D$2:$K$2=L$2)*'MTD Pivot'!$D$3:$K$300)</f>
        <v/>
      </c>
      <c r="M100" s="161" t="n"/>
      <c r="N100" s="161" t="n"/>
      <c r="O100" s="143">
        <f>L100-K100</f>
        <v/>
      </c>
      <c r="P100" s="170" t="n"/>
      <c r="Q100" s="170" t="n"/>
      <c r="R100" s="170" t="n"/>
      <c r="S100" s="170" t="n"/>
      <c r="T100" s="170" t="n"/>
      <c r="U100" s="170" t="n"/>
      <c r="V100" s="161">
        <f>SUMPRODUCT(('Full month Pivot'!$B$3:$B$300=$B100)*('Full month Pivot'!$C$3:$C$300=$A$89)*('Full month Pivot'!$D$2:$K$2=V$2)*'Full month Pivot'!$D$3:$K$300)</f>
        <v/>
      </c>
      <c r="W100" s="161">
        <f>SUMPRODUCT(('Full month Pivot'!$B$3:$B$300=$B100)*('Full month Pivot'!$C$3:$C$300=$A$89)*('Full month Pivot'!$D$2:$K$2=W$2)*'Full month Pivot'!$D$3:$K$300)</f>
        <v/>
      </c>
      <c r="X100" s="161">
        <f>SUMPRODUCT(('Full month Pivot'!$B$3:$B$300=$B100)*('Full month Pivot'!$C$3:$C$300=$A$89)*('Full month Pivot'!$D$2:$K$2=X$2)*'Full month Pivot'!$D$3:$K$300)</f>
        <v/>
      </c>
      <c r="Y100" s="161">
        <f>SUMPRODUCT(('Full month Pivot'!$B$3:$B$300=$B100)*('Full month Pivot'!$C$3:$C$300=$A$89)*('Full month Pivot'!$D$2:$K$2=Y$2)*'Full month Pivot'!$D$3:$K$300)</f>
        <v/>
      </c>
      <c r="Z100" s="161">
        <f>SUMPRODUCT(('Full month Pivot'!$B$3:$B$300=$B100)*('Full month Pivot'!$C$3:$C$300=$A$89)*('Full month Pivot'!$D$2:$K$2=Z$2)*'Full month Pivot'!$D$3:$K$300)</f>
        <v/>
      </c>
      <c r="AA100" s="161">
        <f>SUMPRODUCT(('Full month Pivot'!$B$3:$B$300=$B100)*('Full month Pivot'!$C$3:$C$300=$A$89)*('Full month Pivot'!$D$2:$K$2=AA$2)*'Full month Pivot'!$D$3:$K$300)</f>
        <v/>
      </c>
      <c r="AB100" s="161" t="n"/>
      <c r="AC100" s="161" t="n"/>
      <c r="AD100" s="143">
        <f>AA100-Z100</f>
        <v/>
      </c>
      <c r="AE100" s="170" t="n"/>
      <c r="AF100" s="170" t="n"/>
      <c r="AG100" s="170" t="n"/>
      <c r="AH100" s="170" t="n"/>
      <c r="AI100" s="170" t="n"/>
      <c r="AJ100" s="170" t="n"/>
    </row>
    <row r="101" hidden="1" outlineLevel="1" ht="15" customHeight="1" s="239">
      <c r="A101" s="170" t="n"/>
      <c r="B101" s="170" t="inlineStr">
        <is>
          <t>Bảo Hiểm Ô Tô</t>
        </is>
      </c>
      <c r="C101" s="170" t="n"/>
      <c r="D101" s="170" t="n"/>
      <c r="E101" s="170" t="n"/>
      <c r="F101" s="170" t="n"/>
      <c r="G101" s="161">
        <f>SUMPRODUCT(('MTD Pivot'!$B$3:$B$300=$B101)*('MTD Pivot'!$C$3:$C$300=$A$89)*('MTD Pivot'!$D$2:$K$2=G$2)*'MTD Pivot'!$D$3:$K$300)</f>
        <v/>
      </c>
      <c r="H101" s="161">
        <f>SUMPRODUCT(('MTD Pivot'!$B$3:$B$300=$B101)*('MTD Pivot'!$C$3:$C$300=$A$89)*('MTD Pivot'!$D$2:$K$2=H$2)*'MTD Pivot'!$D$3:$K$300)</f>
        <v/>
      </c>
      <c r="I101" s="161">
        <f>SUMPRODUCT(('MTD Pivot'!$B$3:$B$300=$B101)*('MTD Pivot'!$C$3:$C$300=$A$89)*('MTD Pivot'!$D$2:$K$2=I$2)*'MTD Pivot'!$D$3:$K$300)</f>
        <v/>
      </c>
      <c r="J101" s="161">
        <f>SUMPRODUCT(('MTD Pivot'!$B$3:$B$300=$B101)*('MTD Pivot'!$C$3:$C$300=$A$89)*('MTD Pivot'!$D$2:$K$2=J$2)*'MTD Pivot'!$D$3:$K$300)</f>
        <v/>
      </c>
      <c r="K101" s="161">
        <f>SUMPRODUCT(('MTD Pivot'!$B$3:$B$300=$B101)*('MTD Pivot'!$C$3:$C$300=$A$89)*('MTD Pivot'!$D$2:$K$2=K$2)*'MTD Pivot'!$D$3:$K$300)</f>
        <v/>
      </c>
      <c r="L101" s="161">
        <f>SUMPRODUCT(('MTD Pivot'!$B$3:$B$300=$B101)*('MTD Pivot'!$C$3:$C$300=$A$89)*('MTD Pivot'!$D$2:$K$2=L$2)*'MTD Pivot'!$D$3:$K$300)</f>
        <v/>
      </c>
      <c r="M101" s="161" t="n"/>
      <c r="N101" s="161" t="n"/>
      <c r="O101" s="143">
        <f>L101-K101</f>
        <v/>
      </c>
      <c r="P101" s="170" t="n"/>
      <c r="Q101" s="170" t="n"/>
      <c r="R101" s="170" t="n"/>
      <c r="S101" s="170" t="n"/>
      <c r="T101" s="170" t="n"/>
      <c r="U101" s="170" t="n"/>
      <c r="V101" s="161">
        <f>SUMPRODUCT(('Full month Pivot'!$B$3:$B$300=$B101)*('Full month Pivot'!$C$3:$C$300=$A$89)*('Full month Pivot'!$D$2:$K$2=V$2)*'Full month Pivot'!$D$3:$K$300)</f>
        <v/>
      </c>
      <c r="W101" s="161">
        <f>SUMPRODUCT(('Full month Pivot'!$B$3:$B$300=$B101)*('Full month Pivot'!$C$3:$C$300=$A$89)*('Full month Pivot'!$D$2:$K$2=W$2)*'Full month Pivot'!$D$3:$K$300)</f>
        <v/>
      </c>
      <c r="X101" s="161">
        <f>SUMPRODUCT(('Full month Pivot'!$B$3:$B$300=$B101)*('Full month Pivot'!$C$3:$C$300=$A$89)*('Full month Pivot'!$D$2:$K$2=X$2)*'Full month Pivot'!$D$3:$K$300)</f>
        <v/>
      </c>
      <c r="Y101" s="161">
        <f>SUMPRODUCT(('Full month Pivot'!$B$3:$B$300=$B101)*('Full month Pivot'!$C$3:$C$300=$A$89)*('Full month Pivot'!$D$2:$K$2=Y$2)*'Full month Pivot'!$D$3:$K$300)</f>
        <v/>
      </c>
      <c r="Z101" s="161">
        <f>SUMPRODUCT(('Full month Pivot'!$B$3:$B$300=$B101)*('Full month Pivot'!$C$3:$C$300=$A$89)*('Full month Pivot'!$D$2:$K$2=Z$2)*'Full month Pivot'!$D$3:$K$300)</f>
        <v/>
      </c>
      <c r="AA101" s="161">
        <f>SUMPRODUCT(('Full month Pivot'!$B$3:$B$300=$B101)*('Full month Pivot'!$C$3:$C$300=$A$89)*('Full month Pivot'!$D$2:$K$2=AA$2)*'Full month Pivot'!$D$3:$K$300)</f>
        <v/>
      </c>
      <c r="AB101" s="161" t="n"/>
      <c r="AC101" s="161" t="n"/>
      <c r="AD101" s="143">
        <f>AA101-Z101</f>
        <v/>
      </c>
      <c r="AE101" s="170" t="n"/>
      <c r="AF101" s="170" t="n"/>
      <c r="AG101" s="170" t="n"/>
      <c r="AH101" s="170" t="n"/>
      <c r="AI101" s="170" t="n"/>
      <c r="AJ101" s="170" t="n"/>
    </row>
    <row r="102" hidden="1" outlineLevel="1" ht="15" customHeight="1" s="239">
      <c r="A102" s="170" t="n"/>
      <c r="B102" s="170" t="inlineStr">
        <is>
          <t>Bảo Hiểm Xe Máy</t>
        </is>
      </c>
      <c r="C102" s="170" t="n"/>
      <c r="D102" s="170" t="n"/>
      <c r="E102" s="170" t="n"/>
      <c r="F102" s="170" t="n"/>
      <c r="G102" s="161">
        <f>SUMPRODUCT(('MTD Pivot'!$B$3:$B$300=$B102)*('MTD Pivot'!$C$3:$C$300=$A$89)*('MTD Pivot'!$D$2:$K$2=G$2)*'MTD Pivot'!$D$3:$K$300)</f>
        <v/>
      </c>
      <c r="H102" s="161">
        <f>SUMPRODUCT(('MTD Pivot'!$B$3:$B$300=$B102)*('MTD Pivot'!$C$3:$C$300=$A$89)*('MTD Pivot'!$D$2:$K$2=H$2)*'MTD Pivot'!$D$3:$K$300)</f>
        <v/>
      </c>
      <c r="I102" s="161">
        <f>SUMPRODUCT(('MTD Pivot'!$B$3:$B$300=$B102)*('MTD Pivot'!$C$3:$C$300=$A$89)*('MTD Pivot'!$D$2:$K$2=I$2)*'MTD Pivot'!$D$3:$K$300)</f>
        <v/>
      </c>
      <c r="J102" s="161">
        <f>SUMPRODUCT(('MTD Pivot'!$B$3:$B$300=$B102)*('MTD Pivot'!$C$3:$C$300=$A$89)*('MTD Pivot'!$D$2:$K$2=J$2)*'MTD Pivot'!$D$3:$K$300)</f>
        <v/>
      </c>
      <c r="K102" s="161">
        <f>SUMPRODUCT(('MTD Pivot'!$B$3:$B$300=$B102)*('MTD Pivot'!$C$3:$C$300=$A$89)*('MTD Pivot'!$D$2:$K$2=K$2)*'MTD Pivot'!$D$3:$K$300)</f>
        <v/>
      </c>
      <c r="L102" s="161">
        <f>SUMPRODUCT(('MTD Pivot'!$B$3:$B$300=$B102)*('MTD Pivot'!$C$3:$C$300=$A$89)*('MTD Pivot'!$D$2:$K$2=L$2)*'MTD Pivot'!$D$3:$K$300)</f>
        <v/>
      </c>
      <c r="M102" s="161" t="n"/>
      <c r="N102" s="161" t="n"/>
      <c r="O102" s="143">
        <f>L102-K102</f>
        <v/>
      </c>
      <c r="P102" s="170" t="n"/>
      <c r="Q102" s="170" t="n"/>
      <c r="R102" s="170" t="n"/>
      <c r="S102" s="170" t="n"/>
      <c r="T102" s="170" t="n"/>
      <c r="U102" s="170" t="n"/>
      <c r="V102" s="161">
        <f>SUMPRODUCT(('Full month Pivot'!$B$3:$B$300=$B102)*('Full month Pivot'!$C$3:$C$300=$A$89)*('Full month Pivot'!$D$2:$K$2=V$2)*'Full month Pivot'!$D$3:$K$300)</f>
        <v/>
      </c>
      <c r="W102" s="161">
        <f>SUMPRODUCT(('Full month Pivot'!$B$3:$B$300=$B102)*('Full month Pivot'!$C$3:$C$300=$A$89)*('Full month Pivot'!$D$2:$K$2=W$2)*'Full month Pivot'!$D$3:$K$300)</f>
        <v/>
      </c>
      <c r="X102" s="161">
        <f>SUMPRODUCT(('Full month Pivot'!$B$3:$B$300=$B102)*('Full month Pivot'!$C$3:$C$300=$A$89)*('Full month Pivot'!$D$2:$K$2=X$2)*'Full month Pivot'!$D$3:$K$300)</f>
        <v/>
      </c>
      <c r="Y102" s="161">
        <f>SUMPRODUCT(('Full month Pivot'!$B$3:$B$300=$B102)*('Full month Pivot'!$C$3:$C$300=$A$89)*('Full month Pivot'!$D$2:$K$2=Y$2)*'Full month Pivot'!$D$3:$K$300)</f>
        <v/>
      </c>
      <c r="Z102" s="161">
        <f>SUMPRODUCT(('Full month Pivot'!$B$3:$B$300=$B102)*('Full month Pivot'!$C$3:$C$300=$A$89)*('Full month Pivot'!$D$2:$K$2=Z$2)*'Full month Pivot'!$D$3:$K$300)</f>
        <v/>
      </c>
      <c r="AA102" s="161">
        <f>SUMPRODUCT(('Full month Pivot'!$B$3:$B$300=$B102)*('Full month Pivot'!$C$3:$C$300=$A$89)*('Full month Pivot'!$D$2:$K$2=AA$2)*'Full month Pivot'!$D$3:$K$300)</f>
        <v/>
      </c>
      <c r="AB102" s="161" t="n"/>
      <c r="AC102" s="161" t="n"/>
      <c r="AD102" s="143">
        <f>AA102-Z102</f>
        <v/>
      </c>
      <c r="AE102" s="170" t="n"/>
      <c r="AF102" s="170" t="n"/>
      <c r="AG102" s="170" t="n"/>
      <c r="AH102" s="170" t="n"/>
      <c r="AI102" s="170" t="n"/>
      <c r="AJ102" s="170" t="n"/>
    </row>
    <row r="103" hidden="1" outlineLevel="1" ht="15" customHeight="1" s="239">
      <c r="A103" s="170" t="n"/>
      <c r="B103" s="170" t="inlineStr">
        <is>
          <t>Bảo Hiểm Y Tế</t>
        </is>
      </c>
      <c r="C103" s="170" t="n"/>
      <c r="D103" s="170" t="n"/>
      <c r="E103" s="170" t="n"/>
      <c r="F103" s="170" t="n"/>
      <c r="G103" s="161">
        <f>SUMPRODUCT(('MTD Pivot'!$B$3:$B$300=$B103)*('MTD Pivot'!$C$3:$C$300=$A$89)*('MTD Pivot'!$D$2:$K$2=G$2)*'MTD Pivot'!$D$3:$K$300)</f>
        <v/>
      </c>
      <c r="H103" s="161">
        <f>SUMPRODUCT(('MTD Pivot'!$B$3:$B$300=$B103)*('MTD Pivot'!$C$3:$C$300=$A$89)*('MTD Pivot'!$D$2:$K$2=H$2)*'MTD Pivot'!$D$3:$K$300)</f>
        <v/>
      </c>
      <c r="I103" s="161">
        <f>SUMPRODUCT(('MTD Pivot'!$B$3:$B$300=$B103)*('MTD Pivot'!$C$3:$C$300=$A$89)*('MTD Pivot'!$D$2:$K$2=I$2)*'MTD Pivot'!$D$3:$K$300)</f>
        <v/>
      </c>
      <c r="J103" s="161">
        <f>SUMPRODUCT(('MTD Pivot'!$B$3:$B$300=$B103)*('MTD Pivot'!$C$3:$C$300=$A$89)*('MTD Pivot'!$D$2:$K$2=J$2)*'MTD Pivot'!$D$3:$K$300)</f>
        <v/>
      </c>
      <c r="K103" s="161">
        <f>SUMPRODUCT(('MTD Pivot'!$B$3:$B$300=$B103)*('MTD Pivot'!$C$3:$C$300=$A$89)*('MTD Pivot'!$D$2:$K$2=K$2)*'MTD Pivot'!$D$3:$K$300)</f>
        <v/>
      </c>
      <c r="L103" s="161">
        <f>SUMPRODUCT(('MTD Pivot'!$B$3:$B$300=$B103)*('MTD Pivot'!$C$3:$C$300=$A$89)*('MTD Pivot'!$D$2:$K$2=L$2)*'MTD Pivot'!$D$3:$K$300)</f>
        <v/>
      </c>
      <c r="M103" s="161" t="n"/>
      <c r="N103" s="161" t="n"/>
      <c r="O103" s="143">
        <f>L103-K103</f>
        <v/>
      </c>
      <c r="P103" s="170" t="n"/>
      <c r="Q103" s="170" t="n"/>
      <c r="R103" s="170" t="n"/>
      <c r="S103" s="170" t="n"/>
      <c r="T103" s="170" t="n"/>
      <c r="U103" s="170" t="n"/>
      <c r="V103" s="161">
        <f>SUMPRODUCT(('Full month Pivot'!$B$3:$B$300=$B103)*('Full month Pivot'!$C$3:$C$300=$A$89)*('Full month Pivot'!$D$2:$K$2=V$2)*'Full month Pivot'!$D$3:$K$300)</f>
        <v/>
      </c>
      <c r="W103" s="161">
        <f>SUMPRODUCT(('Full month Pivot'!$B$3:$B$300=$B103)*('Full month Pivot'!$C$3:$C$300=$A$89)*('Full month Pivot'!$D$2:$K$2=W$2)*'Full month Pivot'!$D$3:$K$300)</f>
        <v/>
      </c>
      <c r="X103" s="161">
        <f>SUMPRODUCT(('Full month Pivot'!$B$3:$B$300=$B103)*('Full month Pivot'!$C$3:$C$300=$A$89)*('Full month Pivot'!$D$2:$K$2=X$2)*'Full month Pivot'!$D$3:$K$300)</f>
        <v/>
      </c>
      <c r="Y103" s="161">
        <f>SUMPRODUCT(('Full month Pivot'!$B$3:$B$300=$B103)*('Full month Pivot'!$C$3:$C$300=$A$89)*('Full month Pivot'!$D$2:$K$2=Y$2)*'Full month Pivot'!$D$3:$K$300)</f>
        <v/>
      </c>
      <c r="Z103" s="161">
        <f>SUMPRODUCT(('Full month Pivot'!$B$3:$B$300=$B103)*('Full month Pivot'!$C$3:$C$300=$A$89)*('Full month Pivot'!$D$2:$K$2=Z$2)*'Full month Pivot'!$D$3:$K$300)</f>
        <v/>
      </c>
      <c r="AA103" s="161">
        <f>SUMPRODUCT(('Full month Pivot'!$B$3:$B$300=$B103)*('Full month Pivot'!$C$3:$C$300=$A$89)*('Full month Pivot'!$D$2:$K$2=AA$2)*'Full month Pivot'!$D$3:$K$300)</f>
        <v/>
      </c>
      <c r="AB103" s="161" t="n"/>
      <c r="AC103" s="161" t="n"/>
      <c r="AD103" s="143">
        <f>AA103-Z103</f>
        <v/>
      </c>
      <c r="AE103" s="170" t="n"/>
      <c r="AF103" s="170" t="n"/>
      <c r="AG103" s="170" t="n"/>
      <c r="AH103" s="170" t="n"/>
      <c r="AI103" s="170" t="n"/>
      <c r="AJ103" s="170" t="n"/>
    </row>
    <row r="104" hidden="1" outlineLevel="1" ht="15" customHeight="1" s="239">
      <c r="A104" s="170" t="n"/>
      <c r="B104" s="170" t="inlineStr">
        <is>
          <t>Data</t>
        </is>
      </c>
      <c r="C104" s="170" t="n"/>
      <c r="D104" s="170" t="n"/>
      <c r="E104" s="170" t="n"/>
      <c r="F104" s="170" t="n"/>
      <c r="G104" s="161">
        <f>SUMPRODUCT(('MTD Pivot'!$B$3:$B$300=$B104)*('MTD Pivot'!$C$3:$C$300=$A$89)*('MTD Pivot'!$D$2:$K$2=G$2)*'MTD Pivot'!$D$3:$K$300)</f>
        <v/>
      </c>
      <c r="H104" s="161">
        <f>SUMPRODUCT(('MTD Pivot'!$B$3:$B$300=$B104)*('MTD Pivot'!$C$3:$C$300=$A$89)*('MTD Pivot'!$D$2:$K$2=H$2)*'MTD Pivot'!$D$3:$K$300)</f>
        <v/>
      </c>
      <c r="I104" s="161">
        <f>SUMPRODUCT(('MTD Pivot'!$B$3:$B$300=$B104)*('MTD Pivot'!$C$3:$C$300=$A$89)*('MTD Pivot'!$D$2:$K$2=I$2)*'MTD Pivot'!$D$3:$K$300)</f>
        <v/>
      </c>
      <c r="J104" s="161">
        <f>SUMPRODUCT(('MTD Pivot'!$B$3:$B$300=$B104)*('MTD Pivot'!$C$3:$C$300=$A$89)*('MTD Pivot'!$D$2:$K$2=J$2)*'MTD Pivot'!$D$3:$K$300)</f>
        <v/>
      </c>
      <c r="K104" s="161">
        <f>SUMPRODUCT(('MTD Pivot'!$B$3:$B$300=$B104)*('MTD Pivot'!$C$3:$C$300=$A$89)*('MTD Pivot'!$D$2:$K$2=K$2)*'MTD Pivot'!$D$3:$K$300)</f>
        <v/>
      </c>
      <c r="L104" s="161">
        <f>SUMPRODUCT(('MTD Pivot'!$B$3:$B$300=$B104)*('MTD Pivot'!$C$3:$C$300=$A$89)*('MTD Pivot'!$D$2:$K$2=L$2)*'MTD Pivot'!$D$3:$K$300)</f>
        <v/>
      </c>
      <c r="M104" s="161" t="n"/>
      <c r="N104" s="161" t="n"/>
      <c r="O104" s="143">
        <f>L104-K104</f>
        <v/>
      </c>
      <c r="P104" s="170" t="n"/>
      <c r="Q104" s="170" t="n"/>
      <c r="R104" s="170" t="n"/>
      <c r="S104" s="170" t="n"/>
      <c r="T104" s="170" t="n"/>
      <c r="U104" s="170" t="n"/>
      <c r="V104" s="161">
        <f>SUMPRODUCT(('Full month Pivot'!$B$3:$B$300=$B104)*('Full month Pivot'!$C$3:$C$300=$A$89)*('Full month Pivot'!$D$2:$K$2=V$2)*'Full month Pivot'!$D$3:$K$300)</f>
        <v/>
      </c>
      <c r="W104" s="161">
        <f>SUMPRODUCT(('Full month Pivot'!$B$3:$B$300=$B104)*('Full month Pivot'!$C$3:$C$300=$A$89)*('Full month Pivot'!$D$2:$K$2=W$2)*'Full month Pivot'!$D$3:$K$300)</f>
        <v/>
      </c>
      <c r="X104" s="161">
        <f>SUMPRODUCT(('Full month Pivot'!$B$3:$B$300=$B104)*('Full month Pivot'!$C$3:$C$300=$A$89)*('Full month Pivot'!$D$2:$K$2=X$2)*'Full month Pivot'!$D$3:$K$300)</f>
        <v/>
      </c>
      <c r="Y104" s="161">
        <f>SUMPRODUCT(('Full month Pivot'!$B$3:$B$300=$B104)*('Full month Pivot'!$C$3:$C$300=$A$89)*('Full month Pivot'!$D$2:$K$2=Y$2)*'Full month Pivot'!$D$3:$K$300)</f>
        <v/>
      </c>
      <c r="Z104" s="161">
        <f>SUMPRODUCT(('Full month Pivot'!$B$3:$B$300=$B104)*('Full month Pivot'!$C$3:$C$300=$A$89)*('Full month Pivot'!$D$2:$K$2=Z$2)*'Full month Pivot'!$D$3:$K$300)</f>
        <v/>
      </c>
      <c r="AA104" s="161">
        <f>SUMPRODUCT(('Full month Pivot'!$B$3:$B$300=$B104)*('Full month Pivot'!$C$3:$C$300=$A$89)*('Full month Pivot'!$D$2:$K$2=AA$2)*'Full month Pivot'!$D$3:$K$300)</f>
        <v/>
      </c>
      <c r="AB104" s="161" t="n"/>
      <c r="AC104" s="161" t="n"/>
      <c r="AD104" s="143">
        <f>AA104-Z104</f>
        <v/>
      </c>
      <c r="AE104" s="170" t="n"/>
      <c r="AF104" s="170" t="n"/>
      <c r="AG104" s="170" t="n"/>
      <c r="AH104" s="170" t="n"/>
      <c r="AI104" s="170" t="n"/>
      <c r="AJ104" s="170" t="n"/>
    </row>
    <row r="105" hidden="1" outlineLevel="1" ht="15.75" customHeight="1" s="239">
      <c r="A105" s="170" t="n"/>
      <c r="B105" s="170" t="inlineStr">
        <is>
          <t>Soundbox</t>
        </is>
      </c>
      <c r="C105" s="170" t="n"/>
      <c r="D105" s="170" t="n"/>
      <c r="E105" s="170" t="n"/>
      <c r="F105" s="170" t="n"/>
      <c r="G105" s="161">
        <f>SUMPRODUCT(('MTD Pivot'!$B$3:$B$300=$B105)*('MTD Pivot'!$C$3:$C$300=$A$89)*('MTD Pivot'!$D$2:$K$2=G$2)*'MTD Pivot'!$D$3:$K$300)</f>
        <v/>
      </c>
      <c r="H105" s="161">
        <f>SUMPRODUCT(('MTD Pivot'!$B$3:$B$300=$B105)*('MTD Pivot'!$C$3:$C$300=$A$89)*('MTD Pivot'!$D$2:$K$2=H$2)*'MTD Pivot'!$D$3:$K$300)</f>
        <v/>
      </c>
      <c r="I105" s="161">
        <f>SUMPRODUCT(('MTD Pivot'!$B$3:$B$300=$B105)*('MTD Pivot'!$C$3:$C$300=$A$89)*('MTD Pivot'!$D$2:$K$2=I$2)*'MTD Pivot'!$D$3:$K$300)</f>
        <v/>
      </c>
      <c r="J105" s="161">
        <f>SUMPRODUCT(('MTD Pivot'!$B$3:$B$300=$B105)*('MTD Pivot'!$C$3:$C$300=$A$89)*('MTD Pivot'!$D$2:$K$2=J$2)*'MTD Pivot'!$D$3:$K$300)</f>
        <v/>
      </c>
      <c r="K105" s="161">
        <f>SUMPRODUCT(('MTD Pivot'!$B$3:$B$300=$B105)*('MTD Pivot'!$C$3:$C$300=$A$89)*('MTD Pivot'!$D$2:$K$2=K$2)*'MTD Pivot'!$D$3:$K$300)</f>
        <v/>
      </c>
      <c r="L105" s="161">
        <f>SUMPRODUCT(('MTD Pivot'!$B$3:$B$300=$B105)*('MTD Pivot'!$C$3:$C$300=$A$89)*('MTD Pivot'!$D$2:$K$2=L$2)*'MTD Pivot'!$D$3:$K$300)</f>
        <v/>
      </c>
      <c r="M105" s="161" t="n"/>
      <c r="N105" s="161" t="n"/>
      <c r="O105" s="143">
        <f>L105-K105</f>
        <v/>
      </c>
      <c r="P105" s="170" t="n"/>
      <c r="Q105" s="170" t="n"/>
      <c r="R105" s="170" t="n"/>
      <c r="S105" s="170" t="n"/>
      <c r="T105" s="170" t="n"/>
      <c r="U105" s="170" t="n"/>
      <c r="V105" s="161">
        <f>SUMPRODUCT(('Full month Pivot'!$B$3:$B$300=$B105)*('Full month Pivot'!$C$3:$C$300=$A$89)*('Full month Pivot'!$D$2:$K$2=V$2)*'Full month Pivot'!$D$3:$K$300)</f>
        <v/>
      </c>
      <c r="W105" s="161">
        <f>SUMPRODUCT(('Full month Pivot'!$B$3:$B$300=$B105)*('Full month Pivot'!$C$3:$C$300=$A$89)*('Full month Pivot'!$D$2:$K$2=W$2)*'Full month Pivot'!$D$3:$K$300)</f>
        <v/>
      </c>
      <c r="X105" s="161">
        <f>SUMPRODUCT(('Full month Pivot'!$B$3:$B$300=$B105)*('Full month Pivot'!$C$3:$C$300=$A$89)*('Full month Pivot'!$D$2:$K$2=X$2)*'Full month Pivot'!$D$3:$K$300)</f>
        <v/>
      </c>
      <c r="Y105" s="161">
        <f>SUMPRODUCT(('Full month Pivot'!$B$3:$B$300=$B105)*('Full month Pivot'!$C$3:$C$300=$A$89)*('Full month Pivot'!$D$2:$K$2=Y$2)*'Full month Pivot'!$D$3:$K$300)</f>
        <v/>
      </c>
      <c r="Z105" s="161">
        <f>SUMPRODUCT(('Full month Pivot'!$B$3:$B$300=$B105)*('Full month Pivot'!$C$3:$C$300=$A$89)*('Full month Pivot'!$D$2:$K$2=Z$2)*'Full month Pivot'!$D$3:$K$300)</f>
        <v/>
      </c>
      <c r="AA105" s="161">
        <f>SUMPRODUCT(('Full month Pivot'!$B$3:$B$300=$B105)*('Full month Pivot'!$C$3:$C$300=$A$89)*('Full month Pivot'!$D$2:$K$2=AA$2)*'Full month Pivot'!$D$3:$K$300)</f>
        <v/>
      </c>
      <c r="AB105" s="161" t="n"/>
      <c r="AC105" s="161" t="n"/>
      <c r="AD105" s="143">
        <f>AA105-Z105</f>
        <v/>
      </c>
      <c r="AE105" s="170" t="n"/>
      <c r="AF105" s="170" t="n"/>
      <c r="AG105" s="170" t="n"/>
      <c r="AH105" s="170" t="n"/>
      <c r="AI105" s="170" t="n"/>
      <c r="AJ105" s="170" t="n"/>
    </row>
    <row r="106" hidden="1" outlineLevel="1" ht="15.75" customHeight="1" s="239">
      <c r="A106" s="170" t="n"/>
      <c r="B106" s="170" t="inlineStr">
        <is>
          <t>New User</t>
        </is>
      </c>
      <c r="C106" s="170" t="n"/>
      <c r="D106" s="170" t="n"/>
      <c r="E106" s="170" t="n"/>
      <c r="F106" s="170" t="n"/>
      <c r="G106" s="161">
        <f>SUMPRODUCT(('MTD Pivot'!$B$3:$B$300=$B106)*('MTD Pivot'!$C$3:$C$300=$A$89)*('MTD Pivot'!$D$2:$K$2=G$2)*'MTD Pivot'!$D$3:$K$300)</f>
        <v/>
      </c>
      <c r="H106" s="161">
        <f>SUMPRODUCT(('MTD Pivot'!$B$3:$B$300=$B106)*('MTD Pivot'!$C$3:$C$300=$A$89)*('MTD Pivot'!$D$2:$K$2=H$2)*'MTD Pivot'!$D$3:$K$300)</f>
        <v/>
      </c>
      <c r="I106" s="161">
        <f>SUMPRODUCT(('MTD Pivot'!$B$3:$B$300=$B106)*('MTD Pivot'!$C$3:$C$300=$A$89)*('MTD Pivot'!$D$2:$K$2=I$2)*'MTD Pivot'!$D$3:$K$300)</f>
        <v/>
      </c>
      <c r="J106" s="161">
        <f>SUMPRODUCT(('MTD Pivot'!$B$3:$B$300=$B106)*('MTD Pivot'!$C$3:$C$300=$A$89)*('MTD Pivot'!$D$2:$K$2=J$2)*'MTD Pivot'!$D$3:$K$300)</f>
        <v/>
      </c>
      <c r="K106" s="161">
        <f>SUMPRODUCT(('MTD Pivot'!$B$3:$B$300=$B106)*('MTD Pivot'!$C$3:$C$300=$A$89)*('MTD Pivot'!$D$2:$K$2=K$2)*'MTD Pivot'!$D$3:$K$300)</f>
        <v/>
      </c>
      <c r="L106" s="161">
        <f>SUMPRODUCT(('MTD Pivot'!$B$3:$B$300=$B106)*('MTD Pivot'!$C$3:$C$300=$A$89)*('MTD Pivot'!$D$2:$K$2=L$2)*'MTD Pivot'!$D$3:$K$300)</f>
        <v/>
      </c>
      <c r="M106" s="161" t="n"/>
      <c r="N106" s="161" t="n"/>
      <c r="O106" s="143">
        <f>L106-K106</f>
        <v/>
      </c>
      <c r="P106" s="170" t="n"/>
      <c r="Q106" s="170" t="n"/>
      <c r="R106" s="170" t="n"/>
      <c r="S106" s="170" t="n"/>
      <c r="T106" s="170" t="n"/>
      <c r="U106" s="170" t="n"/>
      <c r="V106" s="161">
        <f>SUMPRODUCT(('Full month Pivot'!$B$3:$B$300=$B106)*('Full month Pivot'!$C$3:$C$300=$A$89)*('Full month Pivot'!$D$2:$K$2=V$2)*'Full month Pivot'!$D$3:$K$300)</f>
        <v/>
      </c>
      <c r="W106" s="161">
        <f>SUMPRODUCT(('Full month Pivot'!$B$3:$B$300=$B106)*('Full month Pivot'!$C$3:$C$300=$A$89)*('Full month Pivot'!$D$2:$K$2=W$2)*'Full month Pivot'!$D$3:$K$300)</f>
        <v/>
      </c>
      <c r="X106" s="161">
        <f>SUMPRODUCT(('Full month Pivot'!$B$3:$B$300=$B106)*('Full month Pivot'!$C$3:$C$300=$A$89)*('Full month Pivot'!$D$2:$K$2=X$2)*'Full month Pivot'!$D$3:$K$300)</f>
        <v/>
      </c>
      <c r="Y106" s="161">
        <f>SUMPRODUCT(('Full month Pivot'!$B$3:$B$300=$B106)*('Full month Pivot'!$C$3:$C$300=$A$89)*('Full month Pivot'!$D$2:$K$2=Y$2)*'Full month Pivot'!$D$3:$K$300)</f>
        <v/>
      </c>
      <c r="Z106" s="161">
        <f>SUMPRODUCT(('Full month Pivot'!$B$3:$B$300=$B106)*('Full month Pivot'!$C$3:$C$300=$A$89)*('Full month Pivot'!$D$2:$K$2=Z$2)*'Full month Pivot'!$D$3:$K$300)</f>
        <v/>
      </c>
      <c r="AA106" s="161">
        <f>SUMPRODUCT(('Full month Pivot'!$B$3:$B$300=$B106)*('Full month Pivot'!$C$3:$C$300=$A$89)*('Full month Pivot'!$D$2:$K$2=AA$2)*'Full month Pivot'!$D$3:$K$300)</f>
        <v/>
      </c>
      <c r="AB106" s="161" t="n"/>
      <c r="AC106" s="161" t="n"/>
      <c r="AD106" s="143">
        <f>AA106-Z106</f>
        <v/>
      </c>
      <c r="AE106" s="170" t="n"/>
      <c r="AF106" s="170" t="n"/>
      <c r="AG106" s="170" t="n"/>
      <c r="AH106" s="170" t="n"/>
      <c r="AI106" s="170" t="n"/>
      <c r="AJ106" s="170" t="n"/>
    </row>
    <row r="107" hidden="1" outlineLevel="1" ht="15.75" customHeight="1" s="239">
      <c r="A107" s="170" t="n"/>
      <c r="B107" s="170" t="inlineStr">
        <is>
          <t>Hỏi đáp</t>
        </is>
      </c>
      <c r="C107" s="170" t="n"/>
      <c r="D107" s="170" t="n"/>
      <c r="E107" s="170" t="n"/>
      <c r="F107" s="170" t="n"/>
      <c r="G107" s="161">
        <f>SUMPRODUCT(('MTD Pivot'!$B$3:$B$300=$B107)*('MTD Pivot'!$C$3:$C$300=$A$89)*('MTD Pivot'!$D$2:$K$2=G$2)*'MTD Pivot'!$D$3:$K$300)</f>
        <v/>
      </c>
      <c r="H107" s="161">
        <f>SUMPRODUCT(('MTD Pivot'!$B$3:$B$300=$B107)*('MTD Pivot'!$C$3:$C$300=$A$89)*('MTD Pivot'!$D$2:$K$2=H$2)*'MTD Pivot'!$D$3:$K$300)</f>
        <v/>
      </c>
      <c r="I107" s="161">
        <f>SUMPRODUCT(('MTD Pivot'!$B$3:$B$300=$B107)*('MTD Pivot'!$C$3:$C$300=$A$89)*('MTD Pivot'!$D$2:$K$2=I$2)*'MTD Pivot'!$D$3:$K$300)</f>
        <v/>
      </c>
      <c r="J107" s="161">
        <f>SUMPRODUCT(('MTD Pivot'!$B$3:$B$300=$B107)*('MTD Pivot'!$C$3:$C$300=$A$89)*('MTD Pivot'!$D$2:$K$2=J$2)*'MTD Pivot'!$D$3:$K$300)</f>
        <v/>
      </c>
      <c r="K107" s="161">
        <f>SUMPRODUCT(('MTD Pivot'!$B$3:$B$300=$B107)*('MTD Pivot'!$C$3:$C$300=$A$89)*('MTD Pivot'!$D$2:$K$2=K$2)*'MTD Pivot'!$D$3:$K$300)</f>
        <v/>
      </c>
      <c r="L107" s="161">
        <f>SUMPRODUCT(('MTD Pivot'!$B$3:$B$300=$B107)*('MTD Pivot'!$C$3:$C$300=$A$89)*('MTD Pivot'!$D$2:$K$2=L$2)*'MTD Pivot'!$D$3:$K$300)</f>
        <v/>
      </c>
      <c r="M107" s="161" t="n"/>
      <c r="N107" s="161" t="n"/>
      <c r="O107" s="143">
        <f>L107-K107</f>
        <v/>
      </c>
      <c r="P107" s="170" t="n"/>
      <c r="Q107" s="170" t="n"/>
      <c r="R107" s="170" t="n"/>
      <c r="S107" s="170" t="n"/>
      <c r="T107" s="170" t="n"/>
      <c r="U107" s="170" t="n"/>
      <c r="V107" s="161">
        <f>SUMPRODUCT(('Full month Pivot'!$B$3:$B$300=$B107)*('Full month Pivot'!$C$3:$C$300=$A$89)*('Full month Pivot'!$D$2:$K$2=V$2)*'Full month Pivot'!$D$3:$K$300)</f>
        <v/>
      </c>
      <c r="W107" s="161">
        <f>SUMPRODUCT(('Full month Pivot'!$B$3:$B$300=$B107)*('Full month Pivot'!$C$3:$C$300=$A$89)*('Full month Pivot'!$D$2:$K$2=W$2)*'Full month Pivot'!$D$3:$K$300)</f>
        <v/>
      </c>
      <c r="X107" s="161">
        <f>SUMPRODUCT(('Full month Pivot'!$B$3:$B$300=$B107)*('Full month Pivot'!$C$3:$C$300=$A$89)*('Full month Pivot'!$D$2:$K$2=X$2)*'Full month Pivot'!$D$3:$K$300)</f>
        <v/>
      </c>
      <c r="Y107" s="161">
        <f>SUMPRODUCT(('Full month Pivot'!$B$3:$B$300=$B107)*('Full month Pivot'!$C$3:$C$300=$A$89)*('Full month Pivot'!$D$2:$K$2=Y$2)*'Full month Pivot'!$D$3:$K$300)</f>
        <v/>
      </c>
      <c r="Z107" s="161">
        <f>SUMPRODUCT(('Full month Pivot'!$B$3:$B$300=$B107)*('Full month Pivot'!$C$3:$C$300=$A$89)*('Full month Pivot'!$D$2:$K$2=Z$2)*'Full month Pivot'!$D$3:$K$300)</f>
        <v/>
      </c>
      <c r="AA107" s="161">
        <f>SUMPRODUCT(('Full month Pivot'!$B$3:$B$300=$B107)*('Full month Pivot'!$C$3:$C$300=$A$89)*('Full month Pivot'!$D$2:$K$2=AA$2)*'Full month Pivot'!$D$3:$K$300)</f>
        <v/>
      </c>
      <c r="AB107" s="161" t="n"/>
      <c r="AC107" s="161" t="n"/>
      <c r="AD107" s="143">
        <f>AA107-Z107</f>
        <v/>
      </c>
      <c r="AE107" s="170" t="n"/>
      <c r="AF107" s="170" t="n"/>
      <c r="AG107" s="170" t="n"/>
      <c r="AH107" s="170" t="n"/>
      <c r="AI107" s="170" t="n"/>
      <c r="AJ107" s="170" t="n"/>
    </row>
    <row r="108" hidden="1" outlineLevel="1" ht="15.75" customHeight="1" s="239">
      <c r="A108" s="170" t="n"/>
      <c r="B108" s="170" t="inlineStr">
        <is>
          <t>TnC</t>
        </is>
      </c>
      <c r="C108" s="170" t="n"/>
      <c r="D108" s="170" t="n"/>
      <c r="E108" s="170" t="n"/>
      <c r="F108" s="170" t="n"/>
      <c r="G108" s="161">
        <f>SUMPRODUCT(('MTD Pivot'!$B$3:$B$300=$B108)*('MTD Pivot'!$C$3:$C$300=$A$89)*('MTD Pivot'!$D$2:$K$2=G$2)*'MTD Pivot'!$D$3:$K$300)</f>
        <v/>
      </c>
      <c r="H108" s="161">
        <f>SUMPRODUCT(('MTD Pivot'!$B$3:$B$300=$B108)*('MTD Pivot'!$C$3:$C$300=$A$89)*('MTD Pivot'!$D$2:$K$2=H$2)*'MTD Pivot'!$D$3:$K$300)</f>
        <v/>
      </c>
      <c r="I108" s="161">
        <f>SUMPRODUCT(('MTD Pivot'!$B$3:$B$300=$B108)*('MTD Pivot'!$C$3:$C$300=$A$89)*('MTD Pivot'!$D$2:$K$2=I$2)*'MTD Pivot'!$D$3:$K$300)</f>
        <v/>
      </c>
      <c r="J108" s="161">
        <f>SUMPRODUCT(('MTD Pivot'!$B$3:$B$300=$B108)*('MTD Pivot'!$C$3:$C$300=$A$89)*('MTD Pivot'!$D$2:$K$2=J$2)*'MTD Pivot'!$D$3:$K$300)</f>
        <v/>
      </c>
      <c r="K108" s="161">
        <f>SUMPRODUCT(('MTD Pivot'!$B$3:$B$300=$B108)*('MTD Pivot'!$C$3:$C$300=$A$89)*('MTD Pivot'!$D$2:$K$2=K$2)*'MTD Pivot'!$D$3:$K$300)</f>
        <v/>
      </c>
      <c r="L108" s="161">
        <f>SUMPRODUCT(('MTD Pivot'!$B$3:$B$300=$B108)*('MTD Pivot'!$C$3:$C$300=$A$89)*('MTD Pivot'!$D$2:$K$2=L$2)*'MTD Pivot'!$D$3:$K$300)</f>
        <v/>
      </c>
      <c r="M108" s="161" t="n"/>
      <c r="N108" s="161" t="n"/>
      <c r="O108" s="143">
        <f>L108-K108</f>
        <v/>
      </c>
      <c r="P108" s="170" t="n"/>
      <c r="Q108" s="170" t="n"/>
      <c r="R108" s="170" t="n"/>
      <c r="S108" s="170" t="n"/>
      <c r="T108" s="170" t="n"/>
      <c r="U108" s="170" t="n"/>
      <c r="V108" s="161">
        <f>SUMPRODUCT(('Full month Pivot'!$B$3:$B$300=$B108)*('Full month Pivot'!$C$3:$C$300=$A$89)*('Full month Pivot'!$D$2:$K$2=V$2)*'Full month Pivot'!$D$3:$K$300)</f>
        <v/>
      </c>
      <c r="W108" s="161">
        <f>SUMPRODUCT(('Full month Pivot'!$B$3:$B$300=$B108)*('Full month Pivot'!$C$3:$C$300=$A$89)*('Full month Pivot'!$D$2:$K$2=W$2)*'Full month Pivot'!$D$3:$K$300)</f>
        <v/>
      </c>
      <c r="X108" s="161">
        <f>SUMPRODUCT(('Full month Pivot'!$B$3:$B$300=$B108)*('Full month Pivot'!$C$3:$C$300=$A$89)*('Full month Pivot'!$D$2:$K$2=X$2)*'Full month Pivot'!$D$3:$K$300)</f>
        <v/>
      </c>
      <c r="Y108" s="161">
        <f>SUMPRODUCT(('Full month Pivot'!$B$3:$B$300=$B108)*('Full month Pivot'!$C$3:$C$300=$A$89)*('Full month Pivot'!$D$2:$K$2=Y$2)*'Full month Pivot'!$D$3:$K$300)</f>
        <v/>
      </c>
      <c r="Z108" s="161">
        <f>SUMPRODUCT(('Full month Pivot'!$B$3:$B$300=$B108)*('Full month Pivot'!$C$3:$C$300=$A$89)*('Full month Pivot'!$D$2:$K$2=Z$2)*'Full month Pivot'!$D$3:$K$300)</f>
        <v/>
      </c>
      <c r="AA108" s="161">
        <f>SUMPRODUCT(('Full month Pivot'!$B$3:$B$300=$B108)*('Full month Pivot'!$C$3:$C$300=$A$89)*('Full month Pivot'!$D$2:$K$2=AA$2)*'Full month Pivot'!$D$3:$K$300)</f>
        <v/>
      </c>
      <c r="AB108" s="161" t="n"/>
      <c r="AC108" s="161" t="n"/>
      <c r="AD108" s="143">
        <f>AA108-Z108</f>
        <v/>
      </c>
      <c r="AE108" s="170" t="n"/>
      <c r="AF108" s="170" t="n"/>
      <c r="AG108" s="170" t="n"/>
      <c r="AH108" s="170" t="n"/>
      <c r="AI108" s="170" t="n"/>
      <c r="AJ108" s="170" t="n"/>
    </row>
    <row r="109" hidden="1" outlineLevel="1" ht="15.75" customHeight="1" s="239">
      <c r="A109" s="170" t="n"/>
      <c r="B109" s="170" t="inlineStr">
        <is>
          <t>Trust</t>
        </is>
      </c>
      <c r="C109" s="170" t="n"/>
      <c r="D109" s="170" t="n"/>
      <c r="E109" s="170" t="n"/>
      <c r="F109" s="170" t="n"/>
      <c r="G109" s="161">
        <f>SUMPRODUCT(('MTD Pivot'!$B$3:$B$300=$B109)*('MTD Pivot'!$C$3:$C$300=$A$89)*('MTD Pivot'!$D$2:$K$2=G$2)*'MTD Pivot'!$D$3:$K$300)</f>
        <v/>
      </c>
      <c r="H109" s="161">
        <f>SUMPRODUCT(('MTD Pivot'!$B$3:$B$300=$B109)*('MTD Pivot'!$C$3:$C$300=$A$89)*('MTD Pivot'!$D$2:$K$2=H$2)*'MTD Pivot'!$D$3:$K$300)</f>
        <v/>
      </c>
      <c r="I109" s="161">
        <f>SUMPRODUCT(('MTD Pivot'!$B$3:$B$300=$B109)*('MTD Pivot'!$C$3:$C$300=$A$89)*('MTD Pivot'!$D$2:$K$2=I$2)*'MTD Pivot'!$D$3:$K$300)</f>
        <v/>
      </c>
      <c r="J109" s="161">
        <f>SUMPRODUCT(('MTD Pivot'!$B$3:$B$300=$B109)*('MTD Pivot'!$C$3:$C$300=$A$89)*('MTD Pivot'!$D$2:$K$2=J$2)*'MTD Pivot'!$D$3:$K$300)</f>
        <v/>
      </c>
      <c r="K109" s="161">
        <f>SUMPRODUCT(('MTD Pivot'!$B$3:$B$300=$B109)*('MTD Pivot'!$C$3:$C$300=$A$89)*('MTD Pivot'!$D$2:$K$2=K$2)*'MTD Pivot'!$D$3:$K$300)</f>
        <v/>
      </c>
      <c r="L109" s="161">
        <f>SUMPRODUCT(('MTD Pivot'!$B$3:$B$300=$B109)*('MTD Pivot'!$C$3:$C$300=$A$89)*('MTD Pivot'!$D$2:$K$2=L$2)*'MTD Pivot'!$D$3:$K$300)</f>
        <v/>
      </c>
      <c r="M109" s="161" t="n"/>
      <c r="N109" s="161" t="n"/>
      <c r="O109" s="143">
        <f>L109-K109</f>
        <v/>
      </c>
      <c r="P109" s="170" t="n"/>
      <c r="Q109" s="170" t="n"/>
      <c r="R109" s="170" t="n"/>
      <c r="S109" s="170" t="n"/>
      <c r="T109" s="170" t="n"/>
      <c r="U109" s="170" t="n"/>
      <c r="V109" s="161">
        <f>SUMPRODUCT(('Full month Pivot'!$B$3:$B$300=$B109)*('Full month Pivot'!$C$3:$C$300=$A$89)*('Full month Pivot'!$D$2:$K$2=V$2)*'Full month Pivot'!$D$3:$K$300)</f>
        <v/>
      </c>
      <c r="W109" s="161">
        <f>SUMPRODUCT(('Full month Pivot'!$B$3:$B$300=$B109)*('Full month Pivot'!$C$3:$C$300=$A$89)*('Full month Pivot'!$D$2:$K$2=W$2)*'Full month Pivot'!$D$3:$K$300)</f>
        <v/>
      </c>
      <c r="X109" s="161">
        <f>SUMPRODUCT(('Full month Pivot'!$B$3:$B$300=$B109)*('Full month Pivot'!$C$3:$C$300=$A$89)*('Full month Pivot'!$D$2:$K$2=X$2)*'Full month Pivot'!$D$3:$K$300)</f>
        <v/>
      </c>
      <c r="Y109" s="161">
        <f>SUMPRODUCT(('Full month Pivot'!$B$3:$B$300=$B109)*('Full month Pivot'!$C$3:$C$300=$A$89)*('Full month Pivot'!$D$2:$K$2=Y$2)*'Full month Pivot'!$D$3:$K$300)</f>
        <v/>
      </c>
      <c r="Z109" s="161">
        <f>SUMPRODUCT(('Full month Pivot'!$B$3:$B$300=$B109)*('Full month Pivot'!$C$3:$C$300=$A$89)*('Full month Pivot'!$D$2:$K$2=Z$2)*'Full month Pivot'!$D$3:$K$300)</f>
        <v/>
      </c>
      <c r="AA109" s="161">
        <f>SUMPRODUCT(('Full month Pivot'!$B$3:$B$300=$B109)*('Full month Pivot'!$C$3:$C$300=$A$89)*('Full month Pivot'!$D$2:$K$2=AA$2)*'Full month Pivot'!$D$3:$K$300)</f>
        <v/>
      </c>
      <c r="AB109" s="161" t="n"/>
      <c r="AC109" s="161" t="n"/>
      <c r="AD109" s="143">
        <f>AA109-Z109</f>
        <v/>
      </c>
      <c r="AE109" s="170" t="n"/>
      <c r="AF109" s="170" t="n"/>
      <c r="AG109" s="170" t="n"/>
      <c r="AH109" s="170" t="n"/>
      <c r="AI109" s="170" t="n"/>
      <c r="AJ109" s="170" t="n"/>
    </row>
    <row r="110" hidden="1" outlineLevel="1" ht="15.75" customHeight="1" s="239">
      <c r="A110" s="170" t="n"/>
      <c r="B110" s="170" t="inlineStr">
        <is>
          <t>Guide</t>
        </is>
      </c>
      <c r="C110" s="170" t="n"/>
      <c r="D110" s="170" t="n"/>
      <c r="E110" s="170" t="n"/>
      <c r="F110" s="170" t="n"/>
      <c r="G110" s="161">
        <f>SUMPRODUCT(('MTD Pivot'!$B$3:$B$300=$B110)*('MTD Pivot'!$C$3:$C$300=$A$89)*('MTD Pivot'!$D$2:$K$2=G$2)*'MTD Pivot'!$D$3:$K$300)</f>
        <v/>
      </c>
      <c r="H110" s="161">
        <f>SUMPRODUCT(('MTD Pivot'!$B$3:$B$300=$B110)*('MTD Pivot'!$C$3:$C$300=$A$89)*('MTD Pivot'!$D$2:$K$2=H$2)*'MTD Pivot'!$D$3:$K$300)</f>
        <v/>
      </c>
      <c r="I110" s="161">
        <f>SUMPRODUCT(('MTD Pivot'!$B$3:$B$300=$B110)*('MTD Pivot'!$C$3:$C$300=$A$89)*('MTD Pivot'!$D$2:$K$2=I$2)*'MTD Pivot'!$D$3:$K$300)</f>
        <v/>
      </c>
      <c r="J110" s="161">
        <f>SUMPRODUCT(('MTD Pivot'!$B$3:$B$300=$B110)*('MTD Pivot'!$C$3:$C$300=$A$89)*('MTD Pivot'!$D$2:$K$2=J$2)*'MTD Pivot'!$D$3:$K$300)</f>
        <v/>
      </c>
      <c r="K110" s="161">
        <f>SUMPRODUCT(('MTD Pivot'!$B$3:$B$300=$B110)*('MTD Pivot'!$C$3:$C$300=$A$89)*('MTD Pivot'!$D$2:$K$2=K$2)*'MTD Pivot'!$D$3:$K$300)</f>
        <v/>
      </c>
      <c r="L110" s="161">
        <f>SUMPRODUCT(('MTD Pivot'!$B$3:$B$300=$B110)*('MTD Pivot'!$C$3:$C$300=$A$89)*('MTD Pivot'!$D$2:$K$2=L$2)*'MTD Pivot'!$D$3:$K$300)</f>
        <v/>
      </c>
      <c r="M110" s="161" t="n"/>
      <c r="N110" s="161" t="n"/>
      <c r="O110" s="143">
        <f>L110-K110</f>
        <v/>
      </c>
      <c r="P110" s="170" t="n"/>
      <c r="Q110" s="170" t="n"/>
      <c r="R110" s="170" t="n"/>
      <c r="S110" s="170" t="n"/>
      <c r="T110" s="170" t="n"/>
      <c r="U110" s="170" t="n"/>
      <c r="V110" s="161">
        <f>SUMPRODUCT(('Full month Pivot'!$B$3:$B$300=$B110)*('Full month Pivot'!$C$3:$C$300=$A$89)*('Full month Pivot'!$D$2:$K$2=V$2)*'Full month Pivot'!$D$3:$K$300)</f>
        <v/>
      </c>
      <c r="W110" s="161">
        <f>SUMPRODUCT(('Full month Pivot'!$B$3:$B$300=$B110)*('Full month Pivot'!$C$3:$C$300=$A$89)*('Full month Pivot'!$D$2:$K$2=W$2)*'Full month Pivot'!$D$3:$K$300)</f>
        <v/>
      </c>
      <c r="X110" s="161">
        <f>SUMPRODUCT(('Full month Pivot'!$B$3:$B$300=$B110)*('Full month Pivot'!$C$3:$C$300=$A$89)*('Full month Pivot'!$D$2:$K$2=X$2)*'Full month Pivot'!$D$3:$K$300)</f>
        <v/>
      </c>
      <c r="Y110" s="161">
        <f>SUMPRODUCT(('Full month Pivot'!$B$3:$B$300=$B110)*('Full month Pivot'!$C$3:$C$300=$A$89)*('Full month Pivot'!$D$2:$K$2=Y$2)*'Full month Pivot'!$D$3:$K$300)</f>
        <v/>
      </c>
      <c r="Z110" s="161">
        <f>SUMPRODUCT(('Full month Pivot'!$B$3:$B$300=$B110)*('Full month Pivot'!$C$3:$C$300=$A$89)*('Full month Pivot'!$D$2:$K$2=Z$2)*'Full month Pivot'!$D$3:$K$300)</f>
        <v/>
      </c>
      <c r="AA110" s="161">
        <f>SUMPRODUCT(('Full month Pivot'!$B$3:$B$300=$B110)*('Full month Pivot'!$C$3:$C$300=$A$89)*('Full month Pivot'!$D$2:$K$2=AA$2)*'Full month Pivot'!$D$3:$K$300)</f>
        <v/>
      </c>
      <c r="AB110" s="161" t="n"/>
      <c r="AC110" s="161" t="n"/>
      <c r="AD110" s="143">
        <f>AA110-Z110</f>
        <v/>
      </c>
      <c r="AE110" s="170" t="n"/>
      <c r="AF110" s="170" t="n"/>
      <c r="AG110" s="170" t="n"/>
      <c r="AH110" s="170" t="n"/>
      <c r="AI110" s="170" t="n"/>
      <c r="AJ110" s="170" t="n"/>
    </row>
    <row r="111" hidden="1" outlineLevel="1" ht="15.75" customHeight="1" s="239">
      <c r="A111" s="170" t="n"/>
      <c r="B111" s="170" t="inlineStr">
        <is>
          <t>Khuyến mãi</t>
        </is>
      </c>
      <c r="C111" s="170" t="n"/>
      <c r="D111" s="170" t="n"/>
      <c r="E111" s="170" t="n"/>
      <c r="F111" s="170" t="n"/>
      <c r="G111" s="161">
        <f>SUMPRODUCT(('MTD Pivot'!$B$3:$B$300=$B111)*('MTD Pivot'!$C$3:$C$300=$A$89)*('MTD Pivot'!$D$2:$K$2=G$2)*'MTD Pivot'!$D$3:$K$300)</f>
        <v/>
      </c>
      <c r="H111" s="161">
        <f>SUMPRODUCT(('MTD Pivot'!$B$3:$B$300=$B111)*('MTD Pivot'!$C$3:$C$300=$A$89)*('MTD Pivot'!$D$2:$K$2=H$2)*'MTD Pivot'!$D$3:$K$300)</f>
        <v/>
      </c>
      <c r="I111" s="161">
        <f>SUMPRODUCT(('MTD Pivot'!$B$3:$B$300=$B111)*('MTD Pivot'!$C$3:$C$300=$A$89)*('MTD Pivot'!$D$2:$K$2=I$2)*'MTD Pivot'!$D$3:$K$300)</f>
        <v/>
      </c>
      <c r="J111" s="161">
        <f>SUMPRODUCT(('MTD Pivot'!$B$3:$B$300=$B111)*('MTD Pivot'!$C$3:$C$300=$A$89)*('MTD Pivot'!$D$2:$K$2=J$2)*'MTD Pivot'!$D$3:$K$300)</f>
        <v/>
      </c>
      <c r="K111" s="161">
        <f>SUMPRODUCT(('MTD Pivot'!$B$3:$B$300=$B111)*('MTD Pivot'!$C$3:$C$300=$A$89)*('MTD Pivot'!$D$2:$K$2=K$2)*'MTD Pivot'!$D$3:$K$300)</f>
        <v/>
      </c>
      <c r="L111" s="161">
        <f>SUMPRODUCT(('MTD Pivot'!$B$3:$B$300=$B111)*('MTD Pivot'!$C$3:$C$300=$A$89)*('MTD Pivot'!$D$2:$K$2=L$2)*'MTD Pivot'!$D$3:$K$300)</f>
        <v/>
      </c>
      <c r="M111" s="161" t="n"/>
      <c r="N111" s="161" t="n"/>
      <c r="O111" s="143">
        <f>L111-K111</f>
        <v/>
      </c>
      <c r="P111" s="170" t="n"/>
      <c r="Q111" s="170" t="n"/>
      <c r="R111" s="170" t="n"/>
      <c r="S111" s="170" t="n"/>
      <c r="T111" s="170" t="n"/>
      <c r="U111" s="170" t="n"/>
      <c r="V111" s="161">
        <f>SUMPRODUCT(('Full month Pivot'!$B$3:$B$300=$B111)*('Full month Pivot'!$C$3:$C$300=$A$89)*('Full month Pivot'!$D$2:$K$2=V$2)*'Full month Pivot'!$D$3:$K$300)</f>
        <v/>
      </c>
      <c r="W111" s="161">
        <f>SUMPRODUCT(('Full month Pivot'!$B$3:$B$300=$B111)*('Full month Pivot'!$C$3:$C$300=$A$89)*('Full month Pivot'!$D$2:$K$2=W$2)*'Full month Pivot'!$D$3:$K$300)</f>
        <v/>
      </c>
      <c r="X111" s="161">
        <f>SUMPRODUCT(('Full month Pivot'!$B$3:$B$300=$B111)*('Full month Pivot'!$C$3:$C$300=$A$89)*('Full month Pivot'!$D$2:$K$2=X$2)*'Full month Pivot'!$D$3:$K$300)</f>
        <v/>
      </c>
      <c r="Y111" s="161">
        <f>SUMPRODUCT(('Full month Pivot'!$B$3:$B$300=$B111)*('Full month Pivot'!$C$3:$C$300=$A$89)*('Full month Pivot'!$D$2:$K$2=Y$2)*'Full month Pivot'!$D$3:$K$300)</f>
        <v/>
      </c>
      <c r="Z111" s="161">
        <f>SUMPRODUCT(('Full month Pivot'!$B$3:$B$300=$B111)*('Full month Pivot'!$C$3:$C$300=$A$89)*('Full month Pivot'!$D$2:$K$2=Z$2)*'Full month Pivot'!$D$3:$K$300)</f>
        <v/>
      </c>
      <c r="AA111" s="161">
        <f>SUMPRODUCT(('Full month Pivot'!$B$3:$B$300=$B111)*('Full month Pivot'!$C$3:$C$300=$A$89)*('Full month Pivot'!$D$2:$K$2=AA$2)*'Full month Pivot'!$D$3:$K$300)</f>
        <v/>
      </c>
      <c r="AB111" s="161" t="n"/>
      <c r="AC111" s="161" t="n"/>
      <c r="AD111" s="143">
        <f>AA111-Z111</f>
        <v/>
      </c>
      <c r="AE111" s="170" t="n"/>
      <c r="AF111" s="170" t="n"/>
      <c r="AG111" s="170" t="n"/>
      <c r="AH111" s="170" t="n"/>
      <c r="AI111" s="170" t="n"/>
      <c r="AJ111" s="170" t="n"/>
    </row>
    <row r="112" hidden="1" outlineLevel="1" ht="15.75" customHeight="1" s="239">
      <c r="A112" s="170" t="n"/>
      <c r="B112" s="170" t="inlineStr">
        <is>
          <t>Campaign</t>
        </is>
      </c>
      <c r="C112" s="170" t="n"/>
      <c r="D112" s="170" t="n"/>
      <c r="E112" s="170" t="n"/>
      <c r="F112" s="170" t="n"/>
      <c r="G112" s="161">
        <f>SUMPRODUCT(('MTD Pivot'!$B$3:$B$300=$B112)*('MTD Pivot'!$C$3:$C$300=$A$89)*('MTD Pivot'!$D$2:$K$2=G$2)*'MTD Pivot'!$D$3:$K$300)</f>
        <v/>
      </c>
      <c r="H112" s="161">
        <f>SUMPRODUCT(('MTD Pivot'!$B$3:$B$300=$B112)*('MTD Pivot'!$C$3:$C$300=$A$89)*('MTD Pivot'!$D$2:$K$2=H$2)*'MTD Pivot'!$D$3:$K$300)</f>
        <v/>
      </c>
      <c r="I112" s="161">
        <f>SUMPRODUCT(('MTD Pivot'!$B$3:$B$300=$B112)*('MTD Pivot'!$C$3:$C$300=$A$89)*('MTD Pivot'!$D$2:$K$2=I$2)*'MTD Pivot'!$D$3:$K$300)</f>
        <v/>
      </c>
      <c r="J112" s="161">
        <f>SUMPRODUCT(('MTD Pivot'!$B$3:$B$300=$B112)*('MTD Pivot'!$C$3:$C$300=$A$89)*('MTD Pivot'!$D$2:$K$2=J$2)*'MTD Pivot'!$D$3:$K$300)</f>
        <v/>
      </c>
      <c r="K112" s="161">
        <f>SUMPRODUCT(('MTD Pivot'!$B$3:$B$300=$B112)*('MTD Pivot'!$C$3:$C$300=$A$89)*('MTD Pivot'!$D$2:$K$2=K$2)*'MTD Pivot'!$D$3:$K$300)</f>
        <v/>
      </c>
      <c r="L112" s="161">
        <f>SUMPRODUCT(('MTD Pivot'!$B$3:$B$300=$B112)*('MTD Pivot'!$C$3:$C$300=$A$89)*('MTD Pivot'!$D$2:$K$2=L$2)*'MTD Pivot'!$D$3:$K$300)</f>
        <v/>
      </c>
      <c r="M112" s="161" t="n"/>
      <c r="N112" s="161" t="n"/>
      <c r="O112" s="143">
        <f>L112-K112</f>
        <v/>
      </c>
      <c r="P112" s="170" t="n"/>
      <c r="Q112" s="170" t="n"/>
      <c r="R112" s="170" t="n"/>
      <c r="S112" s="170" t="n"/>
      <c r="T112" s="170" t="n"/>
      <c r="U112" s="170" t="n"/>
      <c r="V112" s="161">
        <f>SUMPRODUCT(('Full month Pivot'!$B$3:$B$300=$B112)*('Full month Pivot'!$C$3:$C$300=$A$89)*('Full month Pivot'!$D$2:$K$2=V$2)*'Full month Pivot'!$D$3:$K$300)</f>
        <v/>
      </c>
      <c r="W112" s="161">
        <f>SUMPRODUCT(('Full month Pivot'!$B$3:$B$300=$B112)*('Full month Pivot'!$C$3:$C$300=$A$89)*('Full month Pivot'!$D$2:$K$2=W$2)*'Full month Pivot'!$D$3:$K$300)</f>
        <v/>
      </c>
      <c r="X112" s="161">
        <f>SUMPRODUCT(('Full month Pivot'!$B$3:$B$300=$B112)*('Full month Pivot'!$C$3:$C$300=$A$89)*('Full month Pivot'!$D$2:$K$2=X$2)*'Full month Pivot'!$D$3:$K$300)</f>
        <v/>
      </c>
      <c r="Y112" s="161">
        <f>SUMPRODUCT(('Full month Pivot'!$B$3:$B$300=$B112)*('Full month Pivot'!$C$3:$C$300=$A$89)*('Full month Pivot'!$D$2:$K$2=Y$2)*'Full month Pivot'!$D$3:$K$300)</f>
        <v/>
      </c>
      <c r="Z112" s="161">
        <f>SUMPRODUCT(('Full month Pivot'!$B$3:$B$300=$B112)*('Full month Pivot'!$C$3:$C$300=$A$89)*('Full month Pivot'!$D$2:$K$2=Z$2)*'Full month Pivot'!$D$3:$K$300)</f>
        <v/>
      </c>
      <c r="AA112" s="161">
        <f>SUMPRODUCT(('Full month Pivot'!$B$3:$B$300=$B112)*('Full month Pivot'!$C$3:$C$300=$A$89)*('Full month Pivot'!$D$2:$K$2=AA$2)*'Full month Pivot'!$D$3:$K$300)</f>
        <v/>
      </c>
      <c r="AB112" s="161" t="n"/>
      <c r="AC112" s="161" t="n"/>
      <c r="AD112" s="143">
        <f>AA112-Z112</f>
        <v/>
      </c>
      <c r="AE112" s="170" t="n"/>
      <c r="AF112" s="170" t="n"/>
      <c r="AG112" s="170" t="n"/>
      <c r="AH112" s="170" t="n"/>
      <c r="AI112" s="170" t="n"/>
      <c r="AJ112" s="170" t="n"/>
    </row>
    <row r="113" hidden="1" outlineLevel="1" ht="15.75" customHeight="1" s="239">
      <c r="A113" s="170" t="n"/>
      <c r="B113" s="170" t="inlineStr">
        <is>
          <t>Blog</t>
        </is>
      </c>
      <c r="C113" s="170" t="n"/>
      <c r="D113" s="170" t="n"/>
      <c r="E113" s="170" t="n"/>
      <c r="F113" s="170" t="n"/>
      <c r="G113" s="161">
        <f>SUMPRODUCT(('MTD Pivot'!$B$3:$B$300=$B113)*('MTD Pivot'!$C$3:$C$300=$A$89)*('MTD Pivot'!$D$2:$K$2=G$2)*'MTD Pivot'!$D$3:$K$300)</f>
        <v/>
      </c>
      <c r="H113" s="161">
        <f>SUMPRODUCT(('MTD Pivot'!$B$3:$B$300=$B113)*('MTD Pivot'!$C$3:$C$300=$A$89)*('MTD Pivot'!$D$2:$K$2=H$2)*'MTD Pivot'!$D$3:$K$300)</f>
        <v/>
      </c>
      <c r="I113" s="161">
        <f>SUMPRODUCT(('MTD Pivot'!$B$3:$B$300=$B113)*('MTD Pivot'!$C$3:$C$300=$A$89)*('MTD Pivot'!$D$2:$K$2=I$2)*'MTD Pivot'!$D$3:$K$300)</f>
        <v/>
      </c>
      <c r="J113" s="161">
        <f>SUMPRODUCT(('MTD Pivot'!$B$3:$B$300=$B113)*('MTD Pivot'!$C$3:$C$300=$A$89)*('MTD Pivot'!$D$2:$K$2=J$2)*'MTD Pivot'!$D$3:$K$300)</f>
        <v/>
      </c>
      <c r="K113" s="161">
        <f>SUMPRODUCT(('MTD Pivot'!$B$3:$B$300=$B113)*('MTD Pivot'!$C$3:$C$300=$A$89)*('MTD Pivot'!$D$2:$K$2=K$2)*'MTD Pivot'!$D$3:$K$300)</f>
        <v/>
      </c>
      <c r="L113" s="161">
        <f>SUMPRODUCT(('MTD Pivot'!$B$3:$B$300=$B113)*('MTD Pivot'!$C$3:$C$300=$A$89)*('MTD Pivot'!$D$2:$K$2=L$2)*'MTD Pivot'!$D$3:$K$300)</f>
        <v/>
      </c>
      <c r="M113" s="161" t="n"/>
      <c r="N113" s="161" t="n"/>
      <c r="O113" s="143">
        <f>L113-K113</f>
        <v/>
      </c>
      <c r="P113" s="170" t="n"/>
      <c r="Q113" s="170" t="n"/>
      <c r="R113" s="170" t="n"/>
      <c r="S113" s="170" t="n"/>
      <c r="T113" s="170" t="n"/>
      <c r="U113" s="170" t="n"/>
      <c r="V113" s="161">
        <f>SUMPRODUCT(('Full month Pivot'!$B$3:$B$300=$B113)*('Full month Pivot'!$C$3:$C$300=$A$89)*('Full month Pivot'!$D$2:$K$2=V$2)*'Full month Pivot'!$D$3:$K$300)</f>
        <v/>
      </c>
      <c r="W113" s="161">
        <f>SUMPRODUCT(('Full month Pivot'!$B$3:$B$300=$B113)*('Full month Pivot'!$C$3:$C$300=$A$89)*('Full month Pivot'!$D$2:$K$2=W$2)*'Full month Pivot'!$D$3:$K$300)</f>
        <v/>
      </c>
      <c r="X113" s="161">
        <f>SUMPRODUCT(('Full month Pivot'!$B$3:$B$300=$B113)*('Full month Pivot'!$C$3:$C$300=$A$89)*('Full month Pivot'!$D$2:$K$2=X$2)*'Full month Pivot'!$D$3:$K$300)</f>
        <v/>
      </c>
      <c r="Y113" s="161">
        <f>SUMPRODUCT(('Full month Pivot'!$B$3:$B$300=$B113)*('Full month Pivot'!$C$3:$C$300=$A$89)*('Full month Pivot'!$D$2:$K$2=Y$2)*'Full month Pivot'!$D$3:$K$300)</f>
        <v/>
      </c>
      <c r="Z113" s="161">
        <f>SUMPRODUCT(('Full month Pivot'!$B$3:$B$300=$B113)*('Full month Pivot'!$C$3:$C$300=$A$89)*('Full month Pivot'!$D$2:$K$2=Z$2)*'Full month Pivot'!$D$3:$K$300)</f>
        <v/>
      </c>
      <c r="AA113" s="161">
        <f>SUMPRODUCT(('Full month Pivot'!$B$3:$B$300=$B113)*('Full month Pivot'!$C$3:$C$300=$A$89)*('Full month Pivot'!$D$2:$K$2=AA$2)*'Full month Pivot'!$D$3:$K$300)</f>
        <v/>
      </c>
      <c r="AB113" s="161" t="n"/>
      <c r="AC113" s="161" t="n"/>
      <c r="AD113" s="143">
        <f>AA113-Z113</f>
        <v/>
      </c>
      <c r="AE113" s="170" t="n"/>
      <c r="AF113" s="170" t="n"/>
      <c r="AG113" s="170" t="n"/>
      <c r="AH113" s="170" t="n"/>
      <c r="AI113" s="170" t="n"/>
      <c r="AJ113" s="170" t="n"/>
    </row>
    <row r="114" hidden="1" outlineLevel="1" ht="15.75" customHeight="1" s="239">
      <c r="A114" s="170" t="n"/>
      <c r="B114" s="170" t="inlineStr">
        <is>
          <t>Application Store</t>
        </is>
      </c>
      <c r="C114" s="170" t="n"/>
      <c r="D114" s="170" t="n"/>
      <c r="E114" s="170" t="n"/>
      <c r="F114" s="170" t="n"/>
      <c r="G114" s="161">
        <f>SUMPRODUCT(('MTD Pivot'!$B$3:$B$300=$B114)*('MTD Pivot'!$C$3:$C$300=$A$89)*('MTD Pivot'!$D$2:$K$2=G$2)*'MTD Pivot'!$D$3:$K$300)</f>
        <v/>
      </c>
      <c r="H114" s="161">
        <f>SUMPRODUCT(('MTD Pivot'!$B$3:$B$300=$B114)*('MTD Pivot'!$C$3:$C$300=$A$89)*('MTD Pivot'!$D$2:$K$2=H$2)*'MTD Pivot'!$D$3:$K$300)</f>
        <v/>
      </c>
      <c r="I114" s="161">
        <f>SUMPRODUCT(('MTD Pivot'!$B$3:$B$300=$B114)*('MTD Pivot'!$C$3:$C$300=$A$89)*('MTD Pivot'!$D$2:$K$2=I$2)*'MTD Pivot'!$D$3:$K$300)</f>
        <v/>
      </c>
      <c r="J114" s="161">
        <f>SUMPRODUCT(('MTD Pivot'!$B$3:$B$300=$B114)*('MTD Pivot'!$C$3:$C$300=$A$89)*('MTD Pivot'!$D$2:$K$2=J$2)*'MTD Pivot'!$D$3:$K$300)</f>
        <v/>
      </c>
      <c r="K114" s="161">
        <f>SUMPRODUCT(('MTD Pivot'!$B$3:$B$300=$B114)*('MTD Pivot'!$C$3:$C$300=$A$89)*('MTD Pivot'!$D$2:$K$2=K$2)*'MTD Pivot'!$D$3:$K$300)</f>
        <v/>
      </c>
      <c r="L114" s="161">
        <f>SUMPRODUCT(('MTD Pivot'!$B$3:$B$300=$B114)*('MTD Pivot'!$C$3:$C$300=$A$89)*('MTD Pivot'!$D$2:$K$2=L$2)*'MTD Pivot'!$D$3:$K$300)</f>
        <v/>
      </c>
      <c r="M114" s="161" t="n"/>
      <c r="N114" s="161" t="n"/>
      <c r="O114" s="143">
        <f>L114-K114</f>
        <v/>
      </c>
      <c r="P114" s="170" t="n"/>
      <c r="Q114" s="170" t="n"/>
      <c r="R114" s="170" t="n"/>
      <c r="S114" s="170" t="n"/>
      <c r="T114" s="170" t="n"/>
      <c r="U114" s="170" t="n"/>
      <c r="V114" s="161">
        <f>SUMPRODUCT(('Full month Pivot'!$B$3:$B$300=$B114)*('Full month Pivot'!$C$3:$C$300=$A$89)*('Full month Pivot'!$D$2:$K$2=V$2)*'Full month Pivot'!$D$3:$K$300)</f>
        <v/>
      </c>
      <c r="W114" s="161">
        <f>SUMPRODUCT(('Full month Pivot'!$B$3:$B$300=$B114)*('Full month Pivot'!$C$3:$C$300=$A$89)*('Full month Pivot'!$D$2:$K$2=W$2)*'Full month Pivot'!$D$3:$K$300)</f>
        <v/>
      </c>
      <c r="X114" s="161">
        <f>SUMPRODUCT(('Full month Pivot'!$B$3:$B$300=$B114)*('Full month Pivot'!$C$3:$C$300=$A$89)*('Full month Pivot'!$D$2:$K$2=X$2)*'Full month Pivot'!$D$3:$K$300)</f>
        <v/>
      </c>
      <c r="Y114" s="161">
        <f>SUMPRODUCT(('Full month Pivot'!$B$3:$B$300=$B114)*('Full month Pivot'!$C$3:$C$300=$A$89)*('Full month Pivot'!$D$2:$K$2=Y$2)*'Full month Pivot'!$D$3:$K$300)</f>
        <v/>
      </c>
      <c r="Z114" s="161">
        <f>SUMPRODUCT(('Full month Pivot'!$B$3:$B$300=$B114)*('Full month Pivot'!$C$3:$C$300=$A$89)*('Full month Pivot'!$D$2:$K$2=Z$2)*'Full month Pivot'!$D$3:$K$300)</f>
        <v/>
      </c>
      <c r="AA114" s="161">
        <f>SUMPRODUCT(('Full month Pivot'!$B$3:$B$300=$B114)*('Full month Pivot'!$C$3:$C$300=$A$89)*('Full month Pivot'!$D$2:$K$2=AA$2)*'Full month Pivot'!$D$3:$K$300)</f>
        <v/>
      </c>
      <c r="AB114" s="161" t="n"/>
      <c r="AC114" s="161" t="n"/>
      <c r="AD114" s="143">
        <f>AA114-Z114</f>
        <v/>
      </c>
      <c r="AE114" s="170" t="n"/>
      <c r="AF114" s="170" t="n"/>
      <c r="AG114" s="170" t="n"/>
      <c r="AH114" s="170" t="n"/>
      <c r="AI114" s="170" t="n"/>
      <c r="AJ114" s="170" t="n"/>
    </row>
    <row r="115" hidden="1" outlineLevel="1" ht="15.75" customHeight="1" s="239">
      <c r="A115" s="170" t="n"/>
      <c r="B115" s="170" t="inlineStr">
        <is>
          <t>Vé số</t>
        </is>
      </c>
      <c r="C115" s="170" t="n"/>
      <c r="D115" s="170" t="n"/>
      <c r="E115" s="170" t="n"/>
      <c r="F115" s="170" t="n"/>
      <c r="G115" s="161">
        <f>SUMPRODUCT(('MTD Pivot'!$B$3:$B$300=$B115)*('MTD Pivot'!$C$3:$C$300=$A$89)*('MTD Pivot'!$D$2:$K$2=G$2)*'MTD Pivot'!$D$3:$K$300)</f>
        <v/>
      </c>
      <c r="H115" s="161">
        <f>SUMPRODUCT(('MTD Pivot'!$B$3:$B$300=$B115)*('MTD Pivot'!$C$3:$C$300=$A$89)*('MTD Pivot'!$D$2:$K$2=H$2)*'MTD Pivot'!$D$3:$K$300)</f>
        <v/>
      </c>
      <c r="I115" s="161">
        <f>SUMPRODUCT(('MTD Pivot'!$B$3:$B$300=$B115)*('MTD Pivot'!$C$3:$C$300=$A$89)*('MTD Pivot'!$D$2:$K$2=I$2)*'MTD Pivot'!$D$3:$K$300)</f>
        <v/>
      </c>
      <c r="J115" s="161">
        <f>SUMPRODUCT(('MTD Pivot'!$B$3:$B$300=$B115)*('MTD Pivot'!$C$3:$C$300=$A$89)*('MTD Pivot'!$D$2:$K$2=J$2)*'MTD Pivot'!$D$3:$K$300)</f>
        <v/>
      </c>
      <c r="K115" s="161">
        <f>SUMPRODUCT(('MTD Pivot'!$B$3:$B$300=$B115)*('MTD Pivot'!$C$3:$C$300=$A$89)*('MTD Pivot'!$D$2:$K$2=K$2)*'MTD Pivot'!$D$3:$K$300)</f>
        <v/>
      </c>
      <c r="L115" s="161">
        <f>SUMPRODUCT(('MTD Pivot'!$B$3:$B$300=$B115)*('MTD Pivot'!$C$3:$C$300=$A$89)*('MTD Pivot'!$D$2:$K$2=L$2)*'MTD Pivot'!$D$3:$K$300)</f>
        <v/>
      </c>
      <c r="M115" s="161" t="n"/>
      <c r="N115" s="161" t="n"/>
      <c r="O115" s="143">
        <f>L115-K115</f>
        <v/>
      </c>
      <c r="P115" s="170" t="n"/>
      <c r="Q115" s="170" t="n"/>
      <c r="R115" s="170" t="n"/>
      <c r="S115" s="170" t="n"/>
      <c r="T115" s="170" t="n"/>
      <c r="U115" s="170" t="n"/>
      <c r="V115" s="161">
        <f>SUMPRODUCT(('Full month Pivot'!$B$3:$B$300=$B115)*('Full month Pivot'!$C$3:$C$300=$A$89)*('Full month Pivot'!$D$2:$K$2=V$2)*'Full month Pivot'!$D$3:$K$300)</f>
        <v/>
      </c>
      <c r="W115" s="161">
        <f>SUMPRODUCT(('Full month Pivot'!$B$3:$B$300=$B115)*('Full month Pivot'!$C$3:$C$300=$A$89)*('Full month Pivot'!$D$2:$K$2=W$2)*'Full month Pivot'!$D$3:$K$300)</f>
        <v/>
      </c>
      <c r="X115" s="161">
        <f>SUMPRODUCT(('Full month Pivot'!$B$3:$B$300=$B115)*('Full month Pivot'!$C$3:$C$300=$A$89)*('Full month Pivot'!$D$2:$K$2=X$2)*'Full month Pivot'!$D$3:$K$300)</f>
        <v/>
      </c>
      <c r="Y115" s="161">
        <f>SUMPRODUCT(('Full month Pivot'!$B$3:$B$300=$B115)*('Full month Pivot'!$C$3:$C$300=$A$89)*('Full month Pivot'!$D$2:$K$2=Y$2)*'Full month Pivot'!$D$3:$K$300)</f>
        <v/>
      </c>
      <c r="Z115" s="161">
        <f>SUMPRODUCT(('Full month Pivot'!$B$3:$B$300=$B115)*('Full month Pivot'!$C$3:$C$300=$A$89)*('Full month Pivot'!$D$2:$K$2=Z$2)*'Full month Pivot'!$D$3:$K$300)</f>
        <v/>
      </c>
      <c r="AA115" s="161">
        <f>SUMPRODUCT(('Full month Pivot'!$B$3:$B$300=$B115)*('Full month Pivot'!$C$3:$C$300=$A$89)*('Full month Pivot'!$D$2:$K$2=AA$2)*'Full month Pivot'!$D$3:$K$300)</f>
        <v/>
      </c>
      <c r="AB115" s="161" t="n"/>
      <c r="AC115" s="161" t="n"/>
      <c r="AD115" s="143">
        <f>AA115-Z115</f>
        <v/>
      </c>
      <c r="AE115" s="170" t="n"/>
      <c r="AF115" s="170" t="n"/>
      <c r="AG115" s="170" t="n"/>
      <c r="AH115" s="170" t="n"/>
      <c r="AI115" s="170" t="n"/>
      <c r="AJ115" s="170" t="n"/>
    </row>
    <row r="116" hidden="1" outlineLevel="1" ht="15.75" customHeight="1" s="239">
      <c r="A116" s="170" t="n"/>
      <c r="B116" s="170" t="inlineStr">
        <is>
          <t>Dịch vụ liên kết</t>
        </is>
      </c>
      <c r="C116" s="170" t="n"/>
      <c r="D116" s="170" t="n"/>
      <c r="E116" s="170" t="n"/>
      <c r="F116" s="170" t="n"/>
      <c r="G116" s="161">
        <f>SUMPRODUCT(('MTD Pivot'!$B$3:$B$300=$B116)*('MTD Pivot'!$C$3:$C$300=$A$89)*('MTD Pivot'!$D$2:$K$2=G$2)*'MTD Pivot'!$D$3:$K$300)</f>
        <v/>
      </c>
      <c r="H116" s="161">
        <f>SUMPRODUCT(('MTD Pivot'!$B$3:$B$300=$B116)*('MTD Pivot'!$C$3:$C$300=$A$89)*('MTD Pivot'!$D$2:$K$2=H$2)*'MTD Pivot'!$D$3:$K$300)</f>
        <v/>
      </c>
      <c r="I116" s="161">
        <f>SUMPRODUCT(('MTD Pivot'!$B$3:$B$300=$B116)*('MTD Pivot'!$C$3:$C$300=$A$89)*('MTD Pivot'!$D$2:$K$2=I$2)*'MTD Pivot'!$D$3:$K$300)</f>
        <v/>
      </c>
      <c r="J116" s="161">
        <f>SUMPRODUCT(('MTD Pivot'!$B$3:$B$300=$B116)*('MTD Pivot'!$C$3:$C$300=$A$89)*('MTD Pivot'!$D$2:$K$2=J$2)*'MTD Pivot'!$D$3:$K$300)</f>
        <v/>
      </c>
      <c r="K116" s="161">
        <f>SUMPRODUCT(('MTD Pivot'!$B$3:$B$300=$B116)*('MTD Pivot'!$C$3:$C$300=$A$89)*('MTD Pivot'!$D$2:$K$2=K$2)*'MTD Pivot'!$D$3:$K$300)</f>
        <v/>
      </c>
      <c r="L116" s="161">
        <f>SUMPRODUCT(('MTD Pivot'!$B$3:$B$300=$B116)*('MTD Pivot'!$C$3:$C$300=$A$89)*('MTD Pivot'!$D$2:$K$2=L$2)*'MTD Pivot'!$D$3:$K$300)</f>
        <v/>
      </c>
      <c r="M116" s="161" t="n"/>
      <c r="N116" s="161" t="n"/>
      <c r="O116" s="143">
        <f>L116-K116</f>
        <v/>
      </c>
      <c r="P116" s="170" t="n"/>
      <c r="Q116" s="170" t="n"/>
      <c r="R116" s="170" t="n"/>
      <c r="S116" s="170" t="n"/>
      <c r="T116" s="170" t="n"/>
      <c r="U116" s="170" t="n"/>
      <c r="V116" s="161">
        <f>SUMPRODUCT(('Full month Pivot'!$B$3:$B$300=$B116)*('Full month Pivot'!$C$3:$C$300=$A$89)*('Full month Pivot'!$D$2:$K$2=V$2)*'Full month Pivot'!$D$3:$K$300)</f>
        <v/>
      </c>
      <c r="W116" s="161">
        <f>SUMPRODUCT(('Full month Pivot'!$B$3:$B$300=$B116)*('Full month Pivot'!$C$3:$C$300=$A$89)*('Full month Pivot'!$D$2:$K$2=W$2)*'Full month Pivot'!$D$3:$K$300)</f>
        <v/>
      </c>
      <c r="X116" s="161">
        <f>SUMPRODUCT(('Full month Pivot'!$B$3:$B$300=$B116)*('Full month Pivot'!$C$3:$C$300=$A$89)*('Full month Pivot'!$D$2:$K$2=X$2)*'Full month Pivot'!$D$3:$K$300)</f>
        <v/>
      </c>
      <c r="Y116" s="161">
        <f>SUMPRODUCT(('Full month Pivot'!$B$3:$B$300=$B116)*('Full month Pivot'!$C$3:$C$300=$A$89)*('Full month Pivot'!$D$2:$K$2=Y$2)*'Full month Pivot'!$D$3:$K$300)</f>
        <v/>
      </c>
      <c r="Z116" s="161">
        <f>SUMPRODUCT(('Full month Pivot'!$B$3:$B$300=$B116)*('Full month Pivot'!$C$3:$C$300=$A$89)*('Full month Pivot'!$D$2:$K$2=Z$2)*'Full month Pivot'!$D$3:$K$300)</f>
        <v/>
      </c>
      <c r="AA116" s="161">
        <f>SUMPRODUCT(('Full month Pivot'!$B$3:$B$300=$B116)*('Full month Pivot'!$C$3:$C$300=$A$89)*('Full month Pivot'!$D$2:$K$2=AA$2)*'Full month Pivot'!$D$3:$K$300)</f>
        <v/>
      </c>
      <c r="AB116" s="161" t="n"/>
      <c r="AC116" s="161" t="n"/>
      <c r="AD116" s="143">
        <f>AA116-Z116</f>
        <v/>
      </c>
      <c r="AE116" s="170" t="n"/>
      <c r="AF116" s="170" t="n"/>
      <c r="AG116" s="170" t="n"/>
      <c r="AH116" s="170" t="n"/>
      <c r="AI116" s="170" t="n"/>
      <c r="AJ116" s="170" t="n"/>
    </row>
    <row r="117" hidden="1" outlineLevel="1" ht="15.75" customHeight="1" s="239">
      <c r="A117" s="170" t="n"/>
      <c r="B117" s="170" t="inlineStr">
        <is>
          <t>Billpay</t>
        </is>
      </c>
      <c r="C117" s="170" t="n"/>
      <c r="D117" s="170" t="n"/>
      <c r="E117" s="170" t="n"/>
      <c r="F117" s="170" t="n"/>
      <c r="G117" s="161">
        <f>SUMPRODUCT(('MTD Pivot'!$B$3:$B$300=$B117)*('MTD Pivot'!$C$3:$C$300=$A$89)*('MTD Pivot'!$D$2:$K$2=G$2)*'MTD Pivot'!$D$3:$K$300)</f>
        <v/>
      </c>
      <c r="H117" s="161">
        <f>SUMPRODUCT(('MTD Pivot'!$B$3:$B$300=$B117)*('MTD Pivot'!$C$3:$C$300=$A$89)*('MTD Pivot'!$D$2:$K$2=H$2)*'MTD Pivot'!$D$3:$K$300)</f>
        <v/>
      </c>
      <c r="I117" s="161">
        <f>SUMPRODUCT(('MTD Pivot'!$B$3:$B$300=$B117)*('MTD Pivot'!$C$3:$C$300=$A$89)*('MTD Pivot'!$D$2:$K$2=I$2)*'MTD Pivot'!$D$3:$K$300)</f>
        <v/>
      </c>
      <c r="J117" s="161">
        <f>SUMPRODUCT(('MTD Pivot'!$B$3:$B$300=$B117)*('MTD Pivot'!$C$3:$C$300=$A$89)*('MTD Pivot'!$D$2:$K$2=J$2)*'MTD Pivot'!$D$3:$K$300)</f>
        <v/>
      </c>
      <c r="K117" s="161">
        <f>SUMPRODUCT(('MTD Pivot'!$B$3:$B$300=$B117)*('MTD Pivot'!$C$3:$C$300=$A$89)*('MTD Pivot'!$D$2:$K$2=K$2)*'MTD Pivot'!$D$3:$K$300)</f>
        <v/>
      </c>
      <c r="L117" s="161">
        <f>SUMPRODUCT(('MTD Pivot'!$B$3:$B$300=$B117)*('MTD Pivot'!$C$3:$C$300=$A$89)*('MTD Pivot'!$D$2:$K$2=L$2)*'MTD Pivot'!$D$3:$K$300)</f>
        <v/>
      </c>
      <c r="M117" s="161" t="n"/>
      <c r="N117" s="161" t="n"/>
      <c r="O117" s="143">
        <f>L117-K117</f>
        <v/>
      </c>
      <c r="P117" s="170" t="n"/>
      <c r="Q117" s="170" t="n"/>
      <c r="R117" s="170" t="n"/>
      <c r="S117" s="170" t="n"/>
      <c r="T117" s="170" t="n"/>
      <c r="U117" s="170" t="n"/>
      <c r="V117" s="161">
        <f>SUMPRODUCT(('Full month Pivot'!$B$3:$B$300=$B117)*('Full month Pivot'!$C$3:$C$300=$A$89)*('Full month Pivot'!$D$2:$K$2=V$2)*'Full month Pivot'!$D$3:$K$300)</f>
        <v/>
      </c>
      <c r="W117" s="161">
        <f>SUMPRODUCT(('Full month Pivot'!$B$3:$B$300=$B117)*('Full month Pivot'!$C$3:$C$300=$A$89)*('Full month Pivot'!$D$2:$K$2=W$2)*'Full month Pivot'!$D$3:$K$300)</f>
        <v/>
      </c>
      <c r="X117" s="161">
        <f>SUMPRODUCT(('Full month Pivot'!$B$3:$B$300=$B117)*('Full month Pivot'!$C$3:$C$300=$A$89)*('Full month Pivot'!$D$2:$K$2=X$2)*'Full month Pivot'!$D$3:$K$300)</f>
        <v/>
      </c>
      <c r="Y117" s="161">
        <f>SUMPRODUCT(('Full month Pivot'!$B$3:$B$300=$B117)*('Full month Pivot'!$C$3:$C$300=$A$89)*('Full month Pivot'!$D$2:$K$2=Y$2)*'Full month Pivot'!$D$3:$K$300)</f>
        <v/>
      </c>
      <c r="Z117" s="161">
        <f>SUMPRODUCT(('Full month Pivot'!$B$3:$B$300=$B117)*('Full month Pivot'!$C$3:$C$300=$A$89)*('Full month Pivot'!$D$2:$K$2=Z$2)*'Full month Pivot'!$D$3:$K$300)</f>
        <v/>
      </c>
      <c r="AA117" s="161">
        <f>SUMPRODUCT(('Full month Pivot'!$B$3:$B$300=$B117)*('Full month Pivot'!$C$3:$C$300=$A$89)*('Full month Pivot'!$D$2:$K$2=AA$2)*'Full month Pivot'!$D$3:$K$300)</f>
        <v/>
      </c>
      <c r="AB117" s="161" t="n"/>
      <c r="AC117" s="161" t="n"/>
      <c r="AD117" s="143">
        <f>AA117-Z117</f>
        <v/>
      </c>
      <c r="AE117" s="170" t="n"/>
      <c r="AF117" s="170" t="n"/>
      <c r="AG117" s="170" t="n"/>
      <c r="AH117" s="170" t="n"/>
      <c r="AI117" s="170" t="n"/>
      <c r="AJ117" s="170" t="n"/>
    </row>
    <row r="118" hidden="1" outlineLevel="1" ht="15.75" customHeight="1" s="239">
      <c r="A118" s="170" t="n"/>
      <c r="B118" s="170" t="inlineStr">
        <is>
          <t>P2P</t>
        </is>
      </c>
      <c r="C118" s="170" t="n"/>
      <c r="D118" s="170" t="n"/>
      <c r="E118" s="170" t="n"/>
      <c r="F118" s="170" t="n"/>
      <c r="G118" s="161">
        <f>SUMPRODUCT(('MTD Pivot'!$B$3:$B$300=$B118)*('MTD Pivot'!$C$3:$C$300=$A$89)*('MTD Pivot'!$D$2:$K$2=G$2)*'MTD Pivot'!$D$3:$K$300)</f>
        <v/>
      </c>
      <c r="H118" s="161">
        <f>SUMPRODUCT(('MTD Pivot'!$B$3:$B$300=$B118)*('MTD Pivot'!$C$3:$C$300=$A$89)*('MTD Pivot'!$D$2:$K$2=H$2)*'MTD Pivot'!$D$3:$K$300)</f>
        <v/>
      </c>
      <c r="I118" s="161">
        <f>SUMPRODUCT(('MTD Pivot'!$B$3:$B$300=$B118)*('MTD Pivot'!$C$3:$C$300=$A$89)*('MTD Pivot'!$D$2:$K$2=I$2)*'MTD Pivot'!$D$3:$K$300)</f>
        <v/>
      </c>
      <c r="J118" s="161">
        <f>SUMPRODUCT(('MTD Pivot'!$B$3:$B$300=$B118)*('MTD Pivot'!$C$3:$C$300=$A$89)*('MTD Pivot'!$D$2:$K$2=J$2)*'MTD Pivot'!$D$3:$K$300)</f>
        <v/>
      </c>
      <c r="K118" s="161">
        <f>SUMPRODUCT(('MTD Pivot'!$B$3:$B$300=$B118)*('MTD Pivot'!$C$3:$C$300=$A$89)*('MTD Pivot'!$D$2:$K$2=K$2)*'MTD Pivot'!$D$3:$K$300)</f>
        <v/>
      </c>
      <c r="L118" s="161">
        <f>SUMPRODUCT(('MTD Pivot'!$B$3:$B$300=$B118)*('MTD Pivot'!$C$3:$C$300=$A$89)*('MTD Pivot'!$D$2:$K$2=L$2)*'MTD Pivot'!$D$3:$K$300)</f>
        <v/>
      </c>
      <c r="M118" s="161" t="n"/>
      <c r="N118" s="161" t="n"/>
      <c r="O118" s="143">
        <f>L118-K118</f>
        <v/>
      </c>
      <c r="P118" s="170" t="n"/>
      <c r="Q118" s="170" t="n"/>
      <c r="R118" s="170" t="n"/>
      <c r="S118" s="170" t="n"/>
      <c r="T118" s="170" t="n"/>
      <c r="U118" s="170" t="n"/>
      <c r="V118" s="161">
        <f>SUMPRODUCT(('Full month Pivot'!$B$3:$B$300=$B118)*('Full month Pivot'!$C$3:$C$300=$A$89)*('Full month Pivot'!$D$2:$K$2=V$2)*'Full month Pivot'!$D$3:$K$300)</f>
        <v/>
      </c>
      <c r="W118" s="161">
        <f>SUMPRODUCT(('Full month Pivot'!$B$3:$B$300=$B118)*('Full month Pivot'!$C$3:$C$300=$A$89)*('Full month Pivot'!$D$2:$K$2=W$2)*'Full month Pivot'!$D$3:$K$300)</f>
        <v/>
      </c>
      <c r="X118" s="161">
        <f>SUMPRODUCT(('Full month Pivot'!$B$3:$B$300=$B118)*('Full month Pivot'!$C$3:$C$300=$A$89)*('Full month Pivot'!$D$2:$K$2=X$2)*'Full month Pivot'!$D$3:$K$300)</f>
        <v/>
      </c>
      <c r="Y118" s="161">
        <f>SUMPRODUCT(('Full month Pivot'!$B$3:$B$300=$B118)*('Full month Pivot'!$C$3:$C$300=$A$89)*('Full month Pivot'!$D$2:$K$2=Y$2)*'Full month Pivot'!$D$3:$K$300)</f>
        <v/>
      </c>
      <c r="Z118" s="161">
        <f>SUMPRODUCT(('Full month Pivot'!$B$3:$B$300=$B118)*('Full month Pivot'!$C$3:$C$300=$A$89)*('Full month Pivot'!$D$2:$K$2=Z$2)*'Full month Pivot'!$D$3:$K$300)</f>
        <v/>
      </c>
      <c r="AA118" s="161">
        <f>SUMPRODUCT(('Full month Pivot'!$B$3:$B$300=$B118)*('Full month Pivot'!$C$3:$C$300=$A$89)*('Full month Pivot'!$D$2:$K$2=AA$2)*'Full month Pivot'!$D$3:$K$300)</f>
        <v/>
      </c>
      <c r="AB118" s="161" t="n"/>
      <c r="AC118" s="161" t="n"/>
      <c r="AD118" s="143">
        <f>AA118-Z118</f>
        <v/>
      </c>
      <c r="AE118" s="170" t="n"/>
      <c r="AF118" s="170" t="n"/>
      <c r="AG118" s="170" t="n"/>
      <c r="AH118" s="170" t="n"/>
      <c r="AI118" s="170" t="n"/>
      <c r="AJ118" s="170" t="n"/>
    </row>
    <row r="119" hidden="1" outlineLevel="1" ht="15.75" customHeight="1" s="239">
      <c r="A119" s="170" t="n"/>
      <c r="B119" s="170" t="inlineStr">
        <is>
          <t>Điện</t>
        </is>
      </c>
      <c r="C119" s="170" t="n"/>
      <c r="D119" s="170" t="n"/>
      <c r="E119" s="170" t="n"/>
      <c r="F119" s="170" t="n"/>
      <c r="G119" s="161">
        <f>SUMPRODUCT(('MTD Pivot'!$B$3:$B$300=$B119)*('MTD Pivot'!$C$3:$C$300=$A$89)*('MTD Pivot'!$D$2:$K$2=G$2)*'MTD Pivot'!$D$3:$K$300)</f>
        <v/>
      </c>
      <c r="H119" s="161">
        <f>SUMPRODUCT(('MTD Pivot'!$B$3:$B$300=$B119)*('MTD Pivot'!$C$3:$C$300=$A$89)*('MTD Pivot'!$D$2:$K$2=H$2)*'MTD Pivot'!$D$3:$K$300)</f>
        <v/>
      </c>
      <c r="I119" s="161">
        <f>SUMPRODUCT(('MTD Pivot'!$B$3:$B$300=$B119)*('MTD Pivot'!$C$3:$C$300=$A$89)*('MTD Pivot'!$D$2:$K$2=I$2)*'MTD Pivot'!$D$3:$K$300)</f>
        <v/>
      </c>
      <c r="J119" s="161">
        <f>SUMPRODUCT(('MTD Pivot'!$B$3:$B$300=$B119)*('MTD Pivot'!$C$3:$C$300=$A$89)*('MTD Pivot'!$D$2:$K$2=J$2)*'MTD Pivot'!$D$3:$K$300)</f>
        <v/>
      </c>
      <c r="K119" s="161">
        <f>SUMPRODUCT(('MTD Pivot'!$B$3:$B$300=$B119)*('MTD Pivot'!$C$3:$C$300=$A$89)*('MTD Pivot'!$D$2:$K$2=K$2)*'MTD Pivot'!$D$3:$K$300)</f>
        <v/>
      </c>
      <c r="L119" s="161">
        <f>SUMPRODUCT(('MTD Pivot'!$B$3:$B$300=$B119)*('MTD Pivot'!$C$3:$C$300=$A$89)*('MTD Pivot'!$D$2:$K$2=L$2)*'MTD Pivot'!$D$3:$K$300)</f>
        <v/>
      </c>
      <c r="M119" s="161" t="n"/>
      <c r="N119" s="161" t="n"/>
      <c r="O119" s="143">
        <f>L119-K119</f>
        <v/>
      </c>
      <c r="P119" s="170" t="n"/>
      <c r="Q119" s="170" t="n"/>
      <c r="R119" s="170" t="n"/>
      <c r="S119" s="170" t="n"/>
      <c r="T119" s="170" t="n"/>
      <c r="U119" s="170" t="n"/>
      <c r="V119" s="161">
        <f>SUMPRODUCT(('Full month Pivot'!$B$3:$B$300=$B119)*('Full month Pivot'!$C$3:$C$300=$A$89)*('Full month Pivot'!$D$2:$K$2=V$2)*'Full month Pivot'!$D$3:$K$300)</f>
        <v/>
      </c>
      <c r="W119" s="161">
        <f>SUMPRODUCT(('Full month Pivot'!$B$3:$B$300=$B119)*('Full month Pivot'!$C$3:$C$300=$A$89)*('Full month Pivot'!$D$2:$K$2=W$2)*'Full month Pivot'!$D$3:$K$300)</f>
        <v/>
      </c>
      <c r="X119" s="161">
        <f>SUMPRODUCT(('Full month Pivot'!$B$3:$B$300=$B119)*('Full month Pivot'!$C$3:$C$300=$A$89)*('Full month Pivot'!$D$2:$K$2=X$2)*'Full month Pivot'!$D$3:$K$300)</f>
        <v/>
      </c>
      <c r="Y119" s="161">
        <f>SUMPRODUCT(('Full month Pivot'!$B$3:$B$300=$B119)*('Full month Pivot'!$C$3:$C$300=$A$89)*('Full month Pivot'!$D$2:$K$2=Y$2)*'Full month Pivot'!$D$3:$K$300)</f>
        <v/>
      </c>
      <c r="Z119" s="161">
        <f>SUMPRODUCT(('Full month Pivot'!$B$3:$B$300=$B119)*('Full month Pivot'!$C$3:$C$300=$A$89)*('Full month Pivot'!$D$2:$K$2=Z$2)*'Full month Pivot'!$D$3:$K$300)</f>
        <v/>
      </c>
      <c r="AA119" s="161">
        <f>SUMPRODUCT(('Full month Pivot'!$B$3:$B$300=$B119)*('Full month Pivot'!$C$3:$C$300=$A$89)*('Full month Pivot'!$D$2:$K$2=AA$2)*'Full month Pivot'!$D$3:$K$300)</f>
        <v/>
      </c>
      <c r="AB119" s="161" t="n"/>
      <c r="AC119" s="161" t="n"/>
      <c r="AD119" s="143">
        <f>AA119-Z119</f>
        <v/>
      </c>
      <c r="AE119" s="170" t="n"/>
      <c r="AF119" s="170" t="n"/>
      <c r="AG119" s="170" t="n"/>
      <c r="AH119" s="170" t="n"/>
      <c r="AI119" s="170" t="n"/>
      <c r="AJ119" s="170" t="n"/>
    </row>
    <row r="120" hidden="1" outlineLevel="1" ht="15.75" customHeight="1" s="239">
      <c r="A120" s="170" t="n"/>
      <c r="B120" s="170" t="inlineStr">
        <is>
          <t>Cross Border</t>
        </is>
      </c>
      <c r="C120" s="170" t="n"/>
      <c r="D120" s="170" t="n"/>
      <c r="E120" s="170" t="n"/>
      <c r="F120" s="170" t="n"/>
      <c r="G120" s="161">
        <f>SUMPRODUCT(('MTD Pivot'!$B$3:$B$300=$B120)*('MTD Pivot'!$C$3:$C$300=$A$89)*('MTD Pivot'!$D$2:$K$2=G$2)*'MTD Pivot'!$D$3:$K$300)</f>
        <v/>
      </c>
      <c r="H120" s="161">
        <f>SUMPRODUCT(('MTD Pivot'!$B$3:$B$300=$B120)*('MTD Pivot'!$C$3:$C$300=$A$89)*('MTD Pivot'!$D$2:$K$2=H$2)*'MTD Pivot'!$D$3:$K$300)</f>
        <v/>
      </c>
      <c r="I120" s="161">
        <f>SUMPRODUCT(('MTD Pivot'!$B$3:$B$300=$B120)*('MTD Pivot'!$C$3:$C$300=$A$89)*('MTD Pivot'!$D$2:$K$2=I$2)*'MTD Pivot'!$D$3:$K$300)</f>
        <v/>
      </c>
      <c r="J120" s="161">
        <f>SUMPRODUCT(('MTD Pivot'!$B$3:$B$300=$B120)*('MTD Pivot'!$C$3:$C$300=$A$89)*('MTD Pivot'!$D$2:$K$2=J$2)*'MTD Pivot'!$D$3:$K$300)</f>
        <v/>
      </c>
      <c r="K120" s="161">
        <f>SUMPRODUCT(('MTD Pivot'!$B$3:$B$300=$B120)*('MTD Pivot'!$C$3:$C$300=$A$89)*('MTD Pivot'!$D$2:$K$2=K$2)*'MTD Pivot'!$D$3:$K$300)</f>
        <v/>
      </c>
      <c r="L120" s="161">
        <f>SUMPRODUCT(('MTD Pivot'!$B$3:$B$300=$B120)*('MTD Pivot'!$C$3:$C$300=$A$89)*('MTD Pivot'!$D$2:$K$2=L$2)*'MTD Pivot'!$D$3:$K$300)</f>
        <v/>
      </c>
      <c r="M120" s="161" t="n"/>
      <c r="N120" s="161" t="n"/>
      <c r="O120" s="143">
        <f>L120-K120</f>
        <v/>
      </c>
      <c r="P120" s="170" t="n"/>
      <c r="Q120" s="170" t="n"/>
      <c r="R120" s="170" t="n"/>
      <c r="S120" s="170" t="n"/>
      <c r="T120" s="170" t="n"/>
      <c r="U120" s="170" t="n"/>
      <c r="V120" s="161">
        <f>SUMPRODUCT(('Full month Pivot'!$B$3:$B$300=$B120)*('Full month Pivot'!$C$3:$C$300=$A$89)*('Full month Pivot'!$D$2:$K$2=V$2)*'Full month Pivot'!$D$3:$K$300)</f>
        <v/>
      </c>
      <c r="W120" s="161">
        <f>SUMPRODUCT(('Full month Pivot'!$B$3:$B$300=$B120)*('Full month Pivot'!$C$3:$C$300=$A$89)*('Full month Pivot'!$D$2:$K$2=W$2)*'Full month Pivot'!$D$3:$K$300)</f>
        <v/>
      </c>
      <c r="X120" s="161">
        <f>SUMPRODUCT(('Full month Pivot'!$B$3:$B$300=$B120)*('Full month Pivot'!$C$3:$C$300=$A$89)*('Full month Pivot'!$D$2:$K$2=X$2)*'Full month Pivot'!$D$3:$K$300)</f>
        <v/>
      </c>
      <c r="Y120" s="161">
        <f>SUMPRODUCT(('Full month Pivot'!$B$3:$B$300=$B120)*('Full month Pivot'!$C$3:$C$300=$A$89)*('Full month Pivot'!$D$2:$K$2=Y$2)*'Full month Pivot'!$D$3:$K$300)</f>
        <v/>
      </c>
      <c r="Z120" s="161">
        <f>SUMPRODUCT(('Full month Pivot'!$B$3:$B$300=$B120)*('Full month Pivot'!$C$3:$C$300=$A$89)*('Full month Pivot'!$D$2:$K$2=Z$2)*'Full month Pivot'!$D$3:$K$300)</f>
        <v/>
      </c>
      <c r="AA120" s="161">
        <f>SUMPRODUCT(('Full month Pivot'!$B$3:$B$300=$B120)*('Full month Pivot'!$C$3:$C$300=$A$89)*('Full month Pivot'!$D$2:$K$2=AA$2)*'Full month Pivot'!$D$3:$K$300)</f>
        <v/>
      </c>
      <c r="AB120" s="161" t="n"/>
      <c r="AC120" s="161" t="n"/>
      <c r="AD120" s="143">
        <f>AA120-Z120</f>
        <v/>
      </c>
      <c r="AE120" s="170" t="n"/>
      <c r="AF120" s="170" t="n"/>
      <c r="AG120" s="170" t="n"/>
      <c r="AH120" s="170" t="n"/>
      <c r="AI120" s="170" t="n"/>
      <c r="AJ120" s="170" t="n"/>
    </row>
    <row r="121" hidden="1" outlineLevel="1" ht="15.75" customHeight="1" s="239">
      <c r="A121" s="170" t="n"/>
      <c r="B121" s="170" t="inlineStr">
        <is>
          <t>Hoàn Tiền Mua Sắm</t>
        </is>
      </c>
      <c r="C121" s="170" t="n"/>
      <c r="D121" s="170" t="n"/>
      <c r="E121" s="170" t="n"/>
      <c r="F121" s="170" t="n"/>
      <c r="G121" s="161">
        <f>SUMPRODUCT(('MTD Pivot'!$B$3:$B$300=$B121)*('MTD Pivot'!$C$3:$C$300=$A$89)*('MTD Pivot'!$D$2:$K$2=G$2)*'MTD Pivot'!$D$3:$K$300)</f>
        <v/>
      </c>
      <c r="H121" s="161">
        <f>SUMPRODUCT(('MTD Pivot'!$B$3:$B$300=$B121)*('MTD Pivot'!$C$3:$C$300=$A$89)*('MTD Pivot'!$D$2:$K$2=H$2)*'MTD Pivot'!$D$3:$K$300)</f>
        <v/>
      </c>
      <c r="I121" s="161">
        <f>SUMPRODUCT(('MTD Pivot'!$B$3:$B$300=$B121)*('MTD Pivot'!$C$3:$C$300=$A$89)*('MTD Pivot'!$D$2:$K$2=I$2)*'MTD Pivot'!$D$3:$K$300)</f>
        <v/>
      </c>
      <c r="J121" s="161">
        <f>SUMPRODUCT(('MTD Pivot'!$B$3:$B$300=$B121)*('MTD Pivot'!$C$3:$C$300=$A$89)*('MTD Pivot'!$D$2:$K$2=J$2)*'MTD Pivot'!$D$3:$K$300)</f>
        <v/>
      </c>
      <c r="K121" s="161">
        <f>SUMPRODUCT(('MTD Pivot'!$B$3:$B$300=$B121)*('MTD Pivot'!$C$3:$C$300=$A$89)*('MTD Pivot'!$D$2:$K$2=K$2)*'MTD Pivot'!$D$3:$K$300)</f>
        <v/>
      </c>
      <c r="L121" s="161">
        <f>SUMPRODUCT(('MTD Pivot'!$B$3:$B$300=$B121)*('MTD Pivot'!$C$3:$C$300=$A$89)*('MTD Pivot'!$D$2:$K$2=L$2)*'MTD Pivot'!$D$3:$K$300)</f>
        <v/>
      </c>
      <c r="M121" s="161" t="n"/>
      <c r="N121" s="161" t="n"/>
      <c r="O121" s="143">
        <f>L121-K121</f>
        <v/>
      </c>
      <c r="P121" s="170" t="n"/>
      <c r="Q121" s="170" t="n"/>
      <c r="R121" s="170" t="n"/>
      <c r="S121" s="170" t="n"/>
      <c r="T121" s="170" t="n"/>
      <c r="U121" s="170" t="n"/>
      <c r="V121" s="161">
        <f>SUMPRODUCT(('Full month Pivot'!$B$3:$B$300=$B121)*('Full month Pivot'!$C$3:$C$300=$A$89)*('Full month Pivot'!$D$2:$K$2=V$2)*'Full month Pivot'!$D$3:$K$300)</f>
        <v/>
      </c>
      <c r="W121" s="161">
        <f>SUMPRODUCT(('Full month Pivot'!$B$3:$B$300=$B121)*('Full month Pivot'!$C$3:$C$300=$A$89)*('Full month Pivot'!$D$2:$K$2=W$2)*'Full month Pivot'!$D$3:$K$300)</f>
        <v/>
      </c>
      <c r="X121" s="161">
        <f>SUMPRODUCT(('Full month Pivot'!$B$3:$B$300=$B121)*('Full month Pivot'!$C$3:$C$300=$A$89)*('Full month Pivot'!$D$2:$K$2=X$2)*'Full month Pivot'!$D$3:$K$300)</f>
        <v/>
      </c>
      <c r="Y121" s="161">
        <f>SUMPRODUCT(('Full month Pivot'!$B$3:$B$300=$B121)*('Full month Pivot'!$C$3:$C$300=$A$89)*('Full month Pivot'!$D$2:$K$2=Y$2)*'Full month Pivot'!$D$3:$K$300)</f>
        <v/>
      </c>
      <c r="Z121" s="161">
        <f>SUMPRODUCT(('Full month Pivot'!$B$3:$B$300=$B121)*('Full month Pivot'!$C$3:$C$300=$A$89)*('Full month Pivot'!$D$2:$K$2=Z$2)*'Full month Pivot'!$D$3:$K$300)</f>
        <v/>
      </c>
      <c r="AA121" s="161">
        <f>SUMPRODUCT(('Full month Pivot'!$B$3:$B$300=$B121)*('Full month Pivot'!$C$3:$C$300=$A$89)*('Full month Pivot'!$D$2:$K$2=AA$2)*'Full month Pivot'!$D$3:$K$300)</f>
        <v/>
      </c>
      <c r="AB121" s="161" t="n"/>
      <c r="AC121" s="161" t="n"/>
      <c r="AD121" s="143">
        <f>AA121-Z121</f>
        <v/>
      </c>
      <c r="AE121" s="170" t="n"/>
      <c r="AF121" s="170" t="n"/>
      <c r="AG121" s="170" t="n"/>
      <c r="AH121" s="170" t="n"/>
      <c r="AI121" s="170" t="n"/>
      <c r="AJ121" s="170" t="n"/>
    </row>
    <row r="122" hidden="1" outlineLevel="1" ht="15.75" customHeight="1" s="239">
      <c r="A122" s="170" t="n"/>
      <c r="B122" s="170" t="inlineStr">
        <is>
          <t>Mở tài khoản ngân hàng</t>
        </is>
      </c>
      <c r="C122" s="170" t="n"/>
      <c r="D122" s="170" t="n"/>
      <c r="E122" s="170" t="n"/>
      <c r="F122" s="170" t="n"/>
      <c r="G122" s="161">
        <f>SUMPRODUCT(('MTD Pivot'!$B$3:$B$300=$B122)*('MTD Pivot'!$C$3:$C$300=$A$89)*('MTD Pivot'!$D$2:$K$2=G$2)*'MTD Pivot'!$D$3:$K$300)</f>
        <v/>
      </c>
      <c r="H122" s="161">
        <f>SUMPRODUCT(('MTD Pivot'!$B$3:$B$300=$B122)*('MTD Pivot'!$C$3:$C$300=$A$89)*('MTD Pivot'!$D$2:$K$2=H$2)*'MTD Pivot'!$D$3:$K$300)</f>
        <v/>
      </c>
      <c r="I122" s="161">
        <f>SUMPRODUCT(('MTD Pivot'!$B$3:$B$300=$B122)*('MTD Pivot'!$C$3:$C$300=$A$89)*('MTD Pivot'!$D$2:$K$2=I$2)*'MTD Pivot'!$D$3:$K$300)</f>
        <v/>
      </c>
      <c r="J122" s="161">
        <f>SUMPRODUCT(('MTD Pivot'!$B$3:$B$300=$B122)*('MTD Pivot'!$C$3:$C$300=$A$89)*('MTD Pivot'!$D$2:$K$2=J$2)*'MTD Pivot'!$D$3:$K$300)</f>
        <v/>
      </c>
      <c r="K122" s="161">
        <f>SUMPRODUCT(('MTD Pivot'!$B$3:$B$300=$B122)*('MTD Pivot'!$C$3:$C$300=$A$89)*('MTD Pivot'!$D$2:$K$2=K$2)*'MTD Pivot'!$D$3:$K$300)</f>
        <v/>
      </c>
      <c r="L122" s="161">
        <f>SUMPRODUCT(('MTD Pivot'!$B$3:$B$300=$B122)*('MTD Pivot'!$C$3:$C$300=$A$89)*('MTD Pivot'!$D$2:$K$2=L$2)*'MTD Pivot'!$D$3:$K$300)</f>
        <v/>
      </c>
      <c r="M122" s="161" t="n"/>
      <c r="N122" s="161" t="n"/>
      <c r="O122" s="143">
        <f>L122-K122</f>
        <v/>
      </c>
      <c r="P122" s="170" t="n"/>
      <c r="Q122" s="170" t="n"/>
      <c r="R122" s="170" t="n"/>
      <c r="S122" s="170" t="n"/>
      <c r="T122" s="170" t="n"/>
      <c r="U122" s="170" t="n"/>
      <c r="V122" s="161">
        <f>SUMPRODUCT(('Full month Pivot'!$B$3:$B$300=$B122)*('Full month Pivot'!$C$3:$C$300=$A$89)*('Full month Pivot'!$D$2:$K$2=V$2)*'Full month Pivot'!$D$3:$K$300)</f>
        <v/>
      </c>
      <c r="W122" s="161">
        <f>SUMPRODUCT(('Full month Pivot'!$B$3:$B$300=$B122)*('Full month Pivot'!$C$3:$C$300=$A$89)*('Full month Pivot'!$D$2:$K$2=W$2)*'Full month Pivot'!$D$3:$K$300)</f>
        <v/>
      </c>
      <c r="X122" s="161">
        <f>SUMPRODUCT(('Full month Pivot'!$B$3:$B$300=$B122)*('Full month Pivot'!$C$3:$C$300=$A$89)*('Full month Pivot'!$D$2:$K$2=X$2)*'Full month Pivot'!$D$3:$K$300)</f>
        <v/>
      </c>
      <c r="Y122" s="161">
        <f>SUMPRODUCT(('Full month Pivot'!$B$3:$B$300=$B122)*('Full month Pivot'!$C$3:$C$300=$A$89)*('Full month Pivot'!$D$2:$K$2=Y$2)*'Full month Pivot'!$D$3:$K$300)</f>
        <v/>
      </c>
      <c r="Z122" s="161">
        <f>SUMPRODUCT(('Full month Pivot'!$B$3:$B$300=$B122)*('Full month Pivot'!$C$3:$C$300=$A$89)*('Full month Pivot'!$D$2:$K$2=Z$2)*'Full month Pivot'!$D$3:$K$300)</f>
        <v/>
      </c>
      <c r="AA122" s="161">
        <f>SUMPRODUCT(('Full month Pivot'!$B$3:$B$300=$B122)*('Full month Pivot'!$C$3:$C$300=$A$89)*('Full month Pivot'!$D$2:$K$2=AA$2)*'Full month Pivot'!$D$3:$K$300)</f>
        <v/>
      </c>
      <c r="AB122" s="161" t="n"/>
      <c r="AC122" s="161" t="n"/>
      <c r="AD122" s="143">
        <f>AA122-Z122</f>
        <v/>
      </c>
      <c r="AE122" s="170" t="n"/>
      <c r="AF122" s="170" t="n"/>
      <c r="AG122" s="170" t="n"/>
      <c r="AH122" s="170" t="n"/>
      <c r="AI122" s="170" t="n"/>
      <c r="AJ122" s="170" t="n"/>
    </row>
    <row r="123" hidden="1" outlineLevel="1" ht="15.75" customHeight="1" s="239">
      <c r="A123" s="170" t="n"/>
      <c r="B123" s="170" t="inlineStr">
        <is>
          <t>Student Hub</t>
        </is>
      </c>
      <c r="C123" s="170" t="n"/>
      <c r="D123" s="170" t="n"/>
      <c r="E123" s="170" t="n"/>
      <c r="F123" s="170" t="n"/>
      <c r="G123" s="161">
        <f>SUMPRODUCT(('MTD Pivot'!$B$3:$B$300=$B123)*('MTD Pivot'!$C$3:$C$300=$A$89)*('MTD Pivot'!$D$2:$K$2=G$2)*'MTD Pivot'!$D$3:$K$300)</f>
        <v/>
      </c>
      <c r="H123" s="161">
        <f>SUMPRODUCT(('MTD Pivot'!$B$3:$B$300=$B123)*('MTD Pivot'!$C$3:$C$300=$A$89)*('MTD Pivot'!$D$2:$K$2=H$2)*'MTD Pivot'!$D$3:$K$300)</f>
        <v/>
      </c>
      <c r="I123" s="161">
        <f>SUMPRODUCT(('MTD Pivot'!$B$3:$B$300=$B123)*('MTD Pivot'!$C$3:$C$300=$A$89)*('MTD Pivot'!$D$2:$K$2=I$2)*'MTD Pivot'!$D$3:$K$300)</f>
        <v/>
      </c>
      <c r="J123" s="161">
        <f>SUMPRODUCT(('MTD Pivot'!$B$3:$B$300=$B123)*('MTD Pivot'!$C$3:$C$300=$A$89)*('MTD Pivot'!$D$2:$K$2=J$2)*'MTD Pivot'!$D$3:$K$300)</f>
        <v/>
      </c>
      <c r="K123" s="161">
        <f>SUMPRODUCT(('MTD Pivot'!$B$3:$B$300=$B123)*('MTD Pivot'!$C$3:$C$300=$A$89)*('MTD Pivot'!$D$2:$K$2=K$2)*'MTD Pivot'!$D$3:$K$300)</f>
        <v/>
      </c>
      <c r="L123" s="161">
        <f>SUMPRODUCT(('MTD Pivot'!$B$3:$B$300=$B123)*('MTD Pivot'!$C$3:$C$300=$A$89)*('MTD Pivot'!$D$2:$K$2=L$2)*'MTD Pivot'!$D$3:$K$300)</f>
        <v/>
      </c>
      <c r="M123" s="161" t="n"/>
      <c r="N123" s="161" t="n"/>
      <c r="O123" s="143">
        <f>L123-K123</f>
        <v/>
      </c>
      <c r="P123" s="170" t="n"/>
      <c r="Q123" s="170" t="n"/>
      <c r="R123" s="170" t="n"/>
      <c r="S123" s="170" t="n"/>
      <c r="T123" s="170" t="n"/>
      <c r="U123" s="170" t="n"/>
      <c r="V123" s="161">
        <f>SUMPRODUCT(('Full month Pivot'!$B$3:$B$300=$B123)*('Full month Pivot'!$C$3:$C$300=$A$89)*('Full month Pivot'!$D$2:$K$2=V$2)*'Full month Pivot'!$D$3:$K$300)</f>
        <v/>
      </c>
      <c r="W123" s="161">
        <f>SUMPRODUCT(('Full month Pivot'!$B$3:$B$300=$B123)*('Full month Pivot'!$C$3:$C$300=$A$89)*('Full month Pivot'!$D$2:$K$2=W$2)*'Full month Pivot'!$D$3:$K$300)</f>
        <v/>
      </c>
      <c r="X123" s="161">
        <f>SUMPRODUCT(('Full month Pivot'!$B$3:$B$300=$B123)*('Full month Pivot'!$C$3:$C$300=$A$89)*('Full month Pivot'!$D$2:$K$2=X$2)*'Full month Pivot'!$D$3:$K$300)</f>
        <v/>
      </c>
      <c r="Y123" s="161">
        <f>SUMPRODUCT(('Full month Pivot'!$B$3:$B$300=$B123)*('Full month Pivot'!$C$3:$C$300=$A$89)*('Full month Pivot'!$D$2:$K$2=Y$2)*'Full month Pivot'!$D$3:$K$300)</f>
        <v/>
      </c>
      <c r="Z123" s="161">
        <f>SUMPRODUCT(('Full month Pivot'!$B$3:$B$300=$B123)*('Full month Pivot'!$C$3:$C$300=$A$89)*('Full month Pivot'!$D$2:$K$2=Z$2)*'Full month Pivot'!$D$3:$K$300)</f>
        <v/>
      </c>
      <c r="AA123" s="161">
        <f>SUMPRODUCT(('Full month Pivot'!$B$3:$B$300=$B123)*('Full month Pivot'!$C$3:$C$300=$A$89)*('Full month Pivot'!$D$2:$K$2=AA$2)*'Full month Pivot'!$D$3:$K$300)</f>
        <v/>
      </c>
      <c r="AB123" s="161" t="n"/>
      <c r="AC123" s="161" t="n"/>
      <c r="AD123" s="143">
        <f>AA123-Z123</f>
        <v/>
      </c>
      <c r="AE123" s="170" t="n"/>
      <c r="AF123" s="170" t="n"/>
      <c r="AG123" s="170" t="n"/>
      <c r="AH123" s="170" t="n"/>
      <c r="AI123" s="170" t="n"/>
      <c r="AJ123" s="170" t="n"/>
    </row>
    <row r="124" hidden="1" outlineLevel="1" ht="15.75" customHeight="1" s="239">
      <c r="A124" s="170" t="n"/>
      <c r="B124" s="170" t="inlineStr">
        <is>
          <t>Tiện ích giao thông</t>
        </is>
      </c>
      <c r="C124" s="170" t="n"/>
      <c r="D124" s="170" t="n"/>
      <c r="E124" s="170" t="n"/>
      <c r="F124" s="170" t="n"/>
      <c r="G124" s="161">
        <f>SUMPRODUCT(('MTD Pivot'!$B$3:$B$300=$B124)*('MTD Pivot'!$C$3:$C$300=$A$89)*('MTD Pivot'!$D$2:$K$2=G$2)*'MTD Pivot'!$D$3:$K$300)</f>
        <v/>
      </c>
      <c r="H124" s="161">
        <f>SUMPRODUCT(('MTD Pivot'!$B$3:$B$300=$B124)*('MTD Pivot'!$C$3:$C$300=$A$89)*('MTD Pivot'!$D$2:$K$2=H$2)*'MTD Pivot'!$D$3:$K$300)</f>
        <v/>
      </c>
      <c r="I124" s="161">
        <f>SUMPRODUCT(('MTD Pivot'!$B$3:$B$300=$B124)*('MTD Pivot'!$C$3:$C$300=$A$89)*('MTD Pivot'!$D$2:$K$2=I$2)*'MTD Pivot'!$D$3:$K$300)</f>
        <v/>
      </c>
      <c r="J124" s="161">
        <f>SUMPRODUCT(('MTD Pivot'!$B$3:$B$300=$B124)*('MTD Pivot'!$C$3:$C$300=$A$89)*('MTD Pivot'!$D$2:$K$2=J$2)*'MTD Pivot'!$D$3:$K$300)</f>
        <v/>
      </c>
      <c r="K124" s="161">
        <f>SUMPRODUCT(('MTD Pivot'!$B$3:$B$300=$B124)*('MTD Pivot'!$C$3:$C$300=$A$89)*('MTD Pivot'!$D$2:$K$2=K$2)*'MTD Pivot'!$D$3:$K$300)</f>
        <v/>
      </c>
      <c r="L124" s="161">
        <f>SUMPRODUCT(('MTD Pivot'!$B$3:$B$300=$B124)*('MTD Pivot'!$C$3:$C$300=$A$89)*('MTD Pivot'!$D$2:$K$2=L$2)*'MTD Pivot'!$D$3:$K$300)</f>
        <v/>
      </c>
      <c r="M124" s="161" t="n"/>
      <c r="N124" s="161" t="n"/>
      <c r="O124" s="143">
        <f>L124-K124</f>
        <v/>
      </c>
      <c r="P124" s="170" t="n"/>
      <c r="Q124" s="170" t="n"/>
      <c r="R124" s="170" t="n"/>
      <c r="S124" s="170" t="n"/>
      <c r="T124" s="170" t="n"/>
      <c r="U124" s="170" t="n"/>
      <c r="V124" s="161">
        <f>SUMPRODUCT(('Full month Pivot'!$B$3:$B$300=$B124)*('Full month Pivot'!$C$3:$C$300=$A$89)*('Full month Pivot'!$D$2:$K$2=V$2)*'Full month Pivot'!$D$3:$K$300)</f>
        <v/>
      </c>
      <c r="W124" s="161">
        <f>SUMPRODUCT(('Full month Pivot'!$B$3:$B$300=$B124)*('Full month Pivot'!$C$3:$C$300=$A$89)*('Full month Pivot'!$D$2:$K$2=W$2)*'Full month Pivot'!$D$3:$K$300)</f>
        <v/>
      </c>
      <c r="X124" s="161">
        <f>SUMPRODUCT(('Full month Pivot'!$B$3:$B$300=$B124)*('Full month Pivot'!$C$3:$C$300=$A$89)*('Full month Pivot'!$D$2:$K$2=X$2)*'Full month Pivot'!$D$3:$K$300)</f>
        <v/>
      </c>
      <c r="Y124" s="161">
        <f>SUMPRODUCT(('Full month Pivot'!$B$3:$B$300=$B124)*('Full month Pivot'!$C$3:$C$300=$A$89)*('Full month Pivot'!$D$2:$K$2=Y$2)*'Full month Pivot'!$D$3:$K$300)</f>
        <v/>
      </c>
      <c r="Z124" s="161">
        <f>SUMPRODUCT(('Full month Pivot'!$B$3:$B$300=$B124)*('Full month Pivot'!$C$3:$C$300=$A$89)*('Full month Pivot'!$D$2:$K$2=Z$2)*'Full month Pivot'!$D$3:$K$300)</f>
        <v/>
      </c>
      <c r="AA124" s="161">
        <f>SUMPRODUCT(('Full month Pivot'!$B$3:$B$300=$B124)*('Full month Pivot'!$C$3:$C$300=$A$89)*('Full month Pivot'!$D$2:$K$2=AA$2)*'Full month Pivot'!$D$3:$K$300)</f>
        <v/>
      </c>
      <c r="AB124" s="161" t="n"/>
      <c r="AC124" s="161" t="n"/>
      <c r="AD124" s="143">
        <f>AA124-Z124</f>
        <v/>
      </c>
      <c r="AE124" s="170" t="n"/>
      <c r="AF124" s="170" t="n"/>
      <c r="AG124" s="170" t="n"/>
      <c r="AH124" s="170" t="n"/>
      <c r="AI124" s="170" t="n"/>
      <c r="AJ124" s="170" t="n"/>
    </row>
    <row r="125" hidden="1" outlineLevel="1" ht="15.75" customHeight="1" s="239">
      <c r="A125" s="170" t="n"/>
      <c r="B125" s="170" t="inlineStr">
        <is>
          <t>Phí không dừng</t>
        </is>
      </c>
      <c r="C125" s="170" t="n"/>
      <c r="D125" s="170" t="n"/>
      <c r="E125" s="170" t="n"/>
      <c r="F125" s="170" t="n"/>
      <c r="G125" s="161">
        <f>SUMPRODUCT(('MTD Pivot'!$B$3:$B$300=$B125)*('MTD Pivot'!$C$3:$C$300=$A$89)*('MTD Pivot'!$D$2:$K$2=G$2)*'MTD Pivot'!$D$3:$K$300)</f>
        <v/>
      </c>
      <c r="H125" s="161">
        <f>SUMPRODUCT(('MTD Pivot'!$B$3:$B$300=$B125)*('MTD Pivot'!$C$3:$C$300=$A$89)*('MTD Pivot'!$D$2:$K$2=H$2)*'MTD Pivot'!$D$3:$K$300)</f>
        <v/>
      </c>
      <c r="I125" s="161">
        <f>SUMPRODUCT(('MTD Pivot'!$B$3:$B$300=$B125)*('MTD Pivot'!$C$3:$C$300=$A$89)*('MTD Pivot'!$D$2:$K$2=I$2)*'MTD Pivot'!$D$3:$K$300)</f>
        <v/>
      </c>
      <c r="J125" s="161">
        <f>SUMPRODUCT(('MTD Pivot'!$B$3:$B$300=$B125)*('MTD Pivot'!$C$3:$C$300=$A$89)*('MTD Pivot'!$D$2:$K$2=J$2)*'MTD Pivot'!$D$3:$K$300)</f>
        <v/>
      </c>
      <c r="K125" s="161">
        <f>SUMPRODUCT(('MTD Pivot'!$B$3:$B$300=$B125)*('MTD Pivot'!$C$3:$C$300=$A$89)*('MTD Pivot'!$D$2:$K$2=K$2)*'MTD Pivot'!$D$3:$K$300)</f>
        <v/>
      </c>
      <c r="L125" s="161">
        <f>SUMPRODUCT(('MTD Pivot'!$B$3:$B$300=$B125)*('MTD Pivot'!$C$3:$C$300=$A$89)*('MTD Pivot'!$D$2:$K$2=L$2)*'MTD Pivot'!$D$3:$K$300)</f>
        <v/>
      </c>
      <c r="M125" s="161" t="n"/>
      <c r="N125" s="161" t="n"/>
      <c r="O125" s="143">
        <f>L125-K125</f>
        <v/>
      </c>
      <c r="P125" s="170" t="n"/>
      <c r="Q125" s="170" t="n"/>
      <c r="R125" s="170" t="n"/>
      <c r="S125" s="170" t="n"/>
      <c r="T125" s="170" t="n"/>
      <c r="U125" s="170" t="n"/>
      <c r="V125" s="161">
        <f>SUMPRODUCT(('Full month Pivot'!$B$3:$B$300=$B125)*('Full month Pivot'!$C$3:$C$300=$A$89)*('Full month Pivot'!$D$2:$K$2=V$2)*'Full month Pivot'!$D$3:$K$300)</f>
        <v/>
      </c>
      <c r="W125" s="161">
        <f>SUMPRODUCT(('Full month Pivot'!$B$3:$B$300=$B125)*('Full month Pivot'!$C$3:$C$300=$A$89)*('Full month Pivot'!$D$2:$K$2=W$2)*'Full month Pivot'!$D$3:$K$300)</f>
        <v/>
      </c>
      <c r="X125" s="161">
        <f>SUMPRODUCT(('Full month Pivot'!$B$3:$B$300=$B125)*('Full month Pivot'!$C$3:$C$300=$A$89)*('Full month Pivot'!$D$2:$K$2=X$2)*'Full month Pivot'!$D$3:$K$300)</f>
        <v/>
      </c>
      <c r="Y125" s="161">
        <f>SUMPRODUCT(('Full month Pivot'!$B$3:$B$300=$B125)*('Full month Pivot'!$C$3:$C$300=$A$89)*('Full month Pivot'!$D$2:$K$2=Y$2)*'Full month Pivot'!$D$3:$K$300)</f>
        <v/>
      </c>
      <c r="Z125" s="161">
        <f>SUMPRODUCT(('Full month Pivot'!$B$3:$B$300=$B125)*('Full month Pivot'!$C$3:$C$300=$A$89)*('Full month Pivot'!$D$2:$K$2=Z$2)*'Full month Pivot'!$D$3:$K$300)</f>
        <v/>
      </c>
      <c r="AA125" s="161">
        <f>SUMPRODUCT(('Full month Pivot'!$B$3:$B$300=$B125)*('Full month Pivot'!$C$3:$C$300=$A$89)*('Full month Pivot'!$D$2:$K$2=AA$2)*'Full month Pivot'!$D$3:$K$300)</f>
        <v/>
      </c>
      <c r="AB125" s="161" t="n"/>
      <c r="AC125" s="161" t="n"/>
      <c r="AD125" s="143">
        <f>AA125-Z125</f>
        <v/>
      </c>
      <c r="AE125" s="170" t="n"/>
      <c r="AF125" s="170" t="n"/>
      <c r="AG125" s="170" t="n"/>
      <c r="AH125" s="170" t="n"/>
      <c r="AI125" s="170" t="n"/>
      <c r="AJ125" s="170" t="n"/>
    </row>
    <row r="126" hidden="1" outlineLevel="1" ht="15.75" customHeight="1" s="239">
      <c r="A126" s="170" t="n"/>
      <c r="B126" s="170" t="inlineStr">
        <is>
          <t>Tiệm vàng online</t>
        </is>
      </c>
      <c r="C126" s="170" t="n"/>
      <c r="D126" s="170" t="n"/>
      <c r="E126" s="170" t="n"/>
      <c r="F126" s="170" t="n"/>
      <c r="G126" s="161">
        <f>SUMPRODUCT(('MTD Pivot'!$B$3:$B$300=$B126)*('MTD Pivot'!$C$3:$C$300=$A$89)*('MTD Pivot'!$D$2:$K$2=G$2)*'MTD Pivot'!$D$3:$K$300)</f>
        <v/>
      </c>
      <c r="H126" s="161">
        <f>SUMPRODUCT(('MTD Pivot'!$B$3:$B$300=$B126)*('MTD Pivot'!$C$3:$C$300=$A$89)*('MTD Pivot'!$D$2:$K$2=H$2)*'MTD Pivot'!$D$3:$K$300)</f>
        <v/>
      </c>
      <c r="I126" s="161">
        <f>SUMPRODUCT(('MTD Pivot'!$B$3:$B$300=$B126)*('MTD Pivot'!$C$3:$C$300=$A$89)*('MTD Pivot'!$D$2:$K$2=I$2)*'MTD Pivot'!$D$3:$K$300)</f>
        <v/>
      </c>
      <c r="J126" s="161">
        <f>SUMPRODUCT(('MTD Pivot'!$B$3:$B$300=$B126)*('MTD Pivot'!$C$3:$C$300=$A$89)*('MTD Pivot'!$D$2:$K$2=J$2)*'MTD Pivot'!$D$3:$K$300)</f>
        <v/>
      </c>
      <c r="K126" s="161">
        <f>SUMPRODUCT(('MTD Pivot'!$B$3:$B$300=$B126)*('MTD Pivot'!$C$3:$C$300=$A$89)*('MTD Pivot'!$D$2:$K$2=K$2)*'MTD Pivot'!$D$3:$K$300)</f>
        <v/>
      </c>
      <c r="L126" s="161">
        <f>SUMPRODUCT(('MTD Pivot'!$B$3:$B$300=$B126)*('MTD Pivot'!$C$3:$C$300=$A$89)*('MTD Pivot'!$D$2:$K$2=L$2)*'MTD Pivot'!$D$3:$K$300)</f>
        <v/>
      </c>
      <c r="M126" s="161" t="n"/>
      <c r="N126" s="161" t="n"/>
      <c r="O126" s="143">
        <f>L126-K126</f>
        <v/>
      </c>
      <c r="P126" s="170" t="n"/>
      <c r="Q126" s="170" t="n"/>
      <c r="R126" s="170" t="n"/>
      <c r="S126" s="170" t="n"/>
      <c r="T126" s="170" t="n"/>
      <c r="U126" s="170" t="n"/>
      <c r="V126" s="161">
        <f>SUMPRODUCT(('Full month Pivot'!$B$3:$B$300=$B126)*('Full month Pivot'!$C$3:$C$300=$A$89)*('Full month Pivot'!$D$2:$K$2=V$2)*'Full month Pivot'!$D$3:$K$300)</f>
        <v/>
      </c>
      <c r="W126" s="161">
        <f>SUMPRODUCT(('Full month Pivot'!$B$3:$B$300=$B126)*('Full month Pivot'!$C$3:$C$300=$A$89)*('Full month Pivot'!$D$2:$K$2=W$2)*'Full month Pivot'!$D$3:$K$300)</f>
        <v/>
      </c>
      <c r="X126" s="161">
        <f>SUMPRODUCT(('Full month Pivot'!$B$3:$B$300=$B126)*('Full month Pivot'!$C$3:$C$300=$A$89)*('Full month Pivot'!$D$2:$K$2=X$2)*'Full month Pivot'!$D$3:$K$300)</f>
        <v/>
      </c>
      <c r="Y126" s="161">
        <f>SUMPRODUCT(('Full month Pivot'!$B$3:$B$300=$B126)*('Full month Pivot'!$C$3:$C$300=$A$89)*('Full month Pivot'!$D$2:$K$2=Y$2)*'Full month Pivot'!$D$3:$K$300)</f>
        <v/>
      </c>
      <c r="Z126" s="161">
        <f>SUMPRODUCT(('Full month Pivot'!$B$3:$B$300=$B126)*('Full month Pivot'!$C$3:$C$300=$A$89)*('Full month Pivot'!$D$2:$K$2=Z$2)*'Full month Pivot'!$D$3:$K$300)</f>
        <v/>
      </c>
      <c r="AA126" s="161">
        <f>SUMPRODUCT(('Full month Pivot'!$B$3:$B$300=$B126)*('Full month Pivot'!$C$3:$C$300=$A$89)*('Full month Pivot'!$D$2:$K$2=AA$2)*'Full month Pivot'!$D$3:$K$300)</f>
        <v/>
      </c>
      <c r="AB126" s="161" t="n"/>
      <c r="AC126" s="161" t="n"/>
      <c r="AD126" s="143">
        <f>AA126-Z126</f>
        <v/>
      </c>
      <c r="AE126" s="170" t="n"/>
      <c r="AF126" s="170" t="n"/>
      <c r="AG126" s="170" t="n"/>
      <c r="AH126" s="170" t="n"/>
      <c r="AI126" s="170" t="n"/>
      <c r="AJ126" s="170" t="n"/>
    </row>
    <row r="127" hidden="1" outlineLevel="1" ht="15.75" customHeight="1" s="239">
      <c r="A127" s="170" t="n"/>
      <c r="B127" s="170" t="inlineStr">
        <is>
          <t>Download</t>
        </is>
      </c>
      <c r="C127" s="170" t="n"/>
      <c r="D127" s="170" t="n"/>
      <c r="E127" s="170" t="n"/>
      <c r="F127" s="170" t="n"/>
      <c r="G127" s="161">
        <f>SUMPRODUCT(('MTD Pivot'!$B$3:$B$300=$B127)*('MTD Pivot'!$C$3:$C$300=$A$89)*('MTD Pivot'!$D$2:$K$2=G$2)*'MTD Pivot'!$D$3:$K$300)</f>
        <v/>
      </c>
      <c r="H127" s="161">
        <f>SUMPRODUCT(('MTD Pivot'!$B$3:$B$300=$B127)*('MTD Pivot'!$C$3:$C$300=$A$89)*('MTD Pivot'!$D$2:$K$2=H$2)*'MTD Pivot'!$D$3:$K$300)</f>
        <v/>
      </c>
      <c r="I127" s="161">
        <f>SUMPRODUCT(('MTD Pivot'!$B$3:$B$300=$B127)*('MTD Pivot'!$C$3:$C$300=$A$89)*('MTD Pivot'!$D$2:$K$2=I$2)*'MTD Pivot'!$D$3:$K$300)</f>
        <v/>
      </c>
      <c r="J127" s="161">
        <f>SUMPRODUCT(('MTD Pivot'!$B$3:$B$300=$B127)*('MTD Pivot'!$C$3:$C$300=$A$89)*('MTD Pivot'!$D$2:$K$2=J$2)*'MTD Pivot'!$D$3:$K$300)</f>
        <v/>
      </c>
      <c r="K127" s="161">
        <f>SUMPRODUCT(('MTD Pivot'!$B$3:$B$300=$B127)*('MTD Pivot'!$C$3:$C$300=$A$89)*('MTD Pivot'!$D$2:$K$2=K$2)*'MTD Pivot'!$D$3:$K$300)</f>
        <v/>
      </c>
      <c r="L127" s="161">
        <f>SUMPRODUCT(('MTD Pivot'!$B$3:$B$300=$B127)*('MTD Pivot'!$C$3:$C$300=$A$89)*('MTD Pivot'!$D$2:$K$2=L$2)*'MTD Pivot'!$D$3:$K$300)</f>
        <v/>
      </c>
      <c r="M127" s="161" t="n"/>
      <c r="N127" s="161" t="n"/>
      <c r="O127" s="143">
        <f>L127-K127</f>
        <v/>
      </c>
      <c r="P127" s="170" t="n"/>
      <c r="Q127" s="170" t="n"/>
      <c r="R127" s="170" t="n"/>
      <c r="S127" s="170" t="n"/>
      <c r="T127" s="170" t="n"/>
      <c r="U127" s="170" t="n"/>
      <c r="V127" s="161">
        <f>SUMPRODUCT(('Full month Pivot'!$B$3:$B$300=$B127)*('Full month Pivot'!$C$3:$C$300=$A$89)*('Full month Pivot'!$D$2:$K$2=V$2)*'Full month Pivot'!$D$3:$K$300)</f>
        <v/>
      </c>
      <c r="W127" s="161">
        <f>SUMPRODUCT(('Full month Pivot'!$B$3:$B$300=$B127)*('Full month Pivot'!$C$3:$C$300=$A$89)*('Full month Pivot'!$D$2:$K$2=W$2)*'Full month Pivot'!$D$3:$K$300)</f>
        <v/>
      </c>
      <c r="X127" s="161">
        <f>SUMPRODUCT(('Full month Pivot'!$B$3:$B$300=$B127)*('Full month Pivot'!$C$3:$C$300=$A$89)*('Full month Pivot'!$D$2:$K$2=X$2)*'Full month Pivot'!$D$3:$K$300)</f>
        <v/>
      </c>
      <c r="Y127" s="161">
        <f>SUMPRODUCT(('Full month Pivot'!$B$3:$B$300=$B127)*('Full month Pivot'!$C$3:$C$300=$A$89)*('Full month Pivot'!$D$2:$K$2=Y$2)*'Full month Pivot'!$D$3:$K$300)</f>
        <v/>
      </c>
      <c r="Z127" s="161">
        <f>SUMPRODUCT(('Full month Pivot'!$B$3:$B$300=$B127)*('Full month Pivot'!$C$3:$C$300=$A$89)*('Full month Pivot'!$D$2:$K$2=Z$2)*'Full month Pivot'!$D$3:$K$300)</f>
        <v/>
      </c>
      <c r="AA127" s="161">
        <f>SUMPRODUCT(('Full month Pivot'!$B$3:$B$300=$B127)*('Full month Pivot'!$C$3:$C$300=$A$89)*('Full month Pivot'!$D$2:$K$2=AA$2)*'Full month Pivot'!$D$3:$K$300)</f>
        <v/>
      </c>
      <c r="AB127" s="161" t="n"/>
      <c r="AC127" s="161" t="n"/>
      <c r="AD127" s="143">
        <f>AA127-Z127</f>
        <v/>
      </c>
      <c r="AE127" s="170" t="n"/>
      <c r="AF127" s="170" t="n"/>
      <c r="AG127" s="170" t="n"/>
      <c r="AH127" s="170" t="n"/>
      <c r="AI127" s="170" t="n"/>
      <c r="AJ127" s="170" t="n"/>
    </row>
    <row r="128" hidden="1" outlineLevel="1" ht="15.75" customHeight="1" s="239">
      <c r="A128" s="170" t="n"/>
      <c r="B128" s="170" t="inlineStr">
        <is>
          <t>Others</t>
        </is>
      </c>
      <c r="C128" s="170" t="n"/>
      <c r="D128" s="170" t="n"/>
      <c r="E128" s="170" t="n"/>
      <c r="F128" s="170" t="n"/>
      <c r="G128" s="161">
        <f>SUMPRODUCT(('MTD Pivot'!$B$3:$B$300=$B128)*('MTD Pivot'!$C$3:$C$300=$A$89)*('MTD Pivot'!$D$2:$K$2=G$2)*'MTD Pivot'!$D$3:$K$300)</f>
        <v/>
      </c>
      <c r="H128" s="161">
        <f>SUMPRODUCT(('MTD Pivot'!$B$3:$B$300=$B128)*('MTD Pivot'!$C$3:$C$300=$A$89)*('MTD Pivot'!$D$2:$K$2=H$2)*'MTD Pivot'!$D$3:$K$300)</f>
        <v/>
      </c>
      <c r="I128" s="161">
        <f>SUMPRODUCT(('MTD Pivot'!$B$3:$B$300=$B128)*('MTD Pivot'!$C$3:$C$300=$A$89)*('MTD Pivot'!$D$2:$K$2=I$2)*'MTD Pivot'!$D$3:$K$300)</f>
        <v/>
      </c>
      <c r="J128" s="161">
        <f>SUMPRODUCT(('MTD Pivot'!$B$3:$B$300=$B128)*('MTD Pivot'!$C$3:$C$300=$A$89)*('MTD Pivot'!$D$2:$K$2=J$2)*'MTD Pivot'!$D$3:$K$300)</f>
        <v/>
      </c>
      <c r="K128" s="161">
        <f>SUMPRODUCT(('MTD Pivot'!$B$3:$B$300=$B128)*('MTD Pivot'!$C$3:$C$300=$A$89)*('MTD Pivot'!$D$2:$K$2=K$2)*'MTD Pivot'!$D$3:$K$300)</f>
        <v/>
      </c>
      <c r="L128" s="161">
        <f>SUMPRODUCT(('MTD Pivot'!$B$3:$B$300=$B128)*('MTD Pivot'!$C$3:$C$300=$A$89)*('MTD Pivot'!$D$2:$K$2=L$2)*'MTD Pivot'!$D$3:$K$300)</f>
        <v/>
      </c>
      <c r="M128" s="161" t="n"/>
      <c r="N128" s="161" t="n"/>
      <c r="O128" s="143">
        <f>L128-K128</f>
        <v/>
      </c>
      <c r="P128" s="170" t="n"/>
      <c r="Q128" s="170" t="n"/>
      <c r="R128" s="170" t="n"/>
      <c r="S128" s="170" t="n"/>
      <c r="T128" s="170" t="n"/>
      <c r="U128" s="170" t="n"/>
      <c r="V128" s="161">
        <f>SUMPRODUCT(('Full month Pivot'!$B$3:$B$300=$B128)*('Full month Pivot'!$C$3:$C$300=$A$89)*('Full month Pivot'!$D$2:$K$2=V$2)*'Full month Pivot'!$D$3:$K$300)</f>
        <v/>
      </c>
      <c r="W128" s="161">
        <f>SUMPRODUCT(('Full month Pivot'!$B$3:$B$300=$B128)*('Full month Pivot'!$C$3:$C$300=$A$89)*('Full month Pivot'!$D$2:$K$2=W$2)*'Full month Pivot'!$D$3:$K$300)</f>
        <v/>
      </c>
      <c r="X128" s="161">
        <f>SUMPRODUCT(('Full month Pivot'!$B$3:$B$300=$B128)*('Full month Pivot'!$C$3:$C$300=$A$89)*('Full month Pivot'!$D$2:$K$2=X$2)*'Full month Pivot'!$D$3:$K$300)</f>
        <v/>
      </c>
      <c r="Y128" s="161">
        <f>SUMPRODUCT(('Full month Pivot'!$B$3:$B$300=$B128)*('Full month Pivot'!$C$3:$C$300=$A$89)*('Full month Pivot'!$D$2:$K$2=Y$2)*'Full month Pivot'!$D$3:$K$300)</f>
        <v/>
      </c>
      <c r="Z128" s="161">
        <f>SUMPRODUCT(('Full month Pivot'!$B$3:$B$300=$B128)*('Full month Pivot'!$C$3:$C$300=$A$89)*('Full month Pivot'!$D$2:$K$2=Z$2)*'Full month Pivot'!$D$3:$K$300)</f>
        <v/>
      </c>
      <c r="AA128" s="161">
        <f>SUMPRODUCT(('Full month Pivot'!$B$3:$B$300=$B128)*('Full month Pivot'!$C$3:$C$300=$A$89)*('Full month Pivot'!$D$2:$K$2=AA$2)*'Full month Pivot'!$D$3:$K$300)</f>
        <v/>
      </c>
      <c r="AB128" s="161" t="n"/>
      <c r="AC128" s="161" t="n"/>
      <c r="AD128" s="143">
        <f>AA128-Z128</f>
        <v/>
      </c>
      <c r="AE128" s="170" t="n"/>
      <c r="AF128" s="170" t="n"/>
      <c r="AG128" s="170" t="n"/>
      <c r="AH128" s="170" t="n"/>
      <c r="AI128" s="170" t="n"/>
      <c r="AJ128" s="170" t="n"/>
    </row>
    <row r="129" ht="15" customHeight="1" s="239">
      <c r="A129" s="59" t="n"/>
      <c r="B129" s="59" t="n"/>
      <c r="C129" s="8" t="n"/>
      <c r="D129" s="8" t="n"/>
      <c r="E129" s="8" t="n"/>
      <c r="F129" s="8" t="n"/>
      <c r="G129" s="150" t="n"/>
      <c r="H129" s="150" t="n"/>
      <c r="I129" s="150" t="n"/>
      <c r="J129" s="150" t="n"/>
      <c r="K129" s="150" t="n"/>
      <c r="L129" s="150" t="n"/>
      <c r="M129" s="150" t="n"/>
      <c r="N129" s="150" t="n"/>
      <c r="O129" s="143" t="n"/>
      <c r="P129" s="8" t="n"/>
      <c r="Q129" s="8" t="n"/>
      <c r="R129" s="8" t="n"/>
      <c r="S129" s="8" t="n"/>
      <c r="T129" s="8" t="n"/>
      <c r="U129" s="8" t="n"/>
      <c r="V129" s="150" t="n"/>
      <c r="W129" s="150" t="n"/>
      <c r="X129" s="150" t="n"/>
      <c r="Y129" s="150" t="n"/>
      <c r="Z129" s="150" t="n"/>
      <c r="AA129" s="150" t="n"/>
      <c r="AB129" s="150" t="n"/>
      <c r="AC129" s="150" t="n"/>
      <c r="AD129" s="143" t="n"/>
      <c r="AE129" s="8" t="n"/>
      <c r="AF129" s="8" t="n"/>
      <c r="AG129" s="8" t="n"/>
      <c r="AH129" s="8" t="n"/>
      <c r="AI129" s="8" t="n"/>
      <c r="AJ129" s="8" t="n"/>
    </row>
    <row r="130" ht="15" customHeight="1" s="239">
      <c r="A130" s="208" t="inlineStr">
        <is>
          <t>Referral</t>
        </is>
      </c>
      <c r="B130" s="153" t="n"/>
      <c r="C130" s="153" t="n"/>
      <c r="D130" s="153" t="n"/>
      <c r="E130" s="153" t="n"/>
      <c r="F130" s="153" t="n"/>
      <c r="G130" s="154">
        <f>SUM(G132:G169)</f>
        <v/>
      </c>
      <c r="H130" s="154">
        <f>SUM(H132:H169)</f>
        <v/>
      </c>
      <c r="I130" s="154">
        <f>SUM(I132:I169)</f>
        <v/>
      </c>
      <c r="J130" s="154">
        <f>SUM(J132:J169)</f>
        <v/>
      </c>
      <c r="K130" s="154">
        <f>SUM(K132:K169)</f>
        <v/>
      </c>
      <c r="L130" s="154">
        <f>SUM(L132:L169)</f>
        <v/>
      </c>
      <c r="M130" s="154" t="n"/>
      <c r="N130" s="154" t="n"/>
      <c r="O130" s="143">
        <f>L130-K130</f>
        <v/>
      </c>
      <c r="P130" s="153" t="n"/>
      <c r="Q130" s="153" t="n"/>
      <c r="R130" s="153">
        <f>SUM(R132,R133,R134)</f>
        <v/>
      </c>
      <c r="S130" s="153">
        <f>SUM(S132,S133,S134)</f>
        <v/>
      </c>
      <c r="T130" s="153">
        <f>SUM(T132,T133,T134)</f>
        <v/>
      </c>
      <c r="U130" s="153">
        <f>SUM(U132,U133,U134)</f>
        <v/>
      </c>
      <c r="V130" s="154">
        <f>SUM(V132:V169)</f>
        <v/>
      </c>
      <c r="W130" s="154">
        <f>SUM(W132:W169)</f>
        <v/>
      </c>
      <c r="X130" s="154">
        <f>SUM(X132:X169)</f>
        <v/>
      </c>
      <c r="Y130" s="154">
        <f>SUM(Y132:Y169)</f>
        <v/>
      </c>
      <c r="Z130" s="154">
        <f>SUM(Z132:Z169)</f>
        <v/>
      </c>
      <c r="AA130" s="154">
        <f>SUM(AA132:AA169)</f>
        <v/>
      </c>
      <c r="AB130" s="154" t="n"/>
      <c r="AC130" s="154" t="n"/>
      <c r="AD130" s="143">
        <f>AA130-Z130</f>
        <v/>
      </c>
      <c r="AE130" s="153" t="n"/>
      <c r="AF130" s="153" t="n"/>
      <c r="AG130" s="153" t="n"/>
      <c r="AH130" s="153" t="n"/>
      <c r="AI130" s="153" t="n"/>
      <c r="AJ130" s="153" t="n"/>
    </row>
    <row r="131" collapsed="1" ht="15" customHeight="1" s="239">
      <c r="A131" s="59" t="inlineStr">
        <is>
          <t xml:space="preserve">  Net change</t>
        </is>
      </c>
      <c r="B131" s="59" t="n"/>
      <c r="C131" s="60" t="n"/>
      <c r="D131" s="60" t="n"/>
      <c r="E131" s="60" t="n"/>
      <c r="F131" s="60" t="n"/>
      <c r="G131" s="156">
        <f>G130-F130</f>
        <v/>
      </c>
      <c r="H131" s="156">
        <f>H130-G130</f>
        <v/>
      </c>
      <c r="I131" s="156">
        <f>I130-H130</f>
        <v/>
      </c>
      <c r="J131" s="156">
        <f>J130-I130</f>
        <v/>
      </c>
      <c r="K131" s="156">
        <f>K130-J130</f>
        <v/>
      </c>
      <c r="L131" s="156">
        <f>L130-K130</f>
        <v/>
      </c>
      <c r="M131" s="156" t="n"/>
      <c r="N131" s="156" t="n"/>
      <c r="O131" s="143">
        <f>L131-K131</f>
        <v/>
      </c>
      <c r="P131" s="60" t="n"/>
      <c r="Q131" s="60" t="n"/>
      <c r="R131" s="60" t="n"/>
      <c r="S131" s="60">
        <f>S130-R130</f>
        <v/>
      </c>
      <c r="T131" s="60">
        <f>T130-S130</f>
        <v/>
      </c>
      <c r="U131" s="60">
        <f>U130-T130</f>
        <v/>
      </c>
      <c r="V131" s="156">
        <f>V130-U130</f>
        <v/>
      </c>
      <c r="W131" s="156">
        <f>W130-V130</f>
        <v/>
      </c>
      <c r="X131" s="156">
        <f>X130-W130</f>
        <v/>
      </c>
      <c r="Y131" s="156">
        <f>Y130-X130</f>
        <v/>
      </c>
      <c r="Z131" s="156">
        <f>Z130-Y130</f>
        <v/>
      </c>
      <c r="AA131" s="156">
        <f>AA130-Z130</f>
        <v/>
      </c>
      <c r="AB131" s="156" t="n"/>
      <c r="AC131" s="156" t="n"/>
      <c r="AD131" s="143">
        <f>AA131-Z131</f>
        <v/>
      </c>
      <c r="AE131" s="60" t="n"/>
      <c r="AF131" s="60" t="n"/>
      <c r="AG131" s="60" t="n"/>
      <c r="AH131" s="60" t="n"/>
      <c r="AI131" s="60" t="n"/>
      <c r="AJ131" s="60" t="n"/>
    </row>
    <row r="132" hidden="1" outlineLevel="1" ht="15" customHeight="1" s="239">
      <c r="A132" s="170" t="n"/>
      <c r="B132" s="170" t="inlineStr">
        <is>
          <t>Cinema Hub</t>
        </is>
      </c>
      <c r="C132" s="170" t="n"/>
      <c r="D132" s="170" t="n"/>
      <c r="E132" s="170" t="n"/>
      <c r="F132" s="170" t="n"/>
      <c r="G132" s="161">
        <f>SUMPRODUCT(('MTD Pivot'!$B$3:$B$300=$B132)*('MTD Pivot'!$C$3:$C$300=$A$130)*('MTD Pivot'!$D$2:$K$2=G$2)*'MTD Pivot'!$D$3:$K$300)</f>
        <v/>
      </c>
      <c r="H132" s="161">
        <f>SUMPRODUCT(('MTD Pivot'!$B$3:$B$300=$B132)*('MTD Pivot'!$C$3:$C$300=$A$130)*('MTD Pivot'!$D$2:$K$2=H$2)*'MTD Pivot'!$D$3:$K$300)</f>
        <v/>
      </c>
      <c r="I132" s="161">
        <f>SUMPRODUCT(('MTD Pivot'!$B$3:$B$300=$B132)*('MTD Pivot'!$C$3:$C$300=$A$130)*('MTD Pivot'!$D$2:$K$2=I$2)*'MTD Pivot'!$D$3:$K$300)</f>
        <v/>
      </c>
      <c r="J132" s="161">
        <f>SUMPRODUCT(('MTD Pivot'!$B$3:$B$300=$B132)*('MTD Pivot'!$C$3:$C$300=$A$130)*('MTD Pivot'!$D$2:$K$2=J$2)*'MTD Pivot'!$D$3:$K$300)</f>
        <v/>
      </c>
      <c r="K132" s="161">
        <f>SUMPRODUCT(('MTD Pivot'!$B$3:$B$300=$B132)*('MTD Pivot'!$C$3:$C$300=$A$130)*('MTD Pivot'!$D$2:$K$2=K$2)*'MTD Pivot'!$D$3:$K$300)</f>
        <v/>
      </c>
      <c r="L132" s="161">
        <f>SUMPRODUCT(('MTD Pivot'!$B$3:$B$300=$B132)*('MTD Pivot'!$C$3:$C$300=$A$130)*('MTD Pivot'!$D$2:$K$2=L$2)*'MTD Pivot'!$D$3:$K$300)</f>
        <v/>
      </c>
      <c r="M132" s="161" t="n"/>
      <c r="N132" s="161" t="n"/>
      <c r="O132" s="143">
        <f>L132-K132</f>
        <v/>
      </c>
      <c r="P132" s="170" t="n"/>
      <c r="Q132" s="170" t="n"/>
      <c r="R132" s="170" t="n"/>
      <c r="S132" s="170" t="n"/>
      <c r="T132" s="170" t="n"/>
      <c r="U132" s="170" t="n"/>
      <c r="V132" s="161">
        <f>SUMPRODUCT(('Full month Pivot'!$B$3:$B$300=$B132)*('Full month Pivot'!$C$3:$C$300=$A$130)*('Full month Pivot'!$D$2:$K$2=V$2)*'Full month Pivot'!$D$3:$K$300)</f>
        <v/>
      </c>
      <c r="W132" s="161">
        <f>SUMPRODUCT(('Full month Pivot'!$B$3:$B$300=$B132)*('Full month Pivot'!$C$3:$C$300=$A$130)*('Full month Pivot'!$D$2:$K$2=W$2)*'Full month Pivot'!$D$3:$K$300)</f>
        <v/>
      </c>
      <c r="X132" s="161">
        <f>SUMPRODUCT(('Full month Pivot'!$B$3:$B$300=$B132)*('Full month Pivot'!$C$3:$C$300=$A$130)*('Full month Pivot'!$D$2:$K$2=X$2)*'Full month Pivot'!$D$3:$K$300)</f>
        <v/>
      </c>
      <c r="Y132" s="161">
        <f>SUMPRODUCT(('Full month Pivot'!$B$3:$B$300=$B132)*('Full month Pivot'!$C$3:$C$300=$A$130)*('Full month Pivot'!$D$2:$K$2=Y$2)*'Full month Pivot'!$D$3:$K$300)</f>
        <v/>
      </c>
      <c r="Z132" s="161">
        <f>SUMPRODUCT(('Full month Pivot'!$B$3:$B$300=$B132)*('Full month Pivot'!$C$3:$C$300=$A$130)*('Full month Pivot'!$D$2:$K$2=Z$2)*'Full month Pivot'!$D$3:$K$300)</f>
        <v/>
      </c>
      <c r="AA132" s="161">
        <f>SUMPRODUCT(('Full month Pivot'!$B$3:$B$300=$B132)*('Full month Pivot'!$C$3:$C$300=$A$130)*('Full month Pivot'!$D$2:$K$2=AA$2)*'Full month Pivot'!$D$3:$K$300)</f>
        <v/>
      </c>
      <c r="AB132" s="161" t="n"/>
      <c r="AC132" s="161" t="n"/>
      <c r="AD132" s="143">
        <f>AA132-Z132</f>
        <v/>
      </c>
      <c r="AE132" s="170" t="n"/>
      <c r="AF132" s="170" t="n"/>
      <c r="AG132" s="170" t="n"/>
      <c r="AH132" s="170" t="n"/>
      <c r="AI132" s="170" t="n"/>
      <c r="AJ132" s="170" t="n"/>
    </row>
    <row r="133" hidden="1" outlineLevel="1" ht="15" customHeight="1" s="239">
      <c r="A133" s="170" t="n"/>
      <c r="B133" s="170" t="inlineStr">
        <is>
          <t>Phạt nguội</t>
        </is>
      </c>
      <c r="C133" s="170" t="n"/>
      <c r="D133" s="170" t="n"/>
      <c r="E133" s="170" t="n"/>
      <c r="F133" s="170" t="n"/>
      <c r="G133" s="161">
        <f>SUMPRODUCT(('MTD Pivot'!$B$3:$B$300=$B133)*('MTD Pivot'!$C$3:$C$300=$A$130)*('MTD Pivot'!$D$2:$K$2=G$2)*'MTD Pivot'!$D$3:$K$300)</f>
        <v/>
      </c>
      <c r="H133" s="161">
        <f>SUMPRODUCT(('MTD Pivot'!$B$3:$B$300=$B133)*('MTD Pivot'!$C$3:$C$300=$A$130)*('MTD Pivot'!$D$2:$K$2=H$2)*'MTD Pivot'!$D$3:$K$300)</f>
        <v/>
      </c>
      <c r="I133" s="161">
        <f>SUMPRODUCT(('MTD Pivot'!$B$3:$B$300=$B133)*('MTD Pivot'!$C$3:$C$300=$A$130)*('MTD Pivot'!$D$2:$K$2=I$2)*'MTD Pivot'!$D$3:$K$300)</f>
        <v/>
      </c>
      <c r="J133" s="161">
        <f>SUMPRODUCT(('MTD Pivot'!$B$3:$B$300=$B133)*('MTD Pivot'!$C$3:$C$300=$A$130)*('MTD Pivot'!$D$2:$K$2=J$2)*'MTD Pivot'!$D$3:$K$300)</f>
        <v/>
      </c>
      <c r="K133" s="161">
        <f>SUMPRODUCT(('MTD Pivot'!$B$3:$B$300=$B133)*('MTD Pivot'!$C$3:$C$300=$A$130)*('MTD Pivot'!$D$2:$K$2=K$2)*'MTD Pivot'!$D$3:$K$300)</f>
        <v/>
      </c>
      <c r="L133" s="161">
        <f>SUMPRODUCT(('MTD Pivot'!$B$3:$B$300=$B133)*('MTD Pivot'!$C$3:$C$300=$A$130)*('MTD Pivot'!$D$2:$K$2=L$2)*'MTD Pivot'!$D$3:$K$300)</f>
        <v/>
      </c>
      <c r="M133" s="161" t="n"/>
      <c r="N133" s="161" t="n"/>
      <c r="O133" s="143">
        <f>L133-K133</f>
        <v/>
      </c>
      <c r="P133" s="170" t="n"/>
      <c r="Q133" s="170" t="n"/>
      <c r="R133" s="170" t="n"/>
      <c r="S133" s="170" t="n"/>
      <c r="T133" s="170" t="n"/>
      <c r="U133" s="170" t="n"/>
      <c r="V133" s="161">
        <f>SUMPRODUCT(('Full month Pivot'!$B$3:$B$300=$B133)*('Full month Pivot'!$C$3:$C$300=$A$130)*('Full month Pivot'!$D$2:$K$2=V$2)*'Full month Pivot'!$D$3:$K$300)</f>
        <v/>
      </c>
      <c r="W133" s="161">
        <f>SUMPRODUCT(('Full month Pivot'!$B$3:$B$300=$B133)*('Full month Pivot'!$C$3:$C$300=$A$130)*('Full month Pivot'!$D$2:$K$2=W$2)*'Full month Pivot'!$D$3:$K$300)</f>
        <v/>
      </c>
      <c r="X133" s="161">
        <f>SUMPRODUCT(('Full month Pivot'!$B$3:$B$300=$B133)*('Full month Pivot'!$C$3:$C$300=$A$130)*('Full month Pivot'!$D$2:$K$2=X$2)*'Full month Pivot'!$D$3:$K$300)</f>
        <v/>
      </c>
      <c r="Y133" s="161">
        <f>SUMPRODUCT(('Full month Pivot'!$B$3:$B$300=$B133)*('Full month Pivot'!$C$3:$C$300=$A$130)*('Full month Pivot'!$D$2:$K$2=Y$2)*'Full month Pivot'!$D$3:$K$300)</f>
        <v/>
      </c>
      <c r="Z133" s="161">
        <f>SUMPRODUCT(('Full month Pivot'!$B$3:$B$300=$B133)*('Full month Pivot'!$C$3:$C$300=$A$130)*('Full month Pivot'!$D$2:$K$2=Z$2)*'Full month Pivot'!$D$3:$K$300)</f>
        <v/>
      </c>
      <c r="AA133" s="161">
        <f>SUMPRODUCT(('Full month Pivot'!$B$3:$B$300=$B133)*('Full month Pivot'!$C$3:$C$300=$A$130)*('Full month Pivot'!$D$2:$K$2=AA$2)*'Full month Pivot'!$D$3:$K$300)</f>
        <v/>
      </c>
      <c r="AB133" s="161" t="n"/>
      <c r="AC133" s="161" t="n"/>
      <c r="AD133" s="143">
        <f>AA133-Z133</f>
        <v/>
      </c>
      <c r="AE133" s="170" t="n"/>
      <c r="AF133" s="170" t="n"/>
      <c r="AG133" s="170" t="n"/>
      <c r="AH133" s="170" t="n"/>
      <c r="AI133" s="170" t="n"/>
      <c r="AJ133" s="170" t="n"/>
    </row>
    <row r="134" hidden="1" outlineLevel="1" ht="15" customHeight="1" s="239">
      <c r="A134" s="170" t="n"/>
      <c r="B134" s="170" t="inlineStr">
        <is>
          <t>Home MoMo</t>
        </is>
      </c>
      <c r="C134" s="170" t="n"/>
      <c r="D134" s="170" t="n"/>
      <c r="E134" s="170" t="n"/>
      <c r="F134" s="170" t="n"/>
      <c r="G134" s="161">
        <f>SUMPRODUCT(('MTD Pivot'!$B$3:$B$300=$B134)*('MTD Pivot'!$C$3:$C$300=$A$130)*('MTD Pivot'!$D$2:$K$2=G$2)*'MTD Pivot'!$D$3:$K$300)</f>
        <v/>
      </c>
      <c r="H134" s="161">
        <f>SUMPRODUCT(('MTD Pivot'!$B$3:$B$300=$B134)*('MTD Pivot'!$C$3:$C$300=$A$130)*('MTD Pivot'!$D$2:$K$2=H$2)*'MTD Pivot'!$D$3:$K$300)</f>
        <v/>
      </c>
      <c r="I134" s="161">
        <f>SUMPRODUCT(('MTD Pivot'!$B$3:$B$300=$B134)*('MTD Pivot'!$C$3:$C$300=$A$130)*('MTD Pivot'!$D$2:$K$2=I$2)*'MTD Pivot'!$D$3:$K$300)</f>
        <v/>
      </c>
      <c r="J134" s="161">
        <f>SUMPRODUCT(('MTD Pivot'!$B$3:$B$300=$B134)*('MTD Pivot'!$C$3:$C$300=$A$130)*('MTD Pivot'!$D$2:$K$2=J$2)*'MTD Pivot'!$D$3:$K$300)</f>
        <v/>
      </c>
      <c r="K134" s="161">
        <f>SUMPRODUCT(('MTD Pivot'!$B$3:$B$300=$B134)*('MTD Pivot'!$C$3:$C$300=$A$130)*('MTD Pivot'!$D$2:$K$2=K$2)*'MTD Pivot'!$D$3:$K$300)</f>
        <v/>
      </c>
      <c r="L134" s="161">
        <f>SUMPRODUCT(('MTD Pivot'!$B$3:$B$300=$B134)*('MTD Pivot'!$C$3:$C$300=$A$130)*('MTD Pivot'!$D$2:$K$2=L$2)*'MTD Pivot'!$D$3:$K$300)</f>
        <v/>
      </c>
      <c r="M134" s="161" t="n"/>
      <c r="N134" s="161" t="n"/>
      <c r="O134" s="143">
        <f>L134-K134</f>
        <v/>
      </c>
      <c r="P134" s="170" t="n"/>
      <c r="Q134" s="170" t="n"/>
      <c r="R134" s="170" t="n"/>
      <c r="S134" s="170" t="n"/>
      <c r="T134" s="170" t="n"/>
      <c r="U134" s="170" t="n"/>
      <c r="V134" s="161">
        <f>SUMPRODUCT(('Full month Pivot'!$B$3:$B$300=$B134)*('Full month Pivot'!$C$3:$C$300=$A$130)*('Full month Pivot'!$D$2:$K$2=V$2)*'Full month Pivot'!$D$3:$K$300)</f>
        <v/>
      </c>
      <c r="W134" s="161">
        <f>SUMPRODUCT(('Full month Pivot'!$B$3:$B$300=$B134)*('Full month Pivot'!$C$3:$C$300=$A$130)*('Full month Pivot'!$D$2:$K$2=W$2)*'Full month Pivot'!$D$3:$K$300)</f>
        <v/>
      </c>
      <c r="X134" s="161">
        <f>SUMPRODUCT(('Full month Pivot'!$B$3:$B$300=$B134)*('Full month Pivot'!$C$3:$C$300=$A$130)*('Full month Pivot'!$D$2:$K$2=X$2)*'Full month Pivot'!$D$3:$K$300)</f>
        <v/>
      </c>
      <c r="Y134" s="161">
        <f>SUMPRODUCT(('Full month Pivot'!$B$3:$B$300=$B134)*('Full month Pivot'!$C$3:$C$300=$A$130)*('Full month Pivot'!$D$2:$K$2=Y$2)*'Full month Pivot'!$D$3:$K$300)</f>
        <v/>
      </c>
      <c r="Z134" s="161">
        <f>SUMPRODUCT(('Full month Pivot'!$B$3:$B$300=$B134)*('Full month Pivot'!$C$3:$C$300=$A$130)*('Full month Pivot'!$D$2:$K$2=Z$2)*'Full month Pivot'!$D$3:$K$300)</f>
        <v/>
      </c>
      <c r="AA134" s="161">
        <f>SUMPRODUCT(('Full month Pivot'!$B$3:$B$300=$B134)*('Full month Pivot'!$C$3:$C$300=$A$130)*('Full month Pivot'!$D$2:$K$2=AA$2)*'Full month Pivot'!$D$3:$K$300)</f>
        <v/>
      </c>
      <c r="AB134" s="161" t="n"/>
      <c r="AC134" s="161" t="n"/>
      <c r="AD134" s="143">
        <f>AA134-Z134</f>
        <v/>
      </c>
      <c r="AE134" s="170" t="n"/>
      <c r="AF134" s="170" t="n"/>
      <c r="AG134" s="170" t="n"/>
      <c r="AH134" s="170" t="n"/>
      <c r="AI134" s="170" t="n"/>
      <c r="AJ134" s="170" t="n"/>
    </row>
    <row r="135" hidden="1" outlineLevel="1" ht="15" customHeight="1" s="239">
      <c r="A135" s="170" t="n"/>
      <c r="B135" s="170" t="inlineStr">
        <is>
          <t>Tiktok</t>
        </is>
      </c>
      <c r="C135" s="170" t="n"/>
      <c r="D135" s="170" t="n"/>
      <c r="E135" s="170" t="n"/>
      <c r="F135" s="170" t="n"/>
      <c r="G135" s="161">
        <f>SUMPRODUCT(('MTD Pivot'!$B$3:$B$300=$B135)*('MTD Pivot'!$C$3:$C$300=$A$130)*('MTD Pivot'!$D$2:$K$2=G$2)*'MTD Pivot'!$D$3:$K$300)</f>
        <v/>
      </c>
      <c r="H135" s="161">
        <f>SUMPRODUCT(('MTD Pivot'!$B$3:$B$300=$B135)*('MTD Pivot'!$C$3:$C$300=$A$130)*('MTD Pivot'!$D$2:$K$2=H$2)*'MTD Pivot'!$D$3:$K$300)</f>
        <v/>
      </c>
      <c r="I135" s="161">
        <f>SUMPRODUCT(('MTD Pivot'!$B$3:$B$300=$B135)*('MTD Pivot'!$C$3:$C$300=$A$130)*('MTD Pivot'!$D$2:$K$2=I$2)*'MTD Pivot'!$D$3:$K$300)</f>
        <v/>
      </c>
      <c r="J135" s="161">
        <f>SUMPRODUCT(('MTD Pivot'!$B$3:$B$300=$B135)*('MTD Pivot'!$C$3:$C$300=$A$130)*('MTD Pivot'!$D$2:$K$2=J$2)*'MTD Pivot'!$D$3:$K$300)</f>
        <v/>
      </c>
      <c r="K135" s="161">
        <f>SUMPRODUCT(('MTD Pivot'!$B$3:$B$300=$B135)*('MTD Pivot'!$C$3:$C$300=$A$130)*('MTD Pivot'!$D$2:$K$2=K$2)*'MTD Pivot'!$D$3:$K$300)</f>
        <v/>
      </c>
      <c r="L135" s="161">
        <f>SUMPRODUCT(('MTD Pivot'!$B$3:$B$300=$B135)*('MTD Pivot'!$C$3:$C$300=$A$130)*('MTD Pivot'!$D$2:$K$2=L$2)*'MTD Pivot'!$D$3:$K$300)</f>
        <v/>
      </c>
      <c r="M135" s="161" t="n"/>
      <c r="N135" s="161" t="n"/>
      <c r="O135" s="143">
        <f>L135-K135</f>
        <v/>
      </c>
      <c r="P135" s="170" t="n"/>
      <c r="Q135" s="170" t="n"/>
      <c r="R135" s="170" t="n"/>
      <c r="S135" s="170" t="n"/>
      <c r="T135" s="170" t="n"/>
      <c r="U135" s="170" t="n"/>
      <c r="V135" s="161">
        <f>SUMPRODUCT(('Full month Pivot'!$B$3:$B$300=$B135)*('Full month Pivot'!$C$3:$C$300=$A$130)*('Full month Pivot'!$D$2:$K$2=V$2)*'Full month Pivot'!$D$3:$K$300)</f>
        <v/>
      </c>
      <c r="W135" s="161">
        <f>SUMPRODUCT(('Full month Pivot'!$B$3:$B$300=$B135)*('Full month Pivot'!$C$3:$C$300=$A$130)*('Full month Pivot'!$D$2:$K$2=W$2)*'Full month Pivot'!$D$3:$K$300)</f>
        <v/>
      </c>
      <c r="X135" s="161">
        <f>SUMPRODUCT(('Full month Pivot'!$B$3:$B$300=$B135)*('Full month Pivot'!$C$3:$C$300=$A$130)*('Full month Pivot'!$D$2:$K$2=X$2)*'Full month Pivot'!$D$3:$K$300)</f>
        <v/>
      </c>
      <c r="Y135" s="161">
        <f>SUMPRODUCT(('Full month Pivot'!$B$3:$B$300=$B135)*('Full month Pivot'!$C$3:$C$300=$A$130)*('Full month Pivot'!$D$2:$K$2=Y$2)*'Full month Pivot'!$D$3:$K$300)</f>
        <v/>
      </c>
      <c r="Z135" s="161">
        <f>SUMPRODUCT(('Full month Pivot'!$B$3:$B$300=$B135)*('Full month Pivot'!$C$3:$C$300=$A$130)*('Full month Pivot'!$D$2:$K$2=Z$2)*'Full month Pivot'!$D$3:$K$300)</f>
        <v/>
      </c>
      <c r="AA135" s="161">
        <f>SUMPRODUCT(('Full month Pivot'!$B$3:$B$300=$B135)*('Full month Pivot'!$C$3:$C$300=$A$130)*('Full month Pivot'!$D$2:$K$2=AA$2)*'Full month Pivot'!$D$3:$K$300)</f>
        <v/>
      </c>
      <c r="AB135" s="161" t="n"/>
      <c r="AC135" s="161" t="n"/>
      <c r="AD135" s="143">
        <f>AA135-Z135</f>
        <v/>
      </c>
      <c r="AE135" s="170" t="n"/>
      <c r="AF135" s="170" t="n"/>
      <c r="AG135" s="170" t="n"/>
      <c r="AH135" s="170" t="n"/>
      <c r="AI135" s="170" t="n"/>
      <c r="AJ135" s="170" t="n"/>
    </row>
    <row r="136" hidden="1" outlineLevel="1" ht="15" customHeight="1" s="239">
      <c r="A136" s="170" t="n"/>
      <c r="B136" s="170" t="inlineStr">
        <is>
          <t>Financial Hub</t>
        </is>
      </c>
      <c r="C136" s="170" t="n"/>
      <c r="D136" s="170" t="n"/>
      <c r="E136" s="170" t="n"/>
      <c r="F136" s="170" t="n"/>
      <c r="G136" s="161">
        <f>SUMPRODUCT(('MTD Pivot'!$B$3:$B$300=$B136)*('MTD Pivot'!$C$3:$C$300=$A$130)*('MTD Pivot'!$D$2:$K$2=G$2)*'MTD Pivot'!$D$3:$K$300)</f>
        <v/>
      </c>
      <c r="H136" s="161">
        <f>SUMPRODUCT(('MTD Pivot'!$B$3:$B$300=$B136)*('MTD Pivot'!$C$3:$C$300=$A$130)*('MTD Pivot'!$D$2:$K$2=H$2)*'MTD Pivot'!$D$3:$K$300)</f>
        <v/>
      </c>
      <c r="I136" s="161">
        <f>SUMPRODUCT(('MTD Pivot'!$B$3:$B$300=$B136)*('MTD Pivot'!$C$3:$C$300=$A$130)*('MTD Pivot'!$D$2:$K$2=I$2)*'MTD Pivot'!$D$3:$K$300)</f>
        <v/>
      </c>
      <c r="J136" s="161">
        <f>SUMPRODUCT(('MTD Pivot'!$B$3:$B$300=$B136)*('MTD Pivot'!$C$3:$C$300=$A$130)*('MTD Pivot'!$D$2:$K$2=J$2)*'MTD Pivot'!$D$3:$K$300)</f>
        <v/>
      </c>
      <c r="K136" s="161">
        <f>SUMPRODUCT(('MTD Pivot'!$B$3:$B$300=$B136)*('MTD Pivot'!$C$3:$C$300=$A$130)*('MTD Pivot'!$D$2:$K$2=K$2)*'MTD Pivot'!$D$3:$K$300)</f>
        <v/>
      </c>
      <c r="L136" s="161">
        <f>SUMPRODUCT(('MTD Pivot'!$B$3:$B$300=$B136)*('MTD Pivot'!$C$3:$C$300=$A$130)*('MTD Pivot'!$D$2:$K$2=L$2)*'MTD Pivot'!$D$3:$K$300)</f>
        <v/>
      </c>
      <c r="M136" s="161" t="n"/>
      <c r="N136" s="161" t="n"/>
      <c r="O136" s="143">
        <f>L136-K136</f>
        <v/>
      </c>
      <c r="P136" s="170" t="n"/>
      <c r="Q136" s="170" t="n"/>
      <c r="R136" s="170" t="n"/>
      <c r="S136" s="170" t="n"/>
      <c r="T136" s="170" t="n"/>
      <c r="U136" s="170" t="n"/>
      <c r="V136" s="161">
        <f>SUMPRODUCT(('Full month Pivot'!$B$3:$B$300=$B136)*('Full month Pivot'!$C$3:$C$300=$A$130)*('Full month Pivot'!$D$2:$K$2=V$2)*'Full month Pivot'!$D$3:$K$300)</f>
        <v/>
      </c>
      <c r="W136" s="161">
        <f>SUMPRODUCT(('Full month Pivot'!$B$3:$B$300=$B136)*('Full month Pivot'!$C$3:$C$300=$A$130)*('Full month Pivot'!$D$2:$K$2=W$2)*'Full month Pivot'!$D$3:$K$300)</f>
        <v/>
      </c>
      <c r="X136" s="161">
        <f>SUMPRODUCT(('Full month Pivot'!$B$3:$B$300=$B136)*('Full month Pivot'!$C$3:$C$300=$A$130)*('Full month Pivot'!$D$2:$K$2=X$2)*'Full month Pivot'!$D$3:$K$300)</f>
        <v/>
      </c>
      <c r="Y136" s="161">
        <f>SUMPRODUCT(('Full month Pivot'!$B$3:$B$300=$B136)*('Full month Pivot'!$C$3:$C$300=$A$130)*('Full month Pivot'!$D$2:$K$2=Y$2)*'Full month Pivot'!$D$3:$K$300)</f>
        <v/>
      </c>
      <c r="Z136" s="161">
        <f>SUMPRODUCT(('Full month Pivot'!$B$3:$B$300=$B136)*('Full month Pivot'!$C$3:$C$300=$A$130)*('Full month Pivot'!$D$2:$K$2=Z$2)*'Full month Pivot'!$D$3:$K$300)</f>
        <v/>
      </c>
      <c r="AA136" s="161">
        <f>SUMPRODUCT(('Full month Pivot'!$B$3:$B$300=$B136)*('Full month Pivot'!$C$3:$C$300=$A$130)*('Full month Pivot'!$D$2:$K$2=AA$2)*'Full month Pivot'!$D$3:$K$300)</f>
        <v/>
      </c>
      <c r="AB136" s="161" t="n"/>
      <c r="AC136" s="161" t="n"/>
      <c r="AD136" s="143">
        <f>AA136-Z136</f>
        <v/>
      </c>
      <c r="AE136" s="170" t="n"/>
      <c r="AF136" s="170" t="n"/>
      <c r="AG136" s="170" t="n"/>
      <c r="AH136" s="170" t="n"/>
      <c r="AI136" s="170" t="n"/>
      <c r="AJ136" s="170" t="n"/>
    </row>
    <row r="137" hidden="1" outlineLevel="1" ht="15" customHeight="1" s="239">
      <c r="A137" s="170" t="n"/>
      <c r="B137" s="170" t="inlineStr">
        <is>
          <t>Vé Xe</t>
        </is>
      </c>
      <c r="C137" s="170" t="n"/>
      <c r="D137" s="170" t="n"/>
      <c r="E137" s="170" t="n"/>
      <c r="F137" s="170" t="n"/>
      <c r="G137" s="161">
        <f>SUMPRODUCT(('MTD Pivot'!$B$3:$B$300=$B137)*('MTD Pivot'!$C$3:$C$300=$A$130)*('MTD Pivot'!$D$2:$K$2=G$2)*'MTD Pivot'!$D$3:$K$300)</f>
        <v/>
      </c>
      <c r="H137" s="161">
        <f>SUMPRODUCT(('MTD Pivot'!$B$3:$B$300=$B137)*('MTD Pivot'!$C$3:$C$300=$A$130)*('MTD Pivot'!$D$2:$K$2=H$2)*'MTD Pivot'!$D$3:$K$300)</f>
        <v/>
      </c>
      <c r="I137" s="161">
        <f>SUMPRODUCT(('MTD Pivot'!$B$3:$B$300=$B137)*('MTD Pivot'!$C$3:$C$300=$A$130)*('MTD Pivot'!$D$2:$K$2=I$2)*'MTD Pivot'!$D$3:$K$300)</f>
        <v/>
      </c>
      <c r="J137" s="161">
        <f>SUMPRODUCT(('MTD Pivot'!$B$3:$B$300=$B137)*('MTD Pivot'!$C$3:$C$300=$A$130)*('MTD Pivot'!$D$2:$K$2=J$2)*'MTD Pivot'!$D$3:$K$300)</f>
        <v/>
      </c>
      <c r="K137" s="161">
        <f>SUMPRODUCT(('MTD Pivot'!$B$3:$B$300=$B137)*('MTD Pivot'!$C$3:$C$300=$A$130)*('MTD Pivot'!$D$2:$K$2=K$2)*'MTD Pivot'!$D$3:$K$300)</f>
        <v/>
      </c>
      <c r="L137" s="161">
        <f>SUMPRODUCT(('MTD Pivot'!$B$3:$B$300=$B137)*('MTD Pivot'!$C$3:$C$300=$A$130)*('MTD Pivot'!$D$2:$K$2=L$2)*'MTD Pivot'!$D$3:$K$300)</f>
        <v/>
      </c>
      <c r="M137" s="161" t="n"/>
      <c r="N137" s="161" t="n"/>
      <c r="O137" s="143">
        <f>L137-K137</f>
        <v/>
      </c>
      <c r="P137" s="170" t="n"/>
      <c r="Q137" s="170" t="n"/>
      <c r="R137" s="170" t="n"/>
      <c r="S137" s="170" t="n"/>
      <c r="T137" s="170" t="n"/>
      <c r="U137" s="170" t="n"/>
      <c r="V137" s="161">
        <f>SUMPRODUCT(('Full month Pivot'!$B$3:$B$300=$B137)*('Full month Pivot'!$C$3:$C$300=$A$130)*('Full month Pivot'!$D$2:$K$2=V$2)*'Full month Pivot'!$D$3:$K$300)</f>
        <v/>
      </c>
      <c r="W137" s="161">
        <f>SUMPRODUCT(('Full month Pivot'!$B$3:$B$300=$B137)*('Full month Pivot'!$C$3:$C$300=$A$130)*('Full month Pivot'!$D$2:$K$2=W$2)*'Full month Pivot'!$D$3:$K$300)</f>
        <v/>
      </c>
      <c r="X137" s="161">
        <f>SUMPRODUCT(('Full month Pivot'!$B$3:$B$300=$B137)*('Full month Pivot'!$C$3:$C$300=$A$130)*('Full month Pivot'!$D$2:$K$2=X$2)*'Full month Pivot'!$D$3:$K$300)</f>
        <v/>
      </c>
      <c r="Y137" s="161">
        <f>SUMPRODUCT(('Full month Pivot'!$B$3:$B$300=$B137)*('Full month Pivot'!$C$3:$C$300=$A$130)*('Full month Pivot'!$D$2:$K$2=Y$2)*'Full month Pivot'!$D$3:$K$300)</f>
        <v/>
      </c>
      <c r="Z137" s="161">
        <f>SUMPRODUCT(('Full month Pivot'!$B$3:$B$300=$B137)*('Full month Pivot'!$C$3:$C$300=$A$130)*('Full month Pivot'!$D$2:$K$2=Z$2)*'Full month Pivot'!$D$3:$K$300)</f>
        <v/>
      </c>
      <c r="AA137" s="161">
        <f>SUMPRODUCT(('Full month Pivot'!$B$3:$B$300=$B137)*('Full month Pivot'!$C$3:$C$300=$A$130)*('Full month Pivot'!$D$2:$K$2=AA$2)*'Full month Pivot'!$D$3:$K$300)</f>
        <v/>
      </c>
      <c r="AB137" s="161" t="n"/>
      <c r="AC137" s="161" t="n"/>
      <c r="AD137" s="143">
        <f>AA137-Z137</f>
        <v/>
      </c>
      <c r="AE137" s="170" t="n"/>
      <c r="AF137" s="170" t="n"/>
      <c r="AG137" s="170" t="n"/>
      <c r="AH137" s="170" t="n"/>
      <c r="AI137" s="170" t="n"/>
      <c r="AJ137" s="170" t="n"/>
    </row>
    <row r="138" hidden="1" outlineLevel="1" ht="15" customHeight="1" s="239">
      <c r="A138" s="170" t="n"/>
      <c r="B138" s="170" t="inlineStr">
        <is>
          <t>OTA</t>
        </is>
      </c>
      <c r="C138" s="170" t="n"/>
      <c r="D138" s="170" t="n"/>
      <c r="E138" s="170" t="n"/>
      <c r="F138" s="170" t="n"/>
      <c r="G138" s="161">
        <f>SUMPRODUCT(('MTD Pivot'!$B$3:$B$300=$B138)*('MTD Pivot'!$C$3:$C$300=$A$130)*('MTD Pivot'!$D$2:$K$2=G$2)*'MTD Pivot'!$D$3:$K$300)</f>
        <v/>
      </c>
      <c r="H138" s="161">
        <f>SUMPRODUCT(('MTD Pivot'!$B$3:$B$300=$B138)*('MTD Pivot'!$C$3:$C$300=$A$130)*('MTD Pivot'!$D$2:$K$2=H$2)*'MTD Pivot'!$D$3:$K$300)</f>
        <v/>
      </c>
      <c r="I138" s="161">
        <f>SUMPRODUCT(('MTD Pivot'!$B$3:$B$300=$B138)*('MTD Pivot'!$C$3:$C$300=$A$130)*('MTD Pivot'!$D$2:$K$2=I$2)*'MTD Pivot'!$D$3:$K$300)</f>
        <v/>
      </c>
      <c r="J138" s="161">
        <f>SUMPRODUCT(('MTD Pivot'!$B$3:$B$300=$B138)*('MTD Pivot'!$C$3:$C$300=$A$130)*('MTD Pivot'!$D$2:$K$2=J$2)*'MTD Pivot'!$D$3:$K$300)</f>
        <v/>
      </c>
      <c r="K138" s="161">
        <f>SUMPRODUCT(('MTD Pivot'!$B$3:$B$300=$B138)*('MTD Pivot'!$C$3:$C$300=$A$130)*('MTD Pivot'!$D$2:$K$2=K$2)*'MTD Pivot'!$D$3:$K$300)</f>
        <v/>
      </c>
      <c r="L138" s="161">
        <f>SUMPRODUCT(('MTD Pivot'!$B$3:$B$300=$B138)*('MTD Pivot'!$C$3:$C$300=$A$130)*('MTD Pivot'!$D$2:$K$2=L$2)*'MTD Pivot'!$D$3:$K$300)</f>
        <v/>
      </c>
      <c r="M138" s="161" t="n"/>
      <c r="N138" s="161" t="n"/>
      <c r="O138" s="143">
        <f>L138-K138</f>
        <v/>
      </c>
      <c r="P138" s="170" t="n"/>
      <c r="Q138" s="170" t="n"/>
      <c r="R138" s="170" t="n"/>
      <c r="S138" s="170" t="n"/>
      <c r="T138" s="170" t="n"/>
      <c r="U138" s="170" t="n"/>
      <c r="V138" s="161">
        <f>SUMPRODUCT(('Full month Pivot'!$B$3:$B$300=$B138)*('Full month Pivot'!$C$3:$C$300=$A$130)*('Full month Pivot'!$D$2:$K$2=V$2)*'Full month Pivot'!$D$3:$K$300)</f>
        <v/>
      </c>
      <c r="W138" s="161">
        <f>SUMPRODUCT(('Full month Pivot'!$B$3:$B$300=$B138)*('Full month Pivot'!$C$3:$C$300=$A$130)*('Full month Pivot'!$D$2:$K$2=W$2)*'Full month Pivot'!$D$3:$K$300)</f>
        <v/>
      </c>
      <c r="X138" s="161">
        <f>SUMPRODUCT(('Full month Pivot'!$B$3:$B$300=$B138)*('Full month Pivot'!$C$3:$C$300=$A$130)*('Full month Pivot'!$D$2:$K$2=X$2)*'Full month Pivot'!$D$3:$K$300)</f>
        <v/>
      </c>
      <c r="Y138" s="161">
        <f>SUMPRODUCT(('Full month Pivot'!$B$3:$B$300=$B138)*('Full month Pivot'!$C$3:$C$300=$A$130)*('Full month Pivot'!$D$2:$K$2=Y$2)*'Full month Pivot'!$D$3:$K$300)</f>
        <v/>
      </c>
      <c r="Z138" s="161">
        <f>SUMPRODUCT(('Full month Pivot'!$B$3:$B$300=$B138)*('Full month Pivot'!$C$3:$C$300=$A$130)*('Full month Pivot'!$D$2:$K$2=Z$2)*'Full month Pivot'!$D$3:$K$300)</f>
        <v/>
      </c>
      <c r="AA138" s="161">
        <f>SUMPRODUCT(('Full month Pivot'!$B$3:$B$300=$B138)*('Full month Pivot'!$C$3:$C$300=$A$130)*('Full month Pivot'!$D$2:$K$2=AA$2)*'Full month Pivot'!$D$3:$K$300)</f>
        <v/>
      </c>
      <c r="AB138" s="161" t="n"/>
      <c r="AC138" s="161" t="n"/>
      <c r="AD138" s="143">
        <f>AA138-Z138</f>
        <v/>
      </c>
      <c r="AE138" s="170" t="n"/>
      <c r="AF138" s="170" t="n"/>
      <c r="AG138" s="170" t="n"/>
      <c r="AH138" s="170" t="n"/>
      <c r="AI138" s="170" t="n"/>
      <c r="AJ138" s="170" t="n"/>
    </row>
    <row r="139" hidden="1" outlineLevel="1" ht="15" customHeight="1" s="239">
      <c r="A139" s="170" t="n"/>
      <c r="B139" s="170" t="inlineStr">
        <is>
          <t>Merchant</t>
        </is>
      </c>
      <c r="C139" s="170" t="n"/>
      <c r="D139" s="170" t="n"/>
      <c r="E139" s="170" t="n"/>
      <c r="F139" s="170" t="n"/>
      <c r="G139" s="161">
        <f>SUMPRODUCT(('MTD Pivot'!$B$3:$B$300=$B139)*('MTD Pivot'!$C$3:$C$300=$A$130)*('MTD Pivot'!$D$2:$K$2=G$2)*'MTD Pivot'!$D$3:$K$300)</f>
        <v/>
      </c>
      <c r="H139" s="161">
        <f>SUMPRODUCT(('MTD Pivot'!$B$3:$B$300=$B139)*('MTD Pivot'!$C$3:$C$300=$A$130)*('MTD Pivot'!$D$2:$K$2=H$2)*'MTD Pivot'!$D$3:$K$300)</f>
        <v/>
      </c>
      <c r="I139" s="161">
        <f>SUMPRODUCT(('MTD Pivot'!$B$3:$B$300=$B139)*('MTD Pivot'!$C$3:$C$300=$A$130)*('MTD Pivot'!$D$2:$K$2=I$2)*'MTD Pivot'!$D$3:$K$300)</f>
        <v/>
      </c>
      <c r="J139" s="161">
        <f>SUMPRODUCT(('MTD Pivot'!$B$3:$B$300=$B139)*('MTD Pivot'!$C$3:$C$300=$A$130)*('MTD Pivot'!$D$2:$K$2=J$2)*'MTD Pivot'!$D$3:$K$300)</f>
        <v/>
      </c>
      <c r="K139" s="161">
        <f>SUMPRODUCT(('MTD Pivot'!$B$3:$B$300=$B139)*('MTD Pivot'!$C$3:$C$300=$A$130)*('MTD Pivot'!$D$2:$K$2=K$2)*'MTD Pivot'!$D$3:$K$300)</f>
        <v/>
      </c>
      <c r="L139" s="161">
        <f>SUMPRODUCT(('MTD Pivot'!$B$3:$B$300=$B139)*('MTD Pivot'!$C$3:$C$300=$A$130)*('MTD Pivot'!$D$2:$K$2=L$2)*'MTD Pivot'!$D$3:$K$300)</f>
        <v/>
      </c>
      <c r="M139" s="161" t="n"/>
      <c r="N139" s="161" t="n"/>
      <c r="O139" s="143">
        <f>L139-K139</f>
        <v/>
      </c>
      <c r="P139" s="170" t="n"/>
      <c r="Q139" s="170" t="n"/>
      <c r="R139" s="170" t="n"/>
      <c r="S139" s="170" t="n"/>
      <c r="T139" s="170" t="n"/>
      <c r="U139" s="170" t="n"/>
      <c r="V139" s="161">
        <f>SUMPRODUCT(('Full month Pivot'!$B$3:$B$300=$B139)*('Full month Pivot'!$C$3:$C$300=$A$130)*('Full month Pivot'!$D$2:$K$2=V$2)*'Full month Pivot'!$D$3:$K$300)</f>
        <v/>
      </c>
      <c r="W139" s="161">
        <f>SUMPRODUCT(('Full month Pivot'!$B$3:$B$300=$B139)*('Full month Pivot'!$C$3:$C$300=$A$130)*('Full month Pivot'!$D$2:$K$2=W$2)*'Full month Pivot'!$D$3:$K$300)</f>
        <v/>
      </c>
      <c r="X139" s="161">
        <f>SUMPRODUCT(('Full month Pivot'!$B$3:$B$300=$B139)*('Full month Pivot'!$C$3:$C$300=$A$130)*('Full month Pivot'!$D$2:$K$2=X$2)*'Full month Pivot'!$D$3:$K$300)</f>
        <v/>
      </c>
      <c r="Y139" s="161">
        <f>SUMPRODUCT(('Full month Pivot'!$B$3:$B$300=$B139)*('Full month Pivot'!$C$3:$C$300=$A$130)*('Full month Pivot'!$D$2:$K$2=Y$2)*'Full month Pivot'!$D$3:$K$300)</f>
        <v/>
      </c>
      <c r="Z139" s="161">
        <f>SUMPRODUCT(('Full month Pivot'!$B$3:$B$300=$B139)*('Full month Pivot'!$C$3:$C$300=$A$130)*('Full month Pivot'!$D$2:$K$2=Z$2)*'Full month Pivot'!$D$3:$K$300)</f>
        <v/>
      </c>
      <c r="AA139" s="161">
        <f>SUMPRODUCT(('Full month Pivot'!$B$3:$B$300=$B139)*('Full month Pivot'!$C$3:$C$300=$A$130)*('Full month Pivot'!$D$2:$K$2=AA$2)*'Full month Pivot'!$D$3:$K$300)</f>
        <v/>
      </c>
      <c r="AB139" s="161" t="n"/>
      <c r="AC139" s="161" t="n"/>
      <c r="AD139" s="143">
        <f>AA139-Z139</f>
        <v/>
      </c>
      <c r="AE139" s="170" t="n"/>
      <c r="AF139" s="170" t="n"/>
      <c r="AG139" s="170" t="n"/>
      <c r="AH139" s="170" t="n"/>
      <c r="AI139" s="170" t="n"/>
      <c r="AJ139" s="170" t="n"/>
    </row>
    <row r="140" hidden="1" outlineLevel="1" ht="15" customHeight="1" s="239">
      <c r="A140" s="170" t="n"/>
      <c r="B140" s="170" t="inlineStr">
        <is>
          <t>Sim</t>
        </is>
      </c>
      <c r="C140" s="170" t="n"/>
      <c r="D140" s="170" t="n"/>
      <c r="E140" s="170" t="n"/>
      <c r="F140" s="170" t="n"/>
      <c r="G140" s="161">
        <f>SUMPRODUCT(('MTD Pivot'!$B$3:$B$300=$B140)*('MTD Pivot'!$C$3:$C$300=$A$130)*('MTD Pivot'!$D$2:$K$2=G$2)*'MTD Pivot'!$D$3:$K$300)</f>
        <v/>
      </c>
      <c r="H140" s="161">
        <f>SUMPRODUCT(('MTD Pivot'!$B$3:$B$300=$B140)*('MTD Pivot'!$C$3:$C$300=$A$130)*('MTD Pivot'!$D$2:$K$2=H$2)*'MTD Pivot'!$D$3:$K$300)</f>
        <v/>
      </c>
      <c r="I140" s="161">
        <f>SUMPRODUCT(('MTD Pivot'!$B$3:$B$300=$B140)*('MTD Pivot'!$C$3:$C$300=$A$130)*('MTD Pivot'!$D$2:$K$2=I$2)*'MTD Pivot'!$D$3:$K$300)</f>
        <v/>
      </c>
      <c r="J140" s="161">
        <f>SUMPRODUCT(('MTD Pivot'!$B$3:$B$300=$B140)*('MTD Pivot'!$C$3:$C$300=$A$130)*('MTD Pivot'!$D$2:$K$2=J$2)*'MTD Pivot'!$D$3:$K$300)</f>
        <v/>
      </c>
      <c r="K140" s="161">
        <f>SUMPRODUCT(('MTD Pivot'!$B$3:$B$300=$B140)*('MTD Pivot'!$C$3:$C$300=$A$130)*('MTD Pivot'!$D$2:$K$2=K$2)*'MTD Pivot'!$D$3:$K$300)</f>
        <v/>
      </c>
      <c r="L140" s="161">
        <f>SUMPRODUCT(('MTD Pivot'!$B$3:$B$300=$B140)*('MTD Pivot'!$C$3:$C$300=$A$130)*('MTD Pivot'!$D$2:$K$2=L$2)*'MTD Pivot'!$D$3:$K$300)</f>
        <v/>
      </c>
      <c r="M140" s="161" t="n"/>
      <c r="N140" s="161" t="n"/>
      <c r="O140" s="143">
        <f>L140-K140</f>
        <v/>
      </c>
      <c r="P140" s="170" t="n"/>
      <c r="Q140" s="170" t="n"/>
      <c r="R140" s="170" t="n"/>
      <c r="S140" s="170" t="n"/>
      <c r="T140" s="170" t="n"/>
      <c r="U140" s="170" t="n"/>
      <c r="V140" s="161">
        <f>SUMPRODUCT(('Full month Pivot'!$B$3:$B$300=$B140)*('Full month Pivot'!$C$3:$C$300=$A$130)*('Full month Pivot'!$D$2:$K$2=V$2)*'Full month Pivot'!$D$3:$K$300)</f>
        <v/>
      </c>
      <c r="W140" s="161">
        <f>SUMPRODUCT(('Full month Pivot'!$B$3:$B$300=$B140)*('Full month Pivot'!$C$3:$C$300=$A$130)*('Full month Pivot'!$D$2:$K$2=W$2)*'Full month Pivot'!$D$3:$K$300)</f>
        <v/>
      </c>
      <c r="X140" s="161">
        <f>SUMPRODUCT(('Full month Pivot'!$B$3:$B$300=$B140)*('Full month Pivot'!$C$3:$C$300=$A$130)*('Full month Pivot'!$D$2:$K$2=X$2)*'Full month Pivot'!$D$3:$K$300)</f>
        <v/>
      </c>
      <c r="Y140" s="161">
        <f>SUMPRODUCT(('Full month Pivot'!$B$3:$B$300=$B140)*('Full month Pivot'!$C$3:$C$300=$A$130)*('Full month Pivot'!$D$2:$K$2=Y$2)*'Full month Pivot'!$D$3:$K$300)</f>
        <v/>
      </c>
      <c r="Z140" s="161">
        <f>SUMPRODUCT(('Full month Pivot'!$B$3:$B$300=$B140)*('Full month Pivot'!$C$3:$C$300=$A$130)*('Full month Pivot'!$D$2:$K$2=Z$2)*'Full month Pivot'!$D$3:$K$300)</f>
        <v/>
      </c>
      <c r="AA140" s="161">
        <f>SUMPRODUCT(('Full month Pivot'!$B$3:$B$300=$B140)*('Full month Pivot'!$C$3:$C$300=$A$130)*('Full month Pivot'!$D$2:$K$2=AA$2)*'Full month Pivot'!$D$3:$K$300)</f>
        <v/>
      </c>
      <c r="AB140" s="161" t="n"/>
      <c r="AC140" s="161" t="n"/>
      <c r="AD140" s="143">
        <f>AA140-Z140</f>
        <v/>
      </c>
      <c r="AE140" s="170" t="n"/>
      <c r="AF140" s="170" t="n"/>
      <c r="AG140" s="170" t="n"/>
      <c r="AH140" s="170" t="n"/>
      <c r="AI140" s="170" t="n"/>
      <c r="AJ140" s="170" t="n"/>
    </row>
    <row r="141" hidden="1" outlineLevel="1" ht="15" customHeight="1" s="239">
      <c r="A141" s="170" t="n"/>
      <c r="B141" s="170" t="inlineStr">
        <is>
          <t>Game</t>
        </is>
      </c>
      <c r="C141" s="170" t="n"/>
      <c r="D141" s="170" t="n"/>
      <c r="E141" s="170" t="n"/>
      <c r="F141" s="170" t="n"/>
      <c r="G141" s="161">
        <f>SUMPRODUCT(('MTD Pivot'!$B$3:$B$300=$B141)*('MTD Pivot'!$C$3:$C$300=$A$130)*('MTD Pivot'!$D$2:$K$2=G$2)*'MTD Pivot'!$D$3:$K$300)</f>
        <v/>
      </c>
      <c r="H141" s="161">
        <f>SUMPRODUCT(('MTD Pivot'!$B$3:$B$300=$B141)*('MTD Pivot'!$C$3:$C$300=$A$130)*('MTD Pivot'!$D$2:$K$2=H$2)*'MTD Pivot'!$D$3:$K$300)</f>
        <v/>
      </c>
      <c r="I141" s="161">
        <f>SUMPRODUCT(('MTD Pivot'!$B$3:$B$300=$B141)*('MTD Pivot'!$C$3:$C$300=$A$130)*('MTD Pivot'!$D$2:$K$2=I$2)*'MTD Pivot'!$D$3:$K$300)</f>
        <v/>
      </c>
      <c r="J141" s="161">
        <f>SUMPRODUCT(('MTD Pivot'!$B$3:$B$300=$B141)*('MTD Pivot'!$C$3:$C$300=$A$130)*('MTD Pivot'!$D$2:$K$2=J$2)*'MTD Pivot'!$D$3:$K$300)</f>
        <v/>
      </c>
      <c r="K141" s="161">
        <f>SUMPRODUCT(('MTD Pivot'!$B$3:$B$300=$B141)*('MTD Pivot'!$C$3:$C$300=$A$130)*('MTD Pivot'!$D$2:$K$2=K$2)*'MTD Pivot'!$D$3:$K$300)</f>
        <v/>
      </c>
      <c r="L141" s="161">
        <f>SUMPRODUCT(('MTD Pivot'!$B$3:$B$300=$B141)*('MTD Pivot'!$C$3:$C$300=$A$130)*('MTD Pivot'!$D$2:$K$2=L$2)*'MTD Pivot'!$D$3:$K$300)</f>
        <v/>
      </c>
      <c r="M141" s="161" t="n"/>
      <c r="N141" s="161" t="n"/>
      <c r="O141" s="143">
        <f>L141-K141</f>
        <v/>
      </c>
      <c r="P141" s="170" t="n"/>
      <c r="Q141" s="170" t="n"/>
      <c r="R141" s="170" t="n"/>
      <c r="S141" s="170" t="n"/>
      <c r="T141" s="170" t="n"/>
      <c r="U141" s="170" t="n"/>
      <c r="V141" s="161">
        <f>SUMPRODUCT(('Full month Pivot'!$B$3:$B$300=$B141)*('Full month Pivot'!$C$3:$C$300=$A$130)*('Full month Pivot'!$D$2:$K$2=V$2)*'Full month Pivot'!$D$3:$K$300)</f>
        <v/>
      </c>
      <c r="W141" s="161">
        <f>SUMPRODUCT(('Full month Pivot'!$B$3:$B$300=$B141)*('Full month Pivot'!$C$3:$C$300=$A$130)*('Full month Pivot'!$D$2:$K$2=W$2)*'Full month Pivot'!$D$3:$K$300)</f>
        <v/>
      </c>
      <c r="X141" s="161">
        <f>SUMPRODUCT(('Full month Pivot'!$B$3:$B$300=$B141)*('Full month Pivot'!$C$3:$C$300=$A$130)*('Full month Pivot'!$D$2:$K$2=X$2)*'Full month Pivot'!$D$3:$K$300)</f>
        <v/>
      </c>
      <c r="Y141" s="161">
        <f>SUMPRODUCT(('Full month Pivot'!$B$3:$B$300=$B141)*('Full month Pivot'!$C$3:$C$300=$A$130)*('Full month Pivot'!$D$2:$K$2=Y$2)*'Full month Pivot'!$D$3:$K$300)</f>
        <v/>
      </c>
      <c r="Z141" s="161">
        <f>SUMPRODUCT(('Full month Pivot'!$B$3:$B$300=$B141)*('Full month Pivot'!$C$3:$C$300=$A$130)*('Full month Pivot'!$D$2:$K$2=Z$2)*'Full month Pivot'!$D$3:$K$300)</f>
        <v/>
      </c>
      <c r="AA141" s="161">
        <f>SUMPRODUCT(('Full month Pivot'!$B$3:$B$300=$B141)*('Full month Pivot'!$C$3:$C$300=$A$130)*('Full month Pivot'!$D$2:$K$2=AA$2)*'Full month Pivot'!$D$3:$K$300)</f>
        <v/>
      </c>
      <c r="AB141" s="161" t="n"/>
      <c r="AC141" s="161" t="n"/>
      <c r="AD141" s="143">
        <f>AA141-Z141</f>
        <v/>
      </c>
      <c r="AE141" s="170" t="n"/>
      <c r="AF141" s="170" t="n"/>
      <c r="AG141" s="170" t="n"/>
      <c r="AH141" s="170" t="n"/>
      <c r="AI141" s="170" t="n"/>
      <c r="AJ141" s="170" t="n"/>
    </row>
    <row r="142" hidden="1" outlineLevel="1" ht="15" customHeight="1" s="239">
      <c r="A142" s="170" t="n"/>
      <c r="B142" s="170" t="inlineStr">
        <is>
          <t>Bảo Hiểm Ô Tô</t>
        </is>
      </c>
      <c r="C142" s="170" t="n"/>
      <c r="D142" s="170" t="n"/>
      <c r="E142" s="170" t="n"/>
      <c r="F142" s="170" t="n"/>
      <c r="G142" s="161">
        <f>SUMPRODUCT(('MTD Pivot'!$B$3:$B$300=$B142)*('MTD Pivot'!$C$3:$C$300=$A$130)*('MTD Pivot'!$D$2:$K$2=G$2)*'MTD Pivot'!$D$3:$K$300)</f>
        <v/>
      </c>
      <c r="H142" s="161">
        <f>SUMPRODUCT(('MTD Pivot'!$B$3:$B$300=$B142)*('MTD Pivot'!$C$3:$C$300=$A$130)*('MTD Pivot'!$D$2:$K$2=H$2)*'MTD Pivot'!$D$3:$K$300)</f>
        <v/>
      </c>
      <c r="I142" s="161">
        <f>SUMPRODUCT(('MTD Pivot'!$B$3:$B$300=$B142)*('MTD Pivot'!$C$3:$C$300=$A$130)*('MTD Pivot'!$D$2:$K$2=I$2)*'MTD Pivot'!$D$3:$K$300)</f>
        <v/>
      </c>
      <c r="J142" s="161">
        <f>SUMPRODUCT(('MTD Pivot'!$B$3:$B$300=$B142)*('MTD Pivot'!$C$3:$C$300=$A$130)*('MTD Pivot'!$D$2:$K$2=J$2)*'MTD Pivot'!$D$3:$K$300)</f>
        <v/>
      </c>
      <c r="K142" s="161">
        <f>SUMPRODUCT(('MTD Pivot'!$B$3:$B$300=$B142)*('MTD Pivot'!$C$3:$C$300=$A$130)*('MTD Pivot'!$D$2:$K$2=K$2)*'MTD Pivot'!$D$3:$K$300)</f>
        <v/>
      </c>
      <c r="L142" s="161">
        <f>SUMPRODUCT(('MTD Pivot'!$B$3:$B$300=$B142)*('MTD Pivot'!$C$3:$C$300=$A$130)*('MTD Pivot'!$D$2:$K$2=L$2)*'MTD Pivot'!$D$3:$K$300)</f>
        <v/>
      </c>
      <c r="M142" s="161" t="n"/>
      <c r="N142" s="161" t="n"/>
      <c r="O142" s="143">
        <f>L142-K142</f>
        <v/>
      </c>
      <c r="P142" s="170" t="n"/>
      <c r="Q142" s="170" t="n"/>
      <c r="R142" s="170" t="n"/>
      <c r="S142" s="170" t="n"/>
      <c r="T142" s="170" t="n"/>
      <c r="U142" s="170" t="n"/>
      <c r="V142" s="161">
        <f>SUMPRODUCT(('Full month Pivot'!$B$3:$B$300=$B142)*('Full month Pivot'!$C$3:$C$300=$A$130)*('Full month Pivot'!$D$2:$K$2=V$2)*'Full month Pivot'!$D$3:$K$300)</f>
        <v/>
      </c>
      <c r="W142" s="161">
        <f>SUMPRODUCT(('Full month Pivot'!$B$3:$B$300=$B142)*('Full month Pivot'!$C$3:$C$300=$A$130)*('Full month Pivot'!$D$2:$K$2=W$2)*'Full month Pivot'!$D$3:$K$300)</f>
        <v/>
      </c>
      <c r="X142" s="161">
        <f>SUMPRODUCT(('Full month Pivot'!$B$3:$B$300=$B142)*('Full month Pivot'!$C$3:$C$300=$A$130)*('Full month Pivot'!$D$2:$K$2=X$2)*'Full month Pivot'!$D$3:$K$300)</f>
        <v/>
      </c>
      <c r="Y142" s="161">
        <f>SUMPRODUCT(('Full month Pivot'!$B$3:$B$300=$B142)*('Full month Pivot'!$C$3:$C$300=$A$130)*('Full month Pivot'!$D$2:$K$2=Y$2)*'Full month Pivot'!$D$3:$K$300)</f>
        <v/>
      </c>
      <c r="Z142" s="161">
        <f>SUMPRODUCT(('Full month Pivot'!$B$3:$B$300=$B142)*('Full month Pivot'!$C$3:$C$300=$A$130)*('Full month Pivot'!$D$2:$K$2=Z$2)*'Full month Pivot'!$D$3:$K$300)</f>
        <v/>
      </c>
      <c r="AA142" s="161">
        <f>SUMPRODUCT(('Full month Pivot'!$B$3:$B$300=$B142)*('Full month Pivot'!$C$3:$C$300=$A$130)*('Full month Pivot'!$D$2:$K$2=AA$2)*'Full month Pivot'!$D$3:$K$300)</f>
        <v/>
      </c>
      <c r="AB142" s="161" t="n"/>
      <c r="AC142" s="161" t="n"/>
      <c r="AD142" s="143">
        <f>AA142-Z142</f>
        <v/>
      </c>
      <c r="AE142" s="170" t="n"/>
      <c r="AF142" s="170" t="n"/>
      <c r="AG142" s="170" t="n"/>
      <c r="AH142" s="170" t="n"/>
      <c r="AI142" s="170" t="n"/>
      <c r="AJ142" s="170" t="n"/>
    </row>
    <row r="143" hidden="1" outlineLevel="1" ht="15" customHeight="1" s="239">
      <c r="A143" s="170" t="n"/>
      <c r="B143" s="170" t="inlineStr">
        <is>
          <t>Bảo Hiểm Xe Máy</t>
        </is>
      </c>
      <c r="C143" s="170" t="n"/>
      <c r="D143" s="170" t="n"/>
      <c r="E143" s="170" t="n"/>
      <c r="F143" s="170" t="n"/>
      <c r="G143" s="161">
        <f>SUMPRODUCT(('MTD Pivot'!$B$3:$B$300=$B143)*('MTD Pivot'!$C$3:$C$300=$A$130)*('MTD Pivot'!$D$2:$K$2=G$2)*'MTD Pivot'!$D$3:$K$300)</f>
        <v/>
      </c>
      <c r="H143" s="161">
        <f>SUMPRODUCT(('MTD Pivot'!$B$3:$B$300=$B143)*('MTD Pivot'!$C$3:$C$300=$A$130)*('MTD Pivot'!$D$2:$K$2=H$2)*'MTD Pivot'!$D$3:$K$300)</f>
        <v/>
      </c>
      <c r="I143" s="161">
        <f>SUMPRODUCT(('MTD Pivot'!$B$3:$B$300=$B143)*('MTD Pivot'!$C$3:$C$300=$A$130)*('MTD Pivot'!$D$2:$K$2=I$2)*'MTD Pivot'!$D$3:$K$300)</f>
        <v/>
      </c>
      <c r="J143" s="161">
        <f>SUMPRODUCT(('MTD Pivot'!$B$3:$B$300=$B143)*('MTD Pivot'!$C$3:$C$300=$A$130)*('MTD Pivot'!$D$2:$K$2=J$2)*'MTD Pivot'!$D$3:$K$300)</f>
        <v/>
      </c>
      <c r="K143" s="161">
        <f>SUMPRODUCT(('MTD Pivot'!$B$3:$B$300=$B143)*('MTD Pivot'!$C$3:$C$300=$A$130)*('MTD Pivot'!$D$2:$K$2=K$2)*'MTD Pivot'!$D$3:$K$300)</f>
        <v/>
      </c>
      <c r="L143" s="161">
        <f>SUMPRODUCT(('MTD Pivot'!$B$3:$B$300=$B143)*('MTD Pivot'!$C$3:$C$300=$A$130)*('MTD Pivot'!$D$2:$K$2=L$2)*'MTD Pivot'!$D$3:$K$300)</f>
        <v/>
      </c>
      <c r="M143" s="161" t="n"/>
      <c r="N143" s="161" t="n"/>
      <c r="O143" s="143">
        <f>L143-K143</f>
        <v/>
      </c>
      <c r="P143" s="170" t="n"/>
      <c r="Q143" s="170" t="n"/>
      <c r="R143" s="170" t="n"/>
      <c r="S143" s="170" t="n"/>
      <c r="T143" s="170" t="n"/>
      <c r="U143" s="170" t="n"/>
      <c r="V143" s="161">
        <f>SUMPRODUCT(('Full month Pivot'!$B$3:$B$300=$B143)*('Full month Pivot'!$C$3:$C$300=$A$130)*('Full month Pivot'!$D$2:$K$2=V$2)*'Full month Pivot'!$D$3:$K$300)</f>
        <v/>
      </c>
      <c r="W143" s="161">
        <f>SUMPRODUCT(('Full month Pivot'!$B$3:$B$300=$B143)*('Full month Pivot'!$C$3:$C$300=$A$130)*('Full month Pivot'!$D$2:$K$2=W$2)*'Full month Pivot'!$D$3:$K$300)</f>
        <v/>
      </c>
      <c r="X143" s="161">
        <f>SUMPRODUCT(('Full month Pivot'!$B$3:$B$300=$B143)*('Full month Pivot'!$C$3:$C$300=$A$130)*('Full month Pivot'!$D$2:$K$2=X$2)*'Full month Pivot'!$D$3:$K$300)</f>
        <v/>
      </c>
      <c r="Y143" s="161">
        <f>SUMPRODUCT(('Full month Pivot'!$B$3:$B$300=$B143)*('Full month Pivot'!$C$3:$C$300=$A$130)*('Full month Pivot'!$D$2:$K$2=Y$2)*'Full month Pivot'!$D$3:$K$300)</f>
        <v/>
      </c>
      <c r="Z143" s="161">
        <f>SUMPRODUCT(('Full month Pivot'!$B$3:$B$300=$B143)*('Full month Pivot'!$C$3:$C$300=$A$130)*('Full month Pivot'!$D$2:$K$2=Z$2)*'Full month Pivot'!$D$3:$K$300)</f>
        <v/>
      </c>
      <c r="AA143" s="161">
        <f>SUMPRODUCT(('Full month Pivot'!$B$3:$B$300=$B143)*('Full month Pivot'!$C$3:$C$300=$A$130)*('Full month Pivot'!$D$2:$K$2=AA$2)*'Full month Pivot'!$D$3:$K$300)</f>
        <v/>
      </c>
      <c r="AB143" s="161" t="n"/>
      <c r="AC143" s="161" t="n"/>
      <c r="AD143" s="143">
        <f>AA143-Z143</f>
        <v/>
      </c>
      <c r="AE143" s="170" t="n"/>
      <c r="AF143" s="170" t="n"/>
      <c r="AG143" s="170" t="n"/>
      <c r="AH143" s="170" t="n"/>
      <c r="AI143" s="170" t="n"/>
      <c r="AJ143" s="170" t="n"/>
    </row>
    <row r="144" hidden="1" outlineLevel="1" ht="15" customHeight="1" s="239">
      <c r="A144" s="170" t="n"/>
      <c r="B144" s="170" t="inlineStr">
        <is>
          <t>Bảo Hiểm Y Tế</t>
        </is>
      </c>
      <c r="C144" s="170" t="n"/>
      <c r="D144" s="170" t="n"/>
      <c r="E144" s="170" t="n"/>
      <c r="F144" s="170" t="n"/>
      <c r="G144" s="161">
        <f>SUMPRODUCT(('MTD Pivot'!$B$3:$B$300=$B144)*('MTD Pivot'!$C$3:$C$300=$A$130)*('MTD Pivot'!$D$2:$K$2=G$2)*'MTD Pivot'!$D$3:$K$300)</f>
        <v/>
      </c>
      <c r="H144" s="161">
        <f>SUMPRODUCT(('MTD Pivot'!$B$3:$B$300=$B144)*('MTD Pivot'!$C$3:$C$300=$A$130)*('MTD Pivot'!$D$2:$K$2=H$2)*'MTD Pivot'!$D$3:$K$300)</f>
        <v/>
      </c>
      <c r="I144" s="161">
        <f>SUMPRODUCT(('MTD Pivot'!$B$3:$B$300=$B144)*('MTD Pivot'!$C$3:$C$300=$A$130)*('MTD Pivot'!$D$2:$K$2=I$2)*'MTD Pivot'!$D$3:$K$300)</f>
        <v/>
      </c>
      <c r="J144" s="161">
        <f>SUMPRODUCT(('MTD Pivot'!$B$3:$B$300=$B144)*('MTD Pivot'!$C$3:$C$300=$A$130)*('MTD Pivot'!$D$2:$K$2=J$2)*'MTD Pivot'!$D$3:$K$300)</f>
        <v/>
      </c>
      <c r="K144" s="161">
        <f>SUMPRODUCT(('MTD Pivot'!$B$3:$B$300=$B144)*('MTD Pivot'!$C$3:$C$300=$A$130)*('MTD Pivot'!$D$2:$K$2=K$2)*'MTD Pivot'!$D$3:$K$300)</f>
        <v/>
      </c>
      <c r="L144" s="161">
        <f>SUMPRODUCT(('MTD Pivot'!$B$3:$B$300=$B144)*('MTD Pivot'!$C$3:$C$300=$A$130)*('MTD Pivot'!$D$2:$K$2=L$2)*'MTD Pivot'!$D$3:$K$300)</f>
        <v/>
      </c>
      <c r="M144" s="161" t="n"/>
      <c r="N144" s="161" t="n"/>
      <c r="O144" s="143">
        <f>L144-K144</f>
        <v/>
      </c>
      <c r="P144" s="170" t="n"/>
      <c r="Q144" s="170" t="n"/>
      <c r="R144" s="170" t="n"/>
      <c r="S144" s="170" t="n"/>
      <c r="T144" s="170" t="n"/>
      <c r="U144" s="170" t="n"/>
      <c r="V144" s="161">
        <f>SUMPRODUCT(('Full month Pivot'!$B$3:$B$300=$B144)*('Full month Pivot'!$C$3:$C$300=$A$130)*('Full month Pivot'!$D$2:$K$2=V$2)*'Full month Pivot'!$D$3:$K$300)</f>
        <v/>
      </c>
      <c r="W144" s="161">
        <f>SUMPRODUCT(('Full month Pivot'!$B$3:$B$300=$B144)*('Full month Pivot'!$C$3:$C$300=$A$130)*('Full month Pivot'!$D$2:$K$2=W$2)*'Full month Pivot'!$D$3:$K$300)</f>
        <v/>
      </c>
      <c r="X144" s="161">
        <f>SUMPRODUCT(('Full month Pivot'!$B$3:$B$300=$B144)*('Full month Pivot'!$C$3:$C$300=$A$130)*('Full month Pivot'!$D$2:$K$2=X$2)*'Full month Pivot'!$D$3:$K$300)</f>
        <v/>
      </c>
      <c r="Y144" s="161">
        <f>SUMPRODUCT(('Full month Pivot'!$B$3:$B$300=$B144)*('Full month Pivot'!$C$3:$C$300=$A$130)*('Full month Pivot'!$D$2:$K$2=Y$2)*'Full month Pivot'!$D$3:$K$300)</f>
        <v/>
      </c>
      <c r="Z144" s="161">
        <f>SUMPRODUCT(('Full month Pivot'!$B$3:$B$300=$B144)*('Full month Pivot'!$C$3:$C$300=$A$130)*('Full month Pivot'!$D$2:$K$2=Z$2)*'Full month Pivot'!$D$3:$K$300)</f>
        <v/>
      </c>
      <c r="AA144" s="161">
        <f>SUMPRODUCT(('Full month Pivot'!$B$3:$B$300=$B144)*('Full month Pivot'!$C$3:$C$300=$A$130)*('Full month Pivot'!$D$2:$K$2=AA$2)*'Full month Pivot'!$D$3:$K$300)</f>
        <v/>
      </c>
      <c r="AB144" s="161" t="n"/>
      <c r="AC144" s="161" t="n"/>
      <c r="AD144" s="143">
        <f>AA144-Z144</f>
        <v/>
      </c>
      <c r="AE144" s="170" t="n"/>
      <c r="AF144" s="170" t="n"/>
      <c r="AG144" s="170" t="n"/>
      <c r="AH144" s="170" t="n"/>
      <c r="AI144" s="170" t="n"/>
      <c r="AJ144" s="170" t="n"/>
    </row>
    <row r="145" hidden="1" outlineLevel="1" ht="15" customHeight="1" s="239">
      <c r="A145" s="170" t="n"/>
      <c r="B145" s="170" t="inlineStr">
        <is>
          <t>Data</t>
        </is>
      </c>
      <c r="C145" s="170" t="n"/>
      <c r="D145" s="170" t="n"/>
      <c r="E145" s="170" t="n"/>
      <c r="F145" s="170" t="n"/>
      <c r="G145" s="161">
        <f>SUMPRODUCT(('MTD Pivot'!$B$3:$B$300=$B145)*('MTD Pivot'!$C$3:$C$300=$A$130)*('MTD Pivot'!$D$2:$K$2=G$2)*'MTD Pivot'!$D$3:$K$300)</f>
        <v/>
      </c>
      <c r="H145" s="161">
        <f>SUMPRODUCT(('MTD Pivot'!$B$3:$B$300=$B145)*('MTD Pivot'!$C$3:$C$300=$A$130)*('MTD Pivot'!$D$2:$K$2=H$2)*'MTD Pivot'!$D$3:$K$300)</f>
        <v/>
      </c>
      <c r="I145" s="161">
        <f>SUMPRODUCT(('MTD Pivot'!$B$3:$B$300=$B145)*('MTD Pivot'!$C$3:$C$300=$A$130)*('MTD Pivot'!$D$2:$K$2=I$2)*'MTD Pivot'!$D$3:$K$300)</f>
        <v/>
      </c>
      <c r="J145" s="161">
        <f>SUMPRODUCT(('MTD Pivot'!$B$3:$B$300=$B145)*('MTD Pivot'!$C$3:$C$300=$A$130)*('MTD Pivot'!$D$2:$K$2=J$2)*'MTD Pivot'!$D$3:$K$300)</f>
        <v/>
      </c>
      <c r="K145" s="161">
        <f>SUMPRODUCT(('MTD Pivot'!$B$3:$B$300=$B145)*('MTD Pivot'!$C$3:$C$300=$A$130)*('MTD Pivot'!$D$2:$K$2=K$2)*'MTD Pivot'!$D$3:$K$300)</f>
        <v/>
      </c>
      <c r="L145" s="161">
        <f>SUMPRODUCT(('MTD Pivot'!$B$3:$B$300=$B145)*('MTD Pivot'!$C$3:$C$300=$A$130)*('MTD Pivot'!$D$2:$K$2=L$2)*'MTD Pivot'!$D$3:$K$300)</f>
        <v/>
      </c>
      <c r="M145" s="161" t="n"/>
      <c r="N145" s="161" t="n"/>
      <c r="O145" s="143">
        <f>L145-K145</f>
        <v/>
      </c>
      <c r="P145" s="170" t="n"/>
      <c r="Q145" s="170" t="n"/>
      <c r="R145" s="170" t="n"/>
      <c r="S145" s="170" t="n"/>
      <c r="T145" s="170" t="n"/>
      <c r="U145" s="170" t="n"/>
      <c r="V145" s="161">
        <f>SUMPRODUCT(('Full month Pivot'!$B$3:$B$300=$B145)*('Full month Pivot'!$C$3:$C$300=$A$130)*('Full month Pivot'!$D$2:$K$2=V$2)*'Full month Pivot'!$D$3:$K$300)</f>
        <v/>
      </c>
      <c r="W145" s="161">
        <f>SUMPRODUCT(('Full month Pivot'!$B$3:$B$300=$B145)*('Full month Pivot'!$C$3:$C$300=$A$130)*('Full month Pivot'!$D$2:$K$2=W$2)*'Full month Pivot'!$D$3:$K$300)</f>
        <v/>
      </c>
      <c r="X145" s="161">
        <f>SUMPRODUCT(('Full month Pivot'!$B$3:$B$300=$B145)*('Full month Pivot'!$C$3:$C$300=$A$130)*('Full month Pivot'!$D$2:$K$2=X$2)*'Full month Pivot'!$D$3:$K$300)</f>
        <v/>
      </c>
      <c r="Y145" s="161">
        <f>SUMPRODUCT(('Full month Pivot'!$B$3:$B$300=$B145)*('Full month Pivot'!$C$3:$C$300=$A$130)*('Full month Pivot'!$D$2:$K$2=Y$2)*'Full month Pivot'!$D$3:$K$300)</f>
        <v/>
      </c>
      <c r="Z145" s="161">
        <f>SUMPRODUCT(('Full month Pivot'!$B$3:$B$300=$B145)*('Full month Pivot'!$C$3:$C$300=$A$130)*('Full month Pivot'!$D$2:$K$2=Z$2)*'Full month Pivot'!$D$3:$K$300)</f>
        <v/>
      </c>
      <c r="AA145" s="161">
        <f>SUMPRODUCT(('Full month Pivot'!$B$3:$B$300=$B145)*('Full month Pivot'!$C$3:$C$300=$A$130)*('Full month Pivot'!$D$2:$K$2=AA$2)*'Full month Pivot'!$D$3:$K$300)</f>
        <v/>
      </c>
      <c r="AB145" s="161" t="n"/>
      <c r="AC145" s="161" t="n"/>
      <c r="AD145" s="143">
        <f>AA145-Z145</f>
        <v/>
      </c>
      <c r="AE145" s="170" t="n"/>
      <c r="AF145" s="170" t="n"/>
      <c r="AG145" s="170" t="n"/>
      <c r="AH145" s="170" t="n"/>
      <c r="AI145" s="170" t="n"/>
      <c r="AJ145" s="170" t="n"/>
    </row>
    <row r="146" hidden="1" outlineLevel="1" ht="15.75" customHeight="1" s="239">
      <c r="A146" s="170" t="n"/>
      <c r="B146" s="170" t="inlineStr">
        <is>
          <t>Soundbox</t>
        </is>
      </c>
      <c r="C146" s="170" t="n"/>
      <c r="D146" s="170" t="n"/>
      <c r="E146" s="170" t="n"/>
      <c r="F146" s="170" t="n"/>
      <c r="G146" s="161">
        <f>SUMPRODUCT(('MTD Pivot'!$B$3:$B$300=$B146)*('MTD Pivot'!$C$3:$C$300=$A$130)*('MTD Pivot'!$D$2:$K$2=G$2)*'MTD Pivot'!$D$3:$K$300)</f>
        <v/>
      </c>
      <c r="H146" s="161">
        <f>SUMPRODUCT(('MTD Pivot'!$B$3:$B$300=$B146)*('MTD Pivot'!$C$3:$C$300=$A$130)*('MTD Pivot'!$D$2:$K$2=H$2)*'MTD Pivot'!$D$3:$K$300)</f>
        <v/>
      </c>
      <c r="I146" s="161">
        <f>SUMPRODUCT(('MTD Pivot'!$B$3:$B$300=$B146)*('MTD Pivot'!$C$3:$C$300=$A$130)*('MTD Pivot'!$D$2:$K$2=I$2)*'MTD Pivot'!$D$3:$K$300)</f>
        <v/>
      </c>
      <c r="J146" s="161">
        <f>SUMPRODUCT(('MTD Pivot'!$B$3:$B$300=$B146)*('MTD Pivot'!$C$3:$C$300=$A$130)*('MTD Pivot'!$D$2:$K$2=J$2)*'MTD Pivot'!$D$3:$K$300)</f>
        <v/>
      </c>
      <c r="K146" s="161">
        <f>SUMPRODUCT(('MTD Pivot'!$B$3:$B$300=$B146)*('MTD Pivot'!$C$3:$C$300=$A$130)*('MTD Pivot'!$D$2:$K$2=K$2)*'MTD Pivot'!$D$3:$K$300)</f>
        <v/>
      </c>
      <c r="L146" s="161">
        <f>SUMPRODUCT(('MTD Pivot'!$B$3:$B$300=$B146)*('MTD Pivot'!$C$3:$C$300=$A$130)*('MTD Pivot'!$D$2:$K$2=L$2)*'MTD Pivot'!$D$3:$K$300)</f>
        <v/>
      </c>
      <c r="M146" s="161" t="n"/>
      <c r="N146" s="161" t="n"/>
      <c r="O146" s="143">
        <f>L146-K146</f>
        <v/>
      </c>
      <c r="P146" s="170" t="n"/>
      <c r="Q146" s="170" t="n"/>
      <c r="R146" s="170" t="n"/>
      <c r="S146" s="170" t="n"/>
      <c r="T146" s="170" t="n"/>
      <c r="U146" s="170" t="n"/>
      <c r="V146" s="161">
        <f>SUMPRODUCT(('Full month Pivot'!$B$3:$B$300=$B146)*('Full month Pivot'!$C$3:$C$300=$A$130)*('Full month Pivot'!$D$2:$K$2=V$2)*'Full month Pivot'!$D$3:$K$300)</f>
        <v/>
      </c>
      <c r="W146" s="161">
        <f>SUMPRODUCT(('Full month Pivot'!$B$3:$B$300=$B146)*('Full month Pivot'!$C$3:$C$300=$A$130)*('Full month Pivot'!$D$2:$K$2=W$2)*'Full month Pivot'!$D$3:$K$300)</f>
        <v/>
      </c>
      <c r="X146" s="161">
        <f>SUMPRODUCT(('Full month Pivot'!$B$3:$B$300=$B146)*('Full month Pivot'!$C$3:$C$300=$A$130)*('Full month Pivot'!$D$2:$K$2=X$2)*'Full month Pivot'!$D$3:$K$300)</f>
        <v/>
      </c>
      <c r="Y146" s="161">
        <f>SUMPRODUCT(('Full month Pivot'!$B$3:$B$300=$B146)*('Full month Pivot'!$C$3:$C$300=$A$130)*('Full month Pivot'!$D$2:$K$2=Y$2)*'Full month Pivot'!$D$3:$K$300)</f>
        <v/>
      </c>
      <c r="Z146" s="161">
        <f>SUMPRODUCT(('Full month Pivot'!$B$3:$B$300=$B146)*('Full month Pivot'!$C$3:$C$300=$A$130)*('Full month Pivot'!$D$2:$K$2=Z$2)*'Full month Pivot'!$D$3:$K$300)</f>
        <v/>
      </c>
      <c r="AA146" s="161">
        <f>SUMPRODUCT(('Full month Pivot'!$B$3:$B$300=$B146)*('Full month Pivot'!$C$3:$C$300=$A$130)*('Full month Pivot'!$D$2:$K$2=AA$2)*'Full month Pivot'!$D$3:$K$300)</f>
        <v/>
      </c>
      <c r="AB146" s="161" t="n"/>
      <c r="AC146" s="161" t="n"/>
      <c r="AD146" s="143">
        <f>AA146-Z146</f>
        <v/>
      </c>
      <c r="AE146" s="170" t="n"/>
      <c r="AF146" s="170" t="n"/>
      <c r="AG146" s="170" t="n"/>
      <c r="AH146" s="170" t="n"/>
      <c r="AI146" s="170" t="n"/>
      <c r="AJ146" s="170" t="n"/>
    </row>
    <row r="147" hidden="1" outlineLevel="1" ht="15.75" customHeight="1" s="239">
      <c r="A147" s="170" t="n"/>
      <c r="B147" s="170" t="inlineStr">
        <is>
          <t>New User</t>
        </is>
      </c>
      <c r="C147" s="170" t="n"/>
      <c r="D147" s="170" t="n"/>
      <c r="E147" s="170" t="n"/>
      <c r="F147" s="170" t="n"/>
      <c r="G147" s="161">
        <f>SUMPRODUCT(('MTD Pivot'!$B$3:$B$300=$B147)*('MTD Pivot'!$C$3:$C$300=$A$130)*('MTD Pivot'!$D$2:$K$2=G$2)*'MTD Pivot'!$D$3:$K$300)</f>
        <v/>
      </c>
      <c r="H147" s="161">
        <f>SUMPRODUCT(('MTD Pivot'!$B$3:$B$300=$B147)*('MTD Pivot'!$C$3:$C$300=$A$130)*('MTD Pivot'!$D$2:$K$2=H$2)*'MTD Pivot'!$D$3:$K$300)</f>
        <v/>
      </c>
      <c r="I147" s="161">
        <f>SUMPRODUCT(('MTD Pivot'!$B$3:$B$300=$B147)*('MTD Pivot'!$C$3:$C$300=$A$130)*('MTD Pivot'!$D$2:$K$2=I$2)*'MTD Pivot'!$D$3:$K$300)</f>
        <v/>
      </c>
      <c r="J147" s="161">
        <f>SUMPRODUCT(('MTD Pivot'!$B$3:$B$300=$B147)*('MTD Pivot'!$C$3:$C$300=$A$130)*('MTD Pivot'!$D$2:$K$2=J$2)*'MTD Pivot'!$D$3:$K$300)</f>
        <v/>
      </c>
      <c r="K147" s="161">
        <f>SUMPRODUCT(('MTD Pivot'!$B$3:$B$300=$B147)*('MTD Pivot'!$C$3:$C$300=$A$130)*('MTD Pivot'!$D$2:$K$2=K$2)*'MTD Pivot'!$D$3:$K$300)</f>
        <v/>
      </c>
      <c r="L147" s="161">
        <f>SUMPRODUCT(('MTD Pivot'!$B$3:$B$300=$B147)*('MTD Pivot'!$C$3:$C$300=$A$130)*('MTD Pivot'!$D$2:$K$2=L$2)*'MTD Pivot'!$D$3:$K$300)</f>
        <v/>
      </c>
      <c r="M147" s="161" t="n"/>
      <c r="N147" s="161" t="n"/>
      <c r="O147" s="143">
        <f>L147-K147</f>
        <v/>
      </c>
      <c r="P147" s="170" t="n"/>
      <c r="Q147" s="170" t="n"/>
      <c r="R147" s="170" t="n"/>
      <c r="S147" s="170" t="n"/>
      <c r="T147" s="170" t="n"/>
      <c r="U147" s="170" t="n"/>
      <c r="V147" s="161">
        <f>SUMPRODUCT(('Full month Pivot'!$B$3:$B$300=$B147)*('Full month Pivot'!$C$3:$C$300=$A$130)*('Full month Pivot'!$D$2:$K$2=V$2)*'Full month Pivot'!$D$3:$K$300)</f>
        <v/>
      </c>
      <c r="W147" s="161">
        <f>SUMPRODUCT(('Full month Pivot'!$B$3:$B$300=$B147)*('Full month Pivot'!$C$3:$C$300=$A$130)*('Full month Pivot'!$D$2:$K$2=W$2)*'Full month Pivot'!$D$3:$K$300)</f>
        <v/>
      </c>
      <c r="X147" s="161">
        <f>SUMPRODUCT(('Full month Pivot'!$B$3:$B$300=$B147)*('Full month Pivot'!$C$3:$C$300=$A$130)*('Full month Pivot'!$D$2:$K$2=X$2)*'Full month Pivot'!$D$3:$K$300)</f>
        <v/>
      </c>
      <c r="Y147" s="161">
        <f>SUMPRODUCT(('Full month Pivot'!$B$3:$B$300=$B147)*('Full month Pivot'!$C$3:$C$300=$A$130)*('Full month Pivot'!$D$2:$K$2=Y$2)*'Full month Pivot'!$D$3:$K$300)</f>
        <v/>
      </c>
      <c r="Z147" s="161">
        <f>SUMPRODUCT(('Full month Pivot'!$B$3:$B$300=$B147)*('Full month Pivot'!$C$3:$C$300=$A$130)*('Full month Pivot'!$D$2:$K$2=Z$2)*'Full month Pivot'!$D$3:$K$300)</f>
        <v/>
      </c>
      <c r="AA147" s="161">
        <f>SUMPRODUCT(('Full month Pivot'!$B$3:$B$300=$B147)*('Full month Pivot'!$C$3:$C$300=$A$130)*('Full month Pivot'!$D$2:$K$2=AA$2)*'Full month Pivot'!$D$3:$K$300)</f>
        <v/>
      </c>
      <c r="AB147" s="161" t="n"/>
      <c r="AC147" s="161" t="n"/>
      <c r="AD147" s="143">
        <f>AA147-Z147</f>
        <v/>
      </c>
      <c r="AE147" s="170" t="n"/>
      <c r="AF147" s="170" t="n"/>
      <c r="AG147" s="170" t="n"/>
      <c r="AH147" s="170" t="n"/>
      <c r="AI147" s="170" t="n"/>
      <c r="AJ147" s="170" t="n"/>
    </row>
    <row r="148" hidden="1" outlineLevel="1" ht="15.75" customHeight="1" s="239">
      <c r="A148" s="170" t="n"/>
      <c r="B148" s="170" t="inlineStr">
        <is>
          <t>Hỏi đáp</t>
        </is>
      </c>
      <c r="C148" s="170" t="n"/>
      <c r="D148" s="170" t="n"/>
      <c r="E148" s="170" t="n"/>
      <c r="F148" s="170" t="n"/>
      <c r="G148" s="161">
        <f>SUMPRODUCT(('MTD Pivot'!$B$3:$B$300=$B148)*('MTD Pivot'!$C$3:$C$300=$A$130)*('MTD Pivot'!$D$2:$K$2=G$2)*'MTD Pivot'!$D$3:$K$300)</f>
        <v/>
      </c>
      <c r="H148" s="161">
        <f>SUMPRODUCT(('MTD Pivot'!$B$3:$B$300=$B148)*('MTD Pivot'!$C$3:$C$300=$A$130)*('MTD Pivot'!$D$2:$K$2=H$2)*'MTD Pivot'!$D$3:$K$300)</f>
        <v/>
      </c>
      <c r="I148" s="161">
        <f>SUMPRODUCT(('MTD Pivot'!$B$3:$B$300=$B148)*('MTD Pivot'!$C$3:$C$300=$A$130)*('MTD Pivot'!$D$2:$K$2=I$2)*'MTD Pivot'!$D$3:$K$300)</f>
        <v/>
      </c>
      <c r="J148" s="161">
        <f>SUMPRODUCT(('MTD Pivot'!$B$3:$B$300=$B148)*('MTD Pivot'!$C$3:$C$300=$A$130)*('MTD Pivot'!$D$2:$K$2=J$2)*'MTD Pivot'!$D$3:$K$300)</f>
        <v/>
      </c>
      <c r="K148" s="161">
        <f>SUMPRODUCT(('MTD Pivot'!$B$3:$B$300=$B148)*('MTD Pivot'!$C$3:$C$300=$A$130)*('MTD Pivot'!$D$2:$K$2=K$2)*'MTD Pivot'!$D$3:$K$300)</f>
        <v/>
      </c>
      <c r="L148" s="161">
        <f>SUMPRODUCT(('MTD Pivot'!$B$3:$B$300=$B148)*('MTD Pivot'!$C$3:$C$300=$A$130)*('MTD Pivot'!$D$2:$K$2=L$2)*'MTD Pivot'!$D$3:$K$300)</f>
        <v/>
      </c>
      <c r="M148" s="161" t="n"/>
      <c r="N148" s="161" t="n"/>
      <c r="O148" s="143">
        <f>L148-K148</f>
        <v/>
      </c>
      <c r="P148" s="170" t="n"/>
      <c r="Q148" s="170" t="n"/>
      <c r="R148" s="170" t="n"/>
      <c r="S148" s="170" t="n"/>
      <c r="T148" s="170" t="n"/>
      <c r="U148" s="170" t="n"/>
      <c r="V148" s="161">
        <f>SUMPRODUCT(('Full month Pivot'!$B$3:$B$300=$B148)*('Full month Pivot'!$C$3:$C$300=$A$130)*('Full month Pivot'!$D$2:$K$2=V$2)*'Full month Pivot'!$D$3:$K$300)</f>
        <v/>
      </c>
      <c r="W148" s="161">
        <f>SUMPRODUCT(('Full month Pivot'!$B$3:$B$300=$B148)*('Full month Pivot'!$C$3:$C$300=$A$130)*('Full month Pivot'!$D$2:$K$2=W$2)*'Full month Pivot'!$D$3:$K$300)</f>
        <v/>
      </c>
      <c r="X148" s="161">
        <f>SUMPRODUCT(('Full month Pivot'!$B$3:$B$300=$B148)*('Full month Pivot'!$C$3:$C$300=$A$130)*('Full month Pivot'!$D$2:$K$2=X$2)*'Full month Pivot'!$D$3:$K$300)</f>
        <v/>
      </c>
      <c r="Y148" s="161">
        <f>SUMPRODUCT(('Full month Pivot'!$B$3:$B$300=$B148)*('Full month Pivot'!$C$3:$C$300=$A$130)*('Full month Pivot'!$D$2:$K$2=Y$2)*'Full month Pivot'!$D$3:$K$300)</f>
        <v/>
      </c>
      <c r="Z148" s="161">
        <f>SUMPRODUCT(('Full month Pivot'!$B$3:$B$300=$B148)*('Full month Pivot'!$C$3:$C$300=$A$130)*('Full month Pivot'!$D$2:$K$2=Z$2)*'Full month Pivot'!$D$3:$K$300)</f>
        <v/>
      </c>
      <c r="AA148" s="161">
        <f>SUMPRODUCT(('Full month Pivot'!$B$3:$B$300=$B148)*('Full month Pivot'!$C$3:$C$300=$A$130)*('Full month Pivot'!$D$2:$K$2=AA$2)*'Full month Pivot'!$D$3:$K$300)</f>
        <v/>
      </c>
      <c r="AB148" s="161" t="n"/>
      <c r="AC148" s="161" t="n"/>
      <c r="AD148" s="143">
        <f>AA148-Z148</f>
        <v/>
      </c>
      <c r="AE148" s="170" t="n"/>
      <c r="AF148" s="170" t="n"/>
      <c r="AG148" s="170" t="n"/>
      <c r="AH148" s="170" t="n"/>
      <c r="AI148" s="170" t="n"/>
      <c r="AJ148" s="170" t="n"/>
    </row>
    <row r="149" hidden="1" outlineLevel="1" ht="15.75" customHeight="1" s="239">
      <c r="A149" s="170" t="n"/>
      <c r="B149" s="170" t="inlineStr">
        <is>
          <t>TnC</t>
        </is>
      </c>
      <c r="C149" s="170" t="n"/>
      <c r="D149" s="170" t="n"/>
      <c r="E149" s="170" t="n"/>
      <c r="F149" s="170" t="n"/>
      <c r="G149" s="161">
        <f>SUMPRODUCT(('MTD Pivot'!$B$3:$B$300=$B149)*('MTD Pivot'!$C$3:$C$300=$A$130)*('MTD Pivot'!$D$2:$K$2=G$2)*'MTD Pivot'!$D$3:$K$300)</f>
        <v/>
      </c>
      <c r="H149" s="161">
        <f>SUMPRODUCT(('MTD Pivot'!$B$3:$B$300=$B149)*('MTD Pivot'!$C$3:$C$300=$A$130)*('MTD Pivot'!$D$2:$K$2=H$2)*'MTD Pivot'!$D$3:$K$300)</f>
        <v/>
      </c>
      <c r="I149" s="161">
        <f>SUMPRODUCT(('MTD Pivot'!$B$3:$B$300=$B149)*('MTD Pivot'!$C$3:$C$300=$A$130)*('MTD Pivot'!$D$2:$K$2=I$2)*'MTD Pivot'!$D$3:$K$300)</f>
        <v/>
      </c>
      <c r="J149" s="161">
        <f>SUMPRODUCT(('MTD Pivot'!$B$3:$B$300=$B149)*('MTD Pivot'!$C$3:$C$300=$A$130)*('MTD Pivot'!$D$2:$K$2=J$2)*'MTD Pivot'!$D$3:$K$300)</f>
        <v/>
      </c>
      <c r="K149" s="161">
        <f>SUMPRODUCT(('MTD Pivot'!$B$3:$B$300=$B149)*('MTD Pivot'!$C$3:$C$300=$A$130)*('MTD Pivot'!$D$2:$K$2=K$2)*'MTD Pivot'!$D$3:$K$300)</f>
        <v/>
      </c>
      <c r="L149" s="161">
        <f>SUMPRODUCT(('MTD Pivot'!$B$3:$B$300=$B149)*('MTD Pivot'!$C$3:$C$300=$A$130)*('MTD Pivot'!$D$2:$K$2=L$2)*'MTD Pivot'!$D$3:$K$300)</f>
        <v/>
      </c>
      <c r="M149" s="161" t="n"/>
      <c r="N149" s="161" t="n"/>
      <c r="O149" s="143">
        <f>L149-K149</f>
        <v/>
      </c>
      <c r="P149" s="170" t="n"/>
      <c r="Q149" s="170" t="n"/>
      <c r="R149" s="170" t="n"/>
      <c r="S149" s="170" t="n"/>
      <c r="T149" s="170" t="n"/>
      <c r="U149" s="170" t="n"/>
      <c r="V149" s="161">
        <f>SUMPRODUCT(('Full month Pivot'!$B$3:$B$300=$B149)*('Full month Pivot'!$C$3:$C$300=$A$130)*('Full month Pivot'!$D$2:$K$2=V$2)*'Full month Pivot'!$D$3:$K$300)</f>
        <v/>
      </c>
      <c r="W149" s="161">
        <f>SUMPRODUCT(('Full month Pivot'!$B$3:$B$300=$B149)*('Full month Pivot'!$C$3:$C$300=$A$130)*('Full month Pivot'!$D$2:$K$2=W$2)*'Full month Pivot'!$D$3:$K$300)</f>
        <v/>
      </c>
      <c r="X149" s="161">
        <f>SUMPRODUCT(('Full month Pivot'!$B$3:$B$300=$B149)*('Full month Pivot'!$C$3:$C$300=$A$130)*('Full month Pivot'!$D$2:$K$2=X$2)*'Full month Pivot'!$D$3:$K$300)</f>
        <v/>
      </c>
      <c r="Y149" s="161">
        <f>SUMPRODUCT(('Full month Pivot'!$B$3:$B$300=$B149)*('Full month Pivot'!$C$3:$C$300=$A$130)*('Full month Pivot'!$D$2:$K$2=Y$2)*'Full month Pivot'!$D$3:$K$300)</f>
        <v/>
      </c>
      <c r="Z149" s="161">
        <f>SUMPRODUCT(('Full month Pivot'!$B$3:$B$300=$B149)*('Full month Pivot'!$C$3:$C$300=$A$130)*('Full month Pivot'!$D$2:$K$2=Z$2)*'Full month Pivot'!$D$3:$K$300)</f>
        <v/>
      </c>
      <c r="AA149" s="161">
        <f>SUMPRODUCT(('Full month Pivot'!$B$3:$B$300=$B149)*('Full month Pivot'!$C$3:$C$300=$A$130)*('Full month Pivot'!$D$2:$K$2=AA$2)*'Full month Pivot'!$D$3:$K$300)</f>
        <v/>
      </c>
      <c r="AB149" s="161" t="n"/>
      <c r="AC149" s="161" t="n"/>
      <c r="AD149" s="143">
        <f>AA149-Z149</f>
        <v/>
      </c>
      <c r="AE149" s="170" t="n"/>
      <c r="AF149" s="170" t="n"/>
      <c r="AG149" s="170" t="n"/>
      <c r="AH149" s="170" t="n"/>
      <c r="AI149" s="170" t="n"/>
      <c r="AJ149" s="170" t="n"/>
    </row>
    <row r="150" hidden="1" outlineLevel="1" ht="15.75" customHeight="1" s="239">
      <c r="A150" s="170" t="n"/>
      <c r="B150" s="170" t="inlineStr">
        <is>
          <t>Trust</t>
        </is>
      </c>
      <c r="C150" s="170" t="n"/>
      <c r="D150" s="170" t="n"/>
      <c r="E150" s="170" t="n"/>
      <c r="F150" s="170" t="n"/>
      <c r="G150" s="161">
        <f>SUMPRODUCT(('MTD Pivot'!$B$3:$B$300=$B150)*('MTD Pivot'!$C$3:$C$300=$A$130)*('MTD Pivot'!$D$2:$K$2=G$2)*'MTD Pivot'!$D$3:$K$300)</f>
        <v/>
      </c>
      <c r="H150" s="161">
        <f>SUMPRODUCT(('MTD Pivot'!$B$3:$B$300=$B150)*('MTD Pivot'!$C$3:$C$300=$A$130)*('MTD Pivot'!$D$2:$K$2=H$2)*'MTD Pivot'!$D$3:$K$300)</f>
        <v/>
      </c>
      <c r="I150" s="161">
        <f>SUMPRODUCT(('MTD Pivot'!$B$3:$B$300=$B150)*('MTD Pivot'!$C$3:$C$300=$A$130)*('MTD Pivot'!$D$2:$K$2=I$2)*'MTD Pivot'!$D$3:$K$300)</f>
        <v/>
      </c>
      <c r="J150" s="161">
        <f>SUMPRODUCT(('MTD Pivot'!$B$3:$B$300=$B150)*('MTD Pivot'!$C$3:$C$300=$A$130)*('MTD Pivot'!$D$2:$K$2=J$2)*'MTD Pivot'!$D$3:$K$300)</f>
        <v/>
      </c>
      <c r="K150" s="161">
        <f>SUMPRODUCT(('MTD Pivot'!$B$3:$B$300=$B150)*('MTD Pivot'!$C$3:$C$300=$A$130)*('MTD Pivot'!$D$2:$K$2=K$2)*'MTD Pivot'!$D$3:$K$300)</f>
        <v/>
      </c>
      <c r="L150" s="161">
        <f>SUMPRODUCT(('MTD Pivot'!$B$3:$B$300=$B150)*('MTD Pivot'!$C$3:$C$300=$A$130)*('MTD Pivot'!$D$2:$K$2=L$2)*'MTD Pivot'!$D$3:$K$300)</f>
        <v/>
      </c>
      <c r="M150" s="161" t="n"/>
      <c r="N150" s="161" t="n"/>
      <c r="O150" s="143">
        <f>L150-K150</f>
        <v/>
      </c>
      <c r="P150" s="170" t="n"/>
      <c r="Q150" s="170" t="n"/>
      <c r="R150" s="170" t="n"/>
      <c r="S150" s="170" t="n"/>
      <c r="T150" s="170" t="n"/>
      <c r="U150" s="170" t="n"/>
      <c r="V150" s="161">
        <f>SUMPRODUCT(('Full month Pivot'!$B$3:$B$300=$B150)*('Full month Pivot'!$C$3:$C$300=$A$130)*('Full month Pivot'!$D$2:$K$2=V$2)*'Full month Pivot'!$D$3:$K$300)</f>
        <v/>
      </c>
      <c r="W150" s="161">
        <f>SUMPRODUCT(('Full month Pivot'!$B$3:$B$300=$B150)*('Full month Pivot'!$C$3:$C$300=$A$130)*('Full month Pivot'!$D$2:$K$2=W$2)*'Full month Pivot'!$D$3:$K$300)</f>
        <v/>
      </c>
      <c r="X150" s="161">
        <f>SUMPRODUCT(('Full month Pivot'!$B$3:$B$300=$B150)*('Full month Pivot'!$C$3:$C$300=$A$130)*('Full month Pivot'!$D$2:$K$2=X$2)*'Full month Pivot'!$D$3:$K$300)</f>
        <v/>
      </c>
      <c r="Y150" s="161">
        <f>SUMPRODUCT(('Full month Pivot'!$B$3:$B$300=$B150)*('Full month Pivot'!$C$3:$C$300=$A$130)*('Full month Pivot'!$D$2:$K$2=Y$2)*'Full month Pivot'!$D$3:$K$300)</f>
        <v/>
      </c>
      <c r="Z150" s="161">
        <f>SUMPRODUCT(('Full month Pivot'!$B$3:$B$300=$B150)*('Full month Pivot'!$C$3:$C$300=$A$130)*('Full month Pivot'!$D$2:$K$2=Z$2)*'Full month Pivot'!$D$3:$K$300)</f>
        <v/>
      </c>
      <c r="AA150" s="161">
        <f>SUMPRODUCT(('Full month Pivot'!$B$3:$B$300=$B150)*('Full month Pivot'!$C$3:$C$300=$A$130)*('Full month Pivot'!$D$2:$K$2=AA$2)*'Full month Pivot'!$D$3:$K$300)</f>
        <v/>
      </c>
      <c r="AB150" s="161" t="n"/>
      <c r="AC150" s="161" t="n"/>
      <c r="AD150" s="143">
        <f>AA150-Z150</f>
        <v/>
      </c>
      <c r="AE150" s="170" t="n"/>
      <c r="AF150" s="170" t="n"/>
      <c r="AG150" s="170" t="n"/>
      <c r="AH150" s="170" t="n"/>
      <c r="AI150" s="170" t="n"/>
      <c r="AJ150" s="170" t="n"/>
    </row>
    <row r="151" hidden="1" outlineLevel="1" ht="15.75" customHeight="1" s="239">
      <c r="A151" s="170" t="n"/>
      <c r="B151" s="170" t="inlineStr">
        <is>
          <t>Guide</t>
        </is>
      </c>
      <c r="C151" s="170" t="n"/>
      <c r="D151" s="170" t="n"/>
      <c r="E151" s="170" t="n"/>
      <c r="F151" s="170" t="n"/>
      <c r="G151" s="161">
        <f>SUMPRODUCT(('MTD Pivot'!$B$3:$B$300=$B151)*('MTD Pivot'!$C$3:$C$300=$A$130)*('MTD Pivot'!$D$2:$K$2=G$2)*'MTD Pivot'!$D$3:$K$300)</f>
        <v/>
      </c>
      <c r="H151" s="161">
        <f>SUMPRODUCT(('MTD Pivot'!$B$3:$B$300=$B151)*('MTD Pivot'!$C$3:$C$300=$A$130)*('MTD Pivot'!$D$2:$K$2=H$2)*'MTD Pivot'!$D$3:$K$300)</f>
        <v/>
      </c>
      <c r="I151" s="161">
        <f>SUMPRODUCT(('MTD Pivot'!$B$3:$B$300=$B151)*('MTD Pivot'!$C$3:$C$300=$A$130)*('MTD Pivot'!$D$2:$K$2=I$2)*'MTD Pivot'!$D$3:$K$300)</f>
        <v/>
      </c>
      <c r="J151" s="161">
        <f>SUMPRODUCT(('MTD Pivot'!$B$3:$B$300=$B151)*('MTD Pivot'!$C$3:$C$300=$A$130)*('MTD Pivot'!$D$2:$K$2=J$2)*'MTD Pivot'!$D$3:$K$300)</f>
        <v/>
      </c>
      <c r="K151" s="161">
        <f>SUMPRODUCT(('MTD Pivot'!$B$3:$B$300=$B151)*('MTD Pivot'!$C$3:$C$300=$A$130)*('MTD Pivot'!$D$2:$K$2=K$2)*'MTD Pivot'!$D$3:$K$300)</f>
        <v/>
      </c>
      <c r="L151" s="161">
        <f>SUMPRODUCT(('MTD Pivot'!$B$3:$B$300=$B151)*('MTD Pivot'!$C$3:$C$300=$A$130)*('MTD Pivot'!$D$2:$K$2=L$2)*'MTD Pivot'!$D$3:$K$300)</f>
        <v/>
      </c>
      <c r="M151" s="161" t="n"/>
      <c r="N151" s="161" t="n"/>
      <c r="O151" s="143">
        <f>L151-K151</f>
        <v/>
      </c>
      <c r="P151" s="170" t="n"/>
      <c r="Q151" s="170" t="n"/>
      <c r="R151" s="170" t="n"/>
      <c r="S151" s="170" t="n"/>
      <c r="T151" s="170" t="n"/>
      <c r="U151" s="170" t="n"/>
      <c r="V151" s="161">
        <f>SUMPRODUCT(('Full month Pivot'!$B$3:$B$300=$B151)*('Full month Pivot'!$C$3:$C$300=$A$130)*('Full month Pivot'!$D$2:$K$2=V$2)*'Full month Pivot'!$D$3:$K$300)</f>
        <v/>
      </c>
      <c r="W151" s="161">
        <f>SUMPRODUCT(('Full month Pivot'!$B$3:$B$300=$B151)*('Full month Pivot'!$C$3:$C$300=$A$130)*('Full month Pivot'!$D$2:$K$2=W$2)*'Full month Pivot'!$D$3:$K$300)</f>
        <v/>
      </c>
      <c r="X151" s="161">
        <f>SUMPRODUCT(('Full month Pivot'!$B$3:$B$300=$B151)*('Full month Pivot'!$C$3:$C$300=$A$130)*('Full month Pivot'!$D$2:$K$2=X$2)*'Full month Pivot'!$D$3:$K$300)</f>
        <v/>
      </c>
      <c r="Y151" s="161">
        <f>SUMPRODUCT(('Full month Pivot'!$B$3:$B$300=$B151)*('Full month Pivot'!$C$3:$C$300=$A$130)*('Full month Pivot'!$D$2:$K$2=Y$2)*'Full month Pivot'!$D$3:$K$300)</f>
        <v/>
      </c>
      <c r="Z151" s="161">
        <f>SUMPRODUCT(('Full month Pivot'!$B$3:$B$300=$B151)*('Full month Pivot'!$C$3:$C$300=$A$130)*('Full month Pivot'!$D$2:$K$2=Z$2)*'Full month Pivot'!$D$3:$K$300)</f>
        <v/>
      </c>
      <c r="AA151" s="161">
        <f>SUMPRODUCT(('Full month Pivot'!$B$3:$B$300=$B151)*('Full month Pivot'!$C$3:$C$300=$A$130)*('Full month Pivot'!$D$2:$K$2=AA$2)*'Full month Pivot'!$D$3:$K$300)</f>
        <v/>
      </c>
      <c r="AB151" s="161" t="n"/>
      <c r="AC151" s="161" t="n"/>
      <c r="AD151" s="143">
        <f>AA151-Z151</f>
        <v/>
      </c>
      <c r="AE151" s="170" t="n"/>
      <c r="AF151" s="170" t="n"/>
      <c r="AG151" s="170" t="n"/>
      <c r="AH151" s="170" t="n"/>
      <c r="AI151" s="170" t="n"/>
      <c r="AJ151" s="170" t="n"/>
    </row>
    <row r="152" hidden="1" outlineLevel="1" ht="15.75" customHeight="1" s="239">
      <c r="A152" s="170" t="n"/>
      <c r="B152" s="170" t="inlineStr">
        <is>
          <t>Khuyến mãi</t>
        </is>
      </c>
      <c r="C152" s="170" t="n"/>
      <c r="D152" s="170" t="n"/>
      <c r="E152" s="170" t="n"/>
      <c r="F152" s="170" t="n"/>
      <c r="G152" s="161">
        <f>SUMPRODUCT(('MTD Pivot'!$B$3:$B$300=$B152)*('MTD Pivot'!$C$3:$C$300=$A$130)*('MTD Pivot'!$D$2:$K$2=G$2)*'MTD Pivot'!$D$3:$K$300)</f>
        <v/>
      </c>
      <c r="H152" s="161">
        <f>SUMPRODUCT(('MTD Pivot'!$B$3:$B$300=$B152)*('MTD Pivot'!$C$3:$C$300=$A$130)*('MTD Pivot'!$D$2:$K$2=H$2)*'MTD Pivot'!$D$3:$K$300)</f>
        <v/>
      </c>
      <c r="I152" s="161">
        <f>SUMPRODUCT(('MTD Pivot'!$B$3:$B$300=$B152)*('MTD Pivot'!$C$3:$C$300=$A$130)*('MTD Pivot'!$D$2:$K$2=I$2)*'MTD Pivot'!$D$3:$K$300)</f>
        <v/>
      </c>
      <c r="J152" s="161">
        <f>SUMPRODUCT(('MTD Pivot'!$B$3:$B$300=$B152)*('MTD Pivot'!$C$3:$C$300=$A$130)*('MTD Pivot'!$D$2:$K$2=J$2)*'MTD Pivot'!$D$3:$K$300)</f>
        <v/>
      </c>
      <c r="K152" s="161">
        <f>SUMPRODUCT(('MTD Pivot'!$B$3:$B$300=$B152)*('MTD Pivot'!$C$3:$C$300=$A$130)*('MTD Pivot'!$D$2:$K$2=K$2)*'MTD Pivot'!$D$3:$K$300)</f>
        <v/>
      </c>
      <c r="L152" s="161">
        <f>SUMPRODUCT(('MTD Pivot'!$B$3:$B$300=$B152)*('MTD Pivot'!$C$3:$C$300=$A$130)*('MTD Pivot'!$D$2:$K$2=L$2)*'MTD Pivot'!$D$3:$K$300)</f>
        <v/>
      </c>
      <c r="M152" s="161" t="n"/>
      <c r="N152" s="161" t="n"/>
      <c r="O152" s="143">
        <f>L152-K152</f>
        <v/>
      </c>
      <c r="P152" s="170" t="n"/>
      <c r="Q152" s="170" t="n"/>
      <c r="R152" s="170" t="n"/>
      <c r="S152" s="170" t="n"/>
      <c r="T152" s="170" t="n"/>
      <c r="U152" s="170" t="n"/>
      <c r="V152" s="161">
        <f>SUMPRODUCT(('Full month Pivot'!$B$3:$B$300=$B152)*('Full month Pivot'!$C$3:$C$300=$A$130)*('Full month Pivot'!$D$2:$K$2=V$2)*'Full month Pivot'!$D$3:$K$300)</f>
        <v/>
      </c>
      <c r="W152" s="161">
        <f>SUMPRODUCT(('Full month Pivot'!$B$3:$B$300=$B152)*('Full month Pivot'!$C$3:$C$300=$A$130)*('Full month Pivot'!$D$2:$K$2=W$2)*'Full month Pivot'!$D$3:$K$300)</f>
        <v/>
      </c>
      <c r="X152" s="161">
        <f>SUMPRODUCT(('Full month Pivot'!$B$3:$B$300=$B152)*('Full month Pivot'!$C$3:$C$300=$A$130)*('Full month Pivot'!$D$2:$K$2=X$2)*'Full month Pivot'!$D$3:$K$300)</f>
        <v/>
      </c>
      <c r="Y152" s="161">
        <f>SUMPRODUCT(('Full month Pivot'!$B$3:$B$300=$B152)*('Full month Pivot'!$C$3:$C$300=$A$130)*('Full month Pivot'!$D$2:$K$2=Y$2)*'Full month Pivot'!$D$3:$K$300)</f>
        <v/>
      </c>
      <c r="Z152" s="161">
        <f>SUMPRODUCT(('Full month Pivot'!$B$3:$B$300=$B152)*('Full month Pivot'!$C$3:$C$300=$A$130)*('Full month Pivot'!$D$2:$K$2=Z$2)*'Full month Pivot'!$D$3:$K$300)</f>
        <v/>
      </c>
      <c r="AA152" s="161">
        <f>SUMPRODUCT(('Full month Pivot'!$B$3:$B$300=$B152)*('Full month Pivot'!$C$3:$C$300=$A$130)*('Full month Pivot'!$D$2:$K$2=AA$2)*'Full month Pivot'!$D$3:$K$300)</f>
        <v/>
      </c>
      <c r="AB152" s="161" t="n"/>
      <c r="AC152" s="161" t="n"/>
      <c r="AD152" s="143">
        <f>AA152-Z152</f>
        <v/>
      </c>
      <c r="AE152" s="170" t="n"/>
      <c r="AF152" s="170" t="n"/>
      <c r="AG152" s="170" t="n"/>
      <c r="AH152" s="170" t="n"/>
      <c r="AI152" s="170" t="n"/>
      <c r="AJ152" s="170" t="n"/>
    </row>
    <row r="153" hidden="1" outlineLevel="1" ht="15.75" customHeight="1" s="239">
      <c r="A153" s="170" t="n"/>
      <c r="B153" s="170" t="inlineStr">
        <is>
          <t>Campaign</t>
        </is>
      </c>
      <c r="C153" s="170" t="n"/>
      <c r="D153" s="170" t="n"/>
      <c r="E153" s="170" t="n"/>
      <c r="F153" s="170" t="n"/>
      <c r="G153" s="161">
        <f>SUMPRODUCT(('MTD Pivot'!$B$3:$B$300=$B153)*('MTD Pivot'!$C$3:$C$300=$A$130)*('MTD Pivot'!$D$2:$K$2=G$2)*'MTD Pivot'!$D$3:$K$300)</f>
        <v/>
      </c>
      <c r="H153" s="161">
        <f>SUMPRODUCT(('MTD Pivot'!$B$3:$B$300=$B153)*('MTD Pivot'!$C$3:$C$300=$A$130)*('MTD Pivot'!$D$2:$K$2=H$2)*'MTD Pivot'!$D$3:$K$300)</f>
        <v/>
      </c>
      <c r="I153" s="161">
        <f>SUMPRODUCT(('MTD Pivot'!$B$3:$B$300=$B153)*('MTD Pivot'!$C$3:$C$300=$A$130)*('MTD Pivot'!$D$2:$K$2=I$2)*'MTD Pivot'!$D$3:$K$300)</f>
        <v/>
      </c>
      <c r="J153" s="161">
        <f>SUMPRODUCT(('MTD Pivot'!$B$3:$B$300=$B153)*('MTD Pivot'!$C$3:$C$300=$A$130)*('MTD Pivot'!$D$2:$K$2=J$2)*'MTD Pivot'!$D$3:$K$300)</f>
        <v/>
      </c>
      <c r="K153" s="161">
        <f>SUMPRODUCT(('MTD Pivot'!$B$3:$B$300=$B153)*('MTD Pivot'!$C$3:$C$300=$A$130)*('MTD Pivot'!$D$2:$K$2=K$2)*'MTD Pivot'!$D$3:$K$300)</f>
        <v/>
      </c>
      <c r="L153" s="161">
        <f>SUMPRODUCT(('MTD Pivot'!$B$3:$B$300=$B153)*('MTD Pivot'!$C$3:$C$300=$A$130)*('MTD Pivot'!$D$2:$K$2=L$2)*'MTD Pivot'!$D$3:$K$300)</f>
        <v/>
      </c>
      <c r="M153" s="161" t="n"/>
      <c r="N153" s="161" t="n"/>
      <c r="O153" s="143">
        <f>L153-K153</f>
        <v/>
      </c>
      <c r="P153" s="170" t="n"/>
      <c r="Q153" s="170" t="n"/>
      <c r="R153" s="170" t="n"/>
      <c r="S153" s="170" t="n"/>
      <c r="T153" s="170" t="n"/>
      <c r="U153" s="170" t="n"/>
      <c r="V153" s="161">
        <f>SUMPRODUCT(('Full month Pivot'!$B$3:$B$300=$B153)*('Full month Pivot'!$C$3:$C$300=$A$130)*('Full month Pivot'!$D$2:$K$2=V$2)*'Full month Pivot'!$D$3:$K$300)</f>
        <v/>
      </c>
      <c r="W153" s="161">
        <f>SUMPRODUCT(('Full month Pivot'!$B$3:$B$300=$B153)*('Full month Pivot'!$C$3:$C$300=$A$130)*('Full month Pivot'!$D$2:$K$2=W$2)*'Full month Pivot'!$D$3:$K$300)</f>
        <v/>
      </c>
      <c r="X153" s="161">
        <f>SUMPRODUCT(('Full month Pivot'!$B$3:$B$300=$B153)*('Full month Pivot'!$C$3:$C$300=$A$130)*('Full month Pivot'!$D$2:$K$2=X$2)*'Full month Pivot'!$D$3:$K$300)</f>
        <v/>
      </c>
      <c r="Y153" s="161">
        <f>SUMPRODUCT(('Full month Pivot'!$B$3:$B$300=$B153)*('Full month Pivot'!$C$3:$C$300=$A$130)*('Full month Pivot'!$D$2:$K$2=Y$2)*'Full month Pivot'!$D$3:$K$300)</f>
        <v/>
      </c>
      <c r="Z153" s="161">
        <f>SUMPRODUCT(('Full month Pivot'!$B$3:$B$300=$B153)*('Full month Pivot'!$C$3:$C$300=$A$130)*('Full month Pivot'!$D$2:$K$2=Z$2)*'Full month Pivot'!$D$3:$K$300)</f>
        <v/>
      </c>
      <c r="AA153" s="161">
        <f>SUMPRODUCT(('Full month Pivot'!$B$3:$B$300=$B153)*('Full month Pivot'!$C$3:$C$300=$A$130)*('Full month Pivot'!$D$2:$K$2=AA$2)*'Full month Pivot'!$D$3:$K$300)</f>
        <v/>
      </c>
      <c r="AB153" s="161" t="n"/>
      <c r="AC153" s="161" t="n"/>
      <c r="AD153" s="143">
        <f>AA153-Z153</f>
        <v/>
      </c>
      <c r="AE153" s="170" t="n"/>
      <c r="AF153" s="170" t="n"/>
      <c r="AG153" s="170" t="n"/>
      <c r="AH153" s="170" t="n"/>
      <c r="AI153" s="170" t="n"/>
      <c r="AJ153" s="170" t="n"/>
    </row>
    <row r="154" hidden="1" outlineLevel="1" ht="15.75" customHeight="1" s="239">
      <c r="A154" s="170" t="n"/>
      <c r="B154" s="170" t="inlineStr">
        <is>
          <t>Blog</t>
        </is>
      </c>
      <c r="C154" s="170" t="n"/>
      <c r="D154" s="170" t="n"/>
      <c r="E154" s="170" t="n"/>
      <c r="F154" s="170" t="n"/>
      <c r="G154" s="161">
        <f>SUMPRODUCT(('MTD Pivot'!$B$3:$B$300=$B154)*('MTD Pivot'!$C$3:$C$300=$A$130)*('MTD Pivot'!$D$2:$K$2=G$2)*'MTD Pivot'!$D$3:$K$300)</f>
        <v/>
      </c>
      <c r="H154" s="161">
        <f>SUMPRODUCT(('MTD Pivot'!$B$3:$B$300=$B154)*('MTD Pivot'!$C$3:$C$300=$A$130)*('MTD Pivot'!$D$2:$K$2=H$2)*'MTD Pivot'!$D$3:$K$300)</f>
        <v/>
      </c>
      <c r="I154" s="161">
        <f>SUMPRODUCT(('MTD Pivot'!$B$3:$B$300=$B154)*('MTD Pivot'!$C$3:$C$300=$A$130)*('MTD Pivot'!$D$2:$K$2=I$2)*'MTD Pivot'!$D$3:$K$300)</f>
        <v/>
      </c>
      <c r="J154" s="161">
        <f>SUMPRODUCT(('MTD Pivot'!$B$3:$B$300=$B154)*('MTD Pivot'!$C$3:$C$300=$A$130)*('MTD Pivot'!$D$2:$K$2=J$2)*'MTD Pivot'!$D$3:$K$300)</f>
        <v/>
      </c>
      <c r="K154" s="161">
        <f>SUMPRODUCT(('MTD Pivot'!$B$3:$B$300=$B154)*('MTD Pivot'!$C$3:$C$300=$A$130)*('MTD Pivot'!$D$2:$K$2=K$2)*'MTD Pivot'!$D$3:$K$300)</f>
        <v/>
      </c>
      <c r="L154" s="161">
        <f>SUMPRODUCT(('MTD Pivot'!$B$3:$B$300=$B154)*('MTD Pivot'!$C$3:$C$300=$A$130)*('MTD Pivot'!$D$2:$K$2=L$2)*'MTD Pivot'!$D$3:$K$300)</f>
        <v/>
      </c>
      <c r="M154" s="161" t="n"/>
      <c r="N154" s="161" t="n"/>
      <c r="O154" s="143">
        <f>L154-K154</f>
        <v/>
      </c>
      <c r="P154" s="170" t="n"/>
      <c r="Q154" s="170" t="n"/>
      <c r="R154" s="170" t="n"/>
      <c r="S154" s="170" t="n"/>
      <c r="T154" s="170" t="n"/>
      <c r="U154" s="170" t="n"/>
      <c r="V154" s="161">
        <f>SUMPRODUCT(('Full month Pivot'!$B$3:$B$300=$B154)*('Full month Pivot'!$C$3:$C$300=$A$130)*('Full month Pivot'!$D$2:$K$2=V$2)*'Full month Pivot'!$D$3:$K$300)</f>
        <v/>
      </c>
      <c r="W154" s="161">
        <f>SUMPRODUCT(('Full month Pivot'!$B$3:$B$300=$B154)*('Full month Pivot'!$C$3:$C$300=$A$130)*('Full month Pivot'!$D$2:$K$2=W$2)*'Full month Pivot'!$D$3:$K$300)</f>
        <v/>
      </c>
      <c r="X154" s="161">
        <f>SUMPRODUCT(('Full month Pivot'!$B$3:$B$300=$B154)*('Full month Pivot'!$C$3:$C$300=$A$130)*('Full month Pivot'!$D$2:$K$2=X$2)*'Full month Pivot'!$D$3:$K$300)</f>
        <v/>
      </c>
      <c r="Y154" s="161">
        <f>SUMPRODUCT(('Full month Pivot'!$B$3:$B$300=$B154)*('Full month Pivot'!$C$3:$C$300=$A$130)*('Full month Pivot'!$D$2:$K$2=Y$2)*'Full month Pivot'!$D$3:$K$300)</f>
        <v/>
      </c>
      <c r="Z154" s="161">
        <f>SUMPRODUCT(('Full month Pivot'!$B$3:$B$300=$B154)*('Full month Pivot'!$C$3:$C$300=$A$130)*('Full month Pivot'!$D$2:$K$2=Z$2)*'Full month Pivot'!$D$3:$K$300)</f>
        <v/>
      </c>
      <c r="AA154" s="161">
        <f>SUMPRODUCT(('Full month Pivot'!$B$3:$B$300=$B154)*('Full month Pivot'!$C$3:$C$300=$A$130)*('Full month Pivot'!$D$2:$K$2=AA$2)*'Full month Pivot'!$D$3:$K$300)</f>
        <v/>
      </c>
      <c r="AB154" s="161" t="n"/>
      <c r="AC154" s="161" t="n"/>
      <c r="AD154" s="143">
        <f>AA154-Z154</f>
        <v/>
      </c>
      <c r="AE154" s="170" t="n"/>
      <c r="AF154" s="170" t="n"/>
      <c r="AG154" s="170" t="n"/>
      <c r="AH154" s="170" t="n"/>
      <c r="AI154" s="170" t="n"/>
      <c r="AJ154" s="170" t="n"/>
    </row>
    <row r="155" hidden="1" outlineLevel="1" ht="15.75" customHeight="1" s="239">
      <c r="A155" s="170" t="n"/>
      <c r="B155" s="170" t="inlineStr">
        <is>
          <t>Application Store</t>
        </is>
      </c>
      <c r="C155" s="170" t="n"/>
      <c r="D155" s="170" t="n"/>
      <c r="E155" s="170" t="n"/>
      <c r="F155" s="170" t="n"/>
      <c r="G155" s="161">
        <f>SUMPRODUCT(('MTD Pivot'!$B$3:$B$300=$B155)*('MTD Pivot'!$C$3:$C$300=$A$130)*('MTD Pivot'!$D$2:$K$2=G$2)*'MTD Pivot'!$D$3:$K$300)</f>
        <v/>
      </c>
      <c r="H155" s="161">
        <f>SUMPRODUCT(('MTD Pivot'!$B$3:$B$300=$B155)*('MTD Pivot'!$C$3:$C$300=$A$130)*('MTD Pivot'!$D$2:$K$2=H$2)*'MTD Pivot'!$D$3:$K$300)</f>
        <v/>
      </c>
      <c r="I155" s="161">
        <f>SUMPRODUCT(('MTD Pivot'!$B$3:$B$300=$B155)*('MTD Pivot'!$C$3:$C$300=$A$130)*('MTD Pivot'!$D$2:$K$2=I$2)*'MTD Pivot'!$D$3:$K$300)</f>
        <v/>
      </c>
      <c r="J155" s="161">
        <f>SUMPRODUCT(('MTD Pivot'!$B$3:$B$300=$B155)*('MTD Pivot'!$C$3:$C$300=$A$130)*('MTD Pivot'!$D$2:$K$2=J$2)*'MTD Pivot'!$D$3:$K$300)</f>
        <v/>
      </c>
      <c r="K155" s="161">
        <f>SUMPRODUCT(('MTD Pivot'!$B$3:$B$300=$B155)*('MTD Pivot'!$C$3:$C$300=$A$130)*('MTD Pivot'!$D$2:$K$2=K$2)*'MTD Pivot'!$D$3:$K$300)</f>
        <v/>
      </c>
      <c r="L155" s="161">
        <f>SUMPRODUCT(('MTD Pivot'!$B$3:$B$300=$B155)*('MTD Pivot'!$C$3:$C$300=$A$130)*('MTD Pivot'!$D$2:$K$2=L$2)*'MTD Pivot'!$D$3:$K$300)</f>
        <v/>
      </c>
      <c r="M155" s="161" t="n"/>
      <c r="N155" s="161" t="n"/>
      <c r="O155" s="143">
        <f>L155-K155</f>
        <v/>
      </c>
      <c r="P155" s="170" t="n"/>
      <c r="Q155" s="170" t="n"/>
      <c r="R155" s="170" t="n"/>
      <c r="S155" s="170" t="n"/>
      <c r="T155" s="170" t="n"/>
      <c r="U155" s="170" t="n"/>
      <c r="V155" s="161">
        <f>SUMPRODUCT(('Full month Pivot'!$B$3:$B$300=$B155)*('Full month Pivot'!$C$3:$C$300=$A$130)*('Full month Pivot'!$D$2:$K$2=V$2)*'Full month Pivot'!$D$3:$K$300)</f>
        <v/>
      </c>
      <c r="W155" s="161">
        <f>SUMPRODUCT(('Full month Pivot'!$B$3:$B$300=$B155)*('Full month Pivot'!$C$3:$C$300=$A$130)*('Full month Pivot'!$D$2:$K$2=W$2)*'Full month Pivot'!$D$3:$K$300)</f>
        <v/>
      </c>
      <c r="X155" s="161">
        <f>SUMPRODUCT(('Full month Pivot'!$B$3:$B$300=$B155)*('Full month Pivot'!$C$3:$C$300=$A$130)*('Full month Pivot'!$D$2:$K$2=X$2)*'Full month Pivot'!$D$3:$K$300)</f>
        <v/>
      </c>
      <c r="Y155" s="161">
        <f>SUMPRODUCT(('Full month Pivot'!$B$3:$B$300=$B155)*('Full month Pivot'!$C$3:$C$300=$A$130)*('Full month Pivot'!$D$2:$K$2=Y$2)*'Full month Pivot'!$D$3:$K$300)</f>
        <v/>
      </c>
      <c r="Z155" s="161">
        <f>SUMPRODUCT(('Full month Pivot'!$B$3:$B$300=$B155)*('Full month Pivot'!$C$3:$C$300=$A$130)*('Full month Pivot'!$D$2:$K$2=Z$2)*'Full month Pivot'!$D$3:$K$300)</f>
        <v/>
      </c>
      <c r="AA155" s="161">
        <f>SUMPRODUCT(('Full month Pivot'!$B$3:$B$300=$B155)*('Full month Pivot'!$C$3:$C$300=$A$130)*('Full month Pivot'!$D$2:$K$2=AA$2)*'Full month Pivot'!$D$3:$K$300)</f>
        <v/>
      </c>
      <c r="AB155" s="161" t="n"/>
      <c r="AC155" s="161" t="n"/>
      <c r="AD155" s="143">
        <f>AA155-Z155</f>
        <v/>
      </c>
      <c r="AE155" s="170" t="n"/>
      <c r="AF155" s="170" t="n"/>
      <c r="AG155" s="170" t="n"/>
      <c r="AH155" s="170" t="n"/>
      <c r="AI155" s="170" t="n"/>
      <c r="AJ155" s="170" t="n"/>
    </row>
    <row r="156" hidden="1" outlineLevel="1" ht="15.75" customHeight="1" s="239">
      <c r="A156" s="170" t="n"/>
      <c r="B156" s="170" t="inlineStr">
        <is>
          <t>Vé số</t>
        </is>
      </c>
      <c r="C156" s="170" t="n"/>
      <c r="D156" s="170" t="n"/>
      <c r="E156" s="170" t="n"/>
      <c r="F156" s="170" t="n"/>
      <c r="G156" s="161">
        <f>SUMPRODUCT(('MTD Pivot'!$B$3:$B$300=$B156)*('MTD Pivot'!$C$3:$C$300=$A$130)*('MTD Pivot'!$D$2:$K$2=G$2)*'MTD Pivot'!$D$3:$K$300)</f>
        <v/>
      </c>
      <c r="H156" s="161">
        <f>SUMPRODUCT(('MTD Pivot'!$B$3:$B$300=$B156)*('MTD Pivot'!$C$3:$C$300=$A$130)*('MTD Pivot'!$D$2:$K$2=H$2)*'MTD Pivot'!$D$3:$K$300)</f>
        <v/>
      </c>
      <c r="I156" s="161">
        <f>SUMPRODUCT(('MTD Pivot'!$B$3:$B$300=$B156)*('MTD Pivot'!$C$3:$C$300=$A$130)*('MTD Pivot'!$D$2:$K$2=I$2)*'MTD Pivot'!$D$3:$K$300)</f>
        <v/>
      </c>
      <c r="J156" s="161">
        <f>SUMPRODUCT(('MTD Pivot'!$B$3:$B$300=$B156)*('MTD Pivot'!$C$3:$C$300=$A$130)*('MTD Pivot'!$D$2:$K$2=J$2)*'MTD Pivot'!$D$3:$K$300)</f>
        <v/>
      </c>
      <c r="K156" s="161">
        <f>SUMPRODUCT(('MTD Pivot'!$B$3:$B$300=$B156)*('MTD Pivot'!$C$3:$C$300=$A$130)*('MTD Pivot'!$D$2:$K$2=K$2)*'MTD Pivot'!$D$3:$K$300)</f>
        <v/>
      </c>
      <c r="L156" s="161">
        <f>SUMPRODUCT(('MTD Pivot'!$B$3:$B$300=$B156)*('MTD Pivot'!$C$3:$C$300=$A$130)*('MTD Pivot'!$D$2:$K$2=L$2)*'MTD Pivot'!$D$3:$K$300)</f>
        <v/>
      </c>
      <c r="M156" s="161" t="n"/>
      <c r="N156" s="161" t="n"/>
      <c r="O156" s="143">
        <f>L156-K156</f>
        <v/>
      </c>
      <c r="P156" s="170" t="n"/>
      <c r="Q156" s="170" t="n"/>
      <c r="R156" s="170" t="n"/>
      <c r="S156" s="170" t="n"/>
      <c r="T156" s="170" t="n"/>
      <c r="U156" s="170" t="n"/>
      <c r="V156" s="161">
        <f>SUMPRODUCT(('Full month Pivot'!$B$3:$B$300=$B156)*('Full month Pivot'!$C$3:$C$300=$A$130)*('Full month Pivot'!$D$2:$K$2=V$2)*'Full month Pivot'!$D$3:$K$300)</f>
        <v/>
      </c>
      <c r="W156" s="161">
        <f>SUMPRODUCT(('Full month Pivot'!$B$3:$B$300=$B156)*('Full month Pivot'!$C$3:$C$300=$A$130)*('Full month Pivot'!$D$2:$K$2=W$2)*'Full month Pivot'!$D$3:$K$300)</f>
        <v/>
      </c>
      <c r="X156" s="161">
        <f>SUMPRODUCT(('Full month Pivot'!$B$3:$B$300=$B156)*('Full month Pivot'!$C$3:$C$300=$A$130)*('Full month Pivot'!$D$2:$K$2=X$2)*'Full month Pivot'!$D$3:$K$300)</f>
        <v/>
      </c>
      <c r="Y156" s="161">
        <f>SUMPRODUCT(('Full month Pivot'!$B$3:$B$300=$B156)*('Full month Pivot'!$C$3:$C$300=$A$130)*('Full month Pivot'!$D$2:$K$2=Y$2)*'Full month Pivot'!$D$3:$K$300)</f>
        <v/>
      </c>
      <c r="Z156" s="161">
        <f>SUMPRODUCT(('Full month Pivot'!$B$3:$B$300=$B156)*('Full month Pivot'!$C$3:$C$300=$A$130)*('Full month Pivot'!$D$2:$K$2=Z$2)*'Full month Pivot'!$D$3:$K$300)</f>
        <v/>
      </c>
      <c r="AA156" s="161">
        <f>SUMPRODUCT(('Full month Pivot'!$B$3:$B$300=$B156)*('Full month Pivot'!$C$3:$C$300=$A$130)*('Full month Pivot'!$D$2:$K$2=AA$2)*'Full month Pivot'!$D$3:$K$300)</f>
        <v/>
      </c>
      <c r="AB156" s="161" t="n"/>
      <c r="AC156" s="161" t="n"/>
      <c r="AD156" s="143">
        <f>AA156-Z156</f>
        <v/>
      </c>
      <c r="AE156" s="170" t="n"/>
      <c r="AF156" s="170" t="n"/>
      <c r="AG156" s="170" t="n"/>
      <c r="AH156" s="170" t="n"/>
      <c r="AI156" s="170" t="n"/>
      <c r="AJ156" s="170" t="n"/>
    </row>
    <row r="157" hidden="1" outlineLevel="1" ht="15.75" customHeight="1" s="239">
      <c r="A157" s="170" t="n"/>
      <c r="B157" s="170" t="inlineStr">
        <is>
          <t>Dịch vụ liên kết</t>
        </is>
      </c>
      <c r="C157" s="170" t="n"/>
      <c r="D157" s="170" t="n"/>
      <c r="E157" s="170" t="n"/>
      <c r="F157" s="170" t="n"/>
      <c r="G157" s="161">
        <f>SUMPRODUCT(('MTD Pivot'!$B$3:$B$300=$B157)*('MTD Pivot'!$C$3:$C$300=$A$130)*('MTD Pivot'!$D$2:$K$2=G$2)*'MTD Pivot'!$D$3:$K$300)</f>
        <v/>
      </c>
      <c r="H157" s="161">
        <f>SUMPRODUCT(('MTD Pivot'!$B$3:$B$300=$B157)*('MTD Pivot'!$C$3:$C$300=$A$130)*('MTD Pivot'!$D$2:$K$2=H$2)*'MTD Pivot'!$D$3:$K$300)</f>
        <v/>
      </c>
      <c r="I157" s="161">
        <f>SUMPRODUCT(('MTD Pivot'!$B$3:$B$300=$B157)*('MTD Pivot'!$C$3:$C$300=$A$130)*('MTD Pivot'!$D$2:$K$2=I$2)*'MTD Pivot'!$D$3:$K$300)</f>
        <v/>
      </c>
      <c r="J157" s="161">
        <f>SUMPRODUCT(('MTD Pivot'!$B$3:$B$300=$B157)*('MTD Pivot'!$C$3:$C$300=$A$130)*('MTD Pivot'!$D$2:$K$2=J$2)*'MTD Pivot'!$D$3:$K$300)</f>
        <v/>
      </c>
      <c r="K157" s="161">
        <f>SUMPRODUCT(('MTD Pivot'!$B$3:$B$300=$B157)*('MTD Pivot'!$C$3:$C$300=$A$130)*('MTD Pivot'!$D$2:$K$2=K$2)*'MTD Pivot'!$D$3:$K$300)</f>
        <v/>
      </c>
      <c r="L157" s="161">
        <f>SUMPRODUCT(('MTD Pivot'!$B$3:$B$300=$B157)*('MTD Pivot'!$C$3:$C$300=$A$130)*('MTD Pivot'!$D$2:$K$2=L$2)*'MTD Pivot'!$D$3:$K$300)</f>
        <v/>
      </c>
      <c r="M157" s="161" t="n"/>
      <c r="N157" s="161" t="n"/>
      <c r="O157" s="143">
        <f>L157-K157</f>
        <v/>
      </c>
      <c r="P157" s="170" t="n"/>
      <c r="Q157" s="170" t="n"/>
      <c r="R157" s="170" t="n"/>
      <c r="S157" s="170" t="n"/>
      <c r="T157" s="170" t="n"/>
      <c r="U157" s="170" t="n"/>
      <c r="V157" s="161">
        <f>SUMPRODUCT(('Full month Pivot'!$B$3:$B$300=$B157)*('Full month Pivot'!$C$3:$C$300=$A$130)*('Full month Pivot'!$D$2:$K$2=V$2)*'Full month Pivot'!$D$3:$K$300)</f>
        <v/>
      </c>
      <c r="W157" s="161">
        <f>SUMPRODUCT(('Full month Pivot'!$B$3:$B$300=$B157)*('Full month Pivot'!$C$3:$C$300=$A$130)*('Full month Pivot'!$D$2:$K$2=W$2)*'Full month Pivot'!$D$3:$K$300)</f>
        <v/>
      </c>
      <c r="X157" s="161">
        <f>SUMPRODUCT(('Full month Pivot'!$B$3:$B$300=$B157)*('Full month Pivot'!$C$3:$C$300=$A$130)*('Full month Pivot'!$D$2:$K$2=X$2)*'Full month Pivot'!$D$3:$K$300)</f>
        <v/>
      </c>
      <c r="Y157" s="161">
        <f>SUMPRODUCT(('Full month Pivot'!$B$3:$B$300=$B157)*('Full month Pivot'!$C$3:$C$300=$A$130)*('Full month Pivot'!$D$2:$K$2=Y$2)*'Full month Pivot'!$D$3:$K$300)</f>
        <v/>
      </c>
      <c r="Z157" s="161">
        <f>SUMPRODUCT(('Full month Pivot'!$B$3:$B$300=$B157)*('Full month Pivot'!$C$3:$C$300=$A$130)*('Full month Pivot'!$D$2:$K$2=Z$2)*'Full month Pivot'!$D$3:$K$300)</f>
        <v/>
      </c>
      <c r="AA157" s="161">
        <f>SUMPRODUCT(('Full month Pivot'!$B$3:$B$300=$B157)*('Full month Pivot'!$C$3:$C$300=$A$130)*('Full month Pivot'!$D$2:$K$2=AA$2)*'Full month Pivot'!$D$3:$K$300)</f>
        <v/>
      </c>
      <c r="AB157" s="161" t="n"/>
      <c r="AC157" s="161" t="n"/>
      <c r="AD157" s="143">
        <f>AA157-Z157</f>
        <v/>
      </c>
      <c r="AE157" s="170" t="n"/>
      <c r="AF157" s="170" t="n"/>
      <c r="AG157" s="170" t="n"/>
      <c r="AH157" s="170" t="n"/>
      <c r="AI157" s="170" t="n"/>
      <c r="AJ157" s="170" t="n"/>
    </row>
    <row r="158" hidden="1" outlineLevel="1" ht="15.75" customHeight="1" s="239">
      <c r="A158" s="170" t="n"/>
      <c r="B158" s="170" t="inlineStr">
        <is>
          <t>Billpay</t>
        </is>
      </c>
      <c r="C158" s="170" t="n"/>
      <c r="D158" s="170" t="n"/>
      <c r="E158" s="170" t="n"/>
      <c r="F158" s="170" t="n"/>
      <c r="G158" s="161">
        <f>SUMPRODUCT(('MTD Pivot'!$B$3:$B$300=$B158)*('MTD Pivot'!$C$3:$C$300=$A$130)*('MTD Pivot'!$D$2:$K$2=G$2)*'MTD Pivot'!$D$3:$K$300)</f>
        <v/>
      </c>
      <c r="H158" s="161">
        <f>SUMPRODUCT(('MTD Pivot'!$B$3:$B$300=$B158)*('MTD Pivot'!$C$3:$C$300=$A$130)*('MTD Pivot'!$D$2:$K$2=H$2)*'MTD Pivot'!$D$3:$K$300)</f>
        <v/>
      </c>
      <c r="I158" s="161">
        <f>SUMPRODUCT(('MTD Pivot'!$B$3:$B$300=$B158)*('MTD Pivot'!$C$3:$C$300=$A$130)*('MTD Pivot'!$D$2:$K$2=I$2)*'MTD Pivot'!$D$3:$K$300)</f>
        <v/>
      </c>
      <c r="J158" s="161">
        <f>SUMPRODUCT(('MTD Pivot'!$B$3:$B$300=$B158)*('MTD Pivot'!$C$3:$C$300=$A$130)*('MTD Pivot'!$D$2:$K$2=J$2)*'MTD Pivot'!$D$3:$K$300)</f>
        <v/>
      </c>
      <c r="K158" s="161">
        <f>SUMPRODUCT(('MTD Pivot'!$B$3:$B$300=$B158)*('MTD Pivot'!$C$3:$C$300=$A$130)*('MTD Pivot'!$D$2:$K$2=K$2)*'MTD Pivot'!$D$3:$K$300)</f>
        <v/>
      </c>
      <c r="L158" s="161">
        <f>SUMPRODUCT(('MTD Pivot'!$B$3:$B$300=$B158)*('MTD Pivot'!$C$3:$C$300=$A$130)*('MTD Pivot'!$D$2:$K$2=L$2)*'MTD Pivot'!$D$3:$K$300)</f>
        <v/>
      </c>
      <c r="M158" s="161" t="n"/>
      <c r="N158" s="161" t="n"/>
      <c r="O158" s="143">
        <f>L158-K158</f>
        <v/>
      </c>
      <c r="P158" s="170" t="n"/>
      <c r="Q158" s="170" t="n"/>
      <c r="R158" s="170" t="n"/>
      <c r="S158" s="170" t="n"/>
      <c r="T158" s="170" t="n"/>
      <c r="U158" s="170" t="n"/>
      <c r="V158" s="161">
        <f>SUMPRODUCT(('Full month Pivot'!$B$3:$B$300=$B158)*('Full month Pivot'!$C$3:$C$300=$A$130)*('Full month Pivot'!$D$2:$K$2=V$2)*'Full month Pivot'!$D$3:$K$300)</f>
        <v/>
      </c>
      <c r="W158" s="161">
        <f>SUMPRODUCT(('Full month Pivot'!$B$3:$B$300=$B158)*('Full month Pivot'!$C$3:$C$300=$A$130)*('Full month Pivot'!$D$2:$K$2=W$2)*'Full month Pivot'!$D$3:$K$300)</f>
        <v/>
      </c>
      <c r="X158" s="161">
        <f>SUMPRODUCT(('Full month Pivot'!$B$3:$B$300=$B158)*('Full month Pivot'!$C$3:$C$300=$A$130)*('Full month Pivot'!$D$2:$K$2=X$2)*'Full month Pivot'!$D$3:$K$300)</f>
        <v/>
      </c>
      <c r="Y158" s="161">
        <f>SUMPRODUCT(('Full month Pivot'!$B$3:$B$300=$B158)*('Full month Pivot'!$C$3:$C$300=$A$130)*('Full month Pivot'!$D$2:$K$2=Y$2)*'Full month Pivot'!$D$3:$K$300)</f>
        <v/>
      </c>
      <c r="Z158" s="161">
        <f>SUMPRODUCT(('Full month Pivot'!$B$3:$B$300=$B158)*('Full month Pivot'!$C$3:$C$300=$A$130)*('Full month Pivot'!$D$2:$K$2=Z$2)*'Full month Pivot'!$D$3:$K$300)</f>
        <v/>
      </c>
      <c r="AA158" s="161">
        <f>SUMPRODUCT(('Full month Pivot'!$B$3:$B$300=$B158)*('Full month Pivot'!$C$3:$C$300=$A$130)*('Full month Pivot'!$D$2:$K$2=AA$2)*'Full month Pivot'!$D$3:$K$300)</f>
        <v/>
      </c>
      <c r="AB158" s="161" t="n"/>
      <c r="AC158" s="161" t="n"/>
      <c r="AD158" s="143">
        <f>AA158-Z158</f>
        <v/>
      </c>
      <c r="AE158" s="170" t="n"/>
      <c r="AF158" s="170" t="n"/>
      <c r="AG158" s="170" t="n"/>
      <c r="AH158" s="170" t="n"/>
      <c r="AI158" s="170" t="n"/>
      <c r="AJ158" s="170" t="n"/>
    </row>
    <row r="159" hidden="1" outlineLevel="1" ht="15.75" customHeight="1" s="239">
      <c r="A159" s="170" t="n"/>
      <c r="B159" s="170" t="inlineStr">
        <is>
          <t>P2P</t>
        </is>
      </c>
      <c r="C159" s="170" t="n"/>
      <c r="D159" s="170" t="n"/>
      <c r="E159" s="170" t="n"/>
      <c r="F159" s="170" t="n"/>
      <c r="G159" s="161">
        <f>SUMPRODUCT(('MTD Pivot'!$B$3:$B$300=$B159)*('MTD Pivot'!$C$3:$C$300=$A$130)*('MTD Pivot'!$D$2:$K$2=G$2)*'MTD Pivot'!$D$3:$K$300)</f>
        <v/>
      </c>
      <c r="H159" s="161">
        <f>SUMPRODUCT(('MTD Pivot'!$B$3:$B$300=$B159)*('MTD Pivot'!$C$3:$C$300=$A$130)*('MTD Pivot'!$D$2:$K$2=H$2)*'MTD Pivot'!$D$3:$K$300)</f>
        <v/>
      </c>
      <c r="I159" s="161">
        <f>SUMPRODUCT(('MTD Pivot'!$B$3:$B$300=$B159)*('MTD Pivot'!$C$3:$C$300=$A$130)*('MTD Pivot'!$D$2:$K$2=I$2)*'MTD Pivot'!$D$3:$K$300)</f>
        <v/>
      </c>
      <c r="J159" s="161">
        <f>SUMPRODUCT(('MTD Pivot'!$B$3:$B$300=$B159)*('MTD Pivot'!$C$3:$C$300=$A$130)*('MTD Pivot'!$D$2:$K$2=J$2)*'MTD Pivot'!$D$3:$K$300)</f>
        <v/>
      </c>
      <c r="K159" s="161">
        <f>SUMPRODUCT(('MTD Pivot'!$B$3:$B$300=$B159)*('MTD Pivot'!$C$3:$C$300=$A$130)*('MTD Pivot'!$D$2:$K$2=K$2)*'MTD Pivot'!$D$3:$K$300)</f>
        <v/>
      </c>
      <c r="L159" s="161">
        <f>SUMPRODUCT(('MTD Pivot'!$B$3:$B$300=$B159)*('MTD Pivot'!$C$3:$C$300=$A$130)*('MTD Pivot'!$D$2:$K$2=L$2)*'MTD Pivot'!$D$3:$K$300)</f>
        <v/>
      </c>
      <c r="M159" s="161" t="n"/>
      <c r="N159" s="161" t="n"/>
      <c r="O159" s="143">
        <f>L159-K159</f>
        <v/>
      </c>
      <c r="P159" s="170" t="n"/>
      <c r="Q159" s="170" t="n"/>
      <c r="R159" s="170" t="n"/>
      <c r="S159" s="170" t="n"/>
      <c r="T159" s="170" t="n"/>
      <c r="U159" s="170" t="n"/>
      <c r="V159" s="161">
        <f>SUMPRODUCT(('Full month Pivot'!$B$3:$B$300=$B159)*('Full month Pivot'!$C$3:$C$300=$A$130)*('Full month Pivot'!$D$2:$K$2=V$2)*'Full month Pivot'!$D$3:$K$300)</f>
        <v/>
      </c>
      <c r="W159" s="161">
        <f>SUMPRODUCT(('Full month Pivot'!$B$3:$B$300=$B159)*('Full month Pivot'!$C$3:$C$300=$A$130)*('Full month Pivot'!$D$2:$K$2=W$2)*'Full month Pivot'!$D$3:$K$300)</f>
        <v/>
      </c>
      <c r="X159" s="161">
        <f>SUMPRODUCT(('Full month Pivot'!$B$3:$B$300=$B159)*('Full month Pivot'!$C$3:$C$300=$A$130)*('Full month Pivot'!$D$2:$K$2=X$2)*'Full month Pivot'!$D$3:$K$300)</f>
        <v/>
      </c>
      <c r="Y159" s="161">
        <f>SUMPRODUCT(('Full month Pivot'!$B$3:$B$300=$B159)*('Full month Pivot'!$C$3:$C$300=$A$130)*('Full month Pivot'!$D$2:$K$2=Y$2)*'Full month Pivot'!$D$3:$K$300)</f>
        <v/>
      </c>
      <c r="Z159" s="161">
        <f>SUMPRODUCT(('Full month Pivot'!$B$3:$B$300=$B159)*('Full month Pivot'!$C$3:$C$300=$A$130)*('Full month Pivot'!$D$2:$K$2=Z$2)*'Full month Pivot'!$D$3:$K$300)</f>
        <v/>
      </c>
      <c r="AA159" s="161">
        <f>SUMPRODUCT(('Full month Pivot'!$B$3:$B$300=$B159)*('Full month Pivot'!$C$3:$C$300=$A$130)*('Full month Pivot'!$D$2:$K$2=AA$2)*'Full month Pivot'!$D$3:$K$300)</f>
        <v/>
      </c>
      <c r="AB159" s="161" t="n"/>
      <c r="AC159" s="161" t="n"/>
      <c r="AD159" s="143">
        <f>AA159-Z159</f>
        <v/>
      </c>
      <c r="AE159" s="170" t="n"/>
      <c r="AF159" s="170" t="n"/>
      <c r="AG159" s="170" t="n"/>
      <c r="AH159" s="170" t="n"/>
      <c r="AI159" s="170" t="n"/>
      <c r="AJ159" s="170" t="n"/>
    </row>
    <row r="160" hidden="1" outlineLevel="1" ht="15.75" customHeight="1" s="239">
      <c r="A160" s="170" t="n"/>
      <c r="B160" s="170" t="inlineStr">
        <is>
          <t>Điện</t>
        </is>
      </c>
      <c r="C160" s="170" t="n"/>
      <c r="D160" s="170" t="n"/>
      <c r="E160" s="170" t="n"/>
      <c r="F160" s="170" t="n"/>
      <c r="G160" s="161">
        <f>SUMPRODUCT(('MTD Pivot'!$B$3:$B$300=$B160)*('MTD Pivot'!$C$3:$C$300=$A$130)*('MTD Pivot'!$D$2:$K$2=G$2)*'MTD Pivot'!$D$3:$K$300)</f>
        <v/>
      </c>
      <c r="H160" s="161">
        <f>SUMPRODUCT(('MTD Pivot'!$B$3:$B$300=$B160)*('MTD Pivot'!$C$3:$C$300=$A$130)*('MTD Pivot'!$D$2:$K$2=H$2)*'MTD Pivot'!$D$3:$K$300)</f>
        <v/>
      </c>
      <c r="I160" s="161">
        <f>SUMPRODUCT(('MTD Pivot'!$B$3:$B$300=$B160)*('MTD Pivot'!$C$3:$C$300=$A$130)*('MTD Pivot'!$D$2:$K$2=I$2)*'MTD Pivot'!$D$3:$K$300)</f>
        <v/>
      </c>
      <c r="J160" s="161">
        <f>SUMPRODUCT(('MTD Pivot'!$B$3:$B$300=$B160)*('MTD Pivot'!$C$3:$C$300=$A$130)*('MTD Pivot'!$D$2:$K$2=J$2)*'MTD Pivot'!$D$3:$K$300)</f>
        <v/>
      </c>
      <c r="K160" s="161">
        <f>SUMPRODUCT(('MTD Pivot'!$B$3:$B$300=$B160)*('MTD Pivot'!$C$3:$C$300=$A$130)*('MTD Pivot'!$D$2:$K$2=K$2)*'MTD Pivot'!$D$3:$K$300)</f>
        <v/>
      </c>
      <c r="L160" s="161">
        <f>SUMPRODUCT(('MTD Pivot'!$B$3:$B$300=$B160)*('MTD Pivot'!$C$3:$C$300=$A$130)*('MTD Pivot'!$D$2:$K$2=L$2)*'MTD Pivot'!$D$3:$K$300)</f>
        <v/>
      </c>
      <c r="M160" s="161" t="n"/>
      <c r="N160" s="161" t="n"/>
      <c r="O160" s="143">
        <f>L160-K160</f>
        <v/>
      </c>
      <c r="P160" s="170" t="n"/>
      <c r="Q160" s="170" t="n"/>
      <c r="R160" s="170" t="n"/>
      <c r="S160" s="170" t="n"/>
      <c r="T160" s="170" t="n"/>
      <c r="U160" s="170" t="n"/>
      <c r="V160" s="161">
        <f>SUMPRODUCT(('Full month Pivot'!$B$3:$B$300=$B160)*('Full month Pivot'!$C$3:$C$300=$A$130)*('Full month Pivot'!$D$2:$K$2=V$2)*'Full month Pivot'!$D$3:$K$300)</f>
        <v/>
      </c>
      <c r="W160" s="161">
        <f>SUMPRODUCT(('Full month Pivot'!$B$3:$B$300=$B160)*('Full month Pivot'!$C$3:$C$300=$A$130)*('Full month Pivot'!$D$2:$K$2=W$2)*'Full month Pivot'!$D$3:$K$300)</f>
        <v/>
      </c>
      <c r="X160" s="161">
        <f>SUMPRODUCT(('Full month Pivot'!$B$3:$B$300=$B160)*('Full month Pivot'!$C$3:$C$300=$A$130)*('Full month Pivot'!$D$2:$K$2=X$2)*'Full month Pivot'!$D$3:$K$300)</f>
        <v/>
      </c>
      <c r="Y160" s="161">
        <f>SUMPRODUCT(('Full month Pivot'!$B$3:$B$300=$B160)*('Full month Pivot'!$C$3:$C$300=$A$130)*('Full month Pivot'!$D$2:$K$2=Y$2)*'Full month Pivot'!$D$3:$K$300)</f>
        <v/>
      </c>
      <c r="Z160" s="161">
        <f>SUMPRODUCT(('Full month Pivot'!$B$3:$B$300=$B160)*('Full month Pivot'!$C$3:$C$300=$A$130)*('Full month Pivot'!$D$2:$K$2=Z$2)*'Full month Pivot'!$D$3:$K$300)</f>
        <v/>
      </c>
      <c r="AA160" s="161">
        <f>SUMPRODUCT(('Full month Pivot'!$B$3:$B$300=$B160)*('Full month Pivot'!$C$3:$C$300=$A$130)*('Full month Pivot'!$D$2:$K$2=AA$2)*'Full month Pivot'!$D$3:$K$300)</f>
        <v/>
      </c>
      <c r="AB160" s="161" t="n"/>
      <c r="AC160" s="161" t="n"/>
      <c r="AD160" s="143">
        <f>AA160-Z160</f>
        <v/>
      </c>
      <c r="AE160" s="170" t="n"/>
      <c r="AF160" s="170" t="n"/>
      <c r="AG160" s="170" t="n"/>
      <c r="AH160" s="170" t="n"/>
      <c r="AI160" s="170" t="n"/>
      <c r="AJ160" s="170" t="n"/>
    </row>
    <row r="161" hidden="1" outlineLevel="1" ht="15.75" customHeight="1" s="239">
      <c r="A161" s="170" t="n"/>
      <c r="B161" s="170" t="inlineStr">
        <is>
          <t>Cross Border</t>
        </is>
      </c>
      <c r="C161" s="170" t="n"/>
      <c r="D161" s="170" t="n"/>
      <c r="E161" s="170" t="n"/>
      <c r="F161" s="170" t="n"/>
      <c r="G161" s="161">
        <f>SUMPRODUCT(('MTD Pivot'!$B$3:$B$300=$B161)*('MTD Pivot'!$C$3:$C$300=$A$130)*('MTD Pivot'!$D$2:$K$2=G$2)*'MTD Pivot'!$D$3:$K$300)</f>
        <v/>
      </c>
      <c r="H161" s="161">
        <f>SUMPRODUCT(('MTD Pivot'!$B$3:$B$300=$B161)*('MTD Pivot'!$C$3:$C$300=$A$130)*('MTD Pivot'!$D$2:$K$2=H$2)*'MTD Pivot'!$D$3:$K$300)</f>
        <v/>
      </c>
      <c r="I161" s="161">
        <f>SUMPRODUCT(('MTD Pivot'!$B$3:$B$300=$B161)*('MTD Pivot'!$C$3:$C$300=$A$130)*('MTD Pivot'!$D$2:$K$2=I$2)*'MTD Pivot'!$D$3:$K$300)</f>
        <v/>
      </c>
      <c r="J161" s="161">
        <f>SUMPRODUCT(('MTD Pivot'!$B$3:$B$300=$B161)*('MTD Pivot'!$C$3:$C$300=$A$130)*('MTD Pivot'!$D$2:$K$2=J$2)*'MTD Pivot'!$D$3:$K$300)</f>
        <v/>
      </c>
      <c r="K161" s="161">
        <f>SUMPRODUCT(('MTD Pivot'!$B$3:$B$300=$B161)*('MTD Pivot'!$C$3:$C$300=$A$130)*('MTD Pivot'!$D$2:$K$2=K$2)*'MTD Pivot'!$D$3:$K$300)</f>
        <v/>
      </c>
      <c r="L161" s="161">
        <f>SUMPRODUCT(('MTD Pivot'!$B$3:$B$300=$B161)*('MTD Pivot'!$C$3:$C$300=$A$130)*('MTD Pivot'!$D$2:$K$2=L$2)*'MTD Pivot'!$D$3:$K$300)</f>
        <v/>
      </c>
      <c r="M161" s="161" t="n"/>
      <c r="N161" s="161" t="n"/>
      <c r="O161" s="143">
        <f>L161-K161</f>
        <v/>
      </c>
      <c r="P161" s="170" t="n"/>
      <c r="Q161" s="170" t="n"/>
      <c r="R161" s="170" t="n"/>
      <c r="S161" s="170" t="n"/>
      <c r="T161" s="170" t="n"/>
      <c r="U161" s="170" t="n"/>
      <c r="V161" s="161">
        <f>SUMPRODUCT(('Full month Pivot'!$B$3:$B$300=$B161)*('Full month Pivot'!$C$3:$C$300=$A$130)*('Full month Pivot'!$D$2:$K$2=V$2)*'Full month Pivot'!$D$3:$K$300)</f>
        <v/>
      </c>
      <c r="W161" s="161">
        <f>SUMPRODUCT(('Full month Pivot'!$B$3:$B$300=$B161)*('Full month Pivot'!$C$3:$C$300=$A$130)*('Full month Pivot'!$D$2:$K$2=W$2)*'Full month Pivot'!$D$3:$K$300)</f>
        <v/>
      </c>
      <c r="X161" s="161">
        <f>SUMPRODUCT(('Full month Pivot'!$B$3:$B$300=$B161)*('Full month Pivot'!$C$3:$C$300=$A$130)*('Full month Pivot'!$D$2:$K$2=X$2)*'Full month Pivot'!$D$3:$K$300)</f>
        <v/>
      </c>
      <c r="Y161" s="161">
        <f>SUMPRODUCT(('Full month Pivot'!$B$3:$B$300=$B161)*('Full month Pivot'!$C$3:$C$300=$A$130)*('Full month Pivot'!$D$2:$K$2=Y$2)*'Full month Pivot'!$D$3:$K$300)</f>
        <v/>
      </c>
      <c r="Z161" s="161">
        <f>SUMPRODUCT(('Full month Pivot'!$B$3:$B$300=$B161)*('Full month Pivot'!$C$3:$C$300=$A$130)*('Full month Pivot'!$D$2:$K$2=Z$2)*'Full month Pivot'!$D$3:$K$300)</f>
        <v/>
      </c>
      <c r="AA161" s="161">
        <f>SUMPRODUCT(('Full month Pivot'!$B$3:$B$300=$B161)*('Full month Pivot'!$C$3:$C$300=$A$130)*('Full month Pivot'!$D$2:$K$2=AA$2)*'Full month Pivot'!$D$3:$K$300)</f>
        <v/>
      </c>
      <c r="AB161" s="161" t="n"/>
      <c r="AC161" s="161" t="n"/>
      <c r="AD161" s="143">
        <f>AA161-Z161</f>
        <v/>
      </c>
      <c r="AE161" s="170" t="n"/>
      <c r="AF161" s="170" t="n"/>
      <c r="AG161" s="170" t="n"/>
      <c r="AH161" s="170" t="n"/>
      <c r="AI161" s="170" t="n"/>
      <c r="AJ161" s="170" t="n"/>
    </row>
    <row r="162" hidden="1" outlineLevel="1" ht="15.75" customHeight="1" s="239">
      <c r="A162" s="170" t="n"/>
      <c r="B162" s="170" t="inlineStr">
        <is>
          <t>Hoàn Tiền Mua Sắm</t>
        </is>
      </c>
      <c r="C162" s="170" t="n"/>
      <c r="D162" s="170" t="n"/>
      <c r="E162" s="170" t="n"/>
      <c r="F162" s="170" t="n"/>
      <c r="G162" s="161">
        <f>SUMPRODUCT(('MTD Pivot'!$B$3:$B$300=$B162)*('MTD Pivot'!$C$3:$C$300=$A$130)*('MTD Pivot'!$D$2:$K$2=G$2)*'MTD Pivot'!$D$3:$K$300)</f>
        <v/>
      </c>
      <c r="H162" s="161">
        <f>SUMPRODUCT(('MTD Pivot'!$B$3:$B$300=$B162)*('MTD Pivot'!$C$3:$C$300=$A$130)*('MTD Pivot'!$D$2:$K$2=H$2)*'MTD Pivot'!$D$3:$K$300)</f>
        <v/>
      </c>
      <c r="I162" s="161">
        <f>SUMPRODUCT(('MTD Pivot'!$B$3:$B$300=$B162)*('MTD Pivot'!$C$3:$C$300=$A$130)*('MTD Pivot'!$D$2:$K$2=I$2)*'MTD Pivot'!$D$3:$K$300)</f>
        <v/>
      </c>
      <c r="J162" s="161">
        <f>SUMPRODUCT(('MTD Pivot'!$B$3:$B$300=$B162)*('MTD Pivot'!$C$3:$C$300=$A$130)*('MTD Pivot'!$D$2:$K$2=J$2)*'MTD Pivot'!$D$3:$K$300)</f>
        <v/>
      </c>
      <c r="K162" s="161">
        <f>SUMPRODUCT(('MTD Pivot'!$B$3:$B$300=$B162)*('MTD Pivot'!$C$3:$C$300=$A$130)*('MTD Pivot'!$D$2:$K$2=K$2)*'MTD Pivot'!$D$3:$K$300)</f>
        <v/>
      </c>
      <c r="L162" s="161">
        <f>SUMPRODUCT(('MTD Pivot'!$B$3:$B$300=$B162)*('MTD Pivot'!$C$3:$C$300=$A$130)*('MTD Pivot'!$D$2:$K$2=L$2)*'MTD Pivot'!$D$3:$K$300)</f>
        <v/>
      </c>
      <c r="M162" s="161" t="n"/>
      <c r="N162" s="161" t="n"/>
      <c r="O162" s="143">
        <f>L162-K162</f>
        <v/>
      </c>
      <c r="P162" s="170" t="n"/>
      <c r="Q162" s="170" t="n"/>
      <c r="R162" s="170" t="n"/>
      <c r="S162" s="170" t="n"/>
      <c r="T162" s="170" t="n"/>
      <c r="U162" s="170" t="n"/>
      <c r="V162" s="161">
        <f>SUMPRODUCT(('Full month Pivot'!$B$3:$B$300=$B162)*('Full month Pivot'!$C$3:$C$300=$A$130)*('Full month Pivot'!$D$2:$K$2=V$2)*'Full month Pivot'!$D$3:$K$300)</f>
        <v/>
      </c>
      <c r="W162" s="161">
        <f>SUMPRODUCT(('Full month Pivot'!$B$3:$B$300=$B162)*('Full month Pivot'!$C$3:$C$300=$A$130)*('Full month Pivot'!$D$2:$K$2=W$2)*'Full month Pivot'!$D$3:$K$300)</f>
        <v/>
      </c>
      <c r="X162" s="161">
        <f>SUMPRODUCT(('Full month Pivot'!$B$3:$B$300=$B162)*('Full month Pivot'!$C$3:$C$300=$A$130)*('Full month Pivot'!$D$2:$K$2=X$2)*'Full month Pivot'!$D$3:$K$300)</f>
        <v/>
      </c>
      <c r="Y162" s="161">
        <f>SUMPRODUCT(('Full month Pivot'!$B$3:$B$300=$B162)*('Full month Pivot'!$C$3:$C$300=$A$130)*('Full month Pivot'!$D$2:$K$2=Y$2)*'Full month Pivot'!$D$3:$K$300)</f>
        <v/>
      </c>
      <c r="Z162" s="161">
        <f>SUMPRODUCT(('Full month Pivot'!$B$3:$B$300=$B162)*('Full month Pivot'!$C$3:$C$300=$A$130)*('Full month Pivot'!$D$2:$K$2=Z$2)*'Full month Pivot'!$D$3:$K$300)</f>
        <v/>
      </c>
      <c r="AA162" s="161">
        <f>SUMPRODUCT(('Full month Pivot'!$B$3:$B$300=$B162)*('Full month Pivot'!$C$3:$C$300=$A$130)*('Full month Pivot'!$D$2:$K$2=AA$2)*'Full month Pivot'!$D$3:$K$300)</f>
        <v/>
      </c>
      <c r="AB162" s="161" t="n"/>
      <c r="AC162" s="161" t="n"/>
      <c r="AD162" s="143">
        <f>AA162-Z162</f>
        <v/>
      </c>
      <c r="AE162" s="170" t="n"/>
      <c r="AF162" s="170" t="n"/>
      <c r="AG162" s="170" t="n"/>
      <c r="AH162" s="170" t="n"/>
      <c r="AI162" s="170" t="n"/>
      <c r="AJ162" s="170" t="n"/>
    </row>
    <row r="163" hidden="1" outlineLevel="1" ht="15.75" customHeight="1" s="239">
      <c r="A163" s="170" t="n"/>
      <c r="B163" s="170" t="inlineStr">
        <is>
          <t>Mở tài khoản ngân hàng</t>
        </is>
      </c>
      <c r="C163" s="170" t="n"/>
      <c r="D163" s="170" t="n"/>
      <c r="E163" s="170" t="n"/>
      <c r="F163" s="170" t="n"/>
      <c r="G163" s="161">
        <f>SUMPRODUCT(('MTD Pivot'!$B$3:$B$300=$B163)*('MTD Pivot'!$C$3:$C$300=$A$130)*('MTD Pivot'!$D$2:$K$2=G$2)*'MTD Pivot'!$D$3:$K$300)</f>
        <v/>
      </c>
      <c r="H163" s="161">
        <f>SUMPRODUCT(('MTD Pivot'!$B$3:$B$300=$B163)*('MTD Pivot'!$C$3:$C$300=$A$130)*('MTD Pivot'!$D$2:$K$2=H$2)*'MTD Pivot'!$D$3:$K$300)</f>
        <v/>
      </c>
      <c r="I163" s="161">
        <f>SUMPRODUCT(('MTD Pivot'!$B$3:$B$300=$B163)*('MTD Pivot'!$C$3:$C$300=$A$130)*('MTD Pivot'!$D$2:$K$2=I$2)*'MTD Pivot'!$D$3:$K$300)</f>
        <v/>
      </c>
      <c r="J163" s="161">
        <f>SUMPRODUCT(('MTD Pivot'!$B$3:$B$300=$B163)*('MTD Pivot'!$C$3:$C$300=$A$130)*('MTD Pivot'!$D$2:$K$2=J$2)*'MTD Pivot'!$D$3:$K$300)</f>
        <v/>
      </c>
      <c r="K163" s="161">
        <f>SUMPRODUCT(('MTD Pivot'!$B$3:$B$300=$B163)*('MTD Pivot'!$C$3:$C$300=$A$130)*('MTD Pivot'!$D$2:$K$2=K$2)*'MTD Pivot'!$D$3:$K$300)</f>
        <v/>
      </c>
      <c r="L163" s="161">
        <f>SUMPRODUCT(('MTD Pivot'!$B$3:$B$300=$B163)*('MTD Pivot'!$C$3:$C$300=$A$130)*('MTD Pivot'!$D$2:$K$2=L$2)*'MTD Pivot'!$D$3:$K$300)</f>
        <v/>
      </c>
      <c r="M163" s="161" t="n"/>
      <c r="N163" s="161" t="n"/>
      <c r="O163" s="143">
        <f>L163-K163</f>
        <v/>
      </c>
      <c r="P163" s="170" t="n"/>
      <c r="Q163" s="170" t="n"/>
      <c r="R163" s="170" t="n"/>
      <c r="S163" s="170" t="n"/>
      <c r="T163" s="170" t="n"/>
      <c r="U163" s="170" t="n"/>
      <c r="V163" s="161">
        <f>SUMPRODUCT(('Full month Pivot'!$B$3:$B$300=$B163)*('Full month Pivot'!$C$3:$C$300=$A$130)*('Full month Pivot'!$D$2:$K$2=V$2)*'Full month Pivot'!$D$3:$K$300)</f>
        <v/>
      </c>
      <c r="W163" s="161">
        <f>SUMPRODUCT(('Full month Pivot'!$B$3:$B$300=$B163)*('Full month Pivot'!$C$3:$C$300=$A$130)*('Full month Pivot'!$D$2:$K$2=W$2)*'Full month Pivot'!$D$3:$K$300)</f>
        <v/>
      </c>
      <c r="X163" s="161">
        <f>SUMPRODUCT(('Full month Pivot'!$B$3:$B$300=$B163)*('Full month Pivot'!$C$3:$C$300=$A$130)*('Full month Pivot'!$D$2:$K$2=X$2)*'Full month Pivot'!$D$3:$K$300)</f>
        <v/>
      </c>
      <c r="Y163" s="161">
        <f>SUMPRODUCT(('Full month Pivot'!$B$3:$B$300=$B163)*('Full month Pivot'!$C$3:$C$300=$A$130)*('Full month Pivot'!$D$2:$K$2=Y$2)*'Full month Pivot'!$D$3:$K$300)</f>
        <v/>
      </c>
      <c r="Z163" s="161">
        <f>SUMPRODUCT(('Full month Pivot'!$B$3:$B$300=$B163)*('Full month Pivot'!$C$3:$C$300=$A$130)*('Full month Pivot'!$D$2:$K$2=Z$2)*'Full month Pivot'!$D$3:$K$300)</f>
        <v/>
      </c>
      <c r="AA163" s="161">
        <f>SUMPRODUCT(('Full month Pivot'!$B$3:$B$300=$B163)*('Full month Pivot'!$C$3:$C$300=$A$130)*('Full month Pivot'!$D$2:$K$2=AA$2)*'Full month Pivot'!$D$3:$K$300)</f>
        <v/>
      </c>
      <c r="AB163" s="161" t="n"/>
      <c r="AC163" s="161" t="n"/>
      <c r="AD163" s="143">
        <f>AA163-Z163</f>
        <v/>
      </c>
      <c r="AE163" s="170" t="n"/>
      <c r="AF163" s="170" t="n"/>
      <c r="AG163" s="170" t="n"/>
      <c r="AH163" s="170" t="n"/>
      <c r="AI163" s="170" t="n"/>
      <c r="AJ163" s="170" t="n"/>
    </row>
    <row r="164" hidden="1" outlineLevel="1" ht="15.75" customHeight="1" s="239">
      <c r="A164" s="170" t="n"/>
      <c r="B164" s="170" t="inlineStr">
        <is>
          <t>Student Hub</t>
        </is>
      </c>
      <c r="C164" s="170" t="n"/>
      <c r="D164" s="170" t="n"/>
      <c r="E164" s="170" t="n"/>
      <c r="F164" s="170" t="n"/>
      <c r="G164" s="161">
        <f>SUMPRODUCT(('MTD Pivot'!$B$3:$B$300=$B164)*('MTD Pivot'!$C$3:$C$300=$A$130)*('MTD Pivot'!$D$2:$K$2=G$2)*'MTD Pivot'!$D$3:$K$300)</f>
        <v/>
      </c>
      <c r="H164" s="161">
        <f>SUMPRODUCT(('MTD Pivot'!$B$3:$B$300=$B164)*('MTD Pivot'!$C$3:$C$300=$A$130)*('MTD Pivot'!$D$2:$K$2=H$2)*'MTD Pivot'!$D$3:$K$300)</f>
        <v/>
      </c>
      <c r="I164" s="161">
        <f>SUMPRODUCT(('MTD Pivot'!$B$3:$B$300=$B164)*('MTD Pivot'!$C$3:$C$300=$A$130)*('MTD Pivot'!$D$2:$K$2=I$2)*'MTD Pivot'!$D$3:$K$300)</f>
        <v/>
      </c>
      <c r="J164" s="161">
        <f>SUMPRODUCT(('MTD Pivot'!$B$3:$B$300=$B164)*('MTD Pivot'!$C$3:$C$300=$A$130)*('MTD Pivot'!$D$2:$K$2=J$2)*'MTD Pivot'!$D$3:$K$300)</f>
        <v/>
      </c>
      <c r="K164" s="161">
        <f>SUMPRODUCT(('MTD Pivot'!$B$3:$B$300=$B164)*('MTD Pivot'!$C$3:$C$300=$A$130)*('MTD Pivot'!$D$2:$K$2=K$2)*'MTD Pivot'!$D$3:$K$300)</f>
        <v/>
      </c>
      <c r="L164" s="161">
        <f>SUMPRODUCT(('MTD Pivot'!$B$3:$B$300=$B164)*('MTD Pivot'!$C$3:$C$300=$A$130)*('MTD Pivot'!$D$2:$K$2=L$2)*'MTD Pivot'!$D$3:$K$300)</f>
        <v/>
      </c>
      <c r="M164" s="161" t="n"/>
      <c r="N164" s="161" t="n"/>
      <c r="O164" s="143">
        <f>L164-K164</f>
        <v/>
      </c>
      <c r="P164" s="170" t="n"/>
      <c r="Q164" s="170" t="n"/>
      <c r="R164" s="170" t="n"/>
      <c r="S164" s="170" t="n"/>
      <c r="T164" s="170" t="n"/>
      <c r="U164" s="170" t="n"/>
      <c r="V164" s="161">
        <f>SUMPRODUCT(('Full month Pivot'!$B$3:$B$300=$B164)*('Full month Pivot'!$C$3:$C$300=$A$130)*('Full month Pivot'!$D$2:$K$2=V$2)*'Full month Pivot'!$D$3:$K$300)</f>
        <v/>
      </c>
      <c r="W164" s="161">
        <f>SUMPRODUCT(('Full month Pivot'!$B$3:$B$300=$B164)*('Full month Pivot'!$C$3:$C$300=$A$130)*('Full month Pivot'!$D$2:$K$2=W$2)*'Full month Pivot'!$D$3:$K$300)</f>
        <v/>
      </c>
      <c r="X164" s="161">
        <f>SUMPRODUCT(('Full month Pivot'!$B$3:$B$300=$B164)*('Full month Pivot'!$C$3:$C$300=$A$130)*('Full month Pivot'!$D$2:$K$2=X$2)*'Full month Pivot'!$D$3:$K$300)</f>
        <v/>
      </c>
      <c r="Y164" s="161">
        <f>SUMPRODUCT(('Full month Pivot'!$B$3:$B$300=$B164)*('Full month Pivot'!$C$3:$C$300=$A$130)*('Full month Pivot'!$D$2:$K$2=Y$2)*'Full month Pivot'!$D$3:$K$300)</f>
        <v/>
      </c>
      <c r="Z164" s="161">
        <f>SUMPRODUCT(('Full month Pivot'!$B$3:$B$300=$B164)*('Full month Pivot'!$C$3:$C$300=$A$130)*('Full month Pivot'!$D$2:$K$2=Z$2)*'Full month Pivot'!$D$3:$K$300)</f>
        <v/>
      </c>
      <c r="AA164" s="161">
        <f>SUMPRODUCT(('Full month Pivot'!$B$3:$B$300=$B164)*('Full month Pivot'!$C$3:$C$300=$A$130)*('Full month Pivot'!$D$2:$K$2=AA$2)*'Full month Pivot'!$D$3:$K$300)</f>
        <v/>
      </c>
      <c r="AB164" s="161" t="n"/>
      <c r="AC164" s="161" t="n"/>
      <c r="AD164" s="143">
        <f>AA164-Z164</f>
        <v/>
      </c>
      <c r="AE164" s="170" t="n"/>
      <c r="AF164" s="170" t="n"/>
      <c r="AG164" s="170" t="n"/>
      <c r="AH164" s="170" t="n"/>
      <c r="AI164" s="170" t="n"/>
      <c r="AJ164" s="170" t="n"/>
    </row>
    <row r="165" hidden="1" outlineLevel="1" ht="15.75" customHeight="1" s="239">
      <c r="A165" s="170" t="n"/>
      <c r="B165" s="170" t="inlineStr">
        <is>
          <t>Tiện ích giao thông</t>
        </is>
      </c>
      <c r="C165" s="170" t="n"/>
      <c r="D165" s="170" t="n"/>
      <c r="E165" s="170" t="n"/>
      <c r="F165" s="170" t="n"/>
      <c r="G165" s="161">
        <f>SUMPRODUCT(('MTD Pivot'!$B$3:$B$300=$B165)*('MTD Pivot'!$C$3:$C$300=$A$130)*('MTD Pivot'!$D$2:$K$2=G$2)*'MTD Pivot'!$D$3:$K$300)</f>
        <v/>
      </c>
      <c r="H165" s="161">
        <f>SUMPRODUCT(('MTD Pivot'!$B$3:$B$300=$B165)*('MTD Pivot'!$C$3:$C$300=$A$130)*('MTD Pivot'!$D$2:$K$2=H$2)*'MTD Pivot'!$D$3:$K$300)</f>
        <v/>
      </c>
      <c r="I165" s="161">
        <f>SUMPRODUCT(('MTD Pivot'!$B$3:$B$300=$B165)*('MTD Pivot'!$C$3:$C$300=$A$130)*('MTD Pivot'!$D$2:$K$2=I$2)*'MTD Pivot'!$D$3:$K$300)</f>
        <v/>
      </c>
      <c r="J165" s="161">
        <f>SUMPRODUCT(('MTD Pivot'!$B$3:$B$300=$B165)*('MTD Pivot'!$C$3:$C$300=$A$130)*('MTD Pivot'!$D$2:$K$2=J$2)*'MTD Pivot'!$D$3:$K$300)</f>
        <v/>
      </c>
      <c r="K165" s="161">
        <f>SUMPRODUCT(('MTD Pivot'!$B$3:$B$300=$B165)*('MTD Pivot'!$C$3:$C$300=$A$130)*('MTD Pivot'!$D$2:$K$2=K$2)*'MTD Pivot'!$D$3:$K$300)</f>
        <v/>
      </c>
      <c r="L165" s="161">
        <f>SUMPRODUCT(('MTD Pivot'!$B$3:$B$300=$B165)*('MTD Pivot'!$C$3:$C$300=$A$130)*('MTD Pivot'!$D$2:$K$2=L$2)*'MTD Pivot'!$D$3:$K$300)</f>
        <v/>
      </c>
      <c r="M165" s="161" t="n"/>
      <c r="N165" s="161" t="n"/>
      <c r="O165" s="143">
        <f>L165-K165</f>
        <v/>
      </c>
      <c r="P165" s="170" t="n"/>
      <c r="Q165" s="170" t="n"/>
      <c r="R165" s="170" t="n"/>
      <c r="S165" s="170" t="n"/>
      <c r="T165" s="170" t="n"/>
      <c r="U165" s="170" t="n"/>
      <c r="V165" s="161">
        <f>SUMPRODUCT(('Full month Pivot'!$B$3:$B$300=$B165)*('Full month Pivot'!$C$3:$C$300=$A$130)*('Full month Pivot'!$D$2:$K$2=V$2)*'Full month Pivot'!$D$3:$K$300)</f>
        <v/>
      </c>
      <c r="W165" s="161">
        <f>SUMPRODUCT(('Full month Pivot'!$B$3:$B$300=$B165)*('Full month Pivot'!$C$3:$C$300=$A$130)*('Full month Pivot'!$D$2:$K$2=W$2)*'Full month Pivot'!$D$3:$K$300)</f>
        <v/>
      </c>
      <c r="X165" s="161">
        <f>SUMPRODUCT(('Full month Pivot'!$B$3:$B$300=$B165)*('Full month Pivot'!$C$3:$C$300=$A$130)*('Full month Pivot'!$D$2:$K$2=X$2)*'Full month Pivot'!$D$3:$K$300)</f>
        <v/>
      </c>
      <c r="Y165" s="161">
        <f>SUMPRODUCT(('Full month Pivot'!$B$3:$B$300=$B165)*('Full month Pivot'!$C$3:$C$300=$A$130)*('Full month Pivot'!$D$2:$K$2=Y$2)*'Full month Pivot'!$D$3:$K$300)</f>
        <v/>
      </c>
      <c r="Z165" s="161">
        <f>SUMPRODUCT(('Full month Pivot'!$B$3:$B$300=$B165)*('Full month Pivot'!$C$3:$C$300=$A$130)*('Full month Pivot'!$D$2:$K$2=Z$2)*'Full month Pivot'!$D$3:$K$300)</f>
        <v/>
      </c>
      <c r="AA165" s="161">
        <f>SUMPRODUCT(('Full month Pivot'!$B$3:$B$300=$B165)*('Full month Pivot'!$C$3:$C$300=$A$130)*('Full month Pivot'!$D$2:$K$2=AA$2)*'Full month Pivot'!$D$3:$K$300)</f>
        <v/>
      </c>
      <c r="AB165" s="161" t="n"/>
      <c r="AC165" s="161" t="n"/>
      <c r="AD165" s="143">
        <f>AA165-Z165</f>
        <v/>
      </c>
      <c r="AE165" s="170" t="n"/>
      <c r="AF165" s="170" t="n"/>
      <c r="AG165" s="170" t="n"/>
      <c r="AH165" s="170" t="n"/>
      <c r="AI165" s="170" t="n"/>
      <c r="AJ165" s="170" t="n"/>
    </row>
    <row r="166" hidden="1" outlineLevel="1" ht="15.75" customHeight="1" s="239">
      <c r="A166" s="170" t="n"/>
      <c r="B166" s="170" t="inlineStr">
        <is>
          <t>Phí không dừng</t>
        </is>
      </c>
      <c r="C166" s="170" t="n"/>
      <c r="D166" s="170" t="n"/>
      <c r="E166" s="170" t="n"/>
      <c r="F166" s="170" t="n"/>
      <c r="G166" s="161">
        <f>SUMPRODUCT(('MTD Pivot'!$B$3:$B$300=$B166)*('MTD Pivot'!$C$3:$C$300=$A$130)*('MTD Pivot'!$D$2:$K$2=G$2)*'MTD Pivot'!$D$3:$K$300)</f>
        <v/>
      </c>
      <c r="H166" s="161">
        <f>SUMPRODUCT(('MTD Pivot'!$B$3:$B$300=$B166)*('MTD Pivot'!$C$3:$C$300=$A$130)*('MTD Pivot'!$D$2:$K$2=H$2)*'MTD Pivot'!$D$3:$K$300)</f>
        <v/>
      </c>
      <c r="I166" s="161">
        <f>SUMPRODUCT(('MTD Pivot'!$B$3:$B$300=$B166)*('MTD Pivot'!$C$3:$C$300=$A$130)*('MTD Pivot'!$D$2:$K$2=I$2)*'MTD Pivot'!$D$3:$K$300)</f>
        <v/>
      </c>
      <c r="J166" s="161">
        <f>SUMPRODUCT(('MTD Pivot'!$B$3:$B$300=$B166)*('MTD Pivot'!$C$3:$C$300=$A$130)*('MTD Pivot'!$D$2:$K$2=J$2)*'MTD Pivot'!$D$3:$K$300)</f>
        <v/>
      </c>
      <c r="K166" s="161">
        <f>SUMPRODUCT(('MTD Pivot'!$B$3:$B$300=$B166)*('MTD Pivot'!$C$3:$C$300=$A$130)*('MTD Pivot'!$D$2:$K$2=K$2)*'MTD Pivot'!$D$3:$K$300)</f>
        <v/>
      </c>
      <c r="L166" s="161">
        <f>SUMPRODUCT(('MTD Pivot'!$B$3:$B$300=$B166)*('MTD Pivot'!$C$3:$C$300=$A$130)*('MTD Pivot'!$D$2:$K$2=L$2)*'MTD Pivot'!$D$3:$K$300)</f>
        <v/>
      </c>
      <c r="M166" s="161" t="n"/>
      <c r="N166" s="161" t="n"/>
      <c r="O166" s="143">
        <f>L166-K166</f>
        <v/>
      </c>
      <c r="P166" s="170" t="n"/>
      <c r="Q166" s="170" t="n"/>
      <c r="R166" s="170" t="n"/>
      <c r="S166" s="170" t="n"/>
      <c r="T166" s="170" t="n"/>
      <c r="U166" s="170" t="n"/>
      <c r="V166" s="161">
        <f>SUMPRODUCT(('Full month Pivot'!$B$3:$B$300=$B166)*('Full month Pivot'!$C$3:$C$300=$A$130)*('Full month Pivot'!$D$2:$K$2=V$2)*'Full month Pivot'!$D$3:$K$300)</f>
        <v/>
      </c>
      <c r="W166" s="161">
        <f>SUMPRODUCT(('Full month Pivot'!$B$3:$B$300=$B166)*('Full month Pivot'!$C$3:$C$300=$A$130)*('Full month Pivot'!$D$2:$K$2=W$2)*'Full month Pivot'!$D$3:$K$300)</f>
        <v/>
      </c>
      <c r="X166" s="161">
        <f>SUMPRODUCT(('Full month Pivot'!$B$3:$B$300=$B166)*('Full month Pivot'!$C$3:$C$300=$A$130)*('Full month Pivot'!$D$2:$K$2=X$2)*'Full month Pivot'!$D$3:$K$300)</f>
        <v/>
      </c>
      <c r="Y166" s="161">
        <f>SUMPRODUCT(('Full month Pivot'!$B$3:$B$300=$B166)*('Full month Pivot'!$C$3:$C$300=$A$130)*('Full month Pivot'!$D$2:$K$2=Y$2)*'Full month Pivot'!$D$3:$K$300)</f>
        <v/>
      </c>
      <c r="Z166" s="161">
        <f>SUMPRODUCT(('Full month Pivot'!$B$3:$B$300=$B166)*('Full month Pivot'!$C$3:$C$300=$A$130)*('Full month Pivot'!$D$2:$K$2=Z$2)*'Full month Pivot'!$D$3:$K$300)</f>
        <v/>
      </c>
      <c r="AA166" s="161">
        <f>SUMPRODUCT(('Full month Pivot'!$B$3:$B$300=$B166)*('Full month Pivot'!$C$3:$C$300=$A$130)*('Full month Pivot'!$D$2:$K$2=AA$2)*'Full month Pivot'!$D$3:$K$300)</f>
        <v/>
      </c>
      <c r="AB166" s="161" t="n"/>
      <c r="AC166" s="161" t="n"/>
      <c r="AD166" s="143">
        <f>AA166-Z166</f>
        <v/>
      </c>
      <c r="AE166" s="170" t="n"/>
      <c r="AF166" s="170" t="n"/>
      <c r="AG166" s="170" t="n"/>
      <c r="AH166" s="170" t="n"/>
      <c r="AI166" s="170" t="n"/>
      <c r="AJ166" s="170" t="n"/>
    </row>
    <row r="167" hidden="1" outlineLevel="1" ht="15.75" customHeight="1" s="239">
      <c r="A167" s="170" t="n"/>
      <c r="B167" s="170" t="inlineStr">
        <is>
          <t>Tiệm vàng online</t>
        </is>
      </c>
      <c r="C167" s="170" t="n"/>
      <c r="D167" s="170" t="n"/>
      <c r="E167" s="170" t="n"/>
      <c r="F167" s="170" t="n"/>
      <c r="G167" s="161">
        <f>SUMPRODUCT(('MTD Pivot'!$B$3:$B$300=$B167)*('MTD Pivot'!$C$3:$C$300=$A$130)*('MTD Pivot'!$D$2:$K$2=G$2)*'MTD Pivot'!$D$3:$K$300)</f>
        <v/>
      </c>
      <c r="H167" s="161">
        <f>SUMPRODUCT(('MTD Pivot'!$B$3:$B$300=$B167)*('MTD Pivot'!$C$3:$C$300=$A$130)*('MTD Pivot'!$D$2:$K$2=H$2)*'MTD Pivot'!$D$3:$K$300)</f>
        <v/>
      </c>
      <c r="I167" s="161">
        <f>SUMPRODUCT(('MTD Pivot'!$B$3:$B$300=$B167)*('MTD Pivot'!$C$3:$C$300=$A$130)*('MTD Pivot'!$D$2:$K$2=I$2)*'MTD Pivot'!$D$3:$K$300)</f>
        <v/>
      </c>
      <c r="J167" s="161">
        <f>SUMPRODUCT(('MTD Pivot'!$B$3:$B$300=$B167)*('MTD Pivot'!$C$3:$C$300=$A$130)*('MTD Pivot'!$D$2:$K$2=J$2)*'MTD Pivot'!$D$3:$K$300)</f>
        <v/>
      </c>
      <c r="K167" s="161">
        <f>SUMPRODUCT(('MTD Pivot'!$B$3:$B$300=$B167)*('MTD Pivot'!$C$3:$C$300=$A$130)*('MTD Pivot'!$D$2:$K$2=K$2)*'MTD Pivot'!$D$3:$K$300)</f>
        <v/>
      </c>
      <c r="L167" s="161">
        <f>SUMPRODUCT(('MTD Pivot'!$B$3:$B$300=$B167)*('MTD Pivot'!$C$3:$C$300=$A$130)*('MTD Pivot'!$D$2:$K$2=L$2)*'MTD Pivot'!$D$3:$K$300)</f>
        <v/>
      </c>
      <c r="M167" s="161" t="n"/>
      <c r="N167" s="161" t="n"/>
      <c r="O167" s="143">
        <f>L167-K167</f>
        <v/>
      </c>
      <c r="P167" s="170" t="n"/>
      <c r="Q167" s="170" t="n"/>
      <c r="R167" s="170" t="n"/>
      <c r="S167" s="170" t="n"/>
      <c r="T167" s="170" t="n"/>
      <c r="U167" s="170" t="n"/>
      <c r="V167" s="161">
        <f>SUMPRODUCT(('Full month Pivot'!$B$3:$B$300=$B167)*('Full month Pivot'!$C$3:$C$300=$A$130)*('Full month Pivot'!$D$2:$K$2=V$2)*'Full month Pivot'!$D$3:$K$300)</f>
        <v/>
      </c>
      <c r="W167" s="161">
        <f>SUMPRODUCT(('Full month Pivot'!$B$3:$B$300=$B167)*('Full month Pivot'!$C$3:$C$300=$A$130)*('Full month Pivot'!$D$2:$K$2=W$2)*'Full month Pivot'!$D$3:$K$300)</f>
        <v/>
      </c>
      <c r="X167" s="161">
        <f>SUMPRODUCT(('Full month Pivot'!$B$3:$B$300=$B167)*('Full month Pivot'!$C$3:$C$300=$A$130)*('Full month Pivot'!$D$2:$K$2=X$2)*'Full month Pivot'!$D$3:$K$300)</f>
        <v/>
      </c>
      <c r="Y167" s="161">
        <f>SUMPRODUCT(('Full month Pivot'!$B$3:$B$300=$B167)*('Full month Pivot'!$C$3:$C$300=$A$130)*('Full month Pivot'!$D$2:$K$2=Y$2)*'Full month Pivot'!$D$3:$K$300)</f>
        <v/>
      </c>
      <c r="Z167" s="161">
        <f>SUMPRODUCT(('Full month Pivot'!$B$3:$B$300=$B167)*('Full month Pivot'!$C$3:$C$300=$A$130)*('Full month Pivot'!$D$2:$K$2=Z$2)*'Full month Pivot'!$D$3:$K$300)</f>
        <v/>
      </c>
      <c r="AA167" s="161">
        <f>SUMPRODUCT(('Full month Pivot'!$B$3:$B$300=$B167)*('Full month Pivot'!$C$3:$C$300=$A$130)*('Full month Pivot'!$D$2:$K$2=AA$2)*'Full month Pivot'!$D$3:$K$300)</f>
        <v/>
      </c>
      <c r="AB167" s="161" t="n"/>
      <c r="AC167" s="161" t="n"/>
      <c r="AD167" s="143">
        <f>AA167-Z167</f>
        <v/>
      </c>
      <c r="AE167" s="170" t="n"/>
      <c r="AF167" s="170" t="n"/>
      <c r="AG167" s="170" t="n"/>
      <c r="AH167" s="170" t="n"/>
      <c r="AI167" s="170" t="n"/>
      <c r="AJ167" s="170" t="n"/>
    </row>
    <row r="168" hidden="1" outlineLevel="1" ht="15.75" customHeight="1" s="239">
      <c r="A168" s="170" t="n"/>
      <c r="B168" s="170" t="inlineStr">
        <is>
          <t>Download</t>
        </is>
      </c>
      <c r="C168" s="170" t="n"/>
      <c r="D168" s="170" t="n"/>
      <c r="E168" s="170" t="n"/>
      <c r="F168" s="170" t="n"/>
      <c r="G168" s="161">
        <f>SUMPRODUCT(('MTD Pivot'!$B$3:$B$300=$B168)*('MTD Pivot'!$C$3:$C$300=$A$130)*('MTD Pivot'!$D$2:$K$2=G$2)*'MTD Pivot'!$D$3:$K$300)</f>
        <v/>
      </c>
      <c r="H168" s="161">
        <f>SUMPRODUCT(('MTD Pivot'!$B$3:$B$300=$B168)*('MTD Pivot'!$C$3:$C$300=$A$130)*('MTD Pivot'!$D$2:$K$2=H$2)*'MTD Pivot'!$D$3:$K$300)</f>
        <v/>
      </c>
      <c r="I168" s="161">
        <f>SUMPRODUCT(('MTD Pivot'!$B$3:$B$300=$B168)*('MTD Pivot'!$C$3:$C$300=$A$130)*('MTD Pivot'!$D$2:$K$2=I$2)*'MTD Pivot'!$D$3:$K$300)</f>
        <v/>
      </c>
      <c r="J168" s="161">
        <f>SUMPRODUCT(('MTD Pivot'!$B$3:$B$300=$B168)*('MTD Pivot'!$C$3:$C$300=$A$130)*('MTD Pivot'!$D$2:$K$2=J$2)*'MTD Pivot'!$D$3:$K$300)</f>
        <v/>
      </c>
      <c r="K168" s="161">
        <f>SUMPRODUCT(('MTD Pivot'!$B$3:$B$300=$B168)*('MTD Pivot'!$C$3:$C$300=$A$130)*('MTD Pivot'!$D$2:$K$2=K$2)*'MTD Pivot'!$D$3:$K$300)</f>
        <v/>
      </c>
      <c r="L168" s="161">
        <f>SUMPRODUCT(('MTD Pivot'!$B$3:$B$300=$B168)*('MTD Pivot'!$C$3:$C$300=$A$130)*('MTD Pivot'!$D$2:$K$2=L$2)*'MTD Pivot'!$D$3:$K$300)</f>
        <v/>
      </c>
      <c r="M168" s="161" t="n"/>
      <c r="N168" s="161" t="n"/>
      <c r="O168" s="143">
        <f>L168-K168</f>
        <v/>
      </c>
      <c r="P168" s="170" t="n"/>
      <c r="Q168" s="170" t="n"/>
      <c r="R168" s="170" t="n"/>
      <c r="S168" s="170" t="n"/>
      <c r="T168" s="170" t="n"/>
      <c r="U168" s="170" t="n"/>
      <c r="V168" s="161">
        <f>SUMPRODUCT(('Full month Pivot'!$B$3:$B$300=$B168)*('Full month Pivot'!$C$3:$C$300=$A$130)*('Full month Pivot'!$D$2:$K$2=V$2)*'Full month Pivot'!$D$3:$K$300)</f>
        <v/>
      </c>
      <c r="W168" s="161">
        <f>SUMPRODUCT(('Full month Pivot'!$B$3:$B$300=$B168)*('Full month Pivot'!$C$3:$C$300=$A$130)*('Full month Pivot'!$D$2:$K$2=W$2)*'Full month Pivot'!$D$3:$K$300)</f>
        <v/>
      </c>
      <c r="X168" s="161">
        <f>SUMPRODUCT(('Full month Pivot'!$B$3:$B$300=$B168)*('Full month Pivot'!$C$3:$C$300=$A$130)*('Full month Pivot'!$D$2:$K$2=X$2)*'Full month Pivot'!$D$3:$K$300)</f>
        <v/>
      </c>
      <c r="Y168" s="161">
        <f>SUMPRODUCT(('Full month Pivot'!$B$3:$B$300=$B168)*('Full month Pivot'!$C$3:$C$300=$A$130)*('Full month Pivot'!$D$2:$K$2=Y$2)*'Full month Pivot'!$D$3:$K$300)</f>
        <v/>
      </c>
      <c r="Z168" s="161">
        <f>SUMPRODUCT(('Full month Pivot'!$B$3:$B$300=$B168)*('Full month Pivot'!$C$3:$C$300=$A$130)*('Full month Pivot'!$D$2:$K$2=Z$2)*'Full month Pivot'!$D$3:$K$300)</f>
        <v/>
      </c>
      <c r="AA168" s="161">
        <f>SUMPRODUCT(('Full month Pivot'!$B$3:$B$300=$B168)*('Full month Pivot'!$C$3:$C$300=$A$130)*('Full month Pivot'!$D$2:$K$2=AA$2)*'Full month Pivot'!$D$3:$K$300)</f>
        <v/>
      </c>
      <c r="AB168" s="161" t="n"/>
      <c r="AC168" s="161" t="n"/>
      <c r="AD168" s="143">
        <f>AA168-Z168</f>
        <v/>
      </c>
      <c r="AE168" s="170" t="n"/>
      <c r="AF168" s="170" t="n"/>
      <c r="AG168" s="170" t="n"/>
      <c r="AH168" s="170" t="n"/>
      <c r="AI168" s="170" t="n"/>
      <c r="AJ168" s="170" t="n"/>
    </row>
    <row r="169" hidden="1" outlineLevel="1" ht="15.75" customHeight="1" s="239">
      <c r="A169" s="170" t="n"/>
      <c r="B169" s="170" t="inlineStr">
        <is>
          <t>Others</t>
        </is>
      </c>
      <c r="C169" s="170" t="n"/>
      <c r="D169" s="170" t="n"/>
      <c r="E169" s="170" t="n"/>
      <c r="F169" s="170" t="n"/>
      <c r="G169" s="161">
        <f>SUMPRODUCT(('MTD Pivot'!$B$3:$B$300=$B169)*('MTD Pivot'!$C$3:$C$300=$A$130)*('MTD Pivot'!$D$2:$K$2=G$2)*'MTD Pivot'!$D$3:$K$300)</f>
        <v/>
      </c>
      <c r="H169" s="161">
        <f>SUMPRODUCT(('MTD Pivot'!$B$3:$B$300=$B169)*('MTD Pivot'!$C$3:$C$300=$A$130)*('MTD Pivot'!$D$2:$K$2=H$2)*'MTD Pivot'!$D$3:$K$300)</f>
        <v/>
      </c>
      <c r="I169" s="161">
        <f>SUMPRODUCT(('MTD Pivot'!$B$3:$B$300=$B169)*('MTD Pivot'!$C$3:$C$300=$A$130)*('MTD Pivot'!$D$2:$K$2=I$2)*'MTD Pivot'!$D$3:$K$300)</f>
        <v/>
      </c>
      <c r="J169" s="161">
        <f>SUMPRODUCT(('MTD Pivot'!$B$3:$B$300=$B169)*('MTD Pivot'!$C$3:$C$300=$A$130)*('MTD Pivot'!$D$2:$K$2=J$2)*'MTD Pivot'!$D$3:$K$300)</f>
        <v/>
      </c>
      <c r="K169" s="161">
        <f>SUMPRODUCT(('MTD Pivot'!$B$3:$B$300=$B169)*('MTD Pivot'!$C$3:$C$300=$A$130)*('MTD Pivot'!$D$2:$K$2=K$2)*'MTD Pivot'!$D$3:$K$300)</f>
        <v/>
      </c>
      <c r="L169" s="161">
        <f>SUMPRODUCT(('MTD Pivot'!$B$3:$B$300=$B169)*('MTD Pivot'!$C$3:$C$300=$A$130)*('MTD Pivot'!$D$2:$K$2=L$2)*'MTD Pivot'!$D$3:$K$300)</f>
        <v/>
      </c>
      <c r="M169" s="161" t="n"/>
      <c r="N169" s="161" t="n"/>
      <c r="O169" s="143">
        <f>L169-K169</f>
        <v/>
      </c>
      <c r="P169" s="170" t="n"/>
      <c r="Q169" s="170" t="n"/>
      <c r="R169" s="170" t="n"/>
      <c r="S169" s="170" t="n"/>
      <c r="T169" s="170" t="n"/>
      <c r="U169" s="170" t="n"/>
      <c r="V169" s="161">
        <f>SUMPRODUCT(('Full month Pivot'!$B$3:$B$300=$B169)*('Full month Pivot'!$C$3:$C$300=$A$130)*('Full month Pivot'!$D$2:$K$2=V$2)*'Full month Pivot'!$D$3:$K$300)</f>
        <v/>
      </c>
      <c r="W169" s="161">
        <f>SUMPRODUCT(('Full month Pivot'!$B$3:$B$300=$B169)*('Full month Pivot'!$C$3:$C$300=$A$130)*('Full month Pivot'!$D$2:$K$2=W$2)*'Full month Pivot'!$D$3:$K$300)</f>
        <v/>
      </c>
      <c r="X169" s="161">
        <f>SUMPRODUCT(('Full month Pivot'!$B$3:$B$300=$B169)*('Full month Pivot'!$C$3:$C$300=$A$130)*('Full month Pivot'!$D$2:$K$2=X$2)*'Full month Pivot'!$D$3:$K$300)</f>
        <v/>
      </c>
      <c r="Y169" s="161">
        <f>SUMPRODUCT(('Full month Pivot'!$B$3:$B$300=$B169)*('Full month Pivot'!$C$3:$C$300=$A$130)*('Full month Pivot'!$D$2:$K$2=Y$2)*'Full month Pivot'!$D$3:$K$300)</f>
        <v/>
      </c>
      <c r="Z169" s="161">
        <f>SUMPRODUCT(('Full month Pivot'!$B$3:$B$300=$B169)*('Full month Pivot'!$C$3:$C$300=$A$130)*('Full month Pivot'!$D$2:$K$2=Z$2)*'Full month Pivot'!$D$3:$K$300)</f>
        <v/>
      </c>
      <c r="AA169" s="161">
        <f>SUMPRODUCT(('Full month Pivot'!$B$3:$B$300=$B169)*('Full month Pivot'!$C$3:$C$300=$A$130)*('Full month Pivot'!$D$2:$K$2=AA$2)*'Full month Pivot'!$D$3:$K$300)</f>
        <v/>
      </c>
      <c r="AB169" s="161" t="n"/>
      <c r="AC169" s="161" t="n"/>
      <c r="AD169" s="143">
        <f>AA169-Z169</f>
        <v/>
      </c>
      <c r="AE169" s="170" t="n"/>
      <c r="AF169" s="170" t="n"/>
      <c r="AG169" s="170" t="n"/>
      <c r="AH169" s="170" t="n"/>
      <c r="AI169" s="170" t="n"/>
      <c r="AJ169" s="170" t="n"/>
    </row>
    <row r="170" hidden="1" outlineLevel="1" ht="15.75" customHeight="1" s="239">
      <c r="A170" s="170" t="n"/>
      <c r="B170" s="170" t="n"/>
      <c r="C170" s="170" t="n"/>
      <c r="D170" s="170" t="n"/>
      <c r="E170" s="170" t="n"/>
      <c r="F170" s="170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43" t="n"/>
      <c r="P170" s="170" t="n"/>
      <c r="Q170" s="170" t="n"/>
      <c r="R170" s="170" t="n"/>
      <c r="S170" s="170" t="n"/>
      <c r="T170" s="170" t="n"/>
      <c r="U170" s="170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43" t="n"/>
      <c r="AE170" s="170" t="n"/>
      <c r="AF170" s="170" t="n"/>
      <c r="AG170" s="170" t="n"/>
      <c r="AH170" s="170" t="n"/>
      <c r="AI170" s="170" t="n"/>
      <c r="AJ170" s="170" t="n"/>
    </row>
    <row r="171" ht="15" customHeight="1" s="239">
      <c r="A171" s="208" t="n"/>
      <c r="B171" s="153" t="n"/>
      <c r="C171" s="153" t="n"/>
      <c r="D171" s="153" t="n"/>
      <c r="E171" s="153" t="n"/>
      <c r="F171" s="153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43" t="n"/>
      <c r="P171" s="153" t="n"/>
      <c r="Q171" s="153" t="n"/>
      <c r="R171" s="153" t="n"/>
      <c r="S171" s="153" t="n"/>
      <c r="T171" s="153" t="n"/>
      <c r="U171" s="153" t="n"/>
      <c r="V171" s="154" t="n"/>
      <c r="W171" s="154" t="n"/>
      <c r="X171" s="154" t="n"/>
      <c r="Y171" s="154" t="n"/>
      <c r="Z171" s="154" t="n"/>
      <c r="AA171" s="154" t="n"/>
      <c r="AB171" s="154" t="n"/>
      <c r="AC171" s="154" t="n"/>
      <c r="AD171" s="143" t="n"/>
      <c r="AE171" s="153" t="n"/>
      <c r="AF171" s="153" t="n"/>
      <c r="AG171" s="153" t="n"/>
      <c r="AH171" s="153" t="n"/>
      <c r="AI171" s="153" t="n"/>
      <c r="AJ171" s="153" t="n"/>
    </row>
    <row r="172" ht="15" customHeight="1" s="239">
      <c r="A172" s="208" t="inlineStr">
        <is>
          <t>Others</t>
        </is>
      </c>
      <c r="B172" s="153" t="n"/>
      <c r="C172" s="153" t="n"/>
      <c r="D172" s="153" t="n"/>
      <c r="E172" s="153" t="n"/>
      <c r="F172" s="153" t="n"/>
      <c r="G172" s="154">
        <f>SUM(G174:G211)</f>
        <v/>
      </c>
      <c r="H172" s="154">
        <f>SUM(H174:H211)</f>
        <v/>
      </c>
      <c r="I172" s="154">
        <f>SUM(I174:I211)</f>
        <v/>
      </c>
      <c r="J172" s="154">
        <f>SUM(J174:J211)</f>
        <v/>
      </c>
      <c r="K172" s="154">
        <f>SUM(K174:K211)</f>
        <v/>
      </c>
      <c r="L172" s="154">
        <f>SUM(L174:L211)</f>
        <v/>
      </c>
      <c r="M172" s="154" t="n"/>
      <c r="N172" s="154" t="n"/>
      <c r="O172" s="143">
        <f>L172-K172</f>
        <v/>
      </c>
      <c r="P172" s="153" t="n"/>
      <c r="Q172" s="153" t="n"/>
      <c r="R172" s="153">
        <f>SUM(R174,R176,R180)</f>
        <v/>
      </c>
      <c r="S172" s="153">
        <f>SUM(S174,S176,S180)</f>
        <v/>
      </c>
      <c r="T172" s="153">
        <f>SUM(T174,T176,T180)</f>
        <v/>
      </c>
      <c r="U172" s="153">
        <f>SUM(U174,U176,U180)</f>
        <v/>
      </c>
      <c r="V172" s="154">
        <f>SUM(V174:V211)</f>
        <v/>
      </c>
      <c r="W172" s="154">
        <f>SUM(W174:W211)</f>
        <v/>
      </c>
      <c r="X172" s="154">
        <f>SUM(X174:X211)</f>
        <v/>
      </c>
      <c r="Y172" s="154">
        <f>SUM(Y174:Y211)</f>
        <v/>
      </c>
      <c r="Z172" s="154">
        <f>SUM(Z174:Z211)</f>
        <v/>
      </c>
      <c r="AA172" s="154">
        <f>SUM(AA174:AA211)</f>
        <v/>
      </c>
      <c r="AB172" s="154" t="n"/>
      <c r="AC172" s="154" t="n"/>
      <c r="AD172" s="143">
        <f>AA172-Z172</f>
        <v/>
      </c>
      <c r="AE172" s="153" t="n"/>
      <c r="AF172" s="153" t="n"/>
      <c r="AG172" s="153" t="n"/>
      <c r="AH172" s="153" t="n"/>
      <c r="AI172" s="153" t="n"/>
      <c r="AJ172" s="153" t="n"/>
    </row>
    <row r="173" collapsed="1" ht="15" customHeight="1" s="239">
      <c r="A173" s="59" t="inlineStr">
        <is>
          <t xml:space="preserve">  Net change</t>
        </is>
      </c>
      <c r="B173" s="59" t="n"/>
      <c r="C173" s="8" t="n"/>
      <c r="D173" s="8" t="n"/>
      <c r="E173" s="8" t="n"/>
      <c r="F173" s="8" t="n"/>
      <c r="G173" s="156">
        <f>G172-F172</f>
        <v/>
      </c>
      <c r="H173" s="156">
        <f>H172-G172</f>
        <v/>
      </c>
      <c r="I173" s="156">
        <f>I172-H172</f>
        <v/>
      </c>
      <c r="J173" s="156">
        <f>J172-I172</f>
        <v/>
      </c>
      <c r="K173" s="156">
        <f>K172-J172</f>
        <v/>
      </c>
      <c r="L173" s="156">
        <f>L172-K172</f>
        <v/>
      </c>
      <c r="M173" s="156" t="n"/>
      <c r="N173" s="156" t="n"/>
      <c r="O173" s="143">
        <f>L173-K173</f>
        <v/>
      </c>
      <c r="P173" s="8" t="n"/>
      <c r="Q173" s="8" t="n"/>
      <c r="R173" s="8" t="n"/>
      <c r="S173" s="8">
        <f>S172-R172</f>
        <v/>
      </c>
      <c r="T173" s="8">
        <f>T172-S172</f>
        <v/>
      </c>
      <c r="U173" s="8">
        <f>U172-T172</f>
        <v/>
      </c>
      <c r="V173" s="156">
        <f>V172-U172</f>
        <v/>
      </c>
      <c r="W173" s="156">
        <f>W172-V172</f>
        <v/>
      </c>
      <c r="X173" s="156">
        <f>X172-W172</f>
        <v/>
      </c>
      <c r="Y173" s="156">
        <f>Y172-X172</f>
        <v/>
      </c>
      <c r="Z173" s="156">
        <f>Z172-Y172</f>
        <v/>
      </c>
      <c r="AA173" s="156">
        <f>AA172-Z172</f>
        <v/>
      </c>
      <c r="AB173" s="156" t="n"/>
      <c r="AC173" s="156" t="n"/>
      <c r="AD173" s="143">
        <f>AA173-Z173</f>
        <v/>
      </c>
      <c r="AE173" s="8" t="n"/>
      <c r="AF173" s="8" t="n"/>
      <c r="AG173" s="8" t="n"/>
      <c r="AH173" s="8" t="n"/>
      <c r="AI173" s="8" t="n"/>
      <c r="AJ173" s="8" t="n"/>
    </row>
    <row r="174" hidden="1" outlineLevel="1" ht="15" customHeight="1" s="239">
      <c r="A174" s="170" t="n"/>
      <c r="B174" s="170" t="inlineStr">
        <is>
          <t>Cinema Hub</t>
        </is>
      </c>
      <c r="C174" s="170" t="n"/>
      <c r="D174" s="170" t="n"/>
      <c r="E174" s="170" t="n"/>
      <c r="F174" s="170" t="n"/>
      <c r="G174" s="161">
        <f>SUMPRODUCT(('MTD Pivot'!$B$3:$B$300=$B174)*('MTD Pivot'!$C$3:$C$300=$A$172)*('MTD Pivot'!$D$2:$K$2=G$2)*'MTD Pivot'!$D$3:$K$300)</f>
        <v/>
      </c>
      <c r="H174" s="161">
        <f>SUMPRODUCT(('MTD Pivot'!$B$3:$B$300=$B174)*('MTD Pivot'!$C$3:$C$300=$A$172)*('MTD Pivot'!$D$2:$K$2=H$2)*'MTD Pivot'!$D$3:$K$300)</f>
        <v/>
      </c>
      <c r="I174" s="161">
        <f>SUMPRODUCT(('MTD Pivot'!$B$3:$B$300=$B174)*('MTD Pivot'!$C$3:$C$300=$A$172)*('MTD Pivot'!$D$2:$K$2=I$2)*'MTD Pivot'!$D$3:$K$300)</f>
        <v/>
      </c>
      <c r="J174" s="161">
        <f>SUMPRODUCT(('MTD Pivot'!$B$3:$B$300=$B174)*('MTD Pivot'!$C$3:$C$300=$A$172)*('MTD Pivot'!$D$2:$K$2=J$2)*'MTD Pivot'!$D$3:$K$300)</f>
        <v/>
      </c>
      <c r="K174" s="161">
        <f>SUMPRODUCT(('MTD Pivot'!$B$3:$B$300=$B174)*('MTD Pivot'!$C$3:$C$300=$A$172)*('MTD Pivot'!$D$2:$K$2=K$2)*'MTD Pivot'!$D$3:$K$300)</f>
        <v/>
      </c>
      <c r="L174" s="161">
        <f>SUMPRODUCT(('MTD Pivot'!$B$3:$B$300=$B174)*('MTD Pivot'!$C$3:$C$300=$A$172)*('MTD Pivot'!$D$2:$K$2=L$2)*'MTD Pivot'!$D$3:$K$300)</f>
        <v/>
      </c>
      <c r="M174" s="161" t="n"/>
      <c r="N174" s="161" t="n"/>
      <c r="O174" s="143">
        <f>L174-K174</f>
        <v/>
      </c>
      <c r="P174" s="170" t="n"/>
      <c r="Q174" s="170" t="n"/>
      <c r="R174" s="170" t="n"/>
      <c r="S174" s="170" t="n"/>
      <c r="T174" s="170" t="n"/>
      <c r="U174" s="170" t="n"/>
      <c r="V174" s="161">
        <f>SUMPRODUCT(('Full month Pivot'!$B$3:$B$300=$B174)*('Full month Pivot'!$C$3:$C$300=$A$172)*('Full month Pivot'!$D$2:$K$2=V$2)*'Full month Pivot'!$D$3:$K$300)</f>
        <v/>
      </c>
      <c r="W174" s="161">
        <f>SUMPRODUCT(('Full month Pivot'!$B$3:$B$300=$B174)*('Full month Pivot'!$C$3:$C$300=$A$172)*('Full month Pivot'!$D$2:$K$2=W$2)*'Full month Pivot'!$D$3:$K$300)</f>
        <v/>
      </c>
      <c r="X174" s="161">
        <f>SUMPRODUCT(('Full month Pivot'!$B$3:$B$300=$B174)*('Full month Pivot'!$C$3:$C$300=$A$172)*('Full month Pivot'!$D$2:$K$2=X$2)*'Full month Pivot'!$D$3:$K$300)</f>
        <v/>
      </c>
      <c r="Y174" s="161">
        <f>SUMPRODUCT(('Full month Pivot'!$B$3:$B$300=$B174)*('Full month Pivot'!$C$3:$C$300=$A$172)*('Full month Pivot'!$D$2:$K$2=Y$2)*'Full month Pivot'!$D$3:$K$300)</f>
        <v/>
      </c>
      <c r="Z174" s="161">
        <f>SUMPRODUCT(('Full month Pivot'!$B$3:$B$300=$B174)*('Full month Pivot'!$C$3:$C$300=$A$172)*('Full month Pivot'!$D$2:$K$2=Z$2)*'Full month Pivot'!$D$3:$K$300)</f>
        <v/>
      </c>
      <c r="AA174" s="161">
        <f>SUMPRODUCT(('Full month Pivot'!$B$3:$B$300=$B174)*('Full month Pivot'!$C$3:$C$300=$A$172)*('Full month Pivot'!$D$2:$K$2=AA$2)*'Full month Pivot'!$D$3:$K$300)</f>
        <v/>
      </c>
      <c r="AB174" s="161" t="n"/>
      <c r="AC174" s="161" t="n"/>
      <c r="AD174" s="143">
        <f>AA174-Z174</f>
        <v/>
      </c>
      <c r="AE174" s="170" t="n"/>
      <c r="AF174" s="170" t="n"/>
      <c r="AG174" s="170" t="n"/>
      <c r="AH174" s="170" t="n"/>
      <c r="AI174" s="170" t="n"/>
      <c r="AJ174" s="170" t="n"/>
    </row>
    <row r="175" hidden="1" outlineLevel="1" ht="15" customHeight="1" s="239">
      <c r="A175" s="170" t="n"/>
      <c r="B175" s="170" t="inlineStr">
        <is>
          <t>Phạt nguội</t>
        </is>
      </c>
      <c r="C175" s="170" t="n"/>
      <c r="D175" s="170" t="n"/>
      <c r="E175" s="170" t="n"/>
      <c r="F175" s="170" t="n"/>
      <c r="G175" s="161">
        <f>SUMPRODUCT(('MTD Pivot'!$B$3:$B$300=$B175)*('MTD Pivot'!$C$3:$C$300=$A$172)*('MTD Pivot'!$D$2:$K$2=G$2)*'MTD Pivot'!$D$3:$K$300)</f>
        <v/>
      </c>
      <c r="H175" s="161">
        <f>SUMPRODUCT(('MTD Pivot'!$B$3:$B$300=$B175)*('MTD Pivot'!$C$3:$C$300=$A$172)*('MTD Pivot'!$D$2:$K$2=H$2)*'MTD Pivot'!$D$3:$K$300)</f>
        <v/>
      </c>
      <c r="I175" s="161">
        <f>SUMPRODUCT(('MTD Pivot'!$B$3:$B$300=$B175)*('MTD Pivot'!$C$3:$C$300=$A$172)*('MTD Pivot'!$D$2:$K$2=I$2)*'MTD Pivot'!$D$3:$K$300)</f>
        <v/>
      </c>
      <c r="J175" s="161">
        <f>SUMPRODUCT(('MTD Pivot'!$B$3:$B$300=$B175)*('MTD Pivot'!$C$3:$C$300=$A$172)*('MTD Pivot'!$D$2:$K$2=J$2)*'MTD Pivot'!$D$3:$K$300)</f>
        <v/>
      </c>
      <c r="K175" s="161">
        <f>SUMPRODUCT(('MTD Pivot'!$B$3:$B$300=$B175)*('MTD Pivot'!$C$3:$C$300=$A$172)*('MTD Pivot'!$D$2:$K$2=K$2)*'MTD Pivot'!$D$3:$K$300)</f>
        <v/>
      </c>
      <c r="L175" s="161">
        <f>SUMPRODUCT(('MTD Pivot'!$B$3:$B$300=$B175)*('MTD Pivot'!$C$3:$C$300=$A$172)*('MTD Pivot'!$D$2:$K$2=L$2)*'MTD Pivot'!$D$3:$K$300)</f>
        <v/>
      </c>
      <c r="M175" s="161" t="n"/>
      <c r="N175" s="161" t="n"/>
      <c r="O175" s="143">
        <f>L175-K175</f>
        <v/>
      </c>
      <c r="P175" s="170" t="n"/>
      <c r="Q175" s="170" t="n"/>
      <c r="R175" s="170" t="n"/>
      <c r="S175" s="170" t="n"/>
      <c r="T175" s="170" t="n"/>
      <c r="U175" s="170" t="n"/>
      <c r="V175" s="161">
        <f>SUMPRODUCT(('Full month Pivot'!$B$3:$B$300=$B175)*('Full month Pivot'!$C$3:$C$300=$A$172)*('Full month Pivot'!$D$2:$K$2=V$2)*'Full month Pivot'!$D$3:$K$300)</f>
        <v/>
      </c>
      <c r="W175" s="161">
        <f>SUMPRODUCT(('Full month Pivot'!$B$3:$B$300=$B175)*('Full month Pivot'!$C$3:$C$300=$A$172)*('Full month Pivot'!$D$2:$K$2=W$2)*'Full month Pivot'!$D$3:$K$300)</f>
        <v/>
      </c>
      <c r="X175" s="161">
        <f>SUMPRODUCT(('Full month Pivot'!$B$3:$B$300=$B175)*('Full month Pivot'!$C$3:$C$300=$A$172)*('Full month Pivot'!$D$2:$K$2=X$2)*'Full month Pivot'!$D$3:$K$300)</f>
        <v/>
      </c>
      <c r="Y175" s="161">
        <f>SUMPRODUCT(('Full month Pivot'!$B$3:$B$300=$B175)*('Full month Pivot'!$C$3:$C$300=$A$172)*('Full month Pivot'!$D$2:$K$2=Y$2)*'Full month Pivot'!$D$3:$K$300)</f>
        <v/>
      </c>
      <c r="Z175" s="161">
        <f>SUMPRODUCT(('Full month Pivot'!$B$3:$B$300=$B175)*('Full month Pivot'!$C$3:$C$300=$A$172)*('Full month Pivot'!$D$2:$K$2=Z$2)*'Full month Pivot'!$D$3:$K$300)</f>
        <v/>
      </c>
      <c r="AA175" s="161">
        <f>SUMPRODUCT(('Full month Pivot'!$B$3:$B$300=$B175)*('Full month Pivot'!$C$3:$C$300=$A$172)*('Full month Pivot'!$D$2:$K$2=AA$2)*'Full month Pivot'!$D$3:$K$300)</f>
        <v/>
      </c>
      <c r="AB175" s="161" t="n"/>
      <c r="AC175" s="161" t="n"/>
      <c r="AD175" s="143">
        <f>AA175-Z175</f>
        <v/>
      </c>
      <c r="AE175" s="170" t="n"/>
      <c r="AF175" s="170" t="n"/>
      <c r="AG175" s="170" t="n"/>
      <c r="AH175" s="170" t="n"/>
      <c r="AI175" s="170" t="n"/>
      <c r="AJ175" s="170" t="n"/>
    </row>
    <row r="176" hidden="1" outlineLevel="1" ht="15" customHeight="1" s="239">
      <c r="A176" s="170" t="n"/>
      <c r="B176" s="170" t="inlineStr">
        <is>
          <t>Home MoMo</t>
        </is>
      </c>
      <c r="C176" s="170" t="n"/>
      <c r="D176" s="170" t="n"/>
      <c r="E176" s="170" t="n"/>
      <c r="F176" s="170" t="n"/>
      <c r="G176" s="161">
        <f>SUMPRODUCT(('MTD Pivot'!$B$3:$B$300=$B176)*('MTD Pivot'!$C$3:$C$300=$A$172)*('MTD Pivot'!$D$2:$K$2=G$2)*'MTD Pivot'!$D$3:$K$300)</f>
        <v/>
      </c>
      <c r="H176" s="161">
        <f>SUMPRODUCT(('MTD Pivot'!$B$3:$B$300=$B176)*('MTD Pivot'!$C$3:$C$300=$A$172)*('MTD Pivot'!$D$2:$K$2=H$2)*'MTD Pivot'!$D$3:$K$300)</f>
        <v/>
      </c>
      <c r="I176" s="161">
        <f>SUMPRODUCT(('MTD Pivot'!$B$3:$B$300=$B176)*('MTD Pivot'!$C$3:$C$300=$A$172)*('MTD Pivot'!$D$2:$K$2=I$2)*'MTD Pivot'!$D$3:$K$300)</f>
        <v/>
      </c>
      <c r="J176" s="161">
        <f>SUMPRODUCT(('MTD Pivot'!$B$3:$B$300=$B176)*('MTD Pivot'!$C$3:$C$300=$A$172)*('MTD Pivot'!$D$2:$K$2=J$2)*'MTD Pivot'!$D$3:$K$300)</f>
        <v/>
      </c>
      <c r="K176" s="161">
        <f>SUMPRODUCT(('MTD Pivot'!$B$3:$B$300=$B176)*('MTD Pivot'!$C$3:$C$300=$A$172)*('MTD Pivot'!$D$2:$K$2=K$2)*'MTD Pivot'!$D$3:$K$300)</f>
        <v/>
      </c>
      <c r="L176" s="161">
        <f>SUMPRODUCT(('MTD Pivot'!$B$3:$B$300=$B176)*('MTD Pivot'!$C$3:$C$300=$A$172)*('MTD Pivot'!$D$2:$K$2=L$2)*'MTD Pivot'!$D$3:$K$300)</f>
        <v/>
      </c>
      <c r="M176" s="161" t="n"/>
      <c r="N176" s="161" t="n"/>
      <c r="O176" s="143">
        <f>L176-K176</f>
        <v/>
      </c>
      <c r="P176" s="170" t="n"/>
      <c r="Q176" s="170" t="n"/>
      <c r="R176" s="170" t="n"/>
      <c r="S176" s="170" t="n"/>
      <c r="T176" s="170" t="n"/>
      <c r="U176" s="170" t="n"/>
      <c r="V176" s="161">
        <f>SUMPRODUCT(('Full month Pivot'!$B$3:$B$300=$B176)*('Full month Pivot'!$C$3:$C$300=$A$172)*('Full month Pivot'!$D$2:$K$2=V$2)*'Full month Pivot'!$D$3:$K$300)</f>
        <v/>
      </c>
      <c r="W176" s="161">
        <f>SUMPRODUCT(('Full month Pivot'!$B$3:$B$300=$B176)*('Full month Pivot'!$C$3:$C$300=$A$172)*('Full month Pivot'!$D$2:$K$2=W$2)*'Full month Pivot'!$D$3:$K$300)</f>
        <v/>
      </c>
      <c r="X176" s="161">
        <f>SUMPRODUCT(('Full month Pivot'!$B$3:$B$300=$B176)*('Full month Pivot'!$C$3:$C$300=$A$172)*('Full month Pivot'!$D$2:$K$2=X$2)*'Full month Pivot'!$D$3:$K$300)</f>
        <v/>
      </c>
      <c r="Y176" s="161">
        <f>SUMPRODUCT(('Full month Pivot'!$B$3:$B$300=$B176)*('Full month Pivot'!$C$3:$C$300=$A$172)*('Full month Pivot'!$D$2:$K$2=Y$2)*'Full month Pivot'!$D$3:$K$300)</f>
        <v/>
      </c>
      <c r="Z176" s="161">
        <f>SUMPRODUCT(('Full month Pivot'!$B$3:$B$300=$B176)*('Full month Pivot'!$C$3:$C$300=$A$172)*('Full month Pivot'!$D$2:$K$2=Z$2)*'Full month Pivot'!$D$3:$K$300)</f>
        <v/>
      </c>
      <c r="AA176" s="161">
        <f>SUMPRODUCT(('Full month Pivot'!$B$3:$B$300=$B176)*('Full month Pivot'!$C$3:$C$300=$A$172)*('Full month Pivot'!$D$2:$K$2=AA$2)*'Full month Pivot'!$D$3:$K$300)</f>
        <v/>
      </c>
      <c r="AB176" s="161" t="n"/>
      <c r="AC176" s="161" t="n"/>
      <c r="AD176" s="143">
        <f>AA176-Z176</f>
        <v/>
      </c>
      <c r="AE176" s="170" t="n"/>
      <c r="AF176" s="170" t="n"/>
      <c r="AG176" s="170" t="n"/>
      <c r="AH176" s="170" t="n"/>
      <c r="AI176" s="170" t="n"/>
      <c r="AJ176" s="170" t="n"/>
    </row>
    <row r="177" hidden="1" outlineLevel="1" ht="15" customHeight="1" s="239">
      <c r="A177" s="170" t="n"/>
      <c r="B177" s="170" t="inlineStr">
        <is>
          <t>Tiktok</t>
        </is>
      </c>
      <c r="C177" s="170" t="n"/>
      <c r="D177" s="170" t="n"/>
      <c r="E177" s="170" t="n"/>
      <c r="F177" s="170" t="n"/>
      <c r="G177" s="161">
        <f>SUMPRODUCT(('MTD Pivot'!$B$3:$B$300=$B177)*('MTD Pivot'!$C$3:$C$300=$A$172)*('MTD Pivot'!$D$2:$K$2=G$2)*'MTD Pivot'!$D$3:$K$300)</f>
        <v/>
      </c>
      <c r="H177" s="161">
        <f>SUMPRODUCT(('MTD Pivot'!$B$3:$B$300=$B177)*('MTD Pivot'!$C$3:$C$300=$A$172)*('MTD Pivot'!$D$2:$K$2=H$2)*'MTD Pivot'!$D$3:$K$300)</f>
        <v/>
      </c>
      <c r="I177" s="161">
        <f>SUMPRODUCT(('MTD Pivot'!$B$3:$B$300=$B177)*('MTD Pivot'!$C$3:$C$300=$A$172)*('MTD Pivot'!$D$2:$K$2=I$2)*'MTD Pivot'!$D$3:$K$300)</f>
        <v/>
      </c>
      <c r="J177" s="161">
        <f>SUMPRODUCT(('MTD Pivot'!$B$3:$B$300=$B177)*('MTD Pivot'!$C$3:$C$300=$A$172)*('MTD Pivot'!$D$2:$K$2=J$2)*'MTD Pivot'!$D$3:$K$300)</f>
        <v/>
      </c>
      <c r="K177" s="161">
        <f>SUMPRODUCT(('MTD Pivot'!$B$3:$B$300=$B177)*('MTD Pivot'!$C$3:$C$300=$A$172)*('MTD Pivot'!$D$2:$K$2=K$2)*'MTD Pivot'!$D$3:$K$300)</f>
        <v/>
      </c>
      <c r="L177" s="161">
        <f>SUMPRODUCT(('MTD Pivot'!$B$3:$B$300=$B177)*('MTD Pivot'!$C$3:$C$300=$A$172)*('MTD Pivot'!$D$2:$K$2=L$2)*'MTD Pivot'!$D$3:$K$300)</f>
        <v/>
      </c>
      <c r="M177" s="161" t="n"/>
      <c r="N177" s="161" t="n"/>
      <c r="O177" s="143">
        <f>L177-K177</f>
        <v/>
      </c>
      <c r="P177" s="170" t="n"/>
      <c r="Q177" s="170" t="n"/>
      <c r="R177" s="170" t="n"/>
      <c r="S177" s="170" t="n"/>
      <c r="T177" s="170" t="n"/>
      <c r="U177" s="170" t="n"/>
      <c r="V177" s="161">
        <f>SUMPRODUCT(('Full month Pivot'!$B$3:$B$300=$B177)*('Full month Pivot'!$C$3:$C$300=$A$172)*('Full month Pivot'!$D$2:$K$2=V$2)*'Full month Pivot'!$D$3:$K$300)</f>
        <v/>
      </c>
      <c r="W177" s="161">
        <f>SUMPRODUCT(('Full month Pivot'!$B$3:$B$300=$B177)*('Full month Pivot'!$C$3:$C$300=$A$172)*('Full month Pivot'!$D$2:$K$2=W$2)*'Full month Pivot'!$D$3:$K$300)</f>
        <v/>
      </c>
      <c r="X177" s="161">
        <f>SUMPRODUCT(('Full month Pivot'!$B$3:$B$300=$B177)*('Full month Pivot'!$C$3:$C$300=$A$172)*('Full month Pivot'!$D$2:$K$2=X$2)*'Full month Pivot'!$D$3:$K$300)</f>
        <v/>
      </c>
      <c r="Y177" s="161">
        <f>SUMPRODUCT(('Full month Pivot'!$B$3:$B$300=$B177)*('Full month Pivot'!$C$3:$C$300=$A$172)*('Full month Pivot'!$D$2:$K$2=Y$2)*'Full month Pivot'!$D$3:$K$300)</f>
        <v/>
      </c>
      <c r="Z177" s="161">
        <f>SUMPRODUCT(('Full month Pivot'!$B$3:$B$300=$B177)*('Full month Pivot'!$C$3:$C$300=$A$172)*('Full month Pivot'!$D$2:$K$2=Z$2)*'Full month Pivot'!$D$3:$K$300)</f>
        <v/>
      </c>
      <c r="AA177" s="161">
        <f>SUMPRODUCT(('Full month Pivot'!$B$3:$B$300=$B177)*('Full month Pivot'!$C$3:$C$300=$A$172)*('Full month Pivot'!$D$2:$K$2=AA$2)*'Full month Pivot'!$D$3:$K$300)</f>
        <v/>
      </c>
      <c r="AB177" s="161" t="n"/>
      <c r="AC177" s="161" t="n"/>
      <c r="AD177" s="143">
        <f>AA177-Z177</f>
        <v/>
      </c>
      <c r="AE177" s="170" t="n"/>
      <c r="AF177" s="170" t="n"/>
      <c r="AG177" s="170" t="n"/>
      <c r="AH177" s="170" t="n"/>
      <c r="AI177" s="170" t="n"/>
      <c r="AJ177" s="170" t="n"/>
    </row>
    <row r="178" hidden="1" outlineLevel="1" ht="15" customHeight="1" s="239">
      <c r="A178" s="170" t="n"/>
      <c r="B178" s="170" t="inlineStr">
        <is>
          <t>Financial Hub</t>
        </is>
      </c>
      <c r="C178" s="170" t="n"/>
      <c r="D178" s="170" t="n"/>
      <c r="E178" s="170" t="n"/>
      <c r="F178" s="170" t="n"/>
      <c r="G178" s="161">
        <f>SUMPRODUCT(('MTD Pivot'!$B$3:$B$300=$B178)*('MTD Pivot'!$C$3:$C$300=$A$172)*('MTD Pivot'!$D$2:$K$2=G$2)*'MTD Pivot'!$D$3:$K$300)</f>
        <v/>
      </c>
      <c r="H178" s="161">
        <f>SUMPRODUCT(('MTD Pivot'!$B$3:$B$300=$B178)*('MTD Pivot'!$C$3:$C$300=$A$172)*('MTD Pivot'!$D$2:$K$2=H$2)*'MTD Pivot'!$D$3:$K$300)</f>
        <v/>
      </c>
      <c r="I178" s="161">
        <f>SUMPRODUCT(('MTD Pivot'!$B$3:$B$300=$B178)*('MTD Pivot'!$C$3:$C$300=$A$172)*('MTD Pivot'!$D$2:$K$2=I$2)*'MTD Pivot'!$D$3:$K$300)</f>
        <v/>
      </c>
      <c r="J178" s="161">
        <f>SUMPRODUCT(('MTD Pivot'!$B$3:$B$300=$B178)*('MTD Pivot'!$C$3:$C$300=$A$172)*('MTD Pivot'!$D$2:$K$2=J$2)*'MTD Pivot'!$D$3:$K$300)</f>
        <v/>
      </c>
      <c r="K178" s="161">
        <f>SUMPRODUCT(('MTD Pivot'!$B$3:$B$300=$B178)*('MTD Pivot'!$C$3:$C$300=$A$172)*('MTD Pivot'!$D$2:$K$2=K$2)*'MTD Pivot'!$D$3:$K$300)</f>
        <v/>
      </c>
      <c r="L178" s="161">
        <f>SUMPRODUCT(('MTD Pivot'!$B$3:$B$300=$B178)*('MTD Pivot'!$C$3:$C$300=$A$172)*('MTD Pivot'!$D$2:$K$2=L$2)*'MTD Pivot'!$D$3:$K$300)</f>
        <v/>
      </c>
      <c r="M178" s="161" t="n"/>
      <c r="N178" s="161" t="n"/>
      <c r="O178" s="143">
        <f>L178-K178</f>
        <v/>
      </c>
      <c r="P178" s="170" t="n"/>
      <c r="Q178" s="170" t="n"/>
      <c r="R178" s="170" t="n"/>
      <c r="S178" s="170" t="n"/>
      <c r="T178" s="170" t="n"/>
      <c r="U178" s="170" t="n"/>
      <c r="V178" s="161">
        <f>SUMPRODUCT(('Full month Pivot'!$B$3:$B$300=$B178)*('Full month Pivot'!$C$3:$C$300=$A$172)*('Full month Pivot'!$D$2:$K$2=V$2)*'Full month Pivot'!$D$3:$K$300)</f>
        <v/>
      </c>
      <c r="W178" s="161">
        <f>SUMPRODUCT(('Full month Pivot'!$B$3:$B$300=$B178)*('Full month Pivot'!$C$3:$C$300=$A$172)*('Full month Pivot'!$D$2:$K$2=W$2)*'Full month Pivot'!$D$3:$K$300)</f>
        <v/>
      </c>
      <c r="X178" s="161">
        <f>SUMPRODUCT(('Full month Pivot'!$B$3:$B$300=$B178)*('Full month Pivot'!$C$3:$C$300=$A$172)*('Full month Pivot'!$D$2:$K$2=X$2)*'Full month Pivot'!$D$3:$K$300)</f>
        <v/>
      </c>
      <c r="Y178" s="161">
        <f>SUMPRODUCT(('Full month Pivot'!$B$3:$B$300=$B178)*('Full month Pivot'!$C$3:$C$300=$A$172)*('Full month Pivot'!$D$2:$K$2=Y$2)*'Full month Pivot'!$D$3:$K$300)</f>
        <v/>
      </c>
      <c r="Z178" s="161">
        <f>SUMPRODUCT(('Full month Pivot'!$B$3:$B$300=$B178)*('Full month Pivot'!$C$3:$C$300=$A$172)*('Full month Pivot'!$D$2:$K$2=Z$2)*'Full month Pivot'!$D$3:$K$300)</f>
        <v/>
      </c>
      <c r="AA178" s="161">
        <f>SUMPRODUCT(('Full month Pivot'!$B$3:$B$300=$B178)*('Full month Pivot'!$C$3:$C$300=$A$172)*('Full month Pivot'!$D$2:$K$2=AA$2)*'Full month Pivot'!$D$3:$K$300)</f>
        <v/>
      </c>
      <c r="AB178" s="161" t="n"/>
      <c r="AC178" s="161" t="n"/>
      <c r="AD178" s="143">
        <f>AA178-Z178</f>
        <v/>
      </c>
      <c r="AE178" s="170" t="n"/>
      <c r="AF178" s="170" t="n"/>
      <c r="AG178" s="170" t="n"/>
      <c r="AH178" s="170" t="n"/>
      <c r="AI178" s="170" t="n"/>
      <c r="AJ178" s="170" t="n"/>
    </row>
    <row r="179" hidden="1" outlineLevel="1" ht="15" customHeight="1" s="239">
      <c r="A179" s="170" t="n"/>
      <c r="B179" s="170" t="inlineStr">
        <is>
          <t>Vé Xe</t>
        </is>
      </c>
      <c r="C179" s="170" t="n"/>
      <c r="D179" s="170" t="n"/>
      <c r="E179" s="170" t="n"/>
      <c r="F179" s="170" t="n"/>
      <c r="G179" s="161">
        <f>SUMPRODUCT(('MTD Pivot'!$B$3:$B$300=$B179)*('MTD Pivot'!$C$3:$C$300=$A$172)*('MTD Pivot'!$D$2:$K$2=G$2)*'MTD Pivot'!$D$3:$K$300)</f>
        <v/>
      </c>
      <c r="H179" s="161">
        <f>SUMPRODUCT(('MTD Pivot'!$B$3:$B$300=$B179)*('MTD Pivot'!$C$3:$C$300=$A$172)*('MTD Pivot'!$D$2:$K$2=H$2)*'MTD Pivot'!$D$3:$K$300)</f>
        <v/>
      </c>
      <c r="I179" s="161">
        <f>SUMPRODUCT(('MTD Pivot'!$B$3:$B$300=$B179)*('MTD Pivot'!$C$3:$C$300=$A$172)*('MTD Pivot'!$D$2:$K$2=I$2)*'MTD Pivot'!$D$3:$K$300)</f>
        <v/>
      </c>
      <c r="J179" s="161">
        <f>SUMPRODUCT(('MTD Pivot'!$B$3:$B$300=$B179)*('MTD Pivot'!$C$3:$C$300=$A$172)*('MTD Pivot'!$D$2:$K$2=J$2)*'MTD Pivot'!$D$3:$K$300)</f>
        <v/>
      </c>
      <c r="K179" s="161">
        <f>SUMPRODUCT(('MTD Pivot'!$B$3:$B$300=$B179)*('MTD Pivot'!$C$3:$C$300=$A$172)*('MTD Pivot'!$D$2:$K$2=K$2)*'MTD Pivot'!$D$3:$K$300)</f>
        <v/>
      </c>
      <c r="L179" s="161">
        <f>SUMPRODUCT(('MTD Pivot'!$B$3:$B$300=$B179)*('MTD Pivot'!$C$3:$C$300=$A$172)*('MTD Pivot'!$D$2:$K$2=L$2)*'MTD Pivot'!$D$3:$K$300)</f>
        <v/>
      </c>
      <c r="M179" s="161" t="n"/>
      <c r="N179" s="161" t="n"/>
      <c r="O179" s="143">
        <f>L179-K179</f>
        <v/>
      </c>
      <c r="P179" s="170" t="n"/>
      <c r="Q179" s="170" t="n"/>
      <c r="R179" s="170" t="n"/>
      <c r="S179" s="170" t="n"/>
      <c r="T179" s="170" t="n"/>
      <c r="U179" s="170" t="n"/>
      <c r="V179" s="161">
        <f>SUMPRODUCT(('Full month Pivot'!$B$3:$B$300=$B179)*('Full month Pivot'!$C$3:$C$300=$A$172)*('Full month Pivot'!$D$2:$K$2=V$2)*'Full month Pivot'!$D$3:$K$300)</f>
        <v/>
      </c>
      <c r="W179" s="161">
        <f>SUMPRODUCT(('Full month Pivot'!$B$3:$B$300=$B179)*('Full month Pivot'!$C$3:$C$300=$A$172)*('Full month Pivot'!$D$2:$K$2=W$2)*'Full month Pivot'!$D$3:$K$300)</f>
        <v/>
      </c>
      <c r="X179" s="161">
        <f>SUMPRODUCT(('Full month Pivot'!$B$3:$B$300=$B179)*('Full month Pivot'!$C$3:$C$300=$A$172)*('Full month Pivot'!$D$2:$K$2=X$2)*'Full month Pivot'!$D$3:$K$300)</f>
        <v/>
      </c>
      <c r="Y179" s="161">
        <f>SUMPRODUCT(('Full month Pivot'!$B$3:$B$300=$B179)*('Full month Pivot'!$C$3:$C$300=$A$172)*('Full month Pivot'!$D$2:$K$2=Y$2)*'Full month Pivot'!$D$3:$K$300)</f>
        <v/>
      </c>
      <c r="Z179" s="161">
        <f>SUMPRODUCT(('Full month Pivot'!$B$3:$B$300=$B179)*('Full month Pivot'!$C$3:$C$300=$A$172)*('Full month Pivot'!$D$2:$K$2=Z$2)*'Full month Pivot'!$D$3:$K$300)</f>
        <v/>
      </c>
      <c r="AA179" s="161">
        <f>SUMPRODUCT(('Full month Pivot'!$B$3:$B$300=$B179)*('Full month Pivot'!$C$3:$C$300=$A$172)*('Full month Pivot'!$D$2:$K$2=AA$2)*'Full month Pivot'!$D$3:$K$300)</f>
        <v/>
      </c>
      <c r="AB179" s="161" t="n"/>
      <c r="AC179" s="161" t="n"/>
      <c r="AD179" s="143">
        <f>AA179-Z179</f>
        <v/>
      </c>
      <c r="AE179" s="170" t="n"/>
      <c r="AF179" s="170" t="n"/>
      <c r="AG179" s="170" t="n"/>
      <c r="AH179" s="170" t="n"/>
      <c r="AI179" s="170" t="n"/>
      <c r="AJ179" s="170" t="n"/>
    </row>
    <row r="180" hidden="1" outlineLevel="1" ht="15" customHeight="1" s="239">
      <c r="A180" s="170" t="n"/>
      <c r="B180" s="170" t="inlineStr">
        <is>
          <t>OTA</t>
        </is>
      </c>
      <c r="C180" s="170" t="n"/>
      <c r="D180" s="170" t="n"/>
      <c r="E180" s="170" t="n"/>
      <c r="F180" s="170" t="n"/>
      <c r="G180" s="161">
        <f>SUMPRODUCT(('MTD Pivot'!$B$3:$B$300=$B180)*('MTD Pivot'!$C$3:$C$300=$A$172)*('MTD Pivot'!$D$2:$K$2=G$2)*'MTD Pivot'!$D$3:$K$300)</f>
        <v/>
      </c>
      <c r="H180" s="161">
        <f>SUMPRODUCT(('MTD Pivot'!$B$3:$B$300=$B180)*('MTD Pivot'!$C$3:$C$300=$A$172)*('MTD Pivot'!$D$2:$K$2=H$2)*'MTD Pivot'!$D$3:$K$300)</f>
        <v/>
      </c>
      <c r="I180" s="161">
        <f>SUMPRODUCT(('MTD Pivot'!$B$3:$B$300=$B180)*('MTD Pivot'!$C$3:$C$300=$A$172)*('MTD Pivot'!$D$2:$K$2=I$2)*'MTD Pivot'!$D$3:$K$300)</f>
        <v/>
      </c>
      <c r="J180" s="161">
        <f>SUMPRODUCT(('MTD Pivot'!$B$3:$B$300=$B180)*('MTD Pivot'!$C$3:$C$300=$A$172)*('MTD Pivot'!$D$2:$K$2=J$2)*'MTD Pivot'!$D$3:$K$300)</f>
        <v/>
      </c>
      <c r="K180" s="161">
        <f>SUMPRODUCT(('MTD Pivot'!$B$3:$B$300=$B180)*('MTD Pivot'!$C$3:$C$300=$A$172)*('MTD Pivot'!$D$2:$K$2=K$2)*'MTD Pivot'!$D$3:$K$300)</f>
        <v/>
      </c>
      <c r="L180" s="161">
        <f>SUMPRODUCT(('MTD Pivot'!$B$3:$B$300=$B180)*('MTD Pivot'!$C$3:$C$300=$A$172)*('MTD Pivot'!$D$2:$K$2=L$2)*'MTD Pivot'!$D$3:$K$300)</f>
        <v/>
      </c>
      <c r="M180" s="161" t="n"/>
      <c r="N180" s="161" t="n"/>
      <c r="O180" s="143">
        <f>L180-K180</f>
        <v/>
      </c>
      <c r="P180" s="170" t="n"/>
      <c r="Q180" s="170" t="n"/>
      <c r="R180" s="170" t="n"/>
      <c r="S180" s="170" t="n"/>
      <c r="T180" s="170" t="n"/>
      <c r="U180" s="170" t="n"/>
      <c r="V180" s="161">
        <f>SUMPRODUCT(('Full month Pivot'!$B$3:$B$300=$B180)*('Full month Pivot'!$C$3:$C$300=$A$172)*('Full month Pivot'!$D$2:$K$2=V$2)*'Full month Pivot'!$D$3:$K$300)</f>
        <v/>
      </c>
      <c r="W180" s="161">
        <f>SUMPRODUCT(('Full month Pivot'!$B$3:$B$300=$B180)*('Full month Pivot'!$C$3:$C$300=$A$172)*('Full month Pivot'!$D$2:$K$2=W$2)*'Full month Pivot'!$D$3:$K$300)</f>
        <v/>
      </c>
      <c r="X180" s="161">
        <f>SUMPRODUCT(('Full month Pivot'!$B$3:$B$300=$B180)*('Full month Pivot'!$C$3:$C$300=$A$172)*('Full month Pivot'!$D$2:$K$2=X$2)*'Full month Pivot'!$D$3:$K$300)</f>
        <v/>
      </c>
      <c r="Y180" s="161">
        <f>SUMPRODUCT(('Full month Pivot'!$B$3:$B$300=$B180)*('Full month Pivot'!$C$3:$C$300=$A$172)*('Full month Pivot'!$D$2:$K$2=Y$2)*'Full month Pivot'!$D$3:$K$300)</f>
        <v/>
      </c>
      <c r="Z180" s="161">
        <f>SUMPRODUCT(('Full month Pivot'!$B$3:$B$300=$B180)*('Full month Pivot'!$C$3:$C$300=$A$172)*('Full month Pivot'!$D$2:$K$2=Z$2)*'Full month Pivot'!$D$3:$K$300)</f>
        <v/>
      </c>
      <c r="AA180" s="161">
        <f>SUMPRODUCT(('Full month Pivot'!$B$3:$B$300=$B180)*('Full month Pivot'!$C$3:$C$300=$A$172)*('Full month Pivot'!$D$2:$K$2=AA$2)*'Full month Pivot'!$D$3:$K$300)</f>
        <v/>
      </c>
      <c r="AB180" s="161" t="n"/>
      <c r="AC180" s="161" t="n"/>
      <c r="AD180" s="143">
        <f>AA180-Z180</f>
        <v/>
      </c>
      <c r="AE180" s="170" t="n"/>
      <c r="AF180" s="170" t="n"/>
      <c r="AG180" s="170" t="n"/>
      <c r="AH180" s="170" t="n"/>
      <c r="AI180" s="170" t="n"/>
      <c r="AJ180" s="170" t="n"/>
    </row>
    <row r="181" hidden="1" outlineLevel="1" ht="15" customHeight="1" s="239">
      <c r="A181" s="170" t="n"/>
      <c r="B181" s="170" t="inlineStr">
        <is>
          <t>Merchant</t>
        </is>
      </c>
      <c r="C181" s="170" t="n"/>
      <c r="D181" s="170" t="n"/>
      <c r="E181" s="170" t="n"/>
      <c r="F181" s="170" t="n"/>
      <c r="G181" s="161">
        <f>SUMPRODUCT(('MTD Pivot'!$B$3:$B$300=$B181)*('MTD Pivot'!$C$3:$C$300=$A$172)*('MTD Pivot'!$D$2:$K$2=G$2)*'MTD Pivot'!$D$3:$K$300)</f>
        <v/>
      </c>
      <c r="H181" s="161">
        <f>SUMPRODUCT(('MTD Pivot'!$B$3:$B$300=$B181)*('MTD Pivot'!$C$3:$C$300=$A$172)*('MTD Pivot'!$D$2:$K$2=H$2)*'MTD Pivot'!$D$3:$K$300)</f>
        <v/>
      </c>
      <c r="I181" s="161">
        <f>SUMPRODUCT(('MTD Pivot'!$B$3:$B$300=$B181)*('MTD Pivot'!$C$3:$C$300=$A$172)*('MTD Pivot'!$D$2:$K$2=I$2)*'MTD Pivot'!$D$3:$K$300)</f>
        <v/>
      </c>
      <c r="J181" s="161">
        <f>SUMPRODUCT(('MTD Pivot'!$B$3:$B$300=$B181)*('MTD Pivot'!$C$3:$C$300=$A$172)*('MTD Pivot'!$D$2:$K$2=J$2)*'MTD Pivot'!$D$3:$K$300)</f>
        <v/>
      </c>
      <c r="K181" s="161">
        <f>SUMPRODUCT(('MTD Pivot'!$B$3:$B$300=$B181)*('MTD Pivot'!$C$3:$C$300=$A$172)*('MTD Pivot'!$D$2:$K$2=K$2)*'MTD Pivot'!$D$3:$K$300)</f>
        <v/>
      </c>
      <c r="L181" s="161">
        <f>SUMPRODUCT(('MTD Pivot'!$B$3:$B$300=$B181)*('MTD Pivot'!$C$3:$C$300=$A$172)*('MTD Pivot'!$D$2:$K$2=L$2)*'MTD Pivot'!$D$3:$K$300)</f>
        <v/>
      </c>
      <c r="M181" s="161" t="n"/>
      <c r="N181" s="161" t="n"/>
      <c r="O181" s="143">
        <f>L181-K181</f>
        <v/>
      </c>
      <c r="P181" s="170" t="n"/>
      <c r="Q181" s="170" t="n"/>
      <c r="R181" s="170" t="n"/>
      <c r="S181" s="170" t="n"/>
      <c r="T181" s="170" t="n"/>
      <c r="U181" s="170" t="n"/>
      <c r="V181" s="161">
        <f>SUMPRODUCT(('Full month Pivot'!$B$3:$B$300=$B181)*('Full month Pivot'!$C$3:$C$300=$A$172)*('Full month Pivot'!$D$2:$K$2=V$2)*'Full month Pivot'!$D$3:$K$300)</f>
        <v/>
      </c>
      <c r="W181" s="161">
        <f>SUMPRODUCT(('Full month Pivot'!$B$3:$B$300=$B181)*('Full month Pivot'!$C$3:$C$300=$A$172)*('Full month Pivot'!$D$2:$K$2=W$2)*'Full month Pivot'!$D$3:$K$300)</f>
        <v/>
      </c>
      <c r="X181" s="161">
        <f>SUMPRODUCT(('Full month Pivot'!$B$3:$B$300=$B181)*('Full month Pivot'!$C$3:$C$300=$A$172)*('Full month Pivot'!$D$2:$K$2=X$2)*'Full month Pivot'!$D$3:$K$300)</f>
        <v/>
      </c>
      <c r="Y181" s="161">
        <f>SUMPRODUCT(('Full month Pivot'!$B$3:$B$300=$B181)*('Full month Pivot'!$C$3:$C$300=$A$172)*('Full month Pivot'!$D$2:$K$2=Y$2)*'Full month Pivot'!$D$3:$K$300)</f>
        <v/>
      </c>
      <c r="Z181" s="161">
        <f>SUMPRODUCT(('Full month Pivot'!$B$3:$B$300=$B181)*('Full month Pivot'!$C$3:$C$300=$A$172)*('Full month Pivot'!$D$2:$K$2=Z$2)*'Full month Pivot'!$D$3:$K$300)</f>
        <v/>
      </c>
      <c r="AA181" s="161">
        <f>SUMPRODUCT(('Full month Pivot'!$B$3:$B$300=$B181)*('Full month Pivot'!$C$3:$C$300=$A$172)*('Full month Pivot'!$D$2:$K$2=AA$2)*'Full month Pivot'!$D$3:$K$300)</f>
        <v/>
      </c>
      <c r="AB181" s="161" t="n"/>
      <c r="AC181" s="161" t="n"/>
      <c r="AD181" s="143">
        <f>AA181-Z181</f>
        <v/>
      </c>
      <c r="AE181" s="170" t="n"/>
      <c r="AF181" s="170" t="n"/>
      <c r="AG181" s="170" t="n"/>
      <c r="AH181" s="170" t="n"/>
      <c r="AI181" s="170" t="n"/>
      <c r="AJ181" s="170" t="n"/>
    </row>
    <row r="182" hidden="1" outlineLevel="1" ht="15.75" customHeight="1" s="239">
      <c r="A182" s="170" t="n"/>
      <c r="B182" s="170" t="inlineStr">
        <is>
          <t>Sim</t>
        </is>
      </c>
      <c r="C182" s="170" t="n"/>
      <c r="D182" s="170" t="n"/>
      <c r="E182" s="170" t="n"/>
      <c r="F182" s="170" t="n"/>
      <c r="G182" s="161">
        <f>SUMPRODUCT(('MTD Pivot'!$B$3:$B$300=$B182)*('MTD Pivot'!$C$3:$C$300=$A$172)*('MTD Pivot'!$D$2:$K$2=G$2)*'MTD Pivot'!$D$3:$K$300)</f>
        <v/>
      </c>
      <c r="H182" s="161">
        <f>SUMPRODUCT(('MTD Pivot'!$B$3:$B$300=$B182)*('MTD Pivot'!$C$3:$C$300=$A$172)*('MTD Pivot'!$D$2:$K$2=H$2)*'MTD Pivot'!$D$3:$K$300)</f>
        <v/>
      </c>
      <c r="I182" s="161">
        <f>SUMPRODUCT(('MTD Pivot'!$B$3:$B$300=$B182)*('MTD Pivot'!$C$3:$C$300=$A$172)*('MTD Pivot'!$D$2:$K$2=I$2)*'MTD Pivot'!$D$3:$K$300)</f>
        <v/>
      </c>
      <c r="J182" s="161">
        <f>SUMPRODUCT(('MTD Pivot'!$B$3:$B$300=$B182)*('MTD Pivot'!$C$3:$C$300=$A$172)*('MTD Pivot'!$D$2:$K$2=J$2)*'MTD Pivot'!$D$3:$K$300)</f>
        <v/>
      </c>
      <c r="K182" s="161">
        <f>SUMPRODUCT(('MTD Pivot'!$B$3:$B$300=$B182)*('MTD Pivot'!$C$3:$C$300=$A$172)*('MTD Pivot'!$D$2:$K$2=K$2)*'MTD Pivot'!$D$3:$K$300)</f>
        <v/>
      </c>
      <c r="L182" s="161">
        <f>SUMPRODUCT(('MTD Pivot'!$B$3:$B$300=$B182)*('MTD Pivot'!$C$3:$C$300=$A$172)*('MTD Pivot'!$D$2:$K$2=L$2)*'MTD Pivot'!$D$3:$K$300)</f>
        <v/>
      </c>
      <c r="M182" s="161" t="n"/>
      <c r="N182" s="161" t="n"/>
      <c r="O182" s="143">
        <f>L182-K182</f>
        <v/>
      </c>
      <c r="P182" s="170" t="n"/>
      <c r="Q182" s="170" t="n"/>
      <c r="R182" s="170" t="n"/>
      <c r="S182" s="170" t="n"/>
      <c r="T182" s="170" t="n"/>
      <c r="U182" s="170" t="n"/>
      <c r="V182" s="161">
        <f>SUMPRODUCT(('Full month Pivot'!$B$3:$B$300=$B182)*('Full month Pivot'!$C$3:$C$300=$A$172)*('Full month Pivot'!$D$2:$K$2=V$2)*'Full month Pivot'!$D$3:$K$300)</f>
        <v/>
      </c>
      <c r="W182" s="161">
        <f>SUMPRODUCT(('Full month Pivot'!$B$3:$B$300=$B182)*('Full month Pivot'!$C$3:$C$300=$A$172)*('Full month Pivot'!$D$2:$K$2=W$2)*'Full month Pivot'!$D$3:$K$300)</f>
        <v/>
      </c>
      <c r="X182" s="161">
        <f>SUMPRODUCT(('Full month Pivot'!$B$3:$B$300=$B182)*('Full month Pivot'!$C$3:$C$300=$A$172)*('Full month Pivot'!$D$2:$K$2=X$2)*'Full month Pivot'!$D$3:$K$300)</f>
        <v/>
      </c>
      <c r="Y182" s="161">
        <f>SUMPRODUCT(('Full month Pivot'!$B$3:$B$300=$B182)*('Full month Pivot'!$C$3:$C$300=$A$172)*('Full month Pivot'!$D$2:$K$2=Y$2)*'Full month Pivot'!$D$3:$K$300)</f>
        <v/>
      </c>
      <c r="Z182" s="161">
        <f>SUMPRODUCT(('Full month Pivot'!$B$3:$B$300=$B182)*('Full month Pivot'!$C$3:$C$300=$A$172)*('Full month Pivot'!$D$2:$K$2=Z$2)*'Full month Pivot'!$D$3:$K$300)</f>
        <v/>
      </c>
      <c r="AA182" s="161">
        <f>SUMPRODUCT(('Full month Pivot'!$B$3:$B$300=$B182)*('Full month Pivot'!$C$3:$C$300=$A$172)*('Full month Pivot'!$D$2:$K$2=AA$2)*'Full month Pivot'!$D$3:$K$300)</f>
        <v/>
      </c>
      <c r="AB182" s="161" t="n"/>
      <c r="AC182" s="161" t="n"/>
      <c r="AD182" s="143">
        <f>AA182-Z182</f>
        <v/>
      </c>
      <c r="AE182" s="170" t="n"/>
      <c r="AF182" s="170" t="n"/>
      <c r="AG182" s="170" t="n"/>
      <c r="AH182" s="170" t="n"/>
      <c r="AI182" s="170" t="n"/>
      <c r="AJ182" s="170" t="n"/>
    </row>
    <row r="183" hidden="1" outlineLevel="1" ht="15.75" customHeight="1" s="239">
      <c r="A183" s="170" t="n"/>
      <c r="B183" s="170" t="inlineStr">
        <is>
          <t>Game</t>
        </is>
      </c>
      <c r="C183" s="170" t="n"/>
      <c r="D183" s="170" t="n"/>
      <c r="E183" s="170" t="n"/>
      <c r="F183" s="170" t="n"/>
      <c r="G183" s="161">
        <f>SUMPRODUCT(('MTD Pivot'!$B$3:$B$300=$B183)*('MTD Pivot'!$C$3:$C$300=$A$172)*('MTD Pivot'!$D$2:$K$2=G$2)*'MTD Pivot'!$D$3:$K$300)</f>
        <v/>
      </c>
      <c r="H183" s="161">
        <f>SUMPRODUCT(('MTD Pivot'!$B$3:$B$300=$B183)*('MTD Pivot'!$C$3:$C$300=$A$172)*('MTD Pivot'!$D$2:$K$2=H$2)*'MTD Pivot'!$D$3:$K$300)</f>
        <v/>
      </c>
      <c r="I183" s="161">
        <f>SUMPRODUCT(('MTD Pivot'!$B$3:$B$300=$B183)*('MTD Pivot'!$C$3:$C$300=$A$172)*('MTD Pivot'!$D$2:$K$2=I$2)*'MTD Pivot'!$D$3:$K$300)</f>
        <v/>
      </c>
      <c r="J183" s="161">
        <f>SUMPRODUCT(('MTD Pivot'!$B$3:$B$300=$B183)*('MTD Pivot'!$C$3:$C$300=$A$172)*('MTD Pivot'!$D$2:$K$2=J$2)*'MTD Pivot'!$D$3:$K$300)</f>
        <v/>
      </c>
      <c r="K183" s="161">
        <f>SUMPRODUCT(('MTD Pivot'!$B$3:$B$300=$B183)*('MTD Pivot'!$C$3:$C$300=$A$172)*('MTD Pivot'!$D$2:$K$2=K$2)*'MTD Pivot'!$D$3:$K$300)</f>
        <v/>
      </c>
      <c r="L183" s="161">
        <f>SUMPRODUCT(('MTD Pivot'!$B$3:$B$300=$B183)*('MTD Pivot'!$C$3:$C$300=$A$172)*('MTD Pivot'!$D$2:$K$2=L$2)*'MTD Pivot'!$D$3:$K$300)</f>
        <v/>
      </c>
      <c r="M183" s="161" t="n"/>
      <c r="N183" s="161" t="n"/>
      <c r="O183" s="143">
        <f>L183-K183</f>
        <v/>
      </c>
      <c r="P183" s="170" t="n"/>
      <c r="Q183" s="170" t="n"/>
      <c r="R183" s="170" t="n"/>
      <c r="S183" s="170" t="n"/>
      <c r="T183" s="170" t="n"/>
      <c r="U183" s="170" t="n"/>
      <c r="V183" s="161">
        <f>SUMPRODUCT(('Full month Pivot'!$B$3:$B$300=$B183)*('Full month Pivot'!$C$3:$C$300=$A$172)*('Full month Pivot'!$D$2:$K$2=V$2)*'Full month Pivot'!$D$3:$K$300)</f>
        <v/>
      </c>
      <c r="W183" s="161">
        <f>SUMPRODUCT(('Full month Pivot'!$B$3:$B$300=$B183)*('Full month Pivot'!$C$3:$C$300=$A$172)*('Full month Pivot'!$D$2:$K$2=W$2)*'Full month Pivot'!$D$3:$K$300)</f>
        <v/>
      </c>
      <c r="X183" s="161">
        <f>SUMPRODUCT(('Full month Pivot'!$B$3:$B$300=$B183)*('Full month Pivot'!$C$3:$C$300=$A$172)*('Full month Pivot'!$D$2:$K$2=X$2)*'Full month Pivot'!$D$3:$K$300)</f>
        <v/>
      </c>
      <c r="Y183" s="161">
        <f>SUMPRODUCT(('Full month Pivot'!$B$3:$B$300=$B183)*('Full month Pivot'!$C$3:$C$300=$A$172)*('Full month Pivot'!$D$2:$K$2=Y$2)*'Full month Pivot'!$D$3:$K$300)</f>
        <v/>
      </c>
      <c r="Z183" s="161">
        <f>SUMPRODUCT(('Full month Pivot'!$B$3:$B$300=$B183)*('Full month Pivot'!$C$3:$C$300=$A$172)*('Full month Pivot'!$D$2:$K$2=Z$2)*'Full month Pivot'!$D$3:$K$300)</f>
        <v/>
      </c>
      <c r="AA183" s="161">
        <f>SUMPRODUCT(('Full month Pivot'!$B$3:$B$300=$B183)*('Full month Pivot'!$C$3:$C$300=$A$172)*('Full month Pivot'!$D$2:$K$2=AA$2)*'Full month Pivot'!$D$3:$K$300)</f>
        <v/>
      </c>
      <c r="AB183" s="161" t="n"/>
      <c r="AC183" s="161" t="n"/>
      <c r="AD183" s="143">
        <f>AA183-Z183</f>
        <v/>
      </c>
      <c r="AE183" s="170" t="n"/>
      <c r="AF183" s="170" t="n"/>
      <c r="AG183" s="170" t="n"/>
      <c r="AH183" s="170" t="n"/>
      <c r="AI183" s="170" t="n"/>
      <c r="AJ183" s="170" t="n"/>
    </row>
    <row r="184" hidden="1" outlineLevel="1" ht="15.75" customHeight="1" s="239">
      <c r="A184" s="170" t="n"/>
      <c r="B184" s="170" t="inlineStr">
        <is>
          <t>Bảo Hiểm Ô Tô</t>
        </is>
      </c>
      <c r="C184" s="170" t="n"/>
      <c r="D184" s="170" t="n"/>
      <c r="E184" s="170" t="n"/>
      <c r="F184" s="170" t="n"/>
      <c r="G184" s="161">
        <f>SUMPRODUCT(('MTD Pivot'!$B$3:$B$300=$B184)*('MTD Pivot'!$C$3:$C$300=$A$172)*('MTD Pivot'!$D$2:$K$2=G$2)*'MTD Pivot'!$D$3:$K$300)</f>
        <v/>
      </c>
      <c r="H184" s="161">
        <f>SUMPRODUCT(('MTD Pivot'!$B$3:$B$300=$B184)*('MTD Pivot'!$C$3:$C$300=$A$172)*('MTD Pivot'!$D$2:$K$2=H$2)*'MTD Pivot'!$D$3:$K$300)</f>
        <v/>
      </c>
      <c r="I184" s="161">
        <f>SUMPRODUCT(('MTD Pivot'!$B$3:$B$300=$B184)*('MTD Pivot'!$C$3:$C$300=$A$172)*('MTD Pivot'!$D$2:$K$2=I$2)*'MTD Pivot'!$D$3:$K$300)</f>
        <v/>
      </c>
      <c r="J184" s="161">
        <f>SUMPRODUCT(('MTD Pivot'!$B$3:$B$300=$B184)*('MTD Pivot'!$C$3:$C$300=$A$172)*('MTD Pivot'!$D$2:$K$2=J$2)*'MTD Pivot'!$D$3:$K$300)</f>
        <v/>
      </c>
      <c r="K184" s="161">
        <f>SUMPRODUCT(('MTD Pivot'!$B$3:$B$300=$B184)*('MTD Pivot'!$C$3:$C$300=$A$172)*('MTD Pivot'!$D$2:$K$2=K$2)*'MTD Pivot'!$D$3:$K$300)</f>
        <v/>
      </c>
      <c r="L184" s="161">
        <f>SUMPRODUCT(('MTD Pivot'!$B$3:$B$300=$B184)*('MTD Pivot'!$C$3:$C$300=$A$172)*('MTD Pivot'!$D$2:$K$2=L$2)*'MTD Pivot'!$D$3:$K$300)</f>
        <v/>
      </c>
      <c r="M184" s="161" t="n"/>
      <c r="N184" s="161" t="n"/>
      <c r="O184" s="143">
        <f>L184-K184</f>
        <v/>
      </c>
      <c r="P184" s="170" t="n"/>
      <c r="Q184" s="170" t="n"/>
      <c r="R184" s="170" t="n"/>
      <c r="S184" s="170" t="n"/>
      <c r="T184" s="170" t="n"/>
      <c r="U184" s="170" t="n"/>
      <c r="V184" s="161">
        <f>SUMPRODUCT(('Full month Pivot'!$B$3:$B$300=$B184)*('Full month Pivot'!$C$3:$C$300=$A$172)*('Full month Pivot'!$D$2:$K$2=V$2)*'Full month Pivot'!$D$3:$K$300)</f>
        <v/>
      </c>
      <c r="W184" s="161">
        <f>SUMPRODUCT(('Full month Pivot'!$B$3:$B$300=$B184)*('Full month Pivot'!$C$3:$C$300=$A$172)*('Full month Pivot'!$D$2:$K$2=W$2)*'Full month Pivot'!$D$3:$K$300)</f>
        <v/>
      </c>
      <c r="X184" s="161">
        <f>SUMPRODUCT(('Full month Pivot'!$B$3:$B$300=$B184)*('Full month Pivot'!$C$3:$C$300=$A$172)*('Full month Pivot'!$D$2:$K$2=X$2)*'Full month Pivot'!$D$3:$K$300)</f>
        <v/>
      </c>
      <c r="Y184" s="161">
        <f>SUMPRODUCT(('Full month Pivot'!$B$3:$B$300=$B184)*('Full month Pivot'!$C$3:$C$300=$A$172)*('Full month Pivot'!$D$2:$K$2=Y$2)*'Full month Pivot'!$D$3:$K$300)</f>
        <v/>
      </c>
      <c r="Z184" s="161">
        <f>SUMPRODUCT(('Full month Pivot'!$B$3:$B$300=$B184)*('Full month Pivot'!$C$3:$C$300=$A$172)*('Full month Pivot'!$D$2:$K$2=Z$2)*'Full month Pivot'!$D$3:$K$300)</f>
        <v/>
      </c>
      <c r="AA184" s="161">
        <f>SUMPRODUCT(('Full month Pivot'!$B$3:$B$300=$B184)*('Full month Pivot'!$C$3:$C$300=$A$172)*('Full month Pivot'!$D$2:$K$2=AA$2)*'Full month Pivot'!$D$3:$K$300)</f>
        <v/>
      </c>
      <c r="AB184" s="161" t="n"/>
      <c r="AC184" s="161" t="n"/>
      <c r="AD184" s="143">
        <f>AA184-Z184</f>
        <v/>
      </c>
      <c r="AE184" s="170" t="n"/>
      <c r="AF184" s="170" t="n"/>
      <c r="AG184" s="170" t="n"/>
      <c r="AH184" s="170" t="n"/>
      <c r="AI184" s="170" t="n"/>
      <c r="AJ184" s="170" t="n"/>
    </row>
    <row r="185" hidden="1" outlineLevel="1" ht="15.75" customHeight="1" s="239">
      <c r="A185" s="170" t="n"/>
      <c r="B185" s="170" t="inlineStr">
        <is>
          <t>Bảo Hiểm Xe Máy</t>
        </is>
      </c>
      <c r="C185" s="170" t="n"/>
      <c r="D185" s="170" t="n"/>
      <c r="E185" s="170" t="n"/>
      <c r="F185" s="170" t="n"/>
      <c r="G185" s="161">
        <f>SUMPRODUCT(('MTD Pivot'!$B$3:$B$300=$B185)*('MTD Pivot'!$C$3:$C$300=$A$172)*('MTD Pivot'!$D$2:$K$2=G$2)*'MTD Pivot'!$D$3:$K$300)</f>
        <v/>
      </c>
      <c r="H185" s="161">
        <f>SUMPRODUCT(('MTD Pivot'!$B$3:$B$300=$B185)*('MTD Pivot'!$C$3:$C$300=$A$172)*('MTD Pivot'!$D$2:$K$2=H$2)*'MTD Pivot'!$D$3:$K$300)</f>
        <v/>
      </c>
      <c r="I185" s="161">
        <f>SUMPRODUCT(('MTD Pivot'!$B$3:$B$300=$B185)*('MTD Pivot'!$C$3:$C$300=$A$172)*('MTD Pivot'!$D$2:$K$2=I$2)*'MTD Pivot'!$D$3:$K$300)</f>
        <v/>
      </c>
      <c r="J185" s="161">
        <f>SUMPRODUCT(('MTD Pivot'!$B$3:$B$300=$B185)*('MTD Pivot'!$C$3:$C$300=$A$172)*('MTD Pivot'!$D$2:$K$2=J$2)*'MTD Pivot'!$D$3:$K$300)</f>
        <v/>
      </c>
      <c r="K185" s="161">
        <f>SUMPRODUCT(('MTD Pivot'!$B$3:$B$300=$B185)*('MTD Pivot'!$C$3:$C$300=$A$172)*('MTD Pivot'!$D$2:$K$2=K$2)*'MTD Pivot'!$D$3:$K$300)</f>
        <v/>
      </c>
      <c r="L185" s="161">
        <f>SUMPRODUCT(('MTD Pivot'!$B$3:$B$300=$B185)*('MTD Pivot'!$C$3:$C$300=$A$172)*('MTD Pivot'!$D$2:$K$2=L$2)*'MTD Pivot'!$D$3:$K$300)</f>
        <v/>
      </c>
      <c r="M185" s="161" t="n"/>
      <c r="N185" s="161" t="n"/>
      <c r="O185" s="143">
        <f>L185-K185</f>
        <v/>
      </c>
      <c r="P185" s="170" t="n"/>
      <c r="Q185" s="170" t="n"/>
      <c r="R185" s="170" t="n"/>
      <c r="S185" s="170" t="n"/>
      <c r="T185" s="170" t="n"/>
      <c r="U185" s="170" t="n"/>
      <c r="V185" s="161">
        <f>SUMPRODUCT(('Full month Pivot'!$B$3:$B$300=$B185)*('Full month Pivot'!$C$3:$C$300=$A$172)*('Full month Pivot'!$D$2:$K$2=V$2)*'Full month Pivot'!$D$3:$K$300)</f>
        <v/>
      </c>
      <c r="W185" s="161">
        <f>SUMPRODUCT(('Full month Pivot'!$B$3:$B$300=$B185)*('Full month Pivot'!$C$3:$C$300=$A$172)*('Full month Pivot'!$D$2:$K$2=W$2)*'Full month Pivot'!$D$3:$K$300)</f>
        <v/>
      </c>
      <c r="X185" s="161">
        <f>SUMPRODUCT(('Full month Pivot'!$B$3:$B$300=$B185)*('Full month Pivot'!$C$3:$C$300=$A$172)*('Full month Pivot'!$D$2:$K$2=X$2)*'Full month Pivot'!$D$3:$K$300)</f>
        <v/>
      </c>
      <c r="Y185" s="161">
        <f>SUMPRODUCT(('Full month Pivot'!$B$3:$B$300=$B185)*('Full month Pivot'!$C$3:$C$300=$A$172)*('Full month Pivot'!$D$2:$K$2=Y$2)*'Full month Pivot'!$D$3:$K$300)</f>
        <v/>
      </c>
      <c r="Z185" s="161">
        <f>SUMPRODUCT(('Full month Pivot'!$B$3:$B$300=$B185)*('Full month Pivot'!$C$3:$C$300=$A$172)*('Full month Pivot'!$D$2:$K$2=Z$2)*'Full month Pivot'!$D$3:$K$300)</f>
        <v/>
      </c>
      <c r="AA185" s="161">
        <f>SUMPRODUCT(('Full month Pivot'!$B$3:$B$300=$B185)*('Full month Pivot'!$C$3:$C$300=$A$172)*('Full month Pivot'!$D$2:$K$2=AA$2)*'Full month Pivot'!$D$3:$K$300)</f>
        <v/>
      </c>
      <c r="AB185" s="161" t="n"/>
      <c r="AC185" s="161" t="n"/>
      <c r="AD185" s="143">
        <f>AA185-Z185</f>
        <v/>
      </c>
      <c r="AE185" s="170" t="n"/>
      <c r="AF185" s="170" t="n"/>
      <c r="AG185" s="170" t="n"/>
      <c r="AH185" s="170" t="n"/>
      <c r="AI185" s="170" t="n"/>
      <c r="AJ185" s="170" t="n"/>
    </row>
    <row r="186" hidden="1" outlineLevel="1" ht="15.75" customHeight="1" s="239">
      <c r="A186" s="170" t="n"/>
      <c r="B186" s="170" t="inlineStr">
        <is>
          <t>Bảo Hiểm Y Tế</t>
        </is>
      </c>
      <c r="C186" s="170" t="n"/>
      <c r="D186" s="170" t="n"/>
      <c r="E186" s="170" t="n"/>
      <c r="F186" s="170" t="n"/>
      <c r="G186" s="161">
        <f>SUMPRODUCT(('MTD Pivot'!$B$3:$B$300=$B186)*('MTD Pivot'!$C$3:$C$300=$A$172)*('MTD Pivot'!$D$2:$K$2=G$2)*'MTD Pivot'!$D$3:$K$300)</f>
        <v/>
      </c>
      <c r="H186" s="161">
        <f>SUMPRODUCT(('MTD Pivot'!$B$3:$B$300=$B186)*('MTD Pivot'!$C$3:$C$300=$A$172)*('MTD Pivot'!$D$2:$K$2=H$2)*'MTD Pivot'!$D$3:$K$300)</f>
        <v/>
      </c>
      <c r="I186" s="161">
        <f>SUMPRODUCT(('MTD Pivot'!$B$3:$B$300=$B186)*('MTD Pivot'!$C$3:$C$300=$A$172)*('MTD Pivot'!$D$2:$K$2=I$2)*'MTD Pivot'!$D$3:$K$300)</f>
        <v/>
      </c>
      <c r="J186" s="161">
        <f>SUMPRODUCT(('MTD Pivot'!$B$3:$B$300=$B186)*('MTD Pivot'!$C$3:$C$300=$A$172)*('MTD Pivot'!$D$2:$K$2=J$2)*'MTD Pivot'!$D$3:$K$300)</f>
        <v/>
      </c>
      <c r="K186" s="161">
        <f>SUMPRODUCT(('MTD Pivot'!$B$3:$B$300=$B186)*('MTD Pivot'!$C$3:$C$300=$A$172)*('MTD Pivot'!$D$2:$K$2=K$2)*'MTD Pivot'!$D$3:$K$300)</f>
        <v/>
      </c>
      <c r="L186" s="161">
        <f>SUMPRODUCT(('MTD Pivot'!$B$3:$B$300=$B186)*('MTD Pivot'!$C$3:$C$300=$A$172)*('MTD Pivot'!$D$2:$K$2=L$2)*'MTD Pivot'!$D$3:$K$300)</f>
        <v/>
      </c>
      <c r="M186" s="161" t="n"/>
      <c r="N186" s="161" t="n"/>
      <c r="O186" s="143">
        <f>L186-K186</f>
        <v/>
      </c>
      <c r="P186" s="170" t="n"/>
      <c r="Q186" s="170" t="n"/>
      <c r="R186" s="170" t="n"/>
      <c r="S186" s="170" t="n"/>
      <c r="T186" s="170" t="n"/>
      <c r="U186" s="170" t="n"/>
      <c r="V186" s="161">
        <f>SUMPRODUCT(('Full month Pivot'!$B$3:$B$300=$B186)*('Full month Pivot'!$C$3:$C$300=$A$172)*('Full month Pivot'!$D$2:$K$2=V$2)*'Full month Pivot'!$D$3:$K$300)</f>
        <v/>
      </c>
      <c r="W186" s="161">
        <f>SUMPRODUCT(('Full month Pivot'!$B$3:$B$300=$B186)*('Full month Pivot'!$C$3:$C$300=$A$172)*('Full month Pivot'!$D$2:$K$2=W$2)*'Full month Pivot'!$D$3:$K$300)</f>
        <v/>
      </c>
      <c r="X186" s="161">
        <f>SUMPRODUCT(('Full month Pivot'!$B$3:$B$300=$B186)*('Full month Pivot'!$C$3:$C$300=$A$172)*('Full month Pivot'!$D$2:$K$2=X$2)*'Full month Pivot'!$D$3:$K$300)</f>
        <v/>
      </c>
      <c r="Y186" s="161">
        <f>SUMPRODUCT(('Full month Pivot'!$B$3:$B$300=$B186)*('Full month Pivot'!$C$3:$C$300=$A$172)*('Full month Pivot'!$D$2:$K$2=Y$2)*'Full month Pivot'!$D$3:$K$300)</f>
        <v/>
      </c>
      <c r="Z186" s="161">
        <f>SUMPRODUCT(('Full month Pivot'!$B$3:$B$300=$B186)*('Full month Pivot'!$C$3:$C$300=$A$172)*('Full month Pivot'!$D$2:$K$2=Z$2)*'Full month Pivot'!$D$3:$K$300)</f>
        <v/>
      </c>
      <c r="AA186" s="161">
        <f>SUMPRODUCT(('Full month Pivot'!$B$3:$B$300=$B186)*('Full month Pivot'!$C$3:$C$300=$A$172)*('Full month Pivot'!$D$2:$K$2=AA$2)*'Full month Pivot'!$D$3:$K$300)</f>
        <v/>
      </c>
      <c r="AB186" s="161" t="n"/>
      <c r="AC186" s="161" t="n"/>
      <c r="AD186" s="143">
        <f>AA186-Z186</f>
        <v/>
      </c>
      <c r="AE186" s="170" t="n"/>
      <c r="AF186" s="170" t="n"/>
      <c r="AG186" s="170" t="n"/>
      <c r="AH186" s="170" t="n"/>
      <c r="AI186" s="170" t="n"/>
      <c r="AJ186" s="170" t="n"/>
    </row>
    <row r="187" hidden="1" outlineLevel="1" ht="15.75" customHeight="1" s="239">
      <c r="A187" s="170" t="n"/>
      <c r="B187" s="170" t="inlineStr">
        <is>
          <t>Data</t>
        </is>
      </c>
      <c r="C187" s="170" t="n"/>
      <c r="D187" s="170" t="n"/>
      <c r="E187" s="170" t="n"/>
      <c r="F187" s="170" t="n"/>
      <c r="G187" s="161">
        <f>SUMPRODUCT(('MTD Pivot'!$B$3:$B$300=$B187)*('MTD Pivot'!$C$3:$C$300=$A$172)*('MTD Pivot'!$D$2:$K$2=G$2)*'MTD Pivot'!$D$3:$K$300)</f>
        <v/>
      </c>
      <c r="H187" s="161">
        <f>SUMPRODUCT(('MTD Pivot'!$B$3:$B$300=$B187)*('MTD Pivot'!$C$3:$C$300=$A$172)*('MTD Pivot'!$D$2:$K$2=H$2)*'MTD Pivot'!$D$3:$K$300)</f>
        <v/>
      </c>
      <c r="I187" s="161">
        <f>SUMPRODUCT(('MTD Pivot'!$B$3:$B$300=$B187)*('MTD Pivot'!$C$3:$C$300=$A$172)*('MTD Pivot'!$D$2:$K$2=I$2)*'MTD Pivot'!$D$3:$K$300)</f>
        <v/>
      </c>
      <c r="J187" s="161">
        <f>SUMPRODUCT(('MTD Pivot'!$B$3:$B$300=$B187)*('MTD Pivot'!$C$3:$C$300=$A$172)*('MTD Pivot'!$D$2:$K$2=J$2)*'MTD Pivot'!$D$3:$K$300)</f>
        <v/>
      </c>
      <c r="K187" s="161">
        <f>SUMPRODUCT(('MTD Pivot'!$B$3:$B$300=$B187)*('MTD Pivot'!$C$3:$C$300=$A$172)*('MTD Pivot'!$D$2:$K$2=K$2)*'MTD Pivot'!$D$3:$K$300)</f>
        <v/>
      </c>
      <c r="L187" s="161">
        <f>SUMPRODUCT(('MTD Pivot'!$B$3:$B$300=$B187)*('MTD Pivot'!$C$3:$C$300=$A$172)*('MTD Pivot'!$D$2:$K$2=L$2)*'MTD Pivot'!$D$3:$K$300)</f>
        <v/>
      </c>
      <c r="M187" s="161" t="n"/>
      <c r="N187" s="161" t="n"/>
      <c r="O187" s="143">
        <f>L187-K187</f>
        <v/>
      </c>
      <c r="P187" s="170" t="n"/>
      <c r="Q187" s="170" t="n"/>
      <c r="R187" s="170" t="n"/>
      <c r="S187" s="170" t="n"/>
      <c r="T187" s="170" t="n"/>
      <c r="U187" s="170" t="n"/>
      <c r="V187" s="161">
        <f>SUMPRODUCT(('Full month Pivot'!$B$3:$B$300=$B187)*('Full month Pivot'!$C$3:$C$300=$A$172)*('Full month Pivot'!$D$2:$K$2=V$2)*'Full month Pivot'!$D$3:$K$300)</f>
        <v/>
      </c>
      <c r="W187" s="161">
        <f>SUMPRODUCT(('Full month Pivot'!$B$3:$B$300=$B187)*('Full month Pivot'!$C$3:$C$300=$A$172)*('Full month Pivot'!$D$2:$K$2=W$2)*'Full month Pivot'!$D$3:$K$300)</f>
        <v/>
      </c>
      <c r="X187" s="161">
        <f>SUMPRODUCT(('Full month Pivot'!$B$3:$B$300=$B187)*('Full month Pivot'!$C$3:$C$300=$A$172)*('Full month Pivot'!$D$2:$K$2=X$2)*'Full month Pivot'!$D$3:$K$300)</f>
        <v/>
      </c>
      <c r="Y187" s="161">
        <f>SUMPRODUCT(('Full month Pivot'!$B$3:$B$300=$B187)*('Full month Pivot'!$C$3:$C$300=$A$172)*('Full month Pivot'!$D$2:$K$2=Y$2)*'Full month Pivot'!$D$3:$K$300)</f>
        <v/>
      </c>
      <c r="Z187" s="161">
        <f>SUMPRODUCT(('Full month Pivot'!$B$3:$B$300=$B187)*('Full month Pivot'!$C$3:$C$300=$A$172)*('Full month Pivot'!$D$2:$K$2=Z$2)*'Full month Pivot'!$D$3:$K$300)</f>
        <v/>
      </c>
      <c r="AA187" s="161">
        <f>SUMPRODUCT(('Full month Pivot'!$B$3:$B$300=$B187)*('Full month Pivot'!$C$3:$C$300=$A$172)*('Full month Pivot'!$D$2:$K$2=AA$2)*'Full month Pivot'!$D$3:$K$300)</f>
        <v/>
      </c>
      <c r="AB187" s="161" t="n"/>
      <c r="AC187" s="161" t="n"/>
      <c r="AD187" s="143">
        <f>AA187-Z187</f>
        <v/>
      </c>
      <c r="AE187" s="170" t="n"/>
      <c r="AF187" s="170" t="n"/>
      <c r="AG187" s="170" t="n"/>
      <c r="AH187" s="170" t="n"/>
      <c r="AI187" s="170" t="n"/>
      <c r="AJ187" s="170" t="n"/>
    </row>
    <row r="188" hidden="1" outlineLevel="1" ht="15.75" customHeight="1" s="239">
      <c r="A188" s="170" t="n"/>
      <c r="B188" s="170" t="inlineStr">
        <is>
          <t>Soundbox</t>
        </is>
      </c>
      <c r="C188" s="170" t="n"/>
      <c r="D188" s="170" t="n"/>
      <c r="E188" s="170" t="n"/>
      <c r="F188" s="170" t="n"/>
      <c r="G188" s="161">
        <f>SUMPRODUCT(('MTD Pivot'!$B$3:$B$300=$B188)*('MTD Pivot'!$C$3:$C$300=$A$172)*('MTD Pivot'!$D$2:$K$2=G$2)*'MTD Pivot'!$D$3:$K$300)</f>
        <v/>
      </c>
      <c r="H188" s="161">
        <f>SUMPRODUCT(('MTD Pivot'!$B$3:$B$300=$B188)*('MTD Pivot'!$C$3:$C$300=$A$172)*('MTD Pivot'!$D$2:$K$2=H$2)*'MTD Pivot'!$D$3:$K$300)</f>
        <v/>
      </c>
      <c r="I188" s="161">
        <f>SUMPRODUCT(('MTD Pivot'!$B$3:$B$300=$B188)*('MTD Pivot'!$C$3:$C$300=$A$172)*('MTD Pivot'!$D$2:$K$2=I$2)*'MTD Pivot'!$D$3:$K$300)</f>
        <v/>
      </c>
      <c r="J188" s="161">
        <f>SUMPRODUCT(('MTD Pivot'!$B$3:$B$300=$B188)*('MTD Pivot'!$C$3:$C$300=$A$172)*('MTD Pivot'!$D$2:$K$2=J$2)*'MTD Pivot'!$D$3:$K$300)</f>
        <v/>
      </c>
      <c r="K188" s="161">
        <f>SUMPRODUCT(('MTD Pivot'!$B$3:$B$300=$B188)*('MTD Pivot'!$C$3:$C$300=$A$172)*('MTD Pivot'!$D$2:$K$2=K$2)*'MTD Pivot'!$D$3:$K$300)</f>
        <v/>
      </c>
      <c r="L188" s="161">
        <f>SUMPRODUCT(('MTD Pivot'!$B$3:$B$300=$B188)*('MTD Pivot'!$C$3:$C$300=$A$172)*('MTD Pivot'!$D$2:$K$2=L$2)*'MTD Pivot'!$D$3:$K$300)</f>
        <v/>
      </c>
      <c r="M188" s="161" t="n"/>
      <c r="N188" s="161" t="n"/>
      <c r="O188" s="143">
        <f>L188-K188</f>
        <v/>
      </c>
      <c r="P188" s="170" t="n"/>
      <c r="Q188" s="170" t="n"/>
      <c r="R188" s="170" t="n"/>
      <c r="S188" s="170" t="n"/>
      <c r="T188" s="170" t="n"/>
      <c r="U188" s="170" t="n"/>
      <c r="V188" s="161">
        <f>SUMPRODUCT(('Full month Pivot'!$B$3:$B$300=$B188)*('Full month Pivot'!$C$3:$C$300=$A$172)*('Full month Pivot'!$D$2:$K$2=V$2)*'Full month Pivot'!$D$3:$K$300)</f>
        <v/>
      </c>
      <c r="W188" s="161">
        <f>SUMPRODUCT(('Full month Pivot'!$B$3:$B$300=$B188)*('Full month Pivot'!$C$3:$C$300=$A$172)*('Full month Pivot'!$D$2:$K$2=W$2)*'Full month Pivot'!$D$3:$K$300)</f>
        <v/>
      </c>
      <c r="X188" s="161">
        <f>SUMPRODUCT(('Full month Pivot'!$B$3:$B$300=$B188)*('Full month Pivot'!$C$3:$C$300=$A$172)*('Full month Pivot'!$D$2:$K$2=X$2)*'Full month Pivot'!$D$3:$K$300)</f>
        <v/>
      </c>
      <c r="Y188" s="161">
        <f>SUMPRODUCT(('Full month Pivot'!$B$3:$B$300=$B188)*('Full month Pivot'!$C$3:$C$300=$A$172)*('Full month Pivot'!$D$2:$K$2=Y$2)*'Full month Pivot'!$D$3:$K$300)</f>
        <v/>
      </c>
      <c r="Z188" s="161">
        <f>SUMPRODUCT(('Full month Pivot'!$B$3:$B$300=$B188)*('Full month Pivot'!$C$3:$C$300=$A$172)*('Full month Pivot'!$D$2:$K$2=Z$2)*'Full month Pivot'!$D$3:$K$300)</f>
        <v/>
      </c>
      <c r="AA188" s="161">
        <f>SUMPRODUCT(('Full month Pivot'!$B$3:$B$300=$B188)*('Full month Pivot'!$C$3:$C$300=$A$172)*('Full month Pivot'!$D$2:$K$2=AA$2)*'Full month Pivot'!$D$3:$K$300)</f>
        <v/>
      </c>
      <c r="AB188" s="161" t="n"/>
      <c r="AC188" s="161" t="n"/>
      <c r="AD188" s="143">
        <f>AA188-Z188</f>
        <v/>
      </c>
      <c r="AE188" s="170" t="n"/>
      <c r="AF188" s="170" t="n"/>
      <c r="AG188" s="170" t="n"/>
      <c r="AH188" s="170" t="n"/>
      <c r="AI188" s="170" t="n"/>
      <c r="AJ188" s="170" t="n"/>
    </row>
    <row r="189" hidden="1" outlineLevel="1" ht="15.75" customHeight="1" s="239">
      <c r="A189" s="170" t="n"/>
      <c r="B189" s="170" t="inlineStr">
        <is>
          <t>New User</t>
        </is>
      </c>
      <c r="C189" s="170" t="n"/>
      <c r="D189" s="170" t="n"/>
      <c r="E189" s="170" t="n"/>
      <c r="F189" s="170" t="n"/>
      <c r="G189" s="161">
        <f>SUMPRODUCT(('MTD Pivot'!$B$3:$B$300=$B189)*('MTD Pivot'!$C$3:$C$300=$A$172)*('MTD Pivot'!$D$2:$K$2=G$2)*'MTD Pivot'!$D$3:$K$300)</f>
        <v/>
      </c>
      <c r="H189" s="161">
        <f>SUMPRODUCT(('MTD Pivot'!$B$3:$B$300=$B189)*('MTD Pivot'!$C$3:$C$300=$A$172)*('MTD Pivot'!$D$2:$K$2=H$2)*'MTD Pivot'!$D$3:$K$300)</f>
        <v/>
      </c>
      <c r="I189" s="161">
        <f>SUMPRODUCT(('MTD Pivot'!$B$3:$B$300=$B189)*('MTD Pivot'!$C$3:$C$300=$A$172)*('MTD Pivot'!$D$2:$K$2=I$2)*'MTD Pivot'!$D$3:$K$300)</f>
        <v/>
      </c>
      <c r="J189" s="161">
        <f>SUMPRODUCT(('MTD Pivot'!$B$3:$B$300=$B189)*('MTD Pivot'!$C$3:$C$300=$A$172)*('MTD Pivot'!$D$2:$K$2=J$2)*'MTD Pivot'!$D$3:$K$300)</f>
        <v/>
      </c>
      <c r="K189" s="161">
        <f>SUMPRODUCT(('MTD Pivot'!$B$3:$B$300=$B189)*('MTD Pivot'!$C$3:$C$300=$A$172)*('MTD Pivot'!$D$2:$K$2=K$2)*'MTD Pivot'!$D$3:$K$300)</f>
        <v/>
      </c>
      <c r="L189" s="161">
        <f>SUMPRODUCT(('MTD Pivot'!$B$3:$B$300=$B189)*('MTD Pivot'!$C$3:$C$300=$A$172)*('MTD Pivot'!$D$2:$K$2=L$2)*'MTD Pivot'!$D$3:$K$300)</f>
        <v/>
      </c>
      <c r="M189" s="161" t="n"/>
      <c r="N189" s="161" t="n"/>
      <c r="O189" s="143">
        <f>L189-K189</f>
        <v/>
      </c>
      <c r="P189" s="170" t="n"/>
      <c r="Q189" s="170" t="n"/>
      <c r="R189" s="170" t="n"/>
      <c r="S189" s="170" t="n"/>
      <c r="T189" s="170" t="n"/>
      <c r="U189" s="170" t="n"/>
      <c r="V189" s="161">
        <f>SUMPRODUCT(('Full month Pivot'!$B$3:$B$300=$B189)*('Full month Pivot'!$C$3:$C$300=$A$172)*('Full month Pivot'!$D$2:$K$2=V$2)*'Full month Pivot'!$D$3:$K$300)</f>
        <v/>
      </c>
      <c r="W189" s="161">
        <f>SUMPRODUCT(('Full month Pivot'!$B$3:$B$300=$B189)*('Full month Pivot'!$C$3:$C$300=$A$172)*('Full month Pivot'!$D$2:$K$2=W$2)*'Full month Pivot'!$D$3:$K$300)</f>
        <v/>
      </c>
      <c r="X189" s="161">
        <f>SUMPRODUCT(('Full month Pivot'!$B$3:$B$300=$B189)*('Full month Pivot'!$C$3:$C$300=$A$172)*('Full month Pivot'!$D$2:$K$2=X$2)*'Full month Pivot'!$D$3:$K$300)</f>
        <v/>
      </c>
      <c r="Y189" s="161">
        <f>SUMPRODUCT(('Full month Pivot'!$B$3:$B$300=$B189)*('Full month Pivot'!$C$3:$C$300=$A$172)*('Full month Pivot'!$D$2:$K$2=Y$2)*'Full month Pivot'!$D$3:$K$300)</f>
        <v/>
      </c>
      <c r="Z189" s="161">
        <f>SUMPRODUCT(('Full month Pivot'!$B$3:$B$300=$B189)*('Full month Pivot'!$C$3:$C$300=$A$172)*('Full month Pivot'!$D$2:$K$2=Z$2)*'Full month Pivot'!$D$3:$K$300)</f>
        <v/>
      </c>
      <c r="AA189" s="161">
        <f>SUMPRODUCT(('Full month Pivot'!$B$3:$B$300=$B189)*('Full month Pivot'!$C$3:$C$300=$A$172)*('Full month Pivot'!$D$2:$K$2=AA$2)*'Full month Pivot'!$D$3:$K$300)</f>
        <v/>
      </c>
      <c r="AB189" s="161" t="n"/>
      <c r="AC189" s="161" t="n"/>
      <c r="AD189" s="143">
        <f>AA189-Z189</f>
        <v/>
      </c>
      <c r="AE189" s="170" t="n"/>
      <c r="AF189" s="170" t="n"/>
      <c r="AG189" s="170" t="n"/>
      <c r="AH189" s="170" t="n"/>
      <c r="AI189" s="170" t="n"/>
      <c r="AJ189" s="170" t="n"/>
    </row>
    <row r="190" hidden="1" outlineLevel="1" ht="15.75" customHeight="1" s="239">
      <c r="A190" s="170" t="n"/>
      <c r="B190" s="170" t="inlineStr">
        <is>
          <t>Hỏi đáp</t>
        </is>
      </c>
      <c r="C190" s="170" t="n"/>
      <c r="D190" s="170" t="n"/>
      <c r="E190" s="170" t="n"/>
      <c r="F190" s="170" t="n"/>
      <c r="G190" s="161">
        <f>SUMPRODUCT(('MTD Pivot'!$B$3:$B$300=$B190)*('MTD Pivot'!$C$3:$C$300=$A$172)*('MTD Pivot'!$D$2:$K$2=G$2)*'MTD Pivot'!$D$3:$K$300)</f>
        <v/>
      </c>
      <c r="H190" s="161">
        <f>SUMPRODUCT(('MTD Pivot'!$B$3:$B$300=$B190)*('MTD Pivot'!$C$3:$C$300=$A$172)*('MTD Pivot'!$D$2:$K$2=H$2)*'MTD Pivot'!$D$3:$K$300)</f>
        <v/>
      </c>
      <c r="I190" s="161">
        <f>SUMPRODUCT(('MTD Pivot'!$B$3:$B$300=$B190)*('MTD Pivot'!$C$3:$C$300=$A$172)*('MTD Pivot'!$D$2:$K$2=I$2)*'MTD Pivot'!$D$3:$K$300)</f>
        <v/>
      </c>
      <c r="J190" s="161">
        <f>SUMPRODUCT(('MTD Pivot'!$B$3:$B$300=$B190)*('MTD Pivot'!$C$3:$C$300=$A$172)*('MTD Pivot'!$D$2:$K$2=J$2)*'MTD Pivot'!$D$3:$K$300)</f>
        <v/>
      </c>
      <c r="K190" s="161">
        <f>SUMPRODUCT(('MTD Pivot'!$B$3:$B$300=$B190)*('MTD Pivot'!$C$3:$C$300=$A$172)*('MTD Pivot'!$D$2:$K$2=K$2)*'MTD Pivot'!$D$3:$K$300)</f>
        <v/>
      </c>
      <c r="L190" s="161">
        <f>SUMPRODUCT(('MTD Pivot'!$B$3:$B$300=$B190)*('MTD Pivot'!$C$3:$C$300=$A$172)*('MTD Pivot'!$D$2:$K$2=L$2)*'MTD Pivot'!$D$3:$K$300)</f>
        <v/>
      </c>
      <c r="M190" s="161" t="n"/>
      <c r="N190" s="161" t="n"/>
      <c r="O190" s="143">
        <f>L190-K190</f>
        <v/>
      </c>
      <c r="P190" s="170" t="n"/>
      <c r="Q190" s="170" t="n"/>
      <c r="R190" s="170" t="n"/>
      <c r="S190" s="170" t="n"/>
      <c r="T190" s="170" t="n"/>
      <c r="U190" s="170" t="n"/>
      <c r="V190" s="161">
        <f>SUMPRODUCT(('Full month Pivot'!$B$3:$B$300=$B190)*('Full month Pivot'!$C$3:$C$300=$A$172)*('Full month Pivot'!$D$2:$K$2=V$2)*'Full month Pivot'!$D$3:$K$300)</f>
        <v/>
      </c>
      <c r="W190" s="161">
        <f>SUMPRODUCT(('Full month Pivot'!$B$3:$B$300=$B190)*('Full month Pivot'!$C$3:$C$300=$A$172)*('Full month Pivot'!$D$2:$K$2=W$2)*'Full month Pivot'!$D$3:$K$300)</f>
        <v/>
      </c>
      <c r="X190" s="161">
        <f>SUMPRODUCT(('Full month Pivot'!$B$3:$B$300=$B190)*('Full month Pivot'!$C$3:$C$300=$A$172)*('Full month Pivot'!$D$2:$K$2=X$2)*'Full month Pivot'!$D$3:$K$300)</f>
        <v/>
      </c>
      <c r="Y190" s="161">
        <f>SUMPRODUCT(('Full month Pivot'!$B$3:$B$300=$B190)*('Full month Pivot'!$C$3:$C$300=$A$172)*('Full month Pivot'!$D$2:$K$2=Y$2)*'Full month Pivot'!$D$3:$K$300)</f>
        <v/>
      </c>
      <c r="Z190" s="161">
        <f>SUMPRODUCT(('Full month Pivot'!$B$3:$B$300=$B190)*('Full month Pivot'!$C$3:$C$300=$A$172)*('Full month Pivot'!$D$2:$K$2=Z$2)*'Full month Pivot'!$D$3:$K$300)</f>
        <v/>
      </c>
      <c r="AA190" s="161">
        <f>SUMPRODUCT(('Full month Pivot'!$B$3:$B$300=$B190)*('Full month Pivot'!$C$3:$C$300=$A$172)*('Full month Pivot'!$D$2:$K$2=AA$2)*'Full month Pivot'!$D$3:$K$300)</f>
        <v/>
      </c>
      <c r="AB190" s="161" t="n"/>
      <c r="AC190" s="161" t="n"/>
      <c r="AD190" s="143">
        <f>AA190-Z190</f>
        <v/>
      </c>
      <c r="AE190" s="170" t="n"/>
      <c r="AF190" s="170" t="n"/>
      <c r="AG190" s="170" t="n"/>
      <c r="AH190" s="170" t="n"/>
      <c r="AI190" s="170" t="n"/>
      <c r="AJ190" s="170" t="n"/>
    </row>
    <row r="191" hidden="1" outlineLevel="1" ht="15.75" customHeight="1" s="239">
      <c r="A191" s="170" t="n"/>
      <c r="B191" s="170" t="inlineStr">
        <is>
          <t>TnC</t>
        </is>
      </c>
      <c r="C191" s="170" t="n"/>
      <c r="D191" s="170" t="n"/>
      <c r="E191" s="170" t="n"/>
      <c r="F191" s="170" t="n"/>
      <c r="G191" s="161">
        <f>SUMPRODUCT(('MTD Pivot'!$B$3:$B$300=$B191)*('MTD Pivot'!$C$3:$C$300=$A$172)*('MTD Pivot'!$D$2:$K$2=G$2)*'MTD Pivot'!$D$3:$K$300)</f>
        <v/>
      </c>
      <c r="H191" s="161">
        <f>SUMPRODUCT(('MTD Pivot'!$B$3:$B$300=$B191)*('MTD Pivot'!$C$3:$C$300=$A$172)*('MTD Pivot'!$D$2:$K$2=H$2)*'MTD Pivot'!$D$3:$K$300)</f>
        <v/>
      </c>
      <c r="I191" s="161">
        <f>SUMPRODUCT(('MTD Pivot'!$B$3:$B$300=$B191)*('MTD Pivot'!$C$3:$C$300=$A$172)*('MTD Pivot'!$D$2:$K$2=I$2)*'MTD Pivot'!$D$3:$K$300)</f>
        <v/>
      </c>
      <c r="J191" s="161">
        <f>SUMPRODUCT(('MTD Pivot'!$B$3:$B$300=$B191)*('MTD Pivot'!$C$3:$C$300=$A$172)*('MTD Pivot'!$D$2:$K$2=J$2)*'MTD Pivot'!$D$3:$K$300)</f>
        <v/>
      </c>
      <c r="K191" s="161">
        <f>SUMPRODUCT(('MTD Pivot'!$B$3:$B$300=$B191)*('MTD Pivot'!$C$3:$C$300=$A$172)*('MTD Pivot'!$D$2:$K$2=K$2)*'MTD Pivot'!$D$3:$K$300)</f>
        <v/>
      </c>
      <c r="L191" s="161">
        <f>SUMPRODUCT(('MTD Pivot'!$B$3:$B$300=$B191)*('MTD Pivot'!$C$3:$C$300=$A$172)*('MTD Pivot'!$D$2:$K$2=L$2)*'MTD Pivot'!$D$3:$K$300)</f>
        <v/>
      </c>
      <c r="M191" s="161" t="n"/>
      <c r="N191" s="161" t="n"/>
      <c r="O191" s="143">
        <f>L191-K191</f>
        <v/>
      </c>
      <c r="P191" s="170" t="n"/>
      <c r="Q191" s="170" t="n"/>
      <c r="R191" s="170" t="n"/>
      <c r="S191" s="170" t="n"/>
      <c r="T191" s="170" t="n"/>
      <c r="U191" s="170" t="n"/>
      <c r="V191" s="161">
        <f>SUMPRODUCT(('Full month Pivot'!$B$3:$B$300=$B191)*('Full month Pivot'!$C$3:$C$300=$A$172)*('Full month Pivot'!$D$2:$K$2=V$2)*'Full month Pivot'!$D$3:$K$300)</f>
        <v/>
      </c>
      <c r="W191" s="161">
        <f>SUMPRODUCT(('Full month Pivot'!$B$3:$B$300=$B191)*('Full month Pivot'!$C$3:$C$300=$A$172)*('Full month Pivot'!$D$2:$K$2=W$2)*'Full month Pivot'!$D$3:$K$300)</f>
        <v/>
      </c>
      <c r="X191" s="161">
        <f>SUMPRODUCT(('Full month Pivot'!$B$3:$B$300=$B191)*('Full month Pivot'!$C$3:$C$300=$A$172)*('Full month Pivot'!$D$2:$K$2=X$2)*'Full month Pivot'!$D$3:$K$300)</f>
        <v/>
      </c>
      <c r="Y191" s="161">
        <f>SUMPRODUCT(('Full month Pivot'!$B$3:$B$300=$B191)*('Full month Pivot'!$C$3:$C$300=$A$172)*('Full month Pivot'!$D$2:$K$2=Y$2)*'Full month Pivot'!$D$3:$K$300)</f>
        <v/>
      </c>
      <c r="Z191" s="161">
        <f>SUMPRODUCT(('Full month Pivot'!$B$3:$B$300=$B191)*('Full month Pivot'!$C$3:$C$300=$A$172)*('Full month Pivot'!$D$2:$K$2=Z$2)*'Full month Pivot'!$D$3:$K$300)</f>
        <v/>
      </c>
      <c r="AA191" s="161">
        <f>SUMPRODUCT(('Full month Pivot'!$B$3:$B$300=$B191)*('Full month Pivot'!$C$3:$C$300=$A$172)*('Full month Pivot'!$D$2:$K$2=AA$2)*'Full month Pivot'!$D$3:$K$300)</f>
        <v/>
      </c>
      <c r="AB191" s="161" t="n"/>
      <c r="AC191" s="161" t="n"/>
      <c r="AD191" s="143">
        <f>AA191-Z191</f>
        <v/>
      </c>
      <c r="AE191" s="170" t="n"/>
      <c r="AF191" s="170" t="n"/>
      <c r="AG191" s="170" t="n"/>
      <c r="AH191" s="170" t="n"/>
      <c r="AI191" s="170" t="n"/>
      <c r="AJ191" s="170" t="n"/>
    </row>
    <row r="192" hidden="1" outlineLevel="1" ht="15.75" customHeight="1" s="239">
      <c r="A192" s="170" t="n"/>
      <c r="B192" s="170" t="inlineStr">
        <is>
          <t>Trust</t>
        </is>
      </c>
      <c r="C192" s="170" t="n"/>
      <c r="D192" s="170" t="n"/>
      <c r="E192" s="170" t="n"/>
      <c r="F192" s="170" t="n"/>
      <c r="G192" s="161">
        <f>SUMPRODUCT(('MTD Pivot'!$B$3:$B$300=$B192)*('MTD Pivot'!$C$3:$C$300=$A$172)*('MTD Pivot'!$D$2:$K$2=G$2)*'MTD Pivot'!$D$3:$K$300)</f>
        <v/>
      </c>
      <c r="H192" s="161">
        <f>SUMPRODUCT(('MTD Pivot'!$B$3:$B$300=$B192)*('MTD Pivot'!$C$3:$C$300=$A$172)*('MTD Pivot'!$D$2:$K$2=H$2)*'MTD Pivot'!$D$3:$K$300)</f>
        <v/>
      </c>
      <c r="I192" s="161">
        <f>SUMPRODUCT(('MTD Pivot'!$B$3:$B$300=$B192)*('MTD Pivot'!$C$3:$C$300=$A$172)*('MTD Pivot'!$D$2:$K$2=I$2)*'MTD Pivot'!$D$3:$K$300)</f>
        <v/>
      </c>
      <c r="J192" s="161">
        <f>SUMPRODUCT(('MTD Pivot'!$B$3:$B$300=$B192)*('MTD Pivot'!$C$3:$C$300=$A$172)*('MTD Pivot'!$D$2:$K$2=J$2)*'MTD Pivot'!$D$3:$K$300)</f>
        <v/>
      </c>
      <c r="K192" s="161">
        <f>SUMPRODUCT(('MTD Pivot'!$B$3:$B$300=$B192)*('MTD Pivot'!$C$3:$C$300=$A$172)*('MTD Pivot'!$D$2:$K$2=K$2)*'MTD Pivot'!$D$3:$K$300)</f>
        <v/>
      </c>
      <c r="L192" s="161">
        <f>SUMPRODUCT(('MTD Pivot'!$B$3:$B$300=$B192)*('MTD Pivot'!$C$3:$C$300=$A$172)*('MTD Pivot'!$D$2:$K$2=L$2)*'MTD Pivot'!$D$3:$K$300)</f>
        <v/>
      </c>
      <c r="M192" s="161" t="n"/>
      <c r="N192" s="161" t="n"/>
      <c r="O192" s="143">
        <f>L192-K192</f>
        <v/>
      </c>
      <c r="P192" s="170" t="n"/>
      <c r="Q192" s="170" t="n"/>
      <c r="R192" s="170" t="n"/>
      <c r="S192" s="170" t="n"/>
      <c r="T192" s="170" t="n"/>
      <c r="U192" s="170" t="n"/>
      <c r="V192" s="161">
        <f>SUMPRODUCT(('Full month Pivot'!$B$3:$B$300=$B192)*('Full month Pivot'!$C$3:$C$300=$A$172)*('Full month Pivot'!$D$2:$K$2=V$2)*'Full month Pivot'!$D$3:$K$300)</f>
        <v/>
      </c>
      <c r="W192" s="161">
        <f>SUMPRODUCT(('Full month Pivot'!$B$3:$B$300=$B192)*('Full month Pivot'!$C$3:$C$300=$A$172)*('Full month Pivot'!$D$2:$K$2=W$2)*'Full month Pivot'!$D$3:$K$300)</f>
        <v/>
      </c>
      <c r="X192" s="161">
        <f>SUMPRODUCT(('Full month Pivot'!$B$3:$B$300=$B192)*('Full month Pivot'!$C$3:$C$300=$A$172)*('Full month Pivot'!$D$2:$K$2=X$2)*'Full month Pivot'!$D$3:$K$300)</f>
        <v/>
      </c>
      <c r="Y192" s="161">
        <f>SUMPRODUCT(('Full month Pivot'!$B$3:$B$300=$B192)*('Full month Pivot'!$C$3:$C$300=$A$172)*('Full month Pivot'!$D$2:$K$2=Y$2)*'Full month Pivot'!$D$3:$K$300)</f>
        <v/>
      </c>
      <c r="Z192" s="161">
        <f>SUMPRODUCT(('Full month Pivot'!$B$3:$B$300=$B192)*('Full month Pivot'!$C$3:$C$300=$A$172)*('Full month Pivot'!$D$2:$K$2=Z$2)*'Full month Pivot'!$D$3:$K$300)</f>
        <v/>
      </c>
      <c r="AA192" s="161">
        <f>SUMPRODUCT(('Full month Pivot'!$B$3:$B$300=$B192)*('Full month Pivot'!$C$3:$C$300=$A$172)*('Full month Pivot'!$D$2:$K$2=AA$2)*'Full month Pivot'!$D$3:$K$300)</f>
        <v/>
      </c>
      <c r="AB192" s="161" t="n"/>
      <c r="AC192" s="161" t="n"/>
      <c r="AD192" s="143">
        <f>AA192-Z192</f>
        <v/>
      </c>
      <c r="AE192" s="170" t="n"/>
      <c r="AF192" s="170" t="n"/>
      <c r="AG192" s="170" t="n"/>
      <c r="AH192" s="170" t="n"/>
      <c r="AI192" s="170" t="n"/>
      <c r="AJ192" s="170" t="n"/>
    </row>
    <row r="193" hidden="1" outlineLevel="1" ht="15.75" customHeight="1" s="239">
      <c r="A193" s="170" t="n"/>
      <c r="B193" s="170" t="inlineStr">
        <is>
          <t>Guide</t>
        </is>
      </c>
      <c r="C193" s="170" t="n"/>
      <c r="D193" s="170" t="n"/>
      <c r="E193" s="170" t="n"/>
      <c r="F193" s="170" t="n"/>
      <c r="G193" s="161">
        <f>SUMPRODUCT(('MTD Pivot'!$B$3:$B$300=$B193)*('MTD Pivot'!$C$3:$C$300=$A$172)*('MTD Pivot'!$D$2:$K$2=G$2)*'MTD Pivot'!$D$3:$K$300)</f>
        <v/>
      </c>
      <c r="H193" s="161">
        <f>SUMPRODUCT(('MTD Pivot'!$B$3:$B$300=$B193)*('MTD Pivot'!$C$3:$C$300=$A$172)*('MTD Pivot'!$D$2:$K$2=H$2)*'MTD Pivot'!$D$3:$K$300)</f>
        <v/>
      </c>
      <c r="I193" s="161">
        <f>SUMPRODUCT(('MTD Pivot'!$B$3:$B$300=$B193)*('MTD Pivot'!$C$3:$C$300=$A$172)*('MTD Pivot'!$D$2:$K$2=I$2)*'MTD Pivot'!$D$3:$K$300)</f>
        <v/>
      </c>
      <c r="J193" s="161">
        <f>SUMPRODUCT(('MTD Pivot'!$B$3:$B$300=$B193)*('MTD Pivot'!$C$3:$C$300=$A$172)*('MTD Pivot'!$D$2:$K$2=J$2)*'MTD Pivot'!$D$3:$K$300)</f>
        <v/>
      </c>
      <c r="K193" s="161">
        <f>SUMPRODUCT(('MTD Pivot'!$B$3:$B$300=$B193)*('MTD Pivot'!$C$3:$C$300=$A$172)*('MTD Pivot'!$D$2:$K$2=K$2)*'MTD Pivot'!$D$3:$K$300)</f>
        <v/>
      </c>
      <c r="L193" s="161">
        <f>SUMPRODUCT(('MTD Pivot'!$B$3:$B$300=$B193)*('MTD Pivot'!$C$3:$C$300=$A$172)*('MTD Pivot'!$D$2:$K$2=L$2)*'MTD Pivot'!$D$3:$K$300)</f>
        <v/>
      </c>
      <c r="M193" s="161" t="n"/>
      <c r="N193" s="161" t="n"/>
      <c r="O193" s="143">
        <f>L193-K193</f>
        <v/>
      </c>
      <c r="P193" s="170" t="n"/>
      <c r="Q193" s="170" t="n"/>
      <c r="R193" s="170" t="n"/>
      <c r="S193" s="170" t="n"/>
      <c r="T193" s="170" t="n"/>
      <c r="U193" s="170" t="n"/>
      <c r="V193" s="161">
        <f>SUMPRODUCT(('Full month Pivot'!$B$3:$B$300=$B193)*('Full month Pivot'!$C$3:$C$300=$A$172)*('Full month Pivot'!$D$2:$K$2=V$2)*'Full month Pivot'!$D$3:$K$300)</f>
        <v/>
      </c>
      <c r="W193" s="161">
        <f>SUMPRODUCT(('Full month Pivot'!$B$3:$B$300=$B193)*('Full month Pivot'!$C$3:$C$300=$A$172)*('Full month Pivot'!$D$2:$K$2=W$2)*'Full month Pivot'!$D$3:$K$300)</f>
        <v/>
      </c>
      <c r="X193" s="161">
        <f>SUMPRODUCT(('Full month Pivot'!$B$3:$B$300=$B193)*('Full month Pivot'!$C$3:$C$300=$A$172)*('Full month Pivot'!$D$2:$K$2=X$2)*'Full month Pivot'!$D$3:$K$300)</f>
        <v/>
      </c>
      <c r="Y193" s="161">
        <f>SUMPRODUCT(('Full month Pivot'!$B$3:$B$300=$B193)*('Full month Pivot'!$C$3:$C$300=$A$172)*('Full month Pivot'!$D$2:$K$2=Y$2)*'Full month Pivot'!$D$3:$K$300)</f>
        <v/>
      </c>
      <c r="Z193" s="161">
        <f>SUMPRODUCT(('Full month Pivot'!$B$3:$B$300=$B193)*('Full month Pivot'!$C$3:$C$300=$A$172)*('Full month Pivot'!$D$2:$K$2=Z$2)*'Full month Pivot'!$D$3:$K$300)</f>
        <v/>
      </c>
      <c r="AA193" s="161">
        <f>SUMPRODUCT(('Full month Pivot'!$B$3:$B$300=$B193)*('Full month Pivot'!$C$3:$C$300=$A$172)*('Full month Pivot'!$D$2:$K$2=AA$2)*'Full month Pivot'!$D$3:$K$300)</f>
        <v/>
      </c>
      <c r="AB193" s="161" t="n"/>
      <c r="AC193" s="161" t="n"/>
      <c r="AD193" s="143">
        <f>AA193-Z193</f>
        <v/>
      </c>
      <c r="AE193" s="170" t="n"/>
      <c r="AF193" s="170" t="n"/>
      <c r="AG193" s="170" t="n"/>
      <c r="AH193" s="170" t="n"/>
      <c r="AI193" s="170" t="n"/>
      <c r="AJ193" s="170" t="n"/>
    </row>
    <row r="194" hidden="1" outlineLevel="1" ht="15.75" customHeight="1" s="239">
      <c r="A194" s="8" t="n"/>
      <c r="B194" s="170" t="inlineStr">
        <is>
          <t>Khuyến mãi</t>
        </is>
      </c>
      <c r="C194" s="8" t="n"/>
      <c r="D194" s="8" t="n"/>
      <c r="E194" s="8" t="n"/>
      <c r="F194" s="8" t="n"/>
      <c r="G194" s="161">
        <f>SUMPRODUCT(('MTD Pivot'!$B$3:$B$300=$B194)*('MTD Pivot'!$C$3:$C$300=$A$172)*('MTD Pivot'!$D$2:$K$2=G$2)*'MTD Pivot'!$D$3:$K$300)</f>
        <v/>
      </c>
      <c r="H194" s="161">
        <f>SUMPRODUCT(('MTD Pivot'!$B$3:$B$300=$B194)*('MTD Pivot'!$C$3:$C$300=$A$172)*('MTD Pivot'!$D$2:$K$2=H$2)*'MTD Pivot'!$D$3:$K$300)</f>
        <v/>
      </c>
      <c r="I194" s="161">
        <f>SUMPRODUCT(('MTD Pivot'!$B$3:$B$300=$B194)*('MTD Pivot'!$C$3:$C$300=$A$172)*('MTD Pivot'!$D$2:$K$2=I$2)*'MTD Pivot'!$D$3:$K$300)</f>
        <v/>
      </c>
      <c r="J194" s="161">
        <f>SUMPRODUCT(('MTD Pivot'!$B$3:$B$300=$B194)*('MTD Pivot'!$C$3:$C$300=$A$172)*('MTD Pivot'!$D$2:$K$2=J$2)*'MTD Pivot'!$D$3:$K$300)</f>
        <v/>
      </c>
      <c r="K194" s="161">
        <f>SUMPRODUCT(('MTD Pivot'!$B$3:$B$300=$B194)*('MTD Pivot'!$C$3:$C$300=$A$172)*('MTD Pivot'!$D$2:$K$2=K$2)*'MTD Pivot'!$D$3:$K$300)</f>
        <v/>
      </c>
      <c r="L194" s="161">
        <f>SUMPRODUCT(('MTD Pivot'!$B$3:$B$300=$B194)*('MTD Pivot'!$C$3:$C$300=$A$172)*('MTD Pivot'!$D$2:$K$2=L$2)*'MTD Pivot'!$D$3:$K$300)</f>
        <v/>
      </c>
      <c r="M194" s="161" t="n"/>
      <c r="N194" s="161" t="n"/>
      <c r="O194" s="143">
        <f>L194-K194</f>
        <v/>
      </c>
      <c r="P194" s="170" t="n"/>
      <c r="Q194" s="170" t="n"/>
      <c r="R194" s="170" t="n"/>
      <c r="S194" s="170" t="n"/>
      <c r="T194" s="170" t="n"/>
      <c r="U194" s="170" t="n"/>
      <c r="V194" s="161">
        <f>SUMPRODUCT(('Full month Pivot'!$B$3:$B$300=$B194)*('Full month Pivot'!$C$3:$C$300=$A$172)*('Full month Pivot'!$D$2:$K$2=V$2)*'Full month Pivot'!$D$3:$K$300)</f>
        <v/>
      </c>
      <c r="W194" s="161">
        <f>SUMPRODUCT(('Full month Pivot'!$B$3:$B$300=$B194)*('Full month Pivot'!$C$3:$C$300=$A$172)*('Full month Pivot'!$D$2:$K$2=W$2)*'Full month Pivot'!$D$3:$K$300)</f>
        <v/>
      </c>
      <c r="X194" s="161">
        <f>SUMPRODUCT(('Full month Pivot'!$B$3:$B$300=$B194)*('Full month Pivot'!$C$3:$C$300=$A$172)*('Full month Pivot'!$D$2:$K$2=X$2)*'Full month Pivot'!$D$3:$K$300)</f>
        <v/>
      </c>
      <c r="Y194" s="161">
        <f>SUMPRODUCT(('Full month Pivot'!$B$3:$B$300=$B194)*('Full month Pivot'!$C$3:$C$300=$A$172)*('Full month Pivot'!$D$2:$K$2=Y$2)*'Full month Pivot'!$D$3:$K$300)</f>
        <v/>
      </c>
      <c r="Z194" s="161">
        <f>SUMPRODUCT(('Full month Pivot'!$B$3:$B$300=$B194)*('Full month Pivot'!$C$3:$C$300=$A$172)*('Full month Pivot'!$D$2:$K$2=Z$2)*'Full month Pivot'!$D$3:$K$300)</f>
        <v/>
      </c>
      <c r="AA194" s="161">
        <f>SUMPRODUCT(('Full month Pivot'!$B$3:$B$300=$B194)*('Full month Pivot'!$C$3:$C$300=$A$172)*('Full month Pivot'!$D$2:$K$2=AA$2)*'Full month Pivot'!$D$3:$K$300)</f>
        <v/>
      </c>
      <c r="AB194" s="161" t="n"/>
      <c r="AC194" s="161" t="n"/>
      <c r="AD194" s="143">
        <f>AA194-Z194</f>
        <v/>
      </c>
      <c r="AE194" s="8" t="n"/>
      <c r="AF194" s="8" t="n"/>
      <c r="AG194" s="8" t="n"/>
      <c r="AH194" s="8" t="n"/>
      <c r="AI194" s="8" t="n"/>
      <c r="AJ194" s="8" t="n"/>
    </row>
    <row r="195" hidden="1" outlineLevel="1" ht="15.75" customHeight="1" s="239">
      <c r="A195" s="8" t="n"/>
      <c r="B195" s="170" t="inlineStr">
        <is>
          <t>Campaign</t>
        </is>
      </c>
      <c r="C195" s="8" t="n"/>
      <c r="D195" s="8" t="n"/>
      <c r="E195" s="8" t="n"/>
      <c r="F195" s="8" t="n"/>
      <c r="G195" s="161">
        <f>SUMPRODUCT(('MTD Pivot'!$B$3:$B$300=$B195)*('MTD Pivot'!$C$3:$C$300=$A$172)*('MTD Pivot'!$D$2:$K$2=G$2)*'MTD Pivot'!$D$3:$K$300)</f>
        <v/>
      </c>
      <c r="H195" s="161">
        <f>SUMPRODUCT(('MTD Pivot'!$B$3:$B$300=$B195)*('MTD Pivot'!$C$3:$C$300=$A$172)*('MTD Pivot'!$D$2:$K$2=H$2)*'MTD Pivot'!$D$3:$K$300)</f>
        <v/>
      </c>
      <c r="I195" s="161">
        <f>SUMPRODUCT(('MTD Pivot'!$B$3:$B$300=$B195)*('MTD Pivot'!$C$3:$C$300=$A$172)*('MTD Pivot'!$D$2:$K$2=I$2)*'MTD Pivot'!$D$3:$K$300)</f>
        <v/>
      </c>
      <c r="J195" s="161">
        <f>SUMPRODUCT(('MTD Pivot'!$B$3:$B$300=$B195)*('MTD Pivot'!$C$3:$C$300=$A$172)*('MTD Pivot'!$D$2:$K$2=J$2)*'MTD Pivot'!$D$3:$K$300)</f>
        <v/>
      </c>
      <c r="K195" s="161">
        <f>SUMPRODUCT(('MTD Pivot'!$B$3:$B$300=$B195)*('MTD Pivot'!$C$3:$C$300=$A$172)*('MTD Pivot'!$D$2:$K$2=K$2)*'MTD Pivot'!$D$3:$K$300)</f>
        <v/>
      </c>
      <c r="L195" s="161">
        <f>SUMPRODUCT(('MTD Pivot'!$B$3:$B$300=$B195)*('MTD Pivot'!$C$3:$C$300=$A$172)*('MTD Pivot'!$D$2:$K$2=L$2)*'MTD Pivot'!$D$3:$K$300)</f>
        <v/>
      </c>
      <c r="M195" s="161" t="n"/>
      <c r="N195" s="161" t="n"/>
      <c r="O195" s="143">
        <f>L195-K195</f>
        <v/>
      </c>
      <c r="P195" s="170" t="n"/>
      <c r="Q195" s="170" t="n"/>
      <c r="R195" s="170" t="n"/>
      <c r="S195" s="170" t="n"/>
      <c r="T195" s="170" t="n"/>
      <c r="U195" s="170" t="n"/>
      <c r="V195" s="161">
        <f>SUMPRODUCT(('Full month Pivot'!$B$3:$B$300=$B195)*('Full month Pivot'!$C$3:$C$300=$A$172)*('Full month Pivot'!$D$2:$K$2=V$2)*'Full month Pivot'!$D$3:$K$300)</f>
        <v/>
      </c>
      <c r="W195" s="161">
        <f>SUMPRODUCT(('Full month Pivot'!$B$3:$B$300=$B195)*('Full month Pivot'!$C$3:$C$300=$A$172)*('Full month Pivot'!$D$2:$K$2=W$2)*'Full month Pivot'!$D$3:$K$300)</f>
        <v/>
      </c>
      <c r="X195" s="161">
        <f>SUMPRODUCT(('Full month Pivot'!$B$3:$B$300=$B195)*('Full month Pivot'!$C$3:$C$300=$A$172)*('Full month Pivot'!$D$2:$K$2=X$2)*'Full month Pivot'!$D$3:$K$300)</f>
        <v/>
      </c>
      <c r="Y195" s="161">
        <f>SUMPRODUCT(('Full month Pivot'!$B$3:$B$300=$B195)*('Full month Pivot'!$C$3:$C$300=$A$172)*('Full month Pivot'!$D$2:$K$2=Y$2)*'Full month Pivot'!$D$3:$K$300)</f>
        <v/>
      </c>
      <c r="Z195" s="161">
        <f>SUMPRODUCT(('Full month Pivot'!$B$3:$B$300=$B195)*('Full month Pivot'!$C$3:$C$300=$A$172)*('Full month Pivot'!$D$2:$K$2=Z$2)*'Full month Pivot'!$D$3:$K$300)</f>
        <v/>
      </c>
      <c r="AA195" s="161">
        <f>SUMPRODUCT(('Full month Pivot'!$B$3:$B$300=$B195)*('Full month Pivot'!$C$3:$C$300=$A$172)*('Full month Pivot'!$D$2:$K$2=AA$2)*'Full month Pivot'!$D$3:$K$300)</f>
        <v/>
      </c>
      <c r="AB195" s="161" t="n"/>
      <c r="AC195" s="161" t="n"/>
      <c r="AD195" s="143">
        <f>AA195-Z195</f>
        <v/>
      </c>
      <c r="AE195" s="8" t="n"/>
      <c r="AF195" s="8" t="n"/>
      <c r="AG195" s="8" t="n"/>
      <c r="AH195" s="8" t="n"/>
      <c r="AI195" s="8" t="n"/>
      <c r="AJ195" s="8" t="n"/>
    </row>
    <row r="196" hidden="1" outlineLevel="1" ht="15.75" customHeight="1" s="239">
      <c r="A196" s="8" t="n"/>
      <c r="B196" s="170" t="inlineStr">
        <is>
          <t>Blog</t>
        </is>
      </c>
      <c r="C196" s="8" t="n"/>
      <c r="D196" s="8" t="n"/>
      <c r="E196" s="8" t="n"/>
      <c r="F196" s="8" t="n"/>
      <c r="G196" s="161">
        <f>SUMPRODUCT(('MTD Pivot'!$B$3:$B$300=$B196)*('MTD Pivot'!$C$3:$C$300=$A$172)*('MTD Pivot'!$D$2:$K$2=G$2)*'MTD Pivot'!$D$3:$K$300)</f>
        <v/>
      </c>
      <c r="H196" s="161">
        <f>SUMPRODUCT(('MTD Pivot'!$B$3:$B$300=$B196)*('MTD Pivot'!$C$3:$C$300=$A$172)*('MTD Pivot'!$D$2:$K$2=H$2)*'MTD Pivot'!$D$3:$K$300)</f>
        <v/>
      </c>
      <c r="I196" s="161">
        <f>SUMPRODUCT(('MTD Pivot'!$B$3:$B$300=$B196)*('MTD Pivot'!$C$3:$C$300=$A$172)*('MTD Pivot'!$D$2:$K$2=I$2)*'MTD Pivot'!$D$3:$K$300)</f>
        <v/>
      </c>
      <c r="J196" s="161">
        <f>SUMPRODUCT(('MTD Pivot'!$B$3:$B$300=$B196)*('MTD Pivot'!$C$3:$C$300=$A$172)*('MTD Pivot'!$D$2:$K$2=J$2)*'MTD Pivot'!$D$3:$K$300)</f>
        <v/>
      </c>
      <c r="K196" s="161">
        <f>SUMPRODUCT(('MTD Pivot'!$B$3:$B$300=$B196)*('MTD Pivot'!$C$3:$C$300=$A$172)*('MTD Pivot'!$D$2:$K$2=K$2)*'MTD Pivot'!$D$3:$K$300)</f>
        <v/>
      </c>
      <c r="L196" s="161">
        <f>SUMPRODUCT(('MTD Pivot'!$B$3:$B$300=$B196)*('MTD Pivot'!$C$3:$C$300=$A$172)*('MTD Pivot'!$D$2:$K$2=L$2)*'MTD Pivot'!$D$3:$K$300)</f>
        <v/>
      </c>
      <c r="M196" s="161" t="n"/>
      <c r="N196" s="161" t="n"/>
      <c r="O196" s="143">
        <f>L196-K196</f>
        <v/>
      </c>
      <c r="P196" s="170" t="n"/>
      <c r="Q196" s="170" t="n"/>
      <c r="R196" s="170" t="n"/>
      <c r="S196" s="170" t="n"/>
      <c r="T196" s="170" t="n"/>
      <c r="U196" s="170" t="n"/>
      <c r="V196" s="161">
        <f>SUMPRODUCT(('Full month Pivot'!$B$3:$B$300=$B196)*('Full month Pivot'!$C$3:$C$300=$A$172)*('Full month Pivot'!$D$2:$K$2=V$2)*'Full month Pivot'!$D$3:$K$300)</f>
        <v/>
      </c>
      <c r="W196" s="161">
        <f>SUMPRODUCT(('Full month Pivot'!$B$3:$B$300=$B196)*('Full month Pivot'!$C$3:$C$300=$A$172)*('Full month Pivot'!$D$2:$K$2=W$2)*'Full month Pivot'!$D$3:$K$300)</f>
        <v/>
      </c>
      <c r="X196" s="161">
        <f>SUMPRODUCT(('Full month Pivot'!$B$3:$B$300=$B196)*('Full month Pivot'!$C$3:$C$300=$A$172)*('Full month Pivot'!$D$2:$K$2=X$2)*'Full month Pivot'!$D$3:$K$300)</f>
        <v/>
      </c>
      <c r="Y196" s="161">
        <f>SUMPRODUCT(('Full month Pivot'!$B$3:$B$300=$B196)*('Full month Pivot'!$C$3:$C$300=$A$172)*('Full month Pivot'!$D$2:$K$2=Y$2)*'Full month Pivot'!$D$3:$K$300)</f>
        <v/>
      </c>
      <c r="Z196" s="161">
        <f>SUMPRODUCT(('Full month Pivot'!$B$3:$B$300=$B196)*('Full month Pivot'!$C$3:$C$300=$A$172)*('Full month Pivot'!$D$2:$K$2=Z$2)*'Full month Pivot'!$D$3:$K$300)</f>
        <v/>
      </c>
      <c r="AA196" s="161">
        <f>SUMPRODUCT(('Full month Pivot'!$B$3:$B$300=$B196)*('Full month Pivot'!$C$3:$C$300=$A$172)*('Full month Pivot'!$D$2:$K$2=AA$2)*'Full month Pivot'!$D$3:$K$300)</f>
        <v/>
      </c>
      <c r="AB196" s="161" t="n"/>
      <c r="AC196" s="161" t="n"/>
      <c r="AD196" s="143">
        <f>AA196-Z196</f>
        <v/>
      </c>
      <c r="AE196" s="8" t="n"/>
      <c r="AF196" s="8" t="n"/>
      <c r="AG196" s="8" t="n"/>
      <c r="AH196" s="8" t="n"/>
      <c r="AI196" s="8" t="n"/>
      <c r="AJ196" s="8" t="n"/>
    </row>
    <row r="197" hidden="1" outlineLevel="1" ht="15.75" customHeight="1" s="239">
      <c r="A197" s="8" t="n"/>
      <c r="B197" s="170" t="inlineStr">
        <is>
          <t>Application Store</t>
        </is>
      </c>
      <c r="C197" s="8" t="n"/>
      <c r="D197" s="8" t="n"/>
      <c r="E197" s="8" t="n"/>
      <c r="F197" s="8" t="n"/>
      <c r="G197" s="161">
        <f>SUMPRODUCT(('MTD Pivot'!$B$3:$B$300=$B197)*('MTD Pivot'!$C$3:$C$300=$A$172)*('MTD Pivot'!$D$2:$K$2=G$2)*'MTD Pivot'!$D$3:$K$300)</f>
        <v/>
      </c>
      <c r="H197" s="161">
        <f>SUMPRODUCT(('MTD Pivot'!$B$3:$B$300=$B197)*('MTD Pivot'!$C$3:$C$300=$A$172)*('MTD Pivot'!$D$2:$K$2=H$2)*'MTD Pivot'!$D$3:$K$300)</f>
        <v/>
      </c>
      <c r="I197" s="161">
        <f>SUMPRODUCT(('MTD Pivot'!$B$3:$B$300=$B197)*('MTD Pivot'!$C$3:$C$300=$A$172)*('MTD Pivot'!$D$2:$K$2=I$2)*'MTD Pivot'!$D$3:$K$300)</f>
        <v/>
      </c>
      <c r="J197" s="161">
        <f>SUMPRODUCT(('MTD Pivot'!$B$3:$B$300=$B197)*('MTD Pivot'!$C$3:$C$300=$A$172)*('MTD Pivot'!$D$2:$K$2=J$2)*'MTD Pivot'!$D$3:$K$300)</f>
        <v/>
      </c>
      <c r="K197" s="161">
        <f>SUMPRODUCT(('MTD Pivot'!$B$3:$B$300=$B197)*('MTD Pivot'!$C$3:$C$300=$A$172)*('MTD Pivot'!$D$2:$K$2=K$2)*'MTD Pivot'!$D$3:$K$300)</f>
        <v/>
      </c>
      <c r="L197" s="161">
        <f>SUMPRODUCT(('MTD Pivot'!$B$3:$B$300=$B197)*('MTD Pivot'!$C$3:$C$300=$A$172)*('MTD Pivot'!$D$2:$K$2=L$2)*'MTD Pivot'!$D$3:$K$300)</f>
        <v/>
      </c>
      <c r="M197" s="161" t="n"/>
      <c r="N197" s="161" t="n"/>
      <c r="O197" s="143">
        <f>L197-K197</f>
        <v/>
      </c>
      <c r="P197" s="170" t="n"/>
      <c r="Q197" s="170" t="n"/>
      <c r="R197" s="170" t="n"/>
      <c r="S197" s="170" t="n"/>
      <c r="T197" s="170" t="n"/>
      <c r="U197" s="170" t="n"/>
      <c r="V197" s="161">
        <f>SUMPRODUCT(('Full month Pivot'!$B$3:$B$300=$B197)*('Full month Pivot'!$C$3:$C$300=$A$172)*('Full month Pivot'!$D$2:$K$2=V$2)*'Full month Pivot'!$D$3:$K$300)</f>
        <v/>
      </c>
      <c r="W197" s="161">
        <f>SUMPRODUCT(('Full month Pivot'!$B$3:$B$300=$B197)*('Full month Pivot'!$C$3:$C$300=$A$172)*('Full month Pivot'!$D$2:$K$2=W$2)*'Full month Pivot'!$D$3:$K$300)</f>
        <v/>
      </c>
      <c r="X197" s="161">
        <f>SUMPRODUCT(('Full month Pivot'!$B$3:$B$300=$B197)*('Full month Pivot'!$C$3:$C$300=$A$172)*('Full month Pivot'!$D$2:$K$2=X$2)*'Full month Pivot'!$D$3:$K$300)</f>
        <v/>
      </c>
      <c r="Y197" s="161">
        <f>SUMPRODUCT(('Full month Pivot'!$B$3:$B$300=$B197)*('Full month Pivot'!$C$3:$C$300=$A$172)*('Full month Pivot'!$D$2:$K$2=Y$2)*'Full month Pivot'!$D$3:$K$300)</f>
        <v/>
      </c>
      <c r="Z197" s="161">
        <f>SUMPRODUCT(('Full month Pivot'!$B$3:$B$300=$B197)*('Full month Pivot'!$C$3:$C$300=$A$172)*('Full month Pivot'!$D$2:$K$2=Z$2)*'Full month Pivot'!$D$3:$K$300)</f>
        <v/>
      </c>
      <c r="AA197" s="161">
        <f>SUMPRODUCT(('Full month Pivot'!$B$3:$B$300=$B197)*('Full month Pivot'!$C$3:$C$300=$A$172)*('Full month Pivot'!$D$2:$K$2=AA$2)*'Full month Pivot'!$D$3:$K$300)</f>
        <v/>
      </c>
      <c r="AB197" s="161" t="n"/>
      <c r="AC197" s="161" t="n"/>
      <c r="AD197" s="143">
        <f>AA197-Z197</f>
        <v/>
      </c>
      <c r="AE197" s="8" t="n"/>
      <c r="AF197" s="8" t="n"/>
      <c r="AG197" s="8" t="n"/>
      <c r="AH197" s="8" t="n"/>
      <c r="AI197" s="8" t="n"/>
      <c r="AJ197" s="8" t="n"/>
    </row>
    <row r="198" hidden="1" outlineLevel="1" ht="15.75" customHeight="1" s="239">
      <c r="A198" s="8" t="n"/>
      <c r="B198" s="170" t="inlineStr">
        <is>
          <t>Vé số</t>
        </is>
      </c>
      <c r="C198" s="8" t="n"/>
      <c r="D198" s="8" t="n"/>
      <c r="E198" s="8" t="n"/>
      <c r="F198" s="8" t="n"/>
      <c r="G198" s="161">
        <f>SUMPRODUCT(('MTD Pivot'!$B$3:$B$300=$B198)*('MTD Pivot'!$C$3:$C$300=$A$172)*('MTD Pivot'!$D$2:$K$2=G$2)*'MTD Pivot'!$D$3:$K$300)</f>
        <v/>
      </c>
      <c r="H198" s="161">
        <f>SUMPRODUCT(('MTD Pivot'!$B$3:$B$300=$B198)*('MTD Pivot'!$C$3:$C$300=$A$172)*('MTD Pivot'!$D$2:$K$2=H$2)*'MTD Pivot'!$D$3:$K$300)</f>
        <v/>
      </c>
      <c r="I198" s="161">
        <f>SUMPRODUCT(('MTD Pivot'!$B$3:$B$300=$B198)*('MTD Pivot'!$C$3:$C$300=$A$172)*('MTD Pivot'!$D$2:$K$2=I$2)*'MTD Pivot'!$D$3:$K$300)</f>
        <v/>
      </c>
      <c r="J198" s="161">
        <f>SUMPRODUCT(('MTD Pivot'!$B$3:$B$300=$B198)*('MTD Pivot'!$C$3:$C$300=$A$172)*('MTD Pivot'!$D$2:$K$2=J$2)*'MTD Pivot'!$D$3:$K$300)</f>
        <v/>
      </c>
      <c r="K198" s="161">
        <f>SUMPRODUCT(('MTD Pivot'!$B$3:$B$300=$B198)*('MTD Pivot'!$C$3:$C$300=$A$172)*('MTD Pivot'!$D$2:$K$2=K$2)*'MTD Pivot'!$D$3:$K$300)</f>
        <v/>
      </c>
      <c r="L198" s="161">
        <f>SUMPRODUCT(('MTD Pivot'!$B$3:$B$300=$B198)*('MTD Pivot'!$C$3:$C$300=$A$172)*('MTD Pivot'!$D$2:$K$2=L$2)*'MTD Pivot'!$D$3:$K$300)</f>
        <v/>
      </c>
      <c r="M198" s="161" t="n"/>
      <c r="N198" s="161" t="n"/>
      <c r="O198" s="143">
        <f>L198-K198</f>
        <v/>
      </c>
      <c r="P198" s="170" t="n"/>
      <c r="Q198" s="170" t="n"/>
      <c r="R198" s="170" t="n"/>
      <c r="S198" s="170" t="n"/>
      <c r="T198" s="170" t="n"/>
      <c r="U198" s="170" t="n"/>
      <c r="V198" s="161">
        <f>SUMPRODUCT(('Full month Pivot'!$B$3:$B$300=$B198)*('Full month Pivot'!$C$3:$C$300=$A$172)*('Full month Pivot'!$D$2:$K$2=V$2)*'Full month Pivot'!$D$3:$K$300)</f>
        <v/>
      </c>
      <c r="W198" s="161">
        <f>SUMPRODUCT(('Full month Pivot'!$B$3:$B$300=$B198)*('Full month Pivot'!$C$3:$C$300=$A$172)*('Full month Pivot'!$D$2:$K$2=W$2)*'Full month Pivot'!$D$3:$K$300)</f>
        <v/>
      </c>
      <c r="X198" s="161">
        <f>SUMPRODUCT(('Full month Pivot'!$B$3:$B$300=$B198)*('Full month Pivot'!$C$3:$C$300=$A$172)*('Full month Pivot'!$D$2:$K$2=X$2)*'Full month Pivot'!$D$3:$K$300)</f>
        <v/>
      </c>
      <c r="Y198" s="161">
        <f>SUMPRODUCT(('Full month Pivot'!$B$3:$B$300=$B198)*('Full month Pivot'!$C$3:$C$300=$A$172)*('Full month Pivot'!$D$2:$K$2=Y$2)*'Full month Pivot'!$D$3:$K$300)</f>
        <v/>
      </c>
      <c r="Z198" s="161">
        <f>SUMPRODUCT(('Full month Pivot'!$B$3:$B$300=$B198)*('Full month Pivot'!$C$3:$C$300=$A$172)*('Full month Pivot'!$D$2:$K$2=Z$2)*'Full month Pivot'!$D$3:$K$300)</f>
        <v/>
      </c>
      <c r="AA198" s="161">
        <f>SUMPRODUCT(('Full month Pivot'!$B$3:$B$300=$B198)*('Full month Pivot'!$C$3:$C$300=$A$172)*('Full month Pivot'!$D$2:$K$2=AA$2)*'Full month Pivot'!$D$3:$K$300)</f>
        <v/>
      </c>
      <c r="AB198" s="161" t="n"/>
      <c r="AC198" s="161" t="n"/>
      <c r="AD198" s="143">
        <f>AA198-Z198</f>
        <v/>
      </c>
      <c r="AE198" s="8" t="n"/>
      <c r="AF198" s="8" t="n"/>
      <c r="AG198" s="8" t="n"/>
      <c r="AH198" s="8" t="n"/>
      <c r="AI198" s="8" t="n"/>
      <c r="AJ198" s="8" t="n"/>
    </row>
    <row r="199" hidden="1" outlineLevel="1" ht="15.75" customHeight="1" s="239">
      <c r="A199" s="8" t="n"/>
      <c r="B199" s="170" t="inlineStr">
        <is>
          <t>Dịch vụ liên kết</t>
        </is>
      </c>
      <c r="C199" s="8" t="n"/>
      <c r="D199" s="8" t="n"/>
      <c r="E199" s="8" t="n"/>
      <c r="F199" s="8" t="n"/>
      <c r="G199" s="161">
        <f>SUMPRODUCT(('MTD Pivot'!$B$3:$B$300=$B199)*('MTD Pivot'!$C$3:$C$300=$A$172)*('MTD Pivot'!$D$2:$K$2=G$2)*'MTD Pivot'!$D$3:$K$300)</f>
        <v/>
      </c>
      <c r="H199" s="161">
        <f>SUMPRODUCT(('MTD Pivot'!$B$3:$B$300=$B199)*('MTD Pivot'!$C$3:$C$300=$A$172)*('MTD Pivot'!$D$2:$K$2=H$2)*'MTD Pivot'!$D$3:$K$300)</f>
        <v/>
      </c>
      <c r="I199" s="161">
        <f>SUMPRODUCT(('MTD Pivot'!$B$3:$B$300=$B199)*('MTD Pivot'!$C$3:$C$300=$A$172)*('MTD Pivot'!$D$2:$K$2=I$2)*'MTD Pivot'!$D$3:$K$300)</f>
        <v/>
      </c>
      <c r="J199" s="161">
        <f>SUMPRODUCT(('MTD Pivot'!$B$3:$B$300=$B199)*('MTD Pivot'!$C$3:$C$300=$A$172)*('MTD Pivot'!$D$2:$K$2=J$2)*'MTD Pivot'!$D$3:$K$300)</f>
        <v/>
      </c>
      <c r="K199" s="161">
        <f>SUMPRODUCT(('MTD Pivot'!$B$3:$B$300=$B199)*('MTD Pivot'!$C$3:$C$300=$A$172)*('MTD Pivot'!$D$2:$K$2=K$2)*'MTD Pivot'!$D$3:$K$300)</f>
        <v/>
      </c>
      <c r="L199" s="161">
        <f>SUMPRODUCT(('MTD Pivot'!$B$3:$B$300=$B199)*('MTD Pivot'!$C$3:$C$300=$A$172)*('MTD Pivot'!$D$2:$K$2=L$2)*'MTD Pivot'!$D$3:$K$300)</f>
        <v/>
      </c>
      <c r="M199" s="161" t="n"/>
      <c r="N199" s="161" t="n"/>
      <c r="O199" s="143">
        <f>L199-K199</f>
        <v/>
      </c>
      <c r="P199" s="170" t="n"/>
      <c r="Q199" s="170" t="n"/>
      <c r="R199" s="170" t="n"/>
      <c r="S199" s="170" t="n"/>
      <c r="T199" s="170" t="n"/>
      <c r="U199" s="170" t="n"/>
      <c r="V199" s="161">
        <f>SUMPRODUCT(('Full month Pivot'!$B$3:$B$300=$B199)*('Full month Pivot'!$C$3:$C$300=$A$172)*('Full month Pivot'!$D$2:$K$2=V$2)*'Full month Pivot'!$D$3:$K$300)</f>
        <v/>
      </c>
      <c r="W199" s="161">
        <f>SUMPRODUCT(('Full month Pivot'!$B$3:$B$300=$B199)*('Full month Pivot'!$C$3:$C$300=$A$172)*('Full month Pivot'!$D$2:$K$2=W$2)*'Full month Pivot'!$D$3:$K$300)</f>
        <v/>
      </c>
      <c r="X199" s="161">
        <f>SUMPRODUCT(('Full month Pivot'!$B$3:$B$300=$B199)*('Full month Pivot'!$C$3:$C$300=$A$172)*('Full month Pivot'!$D$2:$K$2=X$2)*'Full month Pivot'!$D$3:$K$300)</f>
        <v/>
      </c>
      <c r="Y199" s="161">
        <f>SUMPRODUCT(('Full month Pivot'!$B$3:$B$300=$B199)*('Full month Pivot'!$C$3:$C$300=$A$172)*('Full month Pivot'!$D$2:$K$2=Y$2)*'Full month Pivot'!$D$3:$K$300)</f>
        <v/>
      </c>
      <c r="Z199" s="161">
        <f>SUMPRODUCT(('Full month Pivot'!$B$3:$B$300=$B199)*('Full month Pivot'!$C$3:$C$300=$A$172)*('Full month Pivot'!$D$2:$K$2=Z$2)*'Full month Pivot'!$D$3:$K$300)</f>
        <v/>
      </c>
      <c r="AA199" s="161">
        <f>SUMPRODUCT(('Full month Pivot'!$B$3:$B$300=$B199)*('Full month Pivot'!$C$3:$C$300=$A$172)*('Full month Pivot'!$D$2:$K$2=AA$2)*'Full month Pivot'!$D$3:$K$300)</f>
        <v/>
      </c>
      <c r="AB199" s="161" t="n"/>
      <c r="AC199" s="161" t="n"/>
      <c r="AD199" s="143">
        <f>AA199-Z199</f>
        <v/>
      </c>
      <c r="AE199" s="8" t="n"/>
      <c r="AF199" s="8" t="n"/>
      <c r="AG199" s="8" t="n"/>
      <c r="AH199" s="8" t="n"/>
      <c r="AI199" s="8" t="n"/>
      <c r="AJ199" s="8" t="n"/>
    </row>
    <row r="200" hidden="1" outlineLevel="1" ht="15.75" customHeight="1" s="239">
      <c r="A200" s="8" t="n"/>
      <c r="B200" s="170" t="inlineStr">
        <is>
          <t>Billpay</t>
        </is>
      </c>
      <c r="C200" s="8" t="n"/>
      <c r="D200" s="8" t="n"/>
      <c r="E200" s="8" t="n"/>
      <c r="F200" s="8" t="n"/>
      <c r="G200" s="161">
        <f>SUMPRODUCT(('MTD Pivot'!$B$3:$B$300=$B200)*('MTD Pivot'!$C$3:$C$300=$A$172)*('MTD Pivot'!$D$2:$K$2=G$2)*'MTD Pivot'!$D$3:$K$300)</f>
        <v/>
      </c>
      <c r="H200" s="161">
        <f>SUMPRODUCT(('MTD Pivot'!$B$3:$B$300=$B200)*('MTD Pivot'!$C$3:$C$300=$A$172)*('MTD Pivot'!$D$2:$K$2=H$2)*'MTD Pivot'!$D$3:$K$300)</f>
        <v/>
      </c>
      <c r="I200" s="161">
        <f>SUMPRODUCT(('MTD Pivot'!$B$3:$B$300=$B200)*('MTD Pivot'!$C$3:$C$300=$A$172)*('MTD Pivot'!$D$2:$K$2=I$2)*'MTD Pivot'!$D$3:$K$300)</f>
        <v/>
      </c>
      <c r="J200" s="161">
        <f>SUMPRODUCT(('MTD Pivot'!$B$3:$B$300=$B200)*('MTD Pivot'!$C$3:$C$300=$A$172)*('MTD Pivot'!$D$2:$K$2=J$2)*'MTD Pivot'!$D$3:$K$300)</f>
        <v/>
      </c>
      <c r="K200" s="161">
        <f>SUMPRODUCT(('MTD Pivot'!$B$3:$B$300=$B200)*('MTD Pivot'!$C$3:$C$300=$A$172)*('MTD Pivot'!$D$2:$K$2=K$2)*'MTD Pivot'!$D$3:$K$300)</f>
        <v/>
      </c>
      <c r="L200" s="161">
        <f>SUMPRODUCT(('MTD Pivot'!$B$3:$B$300=$B200)*('MTD Pivot'!$C$3:$C$300=$A$172)*('MTD Pivot'!$D$2:$K$2=L$2)*'MTD Pivot'!$D$3:$K$300)</f>
        <v/>
      </c>
      <c r="M200" s="161" t="n"/>
      <c r="N200" s="161" t="n"/>
      <c r="O200" s="143">
        <f>L200-K200</f>
        <v/>
      </c>
      <c r="P200" s="170" t="n"/>
      <c r="Q200" s="170" t="n"/>
      <c r="R200" s="170" t="n"/>
      <c r="S200" s="170" t="n"/>
      <c r="T200" s="170" t="n"/>
      <c r="U200" s="170" t="n"/>
      <c r="V200" s="161">
        <f>SUMPRODUCT(('Full month Pivot'!$B$3:$B$300=$B200)*('Full month Pivot'!$C$3:$C$300=$A$172)*('Full month Pivot'!$D$2:$K$2=V$2)*'Full month Pivot'!$D$3:$K$300)</f>
        <v/>
      </c>
      <c r="W200" s="161">
        <f>SUMPRODUCT(('Full month Pivot'!$B$3:$B$300=$B200)*('Full month Pivot'!$C$3:$C$300=$A$172)*('Full month Pivot'!$D$2:$K$2=W$2)*'Full month Pivot'!$D$3:$K$300)</f>
        <v/>
      </c>
      <c r="X200" s="161">
        <f>SUMPRODUCT(('Full month Pivot'!$B$3:$B$300=$B200)*('Full month Pivot'!$C$3:$C$300=$A$172)*('Full month Pivot'!$D$2:$K$2=X$2)*'Full month Pivot'!$D$3:$K$300)</f>
        <v/>
      </c>
      <c r="Y200" s="161">
        <f>SUMPRODUCT(('Full month Pivot'!$B$3:$B$300=$B200)*('Full month Pivot'!$C$3:$C$300=$A$172)*('Full month Pivot'!$D$2:$K$2=Y$2)*'Full month Pivot'!$D$3:$K$300)</f>
        <v/>
      </c>
      <c r="Z200" s="161">
        <f>SUMPRODUCT(('Full month Pivot'!$B$3:$B$300=$B200)*('Full month Pivot'!$C$3:$C$300=$A$172)*('Full month Pivot'!$D$2:$K$2=Z$2)*'Full month Pivot'!$D$3:$K$300)</f>
        <v/>
      </c>
      <c r="AA200" s="161">
        <f>SUMPRODUCT(('Full month Pivot'!$B$3:$B$300=$B200)*('Full month Pivot'!$C$3:$C$300=$A$172)*('Full month Pivot'!$D$2:$K$2=AA$2)*'Full month Pivot'!$D$3:$K$300)</f>
        <v/>
      </c>
      <c r="AB200" s="161" t="n"/>
      <c r="AC200" s="161" t="n"/>
      <c r="AD200" s="143">
        <f>AA200-Z200</f>
        <v/>
      </c>
      <c r="AE200" s="8" t="n"/>
      <c r="AF200" s="8" t="n"/>
      <c r="AG200" s="8" t="n"/>
      <c r="AH200" s="8" t="n"/>
      <c r="AI200" s="8" t="n"/>
      <c r="AJ200" s="8" t="n"/>
    </row>
    <row r="201" hidden="1" outlineLevel="1" ht="15.75" customHeight="1" s="239">
      <c r="A201" s="8" t="n"/>
      <c r="B201" s="170" t="inlineStr">
        <is>
          <t>P2P</t>
        </is>
      </c>
      <c r="C201" s="8" t="n"/>
      <c r="D201" s="8" t="n"/>
      <c r="E201" s="8" t="n"/>
      <c r="F201" s="8" t="n"/>
      <c r="G201" s="161">
        <f>SUMPRODUCT(('MTD Pivot'!$B$3:$B$300=$B201)*('MTD Pivot'!$C$3:$C$300=$A$172)*('MTD Pivot'!$D$2:$K$2=G$2)*'MTD Pivot'!$D$3:$K$300)</f>
        <v/>
      </c>
      <c r="H201" s="161">
        <f>SUMPRODUCT(('MTD Pivot'!$B$3:$B$300=$B201)*('MTD Pivot'!$C$3:$C$300=$A$172)*('MTD Pivot'!$D$2:$K$2=H$2)*'MTD Pivot'!$D$3:$K$300)</f>
        <v/>
      </c>
      <c r="I201" s="161">
        <f>SUMPRODUCT(('MTD Pivot'!$B$3:$B$300=$B201)*('MTD Pivot'!$C$3:$C$300=$A$172)*('MTD Pivot'!$D$2:$K$2=I$2)*'MTD Pivot'!$D$3:$K$300)</f>
        <v/>
      </c>
      <c r="J201" s="161">
        <f>SUMPRODUCT(('MTD Pivot'!$B$3:$B$300=$B201)*('MTD Pivot'!$C$3:$C$300=$A$172)*('MTD Pivot'!$D$2:$K$2=J$2)*'MTD Pivot'!$D$3:$K$300)</f>
        <v/>
      </c>
      <c r="K201" s="161">
        <f>SUMPRODUCT(('MTD Pivot'!$B$3:$B$300=$B201)*('MTD Pivot'!$C$3:$C$300=$A$172)*('MTD Pivot'!$D$2:$K$2=K$2)*'MTD Pivot'!$D$3:$K$300)</f>
        <v/>
      </c>
      <c r="L201" s="161">
        <f>SUMPRODUCT(('MTD Pivot'!$B$3:$B$300=$B201)*('MTD Pivot'!$C$3:$C$300=$A$172)*('MTD Pivot'!$D$2:$K$2=L$2)*'MTD Pivot'!$D$3:$K$300)</f>
        <v/>
      </c>
      <c r="M201" s="161" t="n"/>
      <c r="N201" s="161" t="n"/>
      <c r="O201" s="143">
        <f>L201-K201</f>
        <v/>
      </c>
      <c r="P201" s="170" t="n"/>
      <c r="Q201" s="170" t="n"/>
      <c r="R201" s="170" t="n"/>
      <c r="S201" s="170" t="n"/>
      <c r="T201" s="170" t="n"/>
      <c r="U201" s="170" t="n"/>
      <c r="V201" s="161">
        <f>SUMPRODUCT(('Full month Pivot'!$B$3:$B$300=$B201)*('Full month Pivot'!$C$3:$C$300=$A$172)*('Full month Pivot'!$D$2:$K$2=V$2)*'Full month Pivot'!$D$3:$K$300)</f>
        <v/>
      </c>
      <c r="W201" s="161">
        <f>SUMPRODUCT(('Full month Pivot'!$B$3:$B$300=$B201)*('Full month Pivot'!$C$3:$C$300=$A$172)*('Full month Pivot'!$D$2:$K$2=W$2)*'Full month Pivot'!$D$3:$K$300)</f>
        <v/>
      </c>
      <c r="X201" s="161">
        <f>SUMPRODUCT(('Full month Pivot'!$B$3:$B$300=$B201)*('Full month Pivot'!$C$3:$C$300=$A$172)*('Full month Pivot'!$D$2:$K$2=X$2)*'Full month Pivot'!$D$3:$K$300)</f>
        <v/>
      </c>
      <c r="Y201" s="161">
        <f>SUMPRODUCT(('Full month Pivot'!$B$3:$B$300=$B201)*('Full month Pivot'!$C$3:$C$300=$A$172)*('Full month Pivot'!$D$2:$K$2=Y$2)*'Full month Pivot'!$D$3:$K$300)</f>
        <v/>
      </c>
      <c r="Z201" s="161">
        <f>SUMPRODUCT(('Full month Pivot'!$B$3:$B$300=$B201)*('Full month Pivot'!$C$3:$C$300=$A$172)*('Full month Pivot'!$D$2:$K$2=Z$2)*'Full month Pivot'!$D$3:$K$300)</f>
        <v/>
      </c>
      <c r="AA201" s="161">
        <f>SUMPRODUCT(('Full month Pivot'!$B$3:$B$300=$B201)*('Full month Pivot'!$C$3:$C$300=$A$172)*('Full month Pivot'!$D$2:$K$2=AA$2)*'Full month Pivot'!$D$3:$K$300)</f>
        <v/>
      </c>
      <c r="AB201" s="161" t="n"/>
      <c r="AC201" s="161" t="n"/>
      <c r="AD201" s="143">
        <f>AA201-Z201</f>
        <v/>
      </c>
      <c r="AE201" s="8" t="n"/>
      <c r="AF201" s="8" t="n"/>
      <c r="AG201" s="8" t="n"/>
      <c r="AH201" s="8" t="n"/>
      <c r="AI201" s="8" t="n"/>
      <c r="AJ201" s="8" t="n"/>
    </row>
    <row r="202" hidden="1" outlineLevel="1" ht="15.75" customHeight="1" s="239">
      <c r="A202" s="8" t="n"/>
      <c r="B202" s="170" t="inlineStr">
        <is>
          <t>Điện</t>
        </is>
      </c>
      <c r="C202" s="8" t="n"/>
      <c r="D202" s="8" t="n"/>
      <c r="E202" s="8" t="n"/>
      <c r="F202" s="8" t="n"/>
      <c r="G202" s="161">
        <f>SUMPRODUCT(('MTD Pivot'!$B$3:$B$300=$B202)*('MTD Pivot'!$C$3:$C$300=$A$172)*('MTD Pivot'!$D$2:$K$2=G$2)*'MTD Pivot'!$D$3:$K$300)</f>
        <v/>
      </c>
      <c r="H202" s="161">
        <f>SUMPRODUCT(('MTD Pivot'!$B$3:$B$300=$B202)*('MTD Pivot'!$C$3:$C$300=$A$172)*('MTD Pivot'!$D$2:$K$2=H$2)*'MTD Pivot'!$D$3:$K$300)</f>
        <v/>
      </c>
      <c r="I202" s="161">
        <f>SUMPRODUCT(('MTD Pivot'!$B$3:$B$300=$B202)*('MTD Pivot'!$C$3:$C$300=$A$172)*('MTD Pivot'!$D$2:$K$2=I$2)*'MTD Pivot'!$D$3:$K$300)</f>
        <v/>
      </c>
      <c r="J202" s="161">
        <f>SUMPRODUCT(('MTD Pivot'!$B$3:$B$300=$B202)*('MTD Pivot'!$C$3:$C$300=$A$172)*('MTD Pivot'!$D$2:$K$2=J$2)*'MTD Pivot'!$D$3:$K$300)</f>
        <v/>
      </c>
      <c r="K202" s="161">
        <f>SUMPRODUCT(('MTD Pivot'!$B$3:$B$300=$B202)*('MTD Pivot'!$C$3:$C$300=$A$172)*('MTD Pivot'!$D$2:$K$2=K$2)*'MTD Pivot'!$D$3:$K$300)</f>
        <v/>
      </c>
      <c r="L202" s="161">
        <f>SUMPRODUCT(('MTD Pivot'!$B$3:$B$300=$B202)*('MTD Pivot'!$C$3:$C$300=$A$172)*('MTD Pivot'!$D$2:$K$2=L$2)*'MTD Pivot'!$D$3:$K$300)</f>
        <v/>
      </c>
      <c r="M202" s="161" t="n"/>
      <c r="N202" s="161" t="n"/>
      <c r="O202" s="143">
        <f>L202-K202</f>
        <v/>
      </c>
      <c r="P202" s="170" t="n"/>
      <c r="Q202" s="170" t="n"/>
      <c r="R202" s="170" t="n"/>
      <c r="S202" s="170" t="n"/>
      <c r="T202" s="170" t="n"/>
      <c r="U202" s="170" t="n"/>
      <c r="V202" s="161">
        <f>SUMPRODUCT(('Full month Pivot'!$B$3:$B$300=$B202)*('Full month Pivot'!$C$3:$C$300=$A$172)*('Full month Pivot'!$D$2:$K$2=V$2)*'Full month Pivot'!$D$3:$K$300)</f>
        <v/>
      </c>
      <c r="W202" s="161">
        <f>SUMPRODUCT(('Full month Pivot'!$B$3:$B$300=$B202)*('Full month Pivot'!$C$3:$C$300=$A$172)*('Full month Pivot'!$D$2:$K$2=W$2)*'Full month Pivot'!$D$3:$K$300)</f>
        <v/>
      </c>
      <c r="X202" s="161">
        <f>SUMPRODUCT(('Full month Pivot'!$B$3:$B$300=$B202)*('Full month Pivot'!$C$3:$C$300=$A$172)*('Full month Pivot'!$D$2:$K$2=X$2)*'Full month Pivot'!$D$3:$K$300)</f>
        <v/>
      </c>
      <c r="Y202" s="161">
        <f>SUMPRODUCT(('Full month Pivot'!$B$3:$B$300=$B202)*('Full month Pivot'!$C$3:$C$300=$A$172)*('Full month Pivot'!$D$2:$K$2=Y$2)*'Full month Pivot'!$D$3:$K$300)</f>
        <v/>
      </c>
      <c r="Z202" s="161">
        <f>SUMPRODUCT(('Full month Pivot'!$B$3:$B$300=$B202)*('Full month Pivot'!$C$3:$C$300=$A$172)*('Full month Pivot'!$D$2:$K$2=Z$2)*'Full month Pivot'!$D$3:$K$300)</f>
        <v/>
      </c>
      <c r="AA202" s="161">
        <f>SUMPRODUCT(('Full month Pivot'!$B$3:$B$300=$B202)*('Full month Pivot'!$C$3:$C$300=$A$172)*('Full month Pivot'!$D$2:$K$2=AA$2)*'Full month Pivot'!$D$3:$K$300)</f>
        <v/>
      </c>
      <c r="AB202" s="161" t="n"/>
      <c r="AC202" s="161" t="n"/>
      <c r="AD202" s="143">
        <f>AA202-Z202</f>
        <v/>
      </c>
      <c r="AE202" s="8" t="n"/>
      <c r="AF202" s="8" t="n"/>
      <c r="AG202" s="8" t="n"/>
      <c r="AH202" s="8" t="n"/>
      <c r="AI202" s="8" t="n"/>
      <c r="AJ202" s="8" t="n"/>
    </row>
    <row r="203" hidden="1" outlineLevel="1" ht="15.75" customHeight="1" s="239">
      <c r="A203" s="8" t="n"/>
      <c r="B203" s="170" t="inlineStr">
        <is>
          <t>Cross Border</t>
        </is>
      </c>
      <c r="C203" s="8" t="n"/>
      <c r="D203" s="8" t="n"/>
      <c r="E203" s="8" t="n"/>
      <c r="F203" s="8" t="n"/>
      <c r="G203" s="161">
        <f>SUMPRODUCT(('MTD Pivot'!$B$3:$B$300=$B203)*('MTD Pivot'!$C$3:$C$300=$A$172)*('MTD Pivot'!$D$2:$K$2=G$2)*'MTD Pivot'!$D$3:$K$300)</f>
        <v/>
      </c>
      <c r="H203" s="161">
        <f>SUMPRODUCT(('MTD Pivot'!$B$3:$B$300=$B203)*('MTD Pivot'!$C$3:$C$300=$A$172)*('MTD Pivot'!$D$2:$K$2=H$2)*'MTD Pivot'!$D$3:$K$300)</f>
        <v/>
      </c>
      <c r="I203" s="161">
        <f>SUMPRODUCT(('MTD Pivot'!$B$3:$B$300=$B203)*('MTD Pivot'!$C$3:$C$300=$A$172)*('MTD Pivot'!$D$2:$K$2=I$2)*'MTD Pivot'!$D$3:$K$300)</f>
        <v/>
      </c>
      <c r="J203" s="161">
        <f>SUMPRODUCT(('MTD Pivot'!$B$3:$B$300=$B203)*('MTD Pivot'!$C$3:$C$300=$A$172)*('MTD Pivot'!$D$2:$K$2=J$2)*'MTD Pivot'!$D$3:$K$300)</f>
        <v/>
      </c>
      <c r="K203" s="161">
        <f>SUMPRODUCT(('MTD Pivot'!$B$3:$B$300=$B203)*('MTD Pivot'!$C$3:$C$300=$A$172)*('MTD Pivot'!$D$2:$K$2=K$2)*'MTD Pivot'!$D$3:$K$300)</f>
        <v/>
      </c>
      <c r="L203" s="161">
        <f>SUMPRODUCT(('MTD Pivot'!$B$3:$B$300=$B203)*('MTD Pivot'!$C$3:$C$300=$A$172)*('MTD Pivot'!$D$2:$K$2=L$2)*'MTD Pivot'!$D$3:$K$300)</f>
        <v/>
      </c>
      <c r="M203" s="161" t="n"/>
      <c r="N203" s="161" t="n"/>
      <c r="O203" s="143">
        <f>L203-K203</f>
        <v/>
      </c>
      <c r="P203" s="170" t="n"/>
      <c r="Q203" s="170" t="n"/>
      <c r="R203" s="170" t="n"/>
      <c r="S203" s="170" t="n"/>
      <c r="T203" s="170" t="n"/>
      <c r="U203" s="170" t="n"/>
      <c r="V203" s="161">
        <f>SUMPRODUCT(('Full month Pivot'!$B$3:$B$300=$B203)*('Full month Pivot'!$C$3:$C$300=$A$172)*('Full month Pivot'!$D$2:$K$2=V$2)*'Full month Pivot'!$D$3:$K$300)</f>
        <v/>
      </c>
      <c r="W203" s="161">
        <f>SUMPRODUCT(('Full month Pivot'!$B$3:$B$300=$B203)*('Full month Pivot'!$C$3:$C$300=$A$172)*('Full month Pivot'!$D$2:$K$2=W$2)*'Full month Pivot'!$D$3:$K$300)</f>
        <v/>
      </c>
      <c r="X203" s="161">
        <f>SUMPRODUCT(('Full month Pivot'!$B$3:$B$300=$B203)*('Full month Pivot'!$C$3:$C$300=$A$172)*('Full month Pivot'!$D$2:$K$2=X$2)*'Full month Pivot'!$D$3:$K$300)</f>
        <v/>
      </c>
      <c r="Y203" s="161">
        <f>SUMPRODUCT(('Full month Pivot'!$B$3:$B$300=$B203)*('Full month Pivot'!$C$3:$C$300=$A$172)*('Full month Pivot'!$D$2:$K$2=Y$2)*'Full month Pivot'!$D$3:$K$300)</f>
        <v/>
      </c>
      <c r="Z203" s="161">
        <f>SUMPRODUCT(('Full month Pivot'!$B$3:$B$300=$B203)*('Full month Pivot'!$C$3:$C$300=$A$172)*('Full month Pivot'!$D$2:$K$2=Z$2)*'Full month Pivot'!$D$3:$K$300)</f>
        <v/>
      </c>
      <c r="AA203" s="161">
        <f>SUMPRODUCT(('Full month Pivot'!$B$3:$B$300=$B203)*('Full month Pivot'!$C$3:$C$300=$A$172)*('Full month Pivot'!$D$2:$K$2=AA$2)*'Full month Pivot'!$D$3:$K$300)</f>
        <v/>
      </c>
      <c r="AB203" s="161" t="n"/>
      <c r="AC203" s="161" t="n"/>
      <c r="AD203" s="143">
        <f>AA203-Z203</f>
        <v/>
      </c>
      <c r="AE203" s="8" t="n"/>
      <c r="AF203" s="8" t="n"/>
      <c r="AG203" s="8" t="n"/>
      <c r="AH203" s="8" t="n"/>
      <c r="AI203" s="8" t="n"/>
      <c r="AJ203" s="8" t="n"/>
    </row>
    <row r="204" hidden="1" outlineLevel="1" ht="15.75" customHeight="1" s="239">
      <c r="A204" s="8" t="n"/>
      <c r="B204" s="170" t="inlineStr">
        <is>
          <t>Hoàn Tiền Mua Sắm</t>
        </is>
      </c>
      <c r="C204" s="8" t="n"/>
      <c r="D204" s="8" t="n"/>
      <c r="E204" s="8" t="n"/>
      <c r="F204" s="8" t="n"/>
      <c r="G204" s="161">
        <f>SUMPRODUCT(('MTD Pivot'!$B$3:$B$300=$B204)*('MTD Pivot'!$C$3:$C$300=$A$172)*('MTD Pivot'!$D$2:$K$2=G$2)*'MTD Pivot'!$D$3:$K$300)</f>
        <v/>
      </c>
      <c r="H204" s="161">
        <f>SUMPRODUCT(('MTD Pivot'!$B$3:$B$300=$B204)*('MTD Pivot'!$C$3:$C$300=$A$172)*('MTD Pivot'!$D$2:$K$2=H$2)*'MTD Pivot'!$D$3:$K$300)</f>
        <v/>
      </c>
      <c r="I204" s="161">
        <f>SUMPRODUCT(('MTD Pivot'!$B$3:$B$300=$B204)*('MTD Pivot'!$C$3:$C$300=$A$172)*('MTD Pivot'!$D$2:$K$2=I$2)*'MTD Pivot'!$D$3:$K$300)</f>
        <v/>
      </c>
      <c r="J204" s="161">
        <f>SUMPRODUCT(('MTD Pivot'!$B$3:$B$300=$B204)*('MTD Pivot'!$C$3:$C$300=$A$172)*('MTD Pivot'!$D$2:$K$2=J$2)*'MTD Pivot'!$D$3:$K$300)</f>
        <v/>
      </c>
      <c r="K204" s="161">
        <f>SUMPRODUCT(('MTD Pivot'!$B$3:$B$300=$B204)*('MTD Pivot'!$C$3:$C$300=$A$172)*('MTD Pivot'!$D$2:$K$2=K$2)*'MTD Pivot'!$D$3:$K$300)</f>
        <v/>
      </c>
      <c r="L204" s="161">
        <f>SUMPRODUCT(('MTD Pivot'!$B$3:$B$300=$B204)*('MTD Pivot'!$C$3:$C$300=$A$172)*('MTD Pivot'!$D$2:$K$2=L$2)*'MTD Pivot'!$D$3:$K$300)</f>
        <v/>
      </c>
      <c r="M204" s="161" t="n"/>
      <c r="N204" s="161" t="n"/>
      <c r="O204" s="143">
        <f>L204-K204</f>
        <v/>
      </c>
      <c r="P204" s="170" t="n"/>
      <c r="Q204" s="170" t="n"/>
      <c r="R204" s="170" t="n"/>
      <c r="S204" s="170" t="n"/>
      <c r="T204" s="170" t="n"/>
      <c r="U204" s="170" t="n"/>
      <c r="V204" s="161">
        <f>SUMPRODUCT(('Full month Pivot'!$B$3:$B$300=$B204)*('Full month Pivot'!$C$3:$C$300=$A$172)*('Full month Pivot'!$D$2:$K$2=V$2)*'Full month Pivot'!$D$3:$K$300)</f>
        <v/>
      </c>
      <c r="W204" s="161">
        <f>SUMPRODUCT(('Full month Pivot'!$B$3:$B$300=$B204)*('Full month Pivot'!$C$3:$C$300=$A$172)*('Full month Pivot'!$D$2:$K$2=W$2)*'Full month Pivot'!$D$3:$K$300)</f>
        <v/>
      </c>
      <c r="X204" s="161">
        <f>SUMPRODUCT(('Full month Pivot'!$B$3:$B$300=$B204)*('Full month Pivot'!$C$3:$C$300=$A$172)*('Full month Pivot'!$D$2:$K$2=X$2)*'Full month Pivot'!$D$3:$K$300)</f>
        <v/>
      </c>
      <c r="Y204" s="161">
        <f>SUMPRODUCT(('Full month Pivot'!$B$3:$B$300=$B204)*('Full month Pivot'!$C$3:$C$300=$A$172)*('Full month Pivot'!$D$2:$K$2=Y$2)*'Full month Pivot'!$D$3:$K$300)</f>
        <v/>
      </c>
      <c r="Z204" s="161">
        <f>SUMPRODUCT(('Full month Pivot'!$B$3:$B$300=$B204)*('Full month Pivot'!$C$3:$C$300=$A$172)*('Full month Pivot'!$D$2:$K$2=Z$2)*'Full month Pivot'!$D$3:$K$300)</f>
        <v/>
      </c>
      <c r="AA204" s="161">
        <f>SUMPRODUCT(('Full month Pivot'!$B$3:$B$300=$B204)*('Full month Pivot'!$C$3:$C$300=$A$172)*('Full month Pivot'!$D$2:$K$2=AA$2)*'Full month Pivot'!$D$3:$K$300)</f>
        <v/>
      </c>
      <c r="AB204" s="161" t="n"/>
      <c r="AC204" s="161" t="n"/>
      <c r="AD204" s="143">
        <f>AA204-Z204</f>
        <v/>
      </c>
      <c r="AE204" s="8" t="n"/>
      <c r="AF204" s="8" t="n"/>
      <c r="AG204" s="8" t="n"/>
      <c r="AH204" s="8" t="n"/>
      <c r="AI204" s="8" t="n"/>
      <c r="AJ204" s="8" t="n"/>
    </row>
    <row r="205" hidden="1" outlineLevel="1" ht="15.75" customHeight="1" s="239">
      <c r="A205" s="8" t="n"/>
      <c r="B205" s="170" t="inlineStr">
        <is>
          <t>Mở tài khoản ngân hàng</t>
        </is>
      </c>
      <c r="C205" s="8" t="n"/>
      <c r="D205" s="8" t="n"/>
      <c r="E205" s="8" t="n"/>
      <c r="F205" s="8" t="n"/>
      <c r="G205" s="161">
        <f>SUMPRODUCT(('MTD Pivot'!$B$3:$B$300=$B205)*('MTD Pivot'!$C$3:$C$300=$A$172)*('MTD Pivot'!$D$2:$K$2=G$2)*'MTD Pivot'!$D$3:$K$300)</f>
        <v/>
      </c>
      <c r="H205" s="161">
        <f>SUMPRODUCT(('MTD Pivot'!$B$3:$B$300=$B205)*('MTD Pivot'!$C$3:$C$300=$A$172)*('MTD Pivot'!$D$2:$K$2=H$2)*'MTD Pivot'!$D$3:$K$300)</f>
        <v/>
      </c>
      <c r="I205" s="161">
        <f>SUMPRODUCT(('MTD Pivot'!$B$3:$B$300=$B205)*('MTD Pivot'!$C$3:$C$300=$A$172)*('MTD Pivot'!$D$2:$K$2=I$2)*'MTD Pivot'!$D$3:$K$300)</f>
        <v/>
      </c>
      <c r="J205" s="161">
        <f>SUMPRODUCT(('MTD Pivot'!$B$3:$B$300=$B205)*('MTD Pivot'!$C$3:$C$300=$A$172)*('MTD Pivot'!$D$2:$K$2=J$2)*'MTD Pivot'!$D$3:$K$300)</f>
        <v/>
      </c>
      <c r="K205" s="161">
        <f>SUMPRODUCT(('MTD Pivot'!$B$3:$B$300=$B205)*('MTD Pivot'!$C$3:$C$300=$A$172)*('MTD Pivot'!$D$2:$K$2=K$2)*'MTD Pivot'!$D$3:$K$300)</f>
        <v/>
      </c>
      <c r="L205" s="161">
        <f>SUMPRODUCT(('MTD Pivot'!$B$3:$B$300=$B205)*('MTD Pivot'!$C$3:$C$300=$A$172)*('MTD Pivot'!$D$2:$K$2=L$2)*'MTD Pivot'!$D$3:$K$300)</f>
        <v/>
      </c>
      <c r="M205" s="161" t="n"/>
      <c r="N205" s="161" t="n"/>
      <c r="O205" s="143">
        <f>L205-K205</f>
        <v/>
      </c>
      <c r="P205" s="170" t="n"/>
      <c r="Q205" s="170" t="n"/>
      <c r="R205" s="170" t="n"/>
      <c r="S205" s="170" t="n"/>
      <c r="T205" s="170" t="n"/>
      <c r="U205" s="170" t="n"/>
      <c r="V205" s="161">
        <f>SUMPRODUCT(('Full month Pivot'!$B$3:$B$300=$B205)*('Full month Pivot'!$C$3:$C$300=$A$172)*('Full month Pivot'!$D$2:$K$2=V$2)*'Full month Pivot'!$D$3:$K$300)</f>
        <v/>
      </c>
      <c r="W205" s="161">
        <f>SUMPRODUCT(('Full month Pivot'!$B$3:$B$300=$B205)*('Full month Pivot'!$C$3:$C$300=$A$172)*('Full month Pivot'!$D$2:$K$2=W$2)*'Full month Pivot'!$D$3:$K$300)</f>
        <v/>
      </c>
      <c r="X205" s="161">
        <f>SUMPRODUCT(('Full month Pivot'!$B$3:$B$300=$B205)*('Full month Pivot'!$C$3:$C$300=$A$172)*('Full month Pivot'!$D$2:$K$2=X$2)*'Full month Pivot'!$D$3:$K$300)</f>
        <v/>
      </c>
      <c r="Y205" s="161">
        <f>SUMPRODUCT(('Full month Pivot'!$B$3:$B$300=$B205)*('Full month Pivot'!$C$3:$C$300=$A$172)*('Full month Pivot'!$D$2:$K$2=Y$2)*'Full month Pivot'!$D$3:$K$300)</f>
        <v/>
      </c>
      <c r="Z205" s="161">
        <f>SUMPRODUCT(('Full month Pivot'!$B$3:$B$300=$B205)*('Full month Pivot'!$C$3:$C$300=$A$172)*('Full month Pivot'!$D$2:$K$2=Z$2)*'Full month Pivot'!$D$3:$K$300)</f>
        <v/>
      </c>
      <c r="AA205" s="161">
        <f>SUMPRODUCT(('Full month Pivot'!$B$3:$B$300=$B205)*('Full month Pivot'!$C$3:$C$300=$A$172)*('Full month Pivot'!$D$2:$K$2=AA$2)*'Full month Pivot'!$D$3:$K$300)</f>
        <v/>
      </c>
      <c r="AB205" s="161" t="n"/>
      <c r="AC205" s="161" t="n"/>
      <c r="AD205" s="143">
        <f>AA205-Z205</f>
        <v/>
      </c>
      <c r="AE205" s="8" t="n"/>
      <c r="AF205" s="8" t="n"/>
      <c r="AG205" s="8" t="n"/>
      <c r="AH205" s="8" t="n"/>
      <c r="AI205" s="8" t="n"/>
      <c r="AJ205" s="8" t="n"/>
    </row>
    <row r="206" hidden="1" outlineLevel="1" ht="15.75" customHeight="1" s="239">
      <c r="A206" s="8" t="n"/>
      <c r="B206" s="170" t="inlineStr">
        <is>
          <t>Student Hub</t>
        </is>
      </c>
      <c r="C206" s="8" t="n"/>
      <c r="D206" s="8" t="n"/>
      <c r="E206" s="8" t="n"/>
      <c r="F206" s="8" t="n"/>
      <c r="G206" s="161">
        <f>SUMPRODUCT(('MTD Pivot'!$B$3:$B$300=$B206)*('MTD Pivot'!$C$3:$C$300=$A$172)*('MTD Pivot'!$D$2:$K$2=G$2)*'MTD Pivot'!$D$3:$K$300)</f>
        <v/>
      </c>
      <c r="H206" s="161">
        <f>SUMPRODUCT(('MTD Pivot'!$B$3:$B$300=$B206)*('MTD Pivot'!$C$3:$C$300=$A$172)*('MTD Pivot'!$D$2:$K$2=H$2)*'MTD Pivot'!$D$3:$K$300)</f>
        <v/>
      </c>
      <c r="I206" s="161">
        <f>SUMPRODUCT(('MTD Pivot'!$B$3:$B$300=$B206)*('MTD Pivot'!$C$3:$C$300=$A$172)*('MTD Pivot'!$D$2:$K$2=I$2)*'MTD Pivot'!$D$3:$K$300)</f>
        <v/>
      </c>
      <c r="J206" s="161">
        <f>SUMPRODUCT(('MTD Pivot'!$B$3:$B$300=$B206)*('MTD Pivot'!$C$3:$C$300=$A$172)*('MTD Pivot'!$D$2:$K$2=J$2)*'MTD Pivot'!$D$3:$K$300)</f>
        <v/>
      </c>
      <c r="K206" s="161">
        <f>SUMPRODUCT(('MTD Pivot'!$B$3:$B$300=$B206)*('MTD Pivot'!$C$3:$C$300=$A$172)*('MTD Pivot'!$D$2:$K$2=K$2)*'MTD Pivot'!$D$3:$K$300)</f>
        <v/>
      </c>
      <c r="L206" s="161">
        <f>SUMPRODUCT(('MTD Pivot'!$B$3:$B$300=$B206)*('MTD Pivot'!$C$3:$C$300=$A$172)*('MTD Pivot'!$D$2:$K$2=L$2)*'MTD Pivot'!$D$3:$K$300)</f>
        <v/>
      </c>
      <c r="M206" s="161" t="n"/>
      <c r="N206" s="161" t="n"/>
      <c r="O206" s="143">
        <f>L206-K206</f>
        <v/>
      </c>
      <c r="P206" s="170" t="n"/>
      <c r="Q206" s="170" t="n"/>
      <c r="R206" s="170" t="n"/>
      <c r="S206" s="170" t="n"/>
      <c r="T206" s="170" t="n"/>
      <c r="U206" s="170" t="n"/>
      <c r="V206" s="161">
        <f>SUMPRODUCT(('Full month Pivot'!$B$3:$B$300=$B206)*('Full month Pivot'!$C$3:$C$300=$A$172)*('Full month Pivot'!$D$2:$K$2=V$2)*'Full month Pivot'!$D$3:$K$300)</f>
        <v/>
      </c>
      <c r="W206" s="161">
        <f>SUMPRODUCT(('Full month Pivot'!$B$3:$B$300=$B206)*('Full month Pivot'!$C$3:$C$300=$A$172)*('Full month Pivot'!$D$2:$K$2=W$2)*'Full month Pivot'!$D$3:$K$300)</f>
        <v/>
      </c>
      <c r="X206" s="161">
        <f>SUMPRODUCT(('Full month Pivot'!$B$3:$B$300=$B206)*('Full month Pivot'!$C$3:$C$300=$A$172)*('Full month Pivot'!$D$2:$K$2=X$2)*'Full month Pivot'!$D$3:$K$300)</f>
        <v/>
      </c>
      <c r="Y206" s="161">
        <f>SUMPRODUCT(('Full month Pivot'!$B$3:$B$300=$B206)*('Full month Pivot'!$C$3:$C$300=$A$172)*('Full month Pivot'!$D$2:$K$2=Y$2)*'Full month Pivot'!$D$3:$K$300)</f>
        <v/>
      </c>
      <c r="Z206" s="161">
        <f>SUMPRODUCT(('Full month Pivot'!$B$3:$B$300=$B206)*('Full month Pivot'!$C$3:$C$300=$A$172)*('Full month Pivot'!$D$2:$K$2=Z$2)*'Full month Pivot'!$D$3:$K$300)</f>
        <v/>
      </c>
      <c r="AA206" s="161">
        <f>SUMPRODUCT(('Full month Pivot'!$B$3:$B$300=$B206)*('Full month Pivot'!$C$3:$C$300=$A$172)*('Full month Pivot'!$D$2:$K$2=AA$2)*'Full month Pivot'!$D$3:$K$300)</f>
        <v/>
      </c>
      <c r="AB206" s="161" t="n"/>
      <c r="AC206" s="161" t="n"/>
      <c r="AD206" s="143">
        <f>AA206-Z206</f>
        <v/>
      </c>
      <c r="AE206" s="8" t="n"/>
      <c r="AF206" s="8" t="n"/>
      <c r="AG206" s="8" t="n"/>
      <c r="AH206" s="8" t="n"/>
      <c r="AI206" s="8" t="n"/>
      <c r="AJ206" s="8" t="n"/>
    </row>
    <row r="207" hidden="1" outlineLevel="1" ht="15.75" customHeight="1" s="239">
      <c r="A207" s="8" t="n"/>
      <c r="B207" s="170" t="inlineStr">
        <is>
          <t>Tiện ích giao thông</t>
        </is>
      </c>
      <c r="C207" s="8" t="n"/>
      <c r="D207" s="8" t="n"/>
      <c r="E207" s="8" t="n"/>
      <c r="F207" s="8" t="n"/>
      <c r="G207" s="161">
        <f>SUMPRODUCT(('MTD Pivot'!$B$3:$B$300=$B207)*('MTD Pivot'!$C$3:$C$300=$A$172)*('MTD Pivot'!$D$2:$K$2=G$2)*'MTD Pivot'!$D$3:$K$300)</f>
        <v/>
      </c>
      <c r="H207" s="161">
        <f>SUMPRODUCT(('MTD Pivot'!$B$3:$B$300=$B207)*('MTD Pivot'!$C$3:$C$300=$A$172)*('MTD Pivot'!$D$2:$K$2=H$2)*'MTD Pivot'!$D$3:$K$300)</f>
        <v/>
      </c>
      <c r="I207" s="161">
        <f>SUMPRODUCT(('MTD Pivot'!$B$3:$B$300=$B207)*('MTD Pivot'!$C$3:$C$300=$A$172)*('MTD Pivot'!$D$2:$K$2=I$2)*'MTD Pivot'!$D$3:$K$300)</f>
        <v/>
      </c>
      <c r="J207" s="161">
        <f>SUMPRODUCT(('MTD Pivot'!$B$3:$B$300=$B207)*('MTD Pivot'!$C$3:$C$300=$A$172)*('MTD Pivot'!$D$2:$K$2=J$2)*'MTD Pivot'!$D$3:$K$300)</f>
        <v/>
      </c>
      <c r="K207" s="161">
        <f>SUMPRODUCT(('MTD Pivot'!$B$3:$B$300=$B207)*('MTD Pivot'!$C$3:$C$300=$A$172)*('MTD Pivot'!$D$2:$K$2=K$2)*'MTD Pivot'!$D$3:$K$300)</f>
        <v/>
      </c>
      <c r="L207" s="161">
        <f>SUMPRODUCT(('MTD Pivot'!$B$3:$B$300=$B207)*('MTD Pivot'!$C$3:$C$300=$A$172)*('MTD Pivot'!$D$2:$K$2=L$2)*'MTD Pivot'!$D$3:$K$300)</f>
        <v/>
      </c>
      <c r="M207" s="161" t="n"/>
      <c r="N207" s="161" t="n"/>
      <c r="O207" s="143">
        <f>L207-K207</f>
        <v/>
      </c>
      <c r="P207" s="170" t="n"/>
      <c r="Q207" s="170" t="n"/>
      <c r="R207" s="170" t="n"/>
      <c r="S207" s="170" t="n"/>
      <c r="T207" s="170" t="n"/>
      <c r="U207" s="170" t="n"/>
      <c r="V207" s="161">
        <f>SUMPRODUCT(('Full month Pivot'!$B$3:$B$300=$B207)*('Full month Pivot'!$C$3:$C$300=$A$172)*('Full month Pivot'!$D$2:$K$2=V$2)*'Full month Pivot'!$D$3:$K$300)</f>
        <v/>
      </c>
      <c r="W207" s="161">
        <f>SUMPRODUCT(('Full month Pivot'!$B$3:$B$300=$B207)*('Full month Pivot'!$C$3:$C$300=$A$172)*('Full month Pivot'!$D$2:$K$2=W$2)*'Full month Pivot'!$D$3:$K$300)</f>
        <v/>
      </c>
      <c r="X207" s="161">
        <f>SUMPRODUCT(('Full month Pivot'!$B$3:$B$300=$B207)*('Full month Pivot'!$C$3:$C$300=$A$172)*('Full month Pivot'!$D$2:$K$2=X$2)*'Full month Pivot'!$D$3:$K$300)</f>
        <v/>
      </c>
      <c r="Y207" s="161">
        <f>SUMPRODUCT(('Full month Pivot'!$B$3:$B$300=$B207)*('Full month Pivot'!$C$3:$C$300=$A$172)*('Full month Pivot'!$D$2:$K$2=Y$2)*'Full month Pivot'!$D$3:$K$300)</f>
        <v/>
      </c>
      <c r="Z207" s="161">
        <f>SUMPRODUCT(('Full month Pivot'!$B$3:$B$300=$B207)*('Full month Pivot'!$C$3:$C$300=$A$172)*('Full month Pivot'!$D$2:$K$2=Z$2)*'Full month Pivot'!$D$3:$K$300)</f>
        <v/>
      </c>
      <c r="AA207" s="161">
        <f>SUMPRODUCT(('Full month Pivot'!$B$3:$B$300=$B207)*('Full month Pivot'!$C$3:$C$300=$A$172)*('Full month Pivot'!$D$2:$K$2=AA$2)*'Full month Pivot'!$D$3:$K$300)</f>
        <v/>
      </c>
      <c r="AB207" s="161" t="n"/>
      <c r="AC207" s="161" t="n"/>
      <c r="AD207" s="143">
        <f>AA207-Z207</f>
        <v/>
      </c>
      <c r="AE207" s="8" t="n"/>
      <c r="AF207" s="8" t="n"/>
      <c r="AG207" s="8" t="n"/>
      <c r="AH207" s="8" t="n"/>
      <c r="AI207" s="8" t="n"/>
      <c r="AJ207" s="8" t="n"/>
    </row>
    <row r="208" hidden="1" outlineLevel="1" ht="15.75" customHeight="1" s="239">
      <c r="A208" s="8" t="n"/>
      <c r="B208" s="170" t="inlineStr">
        <is>
          <t>Phí không dừng</t>
        </is>
      </c>
      <c r="C208" s="8" t="n"/>
      <c r="D208" s="8" t="n"/>
      <c r="E208" s="8" t="n"/>
      <c r="F208" s="8" t="n"/>
      <c r="G208" s="161">
        <f>SUMPRODUCT(('MTD Pivot'!$B$3:$B$300=$B208)*('MTD Pivot'!$C$3:$C$300=$A$172)*('MTD Pivot'!$D$2:$K$2=G$2)*'MTD Pivot'!$D$3:$K$300)</f>
        <v/>
      </c>
      <c r="H208" s="161">
        <f>SUMPRODUCT(('MTD Pivot'!$B$3:$B$300=$B208)*('MTD Pivot'!$C$3:$C$300=$A$172)*('MTD Pivot'!$D$2:$K$2=H$2)*'MTD Pivot'!$D$3:$K$300)</f>
        <v/>
      </c>
      <c r="I208" s="161">
        <f>SUMPRODUCT(('MTD Pivot'!$B$3:$B$300=$B208)*('MTD Pivot'!$C$3:$C$300=$A$172)*('MTD Pivot'!$D$2:$K$2=I$2)*'MTD Pivot'!$D$3:$K$300)</f>
        <v/>
      </c>
      <c r="J208" s="161">
        <f>SUMPRODUCT(('MTD Pivot'!$B$3:$B$300=$B208)*('MTD Pivot'!$C$3:$C$300=$A$172)*('MTD Pivot'!$D$2:$K$2=J$2)*'MTD Pivot'!$D$3:$K$300)</f>
        <v/>
      </c>
      <c r="K208" s="161">
        <f>SUMPRODUCT(('MTD Pivot'!$B$3:$B$300=$B208)*('MTD Pivot'!$C$3:$C$300=$A$172)*('MTD Pivot'!$D$2:$K$2=K$2)*'MTD Pivot'!$D$3:$K$300)</f>
        <v/>
      </c>
      <c r="L208" s="161">
        <f>SUMPRODUCT(('MTD Pivot'!$B$3:$B$300=$B208)*('MTD Pivot'!$C$3:$C$300=$A$172)*('MTD Pivot'!$D$2:$K$2=L$2)*'MTD Pivot'!$D$3:$K$300)</f>
        <v/>
      </c>
      <c r="M208" s="161" t="n"/>
      <c r="N208" s="161" t="n"/>
      <c r="O208" s="143">
        <f>L208-K208</f>
        <v/>
      </c>
      <c r="P208" s="170" t="n"/>
      <c r="Q208" s="170" t="n"/>
      <c r="R208" s="170" t="n"/>
      <c r="S208" s="170" t="n"/>
      <c r="T208" s="170" t="n"/>
      <c r="U208" s="170" t="n"/>
      <c r="V208" s="161">
        <f>SUMPRODUCT(('Full month Pivot'!$B$3:$B$300=$B208)*('Full month Pivot'!$C$3:$C$300=$A$172)*('Full month Pivot'!$D$2:$K$2=V$2)*'Full month Pivot'!$D$3:$K$300)</f>
        <v/>
      </c>
      <c r="W208" s="161">
        <f>SUMPRODUCT(('Full month Pivot'!$B$3:$B$300=$B208)*('Full month Pivot'!$C$3:$C$300=$A$172)*('Full month Pivot'!$D$2:$K$2=W$2)*'Full month Pivot'!$D$3:$K$300)</f>
        <v/>
      </c>
      <c r="X208" s="161">
        <f>SUMPRODUCT(('Full month Pivot'!$B$3:$B$300=$B208)*('Full month Pivot'!$C$3:$C$300=$A$172)*('Full month Pivot'!$D$2:$K$2=X$2)*'Full month Pivot'!$D$3:$K$300)</f>
        <v/>
      </c>
      <c r="Y208" s="161">
        <f>SUMPRODUCT(('Full month Pivot'!$B$3:$B$300=$B208)*('Full month Pivot'!$C$3:$C$300=$A$172)*('Full month Pivot'!$D$2:$K$2=Y$2)*'Full month Pivot'!$D$3:$K$300)</f>
        <v/>
      </c>
      <c r="Z208" s="161">
        <f>SUMPRODUCT(('Full month Pivot'!$B$3:$B$300=$B208)*('Full month Pivot'!$C$3:$C$300=$A$172)*('Full month Pivot'!$D$2:$K$2=Z$2)*'Full month Pivot'!$D$3:$K$300)</f>
        <v/>
      </c>
      <c r="AA208" s="161">
        <f>SUMPRODUCT(('Full month Pivot'!$B$3:$B$300=$B208)*('Full month Pivot'!$C$3:$C$300=$A$172)*('Full month Pivot'!$D$2:$K$2=AA$2)*'Full month Pivot'!$D$3:$K$300)</f>
        <v/>
      </c>
      <c r="AB208" s="161" t="n"/>
      <c r="AC208" s="161" t="n"/>
      <c r="AD208" s="143">
        <f>AA208-Z208</f>
        <v/>
      </c>
      <c r="AE208" s="8" t="n"/>
      <c r="AF208" s="8" t="n"/>
      <c r="AG208" s="8" t="n"/>
      <c r="AH208" s="8" t="n"/>
      <c r="AI208" s="8" t="n"/>
      <c r="AJ208" s="8" t="n"/>
    </row>
    <row r="209" hidden="1" outlineLevel="1" ht="15.75" customHeight="1" s="239">
      <c r="A209" s="8" t="n"/>
      <c r="B209" s="170" t="inlineStr">
        <is>
          <t>Tiệm vàng online</t>
        </is>
      </c>
      <c r="C209" s="8" t="n"/>
      <c r="D209" s="8" t="n"/>
      <c r="E209" s="8" t="n"/>
      <c r="F209" s="8" t="n"/>
      <c r="G209" s="161">
        <f>SUMPRODUCT(('MTD Pivot'!$B$3:$B$300=$B209)*('MTD Pivot'!$C$3:$C$300=$A$172)*('MTD Pivot'!$D$2:$K$2=G$2)*'MTD Pivot'!$D$3:$K$300)</f>
        <v/>
      </c>
      <c r="H209" s="161">
        <f>SUMPRODUCT(('MTD Pivot'!$B$3:$B$300=$B209)*('MTD Pivot'!$C$3:$C$300=$A$172)*('MTD Pivot'!$D$2:$K$2=H$2)*'MTD Pivot'!$D$3:$K$300)</f>
        <v/>
      </c>
      <c r="I209" s="161">
        <f>SUMPRODUCT(('MTD Pivot'!$B$3:$B$300=$B209)*('MTD Pivot'!$C$3:$C$300=$A$172)*('MTD Pivot'!$D$2:$K$2=I$2)*'MTD Pivot'!$D$3:$K$300)</f>
        <v/>
      </c>
      <c r="J209" s="161">
        <f>SUMPRODUCT(('MTD Pivot'!$B$3:$B$300=$B209)*('MTD Pivot'!$C$3:$C$300=$A$172)*('MTD Pivot'!$D$2:$K$2=J$2)*'MTD Pivot'!$D$3:$K$300)</f>
        <v/>
      </c>
      <c r="K209" s="161">
        <f>SUMPRODUCT(('MTD Pivot'!$B$3:$B$300=$B209)*('MTD Pivot'!$C$3:$C$300=$A$172)*('MTD Pivot'!$D$2:$K$2=K$2)*'MTD Pivot'!$D$3:$K$300)</f>
        <v/>
      </c>
      <c r="L209" s="161">
        <f>SUMPRODUCT(('MTD Pivot'!$B$3:$B$300=$B209)*('MTD Pivot'!$C$3:$C$300=$A$172)*('MTD Pivot'!$D$2:$K$2=L$2)*'MTD Pivot'!$D$3:$K$300)</f>
        <v/>
      </c>
      <c r="M209" s="161" t="n"/>
      <c r="N209" s="161" t="n"/>
      <c r="O209" s="143">
        <f>L209-K209</f>
        <v/>
      </c>
      <c r="P209" s="170" t="n"/>
      <c r="Q209" s="170" t="n"/>
      <c r="R209" s="170" t="n"/>
      <c r="S209" s="170" t="n"/>
      <c r="T209" s="170" t="n"/>
      <c r="U209" s="170" t="n"/>
      <c r="V209" s="161">
        <f>SUMPRODUCT(('Full month Pivot'!$B$3:$B$300=$B209)*('Full month Pivot'!$C$3:$C$300=$A$172)*('Full month Pivot'!$D$2:$K$2=V$2)*'Full month Pivot'!$D$3:$K$300)</f>
        <v/>
      </c>
      <c r="W209" s="161">
        <f>SUMPRODUCT(('Full month Pivot'!$B$3:$B$300=$B209)*('Full month Pivot'!$C$3:$C$300=$A$172)*('Full month Pivot'!$D$2:$K$2=W$2)*'Full month Pivot'!$D$3:$K$300)</f>
        <v/>
      </c>
      <c r="X209" s="161">
        <f>SUMPRODUCT(('Full month Pivot'!$B$3:$B$300=$B209)*('Full month Pivot'!$C$3:$C$300=$A$172)*('Full month Pivot'!$D$2:$K$2=X$2)*'Full month Pivot'!$D$3:$K$300)</f>
        <v/>
      </c>
      <c r="Y209" s="161">
        <f>SUMPRODUCT(('Full month Pivot'!$B$3:$B$300=$B209)*('Full month Pivot'!$C$3:$C$300=$A$172)*('Full month Pivot'!$D$2:$K$2=Y$2)*'Full month Pivot'!$D$3:$K$300)</f>
        <v/>
      </c>
      <c r="Z209" s="161">
        <f>SUMPRODUCT(('Full month Pivot'!$B$3:$B$300=$B209)*('Full month Pivot'!$C$3:$C$300=$A$172)*('Full month Pivot'!$D$2:$K$2=Z$2)*'Full month Pivot'!$D$3:$K$300)</f>
        <v/>
      </c>
      <c r="AA209" s="161">
        <f>SUMPRODUCT(('Full month Pivot'!$B$3:$B$300=$B209)*('Full month Pivot'!$C$3:$C$300=$A$172)*('Full month Pivot'!$D$2:$K$2=AA$2)*'Full month Pivot'!$D$3:$K$300)</f>
        <v/>
      </c>
      <c r="AB209" s="161" t="n"/>
      <c r="AC209" s="161" t="n"/>
      <c r="AD209" s="143">
        <f>AA209-Z209</f>
        <v/>
      </c>
      <c r="AE209" s="8" t="n"/>
      <c r="AF209" s="8" t="n"/>
      <c r="AG209" s="8" t="n"/>
      <c r="AH209" s="8" t="n"/>
      <c r="AI209" s="8" t="n"/>
      <c r="AJ209" s="8" t="n"/>
    </row>
    <row r="210" hidden="1" outlineLevel="1" ht="15.75" customHeight="1" s="239">
      <c r="A210" s="8" t="n"/>
      <c r="B210" s="170" t="inlineStr">
        <is>
          <t>Download</t>
        </is>
      </c>
      <c r="C210" s="8" t="n"/>
      <c r="D210" s="8" t="n"/>
      <c r="E210" s="8" t="n"/>
      <c r="F210" s="8" t="n"/>
      <c r="G210" s="161">
        <f>SUMPRODUCT(('MTD Pivot'!$B$3:$B$300=$B210)*('MTD Pivot'!$C$3:$C$300=$A$172)*('MTD Pivot'!$D$2:$K$2=G$2)*'MTD Pivot'!$D$3:$K$300)</f>
        <v/>
      </c>
      <c r="H210" s="161">
        <f>SUMPRODUCT(('MTD Pivot'!$B$3:$B$300=$B210)*('MTD Pivot'!$C$3:$C$300=$A$172)*('MTD Pivot'!$D$2:$K$2=H$2)*'MTD Pivot'!$D$3:$K$300)</f>
        <v/>
      </c>
      <c r="I210" s="161">
        <f>SUMPRODUCT(('MTD Pivot'!$B$3:$B$300=$B210)*('MTD Pivot'!$C$3:$C$300=$A$172)*('MTD Pivot'!$D$2:$K$2=I$2)*'MTD Pivot'!$D$3:$K$300)</f>
        <v/>
      </c>
      <c r="J210" s="161">
        <f>SUMPRODUCT(('MTD Pivot'!$B$3:$B$300=$B210)*('MTD Pivot'!$C$3:$C$300=$A$172)*('MTD Pivot'!$D$2:$K$2=J$2)*'MTD Pivot'!$D$3:$K$300)</f>
        <v/>
      </c>
      <c r="K210" s="161">
        <f>SUMPRODUCT(('MTD Pivot'!$B$3:$B$300=$B210)*('MTD Pivot'!$C$3:$C$300=$A$172)*('MTD Pivot'!$D$2:$K$2=K$2)*'MTD Pivot'!$D$3:$K$300)</f>
        <v/>
      </c>
      <c r="L210" s="161">
        <f>SUMPRODUCT(('MTD Pivot'!$B$3:$B$300=$B210)*('MTD Pivot'!$C$3:$C$300=$A$172)*('MTD Pivot'!$D$2:$K$2=L$2)*'MTD Pivot'!$D$3:$K$300)</f>
        <v/>
      </c>
      <c r="M210" s="161" t="n"/>
      <c r="N210" s="161" t="n"/>
      <c r="O210" s="143">
        <f>L210-K210</f>
        <v/>
      </c>
      <c r="P210" s="170" t="n"/>
      <c r="Q210" s="170" t="n"/>
      <c r="R210" s="170" t="n"/>
      <c r="S210" s="170" t="n"/>
      <c r="T210" s="170" t="n"/>
      <c r="U210" s="170" t="n"/>
      <c r="V210" s="161">
        <f>SUMPRODUCT(('Full month Pivot'!$B$3:$B$300=$B210)*('Full month Pivot'!$C$3:$C$300=$A$172)*('Full month Pivot'!$D$2:$K$2=V$2)*'Full month Pivot'!$D$3:$K$300)</f>
        <v/>
      </c>
      <c r="W210" s="161">
        <f>SUMPRODUCT(('Full month Pivot'!$B$3:$B$300=$B210)*('Full month Pivot'!$C$3:$C$300=$A$172)*('Full month Pivot'!$D$2:$K$2=W$2)*'Full month Pivot'!$D$3:$K$300)</f>
        <v/>
      </c>
      <c r="X210" s="161">
        <f>SUMPRODUCT(('Full month Pivot'!$B$3:$B$300=$B210)*('Full month Pivot'!$C$3:$C$300=$A$172)*('Full month Pivot'!$D$2:$K$2=X$2)*'Full month Pivot'!$D$3:$K$300)</f>
        <v/>
      </c>
      <c r="Y210" s="161">
        <f>SUMPRODUCT(('Full month Pivot'!$B$3:$B$300=$B210)*('Full month Pivot'!$C$3:$C$300=$A$172)*('Full month Pivot'!$D$2:$K$2=Y$2)*'Full month Pivot'!$D$3:$K$300)</f>
        <v/>
      </c>
      <c r="Z210" s="161">
        <f>SUMPRODUCT(('Full month Pivot'!$B$3:$B$300=$B210)*('Full month Pivot'!$C$3:$C$300=$A$172)*('Full month Pivot'!$D$2:$K$2=Z$2)*'Full month Pivot'!$D$3:$K$300)</f>
        <v/>
      </c>
      <c r="AA210" s="161">
        <f>SUMPRODUCT(('Full month Pivot'!$B$3:$B$300=$B210)*('Full month Pivot'!$C$3:$C$300=$A$172)*('Full month Pivot'!$D$2:$K$2=AA$2)*'Full month Pivot'!$D$3:$K$300)</f>
        <v/>
      </c>
      <c r="AB210" s="161" t="n"/>
      <c r="AC210" s="161" t="n"/>
      <c r="AD210" s="143">
        <f>AA210-Z210</f>
        <v/>
      </c>
      <c r="AE210" s="8" t="n"/>
      <c r="AF210" s="8" t="n"/>
      <c r="AG210" s="8" t="n"/>
      <c r="AH210" s="8" t="n"/>
      <c r="AI210" s="8" t="n"/>
      <c r="AJ210" s="8" t="n"/>
    </row>
    <row r="211" hidden="1" outlineLevel="1" ht="15.75" customHeight="1" s="239">
      <c r="A211" s="8" t="n"/>
      <c r="B211" s="170" t="inlineStr">
        <is>
          <t>Others</t>
        </is>
      </c>
      <c r="C211" s="8" t="n"/>
      <c r="D211" s="8" t="n"/>
      <c r="E211" s="8" t="n"/>
      <c r="F211" s="8" t="n"/>
      <c r="G211" s="161">
        <f>SUMPRODUCT(('MTD Pivot'!$B$3:$B$300=$B211)*('MTD Pivot'!$C$3:$C$300=$A$172)*('MTD Pivot'!$D$2:$K$2=G$2)*'MTD Pivot'!$D$3:$K$300)</f>
        <v/>
      </c>
      <c r="H211" s="161">
        <f>SUMPRODUCT(('MTD Pivot'!$B$3:$B$300=$B211)*('MTD Pivot'!$C$3:$C$300=$A$172)*('MTD Pivot'!$D$2:$K$2=H$2)*'MTD Pivot'!$D$3:$K$300)</f>
        <v/>
      </c>
      <c r="I211" s="161">
        <f>SUMPRODUCT(('MTD Pivot'!$B$3:$B$300=$B211)*('MTD Pivot'!$C$3:$C$300=$A$172)*('MTD Pivot'!$D$2:$K$2=I$2)*'MTD Pivot'!$D$3:$K$300)</f>
        <v/>
      </c>
      <c r="J211" s="161">
        <f>SUMPRODUCT(('MTD Pivot'!$B$3:$B$300=$B211)*('MTD Pivot'!$C$3:$C$300=$A$172)*('MTD Pivot'!$D$2:$K$2=J$2)*'MTD Pivot'!$D$3:$K$300)</f>
        <v/>
      </c>
      <c r="K211" s="161">
        <f>SUMPRODUCT(('MTD Pivot'!$B$3:$B$300=$B211)*('MTD Pivot'!$C$3:$C$300=$A$172)*('MTD Pivot'!$D$2:$K$2=K$2)*'MTD Pivot'!$D$3:$K$300)</f>
        <v/>
      </c>
      <c r="L211" s="161">
        <f>SUMPRODUCT(('MTD Pivot'!$B$3:$B$300=$B211)*('MTD Pivot'!$C$3:$C$300=$A$172)*('MTD Pivot'!$D$2:$K$2=L$2)*'MTD Pivot'!$D$3:$K$300)</f>
        <v/>
      </c>
      <c r="M211" s="161" t="n"/>
      <c r="N211" s="161" t="n"/>
      <c r="O211" s="143">
        <f>L211-K211</f>
        <v/>
      </c>
      <c r="P211" s="170" t="n"/>
      <c r="Q211" s="170" t="n"/>
      <c r="R211" s="170" t="n"/>
      <c r="S211" s="170" t="n"/>
      <c r="T211" s="170" t="n"/>
      <c r="U211" s="170" t="n"/>
      <c r="V211" s="161">
        <f>SUMPRODUCT(('Full month Pivot'!$B$3:$B$300=$B211)*('Full month Pivot'!$C$3:$C$300=$A$172)*('Full month Pivot'!$D$2:$K$2=V$2)*'Full month Pivot'!$D$3:$K$300)</f>
        <v/>
      </c>
      <c r="W211" s="161">
        <f>SUMPRODUCT(('Full month Pivot'!$B$3:$B$300=$B211)*('Full month Pivot'!$C$3:$C$300=$A$172)*('Full month Pivot'!$D$2:$K$2=W$2)*'Full month Pivot'!$D$3:$K$300)</f>
        <v/>
      </c>
      <c r="X211" s="161">
        <f>SUMPRODUCT(('Full month Pivot'!$B$3:$B$300=$B211)*('Full month Pivot'!$C$3:$C$300=$A$172)*('Full month Pivot'!$D$2:$K$2=X$2)*'Full month Pivot'!$D$3:$K$300)</f>
        <v/>
      </c>
      <c r="Y211" s="161">
        <f>SUMPRODUCT(('Full month Pivot'!$B$3:$B$300=$B211)*('Full month Pivot'!$C$3:$C$300=$A$172)*('Full month Pivot'!$D$2:$K$2=Y$2)*'Full month Pivot'!$D$3:$K$300)</f>
        <v/>
      </c>
      <c r="Z211" s="161">
        <f>SUMPRODUCT(('Full month Pivot'!$B$3:$B$300=$B211)*('Full month Pivot'!$C$3:$C$300=$A$172)*('Full month Pivot'!$D$2:$K$2=Z$2)*'Full month Pivot'!$D$3:$K$300)</f>
        <v/>
      </c>
      <c r="AA211" s="161">
        <f>SUMPRODUCT(('Full month Pivot'!$B$3:$B$300=$B211)*('Full month Pivot'!$C$3:$C$300=$A$172)*('Full month Pivot'!$D$2:$K$2=AA$2)*'Full month Pivot'!$D$3:$K$300)</f>
        <v/>
      </c>
      <c r="AB211" s="161" t="n"/>
      <c r="AC211" s="161" t="n"/>
      <c r="AD211" s="143">
        <f>AA211-Z211</f>
        <v/>
      </c>
      <c r="AE211" s="8" t="n"/>
      <c r="AF211" s="8" t="n"/>
      <c r="AG211" s="8" t="n"/>
      <c r="AH211" s="8" t="n"/>
      <c r="AI211" s="8" t="n"/>
      <c r="AJ211" s="8" t="n"/>
    </row>
    <row r="212" ht="15.75" customHeight="1" s="239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23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238" t="n"/>
      <c r="AE212" s="8" t="n"/>
      <c r="AF212" s="8" t="n"/>
      <c r="AG212" s="8" t="n"/>
      <c r="AH212" s="8" t="n"/>
      <c r="AI212" s="8" t="n"/>
      <c r="AJ212" s="8" t="n"/>
    </row>
    <row r="213" ht="15.75" customHeight="1" s="239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23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238" t="n"/>
      <c r="AE213" s="8" t="n"/>
      <c r="AF213" s="8" t="n"/>
      <c r="AG213" s="8" t="n"/>
      <c r="AH213" s="8" t="n"/>
      <c r="AI213" s="8" t="n"/>
      <c r="AJ213" s="8" t="n"/>
    </row>
    <row r="214" ht="15.75" customHeight="1" s="239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23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238" t="n"/>
      <c r="AE214" s="8" t="n"/>
      <c r="AF214" s="8" t="n"/>
      <c r="AG214" s="8" t="n"/>
      <c r="AH214" s="8" t="n"/>
      <c r="AI214" s="8" t="n"/>
      <c r="AJ214" s="8" t="n"/>
    </row>
    <row r="215" ht="15.75" customHeight="1" s="239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23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238" t="n"/>
      <c r="AE215" s="8" t="n"/>
      <c r="AF215" s="8" t="n"/>
      <c r="AG215" s="8" t="n"/>
      <c r="AH215" s="8" t="n"/>
      <c r="AI215" s="8" t="n"/>
      <c r="AJ215" s="8" t="n"/>
    </row>
    <row r="216" ht="15.75" customHeight="1" s="239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23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238" t="n"/>
      <c r="AE216" s="8" t="n"/>
      <c r="AF216" s="8" t="n"/>
      <c r="AG216" s="8" t="n"/>
      <c r="AH216" s="8" t="n"/>
      <c r="AI216" s="8" t="n"/>
      <c r="AJ216" s="8" t="n"/>
    </row>
    <row r="217" ht="15.75" customHeight="1" s="239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23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238" t="n"/>
      <c r="AE217" s="8" t="n"/>
      <c r="AF217" s="8" t="n"/>
      <c r="AG217" s="8" t="n"/>
      <c r="AH217" s="8" t="n"/>
      <c r="AI217" s="8" t="n"/>
      <c r="AJ217" s="8" t="n"/>
    </row>
    <row r="218" ht="15.75" customHeight="1" s="239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23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238" t="n"/>
      <c r="AE218" s="8" t="n"/>
      <c r="AF218" s="8" t="n"/>
      <c r="AG218" s="8" t="n"/>
      <c r="AH218" s="8" t="n"/>
      <c r="AI218" s="8" t="n"/>
      <c r="AJ218" s="8" t="n"/>
    </row>
    <row r="219" ht="15.75" customHeight="1" s="23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23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238" t="n"/>
      <c r="AE219" s="8" t="n"/>
      <c r="AF219" s="8" t="n"/>
      <c r="AG219" s="8" t="n"/>
      <c r="AH219" s="8" t="n"/>
      <c r="AI219" s="8" t="n"/>
      <c r="AJ219" s="8" t="n"/>
    </row>
    <row r="220" ht="15.75" customHeight="1" s="239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23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238" t="n"/>
      <c r="AE220" s="8" t="n"/>
      <c r="AF220" s="8" t="n"/>
      <c r="AG220" s="8" t="n"/>
      <c r="AH220" s="8" t="n"/>
      <c r="AI220" s="8" t="n"/>
      <c r="AJ220" s="8" t="n"/>
    </row>
    <row r="221" ht="15.75" customHeight="1" s="239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23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238" t="n"/>
      <c r="AE221" s="8" t="n"/>
      <c r="AF221" s="8" t="n"/>
      <c r="AG221" s="8" t="n"/>
      <c r="AH221" s="8" t="n"/>
      <c r="AI221" s="8" t="n"/>
      <c r="AJ221" s="8" t="n"/>
    </row>
    <row r="222" ht="15.75" customHeight="1" s="239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23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238" t="n"/>
      <c r="AE222" s="8" t="n"/>
      <c r="AF222" s="8" t="n"/>
      <c r="AG222" s="8" t="n"/>
      <c r="AH222" s="8" t="n"/>
      <c r="AI222" s="8" t="n"/>
      <c r="AJ222" s="8" t="n"/>
    </row>
    <row r="223" ht="15.75" customHeight="1" s="239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23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238" t="n"/>
      <c r="AE223" s="8" t="n"/>
      <c r="AF223" s="8" t="n"/>
      <c r="AG223" s="8" t="n"/>
      <c r="AH223" s="8" t="n"/>
      <c r="AI223" s="8" t="n"/>
      <c r="AJ223" s="8" t="n"/>
    </row>
    <row r="224" ht="15.75" customHeight="1" s="239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23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238" t="n"/>
      <c r="AE224" s="8" t="n"/>
      <c r="AF224" s="8" t="n"/>
      <c r="AG224" s="8" t="n"/>
      <c r="AH224" s="8" t="n"/>
      <c r="AI224" s="8" t="n"/>
      <c r="AJ224" s="8" t="n"/>
    </row>
    <row r="225" ht="15.75" customHeight="1" s="239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23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238" t="n"/>
      <c r="AE225" s="8" t="n"/>
      <c r="AF225" s="8" t="n"/>
      <c r="AG225" s="8" t="n"/>
      <c r="AH225" s="8" t="n"/>
      <c r="AI225" s="8" t="n"/>
      <c r="AJ225" s="8" t="n"/>
    </row>
    <row r="226" ht="15.75" customHeight="1" s="239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23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238" t="n"/>
      <c r="AE226" s="8" t="n"/>
      <c r="AF226" s="8" t="n"/>
      <c r="AG226" s="8" t="n"/>
      <c r="AH226" s="8" t="n"/>
      <c r="AI226" s="8" t="n"/>
      <c r="AJ226" s="8" t="n"/>
    </row>
    <row r="227" ht="15.75" customHeight="1" s="239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23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238" t="n"/>
      <c r="AE227" s="8" t="n"/>
      <c r="AF227" s="8" t="n"/>
      <c r="AG227" s="8" t="n"/>
      <c r="AH227" s="8" t="n"/>
      <c r="AI227" s="8" t="n"/>
      <c r="AJ227" s="8" t="n"/>
    </row>
    <row r="228" ht="15.75" customHeight="1" s="239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23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238" t="n"/>
      <c r="AE228" s="8" t="n"/>
      <c r="AF228" s="8" t="n"/>
      <c r="AG228" s="8" t="n"/>
      <c r="AH228" s="8" t="n"/>
      <c r="AI228" s="8" t="n"/>
      <c r="AJ228" s="8" t="n"/>
    </row>
    <row r="229" ht="15.75" customHeight="1" s="23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23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238" t="n"/>
      <c r="AE229" s="8" t="n"/>
      <c r="AF229" s="8" t="n"/>
      <c r="AG229" s="8" t="n"/>
      <c r="AH229" s="8" t="n"/>
      <c r="AI229" s="8" t="n"/>
      <c r="AJ229" s="8" t="n"/>
    </row>
    <row r="230" ht="15.75" customHeight="1" s="239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23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238" t="n"/>
      <c r="AE230" s="8" t="n"/>
      <c r="AF230" s="8" t="n"/>
      <c r="AG230" s="8" t="n"/>
      <c r="AH230" s="8" t="n"/>
      <c r="AI230" s="8" t="n"/>
      <c r="AJ230" s="8" t="n"/>
    </row>
    <row r="231" ht="15.75" customHeight="1" s="239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23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238" t="n"/>
      <c r="AE231" s="8" t="n"/>
      <c r="AF231" s="8" t="n"/>
      <c r="AG231" s="8" t="n"/>
      <c r="AH231" s="8" t="n"/>
      <c r="AI231" s="8" t="n"/>
      <c r="AJ231" s="8" t="n"/>
    </row>
    <row r="232" ht="15.75" customHeight="1" s="239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23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238" t="n"/>
      <c r="AE232" s="8" t="n"/>
      <c r="AF232" s="8" t="n"/>
      <c r="AG232" s="8" t="n"/>
      <c r="AH232" s="8" t="n"/>
      <c r="AI232" s="8" t="n"/>
      <c r="AJ232" s="8" t="n"/>
    </row>
    <row r="233" ht="15.75" customHeight="1" s="239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23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238" t="n"/>
      <c r="AE233" s="8" t="n"/>
      <c r="AF233" s="8" t="n"/>
      <c r="AG233" s="8" t="n"/>
      <c r="AH233" s="8" t="n"/>
      <c r="AI233" s="8" t="n"/>
      <c r="AJ233" s="8" t="n"/>
    </row>
    <row r="234" ht="15.75" customHeight="1" s="239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23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238" t="n"/>
      <c r="AE234" s="8" t="n"/>
      <c r="AF234" s="8" t="n"/>
      <c r="AG234" s="8" t="n"/>
      <c r="AH234" s="8" t="n"/>
      <c r="AI234" s="8" t="n"/>
      <c r="AJ234" s="8" t="n"/>
    </row>
    <row r="235" ht="15.75" customHeight="1" s="239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23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238" t="n"/>
      <c r="AE235" s="8" t="n"/>
      <c r="AF235" s="8" t="n"/>
      <c r="AG235" s="8" t="n"/>
      <c r="AH235" s="8" t="n"/>
      <c r="AI235" s="8" t="n"/>
      <c r="AJ235" s="8" t="n"/>
    </row>
    <row r="236" ht="15.75" customHeight="1" s="239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23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238" t="n"/>
      <c r="AE236" s="8" t="n"/>
      <c r="AF236" s="8" t="n"/>
      <c r="AG236" s="8" t="n"/>
      <c r="AH236" s="8" t="n"/>
      <c r="AI236" s="8" t="n"/>
      <c r="AJ236" s="8" t="n"/>
    </row>
    <row r="237" ht="15.75" customHeight="1" s="239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23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238" t="n"/>
      <c r="AE237" s="8" t="n"/>
      <c r="AF237" s="8" t="n"/>
      <c r="AG237" s="8" t="n"/>
      <c r="AH237" s="8" t="n"/>
      <c r="AI237" s="8" t="n"/>
      <c r="AJ237" s="8" t="n"/>
    </row>
    <row r="238" ht="15.75" customHeight="1" s="239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23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238" t="n"/>
      <c r="AE238" s="8" t="n"/>
      <c r="AF238" s="8" t="n"/>
      <c r="AG238" s="8" t="n"/>
      <c r="AH238" s="8" t="n"/>
      <c r="AI238" s="8" t="n"/>
      <c r="AJ238" s="8" t="n"/>
    </row>
    <row r="239" ht="15.75" customHeight="1" s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23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238" t="n"/>
      <c r="AE239" s="8" t="n"/>
      <c r="AF239" s="8" t="n"/>
      <c r="AG239" s="8" t="n"/>
      <c r="AH239" s="8" t="n"/>
      <c r="AI239" s="8" t="n"/>
      <c r="AJ239" s="8" t="n"/>
    </row>
    <row r="240" ht="15.75" customHeight="1" s="239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23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238" t="n"/>
      <c r="AE240" s="8" t="n"/>
      <c r="AF240" s="8" t="n"/>
      <c r="AG240" s="8" t="n"/>
      <c r="AH240" s="8" t="n"/>
      <c r="AI240" s="8" t="n"/>
      <c r="AJ240" s="8" t="n"/>
    </row>
    <row r="241" ht="15.75" customHeight="1" s="239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23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238" t="n"/>
      <c r="AE241" s="8" t="n"/>
      <c r="AF241" s="8" t="n"/>
      <c r="AG241" s="8" t="n"/>
      <c r="AH241" s="8" t="n"/>
      <c r="AI241" s="8" t="n"/>
      <c r="AJ241" s="8" t="n"/>
    </row>
    <row r="242" ht="15.75" customHeight="1" s="239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23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238" t="n"/>
      <c r="AE242" s="8" t="n"/>
      <c r="AF242" s="8" t="n"/>
      <c r="AG242" s="8" t="n"/>
      <c r="AH242" s="8" t="n"/>
      <c r="AI242" s="8" t="n"/>
      <c r="AJ242" s="8" t="n"/>
    </row>
    <row r="243" ht="15.75" customHeight="1" s="239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23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238" t="n"/>
      <c r="AE243" s="8" t="n"/>
      <c r="AF243" s="8" t="n"/>
      <c r="AG243" s="8" t="n"/>
      <c r="AH243" s="8" t="n"/>
      <c r="AI243" s="8" t="n"/>
      <c r="AJ243" s="8" t="n"/>
    </row>
    <row r="244" ht="15.75" customHeight="1" s="239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23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238" t="n"/>
      <c r="AE244" s="8" t="n"/>
      <c r="AF244" s="8" t="n"/>
      <c r="AG244" s="8" t="n"/>
      <c r="AH244" s="8" t="n"/>
      <c r="AI244" s="8" t="n"/>
      <c r="AJ244" s="8" t="n"/>
    </row>
    <row r="245" ht="15.75" customHeight="1" s="239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23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238" t="n"/>
      <c r="AE245" s="8" t="n"/>
      <c r="AF245" s="8" t="n"/>
      <c r="AG245" s="8" t="n"/>
      <c r="AH245" s="8" t="n"/>
      <c r="AI245" s="8" t="n"/>
      <c r="AJ245" s="8" t="n"/>
    </row>
    <row r="246" ht="15.75" customHeight="1" s="239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23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238" t="n"/>
      <c r="AE246" s="8" t="n"/>
      <c r="AF246" s="8" t="n"/>
      <c r="AG246" s="8" t="n"/>
      <c r="AH246" s="8" t="n"/>
      <c r="AI246" s="8" t="n"/>
      <c r="AJ246" s="8" t="n"/>
    </row>
    <row r="247" ht="15.75" customHeight="1" s="239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23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238" t="n"/>
      <c r="AE247" s="8" t="n"/>
      <c r="AF247" s="8" t="n"/>
      <c r="AG247" s="8" t="n"/>
      <c r="AH247" s="8" t="n"/>
      <c r="AI247" s="8" t="n"/>
      <c r="AJ247" s="8" t="n"/>
    </row>
    <row r="248" ht="15.75" customHeight="1" s="239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23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238" t="n"/>
      <c r="AE248" s="8" t="n"/>
      <c r="AF248" s="8" t="n"/>
      <c r="AG248" s="8" t="n"/>
      <c r="AH248" s="8" t="n"/>
      <c r="AI248" s="8" t="n"/>
      <c r="AJ248" s="8" t="n"/>
    </row>
    <row r="249" ht="15.75" customHeight="1" s="23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23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238" t="n"/>
      <c r="AE249" s="8" t="n"/>
      <c r="AF249" s="8" t="n"/>
      <c r="AG249" s="8" t="n"/>
      <c r="AH249" s="8" t="n"/>
      <c r="AI249" s="8" t="n"/>
      <c r="AJ249" s="8" t="n"/>
    </row>
    <row r="250" ht="15.75" customHeight="1" s="239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23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238" t="n"/>
      <c r="AE250" s="8" t="n"/>
      <c r="AF250" s="8" t="n"/>
      <c r="AG250" s="8" t="n"/>
      <c r="AH250" s="8" t="n"/>
      <c r="AI250" s="8" t="n"/>
      <c r="AJ250" s="8" t="n"/>
    </row>
    <row r="251" ht="15.75" customHeight="1" s="239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23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238" t="n"/>
      <c r="AE251" s="8" t="n"/>
      <c r="AF251" s="8" t="n"/>
      <c r="AG251" s="8" t="n"/>
      <c r="AH251" s="8" t="n"/>
      <c r="AI251" s="8" t="n"/>
      <c r="AJ251" s="8" t="n"/>
    </row>
    <row r="252" ht="15.75" customHeight="1" s="239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23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8" t="n"/>
      <c r="AC252" s="8" t="n"/>
      <c r="AD252" s="238" t="n"/>
      <c r="AE252" s="8" t="n"/>
      <c r="AF252" s="8" t="n"/>
      <c r="AG252" s="8" t="n"/>
      <c r="AH252" s="8" t="n"/>
      <c r="AI252" s="8" t="n"/>
      <c r="AJ252" s="8" t="n"/>
    </row>
    <row r="253" ht="15.75" customHeight="1" s="239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23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 t="n"/>
      <c r="AC253" s="8" t="n"/>
      <c r="AD253" s="238" t="n"/>
      <c r="AE253" s="8" t="n"/>
      <c r="AF253" s="8" t="n"/>
      <c r="AG253" s="8" t="n"/>
      <c r="AH253" s="8" t="n"/>
      <c r="AI253" s="8" t="n"/>
      <c r="AJ253" s="8" t="n"/>
    </row>
    <row r="254" ht="15.75" customHeight="1" s="239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23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8" t="n"/>
      <c r="AC254" s="8" t="n"/>
      <c r="AD254" s="238" t="n"/>
      <c r="AE254" s="8" t="n"/>
      <c r="AF254" s="8" t="n"/>
      <c r="AG254" s="8" t="n"/>
      <c r="AH254" s="8" t="n"/>
      <c r="AI254" s="8" t="n"/>
      <c r="AJ254" s="8" t="n"/>
    </row>
    <row r="255" ht="15.75" customHeight="1" s="239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23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 t="n"/>
      <c r="AC255" s="8" t="n"/>
      <c r="AD255" s="238" t="n"/>
      <c r="AE255" s="8" t="n"/>
      <c r="AF255" s="8" t="n"/>
      <c r="AG255" s="8" t="n"/>
      <c r="AH255" s="8" t="n"/>
      <c r="AI255" s="8" t="n"/>
      <c r="AJ255" s="8" t="n"/>
    </row>
    <row r="256" ht="15.75" customHeight="1" s="239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23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8" t="n"/>
      <c r="AC256" s="8" t="n"/>
      <c r="AD256" s="238" t="n"/>
      <c r="AE256" s="8" t="n"/>
      <c r="AF256" s="8" t="n"/>
      <c r="AG256" s="8" t="n"/>
      <c r="AH256" s="8" t="n"/>
      <c r="AI256" s="8" t="n"/>
      <c r="AJ256" s="8" t="n"/>
    </row>
    <row r="257" ht="15.75" customHeight="1" s="239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23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 t="n"/>
      <c r="AC257" s="8" t="n"/>
      <c r="AD257" s="238" t="n"/>
      <c r="AE257" s="8" t="n"/>
      <c r="AF257" s="8" t="n"/>
      <c r="AG257" s="8" t="n"/>
      <c r="AH257" s="8" t="n"/>
      <c r="AI257" s="8" t="n"/>
      <c r="AJ257" s="8" t="n"/>
    </row>
    <row r="258" ht="15.75" customHeight="1" s="239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23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8" t="n"/>
      <c r="AC258" s="8" t="n"/>
      <c r="AD258" s="238" t="n"/>
      <c r="AE258" s="8" t="n"/>
      <c r="AF258" s="8" t="n"/>
      <c r="AG258" s="8" t="n"/>
      <c r="AH258" s="8" t="n"/>
      <c r="AI258" s="8" t="n"/>
      <c r="AJ258" s="8" t="n"/>
    </row>
    <row r="259" ht="15.75" customHeight="1" s="23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23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 t="n"/>
      <c r="AC259" s="8" t="n"/>
      <c r="AD259" s="238" t="n"/>
      <c r="AE259" s="8" t="n"/>
      <c r="AF259" s="8" t="n"/>
      <c r="AG259" s="8" t="n"/>
      <c r="AH259" s="8" t="n"/>
      <c r="AI259" s="8" t="n"/>
      <c r="AJ259" s="8" t="n"/>
    </row>
    <row r="260" ht="15.75" customHeight="1" s="239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23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8" t="n"/>
      <c r="AC260" s="8" t="n"/>
      <c r="AD260" s="238" t="n"/>
      <c r="AE260" s="8" t="n"/>
      <c r="AF260" s="8" t="n"/>
      <c r="AG260" s="8" t="n"/>
      <c r="AH260" s="8" t="n"/>
      <c r="AI260" s="8" t="n"/>
      <c r="AJ260" s="8" t="n"/>
    </row>
    <row r="261" ht="15.75" customHeight="1" s="239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23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 t="n"/>
      <c r="AC261" s="8" t="n"/>
      <c r="AD261" s="238" t="n"/>
      <c r="AE261" s="8" t="n"/>
      <c r="AF261" s="8" t="n"/>
      <c r="AG261" s="8" t="n"/>
      <c r="AH261" s="8" t="n"/>
      <c r="AI261" s="8" t="n"/>
      <c r="AJ261" s="8" t="n"/>
    </row>
    <row r="262" ht="15.75" customHeight="1" s="239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23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8" t="n"/>
      <c r="AC262" s="8" t="n"/>
      <c r="AD262" s="238" t="n"/>
      <c r="AE262" s="8" t="n"/>
      <c r="AF262" s="8" t="n"/>
      <c r="AG262" s="8" t="n"/>
      <c r="AH262" s="8" t="n"/>
      <c r="AI262" s="8" t="n"/>
      <c r="AJ262" s="8" t="n"/>
    </row>
    <row r="263" ht="15.75" customHeight="1" s="239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23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 t="n"/>
      <c r="AC263" s="8" t="n"/>
      <c r="AD263" s="238" t="n"/>
      <c r="AE263" s="8" t="n"/>
      <c r="AF263" s="8" t="n"/>
      <c r="AG263" s="8" t="n"/>
      <c r="AH263" s="8" t="n"/>
      <c r="AI263" s="8" t="n"/>
      <c r="AJ263" s="8" t="n"/>
    </row>
    <row r="264" ht="15.75" customHeight="1" s="239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23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8" t="n"/>
      <c r="AC264" s="8" t="n"/>
      <c r="AD264" s="238" t="n"/>
      <c r="AE264" s="8" t="n"/>
      <c r="AF264" s="8" t="n"/>
      <c r="AG264" s="8" t="n"/>
      <c r="AH264" s="8" t="n"/>
      <c r="AI264" s="8" t="n"/>
      <c r="AJ264" s="8" t="n"/>
    </row>
    <row r="265" ht="15.75" customHeight="1" s="239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23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 t="n"/>
      <c r="AC265" s="8" t="n"/>
      <c r="AD265" s="238" t="n"/>
      <c r="AE265" s="8" t="n"/>
      <c r="AF265" s="8" t="n"/>
      <c r="AG265" s="8" t="n"/>
      <c r="AH265" s="8" t="n"/>
      <c r="AI265" s="8" t="n"/>
      <c r="AJ265" s="8" t="n"/>
    </row>
    <row r="266" ht="15.75" customHeight="1" s="239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23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8" t="n"/>
      <c r="AC266" s="8" t="n"/>
      <c r="AD266" s="238" t="n"/>
      <c r="AE266" s="8" t="n"/>
      <c r="AF266" s="8" t="n"/>
      <c r="AG266" s="8" t="n"/>
      <c r="AH266" s="8" t="n"/>
      <c r="AI266" s="8" t="n"/>
      <c r="AJ266" s="8" t="n"/>
    </row>
    <row r="267" ht="15.75" customHeight="1" s="239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23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 t="n"/>
      <c r="AC267" s="8" t="n"/>
      <c r="AD267" s="238" t="n"/>
      <c r="AE267" s="8" t="n"/>
      <c r="AF267" s="8" t="n"/>
      <c r="AG267" s="8" t="n"/>
      <c r="AH267" s="8" t="n"/>
      <c r="AI267" s="8" t="n"/>
      <c r="AJ267" s="8" t="n"/>
    </row>
    <row r="268" ht="15.75" customHeight="1" s="239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23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8" t="n"/>
      <c r="AC268" s="8" t="n"/>
      <c r="AD268" s="238" t="n"/>
      <c r="AE268" s="8" t="n"/>
      <c r="AF268" s="8" t="n"/>
      <c r="AG268" s="8" t="n"/>
      <c r="AH268" s="8" t="n"/>
      <c r="AI268" s="8" t="n"/>
      <c r="AJ268" s="8" t="n"/>
    </row>
    <row r="269" ht="15.75" customHeight="1" s="23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23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238" t="n"/>
      <c r="AE269" s="8" t="n"/>
      <c r="AF269" s="8" t="n"/>
      <c r="AG269" s="8" t="n"/>
      <c r="AH269" s="8" t="n"/>
      <c r="AI269" s="8" t="n"/>
      <c r="AJ269" s="8" t="n"/>
    </row>
    <row r="270" ht="15.75" customHeight="1" s="239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23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8" t="n"/>
      <c r="AC270" s="8" t="n"/>
      <c r="AD270" s="238" t="n"/>
      <c r="AE270" s="8" t="n"/>
      <c r="AF270" s="8" t="n"/>
      <c r="AG270" s="8" t="n"/>
      <c r="AH270" s="8" t="n"/>
      <c r="AI270" s="8" t="n"/>
      <c r="AJ270" s="8" t="n"/>
    </row>
    <row r="271" ht="15.75" customHeight="1" s="239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23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 t="n"/>
      <c r="AC271" s="8" t="n"/>
      <c r="AD271" s="238" t="n"/>
      <c r="AE271" s="8" t="n"/>
      <c r="AF271" s="8" t="n"/>
      <c r="AG271" s="8" t="n"/>
      <c r="AH271" s="8" t="n"/>
      <c r="AI271" s="8" t="n"/>
      <c r="AJ271" s="8" t="n"/>
    </row>
    <row r="272" ht="15.75" customHeight="1" s="239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23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8" t="n"/>
      <c r="AC272" s="8" t="n"/>
      <c r="AD272" s="238" t="n"/>
      <c r="AE272" s="8" t="n"/>
      <c r="AF272" s="8" t="n"/>
      <c r="AG272" s="8" t="n"/>
      <c r="AH272" s="8" t="n"/>
      <c r="AI272" s="8" t="n"/>
      <c r="AJ272" s="8" t="n"/>
    </row>
    <row r="273" ht="15.75" customHeight="1" s="239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23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 t="n"/>
      <c r="AC273" s="8" t="n"/>
      <c r="AD273" s="238" t="n"/>
      <c r="AE273" s="8" t="n"/>
      <c r="AF273" s="8" t="n"/>
      <c r="AG273" s="8" t="n"/>
      <c r="AH273" s="8" t="n"/>
      <c r="AI273" s="8" t="n"/>
      <c r="AJ273" s="8" t="n"/>
    </row>
    <row r="274" ht="15.75" customHeight="1" s="239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23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8" t="n"/>
      <c r="AC274" s="8" t="n"/>
      <c r="AD274" s="238" t="n"/>
      <c r="AE274" s="8" t="n"/>
      <c r="AF274" s="8" t="n"/>
      <c r="AG274" s="8" t="n"/>
      <c r="AH274" s="8" t="n"/>
      <c r="AI274" s="8" t="n"/>
      <c r="AJ274" s="8" t="n"/>
    </row>
    <row r="275" ht="15.75" customHeight="1" s="239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23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238" t="n"/>
      <c r="AE275" s="8" t="n"/>
      <c r="AF275" s="8" t="n"/>
      <c r="AG275" s="8" t="n"/>
      <c r="AH275" s="8" t="n"/>
      <c r="AI275" s="8" t="n"/>
      <c r="AJ275" s="8" t="n"/>
    </row>
    <row r="276" ht="15.75" customHeight="1" s="239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23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238" t="n"/>
      <c r="AE276" s="8" t="n"/>
      <c r="AF276" s="8" t="n"/>
      <c r="AG276" s="8" t="n"/>
      <c r="AH276" s="8" t="n"/>
      <c r="AI276" s="8" t="n"/>
      <c r="AJ276" s="8" t="n"/>
    </row>
    <row r="277" ht="15.75" customHeight="1" s="239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23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238" t="n"/>
      <c r="AE277" s="8" t="n"/>
      <c r="AF277" s="8" t="n"/>
      <c r="AG277" s="8" t="n"/>
      <c r="AH277" s="8" t="n"/>
      <c r="AI277" s="8" t="n"/>
      <c r="AJ277" s="8" t="n"/>
    </row>
    <row r="278" ht="15.75" customHeight="1" s="239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23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238" t="n"/>
      <c r="AE278" s="8" t="n"/>
      <c r="AF278" s="8" t="n"/>
      <c r="AG278" s="8" t="n"/>
      <c r="AH278" s="8" t="n"/>
      <c r="AI278" s="8" t="n"/>
      <c r="AJ278" s="8" t="n"/>
    </row>
    <row r="279" ht="15.75" customHeight="1" s="23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23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238" t="n"/>
      <c r="AE279" s="8" t="n"/>
      <c r="AF279" s="8" t="n"/>
      <c r="AG279" s="8" t="n"/>
      <c r="AH279" s="8" t="n"/>
      <c r="AI279" s="8" t="n"/>
      <c r="AJ279" s="8" t="n"/>
    </row>
    <row r="280" ht="15.75" customHeight="1" s="239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23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238" t="n"/>
      <c r="AE280" s="8" t="n"/>
      <c r="AF280" s="8" t="n"/>
      <c r="AG280" s="8" t="n"/>
      <c r="AH280" s="8" t="n"/>
      <c r="AI280" s="8" t="n"/>
      <c r="AJ280" s="8" t="n"/>
    </row>
    <row r="281" ht="15.75" customHeight="1" s="239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23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238" t="n"/>
      <c r="AE281" s="8" t="n"/>
      <c r="AF281" s="8" t="n"/>
      <c r="AG281" s="8" t="n"/>
      <c r="AH281" s="8" t="n"/>
      <c r="AI281" s="8" t="n"/>
      <c r="AJ281" s="8" t="n"/>
    </row>
    <row r="282" ht="15.75" customHeight="1" s="239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23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238" t="n"/>
      <c r="AE282" s="8" t="n"/>
      <c r="AF282" s="8" t="n"/>
      <c r="AG282" s="8" t="n"/>
      <c r="AH282" s="8" t="n"/>
      <c r="AI282" s="8" t="n"/>
      <c r="AJ282" s="8" t="n"/>
    </row>
    <row r="283" ht="15.75" customHeight="1" s="239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23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238" t="n"/>
      <c r="AE283" s="8" t="n"/>
      <c r="AF283" s="8" t="n"/>
      <c r="AG283" s="8" t="n"/>
      <c r="AH283" s="8" t="n"/>
      <c r="AI283" s="8" t="n"/>
      <c r="AJ283" s="8" t="n"/>
    </row>
    <row r="284" ht="15.75" customHeight="1" s="239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23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238" t="n"/>
      <c r="AE284" s="8" t="n"/>
      <c r="AF284" s="8" t="n"/>
      <c r="AG284" s="8" t="n"/>
      <c r="AH284" s="8" t="n"/>
      <c r="AI284" s="8" t="n"/>
      <c r="AJ284" s="8" t="n"/>
    </row>
    <row r="285" ht="15.75" customHeight="1" s="239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23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238" t="n"/>
      <c r="AE285" s="8" t="n"/>
      <c r="AF285" s="8" t="n"/>
      <c r="AG285" s="8" t="n"/>
      <c r="AH285" s="8" t="n"/>
      <c r="AI285" s="8" t="n"/>
      <c r="AJ285" s="8" t="n"/>
    </row>
    <row r="286" ht="15.75" customHeight="1" s="239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23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238" t="n"/>
      <c r="AE286" s="8" t="n"/>
      <c r="AF286" s="8" t="n"/>
      <c r="AG286" s="8" t="n"/>
      <c r="AH286" s="8" t="n"/>
      <c r="AI286" s="8" t="n"/>
      <c r="AJ286" s="8" t="n"/>
    </row>
    <row r="287" ht="15.75" customHeight="1" s="239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23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238" t="n"/>
      <c r="AE287" s="8" t="n"/>
      <c r="AF287" s="8" t="n"/>
      <c r="AG287" s="8" t="n"/>
      <c r="AH287" s="8" t="n"/>
      <c r="AI287" s="8" t="n"/>
      <c r="AJ287" s="8" t="n"/>
    </row>
    <row r="288" ht="15.75" customHeight="1" s="239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23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238" t="n"/>
      <c r="AE288" s="8" t="n"/>
      <c r="AF288" s="8" t="n"/>
      <c r="AG288" s="8" t="n"/>
      <c r="AH288" s="8" t="n"/>
      <c r="AI288" s="8" t="n"/>
      <c r="AJ288" s="8" t="n"/>
    </row>
    <row r="289" ht="15.75" customHeight="1" s="23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23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238" t="n"/>
      <c r="AE289" s="8" t="n"/>
      <c r="AF289" s="8" t="n"/>
      <c r="AG289" s="8" t="n"/>
      <c r="AH289" s="8" t="n"/>
      <c r="AI289" s="8" t="n"/>
      <c r="AJ289" s="8" t="n"/>
    </row>
    <row r="290" ht="15.75" customHeight="1" s="239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23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238" t="n"/>
      <c r="AE290" s="8" t="n"/>
      <c r="AF290" s="8" t="n"/>
      <c r="AG290" s="8" t="n"/>
      <c r="AH290" s="8" t="n"/>
      <c r="AI290" s="8" t="n"/>
      <c r="AJ290" s="8" t="n"/>
    </row>
    <row r="291" ht="15.75" customHeight="1" s="239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23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238" t="n"/>
      <c r="AE291" s="8" t="n"/>
      <c r="AF291" s="8" t="n"/>
      <c r="AG291" s="8" t="n"/>
      <c r="AH291" s="8" t="n"/>
      <c r="AI291" s="8" t="n"/>
      <c r="AJ291" s="8" t="n"/>
    </row>
    <row r="292" ht="15.75" customHeight="1" s="239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23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238" t="n"/>
      <c r="AE292" s="8" t="n"/>
      <c r="AF292" s="8" t="n"/>
      <c r="AG292" s="8" t="n"/>
      <c r="AH292" s="8" t="n"/>
      <c r="AI292" s="8" t="n"/>
      <c r="AJ292" s="8" t="n"/>
    </row>
    <row r="293" ht="15.75" customHeight="1" s="239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23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238" t="n"/>
      <c r="AE293" s="8" t="n"/>
      <c r="AF293" s="8" t="n"/>
      <c r="AG293" s="8" t="n"/>
      <c r="AH293" s="8" t="n"/>
      <c r="AI293" s="8" t="n"/>
      <c r="AJ293" s="8" t="n"/>
    </row>
    <row r="294" ht="15.75" customHeight="1" s="239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23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238" t="n"/>
      <c r="AE294" s="8" t="n"/>
      <c r="AF294" s="8" t="n"/>
      <c r="AG294" s="8" t="n"/>
      <c r="AH294" s="8" t="n"/>
      <c r="AI294" s="8" t="n"/>
      <c r="AJ294" s="8" t="n"/>
    </row>
    <row r="295" ht="15.75" customHeight="1" s="239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23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238" t="n"/>
      <c r="AE295" s="8" t="n"/>
      <c r="AF295" s="8" t="n"/>
      <c r="AG295" s="8" t="n"/>
      <c r="AH295" s="8" t="n"/>
      <c r="AI295" s="8" t="n"/>
      <c r="AJ295" s="8" t="n"/>
    </row>
    <row r="296" ht="15.75" customHeight="1" s="239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23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238" t="n"/>
      <c r="AE296" s="8" t="n"/>
      <c r="AF296" s="8" t="n"/>
      <c r="AG296" s="8" t="n"/>
      <c r="AH296" s="8" t="n"/>
      <c r="AI296" s="8" t="n"/>
      <c r="AJ296" s="8" t="n"/>
    </row>
    <row r="297" ht="15.75" customHeight="1" s="239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23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238" t="n"/>
      <c r="AE297" s="8" t="n"/>
      <c r="AF297" s="8" t="n"/>
      <c r="AG297" s="8" t="n"/>
      <c r="AH297" s="8" t="n"/>
      <c r="AI297" s="8" t="n"/>
      <c r="AJ297" s="8" t="n"/>
    </row>
    <row r="298" ht="15.75" customHeight="1" s="239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23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238" t="n"/>
      <c r="AE298" s="8" t="n"/>
      <c r="AF298" s="8" t="n"/>
      <c r="AG298" s="8" t="n"/>
      <c r="AH298" s="8" t="n"/>
      <c r="AI298" s="8" t="n"/>
      <c r="AJ298" s="8" t="n"/>
    </row>
    <row r="299" ht="15.75" customHeight="1" s="23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23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238" t="n"/>
      <c r="AE299" s="8" t="n"/>
      <c r="AF299" s="8" t="n"/>
      <c r="AG299" s="8" t="n"/>
      <c r="AH299" s="8" t="n"/>
      <c r="AI299" s="8" t="n"/>
      <c r="AJ299" s="8" t="n"/>
    </row>
    <row r="300" ht="15.75" customHeight="1" s="239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23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238" t="n"/>
      <c r="AE300" s="8" t="n"/>
      <c r="AF300" s="8" t="n"/>
      <c r="AG300" s="8" t="n"/>
      <c r="AH300" s="8" t="n"/>
      <c r="AI300" s="8" t="n"/>
      <c r="AJ300" s="8" t="n"/>
    </row>
    <row r="301" ht="15.75" customHeight="1" s="239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23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238" t="n"/>
      <c r="AE301" s="8" t="n"/>
      <c r="AF301" s="8" t="n"/>
      <c r="AG301" s="8" t="n"/>
      <c r="AH301" s="8" t="n"/>
      <c r="AI301" s="8" t="n"/>
      <c r="AJ301" s="8" t="n"/>
    </row>
    <row r="302" ht="15.75" customHeight="1" s="239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23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238" t="n"/>
      <c r="AE302" s="8" t="n"/>
      <c r="AF302" s="8" t="n"/>
      <c r="AG302" s="8" t="n"/>
      <c r="AH302" s="8" t="n"/>
      <c r="AI302" s="8" t="n"/>
      <c r="AJ302" s="8" t="n"/>
    </row>
    <row r="303" ht="15.75" customHeight="1" s="239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23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238" t="n"/>
      <c r="AE303" s="8" t="n"/>
      <c r="AF303" s="8" t="n"/>
      <c r="AG303" s="8" t="n"/>
      <c r="AH303" s="8" t="n"/>
      <c r="AI303" s="8" t="n"/>
      <c r="AJ303" s="8" t="n"/>
    </row>
    <row r="304" ht="15.75" customHeight="1" s="239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23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238" t="n"/>
      <c r="AE304" s="8" t="n"/>
      <c r="AF304" s="8" t="n"/>
      <c r="AG304" s="8" t="n"/>
      <c r="AH304" s="8" t="n"/>
      <c r="AI304" s="8" t="n"/>
      <c r="AJ304" s="8" t="n"/>
    </row>
    <row r="305" ht="15.75" customHeight="1" s="239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23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238" t="n"/>
      <c r="AE305" s="8" t="n"/>
      <c r="AF305" s="8" t="n"/>
      <c r="AG305" s="8" t="n"/>
      <c r="AH305" s="8" t="n"/>
      <c r="AI305" s="8" t="n"/>
      <c r="AJ305" s="8" t="n"/>
    </row>
    <row r="306" ht="15.75" customHeight="1" s="239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23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238" t="n"/>
      <c r="AE306" s="8" t="n"/>
      <c r="AF306" s="8" t="n"/>
      <c r="AG306" s="8" t="n"/>
      <c r="AH306" s="8" t="n"/>
      <c r="AI306" s="8" t="n"/>
      <c r="AJ306" s="8" t="n"/>
    </row>
    <row r="307" ht="15.75" customHeight="1" s="239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23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238" t="n"/>
      <c r="AE307" s="8" t="n"/>
      <c r="AF307" s="8" t="n"/>
      <c r="AG307" s="8" t="n"/>
      <c r="AH307" s="8" t="n"/>
      <c r="AI307" s="8" t="n"/>
      <c r="AJ307" s="8" t="n"/>
    </row>
    <row r="308" ht="15.75" customHeight="1" s="239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23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238" t="n"/>
      <c r="AE308" s="8" t="n"/>
      <c r="AF308" s="8" t="n"/>
      <c r="AG308" s="8" t="n"/>
      <c r="AH308" s="8" t="n"/>
      <c r="AI308" s="8" t="n"/>
      <c r="AJ308" s="8" t="n"/>
    </row>
    <row r="309" ht="15.75" customHeight="1" s="23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23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238" t="n"/>
      <c r="AE309" s="8" t="n"/>
      <c r="AF309" s="8" t="n"/>
      <c r="AG309" s="8" t="n"/>
      <c r="AH309" s="8" t="n"/>
      <c r="AI309" s="8" t="n"/>
      <c r="AJ309" s="8" t="n"/>
    </row>
    <row r="310" ht="15.75" customHeight="1" s="239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23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238" t="n"/>
      <c r="AE310" s="8" t="n"/>
      <c r="AF310" s="8" t="n"/>
      <c r="AG310" s="8" t="n"/>
      <c r="AH310" s="8" t="n"/>
      <c r="AI310" s="8" t="n"/>
      <c r="AJ310" s="8" t="n"/>
    </row>
    <row r="311" ht="15.75" customHeight="1" s="239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23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238" t="n"/>
      <c r="AE311" s="8" t="n"/>
      <c r="AF311" s="8" t="n"/>
      <c r="AG311" s="8" t="n"/>
      <c r="AH311" s="8" t="n"/>
      <c r="AI311" s="8" t="n"/>
      <c r="AJ311" s="8" t="n"/>
    </row>
    <row r="312" ht="15.75" customHeight="1" s="239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23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238" t="n"/>
      <c r="AE312" s="8" t="n"/>
      <c r="AF312" s="8" t="n"/>
      <c r="AG312" s="8" t="n"/>
      <c r="AH312" s="8" t="n"/>
      <c r="AI312" s="8" t="n"/>
      <c r="AJ312" s="8" t="n"/>
    </row>
    <row r="313" ht="15.75" customHeight="1" s="239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23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238" t="n"/>
      <c r="AE313" s="8" t="n"/>
      <c r="AF313" s="8" t="n"/>
      <c r="AG313" s="8" t="n"/>
      <c r="AH313" s="8" t="n"/>
      <c r="AI313" s="8" t="n"/>
      <c r="AJ313" s="8" t="n"/>
    </row>
    <row r="314" ht="15.75" customHeight="1" s="239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23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238" t="n"/>
      <c r="AE314" s="8" t="n"/>
      <c r="AF314" s="8" t="n"/>
      <c r="AG314" s="8" t="n"/>
      <c r="AH314" s="8" t="n"/>
      <c r="AI314" s="8" t="n"/>
      <c r="AJ314" s="8" t="n"/>
    </row>
    <row r="315" ht="15.75" customHeight="1" s="239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23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238" t="n"/>
      <c r="AE315" s="8" t="n"/>
      <c r="AF315" s="8" t="n"/>
      <c r="AG315" s="8" t="n"/>
      <c r="AH315" s="8" t="n"/>
      <c r="AI315" s="8" t="n"/>
      <c r="AJ315" s="8" t="n"/>
    </row>
    <row r="316" ht="15.75" customHeight="1" s="239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23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238" t="n"/>
      <c r="AE316" s="8" t="n"/>
      <c r="AF316" s="8" t="n"/>
      <c r="AG316" s="8" t="n"/>
      <c r="AH316" s="8" t="n"/>
      <c r="AI316" s="8" t="n"/>
      <c r="AJ316" s="8" t="n"/>
    </row>
    <row r="317" ht="15.75" customHeight="1" s="239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23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238" t="n"/>
      <c r="AE317" s="8" t="n"/>
      <c r="AF317" s="8" t="n"/>
      <c r="AG317" s="8" t="n"/>
      <c r="AH317" s="8" t="n"/>
      <c r="AI317" s="8" t="n"/>
      <c r="AJ317" s="8" t="n"/>
    </row>
    <row r="318" ht="15.75" customHeight="1" s="239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23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238" t="n"/>
      <c r="AE318" s="8" t="n"/>
      <c r="AF318" s="8" t="n"/>
      <c r="AG318" s="8" t="n"/>
      <c r="AH318" s="8" t="n"/>
      <c r="AI318" s="8" t="n"/>
      <c r="AJ318" s="8" t="n"/>
    </row>
    <row r="319" ht="15.75" customHeight="1" s="23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23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238" t="n"/>
      <c r="AE319" s="8" t="n"/>
      <c r="AF319" s="8" t="n"/>
      <c r="AG319" s="8" t="n"/>
      <c r="AH319" s="8" t="n"/>
      <c r="AI319" s="8" t="n"/>
      <c r="AJ319" s="8" t="n"/>
    </row>
    <row r="320" ht="15.75" customHeight="1" s="239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23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238" t="n"/>
      <c r="AE320" s="8" t="n"/>
      <c r="AF320" s="8" t="n"/>
      <c r="AG320" s="8" t="n"/>
      <c r="AH320" s="8" t="n"/>
      <c r="AI320" s="8" t="n"/>
      <c r="AJ320" s="8" t="n"/>
    </row>
    <row r="321" ht="15.75" customHeight="1" s="239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23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238" t="n"/>
      <c r="AE321" s="8" t="n"/>
      <c r="AF321" s="8" t="n"/>
      <c r="AG321" s="8" t="n"/>
      <c r="AH321" s="8" t="n"/>
      <c r="AI321" s="8" t="n"/>
      <c r="AJ321" s="8" t="n"/>
    </row>
    <row r="322" ht="15.75" customHeight="1" s="239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23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238" t="n"/>
      <c r="AE322" s="8" t="n"/>
      <c r="AF322" s="8" t="n"/>
      <c r="AG322" s="8" t="n"/>
      <c r="AH322" s="8" t="n"/>
      <c r="AI322" s="8" t="n"/>
      <c r="AJ322" s="8" t="n"/>
    </row>
    <row r="323" ht="15.75" customHeight="1" s="239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23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238" t="n"/>
      <c r="AE323" s="8" t="n"/>
      <c r="AF323" s="8" t="n"/>
      <c r="AG323" s="8" t="n"/>
      <c r="AH323" s="8" t="n"/>
      <c r="AI323" s="8" t="n"/>
      <c r="AJ323" s="8" t="n"/>
    </row>
    <row r="324" ht="15.75" customHeight="1" s="239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23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238" t="n"/>
      <c r="AE324" s="8" t="n"/>
      <c r="AF324" s="8" t="n"/>
      <c r="AG324" s="8" t="n"/>
      <c r="AH324" s="8" t="n"/>
      <c r="AI324" s="8" t="n"/>
      <c r="AJ324" s="8" t="n"/>
    </row>
    <row r="325" ht="15.75" customHeight="1" s="239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23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238" t="n"/>
      <c r="AE325" s="8" t="n"/>
      <c r="AF325" s="8" t="n"/>
      <c r="AG325" s="8" t="n"/>
      <c r="AH325" s="8" t="n"/>
      <c r="AI325" s="8" t="n"/>
      <c r="AJ325" s="8" t="n"/>
    </row>
    <row r="326" ht="15.75" customHeight="1" s="239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23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238" t="n"/>
      <c r="AE326" s="8" t="n"/>
      <c r="AF326" s="8" t="n"/>
      <c r="AG326" s="8" t="n"/>
      <c r="AH326" s="8" t="n"/>
      <c r="AI326" s="8" t="n"/>
      <c r="AJ326" s="8" t="n"/>
    </row>
    <row r="327" ht="15.75" customHeight="1" s="239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23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238" t="n"/>
      <c r="AE327" s="8" t="n"/>
      <c r="AF327" s="8" t="n"/>
      <c r="AG327" s="8" t="n"/>
      <c r="AH327" s="8" t="n"/>
      <c r="AI327" s="8" t="n"/>
      <c r="AJ327" s="8" t="n"/>
    </row>
    <row r="328" ht="15.75" customHeight="1" s="239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23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238" t="n"/>
      <c r="AE328" s="8" t="n"/>
      <c r="AF328" s="8" t="n"/>
      <c r="AG328" s="8" t="n"/>
      <c r="AH328" s="8" t="n"/>
      <c r="AI328" s="8" t="n"/>
      <c r="AJ328" s="8" t="n"/>
    </row>
    <row r="329" ht="15.75" customHeight="1" s="23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23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238" t="n"/>
      <c r="AE329" s="8" t="n"/>
      <c r="AF329" s="8" t="n"/>
      <c r="AG329" s="8" t="n"/>
      <c r="AH329" s="8" t="n"/>
      <c r="AI329" s="8" t="n"/>
      <c r="AJ329" s="8" t="n"/>
    </row>
    <row r="330" ht="15.75" customHeight="1" s="239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23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238" t="n"/>
      <c r="AE330" s="8" t="n"/>
      <c r="AF330" s="8" t="n"/>
      <c r="AG330" s="8" t="n"/>
      <c r="AH330" s="8" t="n"/>
      <c r="AI330" s="8" t="n"/>
      <c r="AJ330" s="8" t="n"/>
    </row>
    <row r="331" ht="15.75" customHeight="1" s="239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23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238" t="n"/>
      <c r="AE331" s="8" t="n"/>
      <c r="AF331" s="8" t="n"/>
      <c r="AG331" s="8" t="n"/>
      <c r="AH331" s="8" t="n"/>
      <c r="AI331" s="8" t="n"/>
      <c r="AJ331" s="8" t="n"/>
    </row>
    <row r="332" ht="15.75" customHeight="1" s="239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23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238" t="n"/>
      <c r="AE332" s="8" t="n"/>
      <c r="AF332" s="8" t="n"/>
      <c r="AG332" s="8" t="n"/>
      <c r="AH332" s="8" t="n"/>
      <c r="AI332" s="8" t="n"/>
      <c r="AJ332" s="8" t="n"/>
    </row>
    <row r="333" ht="15.75" customHeight="1" s="239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23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238" t="n"/>
      <c r="AE333" s="8" t="n"/>
      <c r="AF333" s="8" t="n"/>
      <c r="AG333" s="8" t="n"/>
      <c r="AH333" s="8" t="n"/>
      <c r="AI333" s="8" t="n"/>
      <c r="AJ333" s="8" t="n"/>
    </row>
    <row r="334" ht="15.75" customHeight="1" s="239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23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238" t="n"/>
      <c r="AE334" s="8" t="n"/>
      <c r="AF334" s="8" t="n"/>
      <c r="AG334" s="8" t="n"/>
      <c r="AH334" s="8" t="n"/>
      <c r="AI334" s="8" t="n"/>
      <c r="AJ334" s="8" t="n"/>
    </row>
    <row r="335" ht="15.75" customHeight="1" s="239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23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238" t="n"/>
      <c r="AE335" s="8" t="n"/>
      <c r="AF335" s="8" t="n"/>
      <c r="AG335" s="8" t="n"/>
      <c r="AH335" s="8" t="n"/>
      <c r="AI335" s="8" t="n"/>
      <c r="AJ335" s="8" t="n"/>
    </row>
    <row r="336" ht="15.75" customHeight="1" s="239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23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238" t="n"/>
      <c r="AE336" s="8" t="n"/>
      <c r="AF336" s="8" t="n"/>
      <c r="AG336" s="8" t="n"/>
      <c r="AH336" s="8" t="n"/>
      <c r="AI336" s="8" t="n"/>
      <c r="AJ336" s="8" t="n"/>
    </row>
    <row r="337" ht="15.75" customHeight="1" s="239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23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238" t="n"/>
      <c r="AE337" s="8" t="n"/>
      <c r="AF337" s="8" t="n"/>
      <c r="AG337" s="8" t="n"/>
      <c r="AH337" s="8" t="n"/>
      <c r="AI337" s="8" t="n"/>
      <c r="AJ337" s="8" t="n"/>
    </row>
    <row r="338" ht="15.75" customHeight="1" s="239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23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238" t="n"/>
      <c r="AE338" s="8" t="n"/>
      <c r="AF338" s="8" t="n"/>
      <c r="AG338" s="8" t="n"/>
      <c r="AH338" s="8" t="n"/>
      <c r="AI338" s="8" t="n"/>
      <c r="AJ338" s="8" t="n"/>
    </row>
    <row r="339" ht="15.75" customHeight="1" s="2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23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238" t="n"/>
      <c r="AE339" s="8" t="n"/>
      <c r="AF339" s="8" t="n"/>
      <c r="AG339" s="8" t="n"/>
      <c r="AH339" s="8" t="n"/>
      <c r="AI339" s="8" t="n"/>
      <c r="AJ339" s="8" t="n"/>
    </row>
    <row r="340" ht="15.75" customHeight="1" s="239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23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238" t="n"/>
      <c r="AE340" s="8" t="n"/>
      <c r="AF340" s="8" t="n"/>
      <c r="AG340" s="8" t="n"/>
      <c r="AH340" s="8" t="n"/>
      <c r="AI340" s="8" t="n"/>
      <c r="AJ340" s="8" t="n"/>
    </row>
    <row r="341" ht="15.75" customHeight="1" s="239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23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238" t="n"/>
      <c r="AE341" s="8" t="n"/>
      <c r="AF341" s="8" t="n"/>
      <c r="AG341" s="8" t="n"/>
      <c r="AH341" s="8" t="n"/>
      <c r="AI341" s="8" t="n"/>
      <c r="AJ341" s="8" t="n"/>
    </row>
    <row r="342" ht="15.75" customHeight="1" s="239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23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238" t="n"/>
      <c r="AE342" s="8" t="n"/>
      <c r="AF342" s="8" t="n"/>
      <c r="AG342" s="8" t="n"/>
      <c r="AH342" s="8" t="n"/>
      <c r="AI342" s="8" t="n"/>
      <c r="AJ342" s="8" t="n"/>
    </row>
    <row r="343" ht="15.75" customHeight="1" s="239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23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238" t="n"/>
      <c r="AE343" s="8" t="n"/>
      <c r="AF343" s="8" t="n"/>
      <c r="AG343" s="8" t="n"/>
      <c r="AH343" s="8" t="n"/>
      <c r="AI343" s="8" t="n"/>
      <c r="AJ343" s="8" t="n"/>
    </row>
    <row r="344" ht="15.75" customHeight="1" s="239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23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238" t="n"/>
      <c r="AE344" s="8" t="n"/>
      <c r="AF344" s="8" t="n"/>
      <c r="AG344" s="8" t="n"/>
      <c r="AH344" s="8" t="n"/>
      <c r="AI344" s="8" t="n"/>
      <c r="AJ344" s="8" t="n"/>
    </row>
    <row r="345" ht="15.75" customHeight="1" s="239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23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238" t="n"/>
      <c r="AE345" s="8" t="n"/>
      <c r="AF345" s="8" t="n"/>
      <c r="AG345" s="8" t="n"/>
      <c r="AH345" s="8" t="n"/>
      <c r="AI345" s="8" t="n"/>
      <c r="AJ345" s="8" t="n"/>
    </row>
    <row r="346" ht="15.75" customHeight="1" s="239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23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238" t="n"/>
      <c r="AE346" s="8" t="n"/>
      <c r="AF346" s="8" t="n"/>
      <c r="AG346" s="8" t="n"/>
      <c r="AH346" s="8" t="n"/>
      <c r="AI346" s="8" t="n"/>
      <c r="AJ346" s="8" t="n"/>
    </row>
    <row r="347" ht="15.75" customHeight="1" s="239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23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238" t="n"/>
      <c r="AE347" s="8" t="n"/>
      <c r="AF347" s="8" t="n"/>
      <c r="AG347" s="8" t="n"/>
      <c r="AH347" s="8" t="n"/>
      <c r="AI347" s="8" t="n"/>
      <c r="AJ347" s="8" t="n"/>
    </row>
    <row r="348" ht="15.75" customHeight="1" s="239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23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238" t="n"/>
      <c r="AE348" s="8" t="n"/>
      <c r="AF348" s="8" t="n"/>
      <c r="AG348" s="8" t="n"/>
      <c r="AH348" s="8" t="n"/>
      <c r="AI348" s="8" t="n"/>
      <c r="AJ348" s="8" t="n"/>
    </row>
    <row r="349" ht="15.75" customHeight="1" s="23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23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238" t="n"/>
      <c r="AE349" s="8" t="n"/>
      <c r="AF349" s="8" t="n"/>
      <c r="AG349" s="8" t="n"/>
      <c r="AH349" s="8" t="n"/>
      <c r="AI349" s="8" t="n"/>
      <c r="AJ349" s="8" t="n"/>
    </row>
    <row r="350" ht="15.75" customHeight="1" s="239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23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238" t="n"/>
      <c r="AE350" s="8" t="n"/>
      <c r="AF350" s="8" t="n"/>
      <c r="AG350" s="8" t="n"/>
      <c r="AH350" s="8" t="n"/>
      <c r="AI350" s="8" t="n"/>
      <c r="AJ350" s="8" t="n"/>
    </row>
    <row r="351" ht="15.75" customHeight="1" s="239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23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238" t="n"/>
      <c r="AE351" s="8" t="n"/>
      <c r="AF351" s="8" t="n"/>
      <c r="AG351" s="8" t="n"/>
      <c r="AH351" s="8" t="n"/>
      <c r="AI351" s="8" t="n"/>
      <c r="AJ351" s="8" t="n"/>
    </row>
    <row r="352" ht="15.75" customHeight="1" s="239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23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238" t="n"/>
      <c r="AE352" s="8" t="n"/>
      <c r="AF352" s="8" t="n"/>
      <c r="AG352" s="8" t="n"/>
      <c r="AH352" s="8" t="n"/>
      <c r="AI352" s="8" t="n"/>
      <c r="AJ352" s="8" t="n"/>
    </row>
    <row r="353" ht="15.75" customHeight="1" s="239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23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238" t="n"/>
      <c r="AE353" s="8" t="n"/>
      <c r="AF353" s="8" t="n"/>
      <c r="AG353" s="8" t="n"/>
      <c r="AH353" s="8" t="n"/>
      <c r="AI353" s="8" t="n"/>
      <c r="AJ353" s="8" t="n"/>
    </row>
    <row r="354" ht="15.75" customHeight="1" s="239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23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238" t="n"/>
      <c r="AE354" s="8" t="n"/>
      <c r="AF354" s="8" t="n"/>
      <c r="AG354" s="8" t="n"/>
      <c r="AH354" s="8" t="n"/>
      <c r="AI354" s="8" t="n"/>
      <c r="AJ354" s="8" t="n"/>
    </row>
    <row r="355" ht="15.75" customHeight="1" s="239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23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238" t="n"/>
      <c r="AE355" s="8" t="n"/>
      <c r="AF355" s="8" t="n"/>
      <c r="AG355" s="8" t="n"/>
      <c r="AH355" s="8" t="n"/>
      <c r="AI355" s="8" t="n"/>
      <c r="AJ355" s="8" t="n"/>
    </row>
    <row r="356" ht="15.75" customHeight="1" s="239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23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238" t="n"/>
      <c r="AE356" s="8" t="n"/>
      <c r="AF356" s="8" t="n"/>
      <c r="AG356" s="8" t="n"/>
      <c r="AH356" s="8" t="n"/>
      <c r="AI356" s="8" t="n"/>
      <c r="AJ356" s="8" t="n"/>
    </row>
    <row r="357" ht="15.75" customHeight="1" s="239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23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238" t="n"/>
      <c r="AE357" s="8" t="n"/>
      <c r="AF357" s="8" t="n"/>
      <c r="AG357" s="8" t="n"/>
      <c r="AH357" s="8" t="n"/>
      <c r="AI357" s="8" t="n"/>
      <c r="AJ357" s="8" t="n"/>
    </row>
    <row r="358" ht="15.75" customHeight="1" s="239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23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238" t="n"/>
      <c r="AE358" s="8" t="n"/>
      <c r="AF358" s="8" t="n"/>
      <c r="AG358" s="8" t="n"/>
      <c r="AH358" s="8" t="n"/>
      <c r="AI358" s="8" t="n"/>
      <c r="AJ358" s="8" t="n"/>
    </row>
    <row r="359" ht="15.75" customHeight="1" s="23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23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238" t="n"/>
      <c r="AE359" s="8" t="n"/>
      <c r="AF359" s="8" t="n"/>
      <c r="AG359" s="8" t="n"/>
      <c r="AH359" s="8" t="n"/>
      <c r="AI359" s="8" t="n"/>
      <c r="AJ359" s="8" t="n"/>
    </row>
    <row r="360" ht="15.75" customHeight="1" s="239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23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238" t="n"/>
      <c r="AE360" s="8" t="n"/>
      <c r="AF360" s="8" t="n"/>
      <c r="AG360" s="8" t="n"/>
      <c r="AH360" s="8" t="n"/>
      <c r="AI360" s="8" t="n"/>
      <c r="AJ360" s="8" t="n"/>
    </row>
    <row r="361" ht="15.75" customHeight="1" s="239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23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238" t="n"/>
      <c r="AE361" s="8" t="n"/>
      <c r="AF361" s="8" t="n"/>
      <c r="AG361" s="8" t="n"/>
      <c r="AH361" s="8" t="n"/>
      <c r="AI361" s="8" t="n"/>
      <c r="AJ361" s="8" t="n"/>
    </row>
    <row r="362" ht="15.75" customHeight="1" s="239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23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238" t="n"/>
      <c r="AE362" s="8" t="n"/>
      <c r="AF362" s="8" t="n"/>
      <c r="AG362" s="8" t="n"/>
      <c r="AH362" s="8" t="n"/>
      <c r="AI362" s="8" t="n"/>
      <c r="AJ362" s="8" t="n"/>
    </row>
    <row r="363" ht="15.75" customHeight="1" s="239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23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238" t="n"/>
      <c r="AE363" s="8" t="n"/>
      <c r="AF363" s="8" t="n"/>
      <c r="AG363" s="8" t="n"/>
      <c r="AH363" s="8" t="n"/>
      <c r="AI363" s="8" t="n"/>
      <c r="AJ363" s="8" t="n"/>
    </row>
    <row r="364" ht="15.75" customHeight="1" s="239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23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238" t="n"/>
      <c r="AE364" s="8" t="n"/>
      <c r="AF364" s="8" t="n"/>
      <c r="AG364" s="8" t="n"/>
      <c r="AH364" s="8" t="n"/>
      <c r="AI364" s="8" t="n"/>
      <c r="AJ364" s="8" t="n"/>
    </row>
    <row r="365" ht="15.75" customHeight="1" s="239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23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238" t="n"/>
      <c r="AE365" s="8" t="n"/>
      <c r="AF365" s="8" t="n"/>
      <c r="AG365" s="8" t="n"/>
      <c r="AH365" s="8" t="n"/>
      <c r="AI365" s="8" t="n"/>
      <c r="AJ365" s="8" t="n"/>
    </row>
    <row r="366" ht="15.75" customHeight="1" s="239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23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238" t="n"/>
      <c r="AE366" s="8" t="n"/>
      <c r="AF366" s="8" t="n"/>
      <c r="AG366" s="8" t="n"/>
      <c r="AH366" s="8" t="n"/>
      <c r="AI366" s="8" t="n"/>
      <c r="AJ366" s="8" t="n"/>
    </row>
    <row r="367" ht="15.75" customHeight="1" s="239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23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238" t="n"/>
      <c r="AE367" s="8" t="n"/>
      <c r="AF367" s="8" t="n"/>
      <c r="AG367" s="8" t="n"/>
      <c r="AH367" s="8" t="n"/>
      <c r="AI367" s="8" t="n"/>
      <c r="AJ367" s="8" t="n"/>
    </row>
    <row r="368" ht="15.75" customHeight="1" s="239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23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238" t="n"/>
      <c r="AE368" s="8" t="n"/>
      <c r="AF368" s="8" t="n"/>
      <c r="AG368" s="8" t="n"/>
      <c r="AH368" s="8" t="n"/>
      <c r="AI368" s="8" t="n"/>
      <c r="AJ368" s="8" t="n"/>
    </row>
    <row r="369" ht="15.75" customHeight="1" s="23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23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238" t="n"/>
      <c r="AE369" s="8" t="n"/>
      <c r="AF369" s="8" t="n"/>
      <c r="AG369" s="8" t="n"/>
      <c r="AH369" s="8" t="n"/>
      <c r="AI369" s="8" t="n"/>
      <c r="AJ369" s="8" t="n"/>
    </row>
    <row r="370" ht="15.75" customHeight="1" s="239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23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238" t="n"/>
      <c r="AE370" s="8" t="n"/>
      <c r="AF370" s="8" t="n"/>
      <c r="AG370" s="8" t="n"/>
      <c r="AH370" s="8" t="n"/>
      <c r="AI370" s="8" t="n"/>
      <c r="AJ370" s="8" t="n"/>
    </row>
    <row r="371" ht="15.75" customHeight="1" s="239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23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238" t="n"/>
      <c r="AE371" s="8" t="n"/>
      <c r="AF371" s="8" t="n"/>
      <c r="AG371" s="8" t="n"/>
      <c r="AH371" s="8" t="n"/>
      <c r="AI371" s="8" t="n"/>
      <c r="AJ371" s="8" t="n"/>
    </row>
    <row r="372" ht="15.75" customHeight="1" s="239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23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238" t="n"/>
      <c r="AE372" s="8" t="n"/>
      <c r="AF372" s="8" t="n"/>
      <c r="AG372" s="8" t="n"/>
      <c r="AH372" s="8" t="n"/>
      <c r="AI372" s="8" t="n"/>
      <c r="AJ372" s="8" t="n"/>
    </row>
    <row r="373" ht="15.75" customHeight="1" s="239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23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238" t="n"/>
      <c r="AE373" s="8" t="n"/>
      <c r="AF373" s="8" t="n"/>
      <c r="AG373" s="8" t="n"/>
      <c r="AH373" s="8" t="n"/>
      <c r="AI373" s="8" t="n"/>
      <c r="AJ373" s="8" t="n"/>
    </row>
    <row r="374" ht="15.75" customHeight="1" s="239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23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238" t="n"/>
      <c r="AE374" s="8" t="n"/>
      <c r="AF374" s="8" t="n"/>
      <c r="AG374" s="8" t="n"/>
      <c r="AH374" s="8" t="n"/>
      <c r="AI374" s="8" t="n"/>
      <c r="AJ374" s="8" t="n"/>
    </row>
    <row r="375" ht="15.75" customHeight="1" s="239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23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238" t="n"/>
      <c r="AE375" s="8" t="n"/>
      <c r="AF375" s="8" t="n"/>
      <c r="AG375" s="8" t="n"/>
      <c r="AH375" s="8" t="n"/>
      <c r="AI375" s="8" t="n"/>
      <c r="AJ375" s="8" t="n"/>
    </row>
    <row r="376" ht="15.75" customHeight="1" s="239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23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238" t="n"/>
      <c r="AE376" s="8" t="n"/>
      <c r="AF376" s="8" t="n"/>
      <c r="AG376" s="8" t="n"/>
      <c r="AH376" s="8" t="n"/>
      <c r="AI376" s="8" t="n"/>
      <c r="AJ376" s="8" t="n"/>
    </row>
    <row r="377" ht="15.75" customHeight="1" s="239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23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238" t="n"/>
      <c r="AE377" s="8" t="n"/>
      <c r="AF377" s="8" t="n"/>
      <c r="AG377" s="8" t="n"/>
      <c r="AH377" s="8" t="n"/>
      <c r="AI377" s="8" t="n"/>
      <c r="AJ377" s="8" t="n"/>
    </row>
    <row r="378" ht="15.75" customHeight="1" s="239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23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238" t="n"/>
      <c r="AE378" s="8" t="n"/>
      <c r="AF378" s="8" t="n"/>
      <c r="AG378" s="8" t="n"/>
      <c r="AH378" s="8" t="n"/>
      <c r="AI378" s="8" t="n"/>
      <c r="AJ378" s="8" t="n"/>
    </row>
    <row r="379" ht="15.75" customHeight="1" s="23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23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238" t="n"/>
      <c r="AE379" s="8" t="n"/>
      <c r="AF379" s="8" t="n"/>
      <c r="AG379" s="8" t="n"/>
      <c r="AH379" s="8" t="n"/>
      <c r="AI379" s="8" t="n"/>
      <c r="AJ379" s="8" t="n"/>
    </row>
    <row r="380" ht="15.75" customHeight="1" s="239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23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238" t="n"/>
      <c r="AE380" s="8" t="n"/>
      <c r="AF380" s="8" t="n"/>
      <c r="AG380" s="8" t="n"/>
      <c r="AH380" s="8" t="n"/>
      <c r="AI380" s="8" t="n"/>
      <c r="AJ380" s="8" t="n"/>
    </row>
    <row r="381" ht="15.75" customHeight="1" s="239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23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238" t="n"/>
      <c r="AE381" s="8" t="n"/>
      <c r="AF381" s="8" t="n"/>
      <c r="AG381" s="8" t="n"/>
      <c r="AH381" s="8" t="n"/>
      <c r="AI381" s="8" t="n"/>
      <c r="AJ381" s="8" t="n"/>
    </row>
    <row r="382" ht="15.75" customHeight="1" s="239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23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238" t="n"/>
      <c r="AE382" s="8" t="n"/>
      <c r="AF382" s="8" t="n"/>
      <c r="AG382" s="8" t="n"/>
      <c r="AH382" s="8" t="n"/>
      <c r="AI382" s="8" t="n"/>
      <c r="AJ382" s="8" t="n"/>
    </row>
    <row r="383" ht="15.75" customHeight="1" s="239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23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238" t="n"/>
      <c r="AE383" s="8" t="n"/>
      <c r="AF383" s="8" t="n"/>
      <c r="AG383" s="8" t="n"/>
      <c r="AH383" s="8" t="n"/>
      <c r="AI383" s="8" t="n"/>
      <c r="AJ383" s="8" t="n"/>
    </row>
    <row r="384" ht="15.75" customHeight="1" s="239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23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238" t="n"/>
      <c r="AE384" s="8" t="n"/>
      <c r="AF384" s="8" t="n"/>
      <c r="AG384" s="8" t="n"/>
      <c r="AH384" s="8" t="n"/>
      <c r="AI384" s="8" t="n"/>
      <c r="AJ384" s="8" t="n"/>
    </row>
    <row r="385" ht="15.75" customHeight="1" s="239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23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238" t="n"/>
      <c r="AE385" s="8" t="n"/>
      <c r="AF385" s="8" t="n"/>
      <c r="AG385" s="8" t="n"/>
      <c r="AH385" s="8" t="n"/>
      <c r="AI385" s="8" t="n"/>
      <c r="AJ385" s="8" t="n"/>
    </row>
    <row r="386" ht="15.75" customHeight="1" s="239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23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238" t="n"/>
      <c r="AE386" s="8" t="n"/>
      <c r="AF386" s="8" t="n"/>
      <c r="AG386" s="8" t="n"/>
      <c r="AH386" s="8" t="n"/>
      <c r="AI386" s="8" t="n"/>
      <c r="AJ386" s="8" t="n"/>
    </row>
    <row r="387" ht="15.75" customHeight="1" s="239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23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238" t="n"/>
      <c r="AE387" s="8" t="n"/>
      <c r="AF387" s="8" t="n"/>
      <c r="AG387" s="8" t="n"/>
      <c r="AH387" s="8" t="n"/>
      <c r="AI387" s="8" t="n"/>
      <c r="AJ387" s="8" t="n"/>
    </row>
    <row r="388" ht="15.75" customHeight="1" s="239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23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238" t="n"/>
      <c r="AE388" s="8" t="n"/>
      <c r="AF388" s="8" t="n"/>
      <c r="AG388" s="8" t="n"/>
      <c r="AH388" s="8" t="n"/>
      <c r="AI388" s="8" t="n"/>
      <c r="AJ388" s="8" t="n"/>
    </row>
    <row r="389" ht="15.75" customHeight="1" s="23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23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238" t="n"/>
      <c r="AE389" s="8" t="n"/>
      <c r="AF389" s="8" t="n"/>
      <c r="AG389" s="8" t="n"/>
      <c r="AH389" s="8" t="n"/>
      <c r="AI389" s="8" t="n"/>
      <c r="AJ389" s="8" t="n"/>
    </row>
    <row r="390" ht="15.75" customHeight="1" s="239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23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238" t="n"/>
      <c r="AE390" s="8" t="n"/>
      <c r="AF390" s="8" t="n"/>
      <c r="AG390" s="8" t="n"/>
      <c r="AH390" s="8" t="n"/>
      <c r="AI390" s="8" t="n"/>
      <c r="AJ390" s="8" t="n"/>
    </row>
    <row r="391" ht="15.75" customHeight="1" s="239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23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238" t="n"/>
      <c r="AE391" s="8" t="n"/>
      <c r="AF391" s="8" t="n"/>
      <c r="AG391" s="8" t="n"/>
      <c r="AH391" s="8" t="n"/>
      <c r="AI391" s="8" t="n"/>
      <c r="AJ391" s="8" t="n"/>
    </row>
    <row r="392" ht="15.75" customHeight="1" s="239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23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238" t="n"/>
      <c r="AE392" s="8" t="n"/>
      <c r="AF392" s="8" t="n"/>
      <c r="AG392" s="8" t="n"/>
      <c r="AH392" s="8" t="n"/>
      <c r="AI392" s="8" t="n"/>
      <c r="AJ392" s="8" t="n"/>
    </row>
    <row r="393" ht="15.75" customHeight="1" s="239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23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238" t="n"/>
      <c r="AE393" s="8" t="n"/>
      <c r="AF393" s="8" t="n"/>
      <c r="AG393" s="8" t="n"/>
      <c r="AH393" s="8" t="n"/>
      <c r="AI393" s="8" t="n"/>
      <c r="AJ393" s="8" t="n"/>
    </row>
    <row r="394" ht="15.75" customHeight="1" s="239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23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238" t="n"/>
      <c r="AE394" s="8" t="n"/>
      <c r="AF394" s="8" t="n"/>
      <c r="AG394" s="8" t="n"/>
      <c r="AH394" s="8" t="n"/>
      <c r="AI394" s="8" t="n"/>
      <c r="AJ394" s="8" t="n"/>
    </row>
    <row r="395" ht="15.75" customHeight="1" s="239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23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238" t="n"/>
      <c r="AE395" s="8" t="n"/>
      <c r="AF395" s="8" t="n"/>
      <c r="AG395" s="8" t="n"/>
      <c r="AH395" s="8" t="n"/>
      <c r="AI395" s="8" t="n"/>
      <c r="AJ395" s="8" t="n"/>
    </row>
    <row r="396" ht="15.75" customHeight="1" s="239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23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238" t="n"/>
      <c r="AE396" s="8" t="n"/>
      <c r="AF396" s="8" t="n"/>
      <c r="AG396" s="8" t="n"/>
      <c r="AH396" s="8" t="n"/>
      <c r="AI396" s="8" t="n"/>
      <c r="AJ396" s="8" t="n"/>
    </row>
    <row r="397" ht="15.75" customHeight="1" s="239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23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238" t="n"/>
      <c r="AE397" s="8" t="n"/>
      <c r="AF397" s="8" t="n"/>
      <c r="AG397" s="8" t="n"/>
      <c r="AH397" s="8" t="n"/>
      <c r="AI397" s="8" t="n"/>
      <c r="AJ397" s="8" t="n"/>
    </row>
    <row r="398" ht="15.75" customHeight="1" s="239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23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238" t="n"/>
      <c r="AE398" s="8" t="n"/>
      <c r="AF398" s="8" t="n"/>
      <c r="AG398" s="8" t="n"/>
      <c r="AH398" s="8" t="n"/>
      <c r="AI398" s="8" t="n"/>
      <c r="AJ398" s="8" t="n"/>
    </row>
    <row r="399" ht="15.75" customHeight="1" s="23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23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238" t="n"/>
      <c r="AE399" s="8" t="n"/>
      <c r="AF399" s="8" t="n"/>
      <c r="AG399" s="8" t="n"/>
      <c r="AH399" s="8" t="n"/>
      <c r="AI399" s="8" t="n"/>
      <c r="AJ399" s="8" t="n"/>
    </row>
    <row r="400" ht="15.75" customHeight="1" s="239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23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238" t="n"/>
      <c r="AE400" s="8" t="n"/>
      <c r="AF400" s="8" t="n"/>
      <c r="AG400" s="8" t="n"/>
      <c r="AH400" s="8" t="n"/>
      <c r="AI400" s="8" t="n"/>
      <c r="AJ400" s="8" t="n"/>
    </row>
    <row r="401" ht="15.75" customHeight="1" s="239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23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238" t="n"/>
      <c r="AE401" s="8" t="n"/>
      <c r="AF401" s="8" t="n"/>
      <c r="AG401" s="8" t="n"/>
      <c r="AH401" s="8" t="n"/>
      <c r="AI401" s="8" t="n"/>
      <c r="AJ401" s="8" t="n"/>
    </row>
    <row r="402" ht="15.75" customHeight="1" s="239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23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238" t="n"/>
      <c r="AE402" s="8" t="n"/>
      <c r="AF402" s="8" t="n"/>
      <c r="AG402" s="8" t="n"/>
      <c r="AH402" s="8" t="n"/>
      <c r="AI402" s="8" t="n"/>
      <c r="AJ402" s="8" t="n"/>
    </row>
    <row r="403" ht="15.75" customHeight="1" s="239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23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238" t="n"/>
      <c r="AE403" s="8" t="n"/>
      <c r="AF403" s="8" t="n"/>
      <c r="AG403" s="8" t="n"/>
      <c r="AH403" s="8" t="n"/>
      <c r="AI403" s="8" t="n"/>
      <c r="AJ403" s="8" t="n"/>
    </row>
    <row r="404" ht="15.75" customHeight="1" s="239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23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238" t="n"/>
      <c r="AE404" s="8" t="n"/>
      <c r="AF404" s="8" t="n"/>
      <c r="AG404" s="8" t="n"/>
      <c r="AH404" s="8" t="n"/>
      <c r="AI404" s="8" t="n"/>
      <c r="AJ404" s="8" t="n"/>
    </row>
    <row r="405" ht="15.75" customHeight="1" s="239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23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238" t="n"/>
      <c r="AE405" s="8" t="n"/>
      <c r="AF405" s="8" t="n"/>
      <c r="AG405" s="8" t="n"/>
      <c r="AH405" s="8" t="n"/>
      <c r="AI405" s="8" t="n"/>
      <c r="AJ405" s="8" t="n"/>
    </row>
    <row r="406" ht="15.75" customHeight="1" s="239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23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238" t="n"/>
      <c r="AE406" s="8" t="n"/>
      <c r="AF406" s="8" t="n"/>
      <c r="AG406" s="8" t="n"/>
      <c r="AH406" s="8" t="n"/>
      <c r="AI406" s="8" t="n"/>
      <c r="AJ406" s="8" t="n"/>
    </row>
    <row r="407" ht="15.75" customHeight="1" s="239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23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238" t="n"/>
      <c r="AE407" s="8" t="n"/>
      <c r="AF407" s="8" t="n"/>
      <c r="AG407" s="8" t="n"/>
      <c r="AH407" s="8" t="n"/>
      <c r="AI407" s="8" t="n"/>
      <c r="AJ407" s="8" t="n"/>
    </row>
    <row r="408" ht="15.75" customHeight="1" s="239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23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238" t="n"/>
      <c r="AE408" s="8" t="n"/>
      <c r="AF408" s="8" t="n"/>
      <c r="AG408" s="8" t="n"/>
      <c r="AH408" s="8" t="n"/>
      <c r="AI408" s="8" t="n"/>
      <c r="AJ408" s="8" t="n"/>
    </row>
    <row r="409" ht="15.75" customHeight="1" s="23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23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238" t="n"/>
      <c r="AE409" s="8" t="n"/>
      <c r="AF409" s="8" t="n"/>
      <c r="AG409" s="8" t="n"/>
      <c r="AH409" s="8" t="n"/>
      <c r="AI409" s="8" t="n"/>
      <c r="AJ409" s="8" t="n"/>
    </row>
    <row r="410" ht="15.75" customHeight="1" s="239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23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238" t="n"/>
      <c r="AE410" s="8" t="n"/>
      <c r="AF410" s="8" t="n"/>
      <c r="AG410" s="8" t="n"/>
      <c r="AH410" s="8" t="n"/>
      <c r="AI410" s="8" t="n"/>
      <c r="AJ410" s="8" t="n"/>
    </row>
    <row r="411" ht="15.75" customHeight="1" s="239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23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238" t="n"/>
      <c r="AE411" s="8" t="n"/>
      <c r="AF411" s="8" t="n"/>
      <c r="AG411" s="8" t="n"/>
      <c r="AH411" s="8" t="n"/>
      <c r="AI411" s="8" t="n"/>
      <c r="AJ411" s="8" t="n"/>
    </row>
    <row r="412" ht="15.75" customHeight="1" s="239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23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238" t="n"/>
      <c r="AE412" s="8" t="n"/>
      <c r="AF412" s="8" t="n"/>
      <c r="AG412" s="8" t="n"/>
      <c r="AH412" s="8" t="n"/>
      <c r="AI412" s="8" t="n"/>
      <c r="AJ412" s="8" t="n"/>
    </row>
    <row r="413" ht="15.75" customHeight="1" s="239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23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238" t="n"/>
      <c r="AE413" s="8" t="n"/>
      <c r="AF413" s="8" t="n"/>
      <c r="AG413" s="8" t="n"/>
      <c r="AH413" s="8" t="n"/>
      <c r="AI413" s="8" t="n"/>
      <c r="AJ413" s="8" t="n"/>
    </row>
    <row r="414" ht="15.75" customHeight="1" s="239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23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238" t="n"/>
      <c r="AE414" s="8" t="n"/>
      <c r="AF414" s="8" t="n"/>
      <c r="AG414" s="8" t="n"/>
      <c r="AH414" s="8" t="n"/>
      <c r="AI414" s="8" t="n"/>
      <c r="AJ414" s="8" t="n"/>
    </row>
    <row r="415" ht="15.75" customHeight="1" s="239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23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238" t="n"/>
      <c r="AE415" s="8" t="n"/>
      <c r="AF415" s="8" t="n"/>
      <c r="AG415" s="8" t="n"/>
      <c r="AH415" s="8" t="n"/>
      <c r="AI415" s="8" t="n"/>
      <c r="AJ415" s="8" t="n"/>
    </row>
    <row r="416" ht="15.75" customHeight="1" s="239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23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238" t="n"/>
      <c r="AE416" s="8" t="n"/>
      <c r="AF416" s="8" t="n"/>
      <c r="AG416" s="8" t="n"/>
      <c r="AH416" s="8" t="n"/>
      <c r="AI416" s="8" t="n"/>
      <c r="AJ416" s="8" t="n"/>
    </row>
    <row r="417" ht="15.75" customHeight="1" s="239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23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238" t="n"/>
      <c r="AE417" s="8" t="n"/>
      <c r="AF417" s="8" t="n"/>
      <c r="AG417" s="8" t="n"/>
      <c r="AH417" s="8" t="n"/>
      <c r="AI417" s="8" t="n"/>
      <c r="AJ417" s="8" t="n"/>
    </row>
    <row r="418" ht="15.75" customHeight="1" s="239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23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238" t="n"/>
      <c r="AE418" s="8" t="n"/>
      <c r="AF418" s="8" t="n"/>
      <c r="AG418" s="8" t="n"/>
      <c r="AH418" s="8" t="n"/>
      <c r="AI418" s="8" t="n"/>
      <c r="AJ418" s="8" t="n"/>
    </row>
    <row r="419" ht="15.75" customHeight="1" s="23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23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238" t="n"/>
      <c r="AE419" s="8" t="n"/>
      <c r="AF419" s="8" t="n"/>
      <c r="AG419" s="8" t="n"/>
      <c r="AH419" s="8" t="n"/>
      <c r="AI419" s="8" t="n"/>
      <c r="AJ419" s="8" t="n"/>
    </row>
    <row r="420" ht="15.75" customHeight="1" s="239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23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238" t="n"/>
      <c r="AE420" s="8" t="n"/>
      <c r="AF420" s="8" t="n"/>
      <c r="AG420" s="8" t="n"/>
      <c r="AH420" s="8" t="n"/>
      <c r="AI420" s="8" t="n"/>
      <c r="AJ420" s="8" t="n"/>
    </row>
    <row r="421" ht="15.75" customHeight="1" s="239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23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238" t="n"/>
      <c r="AE421" s="8" t="n"/>
      <c r="AF421" s="8" t="n"/>
      <c r="AG421" s="8" t="n"/>
      <c r="AH421" s="8" t="n"/>
      <c r="AI421" s="8" t="n"/>
      <c r="AJ421" s="8" t="n"/>
    </row>
    <row r="422" ht="15.75" customHeight="1" s="239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23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238" t="n"/>
      <c r="AE422" s="8" t="n"/>
      <c r="AF422" s="8" t="n"/>
      <c r="AG422" s="8" t="n"/>
      <c r="AH422" s="8" t="n"/>
      <c r="AI422" s="8" t="n"/>
      <c r="AJ422" s="8" t="n"/>
    </row>
    <row r="423" ht="15.75" customHeight="1" s="239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23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238" t="n"/>
      <c r="AE423" s="8" t="n"/>
      <c r="AF423" s="8" t="n"/>
      <c r="AG423" s="8" t="n"/>
      <c r="AH423" s="8" t="n"/>
      <c r="AI423" s="8" t="n"/>
      <c r="AJ423" s="8" t="n"/>
    </row>
    <row r="424" ht="15.75" customHeight="1" s="239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23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238" t="n"/>
      <c r="AE424" s="8" t="n"/>
      <c r="AF424" s="8" t="n"/>
      <c r="AG424" s="8" t="n"/>
      <c r="AH424" s="8" t="n"/>
      <c r="AI424" s="8" t="n"/>
      <c r="AJ424" s="8" t="n"/>
    </row>
    <row r="425" ht="15.75" customHeight="1" s="239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23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238" t="n"/>
      <c r="AE425" s="8" t="n"/>
      <c r="AF425" s="8" t="n"/>
      <c r="AG425" s="8" t="n"/>
      <c r="AH425" s="8" t="n"/>
      <c r="AI425" s="8" t="n"/>
      <c r="AJ425" s="8" t="n"/>
    </row>
    <row r="426" ht="15.75" customHeight="1" s="239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23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238" t="n"/>
      <c r="AE426" s="8" t="n"/>
      <c r="AF426" s="8" t="n"/>
      <c r="AG426" s="8" t="n"/>
      <c r="AH426" s="8" t="n"/>
      <c r="AI426" s="8" t="n"/>
      <c r="AJ426" s="8" t="n"/>
    </row>
    <row r="427" ht="15.75" customHeight="1" s="239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23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238" t="n"/>
      <c r="AE427" s="8" t="n"/>
      <c r="AF427" s="8" t="n"/>
      <c r="AG427" s="8" t="n"/>
      <c r="AH427" s="8" t="n"/>
      <c r="AI427" s="8" t="n"/>
      <c r="AJ427" s="8" t="n"/>
    </row>
    <row r="428" ht="15.75" customHeight="1" s="239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23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238" t="n"/>
      <c r="AE428" s="8" t="n"/>
      <c r="AF428" s="8" t="n"/>
      <c r="AG428" s="8" t="n"/>
      <c r="AH428" s="8" t="n"/>
      <c r="AI428" s="8" t="n"/>
      <c r="AJ428" s="8" t="n"/>
    </row>
    <row r="429" ht="15.75" customHeight="1" s="23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23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238" t="n"/>
      <c r="AE429" s="8" t="n"/>
      <c r="AF429" s="8" t="n"/>
      <c r="AG429" s="8" t="n"/>
      <c r="AH429" s="8" t="n"/>
      <c r="AI429" s="8" t="n"/>
      <c r="AJ429" s="8" t="n"/>
    </row>
    <row r="430" ht="15.75" customHeight="1" s="239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23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238" t="n"/>
      <c r="AE430" s="8" t="n"/>
      <c r="AF430" s="8" t="n"/>
      <c r="AG430" s="8" t="n"/>
      <c r="AH430" s="8" t="n"/>
      <c r="AI430" s="8" t="n"/>
      <c r="AJ430" s="8" t="n"/>
    </row>
    <row r="431" ht="15.75" customHeight="1" s="239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23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238" t="n"/>
      <c r="AE431" s="8" t="n"/>
      <c r="AF431" s="8" t="n"/>
      <c r="AG431" s="8" t="n"/>
      <c r="AH431" s="8" t="n"/>
      <c r="AI431" s="8" t="n"/>
      <c r="AJ431" s="8" t="n"/>
    </row>
    <row r="432" ht="15.75" customHeight="1" s="239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23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238" t="n"/>
      <c r="AE432" s="8" t="n"/>
      <c r="AF432" s="8" t="n"/>
      <c r="AG432" s="8" t="n"/>
      <c r="AH432" s="8" t="n"/>
      <c r="AI432" s="8" t="n"/>
      <c r="AJ432" s="8" t="n"/>
    </row>
    <row r="433" ht="15.75" customHeight="1" s="239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23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238" t="n"/>
      <c r="AE433" s="8" t="n"/>
      <c r="AF433" s="8" t="n"/>
      <c r="AG433" s="8" t="n"/>
      <c r="AH433" s="8" t="n"/>
      <c r="AI433" s="8" t="n"/>
      <c r="AJ433" s="8" t="n"/>
    </row>
    <row r="434" ht="15.75" customHeight="1" s="239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23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238" t="n"/>
      <c r="AE434" s="8" t="n"/>
      <c r="AF434" s="8" t="n"/>
      <c r="AG434" s="8" t="n"/>
      <c r="AH434" s="8" t="n"/>
      <c r="AI434" s="8" t="n"/>
      <c r="AJ434" s="8" t="n"/>
    </row>
    <row r="435" ht="15.75" customHeight="1" s="239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23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238" t="n"/>
      <c r="AE435" s="8" t="n"/>
      <c r="AF435" s="8" t="n"/>
      <c r="AG435" s="8" t="n"/>
      <c r="AH435" s="8" t="n"/>
      <c r="AI435" s="8" t="n"/>
      <c r="AJ435" s="8" t="n"/>
    </row>
    <row r="436" ht="15.75" customHeight="1" s="239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23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238" t="n"/>
      <c r="AE436" s="8" t="n"/>
      <c r="AF436" s="8" t="n"/>
      <c r="AG436" s="8" t="n"/>
      <c r="AH436" s="8" t="n"/>
      <c r="AI436" s="8" t="n"/>
      <c r="AJ436" s="8" t="n"/>
    </row>
    <row r="437" ht="15.75" customHeight="1" s="239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23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238" t="n"/>
      <c r="AE437" s="8" t="n"/>
      <c r="AF437" s="8" t="n"/>
      <c r="AG437" s="8" t="n"/>
      <c r="AH437" s="8" t="n"/>
      <c r="AI437" s="8" t="n"/>
      <c r="AJ437" s="8" t="n"/>
    </row>
    <row r="438" ht="15.75" customHeight="1" s="239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23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238" t="n"/>
      <c r="AE438" s="8" t="n"/>
      <c r="AF438" s="8" t="n"/>
      <c r="AG438" s="8" t="n"/>
      <c r="AH438" s="8" t="n"/>
      <c r="AI438" s="8" t="n"/>
      <c r="AJ438" s="8" t="n"/>
    </row>
    <row r="439" ht="15.75" customHeight="1" s="2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23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238" t="n"/>
      <c r="AE439" s="8" t="n"/>
      <c r="AF439" s="8" t="n"/>
      <c r="AG439" s="8" t="n"/>
      <c r="AH439" s="8" t="n"/>
      <c r="AI439" s="8" t="n"/>
      <c r="AJ439" s="8" t="n"/>
    </row>
    <row r="440" ht="15.75" customHeight="1" s="239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23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238" t="n"/>
      <c r="AE440" s="8" t="n"/>
      <c r="AF440" s="8" t="n"/>
      <c r="AG440" s="8" t="n"/>
      <c r="AH440" s="8" t="n"/>
      <c r="AI440" s="8" t="n"/>
      <c r="AJ440" s="8" t="n"/>
    </row>
    <row r="441" ht="15.75" customHeight="1" s="239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23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238" t="n"/>
      <c r="AE441" s="8" t="n"/>
      <c r="AF441" s="8" t="n"/>
      <c r="AG441" s="8" t="n"/>
      <c r="AH441" s="8" t="n"/>
      <c r="AI441" s="8" t="n"/>
      <c r="AJ441" s="8" t="n"/>
    </row>
    <row r="442" ht="15.75" customHeight="1" s="239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23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238" t="n"/>
      <c r="AE442" s="8" t="n"/>
      <c r="AF442" s="8" t="n"/>
      <c r="AG442" s="8" t="n"/>
      <c r="AH442" s="8" t="n"/>
      <c r="AI442" s="8" t="n"/>
      <c r="AJ442" s="8" t="n"/>
    </row>
    <row r="443" ht="15.75" customHeight="1" s="239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23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238" t="n"/>
      <c r="AE443" s="8" t="n"/>
      <c r="AF443" s="8" t="n"/>
      <c r="AG443" s="8" t="n"/>
      <c r="AH443" s="8" t="n"/>
      <c r="AI443" s="8" t="n"/>
      <c r="AJ443" s="8" t="n"/>
    </row>
    <row r="444" ht="15.75" customHeight="1" s="239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23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238" t="n"/>
      <c r="AE444" s="8" t="n"/>
      <c r="AF444" s="8" t="n"/>
      <c r="AG444" s="8" t="n"/>
      <c r="AH444" s="8" t="n"/>
      <c r="AI444" s="8" t="n"/>
      <c r="AJ444" s="8" t="n"/>
    </row>
    <row r="445" ht="15.75" customHeight="1" s="239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23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238" t="n"/>
      <c r="AE445" s="8" t="n"/>
      <c r="AF445" s="8" t="n"/>
      <c r="AG445" s="8" t="n"/>
      <c r="AH445" s="8" t="n"/>
      <c r="AI445" s="8" t="n"/>
      <c r="AJ445" s="8" t="n"/>
    </row>
    <row r="446" ht="15.75" customHeight="1" s="239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23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238" t="n"/>
      <c r="AE446" s="8" t="n"/>
      <c r="AF446" s="8" t="n"/>
      <c r="AG446" s="8" t="n"/>
      <c r="AH446" s="8" t="n"/>
      <c r="AI446" s="8" t="n"/>
      <c r="AJ446" s="8" t="n"/>
    </row>
    <row r="447" ht="15.75" customHeight="1" s="239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23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238" t="n"/>
      <c r="AE447" s="8" t="n"/>
      <c r="AF447" s="8" t="n"/>
      <c r="AG447" s="8" t="n"/>
      <c r="AH447" s="8" t="n"/>
      <c r="AI447" s="8" t="n"/>
      <c r="AJ447" s="8" t="n"/>
    </row>
    <row r="448" ht="15.75" customHeight="1" s="239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23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238" t="n"/>
      <c r="AE448" s="8" t="n"/>
      <c r="AF448" s="8" t="n"/>
      <c r="AG448" s="8" t="n"/>
      <c r="AH448" s="8" t="n"/>
      <c r="AI448" s="8" t="n"/>
      <c r="AJ448" s="8" t="n"/>
    </row>
    <row r="449" ht="15.75" customHeight="1" s="23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23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238" t="n"/>
      <c r="AE449" s="8" t="n"/>
      <c r="AF449" s="8" t="n"/>
      <c r="AG449" s="8" t="n"/>
      <c r="AH449" s="8" t="n"/>
      <c r="AI449" s="8" t="n"/>
      <c r="AJ449" s="8" t="n"/>
    </row>
    <row r="450" ht="15.75" customHeight="1" s="239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23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238" t="n"/>
      <c r="AE450" s="8" t="n"/>
      <c r="AF450" s="8" t="n"/>
      <c r="AG450" s="8" t="n"/>
      <c r="AH450" s="8" t="n"/>
      <c r="AI450" s="8" t="n"/>
      <c r="AJ450" s="8" t="n"/>
    </row>
    <row r="451" ht="15.75" customHeight="1" s="239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23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238" t="n"/>
      <c r="AE451" s="8" t="n"/>
      <c r="AF451" s="8" t="n"/>
      <c r="AG451" s="8" t="n"/>
      <c r="AH451" s="8" t="n"/>
      <c r="AI451" s="8" t="n"/>
      <c r="AJ451" s="8" t="n"/>
    </row>
    <row r="452" ht="15.75" customHeight="1" s="239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23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238" t="n"/>
      <c r="AE452" s="8" t="n"/>
      <c r="AF452" s="8" t="n"/>
      <c r="AG452" s="8" t="n"/>
      <c r="AH452" s="8" t="n"/>
      <c r="AI452" s="8" t="n"/>
      <c r="AJ452" s="8" t="n"/>
    </row>
    <row r="453" ht="15.75" customHeight="1" s="239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23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238" t="n"/>
      <c r="AE453" s="8" t="n"/>
      <c r="AF453" s="8" t="n"/>
      <c r="AG453" s="8" t="n"/>
      <c r="AH453" s="8" t="n"/>
      <c r="AI453" s="8" t="n"/>
      <c r="AJ453" s="8" t="n"/>
    </row>
    <row r="454" ht="15.75" customHeight="1" s="239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23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238" t="n"/>
      <c r="AE454" s="8" t="n"/>
      <c r="AF454" s="8" t="n"/>
      <c r="AG454" s="8" t="n"/>
      <c r="AH454" s="8" t="n"/>
      <c r="AI454" s="8" t="n"/>
      <c r="AJ454" s="8" t="n"/>
    </row>
    <row r="455" ht="15.75" customHeight="1" s="239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23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238" t="n"/>
      <c r="AE455" s="8" t="n"/>
      <c r="AF455" s="8" t="n"/>
      <c r="AG455" s="8" t="n"/>
      <c r="AH455" s="8" t="n"/>
      <c r="AI455" s="8" t="n"/>
      <c r="AJ455" s="8" t="n"/>
    </row>
    <row r="456" ht="15.75" customHeight="1" s="239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23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238" t="n"/>
      <c r="AE456" s="8" t="n"/>
      <c r="AF456" s="8" t="n"/>
      <c r="AG456" s="8" t="n"/>
      <c r="AH456" s="8" t="n"/>
      <c r="AI456" s="8" t="n"/>
      <c r="AJ456" s="8" t="n"/>
    </row>
    <row r="457" ht="15.75" customHeight="1" s="239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23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238" t="n"/>
      <c r="AE457" s="8" t="n"/>
      <c r="AF457" s="8" t="n"/>
      <c r="AG457" s="8" t="n"/>
      <c r="AH457" s="8" t="n"/>
      <c r="AI457" s="8" t="n"/>
      <c r="AJ457" s="8" t="n"/>
    </row>
    <row r="458" ht="15.75" customHeight="1" s="239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23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238" t="n"/>
      <c r="AE458" s="8" t="n"/>
      <c r="AF458" s="8" t="n"/>
      <c r="AG458" s="8" t="n"/>
      <c r="AH458" s="8" t="n"/>
      <c r="AI458" s="8" t="n"/>
      <c r="AJ458" s="8" t="n"/>
    </row>
    <row r="459" ht="15.75" customHeight="1" s="23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23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238" t="n"/>
      <c r="AE459" s="8" t="n"/>
      <c r="AF459" s="8" t="n"/>
      <c r="AG459" s="8" t="n"/>
      <c r="AH459" s="8" t="n"/>
      <c r="AI459" s="8" t="n"/>
      <c r="AJ459" s="8" t="n"/>
    </row>
    <row r="460" ht="15.75" customHeight="1" s="239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23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238" t="n"/>
      <c r="AE460" s="8" t="n"/>
      <c r="AF460" s="8" t="n"/>
      <c r="AG460" s="8" t="n"/>
      <c r="AH460" s="8" t="n"/>
      <c r="AI460" s="8" t="n"/>
      <c r="AJ460" s="8" t="n"/>
    </row>
    <row r="461" ht="15.75" customHeight="1" s="239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23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238" t="n"/>
      <c r="AE461" s="8" t="n"/>
      <c r="AF461" s="8" t="n"/>
      <c r="AG461" s="8" t="n"/>
      <c r="AH461" s="8" t="n"/>
      <c r="AI461" s="8" t="n"/>
      <c r="AJ461" s="8" t="n"/>
    </row>
    <row r="462" ht="15.75" customHeight="1" s="239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23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238" t="n"/>
      <c r="AE462" s="8" t="n"/>
      <c r="AF462" s="8" t="n"/>
      <c r="AG462" s="8" t="n"/>
      <c r="AH462" s="8" t="n"/>
      <c r="AI462" s="8" t="n"/>
      <c r="AJ462" s="8" t="n"/>
    </row>
    <row r="463" ht="15.75" customHeight="1" s="239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23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238" t="n"/>
      <c r="AE463" s="8" t="n"/>
      <c r="AF463" s="8" t="n"/>
      <c r="AG463" s="8" t="n"/>
      <c r="AH463" s="8" t="n"/>
      <c r="AI463" s="8" t="n"/>
      <c r="AJ463" s="8" t="n"/>
    </row>
    <row r="464" ht="15.75" customHeight="1" s="239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23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238" t="n"/>
      <c r="AE464" s="8" t="n"/>
      <c r="AF464" s="8" t="n"/>
      <c r="AG464" s="8" t="n"/>
      <c r="AH464" s="8" t="n"/>
      <c r="AI464" s="8" t="n"/>
      <c r="AJ464" s="8" t="n"/>
    </row>
    <row r="465" ht="15.75" customHeight="1" s="239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23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238" t="n"/>
      <c r="AE465" s="8" t="n"/>
      <c r="AF465" s="8" t="n"/>
      <c r="AG465" s="8" t="n"/>
      <c r="AH465" s="8" t="n"/>
      <c r="AI465" s="8" t="n"/>
      <c r="AJ465" s="8" t="n"/>
    </row>
    <row r="466" ht="15.75" customHeight="1" s="239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23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238" t="n"/>
      <c r="AE466" s="8" t="n"/>
      <c r="AF466" s="8" t="n"/>
      <c r="AG466" s="8" t="n"/>
      <c r="AH466" s="8" t="n"/>
      <c r="AI466" s="8" t="n"/>
      <c r="AJ466" s="8" t="n"/>
    </row>
    <row r="467" ht="15.75" customHeight="1" s="239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23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238" t="n"/>
      <c r="AE467" s="8" t="n"/>
      <c r="AF467" s="8" t="n"/>
      <c r="AG467" s="8" t="n"/>
      <c r="AH467" s="8" t="n"/>
      <c r="AI467" s="8" t="n"/>
      <c r="AJ467" s="8" t="n"/>
    </row>
    <row r="468" ht="15.75" customHeight="1" s="239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23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238" t="n"/>
      <c r="AE468" s="8" t="n"/>
      <c r="AF468" s="8" t="n"/>
      <c r="AG468" s="8" t="n"/>
      <c r="AH468" s="8" t="n"/>
      <c r="AI468" s="8" t="n"/>
      <c r="AJ468" s="8" t="n"/>
    </row>
    <row r="469" ht="15.75" customHeight="1" s="23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23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238" t="n"/>
      <c r="AE469" s="8" t="n"/>
      <c r="AF469" s="8" t="n"/>
      <c r="AG469" s="8" t="n"/>
      <c r="AH469" s="8" t="n"/>
      <c r="AI469" s="8" t="n"/>
      <c r="AJ469" s="8" t="n"/>
    </row>
    <row r="470" ht="15.75" customHeight="1" s="239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23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238" t="n"/>
      <c r="AE470" s="8" t="n"/>
      <c r="AF470" s="8" t="n"/>
      <c r="AG470" s="8" t="n"/>
      <c r="AH470" s="8" t="n"/>
      <c r="AI470" s="8" t="n"/>
      <c r="AJ470" s="8" t="n"/>
    </row>
    <row r="471" ht="15.75" customHeight="1" s="239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23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238" t="n"/>
      <c r="AE471" s="8" t="n"/>
      <c r="AF471" s="8" t="n"/>
      <c r="AG471" s="8" t="n"/>
      <c r="AH471" s="8" t="n"/>
      <c r="AI471" s="8" t="n"/>
      <c r="AJ471" s="8" t="n"/>
    </row>
    <row r="472" ht="15.75" customHeight="1" s="239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23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238" t="n"/>
      <c r="AE472" s="8" t="n"/>
      <c r="AF472" s="8" t="n"/>
      <c r="AG472" s="8" t="n"/>
      <c r="AH472" s="8" t="n"/>
      <c r="AI472" s="8" t="n"/>
      <c r="AJ472" s="8" t="n"/>
    </row>
    <row r="473" ht="15.75" customHeight="1" s="239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23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238" t="n"/>
      <c r="AE473" s="8" t="n"/>
      <c r="AF473" s="8" t="n"/>
      <c r="AG473" s="8" t="n"/>
      <c r="AH473" s="8" t="n"/>
      <c r="AI473" s="8" t="n"/>
      <c r="AJ473" s="8" t="n"/>
    </row>
    <row r="474" ht="15.75" customHeight="1" s="239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23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238" t="n"/>
      <c r="AE474" s="8" t="n"/>
      <c r="AF474" s="8" t="n"/>
      <c r="AG474" s="8" t="n"/>
      <c r="AH474" s="8" t="n"/>
      <c r="AI474" s="8" t="n"/>
      <c r="AJ474" s="8" t="n"/>
    </row>
    <row r="475" ht="15.75" customHeight="1" s="239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23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238" t="n"/>
      <c r="AE475" s="8" t="n"/>
      <c r="AF475" s="8" t="n"/>
      <c r="AG475" s="8" t="n"/>
      <c r="AH475" s="8" t="n"/>
      <c r="AI475" s="8" t="n"/>
      <c r="AJ475" s="8" t="n"/>
    </row>
    <row r="476" ht="15.75" customHeight="1" s="239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23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238" t="n"/>
      <c r="AE476" s="8" t="n"/>
      <c r="AF476" s="8" t="n"/>
      <c r="AG476" s="8" t="n"/>
      <c r="AH476" s="8" t="n"/>
      <c r="AI476" s="8" t="n"/>
      <c r="AJ476" s="8" t="n"/>
    </row>
    <row r="477" ht="15.75" customHeight="1" s="239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23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238" t="n"/>
      <c r="AE477" s="8" t="n"/>
      <c r="AF477" s="8" t="n"/>
      <c r="AG477" s="8" t="n"/>
      <c r="AH477" s="8" t="n"/>
      <c r="AI477" s="8" t="n"/>
      <c r="AJ477" s="8" t="n"/>
    </row>
    <row r="478" ht="15.75" customHeight="1" s="239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23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238" t="n"/>
      <c r="AE478" s="8" t="n"/>
      <c r="AF478" s="8" t="n"/>
      <c r="AG478" s="8" t="n"/>
      <c r="AH478" s="8" t="n"/>
      <c r="AI478" s="8" t="n"/>
      <c r="AJ478" s="8" t="n"/>
    </row>
    <row r="479" ht="15.75" customHeight="1" s="23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23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238" t="n"/>
      <c r="AE479" s="8" t="n"/>
      <c r="AF479" s="8" t="n"/>
      <c r="AG479" s="8" t="n"/>
      <c r="AH479" s="8" t="n"/>
      <c r="AI479" s="8" t="n"/>
      <c r="AJ479" s="8" t="n"/>
    </row>
    <row r="480" ht="15.75" customHeight="1" s="239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23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238" t="n"/>
      <c r="AE480" s="8" t="n"/>
      <c r="AF480" s="8" t="n"/>
      <c r="AG480" s="8" t="n"/>
      <c r="AH480" s="8" t="n"/>
      <c r="AI480" s="8" t="n"/>
      <c r="AJ480" s="8" t="n"/>
    </row>
    <row r="481" ht="15.75" customHeight="1" s="239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23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238" t="n"/>
      <c r="AE481" s="8" t="n"/>
      <c r="AF481" s="8" t="n"/>
      <c r="AG481" s="8" t="n"/>
      <c r="AH481" s="8" t="n"/>
      <c r="AI481" s="8" t="n"/>
      <c r="AJ481" s="8" t="n"/>
    </row>
    <row r="482" ht="15.75" customHeight="1" s="239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23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238" t="n"/>
      <c r="AE482" s="8" t="n"/>
      <c r="AF482" s="8" t="n"/>
      <c r="AG482" s="8" t="n"/>
      <c r="AH482" s="8" t="n"/>
      <c r="AI482" s="8" t="n"/>
      <c r="AJ482" s="8" t="n"/>
    </row>
    <row r="483" ht="15.75" customHeight="1" s="239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23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238" t="n"/>
      <c r="AE483" s="8" t="n"/>
      <c r="AF483" s="8" t="n"/>
      <c r="AG483" s="8" t="n"/>
      <c r="AH483" s="8" t="n"/>
      <c r="AI483" s="8" t="n"/>
      <c r="AJ483" s="8" t="n"/>
    </row>
    <row r="484" ht="15.75" customHeight="1" s="239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23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238" t="n"/>
      <c r="AE484" s="8" t="n"/>
      <c r="AF484" s="8" t="n"/>
      <c r="AG484" s="8" t="n"/>
      <c r="AH484" s="8" t="n"/>
      <c r="AI484" s="8" t="n"/>
      <c r="AJ484" s="8" t="n"/>
    </row>
    <row r="485" ht="15.75" customHeight="1" s="239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23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238" t="n"/>
      <c r="AE485" s="8" t="n"/>
      <c r="AF485" s="8" t="n"/>
      <c r="AG485" s="8" t="n"/>
      <c r="AH485" s="8" t="n"/>
      <c r="AI485" s="8" t="n"/>
      <c r="AJ485" s="8" t="n"/>
    </row>
    <row r="486" ht="15.75" customHeight="1" s="239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23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238" t="n"/>
      <c r="AE486" s="8" t="n"/>
      <c r="AF486" s="8" t="n"/>
      <c r="AG486" s="8" t="n"/>
      <c r="AH486" s="8" t="n"/>
      <c r="AI486" s="8" t="n"/>
      <c r="AJ486" s="8" t="n"/>
    </row>
    <row r="487" ht="15.75" customHeight="1" s="239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23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238" t="n"/>
      <c r="AE487" s="8" t="n"/>
      <c r="AF487" s="8" t="n"/>
      <c r="AG487" s="8" t="n"/>
      <c r="AH487" s="8" t="n"/>
      <c r="AI487" s="8" t="n"/>
      <c r="AJ487" s="8" t="n"/>
    </row>
    <row r="488" ht="15.75" customHeight="1" s="239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23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238" t="n"/>
      <c r="AE488" s="8" t="n"/>
      <c r="AF488" s="8" t="n"/>
      <c r="AG488" s="8" t="n"/>
      <c r="AH488" s="8" t="n"/>
      <c r="AI488" s="8" t="n"/>
      <c r="AJ488" s="8" t="n"/>
    </row>
    <row r="489" ht="15.75" customHeight="1" s="23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23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238" t="n"/>
      <c r="AE489" s="8" t="n"/>
      <c r="AF489" s="8" t="n"/>
      <c r="AG489" s="8" t="n"/>
      <c r="AH489" s="8" t="n"/>
      <c r="AI489" s="8" t="n"/>
      <c r="AJ489" s="8" t="n"/>
    </row>
    <row r="490" ht="15.75" customHeight="1" s="239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23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238" t="n"/>
      <c r="AE490" s="8" t="n"/>
      <c r="AF490" s="8" t="n"/>
      <c r="AG490" s="8" t="n"/>
      <c r="AH490" s="8" t="n"/>
      <c r="AI490" s="8" t="n"/>
      <c r="AJ490" s="8" t="n"/>
    </row>
    <row r="491" ht="15.75" customHeight="1" s="239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23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238" t="n"/>
      <c r="AE491" s="8" t="n"/>
      <c r="AF491" s="8" t="n"/>
      <c r="AG491" s="8" t="n"/>
      <c r="AH491" s="8" t="n"/>
      <c r="AI491" s="8" t="n"/>
      <c r="AJ491" s="8" t="n"/>
    </row>
    <row r="492" ht="15.75" customHeight="1" s="239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23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238" t="n"/>
      <c r="AE492" s="8" t="n"/>
      <c r="AF492" s="8" t="n"/>
      <c r="AG492" s="8" t="n"/>
      <c r="AH492" s="8" t="n"/>
      <c r="AI492" s="8" t="n"/>
      <c r="AJ492" s="8" t="n"/>
    </row>
    <row r="493" ht="15.75" customHeight="1" s="239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23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238" t="n"/>
      <c r="AE493" s="8" t="n"/>
      <c r="AF493" s="8" t="n"/>
      <c r="AG493" s="8" t="n"/>
      <c r="AH493" s="8" t="n"/>
      <c r="AI493" s="8" t="n"/>
      <c r="AJ493" s="8" t="n"/>
    </row>
    <row r="494" ht="15.75" customHeight="1" s="239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23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238" t="n"/>
      <c r="AE494" s="8" t="n"/>
      <c r="AF494" s="8" t="n"/>
      <c r="AG494" s="8" t="n"/>
      <c r="AH494" s="8" t="n"/>
      <c r="AI494" s="8" t="n"/>
      <c r="AJ494" s="8" t="n"/>
    </row>
    <row r="495" ht="15.75" customHeight="1" s="239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23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238" t="n"/>
      <c r="AE495" s="8" t="n"/>
      <c r="AF495" s="8" t="n"/>
      <c r="AG495" s="8" t="n"/>
      <c r="AH495" s="8" t="n"/>
      <c r="AI495" s="8" t="n"/>
      <c r="AJ495" s="8" t="n"/>
    </row>
    <row r="496" ht="15.75" customHeight="1" s="239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23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238" t="n"/>
      <c r="AE496" s="8" t="n"/>
      <c r="AF496" s="8" t="n"/>
      <c r="AG496" s="8" t="n"/>
      <c r="AH496" s="8" t="n"/>
      <c r="AI496" s="8" t="n"/>
      <c r="AJ496" s="8" t="n"/>
    </row>
    <row r="497" ht="15.75" customHeight="1" s="239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23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238" t="n"/>
      <c r="AE497" s="8" t="n"/>
      <c r="AF497" s="8" t="n"/>
      <c r="AG497" s="8" t="n"/>
      <c r="AH497" s="8" t="n"/>
      <c r="AI497" s="8" t="n"/>
      <c r="AJ497" s="8" t="n"/>
    </row>
    <row r="498" ht="15.75" customHeight="1" s="239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23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238" t="n"/>
      <c r="AE498" s="8" t="n"/>
      <c r="AF498" s="8" t="n"/>
      <c r="AG498" s="8" t="n"/>
      <c r="AH498" s="8" t="n"/>
      <c r="AI498" s="8" t="n"/>
      <c r="AJ498" s="8" t="n"/>
    </row>
    <row r="499" ht="15.75" customHeight="1" s="23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23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238" t="n"/>
      <c r="AE499" s="8" t="n"/>
      <c r="AF499" s="8" t="n"/>
      <c r="AG499" s="8" t="n"/>
      <c r="AH499" s="8" t="n"/>
      <c r="AI499" s="8" t="n"/>
      <c r="AJ499" s="8" t="n"/>
    </row>
    <row r="500" ht="15.75" customHeight="1" s="239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23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238" t="n"/>
      <c r="AE500" s="8" t="n"/>
      <c r="AF500" s="8" t="n"/>
      <c r="AG500" s="8" t="n"/>
      <c r="AH500" s="8" t="n"/>
      <c r="AI500" s="8" t="n"/>
      <c r="AJ500" s="8" t="n"/>
    </row>
    <row r="501" ht="15.75" customHeight="1" s="239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23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238" t="n"/>
      <c r="AE501" s="8" t="n"/>
      <c r="AF501" s="8" t="n"/>
      <c r="AG501" s="8" t="n"/>
      <c r="AH501" s="8" t="n"/>
      <c r="AI501" s="8" t="n"/>
      <c r="AJ501" s="8" t="n"/>
    </row>
    <row r="502" ht="15.75" customHeight="1" s="239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23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238" t="n"/>
      <c r="AE502" s="8" t="n"/>
      <c r="AF502" s="8" t="n"/>
      <c r="AG502" s="8" t="n"/>
      <c r="AH502" s="8" t="n"/>
      <c r="AI502" s="8" t="n"/>
      <c r="AJ502" s="8" t="n"/>
    </row>
    <row r="503" ht="15.75" customHeight="1" s="239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23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238" t="n"/>
      <c r="AE503" s="8" t="n"/>
      <c r="AF503" s="8" t="n"/>
      <c r="AG503" s="8" t="n"/>
      <c r="AH503" s="8" t="n"/>
      <c r="AI503" s="8" t="n"/>
      <c r="AJ503" s="8" t="n"/>
    </row>
    <row r="504" ht="15.75" customHeight="1" s="239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23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238" t="n"/>
      <c r="AE504" s="8" t="n"/>
      <c r="AF504" s="8" t="n"/>
      <c r="AG504" s="8" t="n"/>
      <c r="AH504" s="8" t="n"/>
      <c r="AI504" s="8" t="n"/>
      <c r="AJ504" s="8" t="n"/>
    </row>
    <row r="505" ht="15.75" customHeight="1" s="239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23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238" t="n"/>
      <c r="AE505" s="8" t="n"/>
      <c r="AF505" s="8" t="n"/>
      <c r="AG505" s="8" t="n"/>
      <c r="AH505" s="8" t="n"/>
      <c r="AI505" s="8" t="n"/>
      <c r="AJ505" s="8" t="n"/>
    </row>
    <row r="506" ht="15.75" customHeight="1" s="239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23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238" t="n"/>
      <c r="AE506" s="8" t="n"/>
      <c r="AF506" s="8" t="n"/>
      <c r="AG506" s="8" t="n"/>
      <c r="AH506" s="8" t="n"/>
      <c r="AI506" s="8" t="n"/>
      <c r="AJ506" s="8" t="n"/>
    </row>
    <row r="507" ht="15.75" customHeight="1" s="239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23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238" t="n"/>
      <c r="AE507" s="8" t="n"/>
      <c r="AF507" s="8" t="n"/>
      <c r="AG507" s="8" t="n"/>
      <c r="AH507" s="8" t="n"/>
      <c r="AI507" s="8" t="n"/>
      <c r="AJ507" s="8" t="n"/>
    </row>
    <row r="508" ht="15.75" customHeight="1" s="239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23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238" t="n"/>
      <c r="AE508" s="8" t="n"/>
      <c r="AF508" s="8" t="n"/>
      <c r="AG508" s="8" t="n"/>
      <c r="AH508" s="8" t="n"/>
      <c r="AI508" s="8" t="n"/>
      <c r="AJ508" s="8" t="n"/>
    </row>
    <row r="509" ht="15.75" customHeight="1" s="23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23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238" t="n"/>
      <c r="AE509" s="8" t="n"/>
      <c r="AF509" s="8" t="n"/>
      <c r="AG509" s="8" t="n"/>
      <c r="AH509" s="8" t="n"/>
      <c r="AI509" s="8" t="n"/>
      <c r="AJ509" s="8" t="n"/>
    </row>
    <row r="510" ht="15.75" customHeight="1" s="239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23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238" t="n"/>
      <c r="AE510" s="8" t="n"/>
      <c r="AF510" s="8" t="n"/>
      <c r="AG510" s="8" t="n"/>
      <c r="AH510" s="8" t="n"/>
      <c r="AI510" s="8" t="n"/>
      <c r="AJ510" s="8" t="n"/>
    </row>
    <row r="511" ht="15.75" customHeight="1" s="239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23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238" t="n"/>
      <c r="AE511" s="8" t="n"/>
      <c r="AF511" s="8" t="n"/>
      <c r="AG511" s="8" t="n"/>
      <c r="AH511" s="8" t="n"/>
      <c r="AI511" s="8" t="n"/>
      <c r="AJ511" s="8" t="n"/>
    </row>
    <row r="512" ht="15.75" customHeight="1" s="239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23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238" t="n"/>
      <c r="AE512" s="8" t="n"/>
      <c r="AF512" s="8" t="n"/>
      <c r="AG512" s="8" t="n"/>
      <c r="AH512" s="8" t="n"/>
      <c r="AI512" s="8" t="n"/>
      <c r="AJ512" s="8" t="n"/>
    </row>
    <row r="513" ht="15.75" customHeight="1" s="239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23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238" t="n"/>
      <c r="AE513" s="8" t="n"/>
      <c r="AF513" s="8" t="n"/>
      <c r="AG513" s="8" t="n"/>
      <c r="AH513" s="8" t="n"/>
      <c r="AI513" s="8" t="n"/>
      <c r="AJ513" s="8" t="n"/>
    </row>
    <row r="514" ht="15.75" customHeight="1" s="239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23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238" t="n"/>
      <c r="AE514" s="8" t="n"/>
      <c r="AF514" s="8" t="n"/>
      <c r="AG514" s="8" t="n"/>
      <c r="AH514" s="8" t="n"/>
      <c r="AI514" s="8" t="n"/>
      <c r="AJ514" s="8" t="n"/>
    </row>
    <row r="515" ht="15.75" customHeight="1" s="239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23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238" t="n"/>
      <c r="AE515" s="8" t="n"/>
      <c r="AF515" s="8" t="n"/>
      <c r="AG515" s="8" t="n"/>
      <c r="AH515" s="8" t="n"/>
      <c r="AI515" s="8" t="n"/>
      <c r="AJ515" s="8" t="n"/>
    </row>
    <row r="516" ht="15.75" customHeight="1" s="239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23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238" t="n"/>
      <c r="AE516" s="8" t="n"/>
      <c r="AF516" s="8" t="n"/>
      <c r="AG516" s="8" t="n"/>
      <c r="AH516" s="8" t="n"/>
      <c r="AI516" s="8" t="n"/>
      <c r="AJ516" s="8" t="n"/>
    </row>
    <row r="517" ht="15.75" customHeight="1" s="239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23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238" t="n"/>
      <c r="AE517" s="8" t="n"/>
      <c r="AF517" s="8" t="n"/>
      <c r="AG517" s="8" t="n"/>
      <c r="AH517" s="8" t="n"/>
      <c r="AI517" s="8" t="n"/>
      <c r="AJ517" s="8" t="n"/>
    </row>
    <row r="518" ht="15.75" customHeight="1" s="239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23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238" t="n"/>
      <c r="AE518" s="8" t="n"/>
      <c r="AF518" s="8" t="n"/>
      <c r="AG518" s="8" t="n"/>
      <c r="AH518" s="8" t="n"/>
      <c r="AI518" s="8" t="n"/>
      <c r="AJ518" s="8" t="n"/>
    </row>
    <row r="519" ht="15.75" customHeight="1" s="23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23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238" t="n"/>
      <c r="AE519" s="8" t="n"/>
      <c r="AF519" s="8" t="n"/>
      <c r="AG519" s="8" t="n"/>
      <c r="AH519" s="8" t="n"/>
      <c r="AI519" s="8" t="n"/>
      <c r="AJ519" s="8" t="n"/>
    </row>
    <row r="520" ht="15.75" customHeight="1" s="239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23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238" t="n"/>
      <c r="AE520" s="8" t="n"/>
      <c r="AF520" s="8" t="n"/>
      <c r="AG520" s="8" t="n"/>
      <c r="AH520" s="8" t="n"/>
      <c r="AI520" s="8" t="n"/>
      <c r="AJ520" s="8" t="n"/>
    </row>
    <row r="521" ht="15.75" customHeight="1" s="239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23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238" t="n"/>
      <c r="AE521" s="8" t="n"/>
      <c r="AF521" s="8" t="n"/>
      <c r="AG521" s="8" t="n"/>
      <c r="AH521" s="8" t="n"/>
      <c r="AI521" s="8" t="n"/>
      <c r="AJ521" s="8" t="n"/>
    </row>
    <row r="522" ht="15.75" customHeight="1" s="239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23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238" t="n"/>
      <c r="AE522" s="8" t="n"/>
      <c r="AF522" s="8" t="n"/>
      <c r="AG522" s="8" t="n"/>
      <c r="AH522" s="8" t="n"/>
      <c r="AI522" s="8" t="n"/>
      <c r="AJ522" s="8" t="n"/>
    </row>
    <row r="523" ht="15.75" customHeight="1" s="239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23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238" t="n"/>
      <c r="AE523" s="8" t="n"/>
      <c r="AF523" s="8" t="n"/>
      <c r="AG523" s="8" t="n"/>
      <c r="AH523" s="8" t="n"/>
      <c r="AI523" s="8" t="n"/>
      <c r="AJ523" s="8" t="n"/>
    </row>
    <row r="524" ht="15.75" customHeight="1" s="239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23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238" t="n"/>
      <c r="AE524" s="8" t="n"/>
      <c r="AF524" s="8" t="n"/>
      <c r="AG524" s="8" t="n"/>
      <c r="AH524" s="8" t="n"/>
      <c r="AI524" s="8" t="n"/>
      <c r="AJ524" s="8" t="n"/>
    </row>
    <row r="525" ht="15.75" customHeight="1" s="239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23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238" t="n"/>
      <c r="AE525" s="8" t="n"/>
      <c r="AF525" s="8" t="n"/>
      <c r="AG525" s="8" t="n"/>
      <c r="AH525" s="8" t="n"/>
      <c r="AI525" s="8" t="n"/>
      <c r="AJ525" s="8" t="n"/>
    </row>
    <row r="526" ht="15.75" customHeight="1" s="239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23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238" t="n"/>
      <c r="AE526" s="8" t="n"/>
      <c r="AF526" s="8" t="n"/>
      <c r="AG526" s="8" t="n"/>
      <c r="AH526" s="8" t="n"/>
      <c r="AI526" s="8" t="n"/>
      <c r="AJ526" s="8" t="n"/>
    </row>
    <row r="527" ht="15.75" customHeight="1" s="239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23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238" t="n"/>
      <c r="AE527" s="8" t="n"/>
      <c r="AF527" s="8" t="n"/>
      <c r="AG527" s="8" t="n"/>
      <c r="AH527" s="8" t="n"/>
      <c r="AI527" s="8" t="n"/>
      <c r="AJ527" s="8" t="n"/>
    </row>
    <row r="528" ht="15.75" customHeight="1" s="239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23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238" t="n"/>
      <c r="AE528" s="8" t="n"/>
      <c r="AF528" s="8" t="n"/>
      <c r="AG528" s="8" t="n"/>
      <c r="AH528" s="8" t="n"/>
      <c r="AI528" s="8" t="n"/>
      <c r="AJ528" s="8" t="n"/>
    </row>
    <row r="529" ht="15.75" customHeight="1" s="23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23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238" t="n"/>
      <c r="AE529" s="8" t="n"/>
      <c r="AF529" s="8" t="n"/>
      <c r="AG529" s="8" t="n"/>
      <c r="AH529" s="8" t="n"/>
      <c r="AI529" s="8" t="n"/>
      <c r="AJ529" s="8" t="n"/>
    </row>
    <row r="530" ht="15.75" customHeight="1" s="239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23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238" t="n"/>
      <c r="AE530" s="8" t="n"/>
      <c r="AF530" s="8" t="n"/>
      <c r="AG530" s="8" t="n"/>
      <c r="AH530" s="8" t="n"/>
      <c r="AI530" s="8" t="n"/>
      <c r="AJ530" s="8" t="n"/>
    </row>
    <row r="531" ht="15.75" customHeight="1" s="239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23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238" t="n"/>
      <c r="AE531" s="8" t="n"/>
      <c r="AF531" s="8" t="n"/>
      <c r="AG531" s="8" t="n"/>
      <c r="AH531" s="8" t="n"/>
      <c r="AI531" s="8" t="n"/>
      <c r="AJ531" s="8" t="n"/>
    </row>
    <row r="532" ht="15.75" customHeight="1" s="239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23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238" t="n"/>
      <c r="AE532" s="8" t="n"/>
      <c r="AF532" s="8" t="n"/>
      <c r="AG532" s="8" t="n"/>
      <c r="AH532" s="8" t="n"/>
      <c r="AI532" s="8" t="n"/>
      <c r="AJ532" s="8" t="n"/>
    </row>
    <row r="533" ht="15.75" customHeight="1" s="239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23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238" t="n"/>
      <c r="AE533" s="8" t="n"/>
      <c r="AF533" s="8" t="n"/>
      <c r="AG533" s="8" t="n"/>
      <c r="AH533" s="8" t="n"/>
      <c r="AI533" s="8" t="n"/>
      <c r="AJ533" s="8" t="n"/>
    </row>
    <row r="534" ht="15.75" customHeight="1" s="239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23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238" t="n"/>
      <c r="AE534" s="8" t="n"/>
      <c r="AF534" s="8" t="n"/>
      <c r="AG534" s="8" t="n"/>
      <c r="AH534" s="8" t="n"/>
      <c r="AI534" s="8" t="n"/>
      <c r="AJ534" s="8" t="n"/>
    </row>
    <row r="535" ht="15.75" customHeight="1" s="239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23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238" t="n"/>
      <c r="AE535" s="8" t="n"/>
      <c r="AF535" s="8" t="n"/>
      <c r="AG535" s="8" t="n"/>
      <c r="AH535" s="8" t="n"/>
      <c r="AI535" s="8" t="n"/>
      <c r="AJ535" s="8" t="n"/>
    </row>
    <row r="536" ht="15.75" customHeight="1" s="239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23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238" t="n"/>
      <c r="AE536" s="8" t="n"/>
      <c r="AF536" s="8" t="n"/>
      <c r="AG536" s="8" t="n"/>
      <c r="AH536" s="8" t="n"/>
      <c r="AI536" s="8" t="n"/>
      <c r="AJ536" s="8" t="n"/>
    </row>
    <row r="537" ht="15.75" customHeight="1" s="239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23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238" t="n"/>
      <c r="AE537" s="8" t="n"/>
      <c r="AF537" s="8" t="n"/>
      <c r="AG537" s="8" t="n"/>
      <c r="AH537" s="8" t="n"/>
      <c r="AI537" s="8" t="n"/>
      <c r="AJ537" s="8" t="n"/>
    </row>
    <row r="538" ht="15.75" customHeight="1" s="239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23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238" t="n"/>
      <c r="AE538" s="8" t="n"/>
      <c r="AF538" s="8" t="n"/>
      <c r="AG538" s="8" t="n"/>
      <c r="AH538" s="8" t="n"/>
      <c r="AI538" s="8" t="n"/>
      <c r="AJ538" s="8" t="n"/>
    </row>
    <row r="539" ht="15.75" customHeight="1" s="2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23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238" t="n"/>
      <c r="AE539" s="8" t="n"/>
      <c r="AF539" s="8" t="n"/>
      <c r="AG539" s="8" t="n"/>
      <c r="AH539" s="8" t="n"/>
      <c r="AI539" s="8" t="n"/>
      <c r="AJ539" s="8" t="n"/>
    </row>
    <row r="540" ht="15.75" customHeight="1" s="239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23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238" t="n"/>
      <c r="AE540" s="8" t="n"/>
      <c r="AF540" s="8" t="n"/>
      <c r="AG540" s="8" t="n"/>
      <c r="AH540" s="8" t="n"/>
      <c r="AI540" s="8" t="n"/>
      <c r="AJ540" s="8" t="n"/>
    </row>
    <row r="541" ht="15.75" customHeight="1" s="239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23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238" t="n"/>
      <c r="AE541" s="8" t="n"/>
      <c r="AF541" s="8" t="n"/>
      <c r="AG541" s="8" t="n"/>
      <c r="AH541" s="8" t="n"/>
      <c r="AI541" s="8" t="n"/>
      <c r="AJ541" s="8" t="n"/>
    </row>
    <row r="542" ht="15.75" customHeight="1" s="239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23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238" t="n"/>
      <c r="AE542" s="8" t="n"/>
      <c r="AF542" s="8" t="n"/>
      <c r="AG542" s="8" t="n"/>
      <c r="AH542" s="8" t="n"/>
      <c r="AI542" s="8" t="n"/>
      <c r="AJ542" s="8" t="n"/>
    </row>
    <row r="543" ht="15.75" customHeight="1" s="239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23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238" t="n"/>
      <c r="AE543" s="8" t="n"/>
      <c r="AF543" s="8" t="n"/>
      <c r="AG543" s="8" t="n"/>
      <c r="AH543" s="8" t="n"/>
      <c r="AI543" s="8" t="n"/>
      <c r="AJ543" s="8" t="n"/>
    </row>
    <row r="544" ht="15.75" customHeight="1" s="239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23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238" t="n"/>
      <c r="AE544" s="8" t="n"/>
      <c r="AF544" s="8" t="n"/>
      <c r="AG544" s="8" t="n"/>
      <c r="AH544" s="8" t="n"/>
      <c r="AI544" s="8" t="n"/>
      <c r="AJ544" s="8" t="n"/>
    </row>
    <row r="545" ht="15.75" customHeight="1" s="239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23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238" t="n"/>
      <c r="AE545" s="8" t="n"/>
      <c r="AF545" s="8" t="n"/>
      <c r="AG545" s="8" t="n"/>
      <c r="AH545" s="8" t="n"/>
      <c r="AI545" s="8" t="n"/>
      <c r="AJ545" s="8" t="n"/>
    </row>
    <row r="546" ht="15.75" customHeight="1" s="239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23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238" t="n"/>
      <c r="AE546" s="8" t="n"/>
      <c r="AF546" s="8" t="n"/>
      <c r="AG546" s="8" t="n"/>
      <c r="AH546" s="8" t="n"/>
      <c r="AI546" s="8" t="n"/>
      <c r="AJ546" s="8" t="n"/>
    </row>
    <row r="547" ht="15.75" customHeight="1" s="239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23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238" t="n"/>
      <c r="AE547" s="8" t="n"/>
      <c r="AF547" s="8" t="n"/>
      <c r="AG547" s="8" t="n"/>
      <c r="AH547" s="8" t="n"/>
      <c r="AI547" s="8" t="n"/>
      <c r="AJ547" s="8" t="n"/>
    </row>
    <row r="548" ht="15.75" customHeight="1" s="239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23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238" t="n"/>
      <c r="AE548" s="8" t="n"/>
      <c r="AF548" s="8" t="n"/>
      <c r="AG548" s="8" t="n"/>
      <c r="AH548" s="8" t="n"/>
      <c r="AI548" s="8" t="n"/>
      <c r="AJ548" s="8" t="n"/>
    </row>
    <row r="549" ht="15.75" customHeight="1" s="23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23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238" t="n"/>
      <c r="AE549" s="8" t="n"/>
      <c r="AF549" s="8" t="n"/>
      <c r="AG549" s="8" t="n"/>
      <c r="AH549" s="8" t="n"/>
      <c r="AI549" s="8" t="n"/>
      <c r="AJ549" s="8" t="n"/>
    </row>
    <row r="550" ht="15.75" customHeight="1" s="239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23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238" t="n"/>
      <c r="AE550" s="8" t="n"/>
      <c r="AF550" s="8" t="n"/>
      <c r="AG550" s="8" t="n"/>
      <c r="AH550" s="8" t="n"/>
      <c r="AI550" s="8" t="n"/>
      <c r="AJ550" s="8" t="n"/>
    </row>
    <row r="551" ht="15.75" customHeight="1" s="239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23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238" t="n"/>
      <c r="AE551" s="8" t="n"/>
      <c r="AF551" s="8" t="n"/>
      <c r="AG551" s="8" t="n"/>
      <c r="AH551" s="8" t="n"/>
      <c r="AI551" s="8" t="n"/>
      <c r="AJ551" s="8" t="n"/>
    </row>
    <row r="552" ht="15.75" customHeight="1" s="239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23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238" t="n"/>
      <c r="AE552" s="8" t="n"/>
      <c r="AF552" s="8" t="n"/>
      <c r="AG552" s="8" t="n"/>
      <c r="AH552" s="8" t="n"/>
      <c r="AI552" s="8" t="n"/>
      <c r="AJ552" s="8" t="n"/>
    </row>
    <row r="553" ht="15.75" customHeight="1" s="239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23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238" t="n"/>
      <c r="AE553" s="8" t="n"/>
      <c r="AF553" s="8" t="n"/>
      <c r="AG553" s="8" t="n"/>
      <c r="AH553" s="8" t="n"/>
      <c r="AI553" s="8" t="n"/>
      <c r="AJ553" s="8" t="n"/>
    </row>
    <row r="554" ht="15.75" customHeight="1" s="239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23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238" t="n"/>
      <c r="AE554" s="8" t="n"/>
      <c r="AF554" s="8" t="n"/>
      <c r="AG554" s="8" t="n"/>
      <c r="AH554" s="8" t="n"/>
      <c r="AI554" s="8" t="n"/>
      <c r="AJ554" s="8" t="n"/>
    </row>
    <row r="555" ht="15.75" customHeight="1" s="239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23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238" t="n"/>
      <c r="AE555" s="8" t="n"/>
      <c r="AF555" s="8" t="n"/>
      <c r="AG555" s="8" t="n"/>
      <c r="AH555" s="8" t="n"/>
      <c r="AI555" s="8" t="n"/>
      <c r="AJ555" s="8" t="n"/>
    </row>
    <row r="556" ht="15.75" customHeight="1" s="239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23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238" t="n"/>
      <c r="AE556" s="8" t="n"/>
      <c r="AF556" s="8" t="n"/>
      <c r="AG556" s="8" t="n"/>
      <c r="AH556" s="8" t="n"/>
      <c r="AI556" s="8" t="n"/>
      <c r="AJ556" s="8" t="n"/>
    </row>
    <row r="557" ht="15.75" customHeight="1" s="239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23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238" t="n"/>
      <c r="AE557" s="8" t="n"/>
      <c r="AF557" s="8" t="n"/>
      <c r="AG557" s="8" t="n"/>
      <c r="AH557" s="8" t="n"/>
      <c r="AI557" s="8" t="n"/>
      <c r="AJ557" s="8" t="n"/>
    </row>
    <row r="558" ht="15.75" customHeight="1" s="239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23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238" t="n"/>
      <c r="AE558" s="8" t="n"/>
      <c r="AF558" s="8" t="n"/>
      <c r="AG558" s="8" t="n"/>
      <c r="AH558" s="8" t="n"/>
      <c r="AI558" s="8" t="n"/>
      <c r="AJ558" s="8" t="n"/>
    </row>
    <row r="559" ht="15.75" customHeight="1" s="23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23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238" t="n"/>
      <c r="AE559" s="8" t="n"/>
      <c r="AF559" s="8" t="n"/>
      <c r="AG559" s="8" t="n"/>
      <c r="AH559" s="8" t="n"/>
      <c r="AI559" s="8" t="n"/>
      <c r="AJ559" s="8" t="n"/>
    </row>
    <row r="560" ht="15.75" customHeight="1" s="239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23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238" t="n"/>
      <c r="AE560" s="8" t="n"/>
      <c r="AF560" s="8" t="n"/>
      <c r="AG560" s="8" t="n"/>
      <c r="AH560" s="8" t="n"/>
      <c r="AI560" s="8" t="n"/>
      <c r="AJ560" s="8" t="n"/>
    </row>
    <row r="561" ht="15.75" customHeight="1" s="239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23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238" t="n"/>
      <c r="AE561" s="8" t="n"/>
      <c r="AF561" s="8" t="n"/>
      <c r="AG561" s="8" t="n"/>
      <c r="AH561" s="8" t="n"/>
      <c r="AI561" s="8" t="n"/>
      <c r="AJ561" s="8" t="n"/>
    </row>
    <row r="562" ht="15.75" customHeight="1" s="239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23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238" t="n"/>
      <c r="AE562" s="8" t="n"/>
      <c r="AF562" s="8" t="n"/>
      <c r="AG562" s="8" t="n"/>
      <c r="AH562" s="8" t="n"/>
      <c r="AI562" s="8" t="n"/>
      <c r="AJ562" s="8" t="n"/>
    </row>
    <row r="563" ht="15.75" customHeight="1" s="239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23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238" t="n"/>
      <c r="AE563" s="8" t="n"/>
      <c r="AF563" s="8" t="n"/>
      <c r="AG563" s="8" t="n"/>
      <c r="AH563" s="8" t="n"/>
      <c r="AI563" s="8" t="n"/>
      <c r="AJ563" s="8" t="n"/>
    </row>
    <row r="564" ht="15.75" customHeight="1" s="239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23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238" t="n"/>
      <c r="AE564" s="8" t="n"/>
      <c r="AF564" s="8" t="n"/>
      <c r="AG564" s="8" t="n"/>
      <c r="AH564" s="8" t="n"/>
      <c r="AI564" s="8" t="n"/>
      <c r="AJ564" s="8" t="n"/>
    </row>
    <row r="565" ht="15.75" customHeight="1" s="239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23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238" t="n"/>
      <c r="AE565" s="8" t="n"/>
      <c r="AF565" s="8" t="n"/>
      <c r="AG565" s="8" t="n"/>
      <c r="AH565" s="8" t="n"/>
      <c r="AI565" s="8" t="n"/>
      <c r="AJ565" s="8" t="n"/>
    </row>
    <row r="566" ht="15.75" customHeight="1" s="239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23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238" t="n"/>
      <c r="AE566" s="8" t="n"/>
      <c r="AF566" s="8" t="n"/>
      <c r="AG566" s="8" t="n"/>
      <c r="AH566" s="8" t="n"/>
      <c r="AI566" s="8" t="n"/>
      <c r="AJ566" s="8" t="n"/>
    </row>
    <row r="567" ht="15.75" customHeight="1" s="239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23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238" t="n"/>
      <c r="AE567" s="8" t="n"/>
      <c r="AF567" s="8" t="n"/>
      <c r="AG567" s="8" t="n"/>
      <c r="AH567" s="8" t="n"/>
      <c r="AI567" s="8" t="n"/>
      <c r="AJ567" s="8" t="n"/>
    </row>
    <row r="568" ht="15.75" customHeight="1" s="239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23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238" t="n"/>
      <c r="AE568" s="8" t="n"/>
      <c r="AF568" s="8" t="n"/>
      <c r="AG568" s="8" t="n"/>
      <c r="AH568" s="8" t="n"/>
      <c r="AI568" s="8" t="n"/>
      <c r="AJ568" s="8" t="n"/>
    </row>
    <row r="569" ht="15.75" customHeight="1" s="23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23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238" t="n"/>
      <c r="AE569" s="8" t="n"/>
      <c r="AF569" s="8" t="n"/>
      <c r="AG569" s="8" t="n"/>
      <c r="AH569" s="8" t="n"/>
      <c r="AI569" s="8" t="n"/>
      <c r="AJ569" s="8" t="n"/>
    </row>
    <row r="570" ht="15.75" customHeight="1" s="239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23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238" t="n"/>
      <c r="AE570" s="8" t="n"/>
      <c r="AF570" s="8" t="n"/>
      <c r="AG570" s="8" t="n"/>
      <c r="AH570" s="8" t="n"/>
      <c r="AI570" s="8" t="n"/>
      <c r="AJ570" s="8" t="n"/>
    </row>
    <row r="571" ht="15.75" customHeight="1" s="239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23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238" t="n"/>
      <c r="AE571" s="8" t="n"/>
      <c r="AF571" s="8" t="n"/>
      <c r="AG571" s="8" t="n"/>
      <c r="AH571" s="8" t="n"/>
      <c r="AI571" s="8" t="n"/>
      <c r="AJ571" s="8" t="n"/>
    </row>
    <row r="572" ht="15.75" customHeight="1" s="239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23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238" t="n"/>
      <c r="AE572" s="8" t="n"/>
      <c r="AF572" s="8" t="n"/>
      <c r="AG572" s="8" t="n"/>
      <c r="AH572" s="8" t="n"/>
      <c r="AI572" s="8" t="n"/>
      <c r="AJ572" s="8" t="n"/>
    </row>
    <row r="573" ht="15.75" customHeight="1" s="239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23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238" t="n"/>
      <c r="AE573" s="8" t="n"/>
      <c r="AF573" s="8" t="n"/>
      <c r="AG573" s="8" t="n"/>
      <c r="AH573" s="8" t="n"/>
      <c r="AI573" s="8" t="n"/>
      <c r="AJ573" s="8" t="n"/>
    </row>
    <row r="574" ht="15.75" customHeight="1" s="239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23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238" t="n"/>
      <c r="AE574" s="8" t="n"/>
      <c r="AF574" s="8" t="n"/>
      <c r="AG574" s="8" t="n"/>
      <c r="AH574" s="8" t="n"/>
      <c r="AI574" s="8" t="n"/>
      <c r="AJ574" s="8" t="n"/>
    </row>
    <row r="575" ht="15.75" customHeight="1" s="239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23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238" t="n"/>
      <c r="AE575" s="8" t="n"/>
      <c r="AF575" s="8" t="n"/>
      <c r="AG575" s="8" t="n"/>
      <c r="AH575" s="8" t="n"/>
      <c r="AI575" s="8" t="n"/>
      <c r="AJ575" s="8" t="n"/>
    </row>
    <row r="576" ht="15.75" customHeight="1" s="239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23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238" t="n"/>
      <c r="AE576" s="8" t="n"/>
      <c r="AF576" s="8" t="n"/>
      <c r="AG576" s="8" t="n"/>
      <c r="AH576" s="8" t="n"/>
      <c r="AI576" s="8" t="n"/>
      <c r="AJ576" s="8" t="n"/>
    </row>
    <row r="577" ht="15.75" customHeight="1" s="239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23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238" t="n"/>
      <c r="AE577" s="8" t="n"/>
      <c r="AF577" s="8" t="n"/>
      <c r="AG577" s="8" t="n"/>
      <c r="AH577" s="8" t="n"/>
      <c r="AI577" s="8" t="n"/>
      <c r="AJ577" s="8" t="n"/>
    </row>
    <row r="578" ht="15.75" customHeight="1" s="239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23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238" t="n"/>
      <c r="AE578" s="8" t="n"/>
      <c r="AF578" s="8" t="n"/>
      <c r="AG578" s="8" t="n"/>
      <c r="AH578" s="8" t="n"/>
      <c r="AI578" s="8" t="n"/>
      <c r="AJ578" s="8" t="n"/>
    </row>
    <row r="579" ht="15.75" customHeight="1" s="23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23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238" t="n"/>
      <c r="AE579" s="8" t="n"/>
      <c r="AF579" s="8" t="n"/>
      <c r="AG579" s="8" t="n"/>
      <c r="AH579" s="8" t="n"/>
      <c r="AI579" s="8" t="n"/>
      <c r="AJ579" s="8" t="n"/>
    </row>
    <row r="580" ht="15.75" customHeight="1" s="239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23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238" t="n"/>
      <c r="AE580" s="8" t="n"/>
      <c r="AF580" s="8" t="n"/>
      <c r="AG580" s="8" t="n"/>
      <c r="AH580" s="8" t="n"/>
      <c r="AI580" s="8" t="n"/>
      <c r="AJ580" s="8" t="n"/>
    </row>
    <row r="581" ht="15.75" customHeight="1" s="239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23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238" t="n"/>
      <c r="AE581" s="8" t="n"/>
      <c r="AF581" s="8" t="n"/>
      <c r="AG581" s="8" t="n"/>
      <c r="AH581" s="8" t="n"/>
      <c r="AI581" s="8" t="n"/>
      <c r="AJ581" s="8" t="n"/>
    </row>
    <row r="582" ht="15.75" customHeight="1" s="239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23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238" t="n"/>
      <c r="AE582" s="8" t="n"/>
      <c r="AF582" s="8" t="n"/>
      <c r="AG582" s="8" t="n"/>
      <c r="AH582" s="8" t="n"/>
      <c r="AI582" s="8" t="n"/>
      <c r="AJ582" s="8" t="n"/>
    </row>
    <row r="583" ht="15.75" customHeight="1" s="239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23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238" t="n"/>
      <c r="AE583" s="8" t="n"/>
      <c r="AF583" s="8" t="n"/>
      <c r="AG583" s="8" t="n"/>
      <c r="AH583" s="8" t="n"/>
      <c r="AI583" s="8" t="n"/>
      <c r="AJ583" s="8" t="n"/>
    </row>
    <row r="584" ht="15.75" customHeight="1" s="239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23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238" t="n"/>
      <c r="AE584" s="8" t="n"/>
      <c r="AF584" s="8" t="n"/>
      <c r="AG584" s="8" t="n"/>
      <c r="AH584" s="8" t="n"/>
      <c r="AI584" s="8" t="n"/>
      <c r="AJ584" s="8" t="n"/>
    </row>
    <row r="585" ht="15.75" customHeight="1" s="239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23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238" t="n"/>
      <c r="AE585" s="8" t="n"/>
      <c r="AF585" s="8" t="n"/>
      <c r="AG585" s="8" t="n"/>
      <c r="AH585" s="8" t="n"/>
      <c r="AI585" s="8" t="n"/>
      <c r="AJ585" s="8" t="n"/>
    </row>
    <row r="586" ht="15.75" customHeight="1" s="239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23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238" t="n"/>
      <c r="AE586" s="8" t="n"/>
      <c r="AF586" s="8" t="n"/>
      <c r="AG586" s="8" t="n"/>
      <c r="AH586" s="8" t="n"/>
      <c r="AI586" s="8" t="n"/>
      <c r="AJ586" s="8" t="n"/>
    </row>
    <row r="587" ht="15.75" customHeight="1" s="239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23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238" t="n"/>
      <c r="AE587" s="8" t="n"/>
      <c r="AF587" s="8" t="n"/>
      <c r="AG587" s="8" t="n"/>
      <c r="AH587" s="8" t="n"/>
      <c r="AI587" s="8" t="n"/>
      <c r="AJ587" s="8" t="n"/>
    </row>
    <row r="588" ht="15.75" customHeight="1" s="239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23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238" t="n"/>
      <c r="AE588" s="8" t="n"/>
      <c r="AF588" s="8" t="n"/>
      <c r="AG588" s="8" t="n"/>
      <c r="AH588" s="8" t="n"/>
      <c r="AI588" s="8" t="n"/>
      <c r="AJ588" s="8" t="n"/>
    </row>
    <row r="589" ht="15.75" customHeight="1" s="23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23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238" t="n"/>
      <c r="AE589" s="8" t="n"/>
      <c r="AF589" s="8" t="n"/>
      <c r="AG589" s="8" t="n"/>
      <c r="AH589" s="8" t="n"/>
      <c r="AI589" s="8" t="n"/>
      <c r="AJ589" s="8" t="n"/>
    </row>
    <row r="590" ht="15.75" customHeight="1" s="239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23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238" t="n"/>
      <c r="AE590" s="8" t="n"/>
      <c r="AF590" s="8" t="n"/>
      <c r="AG590" s="8" t="n"/>
      <c r="AH590" s="8" t="n"/>
      <c r="AI590" s="8" t="n"/>
      <c r="AJ590" s="8" t="n"/>
    </row>
    <row r="591" ht="15.75" customHeight="1" s="239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23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238" t="n"/>
      <c r="AE591" s="8" t="n"/>
      <c r="AF591" s="8" t="n"/>
      <c r="AG591" s="8" t="n"/>
      <c r="AH591" s="8" t="n"/>
      <c r="AI591" s="8" t="n"/>
      <c r="AJ591" s="8" t="n"/>
    </row>
    <row r="592" ht="15.75" customHeight="1" s="239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23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238" t="n"/>
      <c r="AE592" s="8" t="n"/>
      <c r="AF592" s="8" t="n"/>
      <c r="AG592" s="8" t="n"/>
      <c r="AH592" s="8" t="n"/>
      <c r="AI592" s="8" t="n"/>
      <c r="AJ592" s="8" t="n"/>
    </row>
    <row r="593" ht="15.75" customHeight="1" s="239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23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238" t="n"/>
      <c r="AE593" s="8" t="n"/>
      <c r="AF593" s="8" t="n"/>
      <c r="AG593" s="8" t="n"/>
      <c r="AH593" s="8" t="n"/>
      <c r="AI593" s="8" t="n"/>
      <c r="AJ593" s="8" t="n"/>
    </row>
    <row r="594" ht="15.75" customHeight="1" s="239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23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238" t="n"/>
      <c r="AE594" s="8" t="n"/>
      <c r="AF594" s="8" t="n"/>
      <c r="AG594" s="8" t="n"/>
      <c r="AH594" s="8" t="n"/>
      <c r="AI594" s="8" t="n"/>
      <c r="AJ594" s="8" t="n"/>
    </row>
    <row r="595" ht="15.75" customHeight="1" s="239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23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238" t="n"/>
      <c r="AE595" s="8" t="n"/>
      <c r="AF595" s="8" t="n"/>
      <c r="AG595" s="8" t="n"/>
      <c r="AH595" s="8" t="n"/>
      <c r="AI595" s="8" t="n"/>
      <c r="AJ595" s="8" t="n"/>
    </row>
    <row r="596" ht="15.75" customHeight="1" s="239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23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238" t="n"/>
      <c r="AE596" s="8" t="n"/>
      <c r="AF596" s="8" t="n"/>
      <c r="AG596" s="8" t="n"/>
      <c r="AH596" s="8" t="n"/>
      <c r="AI596" s="8" t="n"/>
      <c r="AJ596" s="8" t="n"/>
    </row>
    <row r="597" ht="15.75" customHeight="1" s="239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23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238" t="n"/>
      <c r="AE597" s="8" t="n"/>
      <c r="AF597" s="8" t="n"/>
      <c r="AG597" s="8" t="n"/>
      <c r="AH597" s="8" t="n"/>
      <c r="AI597" s="8" t="n"/>
      <c r="AJ597" s="8" t="n"/>
    </row>
    <row r="598" ht="15.75" customHeight="1" s="239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23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238" t="n"/>
      <c r="AE598" s="8" t="n"/>
      <c r="AF598" s="8" t="n"/>
      <c r="AG598" s="8" t="n"/>
      <c r="AH598" s="8" t="n"/>
      <c r="AI598" s="8" t="n"/>
      <c r="AJ598" s="8" t="n"/>
    </row>
    <row r="599" ht="15.75" customHeight="1" s="23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23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238" t="n"/>
      <c r="AE599" s="8" t="n"/>
      <c r="AF599" s="8" t="n"/>
      <c r="AG599" s="8" t="n"/>
      <c r="AH599" s="8" t="n"/>
      <c r="AI599" s="8" t="n"/>
      <c r="AJ599" s="8" t="n"/>
    </row>
    <row r="600" ht="15.75" customHeight="1" s="239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23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238" t="n"/>
      <c r="AE600" s="8" t="n"/>
      <c r="AF600" s="8" t="n"/>
      <c r="AG600" s="8" t="n"/>
      <c r="AH600" s="8" t="n"/>
      <c r="AI600" s="8" t="n"/>
      <c r="AJ600" s="8" t="n"/>
    </row>
    <row r="601" ht="15.75" customHeight="1" s="239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23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238" t="n"/>
      <c r="AE601" s="8" t="n"/>
      <c r="AF601" s="8" t="n"/>
      <c r="AG601" s="8" t="n"/>
      <c r="AH601" s="8" t="n"/>
      <c r="AI601" s="8" t="n"/>
      <c r="AJ601" s="8" t="n"/>
    </row>
    <row r="602" ht="15.75" customHeight="1" s="239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23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238" t="n"/>
      <c r="AE602" s="8" t="n"/>
      <c r="AF602" s="8" t="n"/>
      <c r="AG602" s="8" t="n"/>
      <c r="AH602" s="8" t="n"/>
      <c r="AI602" s="8" t="n"/>
      <c r="AJ602" s="8" t="n"/>
    </row>
    <row r="603" ht="15.75" customHeight="1" s="239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23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238" t="n"/>
      <c r="AE603" s="8" t="n"/>
      <c r="AF603" s="8" t="n"/>
      <c r="AG603" s="8" t="n"/>
      <c r="AH603" s="8" t="n"/>
      <c r="AI603" s="8" t="n"/>
      <c r="AJ603" s="8" t="n"/>
    </row>
    <row r="604" ht="15.75" customHeight="1" s="239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23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238" t="n"/>
      <c r="AE604" s="8" t="n"/>
      <c r="AF604" s="8" t="n"/>
      <c r="AG604" s="8" t="n"/>
      <c r="AH604" s="8" t="n"/>
      <c r="AI604" s="8" t="n"/>
      <c r="AJ604" s="8" t="n"/>
    </row>
    <row r="605" ht="15.75" customHeight="1" s="239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23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238" t="n"/>
      <c r="AE605" s="8" t="n"/>
      <c r="AF605" s="8" t="n"/>
      <c r="AG605" s="8" t="n"/>
      <c r="AH605" s="8" t="n"/>
      <c r="AI605" s="8" t="n"/>
      <c r="AJ605" s="8" t="n"/>
    </row>
    <row r="606" ht="15.75" customHeight="1" s="239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23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238" t="n"/>
      <c r="AE606" s="8" t="n"/>
      <c r="AF606" s="8" t="n"/>
      <c r="AG606" s="8" t="n"/>
      <c r="AH606" s="8" t="n"/>
      <c r="AI606" s="8" t="n"/>
      <c r="AJ606" s="8" t="n"/>
    </row>
    <row r="607" ht="15.75" customHeight="1" s="239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23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238" t="n"/>
      <c r="AE607" s="8" t="n"/>
      <c r="AF607" s="8" t="n"/>
      <c r="AG607" s="8" t="n"/>
      <c r="AH607" s="8" t="n"/>
      <c r="AI607" s="8" t="n"/>
      <c r="AJ607" s="8" t="n"/>
    </row>
    <row r="608" ht="15.75" customHeight="1" s="239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23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238" t="n"/>
      <c r="AE608" s="8" t="n"/>
      <c r="AF608" s="8" t="n"/>
      <c r="AG608" s="8" t="n"/>
      <c r="AH608" s="8" t="n"/>
      <c r="AI608" s="8" t="n"/>
      <c r="AJ608" s="8" t="n"/>
    </row>
    <row r="609" ht="15.75" customHeight="1" s="23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23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238" t="n"/>
      <c r="AE609" s="8" t="n"/>
      <c r="AF609" s="8" t="n"/>
      <c r="AG609" s="8" t="n"/>
      <c r="AH609" s="8" t="n"/>
      <c r="AI609" s="8" t="n"/>
      <c r="AJ609" s="8" t="n"/>
    </row>
    <row r="610" ht="15.75" customHeight="1" s="239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23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238" t="n"/>
      <c r="AE610" s="8" t="n"/>
      <c r="AF610" s="8" t="n"/>
      <c r="AG610" s="8" t="n"/>
      <c r="AH610" s="8" t="n"/>
      <c r="AI610" s="8" t="n"/>
      <c r="AJ610" s="8" t="n"/>
    </row>
    <row r="611" ht="15.75" customHeight="1" s="239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23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238" t="n"/>
      <c r="AE611" s="8" t="n"/>
      <c r="AF611" s="8" t="n"/>
      <c r="AG611" s="8" t="n"/>
      <c r="AH611" s="8" t="n"/>
      <c r="AI611" s="8" t="n"/>
      <c r="AJ611" s="8" t="n"/>
    </row>
    <row r="612" ht="15.75" customHeight="1" s="239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23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238" t="n"/>
      <c r="AE612" s="8" t="n"/>
      <c r="AF612" s="8" t="n"/>
      <c r="AG612" s="8" t="n"/>
      <c r="AH612" s="8" t="n"/>
      <c r="AI612" s="8" t="n"/>
      <c r="AJ612" s="8" t="n"/>
    </row>
    <row r="613" ht="15.75" customHeight="1" s="239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23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238" t="n"/>
      <c r="AE613" s="8" t="n"/>
      <c r="AF613" s="8" t="n"/>
      <c r="AG613" s="8" t="n"/>
      <c r="AH613" s="8" t="n"/>
      <c r="AI613" s="8" t="n"/>
      <c r="AJ613" s="8" t="n"/>
    </row>
    <row r="614" ht="15.75" customHeight="1" s="239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23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238" t="n"/>
      <c r="AE614" s="8" t="n"/>
      <c r="AF614" s="8" t="n"/>
      <c r="AG614" s="8" t="n"/>
      <c r="AH614" s="8" t="n"/>
      <c r="AI614" s="8" t="n"/>
      <c r="AJ614" s="8" t="n"/>
    </row>
    <row r="615" ht="15.75" customHeight="1" s="239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23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238" t="n"/>
      <c r="AE615" s="8" t="n"/>
      <c r="AF615" s="8" t="n"/>
      <c r="AG615" s="8" t="n"/>
      <c r="AH615" s="8" t="n"/>
      <c r="AI615" s="8" t="n"/>
      <c r="AJ615" s="8" t="n"/>
    </row>
    <row r="616" ht="15.75" customHeight="1" s="239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23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238" t="n"/>
      <c r="AE616" s="8" t="n"/>
      <c r="AF616" s="8" t="n"/>
      <c r="AG616" s="8" t="n"/>
      <c r="AH616" s="8" t="n"/>
      <c r="AI616" s="8" t="n"/>
      <c r="AJ616" s="8" t="n"/>
    </row>
    <row r="617" ht="15.75" customHeight="1" s="239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23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238" t="n"/>
      <c r="AE617" s="8" t="n"/>
      <c r="AF617" s="8" t="n"/>
      <c r="AG617" s="8" t="n"/>
      <c r="AH617" s="8" t="n"/>
      <c r="AI617" s="8" t="n"/>
      <c r="AJ617" s="8" t="n"/>
    </row>
    <row r="618" ht="15.75" customHeight="1" s="239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23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238" t="n"/>
      <c r="AE618" s="8" t="n"/>
      <c r="AF618" s="8" t="n"/>
      <c r="AG618" s="8" t="n"/>
      <c r="AH618" s="8" t="n"/>
      <c r="AI618" s="8" t="n"/>
      <c r="AJ618" s="8" t="n"/>
    </row>
    <row r="619" ht="15.75" customHeight="1" s="23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23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238" t="n"/>
      <c r="AE619" s="8" t="n"/>
      <c r="AF619" s="8" t="n"/>
      <c r="AG619" s="8" t="n"/>
      <c r="AH619" s="8" t="n"/>
      <c r="AI619" s="8" t="n"/>
      <c r="AJ619" s="8" t="n"/>
    </row>
    <row r="620" ht="15.75" customHeight="1" s="239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23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238" t="n"/>
      <c r="AE620" s="8" t="n"/>
      <c r="AF620" s="8" t="n"/>
      <c r="AG620" s="8" t="n"/>
      <c r="AH620" s="8" t="n"/>
      <c r="AI620" s="8" t="n"/>
      <c r="AJ620" s="8" t="n"/>
    </row>
    <row r="621" ht="15.75" customHeight="1" s="239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23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238" t="n"/>
      <c r="AE621" s="8" t="n"/>
      <c r="AF621" s="8" t="n"/>
      <c r="AG621" s="8" t="n"/>
      <c r="AH621" s="8" t="n"/>
      <c r="AI621" s="8" t="n"/>
      <c r="AJ621" s="8" t="n"/>
    </row>
    <row r="622" ht="15.75" customHeight="1" s="239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23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238" t="n"/>
      <c r="AE622" s="8" t="n"/>
      <c r="AF622" s="8" t="n"/>
      <c r="AG622" s="8" t="n"/>
      <c r="AH622" s="8" t="n"/>
      <c r="AI622" s="8" t="n"/>
      <c r="AJ622" s="8" t="n"/>
    </row>
    <row r="623" ht="15.75" customHeight="1" s="239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23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238" t="n"/>
      <c r="AE623" s="8" t="n"/>
      <c r="AF623" s="8" t="n"/>
      <c r="AG623" s="8" t="n"/>
      <c r="AH623" s="8" t="n"/>
      <c r="AI623" s="8" t="n"/>
      <c r="AJ623" s="8" t="n"/>
    </row>
    <row r="624" ht="15.75" customHeight="1" s="239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23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238" t="n"/>
      <c r="AE624" s="8" t="n"/>
      <c r="AF624" s="8" t="n"/>
      <c r="AG624" s="8" t="n"/>
      <c r="AH624" s="8" t="n"/>
      <c r="AI624" s="8" t="n"/>
      <c r="AJ624" s="8" t="n"/>
    </row>
    <row r="625" ht="15.75" customHeight="1" s="239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23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238" t="n"/>
      <c r="AE625" s="8" t="n"/>
      <c r="AF625" s="8" t="n"/>
      <c r="AG625" s="8" t="n"/>
      <c r="AH625" s="8" t="n"/>
      <c r="AI625" s="8" t="n"/>
      <c r="AJ625" s="8" t="n"/>
    </row>
    <row r="626" ht="15.75" customHeight="1" s="239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23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238" t="n"/>
      <c r="AE626" s="8" t="n"/>
      <c r="AF626" s="8" t="n"/>
      <c r="AG626" s="8" t="n"/>
      <c r="AH626" s="8" t="n"/>
      <c r="AI626" s="8" t="n"/>
      <c r="AJ626" s="8" t="n"/>
    </row>
    <row r="627" ht="15.75" customHeight="1" s="239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23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238" t="n"/>
      <c r="AE627" s="8" t="n"/>
      <c r="AF627" s="8" t="n"/>
      <c r="AG627" s="8" t="n"/>
      <c r="AH627" s="8" t="n"/>
      <c r="AI627" s="8" t="n"/>
      <c r="AJ627" s="8" t="n"/>
    </row>
    <row r="628" ht="15.75" customHeight="1" s="239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23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238" t="n"/>
      <c r="AE628" s="8" t="n"/>
      <c r="AF628" s="8" t="n"/>
      <c r="AG628" s="8" t="n"/>
      <c r="AH628" s="8" t="n"/>
      <c r="AI628" s="8" t="n"/>
      <c r="AJ628" s="8" t="n"/>
    </row>
    <row r="629" ht="15.75" customHeight="1" s="23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23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238" t="n"/>
      <c r="AE629" s="8" t="n"/>
      <c r="AF629" s="8" t="n"/>
      <c r="AG629" s="8" t="n"/>
      <c r="AH629" s="8" t="n"/>
      <c r="AI629" s="8" t="n"/>
      <c r="AJ629" s="8" t="n"/>
    </row>
    <row r="630" ht="15.75" customHeight="1" s="239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23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238" t="n"/>
      <c r="AE630" s="8" t="n"/>
      <c r="AF630" s="8" t="n"/>
      <c r="AG630" s="8" t="n"/>
      <c r="AH630" s="8" t="n"/>
      <c r="AI630" s="8" t="n"/>
      <c r="AJ630" s="8" t="n"/>
    </row>
    <row r="631" ht="15.75" customHeight="1" s="239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23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238" t="n"/>
      <c r="AE631" s="8" t="n"/>
      <c r="AF631" s="8" t="n"/>
      <c r="AG631" s="8" t="n"/>
      <c r="AH631" s="8" t="n"/>
      <c r="AI631" s="8" t="n"/>
      <c r="AJ631" s="8" t="n"/>
    </row>
    <row r="632" ht="15.75" customHeight="1" s="239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23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238" t="n"/>
      <c r="AE632" s="8" t="n"/>
      <c r="AF632" s="8" t="n"/>
      <c r="AG632" s="8" t="n"/>
      <c r="AH632" s="8" t="n"/>
      <c r="AI632" s="8" t="n"/>
      <c r="AJ632" s="8" t="n"/>
    </row>
    <row r="633" ht="15.75" customHeight="1" s="239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23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238" t="n"/>
      <c r="AE633" s="8" t="n"/>
      <c r="AF633" s="8" t="n"/>
      <c r="AG633" s="8" t="n"/>
      <c r="AH633" s="8" t="n"/>
      <c r="AI633" s="8" t="n"/>
      <c r="AJ633" s="8" t="n"/>
    </row>
    <row r="634" ht="15.75" customHeight="1" s="239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23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238" t="n"/>
      <c r="AE634" s="8" t="n"/>
      <c r="AF634" s="8" t="n"/>
      <c r="AG634" s="8" t="n"/>
      <c r="AH634" s="8" t="n"/>
      <c r="AI634" s="8" t="n"/>
      <c r="AJ634" s="8" t="n"/>
    </row>
    <row r="635" ht="15.75" customHeight="1" s="239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23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238" t="n"/>
      <c r="AE635" s="8" t="n"/>
      <c r="AF635" s="8" t="n"/>
      <c r="AG635" s="8" t="n"/>
      <c r="AH635" s="8" t="n"/>
      <c r="AI635" s="8" t="n"/>
      <c r="AJ635" s="8" t="n"/>
    </row>
    <row r="636" ht="15.75" customHeight="1" s="239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23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238" t="n"/>
      <c r="AE636" s="8" t="n"/>
      <c r="AF636" s="8" t="n"/>
      <c r="AG636" s="8" t="n"/>
      <c r="AH636" s="8" t="n"/>
      <c r="AI636" s="8" t="n"/>
      <c r="AJ636" s="8" t="n"/>
    </row>
    <row r="637" ht="15.75" customHeight="1" s="239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23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238" t="n"/>
      <c r="AE637" s="8" t="n"/>
      <c r="AF637" s="8" t="n"/>
      <c r="AG637" s="8" t="n"/>
      <c r="AH637" s="8" t="n"/>
      <c r="AI637" s="8" t="n"/>
      <c r="AJ637" s="8" t="n"/>
    </row>
    <row r="638" ht="15.75" customHeight="1" s="239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23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238" t="n"/>
      <c r="AE638" s="8" t="n"/>
      <c r="AF638" s="8" t="n"/>
      <c r="AG638" s="8" t="n"/>
      <c r="AH638" s="8" t="n"/>
      <c r="AI638" s="8" t="n"/>
      <c r="AJ638" s="8" t="n"/>
    </row>
    <row r="639" ht="15.75" customHeight="1" s="2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23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238" t="n"/>
      <c r="AE639" s="8" t="n"/>
      <c r="AF639" s="8" t="n"/>
      <c r="AG639" s="8" t="n"/>
      <c r="AH639" s="8" t="n"/>
      <c r="AI639" s="8" t="n"/>
      <c r="AJ639" s="8" t="n"/>
    </row>
    <row r="640" ht="15.75" customHeight="1" s="239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23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238" t="n"/>
      <c r="AE640" s="8" t="n"/>
      <c r="AF640" s="8" t="n"/>
      <c r="AG640" s="8" t="n"/>
      <c r="AH640" s="8" t="n"/>
      <c r="AI640" s="8" t="n"/>
      <c r="AJ640" s="8" t="n"/>
    </row>
    <row r="641" ht="15.75" customHeight="1" s="239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23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238" t="n"/>
      <c r="AE641" s="8" t="n"/>
      <c r="AF641" s="8" t="n"/>
      <c r="AG641" s="8" t="n"/>
      <c r="AH641" s="8" t="n"/>
      <c r="AI641" s="8" t="n"/>
      <c r="AJ641" s="8" t="n"/>
    </row>
    <row r="642" ht="15.75" customHeight="1" s="239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23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238" t="n"/>
      <c r="AE642" s="8" t="n"/>
      <c r="AF642" s="8" t="n"/>
      <c r="AG642" s="8" t="n"/>
      <c r="AH642" s="8" t="n"/>
      <c r="AI642" s="8" t="n"/>
      <c r="AJ642" s="8" t="n"/>
    </row>
    <row r="643" ht="15.75" customHeight="1" s="239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23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238" t="n"/>
      <c r="AE643" s="8" t="n"/>
      <c r="AF643" s="8" t="n"/>
      <c r="AG643" s="8" t="n"/>
      <c r="AH643" s="8" t="n"/>
      <c r="AI643" s="8" t="n"/>
      <c r="AJ643" s="8" t="n"/>
    </row>
    <row r="644" ht="15.75" customHeight="1" s="239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23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238" t="n"/>
      <c r="AE644" s="8" t="n"/>
      <c r="AF644" s="8" t="n"/>
      <c r="AG644" s="8" t="n"/>
      <c r="AH644" s="8" t="n"/>
      <c r="AI644" s="8" t="n"/>
      <c r="AJ644" s="8" t="n"/>
    </row>
    <row r="645" ht="15.75" customHeight="1" s="239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23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238" t="n"/>
      <c r="AE645" s="8" t="n"/>
      <c r="AF645" s="8" t="n"/>
      <c r="AG645" s="8" t="n"/>
      <c r="AH645" s="8" t="n"/>
      <c r="AI645" s="8" t="n"/>
      <c r="AJ645" s="8" t="n"/>
    </row>
    <row r="646" ht="15.75" customHeight="1" s="239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23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238" t="n"/>
      <c r="AE646" s="8" t="n"/>
      <c r="AF646" s="8" t="n"/>
      <c r="AG646" s="8" t="n"/>
      <c r="AH646" s="8" t="n"/>
      <c r="AI646" s="8" t="n"/>
      <c r="AJ646" s="8" t="n"/>
    </row>
    <row r="647" ht="15.75" customHeight="1" s="239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23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238" t="n"/>
      <c r="AE647" s="8" t="n"/>
      <c r="AF647" s="8" t="n"/>
      <c r="AG647" s="8" t="n"/>
      <c r="AH647" s="8" t="n"/>
      <c r="AI647" s="8" t="n"/>
      <c r="AJ647" s="8" t="n"/>
    </row>
    <row r="648" ht="15.75" customHeight="1" s="239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23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238" t="n"/>
      <c r="AE648" s="8" t="n"/>
      <c r="AF648" s="8" t="n"/>
      <c r="AG648" s="8" t="n"/>
      <c r="AH648" s="8" t="n"/>
      <c r="AI648" s="8" t="n"/>
      <c r="AJ648" s="8" t="n"/>
    </row>
    <row r="649" ht="15.75" customHeight="1" s="23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23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238" t="n"/>
      <c r="AE649" s="8" t="n"/>
      <c r="AF649" s="8" t="n"/>
      <c r="AG649" s="8" t="n"/>
      <c r="AH649" s="8" t="n"/>
      <c r="AI649" s="8" t="n"/>
      <c r="AJ649" s="8" t="n"/>
    </row>
    <row r="650" ht="15.75" customHeight="1" s="239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23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238" t="n"/>
      <c r="AE650" s="8" t="n"/>
      <c r="AF650" s="8" t="n"/>
      <c r="AG650" s="8" t="n"/>
      <c r="AH650" s="8" t="n"/>
      <c r="AI650" s="8" t="n"/>
      <c r="AJ650" s="8" t="n"/>
    </row>
    <row r="651" ht="15.75" customHeight="1" s="239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23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238" t="n"/>
      <c r="AE651" s="8" t="n"/>
      <c r="AF651" s="8" t="n"/>
      <c r="AG651" s="8" t="n"/>
      <c r="AH651" s="8" t="n"/>
      <c r="AI651" s="8" t="n"/>
      <c r="AJ651" s="8" t="n"/>
    </row>
    <row r="652" ht="15.75" customHeight="1" s="239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23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238" t="n"/>
      <c r="AE652" s="8" t="n"/>
      <c r="AF652" s="8" t="n"/>
      <c r="AG652" s="8" t="n"/>
      <c r="AH652" s="8" t="n"/>
      <c r="AI652" s="8" t="n"/>
      <c r="AJ652" s="8" t="n"/>
    </row>
    <row r="653" ht="15.75" customHeight="1" s="239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23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238" t="n"/>
      <c r="AE653" s="8" t="n"/>
      <c r="AF653" s="8" t="n"/>
      <c r="AG653" s="8" t="n"/>
      <c r="AH653" s="8" t="n"/>
      <c r="AI653" s="8" t="n"/>
      <c r="AJ653" s="8" t="n"/>
    </row>
    <row r="654" ht="15.75" customHeight="1" s="239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23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238" t="n"/>
      <c r="AE654" s="8" t="n"/>
      <c r="AF654" s="8" t="n"/>
      <c r="AG654" s="8" t="n"/>
      <c r="AH654" s="8" t="n"/>
      <c r="AI654" s="8" t="n"/>
      <c r="AJ654" s="8" t="n"/>
    </row>
    <row r="655" ht="15.75" customHeight="1" s="239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23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238" t="n"/>
      <c r="AE655" s="8" t="n"/>
      <c r="AF655" s="8" t="n"/>
      <c r="AG655" s="8" t="n"/>
      <c r="AH655" s="8" t="n"/>
      <c r="AI655" s="8" t="n"/>
      <c r="AJ655" s="8" t="n"/>
    </row>
    <row r="656" ht="15.75" customHeight="1" s="239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23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238" t="n"/>
      <c r="AE656" s="8" t="n"/>
      <c r="AF656" s="8" t="n"/>
      <c r="AG656" s="8" t="n"/>
      <c r="AH656" s="8" t="n"/>
      <c r="AI656" s="8" t="n"/>
      <c r="AJ656" s="8" t="n"/>
    </row>
    <row r="657" ht="15.75" customHeight="1" s="239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23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238" t="n"/>
      <c r="AE657" s="8" t="n"/>
      <c r="AF657" s="8" t="n"/>
      <c r="AG657" s="8" t="n"/>
      <c r="AH657" s="8" t="n"/>
      <c r="AI657" s="8" t="n"/>
      <c r="AJ657" s="8" t="n"/>
    </row>
    <row r="658" ht="15.75" customHeight="1" s="239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23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238" t="n"/>
      <c r="AE658" s="8" t="n"/>
      <c r="AF658" s="8" t="n"/>
      <c r="AG658" s="8" t="n"/>
      <c r="AH658" s="8" t="n"/>
      <c r="AI658" s="8" t="n"/>
      <c r="AJ658" s="8" t="n"/>
    </row>
    <row r="659" ht="15.75" customHeight="1" s="23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23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238" t="n"/>
      <c r="AE659" s="8" t="n"/>
      <c r="AF659" s="8" t="n"/>
      <c r="AG659" s="8" t="n"/>
      <c r="AH659" s="8" t="n"/>
      <c r="AI659" s="8" t="n"/>
      <c r="AJ659" s="8" t="n"/>
    </row>
    <row r="660" ht="15.75" customHeight="1" s="239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23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238" t="n"/>
      <c r="AE660" s="8" t="n"/>
      <c r="AF660" s="8" t="n"/>
      <c r="AG660" s="8" t="n"/>
      <c r="AH660" s="8" t="n"/>
      <c r="AI660" s="8" t="n"/>
      <c r="AJ660" s="8" t="n"/>
    </row>
    <row r="661" ht="15.75" customHeight="1" s="239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23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238" t="n"/>
      <c r="AE661" s="8" t="n"/>
      <c r="AF661" s="8" t="n"/>
      <c r="AG661" s="8" t="n"/>
      <c r="AH661" s="8" t="n"/>
      <c r="AI661" s="8" t="n"/>
      <c r="AJ661" s="8" t="n"/>
    </row>
    <row r="662" ht="15.75" customHeight="1" s="239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23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238" t="n"/>
      <c r="AE662" s="8" t="n"/>
      <c r="AF662" s="8" t="n"/>
      <c r="AG662" s="8" t="n"/>
      <c r="AH662" s="8" t="n"/>
      <c r="AI662" s="8" t="n"/>
      <c r="AJ662" s="8" t="n"/>
    </row>
    <row r="663" ht="15.75" customHeight="1" s="239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23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238" t="n"/>
      <c r="AE663" s="8" t="n"/>
      <c r="AF663" s="8" t="n"/>
      <c r="AG663" s="8" t="n"/>
      <c r="AH663" s="8" t="n"/>
      <c r="AI663" s="8" t="n"/>
      <c r="AJ663" s="8" t="n"/>
    </row>
    <row r="664" ht="15.75" customHeight="1" s="239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23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238" t="n"/>
      <c r="AE664" s="8" t="n"/>
      <c r="AF664" s="8" t="n"/>
      <c r="AG664" s="8" t="n"/>
      <c r="AH664" s="8" t="n"/>
      <c r="AI664" s="8" t="n"/>
      <c r="AJ664" s="8" t="n"/>
    </row>
    <row r="665" ht="15.75" customHeight="1" s="239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23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238" t="n"/>
      <c r="AE665" s="8" t="n"/>
      <c r="AF665" s="8" t="n"/>
      <c r="AG665" s="8" t="n"/>
      <c r="AH665" s="8" t="n"/>
      <c r="AI665" s="8" t="n"/>
      <c r="AJ665" s="8" t="n"/>
    </row>
    <row r="666" ht="15.75" customHeight="1" s="239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23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238" t="n"/>
      <c r="AE666" s="8" t="n"/>
      <c r="AF666" s="8" t="n"/>
      <c r="AG666" s="8" t="n"/>
      <c r="AH666" s="8" t="n"/>
      <c r="AI666" s="8" t="n"/>
      <c r="AJ666" s="8" t="n"/>
    </row>
    <row r="667" ht="15.75" customHeight="1" s="239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23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238" t="n"/>
      <c r="AE667" s="8" t="n"/>
      <c r="AF667" s="8" t="n"/>
      <c r="AG667" s="8" t="n"/>
      <c r="AH667" s="8" t="n"/>
      <c r="AI667" s="8" t="n"/>
      <c r="AJ667" s="8" t="n"/>
    </row>
    <row r="668" ht="15.75" customHeight="1" s="239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23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238" t="n"/>
      <c r="AE668" s="8" t="n"/>
      <c r="AF668" s="8" t="n"/>
      <c r="AG668" s="8" t="n"/>
      <c r="AH668" s="8" t="n"/>
      <c r="AI668" s="8" t="n"/>
      <c r="AJ668" s="8" t="n"/>
    </row>
    <row r="669" ht="15.75" customHeight="1" s="23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23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238" t="n"/>
      <c r="AE669" s="8" t="n"/>
      <c r="AF669" s="8" t="n"/>
      <c r="AG669" s="8" t="n"/>
      <c r="AH669" s="8" t="n"/>
      <c r="AI669" s="8" t="n"/>
      <c r="AJ669" s="8" t="n"/>
    </row>
    <row r="670" ht="15.75" customHeight="1" s="239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23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238" t="n"/>
      <c r="AE670" s="8" t="n"/>
      <c r="AF670" s="8" t="n"/>
      <c r="AG670" s="8" t="n"/>
      <c r="AH670" s="8" t="n"/>
      <c r="AI670" s="8" t="n"/>
      <c r="AJ670" s="8" t="n"/>
    </row>
    <row r="671" ht="15.75" customHeight="1" s="239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23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238" t="n"/>
      <c r="AE671" s="8" t="n"/>
      <c r="AF671" s="8" t="n"/>
      <c r="AG671" s="8" t="n"/>
      <c r="AH671" s="8" t="n"/>
      <c r="AI671" s="8" t="n"/>
      <c r="AJ671" s="8" t="n"/>
    </row>
    <row r="672" ht="15.75" customHeight="1" s="239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23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238" t="n"/>
      <c r="AE672" s="8" t="n"/>
      <c r="AF672" s="8" t="n"/>
      <c r="AG672" s="8" t="n"/>
      <c r="AH672" s="8" t="n"/>
      <c r="AI672" s="8" t="n"/>
      <c r="AJ672" s="8" t="n"/>
    </row>
    <row r="673" ht="15.75" customHeight="1" s="239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23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238" t="n"/>
      <c r="AE673" s="8" t="n"/>
      <c r="AF673" s="8" t="n"/>
      <c r="AG673" s="8" t="n"/>
      <c r="AH673" s="8" t="n"/>
      <c r="AI673" s="8" t="n"/>
      <c r="AJ673" s="8" t="n"/>
    </row>
    <row r="674" ht="15.75" customHeight="1" s="239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23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238" t="n"/>
      <c r="AE674" s="8" t="n"/>
      <c r="AF674" s="8" t="n"/>
      <c r="AG674" s="8" t="n"/>
      <c r="AH674" s="8" t="n"/>
      <c r="AI674" s="8" t="n"/>
      <c r="AJ674" s="8" t="n"/>
    </row>
    <row r="675" ht="15.75" customHeight="1" s="239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23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238" t="n"/>
      <c r="AE675" s="8" t="n"/>
      <c r="AF675" s="8" t="n"/>
      <c r="AG675" s="8" t="n"/>
      <c r="AH675" s="8" t="n"/>
      <c r="AI675" s="8" t="n"/>
      <c r="AJ675" s="8" t="n"/>
    </row>
    <row r="676" ht="15.75" customHeight="1" s="239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23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238" t="n"/>
      <c r="AE676" s="8" t="n"/>
      <c r="AF676" s="8" t="n"/>
      <c r="AG676" s="8" t="n"/>
      <c r="AH676" s="8" t="n"/>
      <c r="AI676" s="8" t="n"/>
      <c r="AJ676" s="8" t="n"/>
    </row>
    <row r="677" ht="15.75" customHeight="1" s="239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23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238" t="n"/>
      <c r="AE677" s="8" t="n"/>
      <c r="AF677" s="8" t="n"/>
      <c r="AG677" s="8" t="n"/>
      <c r="AH677" s="8" t="n"/>
      <c r="AI677" s="8" t="n"/>
      <c r="AJ677" s="8" t="n"/>
    </row>
    <row r="678" ht="15.75" customHeight="1" s="239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23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238" t="n"/>
      <c r="AE678" s="8" t="n"/>
      <c r="AF678" s="8" t="n"/>
      <c r="AG678" s="8" t="n"/>
      <c r="AH678" s="8" t="n"/>
      <c r="AI678" s="8" t="n"/>
      <c r="AJ678" s="8" t="n"/>
    </row>
    <row r="679" ht="15.75" customHeight="1" s="23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23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238" t="n"/>
      <c r="AE679" s="8" t="n"/>
      <c r="AF679" s="8" t="n"/>
      <c r="AG679" s="8" t="n"/>
      <c r="AH679" s="8" t="n"/>
      <c r="AI679" s="8" t="n"/>
      <c r="AJ679" s="8" t="n"/>
    </row>
    <row r="680" ht="15.75" customHeight="1" s="239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23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238" t="n"/>
      <c r="AE680" s="8" t="n"/>
      <c r="AF680" s="8" t="n"/>
      <c r="AG680" s="8" t="n"/>
      <c r="AH680" s="8" t="n"/>
      <c r="AI680" s="8" t="n"/>
      <c r="AJ680" s="8" t="n"/>
    </row>
    <row r="681" ht="15.75" customHeight="1" s="239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23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238" t="n"/>
      <c r="AE681" s="8" t="n"/>
      <c r="AF681" s="8" t="n"/>
      <c r="AG681" s="8" t="n"/>
      <c r="AH681" s="8" t="n"/>
      <c r="AI681" s="8" t="n"/>
      <c r="AJ681" s="8" t="n"/>
    </row>
    <row r="682" ht="15.75" customHeight="1" s="239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23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238" t="n"/>
      <c r="AE682" s="8" t="n"/>
      <c r="AF682" s="8" t="n"/>
      <c r="AG682" s="8" t="n"/>
      <c r="AH682" s="8" t="n"/>
      <c r="AI682" s="8" t="n"/>
      <c r="AJ682" s="8" t="n"/>
    </row>
    <row r="683" ht="15.75" customHeight="1" s="239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23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238" t="n"/>
      <c r="AE683" s="8" t="n"/>
      <c r="AF683" s="8" t="n"/>
      <c r="AG683" s="8" t="n"/>
      <c r="AH683" s="8" t="n"/>
      <c r="AI683" s="8" t="n"/>
      <c r="AJ683" s="8" t="n"/>
    </row>
    <row r="684" ht="15.75" customHeight="1" s="239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23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238" t="n"/>
      <c r="AE684" s="8" t="n"/>
      <c r="AF684" s="8" t="n"/>
      <c r="AG684" s="8" t="n"/>
      <c r="AH684" s="8" t="n"/>
      <c r="AI684" s="8" t="n"/>
      <c r="AJ684" s="8" t="n"/>
    </row>
    <row r="685" ht="15.75" customHeight="1" s="239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23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238" t="n"/>
      <c r="AE685" s="8" t="n"/>
      <c r="AF685" s="8" t="n"/>
      <c r="AG685" s="8" t="n"/>
      <c r="AH685" s="8" t="n"/>
      <c r="AI685" s="8" t="n"/>
      <c r="AJ685" s="8" t="n"/>
    </row>
    <row r="686" ht="15.75" customHeight="1" s="239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23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238" t="n"/>
      <c r="AE686" s="8" t="n"/>
      <c r="AF686" s="8" t="n"/>
      <c r="AG686" s="8" t="n"/>
      <c r="AH686" s="8" t="n"/>
      <c r="AI686" s="8" t="n"/>
      <c r="AJ686" s="8" t="n"/>
    </row>
    <row r="687" ht="15.75" customHeight="1" s="239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23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238" t="n"/>
      <c r="AE687" s="8" t="n"/>
      <c r="AF687" s="8" t="n"/>
      <c r="AG687" s="8" t="n"/>
      <c r="AH687" s="8" t="n"/>
      <c r="AI687" s="8" t="n"/>
      <c r="AJ687" s="8" t="n"/>
    </row>
    <row r="688" ht="15.75" customHeight="1" s="239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23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238" t="n"/>
      <c r="AE688" s="8" t="n"/>
      <c r="AF688" s="8" t="n"/>
      <c r="AG688" s="8" t="n"/>
      <c r="AH688" s="8" t="n"/>
      <c r="AI688" s="8" t="n"/>
      <c r="AJ688" s="8" t="n"/>
    </row>
    <row r="689" ht="15.75" customHeight="1" s="23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23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238" t="n"/>
      <c r="AE689" s="8" t="n"/>
      <c r="AF689" s="8" t="n"/>
      <c r="AG689" s="8" t="n"/>
      <c r="AH689" s="8" t="n"/>
      <c r="AI689" s="8" t="n"/>
      <c r="AJ689" s="8" t="n"/>
    </row>
    <row r="690" ht="15.75" customHeight="1" s="239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23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238" t="n"/>
      <c r="AE690" s="8" t="n"/>
      <c r="AF690" s="8" t="n"/>
      <c r="AG690" s="8" t="n"/>
      <c r="AH690" s="8" t="n"/>
      <c r="AI690" s="8" t="n"/>
      <c r="AJ690" s="8" t="n"/>
    </row>
    <row r="691" ht="15.75" customHeight="1" s="239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23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238" t="n"/>
      <c r="AE691" s="8" t="n"/>
      <c r="AF691" s="8" t="n"/>
      <c r="AG691" s="8" t="n"/>
      <c r="AH691" s="8" t="n"/>
      <c r="AI691" s="8" t="n"/>
      <c r="AJ691" s="8" t="n"/>
    </row>
    <row r="692" ht="15.75" customHeight="1" s="239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23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238" t="n"/>
      <c r="AE692" s="8" t="n"/>
      <c r="AF692" s="8" t="n"/>
      <c r="AG692" s="8" t="n"/>
      <c r="AH692" s="8" t="n"/>
      <c r="AI692" s="8" t="n"/>
      <c r="AJ692" s="8" t="n"/>
    </row>
    <row r="693" ht="15.75" customHeight="1" s="239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23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238" t="n"/>
      <c r="AE693" s="8" t="n"/>
      <c r="AF693" s="8" t="n"/>
      <c r="AG693" s="8" t="n"/>
      <c r="AH693" s="8" t="n"/>
      <c r="AI693" s="8" t="n"/>
      <c r="AJ693" s="8" t="n"/>
    </row>
    <row r="694" ht="15.75" customHeight="1" s="239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23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238" t="n"/>
      <c r="AE694" s="8" t="n"/>
      <c r="AF694" s="8" t="n"/>
      <c r="AG694" s="8" t="n"/>
      <c r="AH694" s="8" t="n"/>
      <c r="AI694" s="8" t="n"/>
      <c r="AJ694" s="8" t="n"/>
    </row>
    <row r="695" ht="15.75" customHeight="1" s="239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23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238" t="n"/>
      <c r="AE695" s="8" t="n"/>
      <c r="AF695" s="8" t="n"/>
      <c r="AG695" s="8" t="n"/>
      <c r="AH695" s="8" t="n"/>
      <c r="AI695" s="8" t="n"/>
      <c r="AJ695" s="8" t="n"/>
    </row>
    <row r="696" ht="15.75" customHeight="1" s="239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23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238" t="n"/>
      <c r="AE696" s="8" t="n"/>
      <c r="AF696" s="8" t="n"/>
      <c r="AG696" s="8" t="n"/>
      <c r="AH696" s="8" t="n"/>
      <c r="AI696" s="8" t="n"/>
      <c r="AJ696" s="8" t="n"/>
    </row>
    <row r="697" ht="15.75" customHeight="1" s="239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23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238" t="n"/>
      <c r="AE697" s="8" t="n"/>
      <c r="AF697" s="8" t="n"/>
      <c r="AG697" s="8" t="n"/>
      <c r="AH697" s="8" t="n"/>
      <c r="AI697" s="8" t="n"/>
      <c r="AJ697" s="8" t="n"/>
    </row>
    <row r="698" ht="15.75" customHeight="1" s="239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23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238" t="n"/>
      <c r="AE698" s="8" t="n"/>
      <c r="AF698" s="8" t="n"/>
      <c r="AG698" s="8" t="n"/>
      <c r="AH698" s="8" t="n"/>
      <c r="AI698" s="8" t="n"/>
      <c r="AJ698" s="8" t="n"/>
    </row>
    <row r="699" ht="15.75" customHeight="1" s="23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23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238" t="n"/>
      <c r="AE699" s="8" t="n"/>
      <c r="AF699" s="8" t="n"/>
      <c r="AG699" s="8" t="n"/>
      <c r="AH699" s="8" t="n"/>
      <c r="AI699" s="8" t="n"/>
      <c r="AJ699" s="8" t="n"/>
    </row>
    <row r="700" ht="15.75" customHeight="1" s="239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23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238" t="n"/>
      <c r="AE700" s="8" t="n"/>
      <c r="AF700" s="8" t="n"/>
      <c r="AG700" s="8" t="n"/>
      <c r="AH700" s="8" t="n"/>
      <c r="AI700" s="8" t="n"/>
      <c r="AJ700" s="8" t="n"/>
    </row>
    <row r="701" ht="15.75" customHeight="1" s="239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23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238" t="n"/>
      <c r="AE701" s="8" t="n"/>
      <c r="AF701" s="8" t="n"/>
      <c r="AG701" s="8" t="n"/>
      <c r="AH701" s="8" t="n"/>
      <c r="AI701" s="8" t="n"/>
      <c r="AJ701" s="8" t="n"/>
    </row>
    <row r="702" ht="15.75" customHeight="1" s="239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23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238" t="n"/>
      <c r="AE702" s="8" t="n"/>
      <c r="AF702" s="8" t="n"/>
      <c r="AG702" s="8" t="n"/>
      <c r="AH702" s="8" t="n"/>
      <c r="AI702" s="8" t="n"/>
      <c r="AJ702" s="8" t="n"/>
    </row>
    <row r="703" ht="15.75" customHeight="1" s="239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23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238" t="n"/>
      <c r="AE703" s="8" t="n"/>
      <c r="AF703" s="8" t="n"/>
      <c r="AG703" s="8" t="n"/>
      <c r="AH703" s="8" t="n"/>
      <c r="AI703" s="8" t="n"/>
      <c r="AJ703" s="8" t="n"/>
    </row>
    <row r="704" ht="15.75" customHeight="1" s="239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23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238" t="n"/>
      <c r="AE704" s="8" t="n"/>
      <c r="AF704" s="8" t="n"/>
      <c r="AG704" s="8" t="n"/>
      <c r="AH704" s="8" t="n"/>
      <c r="AI704" s="8" t="n"/>
      <c r="AJ704" s="8" t="n"/>
    </row>
    <row r="705" ht="15.75" customHeight="1" s="239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23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238" t="n"/>
      <c r="AE705" s="8" t="n"/>
      <c r="AF705" s="8" t="n"/>
      <c r="AG705" s="8" t="n"/>
      <c r="AH705" s="8" t="n"/>
      <c r="AI705" s="8" t="n"/>
      <c r="AJ705" s="8" t="n"/>
    </row>
    <row r="706" ht="15.75" customHeight="1" s="239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23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238" t="n"/>
      <c r="AE706" s="8" t="n"/>
      <c r="AF706" s="8" t="n"/>
      <c r="AG706" s="8" t="n"/>
      <c r="AH706" s="8" t="n"/>
      <c r="AI706" s="8" t="n"/>
      <c r="AJ706" s="8" t="n"/>
    </row>
    <row r="707" ht="15.75" customHeight="1" s="239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23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238" t="n"/>
      <c r="AE707" s="8" t="n"/>
      <c r="AF707" s="8" t="n"/>
      <c r="AG707" s="8" t="n"/>
      <c r="AH707" s="8" t="n"/>
      <c r="AI707" s="8" t="n"/>
      <c r="AJ707" s="8" t="n"/>
    </row>
    <row r="708" ht="15.75" customHeight="1" s="239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23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238" t="n"/>
      <c r="AE708" s="8" t="n"/>
      <c r="AF708" s="8" t="n"/>
      <c r="AG708" s="8" t="n"/>
      <c r="AH708" s="8" t="n"/>
      <c r="AI708" s="8" t="n"/>
      <c r="AJ708" s="8" t="n"/>
    </row>
    <row r="709" ht="15.75" customHeight="1" s="23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23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238" t="n"/>
      <c r="AE709" s="8" t="n"/>
      <c r="AF709" s="8" t="n"/>
      <c r="AG709" s="8" t="n"/>
      <c r="AH709" s="8" t="n"/>
      <c r="AI709" s="8" t="n"/>
      <c r="AJ709" s="8" t="n"/>
    </row>
    <row r="710" ht="15.75" customHeight="1" s="239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23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238" t="n"/>
      <c r="AE710" s="8" t="n"/>
      <c r="AF710" s="8" t="n"/>
      <c r="AG710" s="8" t="n"/>
      <c r="AH710" s="8" t="n"/>
      <c r="AI710" s="8" t="n"/>
      <c r="AJ710" s="8" t="n"/>
    </row>
    <row r="711" ht="15.75" customHeight="1" s="239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23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238" t="n"/>
      <c r="AE711" s="8" t="n"/>
      <c r="AF711" s="8" t="n"/>
      <c r="AG711" s="8" t="n"/>
      <c r="AH711" s="8" t="n"/>
      <c r="AI711" s="8" t="n"/>
      <c r="AJ711" s="8" t="n"/>
    </row>
    <row r="712" ht="15.75" customHeight="1" s="239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23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238" t="n"/>
      <c r="AE712" s="8" t="n"/>
      <c r="AF712" s="8" t="n"/>
      <c r="AG712" s="8" t="n"/>
      <c r="AH712" s="8" t="n"/>
      <c r="AI712" s="8" t="n"/>
      <c r="AJ712" s="8" t="n"/>
    </row>
    <row r="713" ht="15.75" customHeight="1" s="239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23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238" t="n"/>
      <c r="AE713" s="8" t="n"/>
      <c r="AF713" s="8" t="n"/>
      <c r="AG713" s="8" t="n"/>
      <c r="AH713" s="8" t="n"/>
      <c r="AI713" s="8" t="n"/>
      <c r="AJ713" s="8" t="n"/>
    </row>
    <row r="714" ht="15.75" customHeight="1" s="239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23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238" t="n"/>
      <c r="AE714" s="8" t="n"/>
      <c r="AF714" s="8" t="n"/>
      <c r="AG714" s="8" t="n"/>
      <c r="AH714" s="8" t="n"/>
      <c r="AI714" s="8" t="n"/>
      <c r="AJ714" s="8" t="n"/>
    </row>
    <row r="715" ht="15.75" customHeight="1" s="239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23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238" t="n"/>
      <c r="AE715" s="8" t="n"/>
      <c r="AF715" s="8" t="n"/>
      <c r="AG715" s="8" t="n"/>
      <c r="AH715" s="8" t="n"/>
      <c r="AI715" s="8" t="n"/>
      <c r="AJ715" s="8" t="n"/>
    </row>
    <row r="716" ht="15.75" customHeight="1" s="239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23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238" t="n"/>
      <c r="AE716" s="8" t="n"/>
      <c r="AF716" s="8" t="n"/>
      <c r="AG716" s="8" t="n"/>
      <c r="AH716" s="8" t="n"/>
      <c r="AI716" s="8" t="n"/>
      <c r="AJ716" s="8" t="n"/>
    </row>
    <row r="717" ht="15.75" customHeight="1" s="239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23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238" t="n"/>
      <c r="AE717" s="8" t="n"/>
      <c r="AF717" s="8" t="n"/>
      <c r="AG717" s="8" t="n"/>
      <c r="AH717" s="8" t="n"/>
      <c r="AI717" s="8" t="n"/>
      <c r="AJ717" s="8" t="n"/>
    </row>
    <row r="718" ht="15.75" customHeight="1" s="239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23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238" t="n"/>
      <c r="AE718" s="8" t="n"/>
      <c r="AF718" s="8" t="n"/>
      <c r="AG718" s="8" t="n"/>
      <c r="AH718" s="8" t="n"/>
      <c r="AI718" s="8" t="n"/>
      <c r="AJ718" s="8" t="n"/>
    </row>
    <row r="719" ht="15.75" customHeight="1" s="23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23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238" t="n"/>
      <c r="AE719" s="8" t="n"/>
      <c r="AF719" s="8" t="n"/>
      <c r="AG719" s="8" t="n"/>
      <c r="AH719" s="8" t="n"/>
      <c r="AI719" s="8" t="n"/>
      <c r="AJ719" s="8" t="n"/>
    </row>
    <row r="720" ht="15.75" customHeight="1" s="239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23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238" t="n"/>
      <c r="AE720" s="8" t="n"/>
      <c r="AF720" s="8" t="n"/>
      <c r="AG720" s="8" t="n"/>
      <c r="AH720" s="8" t="n"/>
      <c r="AI720" s="8" t="n"/>
      <c r="AJ720" s="8" t="n"/>
    </row>
    <row r="721" ht="15.75" customHeight="1" s="239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23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238" t="n"/>
      <c r="AE721" s="8" t="n"/>
      <c r="AF721" s="8" t="n"/>
      <c r="AG721" s="8" t="n"/>
      <c r="AH721" s="8" t="n"/>
      <c r="AI721" s="8" t="n"/>
      <c r="AJ721" s="8" t="n"/>
    </row>
    <row r="722" ht="15.75" customHeight="1" s="239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23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238" t="n"/>
      <c r="AE722" s="8" t="n"/>
      <c r="AF722" s="8" t="n"/>
      <c r="AG722" s="8" t="n"/>
      <c r="AH722" s="8" t="n"/>
      <c r="AI722" s="8" t="n"/>
      <c r="AJ722" s="8" t="n"/>
    </row>
    <row r="723" ht="15.75" customHeight="1" s="239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23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238" t="n"/>
      <c r="AE723" s="8" t="n"/>
      <c r="AF723" s="8" t="n"/>
      <c r="AG723" s="8" t="n"/>
      <c r="AH723" s="8" t="n"/>
      <c r="AI723" s="8" t="n"/>
      <c r="AJ723" s="8" t="n"/>
    </row>
    <row r="724" ht="15.75" customHeight="1" s="239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23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238" t="n"/>
      <c r="AE724" s="8" t="n"/>
      <c r="AF724" s="8" t="n"/>
      <c r="AG724" s="8" t="n"/>
      <c r="AH724" s="8" t="n"/>
      <c r="AI724" s="8" t="n"/>
      <c r="AJ724" s="8" t="n"/>
    </row>
    <row r="725" ht="15.75" customHeight="1" s="239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23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238" t="n"/>
      <c r="AE725" s="8" t="n"/>
      <c r="AF725" s="8" t="n"/>
      <c r="AG725" s="8" t="n"/>
      <c r="AH725" s="8" t="n"/>
      <c r="AI725" s="8" t="n"/>
      <c r="AJ725" s="8" t="n"/>
    </row>
    <row r="726" ht="15.75" customHeight="1" s="239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23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238" t="n"/>
      <c r="AE726" s="8" t="n"/>
      <c r="AF726" s="8" t="n"/>
      <c r="AG726" s="8" t="n"/>
      <c r="AH726" s="8" t="n"/>
      <c r="AI726" s="8" t="n"/>
      <c r="AJ726" s="8" t="n"/>
    </row>
    <row r="727" ht="15.75" customHeight="1" s="239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23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238" t="n"/>
      <c r="AE727" s="8" t="n"/>
      <c r="AF727" s="8" t="n"/>
      <c r="AG727" s="8" t="n"/>
      <c r="AH727" s="8" t="n"/>
      <c r="AI727" s="8" t="n"/>
      <c r="AJ727" s="8" t="n"/>
    </row>
    <row r="728" ht="15.75" customHeight="1" s="239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23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238" t="n"/>
      <c r="AE728" s="8" t="n"/>
      <c r="AF728" s="8" t="n"/>
      <c r="AG728" s="8" t="n"/>
      <c r="AH728" s="8" t="n"/>
      <c r="AI728" s="8" t="n"/>
      <c r="AJ728" s="8" t="n"/>
    </row>
    <row r="729" ht="15.75" customHeight="1" s="23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23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238" t="n"/>
      <c r="AE729" s="8" t="n"/>
      <c r="AF729" s="8" t="n"/>
      <c r="AG729" s="8" t="n"/>
      <c r="AH729" s="8" t="n"/>
      <c r="AI729" s="8" t="n"/>
      <c r="AJ729" s="8" t="n"/>
    </row>
    <row r="730" ht="15.75" customHeight="1" s="239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23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238" t="n"/>
      <c r="AE730" s="8" t="n"/>
      <c r="AF730" s="8" t="n"/>
      <c r="AG730" s="8" t="n"/>
      <c r="AH730" s="8" t="n"/>
      <c r="AI730" s="8" t="n"/>
      <c r="AJ730" s="8" t="n"/>
    </row>
    <row r="731" ht="15.75" customHeight="1" s="239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23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238" t="n"/>
      <c r="AE731" s="8" t="n"/>
      <c r="AF731" s="8" t="n"/>
      <c r="AG731" s="8" t="n"/>
      <c r="AH731" s="8" t="n"/>
      <c r="AI731" s="8" t="n"/>
      <c r="AJ731" s="8" t="n"/>
    </row>
    <row r="732" ht="15.75" customHeight="1" s="239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23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238" t="n"/>
      <c r="AE732" s="8" t="n"/>
      <c r="AF732" s="8" t="n"/>
      <c r="AG732" s="8" t="n"/>
      <c r="AH732" s="8" t="n"/>
      <c r="AI732" s="8" t="n"/>
      <c r="AJ732" s="8" t="n"/>
    </row>
    <row r="733" ht="15.75" customHeight="1" s="239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23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238" t="n"/>
      <c r="AE733" s="8" t="n"/>
      <c r="AF733" s="8" t="n"/>
      <c r="AG733" s="8" t="n"/>
      <c r="AH733" s="8" t="n"/>
      <c r="AI733" s="8" t="n"/>
      <c r="AJ733" s="8" t="n"/>
    </row>
    <row r="734" ht="15.75" customHeight="1" s="239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23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238" t="n"/>
      <c r="AE734" s="8" t="n"/>
      <c r="AF734" s="8" t="n"/>
      <c r="AG734" s="8" t="n"/>
      <c r="AH734" s="8" t="n"/>
      <c r="AI734" s="8" t="n"/>
      <c r="AJ734" s="8" t="n"/>
    </row>
    <row r="735" ht="15.75" customHeight="1" s="239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23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238" t="n"/>
      <c r="AE735" s="8" t="n"/>
      <c r="AF735" s="8" t="n"/>
      <c r="AG735" s="8" t="n"/>
      <c r="AH735" s="8" t="n"/>
      <c r="AI735" s="8" t="n"/>
      <c r="AJ735" s="8" t="n"/>
    </row>
    <row r="736" ht="15.75" customHeight="1" s="239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23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238" t="n"/>
      <c r="AE736" s="8" t="n"/>
      <c r="AF736" s="8" t="n"/>
      <c r="AG736" s="8" t="n"/>
      <c r="AH736" s="8" t="n"/>
      <c r="AI736" s="8" t="n"/>
      <c r="AJ736" s="8" t="n"/>
    </row>
    <row r="737" ht="15.75" customHeight="1" s="239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23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238" t="n"/>
      <c r="AE737" s="8" t="n"/>
      <c r="AF737" s="8" t="n"/>
      <c r="AG737" s="8" t="n"/>
      <c r="AH737" s="8" t="n"/>
      <c r="AI737" s="8" t="n"/>
      <c r="AJ737" s="8" t="n"/>
    </row>
    <row r="738" ht="15.75" customHeight="1" s="239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23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238" t="n"/>
      <c r="AE738" s="8" t="n"/>
      <c r="AF738" s="8" t="n"/>
      <c r="AG738" s="8" t="n"/>
      <c r="AH738" s="8" t="n"/>
      <c r="AI738" s="8" t="n"/>
      <c r="AJ738" s="8" t="n"/>
    </row>
    <row r="739" ht="15.75" customHeight="1" s="2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23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238" t="n"/>
      <c r="AE739" s="8" t="n"/>
      <c r="AF739" s="8" t="n"/>
      <c r="AG739" s="8" t="n"/>
      <c r="AH739" s="8" t="n"/>
      <c r="AI739" s="8" t="n"/>
      <c r="AJ739" s="8" t="n"/>
    </row>
    <row r="740" ht="15.75" customHeight="1" s="239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23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238" t="n"/>
      <c r="AE740" s="8" t="n"/>
      <c r="AF740" s="8" t="n"/>
      <c r="AG740" s="8" t="n"/>
      <c r="AH740" s="8" t="n"/>
      <c r="AI740" s="8" t="n"/>
      <c r="AJ740" s="8" t="n"/>
    </row>
    <row r="741" ht="15.75" customHeight="1" s="239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23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238" t="n"/>
      <c r="AE741" s="8" t="n"/>
      <c r="AF741" s="8" t="n"/>
      <c r="AG741" s="8" t="n"/>
      <c r="AH741" s="8" t="n"/>
      <c r="AI741" s="8" t="n"/>
      <c r="AJ741" s="8" t="n"/>
    </row>
    <row r="742" ht="15.75" customHeight="1" s="239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23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238" t="n"/>
      <c r="AE742" s="8" t="n"/>
      <c r="AF742" s="8" t="n"/>
      <c r="AG742" s="8" t="n"/>
      <c r="AH742" s="8" t="n"/>
      <c r="AI742" s="8" t="n"/>
      <c r="AJ742" s="8" t="n"/>
    </row>
    <row r="743" ht="15.75" customHeight="1" s="239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23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238" t="n"/>
      <c r="AE743" s="8" t="n"/>
      <c r="AF743" s="8" t="n"/>
      <c r="AG743" s="8" t="n"/>
      <c r="AH743" s="8" t="n"/>
      <c r="AI743" s="8" t="n"/>
      <c r="AJ743" s="8" t="n"/>
    </row>
    <row r="744" ht="15.75" customHeight="1" s="239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23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238" t="n"/>
      <c r="AE744" s="8" t="n"/>
      <c r="AF744" s="8" t="n"/>
      <c r="AG744" s="8" t="n"/>
      <c r="AH744" s="8" t="n"/>
      <c r="AI744" s="8" t="n"/>
      <c r="AJ744" s="8" t="n"/>
    </row>
    <row r="745" ht="15.75" customHeight="1" s="239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23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238" t="n"/>
      <c r="AE745" s="8" t="n"/>
      <c r="AF745" s="8" t="n"/>
      <c r="AG745" s="8" t="n"/>
      <c r="AH745" s="8" t="n"/>
      <c r="AI745" s="8" t="n"/>
      <c r="AJ745" s="8" t="n"/>
    </row>
    <row r="746" ht="15.75" customHeight="1" s="239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23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238" t="n"/>
      <c r="AE746" s="8" t="n"/>
      <c r="AF746" s="8" t="n"/>
      <c r="AG746" s="8" t="n"/>
      <c r="AH746" s="8" t="n"/>
      <c r="AI746" s="8" t="n"/>
      <c r="AJ746" s="8" t="n"/>
    </row>
    <row r="747" ht="15.75" customHeight="1" s="239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23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238" t="n"/>
      <c r="AE747" s="8" t="n"/>
      <c r="AF747" s="8" t="n"/>
      <c r="AG747" s="8" t="n"/>
      <c r="AH747" s="8" t="n"/>
      <c r="AI747" s="8" t="n"/>
      <c r="AJ747" s="8" t="n"/>
    </row>
    <row r="748" ht="15.75" customHeight="1" s="239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23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238" t="n"/>
      <c r="AE748" s="8" t="n"/>
      <c r="AF748" s="8" t="n"/>
      <c r="AG748" s="8" t="n"/>
      <c r="AH748" s="8" t="n"/>
      <c r="AI748" s="8" t="n"/>
      <c r="AJ748" s="8" t="n"/>
    </row>
    <row r="749" ht="15.75" customHeight="1" s="23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23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238" t="n"/>
      <c r="AE749" s="8" t="n"/>
      <c r="AF749" s="8" t="n"/>
      <c r="AG749" s="8" t="n"/>
      <c r="AH749" s="8" t="n"/>
      <c r="AI749" s="8" t="n"/>
      <c r="AJ749" s="8" t="n"/>
    </row>
    <row r="750" ht="15.75" customHeight="1" s="239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23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238" t="n"/>
      <c r="AE750" s="8" t="n"/>
      <c r="AF750" s="8" t="n"/>
      <c r="AG750" s="8" t="n"/>
      <c r="AH750" s="8" t="n"/>
      <c r="AI750" s="8" t="n"/>
      <c r="AJ750" s="8" t="n"/>
    </row>
    <row r="751" ht="15.75" customHeight="1" s="239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23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238" t="n"/>
      <c r="AE751" s="8" t="n"/>
      <c r="AF751" s="8" t="n"/>
      <c r="AG751" s="8" t="n"/>
      <c r="AH751" s="8" t="n"/>
      <c r="AI751" s="8" t="n"/>
      <c r="AJ751" s="8" t="n"/>
    </row>
    <row r="752" ht="15.75" customHeight="1" s="239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23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238" t="n"/>
      <c r="AE752" s="8" t="n"/>
      <c r="AF752" s="8" t="n"/>
      <c r="AG752" s="8" t="n"/>
      <c r="AH752" s="8" t="n"/>
      <c r="AI752" s="8" t="n"/>
      <c r="AJ752" s="8" t="n"/>
    </row>
    <row r="753" ht="15.75" customHeight="1" s="239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23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238" t="n"/>
      <c r="AE753" s="8" t="n"/>
      <c r="AF753" s="8" t="n"/>
      <c r="AG753" s="8" t="n"/>
      <c r="AH753" s="8" t="n"/>
      <c r="AI753" s="8" t="n"/>
      <c r="AJ753" s="8" t="n"/>
    </row>
    <row r="754" ht="15.75" customHeight="1" s="239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23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238" t="n"/>
      <c r="AE754" s="8" t="n"/>
      <c r="AF754" s="8" t="n"/>
      <c r="AG754" s="8" t="n"/>
      <c r="AH754" s="8" t="n"/>
      <c r="AI754" s="8" t="n"/>
      <c r="AJ754" s="8" t="n"/>
    </row>
    <row r="755" ht="15.75" customHeight="1" s="239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23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238" t="n"/>
      <c r="AE755" s="8" t="n"/>
      <c r="AF755" s="8" t="n"/>
      <c r="AG755" s="8" t="n"/>
      <c r="AH755" s="8" t="n"/>
      <c r="AI755" s="8" t="n"/>
      <c r="AJ755" s="8" t="n"/>
    </row>
    <row r="756" ht="15.75" customHeight="1" s="239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23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238" t="n"/>
      <c r="AE756" s="8" t="n"/>
      <c r="AF756" s="8" t="n"/>
      <c r="AG756" s="8" t="n"/>
      <c r="AH756" s="8" t="n"/>
      <c r="AI756" s="8" t="n"/>
      <c r="AJ756" s="8" t="n"/>
    </row>
    <row r="757" ht="15.75" customHeight="1" s="239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23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238" t="n"/>
      <c r="AE757" s="8" t="n"/>
      <c r="AF757" s="8" t="n"/>
      <c r="AG757" s="8" t="n"/>
      <c r="AH757" s="8" t="n"/>
      <c r="AI757" s="8" t="n"/>
      <c r="AJ757" s="8" t="n"/>
    </row>
    <row r="758" ht="15.75" customHeight="1" s="239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23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238" t="n"/>
      <c r="AE758" s="8" t="n"/>
      <c r="AF758" s="8" t="n"/>
      <c r="AG758" s="8" t="n"/>
      <c r="AH758" s="8" t="n"/>
      <c r="AI758" s="8" t="n"/>
      <c r="AJ758" s="8" t="n"/>
    </row>
    <row r="759" ht="15.75" customHeight="1" s="23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23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238" t="n"/>
      <c r="AE759" s="8" t="n"/>
      <c r="AF759" s="8" t="n"/>
      <c r="AG759" s="8" t="n"/>
      <c r="AH759" s="8" t="n"/>
      <c r="AI759" s="8" t="n"/>
      <c r="AJ759" s="8" t="n"/>
    </row>
    <row r="760" ht="15.75" customHeight="1" s="239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23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238" t="n"/>
      <c r="AE760" s="8" t="n"/>
      <c r="AF760" s="8" t="n"/>
      <c r="AG760" s="8" t="n"/>
      <c r="AH760" s="8" t="n"/>
      <c r="AI760" s="8" t="n"/>
      <c r="AJ760" s="8" t="n"/>
    </row>
    <row r="761" ht="15.75" customHeight="1" s="239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23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238" t="n"/>
      <c r="AE761" s="8" t="n"/>
      <c r="AF761" s="8" t="n"/>
      <c r="AG761" s="8" t="n"/>
      <c r="AH761" s="8" t="n"/>
      <c r="AI761" s="8" t="n"/>
      <c r="AJ761" s="8" t="n"/>
    </row>
    <row r="762" ht="15.75" customHeight="1" s="239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23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238" t="n"/>
      <c r="AE762" s="8" t="n"/>
      <c r="AF762" s="8" t="n"/>
      <c r="AG762" s="8" t="n"/>
      <c r="AH762" s="8" t="n"/>
      <c r="AI762" s="8" t="n"/>
      <c r="AJ762" s="8" t="n"/>
    </row>
    <row r="763" ht="15.75" customHeight="1" s="239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23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238" t="n"/>
      <c r="AE763" s="8" t="n"/>
      <c r="AF763" s="8" t="n"/>
      <c r="AG763" s="8" t="n"/>
      <c r="AH763" s="8" t="n"/>
      <c r="AI763" s="8" t="n"/>
      <c r="AJ763" s="8" t="n"/>
    </row>
    <row r="764" ht="15.75" customHeight="1" s="239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23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238" t="n"/>
      <c r="AE764" s="8" t="n"/>
      <c r="AF764" s="8" t="n"/>
      <c r="AG764" s="8" t="n"/>
      <c r="AH764" s="8" t="n"/>
      <c r="AI764" s="8" t="n"/>
      <c r="AJ764" s="8" t="n"/>
    </row>
    <row r="765" ht="15.75" customHeight="1" s="239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23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238" t="n"/>
      <c r="AE765" s="8" t="n"/>
      <c r="AF765" s="8" t="n"/>
      <c r="AG765" s="8" t="n"/>
      <c r="AH765" s="8" t="n"/>
      <c r="AI765" s="8" t="n"/>
      <c r="AJ765" s="8" t="n"/>
    </row>
    <row r="766" ht="15.75" customHeight="1" s="239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23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238" t="n"/>
      <c r="AE766" s="8" t="n"/>
      <c r="AF766" s="8" t="n"/>
      <c r="AG766" s="8" t="n"/>
      <c r="AH766" s="8" t="n"/>
      <c r="AI766" s="8" t="n"/>
      <c r="AJ766" s="8" t="n"/>
    </row>
    <row r="767" ht="15.75" customHeight="1" s="239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23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238" t="n"/>
      <c r="AE767" s="8" t="n"/>
      <c r="AF767" s="8" t="n"/>
      <c r="AG767" s="8" t="n"/>
      <c r="AH767" s="8" t="n"/>
      <c r="AI767" s="8" t="n"/>
      <c r="AJ767" s="8" t="n"/>
    </row>
    <row r="768" ht="15.75" customHeight="1" s="239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23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238" t="n"/>
      <c r="AE768" s="8" t="n"/>
      <c r="AF768" s="8" t="n"/>
      <c r="AG768" s="8" t="n"/>
      <c r="AH768" s="8" t="n"/>
      <c r="AI768" s="8" t="n"/>
      <c r="AJ768" s="8" t="n"/>
    </row>
    <row r="769" ht="15.75" customHeight="1" s="23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23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238" t="n"/>
      <c r="AE769" s="8" t="n"/>
      <c r="AF769" s="8" t="n"/>
      <c r="AG769" s="8" t="n"/>
      <c r="AH769" s="8" t="n"/>
      <c r="AI769" s="8" t="n"/>
      <c r="AJ769" s="8" t="n"/>
    </row>
    <row r="770" ht="15.75" customHeight="1" s="239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23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238" t="n"/>
      <c r="AE770" s="8" t="n"/>
      <c r="AF770" s="8" t="n"/>
      <c r="AG770" s="8" t="n"/>
      <c r="AH770" s="8" t="n"/>
      <c r="AI770" s="8" t="n"/>
      <c r="AJ770" s="8" t="n"/>
    </row>
    <row r="771" ht="15.75" customHeight="1" s="239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23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238" t="n"/>
      <c r="AE771" s="8" t="n"/>
      <c r="AF771" s="8" t="n"/>
      <c r="AG771" s="8" t="n"/>
      <c r="AH771" s="8" t="n"/>
      <c r="AI771" s="8" t="n"/>
      <c r="AJ771" s="8" t="n"/>
    </row>
    <row r="772" ht="15.75" customHeight="1" s="239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23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238" t="n"/>
      <c r="AE772" s="8" t="n"/>
      <c r="AF772" s="8" t="n"/>
      <c r="AG772" s="8" t="n"/>
      <c r="AH772" s="8" t="n"/>
      <c r="AI772" s="8" t="n"/>
      <c r="AJ772" s="8" t="n"/>
    </row>
    <row r="773" ht="15.75" customHeight="1" s="239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23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238" t="n"/>
      <c r="AE773" s="8" t="n"/>
      <c r="AF773" s="8" t="n"/>
      <c r="AG773" s="8" t="n"/>
      <c r="AH773" s="8" t="n"/>
      <c r="AI773" s="8" t="n"/>
      <c r="AJ773" s="8" t="n"/>
    </row>
    <row r="774" ht="15.75" customHeight="1" s="239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23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238" t="n"/>
      <c r="AE774" s="8" t="n"/>
      <c r="AF774" s="8" t="n"/>
      <c r="AG774" s="8" t="n"/>
      <c r="AH774" s="8" t="n"/>
      <c r="AI774" s="8" t="n"/>
      <c r="AJ774" s="8" t="n"/>
    </row>
    <row r="775" ht="15.75" customHeight="1" s="239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23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238" t="n"/>
      <c r="AE775" s="8" t="n"/>
      <c r="AF775" s="8" t="n"/>
      <c r="AG775" s="8" t="n"/>
      <c r="AH775" s="8" t="n"/>
      <c r="AI775" s="8" t="n"/>
      <c r="AJ775" s="8" t="n"/>
    </row>
    <row r="776" ht="15.75" customHeight="1" s="239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23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238" t="n"/>
      <c r="AE776" s="8" t="n"/>
      <c r="AF776" s="8" t="n"/>
      <c r="AG776" s="8" t="n"/>
      <c r="AH776" s="8" t="n"/>
      <c r="AI776" s="8" t="n"/>
      <c r="AJ776" s="8" t="n"/>
    </row>
    <row r="777" ht="15.75" customHeight="1" s="239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23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238" t="n"/>
      <c r="AE777" s="8" t="n"/>
      <c r="AF777" s="8" t="n"/>
      <c r="AG777" s="8" t="n"/>
      <c r="AH777" s="8" t="n"/>
      <c r="AI777" s="8" t="n"/>
      <c r="AJ777" s="8" t="n"/>
    </row>
    <row r="778" ht="15.75" customHeight="1" s="239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23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238" t="n"/>
      <c r="AE778" s="8" t="n"/>
      <c r="AF778" s="8" t="n"/>
      <c r="AG778" s="8" t="n"/>
      <c r="AH778" s="8" t="n"/>
      <c r="AI778" s="8" t="n"/>
      <c r="AJ778" s="8" t="n"/>
    </row>
    <row r="779" ht="15.75" customHeight="1" s="23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23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238" t="n"/>
      <c r="AE779" s="8" t="n"/>
      <c r="AF779" s="8" t="n"/>
      <c r="AG779" s="8" t="n"/>
      <c r="AH779" s="8" t="n"/>
      <c r="AI779" s="8" t="n"/>
      <c r="AJ779" s="8" t="n"/>
    </row>
    <row r="780" ht="15.75" customHeight="1" s="239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23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238" t="n"/>
      <c r="AE780" s="8" t="n"/>
      <c r="AF780" s="8" t="n"/>
      <c r="AG780" s="8" t="n"/>
      <c r="AH780" s="8" t="n"/>
      <c r="AI780" s="8" t="n"/>
      <c r="AJ780" s="8" t="n"/>
    </row>
    <row r="781" ht="15.75" customHeight="1" s="239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23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238" t="n"/>
      <c r="AE781" s="8" t="n"/>
      <c r="AF781" s="8" t="n"/>
      <c r="AG781" s="8" t="n"/>
      <c r="AH781" s="8" t="n"/>
      <c r="AI781" s="8" t="n"/>
      <c r="AJ781" s="8" t="n"/>
    </row>
    <row r="782" ht="15.75" customHeight="1" s="239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23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238" t="n"/>
      <c r="AE782" s="8" t="n"/>
      <c r="AF782" s="8" t="n"/>
      <c r="AG782" s="8" t="n"/>
      <c r="AH782" s="8" t="n"/>
      <c r="AI782" s="8" t="n"/>
      <c r="AJ782" s="8" t="n"/>
    </row>
    <row r="783" ht="15.75" customHeight="1" s="239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23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238" t="n"/>
      <c r="AE783" s="8" t="n"/>
      <c r="AF783" s="8" t="n"/>
      <c r="AG783" s="8" t="n"/>
      <c r="AH783" s="8" t="n"/>
      <c r="AI783" s="8" t="n"/>
      <c r="AJ783" s="8" t="n"/>
    </row>
    <row r="784" ht="15.75" customHeight="1" s="239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23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238" t="n"/>
      <c r="AE784" s="8" t="n"/>
      <c r="AF784" s="8" t="n"/>
      <c r="AG784" s="8" t="n"/>
      <c r="AH784" s="8" t="n"/>
      <c r="AI784" s="8" t="n"/>
      <c r="AJ784" s="8" t="n"/>
    </row>
    <row r="785" ht="15.75" customHeight="1" s="239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23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238" t="n"/>
      <c r="AE785" s="8" t="n"/>
      <c r="AF785" s="8" t="n"/>
      <c r="AG785" s="8" t="n"/>
      <c r="AH785" s="8" t="n"/>
      <c r="AI785" s="8" t="n"/>
      <c r="AJ785" s="8" t="n"/>
    </row>
    <row r="786" ht="15.75" customHeight="1" s="239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23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238" t="n"/>
      <c r="AE786" s="8" t="n"/>
      <c r="AF786" s="8" t="n"/>
      <c r="AG786" s="8" t="n"/>
      <c r="AH786" s="8" t="n"/>
      <c r="AI786" s="8" t="n"/>
      <c r="AJ786" s="8" t="n"/>
    </row>
    <row r="787" ht="15.75" customHeight="1" s="239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23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238" t="n"/>
      <c r="AE787" s="8" t="n"/>
      <c r="AF787" s="8" t="n"/>
      <c r="AG787" s="8" t="n"/>
      <c r="AH787" s="8" t="n"/>
      <c r="AI787" s="8" t="n"/>
      <c r="AJ787" s="8" t="n"/>
    </row>
    <row r="788" ht="15.75" customHeight="1" s="239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23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238" t="n"/>
      <c r="AE788" s="8" t="n"/>
      <c r="AF788" s="8" t="n"/>
      <c r="AG788" s="8" t="n"/>
      <c r="AH788" s="8" t="n"/>
      <c r="AI788" s="8" t="n"/>
      <c r="AJ788" s="8" t="n"/>
    </row>
    <row r="789" ht="15.75" customHeight="1" s="23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23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238" t="n"/>
      <c r="AE789" s="8" t="n"/>
      <c r="AF789" s="8" t="n"/>
      <c r="AG789" s="8" t="n"/>
      <c r="AH789" s="8" t="n"/>
      <c r="AI789" s="8" t="n"/>
      <c r="AJ789" s="8" t="n"/>
    </row>
    <row r="790" ht="15.75" customHeight="1" s="239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23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238" t="n"/>
      <c r="AE790" s="8" t="n"/>
      <c r="AF790" s="8" t="n"/>
      <c r="AG790" s="8" t="n"/>
      <c r="AH790" s="8" t="n"/>
      <c r="AI790" s="8" t="n"/>
      <c r="AJ790" s="8" t="n"/>
    </row>
    <row r="791" ht="15.75" customHeight="1" s="239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23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238" t="n"/>
      <c r="AE791" s="8" t="n"/>
      <c r="AF791" s="8" t="n"/>
      <c r="AG791" s="8" t="n"/>
      <c r="AH791" s="8" t="n"/>
      <c r="AI791" s="8" t="n"/>
      <c r="AJ791" s="8" t="n"/>
    </row>
    <row r="792" ht="15.75" customHeight="1" s="239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23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238" t="n"/>
      <c r="AE792" s="8" t="n"/>
      <c r="AF792" s="8" t="n"/>
      <c r="AG792" s="8" t="n"/>
      <c r="AH792" s="8" t="n"/>
      <c r="AI792" s="8" t="n"/>
      <c r="AJ792" s="8" t="n"/>
    </row>
    <row r="793" ht="15.75" customHeight="1" s="239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23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238" t="n"/>
      <c r="AE793" s="8" t="n"/>
      <c r="AF793" s="8" t="n"/>
      <c r="AG793" s="8" t="n"/>
      <c r="AH793" s="8" t="n"/>
      <c r="AI793" s="8" t="n"/>
      <c r="AJ793" s="8" t="n"/>
    </row>
    <row r="794" ht="15.75" customHeight="1" s="239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23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238" t="n"/>
      <c r="AE794" s="8" t="n"/>
      <c r="AF794" s="8" t="n"/>
      <c r="AG794" s="8" t="n"/>
      <c r="AH794" s="8" t="n"/>
      <c r="AI794" s="8" t="n"/>
      <c r="AJ794" s="8" t="n"/>
    </row>
    <row r="795" ht="15.75" customHeight="1" s="239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23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238" t="n"/>
      <c r="AE795" s="8" t="n"/>
      <c r="AF795" s="8" t="n"/>
      <c r="AG795" s="8" t="n"/>
      <c r="AH795" s="8" t="n"/>
      <c r="AI795" s="8" t="n"/>
      <c r="AJ795" s="8" t="n"/>
    </row>
    <row r="796" ht="15.75" customHeight="1" s="239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23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238" t="n"/>
      <c r="AE796" s="8" t="n"/>
      <c r="AF796" s="8" t="n"/>
      <c r="AG796" s="8" t="n"/>
      <c r="AH796" s="8" t="n"/>
      <c r="AI796" s="8" t="n"/>
      <c r="AJ796" s="8" t="n"/>
    </row>
    <row r="797" ht="15.75" customHeight="1" s="239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23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238" t="n"/>
      <c r="AE797" s="8" t="n"/>
      <c r="AF797" s="8" t="n"/>
      <c r="AG797" s="8" t="n"/>
      <c r="AH797" s="8" t="n"/>
      <c r="AI797" s="8" t="n"/>
      <c r="AJ797" s="8" t="n"/>
    </row>
    <row r="798" ht="15.75" customHeight="1" s="239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23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238" t="n"/>
      <c r="AE798" s="8" t="n"/>
      <c r="AF798" s="8" t="n"/>
      <c r="AG798" s="8" t="n"/>
      <c r="AH798" s="8" t="n"/>
      <c r="AI798" s="8" t="n"/>
      <c r="AJ798" s="8" t="n"/>
    </row>
    <row r="799" ht="15.75" customHeight="1" s="23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23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238" t="n"/>
      <c r="AE799" s="8" t="n"/>
      <c r="AF799" s="8" t="n"/>
      <c r="AG799" s="8" t="n"/>
      <c r="AH799" s="8" t="n"/>
      <c r="AI799" s="8" t="n"/>
      <c r="AJ799" s="8" t="n"/>
    </row>
    <row r="800" ht="15.75" customHeight="1" s="239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23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238" t="n"/>
      <c r="AE800" s="8" t="n"/>
      <c r="AF800" s="8" t="n"/>
      <c r="AG800" s="8" t="n"/>
      <c r="AH800" s="8" t="n"/>
      <c r="AI800" s="8" t="n"/>
      <c r="AJ800" s="8" t="n"/>
    </row>
    <row r="801" ht="15.75" customHeight="1" s="239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23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238" t="n"/>
      <c r="AE801" s="8" t="n"/>
      <c r="AF801" s="8" t="n"/>
      <c r="AG801" s="8" t="n"/>
      <c r="AH801" s="8" t="n"/>
      <c r="AI801" s="8" t="n"/>
      <c r="AJ801" s="8" t="n"/>
    </row>
    <row r="802" ht="15.75" customHeight="1" s="239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23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238" t="n"/>
      <c r="AE802" s="8" t="n"/>
      <c r="AF802" s="8" t="n"/>
      <c r="AG802" s="8" t="n"/>
      <c r="AH802" s="8" t="n"/>
      <c r="AI802" s="8" t="n"/>
      <c r="AJ802" s="8" t="n"/>
    </row>
    <row r="803" ht="15.75" customHeight="1" s="239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23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238" t="n"/>
      <c r="AE803" s="8" t="n"/>
      <c r="AF803" s="8" t="n"/>
      <c r="AG803" s="8" t="n"/>
      <c r="AH803" s="8" t="n"/>
      <c r="AI803" s="8" t="n"/>
      <c r="AJ803" s="8" t="n"/>
    </row>
    <row r="804" ht="15.75" customHeight="1" s="239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23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238" t="n"/>
      <c r="AE804" s="8" t="n"/>
      <c r="AF804" s="8" t="n"/>
      <c r="AG804" s="8" t="n"/>
      <c r="AH804" s="8" t="n"/>
      <c r="AI804" s="8" t="n"/>
      <c r="AJ804" s="8" t="n"/>
    </row>
    <row r="805" ht="15.75" customHeight="1" s="239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23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238" t="n"/>
      <c r="AE805" s="8" t="n"/>
      <c r="AF805" s="8" t="n"/>
      <c r="AG805" s="8" t="n"/>
      <c r="AH805" s="8" t="n"/>
      <c r="AI805" s="8" t="n"/>
      <c r="AJ805" s="8" t="n"/>
    </row>
    <row r="806" ht="15.75" customHeight="1" s="239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23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238" t="n"/>
      <c r="AE806" s="8" t="n"/>
      <c r="AF806" s="8" t="n"/>
      <c r="AG806" s="8" t="n"/>
      <c r="AH806" s="8" t="n"/>
      <c r="AI806" s="8" t="n"/>
      <c r="AJ806" s="8" t="n"/>
    </row>
    <row r="807" ht="15.75" customHeight="1" s="239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23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238" t="n"/>
      <c r="AE807" s="8" t="n"/>
      <c r="AF807" s="8" t="n"/>
      <c r="AG807" s="8" t="n"/>
      <c r="AH807" s="8" t="n"/>
      <c r="AI807" s="8" t="n"/>
      <c r="AJ807" s="8" t="n"/>
    </row>
    <row r="808" ht="15.75" customHeight="1" s="239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23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238" t="n"/>
      <c r="AE808" s="8" t="n"/>
      <c r="AF808" s="8" t="n"/>
      <c r="AG808" s="8" t="n"/>
      <c r="AH808" s="8" t="n"/>
      <c r="AI808" s="8" t="n"/>
      <c r="AJ808" s="8" t="n"/>
    </row>
    <row r="809" ht="15.75" customHeight="1" s="23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23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238" t="n"/>
      <c r="AE809" s="8" t="n"/>
      <c r="AF809" s="8" t="n"/>
      <c r="AG809" s="8" t="n"/>
      <c r="AH809" s="8" t="n"/>
      <c r="AI809" s="8" t="n"/>
      <c r="AJ809" s="8" t="n"/>
    </row>
    <row r="810" ht="15.75" customHeight="1" s="239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23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238" t="n"/>
      <c r="AE810" s="8" t="n"/>
      <c r="AF810" s="8" t="n"/>
      <c r="AG810" s="8" t="n"/>
      <c r="AH810" s="8" t="n"/>
      <c r="AI810" s="8" t="n"/>
      <c r="AJ810" s="8" t="n"/>
    </row>
    <row r="811" ht="15.75" customHeight="1" s="239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23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238" t="n"/>
      <c r="AE811" s="8" t="n"/>
      <c r="AF811" s="8" t="n"/>
      <c r="AG811" s="8" t="n"/>
      <c r="AH811" s="8" t="n"/>
      <c r="AI811" s="8" t="n"/>
      <c r="AJ811" s="8" t="n"/>
    </row>
    <row r="812" ht="15.75" customHeight="1" s="239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23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238" t="n"/>
      <c r="AE812" s="8" t="n"/>
      <c r="AF812" s="8" t="n"/>
      <c r="AG812" s="8" t="n"/>
      <c r="AH812" s="8" t="n"/>
      <c r="AI812" s="8" t="n"/>
      <c r="AJ812" s="8" t="n"/>
    </row>
    <row r="813" ht="15.75" customHeight="1" s="239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23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238" t="n"/>
      <c r="AE813" s="8" t="n"/>
      <c r="AF813" s="8" t="n"/>
      <c r="AG813" s="8" t="n"/>
      <c r="AH813" s="8" t="n"/>
      <c r="AI813" s="8" t="n"/>
      <c r="AJ813" s="8" t="n"/>
    </row>
    <row r="814" ht="15.75" customHeight="1" s="239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23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238" t="n"/>
      <c r="AE814" s="8" t="n"/>
      <c r="AF814" s="8" t="n"/>
      <c r="AG814" s="8" t="n"/>
      <c r="AH814" s="8" t="n"/>
      <c r="AI814" s="8" t="n"/>
      <c r="AJ814" s="8" t="n"/>
    </row>
    <row r="815" ht="15.75" customHeight="1" s="239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23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238" t="n"/>
      <c r="AE815" s="8" t="n"/>
      <c r="AF815" s="8" t="n"/>
      <c r="AG815" s="8" t="n"/>
      <c r="AH815" s="8" t="n"/>
      <c r="AI815" s="8" t="n"/>
      <c r="AJ815" s="8" t="n"/>
    </row>
    <row r="816" ht="15.75" customHeight="1" s="239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23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238" t="n"/>
      <c r="AE816" s="8" t="n"/>
      <c r="AF816" s="8" t="n"/>
      <c r="AG816" s="8" t="n"/>
      <c r="AH816" s="8" t="n"/>
      <c r="AI816" s="8" t="n"/>
      <c r="AJ816" s="8" t="n"/>
    </row>
    <row r="817" ht="15.75" customHeight="1" s="239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23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238" t="n"/>
      <c r="AE817" s="8" t="n"/>
      <c r="AF817" s="8" t="n"/>
      <c r="AG817" s="8" t="n"/>
      <c r="AH817" s="8" t="n"/>
      <c r="AI817" s="8" t="n"/>
      <c r="AJ817" s="8" t="n"/>
    </row>
    <row r="818" ht="15.75" customHeight="1" s="239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23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238" t="n"/>
      <c r="AE818" s="8" t="n"/>
      <c r="AF818" s="8" t="n"/>
      <c r="AG818" s="8" t="n"/>
      <c r="AH818" s="8" t="n"/>
      <c r="AI818" s="8" t="n"/>
      <c r="AJ818" s="8" t="n"/>
    </row>
    <row r="819" ht="15.75" customHeight="1" s="23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23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238" t="n"/>
      <c r="AE819" s="8" t="n"/>
      <c r="AF819" s="8" t="n"/>
      <c r="AG819" s="8" t="n"/>
      <c r="AH819" s="8" t="n"/>
      <c r="AI819" s="8" t="n"/>
      <c r="AJ819" s="8" t="n"/>
    </row>
    <row r="820" ht="15.75" customHeight="1" s="239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23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238" t="n"/>
      <c r="AE820" s="8" t="n"/>
      <c r="AF820" s="8" t="n"/>
      <c r="AG820" s="8" t="n"/>
      <c r="AH820" s="8" t="n"/>
      <c r="AI820" s="8" t="n"/>
      <c r="AJ820" s="8" t="n"/>
    </row>
    <row r="821" ht="15.75" customHeight="1" s="239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23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238" t="n"/>
      <c r="AE821" s="8" t="n"/>
      <c r="AF821" s="8" t="n"/>
      <c r="AG821" s="8" t="n"/>
      <c r="AH821" s="8" t="n"/>
      <c r="AI821" s="8" t="n"/>
      <c r="AJ821" s="8" t="n"/>
    </row>
    <row r="822" ht="15.75" customHeight="1" s="239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23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238" t="n"/>
      <c r="AE822" s="8" t="n"/>
      <c r="AF822" s="8" t="n"/>
      <c r="AG822" s="8" t="n"/>
      <c r="AH822" s="8" t="n"/>
      <c r="AI822" s="8" t="n"/>
      <c r="AJ822" s="8" t="n"/>
    </row>
    <row r="823" ht="15.75" customHeight="1" s="239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23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238" t="n"/>
      <c r="AE823" s="8" t="n"/>
      <c r="AF823" s="8" t="n"/>
      <c r="AG823" s="8" t="n"/>
      <c r="AH823" s="8" t="n"/>
      <c r="AI823" s="8" t="n"/>
      <c r="AJ823" s="8" t="n"/>
    </row>
    <row r="824" ht="15.75" customHeight="1" s="239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23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238" t="n"/>
      <c r="AE824" s="8" t="n"/>
      <c r="AF824" s="8" t="n"/>
      <c r="AG824" s="8" t="n"/>
      <c r="AH824" s="8" t="n"/>
      <c r="AI824" s="8" t="n"/>
      <c r="AJ824" s="8" t="n"/>
    </row>
    <row r="825" ht="15.75" customHeight="1" s="239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23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238" t="n"/>
      <c r="AE825" s="8" t="n"/>
      <c r="AF825" s="8" t="n"/>
      <c r="AG825" s="8" t="n"/>
      <c r="AH825" s="8" t="n"/>
      <c r="AI825" s="8" t="n"/>
      <c r="AJ825" s="8" t="n"/>
    </row>
    <row r="826" ht="15.75" customHeight="1" s="239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23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238" t="n"/>
      <c r="AE826" s="8" t="n"/>
      <c r="AF826" s="8" t="n"/>
      <c r="AG826" s="8" t="n"/>
      <c r="AH826" s="8" t="n"/>
      <c r="AI826" s="8" t="n"/>
      <c r="AJ826" s="8" t="n"/>
    </row>
    <row r="827" ht="15.75" customHeight="1" s="239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23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238" t="n"/>
      <c r="AE827" s="8" t="n"/>
      <c r="AF827" s="8" t="n"/>
      <c r="AG827" s="8" t="n"/>
      <c r="AH827" s="8" t="n"/>
      <c r="AI827" s="8" t="n"/>
      <c r="AJ827" s="8" t="n"/>
    </row>
    <row r="828" ht="15.75" customHeight="1" s="239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23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238" t="n"/>
      <c r="AE828" s="8" t="n"/>
      <c r="AF828" s="8" t="n"/>
      <c r="AG828" s="8" t="n"/>
      <c r="AH828" s="8" t="n"/>
      <c r="AI828" s="8" t="n"/>
      <c r="AJ828" s="8" t="n"/>
    </row>
    <row r="829" ht="15.75" customHeight="1" s="23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23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238" t="n"/>
      <c r="AE829" s="8" t="n"/>
      <c r="AF829" s="8" t="n"/>
      <c r="AG829" s="8" t="n"/>
      <c r="AH829" s="8" t="n"/>
      <c r="AI829" s="8" t="n"/>
      <c r="AJ829" s="8" t="n"/>
    </row>
    <row r="830" ht="15.75" customHeight="1" s="239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23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238" t="n"/>
      <c r="AE830" s="8" t="n"/>
      <c r="AF830" s="8" t="n"/>
      <c r="AG830" s="8" t="n"/>
      <c r="AH830" s="8" t="n"/>
      <c r="AI830" s="8" t="n"/>
      <c r="AJ830" s="8" t="n"/>
    </row>
    <row r="831" ht="15.75" customHeight="1" s="239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23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238" t="n"/>
      <c r="AE831" s="8" t="n"/>
      <c r="AF831" s="8" t="n"/>
      <c r="AG831" s="8" t="n"/>
      <c r="AH831" s="8" t="n"/>
      <c r="AI831" s="8" t="n"/>
      <c r="AJ831" s="8" t="n"/>
    </row>
    <row r="832" ht="15.75" customHeight="1" s="239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23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238" t="n"/>
      <c r="AE832" s="8" t="n"/>
      <c r="AF832" s="8" t="n"/>
      <c r="AG832" s="8" t="n"/>
      <c r="AH832" s="8" t="n"/>
      <c r="AI832" s="8" t="n"/>
      <c r="AJ832" s="8" t="n"/>
    </row>
    <row r="833" ht="15.75" customHeight="1" s="239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23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238" t="n"/>
      <c r="AE833" s="8" t="n"/>
      <c r="AF833" s="8" t="n"/>
      <c r="AG833" s="8" t="n"/>
      <c r="AH833" s="8" t="n"/>
      <c r="AI833" s="8" t="n"/>
      <c r="AJ833" s="8" t="n"/>
    </row>
    <row r="834" ht="15.75" customHeight="1" s="239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23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238" t="n"/>
      <c r="AE834" s="8" t="n"/>
      <c r="AF834" s="8" t="n"/>
      <c r="AG834" s="8" t="n"/>
      <c r="AH834" s="8" t="n"/>
      <c r="AI834" s="8" t="n"/>
      <c r="AJ834" s="8" t="n"/>
    </row>
    <row r="835" ht="15.75" customHeight="1" s="239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23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238" t="n"/>
      <c r="AE835" s="8" t="n"/>
      <c r="AF835" s="8" t="n"/>
      <c r="AG835" s="8" t="n"/>
      <c r="AH835" s="8" t="n"/>
      <c r="AI835" s="8" t="n"/>
      <c r="AJ835" s="8" t="n"/>
    </row>
    <row r="836" ht="15.75" customHeight="1" s="239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23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238" t="n"/>
      <c r="AE836" s="8" t="n"/>
      <c r="AF836" s="8" t="n"/>
      <c r="AG836" s="8" t="n"/>
      <c r="AH836" s="8" t="n"/>
      <c r="AI836" s="8" t="n"/>
      <c r="AJ836" s="8" t="n"/>
    </row>
    <row r="837" ht="15.75" customHeight="1" s="239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23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238" t="n"/>
      <c r="AE837" s="8" t="n"/>
      <c r="AF837" s="8" t="n"/>
      <c r="AG837" s="8" t="n"/>
      <c r="AH837" s="8" t="n"/>
      <c r="AI837" s="8" t="n"/>
      <c r="AJ837" s="8" t="n"/>
    </row>
    <row r="838" ht="15.75" customHeight="1" s="239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23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238" t="n"/>
      <c r="AE838" s="8" t="n"/>
      <c r="AF838" s="8" t="n"/>
      <c r="AG838" s="8" t="n"/>
      <c r="AH838" s="8" t="n"/>
      <c r="AI838" s="8" t="n"/>
      <c r="AJ838" s="8" t="n"/>
    </row>
    <row r="839" ht="15.75" customHeight="1" s="2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23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238" t="n"/>
      <c r="AE839" s="8" t="n"/>
      <c r="AF839" s="8" t="n"/>
      <c r="AG839" s="8" t="n"/>
      <c r="AH839" s="8" t="n"/>
      <c r="AI839" s="8" t="n"/>
      <c r="AJ839" s="8" t="n"/>
    </row>
    <row r="840" ht="15.75" customHeight="1" s="239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23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238" t="n"/>
      <c r="AE840" s="8" t="n"/>
      <c r="AF840" s="8" t="n"/>
      <c r="AG840" s="8" t="n"/>
      <c r="AH840" s="8" t="n"/>
      <c r="AI840" s="8" t="n"/>
      <c r="AJ840" s="8" t="n"/>
    </row>
    <row r="841" ht="15.75" customHeight="1" s="239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23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238" t="n"/>
      <c r="AE841" s="8" t="n"/>
      <c r="AF841" s="8" t="n"/>
      <c r="AG841" s="8" t="n"/>
      <c r="AH841" s="8" t="n"/>
      <c r="AI841" s="8" t="n"/>
      <c r="AJ841" s="8" t="n"/>
    </row>
    <row r="842" ht="15.75" customHeight="1" s="239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23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238" t="n"/>
      <c r="AE842" s="8" t="n"/>
      <c r="AF842" s="8" t="n"/>
      <c r="AG842" s="8" t="n"/>
      <c r="AH842" s="8" t="n"/>
      <c r="AI842" s="8" t="n"/>
      <c r="AJ842" s="8" t="n"/>
    </row>
    <row r="843" ht="15.75" customHeight="1" s="239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23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238" t="n"/>
      <c r="AE843" s="8" t="n"/>
      <c r="AF843" s="8" t="n"/>
      <c r="AG843" s="8" t="n"/>
      <c r="AH843" s="8" t="n"/>
      <c r="AI843" s="8" t="n"/>
      <c r="AJ843" s="8" t="n"/>
    </row>
    <row r="844" ht="15.75" customHeight="1" s="239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23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238" t="n"/>
      <c r="AE844" s="8" t="n"/>
      <c r="AF844" s="8" t="n"/>
      <c r="AG844" s="8" t="n"/>
      <c r="AH844" s="8" t="n"/>
      <c r="AI844" s="8" t="n"/>
      <c r="AJ844" s="8" t="n"/>
    </row>
    <row r="845" ht="15.75" customHeight="1" s="239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23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238" t="n"/>
      <c r="AE845" s="8" t="n"/>
      <c r="AF845" s="8" t="n"/>
      <c r="AG845" s="8" t="n"/>
      <c r="AH845" s="8" t="n"/>
      <c r="AI845" s="8" t="n"/>
      <c r="AJ845" s="8" t="n"/>
    </row>
    <row r="846" ht="15.75" customHeight="1" s="239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23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238" t="n"/>
      <c r="AE846" s="8" t="n"/>
      <c r="AF846" s="8" t="n"/>
      <c r="AG846" s="8" t="n"/>
      <c r="AH846" s="8" t="n"/>
      <c r="AI846" s="8" t="n"/>
      <c r="AJ846" s="8" t="n"/>
    </row>
    <row r="847" ht="15.75" customHeight="1" s="239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23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238" t="n"/>
      <c r="AE847" s="8" t="n"/>
      <c r="AF847" s="8" t="n"/>
      <c r="AG847" s="8" t="n"/>
      <c r="AH847" s="8" t="n"/>
      <c r="AI847" s="8" t="n"/>
      <c r="AJ847" s="8" t="n"/>
    </row>
    <row r="848" ht="15.75" customHeight="1" s="239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23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238" t="n"/>
      <c r="AE848" s="8" t="n"/>
      <c r="AF848" s="8" t="n"/>
      <c r="AG848" s="8" t="n"/>
      <c r="AH848" s="8" t="n"/>
      <c r="AI848" s="8" t="n"/>
      <c r="AJ848" s="8" t="n"/>
    </row>
    <row r="849" ht="15.75" customHeight="1" s="23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23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238" t="n"/>
      <c r="AE849" s="8" t="n"/>
      <c r="AF849" s="8" t="n"/>
      <c r="AG849" s="8" t="n"/>
      <c r="AH849" s="8" t="n"/>
      <c r="AI849" s="8" t="n"/>
      <c r="AJ849" s="8" t="n"/>
    </row>
    <row r="850" ht="15.75" customHeight="1" s="239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23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238" t="n"/>
      <c r="AE850" s="8" t="n"/>
      <c r="AF850" s="8" t="n"/>
      <c r="AG850" s="8" t="n"/>
      <c r="AH850" s="8" t="n"/>
      <c r="AI850" s="8" t="n"/>
      <c r="AJ850" s="8" t="n"/>
    </row>
    <row r="851" ht="15.75" customHeight="1" s="239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23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238" t="n"/>
      <c r="AE851" s="8" t="n"/>
      <c r="AF851" s="8" t="n"/>
      <c r="AG851" s="8" t="n"/>
      <c r="AH851" s="8" t="n"/>
      <c r="AI851" s="8" t="n"/>
      <c r="AJ851" s="8" t="n"/>
    </row>
    <row r="852" ht="15.75" customHeight="1" s="239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23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238" t="n"/>
      <c r="AE852" s="8" t="n"/>
      <c r="AF852" s="8" t="n"/>
      <c r="AG852" s="8" t="n"/>
      <c r="AH852" s="8" t="n"/>
      <c r="AI852" s="8" t="n"/>
      <c r="AJ852" s="8" t="n"/>
    </row>
    <row r="853" ht="15.75" customHeight="1" s="239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23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238" t="n"/>
      <c r="AE853" s="8" t="n"/>
      <c r="AF853" s="8" t="n"/>
      <c r="AG853" s="8" t="n"/>
      <c r="AH853" s="8" t="n"/>
      <c r="AI853" s="8" t="n"/>
      <c r="AJ853" s="8" t="n"/>
    </row>
    <row r="854" ht="15.75" customHeight="1" s="239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23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238" t="n"/>
      <c r="AE854" s="8" t="n"/>
      <c r="AF854" s="8" t="n"/>
      <c r="AG854" s="8" t="n"/>
      <c r="AH854" s="8" t="n"/>
      <c r="AI854" s="8" t="n"/>
      <c r="AJ854" s="8" t="n"/>
    </row>
    <row r="855" ht="15.75" customHeight="1" s="239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23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238" t="n"/>
      <c r="AE855" s="8" t="n"/>
      <c r="AF855" s="8" t="n"/>
      <c r="AG855" s="8" t="n"/>
      <c r="AH855" s="8" t="n"/>
      <c r="AI855" s="8" t="n"/>
      <c r="AJ855" s="8" t="n"/>
    </row>
    <row r="856" ht="15.75" customHeight="1" s="239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23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238" t="n"/>
      <c r="AE856" s="8" t="n"/>
      <c r="AF856" s="8" t="n"/>
      <c r="AG856" s="8" t="n"/>
      <c r="AH856" s="8" t="n"/>
      <c r="AI856" s="8" t="n"/>
      <c r="AJ856" s="8" t="n"/>
    </row>
    <row r="857" ht="15.75" customHeight="1" s="239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23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238" t="n"/>
      <c r="AE857" s="8" t="n"/>
      <c r="AF857" s="8" t="n"/>
      <c r="AG857" s="8" t="n"/>
      <c r="AH857" s="8" t="n"/>
      <c r="AI857" s="8" t="n"/>
      <c r="AJ857" s="8" t="n"/>
    </row>
    <row r="858" ht="15.75" customHeight="1" s="239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23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238" t="n"/>
      <c r="AE858" s="8" t="n"/>
      <c r="AF858" s="8" t="n"/>
      <c r="AG858" s="8" t="n"/>
      <c r="AH858" s="8" t="n"/>
      <c r="AI858" s="8" t="n"/>
      <c r="AJ858" s="8" t="n"/>
    </row>
    <row r="859" ht="15.75" customHeight="1" s="23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23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238" t="n"/>
      <c r="AE859" s="8" t="n"/>
      <c r="AF859" s="8" t="n"/>
      <c r="AG859" s="8" t="n"/>
      <c r="AH859" s="8" t="n"/>
      <c r="AI859" s="8" t="n"/>
      <c r="AJ859" s="8" t="n"/>
    </row>
    <row r="860" ht="15.75" customHeight="1" s="239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23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238" t="n"/>
      <c r="AE860" s="8" t="n"/>
      <c r="AF860" s="8" t="n"/>
      <c r="AG860" s="8" t="n"/>
      <c r="AH860" s="8" t="n"/>
      <c r="AI860" s="8" t="n"/>
      <c r="AJ860" s="8" t="n"/>
    </row>
    <row r="861" ht="15.75" customHeight="1" s="239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23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238" t="n"/>
      <c r="AE861" s="8" t="n"/>
      <c r="AF861" s="8" t="n"/>
      <c r="AG861" s="8" t="n"/>
      <c r="AH861" s="8" t="n"/>
      <c r="AI861" s="8" t="n"/>
      <c r="AJ861" s="8" t="n"/>
    </row>
    <row r="862" ht="15.75" customHeight="1" s="239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23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238" t="n"/>
      <c r="AE862" s="8" t="n"/>
      <c r="AF862" s="8" t="n"/>
      <c r="AG862" s="8" t="n"/>
      <c r="AH862" s="8" t="n"/>
      <c r="AI862" s="8" t="n"/>
      <c r="AJ862" s="8" t="n"/>
    </row>
    <row r="863" ht="15.75" customHeight="1" s="239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23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238" t="n"/>
      <c r="AE863" s="8" t="n"/>
      <c r="AF863" s="8" t="n"/>
      <c r="AG863" s="8" t="n"/>
      <c r="AH863" s="8" t="n"/>
      <c r="AI863" s="8" t="n"/>
      <c r="AJ863" s="8" t="n"/>
    </row>
    <row r="864" ht="15.75" customHeight="1" s="239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23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238" t="n"/>
      <c r="AE864" s="8" t="n"/>
      <c r="AF864" s="8" t="n"/>
      <c r="AG864" s="8" t="n"/>
      <c r="AH864" s="8" t="n"/>
      <c r="AI864" s="8" t="n"/>
      <c r="AJ864" s="8" t="n"/>
    </row>
    <row r="865" ht="15.75" customHeight="1" s="239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23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238" t="n"/>
      <c r="AE865" s="8" t="n"/>
      <c r="AF865" s="8" t="n"/>
      <c r="AG865" s="8" t="n"/>
      <c r="AH865" s="8" t="n"/>
      <c r="AI865" s="8" t="n"/>
      <c r="AJ865" s="8" t="n"/>
    </row>
    <row r="866" ht="15.75" customHeight="1" s="239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23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238" t="n"/>
      <c r="AE866" s="8" t="n"/>
      <c r="AF866" s="8" t="n"/>
      <c r="AG866" s="8" t="n"/>
      <c r="AH866" s="8" t="n"/>
      <c r="AI866" s="8" t="n"/>
      <c r="AJ866" s="8" t="n"/>
    </row>
    <row r="867" ht="15.75" customHeight="1" s="239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23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238" t="n"/>
      <c r="AE867" s="8" t="n"/>
      <c r="AF867" s="8" t="n"/>
      <c r="AG867" s="8" t="n"/>
      <c r="AH867" s="8" t="n"/>
      <c r="AI867" s="8" t="n"/>
      <c r="AJ867" s="8" t="n"/>
    </row>
    <row r="868" ht="15.75" customHeight="1" s="239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23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238" t="n"/>
      <c r="AE868" s="8" t="n"/>
      <c r="AF868" s="8" t="n"/>
      <c r="AG868" s="8" t="n"/>
      <c r="AH868" s="8" t="n"/>
      <c r="AI868" s="8" t="n"/>
      <c r="AJ868" s="8" t="n"/>
    </row>
    <row r="869" ht="15.75" customHeight="1" s="23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23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238" t="n"/>
      <c r="AE869" s="8" t="n"/>
      <c r="AF869" s="8" t="n"/>
      <c r="AG869" s="8" t="n"/>
      <c r="AH869" s="8" t="n"/>
      <c r="AI869" s="8" t="n"/>
      <c r="AJ869" s="8" t="n"/>
    </row>
    <row r="870" ht="15.75" customHeight="1" s="239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23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238" t="n"/>
      <c r="AE870" s="8" t="n"/>
      <c r="AF870" s="8" t="n"/>
      <c r="AG870" s="8" t="n"/>
      <c r="AH870" s="8" t="n"/>
      <c r="AI870" s="8" t="n"/>
      <c r="AJ870" s="8" t="n"/>
    </row>
    <row r="871" ht="15.75" customHeight="1" s="239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23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238" t="n"/>
      <c r="AE871" s="8" t="n"/>
      <c r="AF871" s="8" t="n"/>
      <c r="AG871" s="8" t="n"/>
      <c r="AH871" s="8" t="n"/>
      <c r="AI871" s="8" t="n"/>
      <c r="AJ871" s="8" t="n"/>
    </row>
    <row r="872" ht="15.75" customHeight="1" s="239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23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238" t="n"/>
      <c r="AE872" s="8" t="n"/>
      <c r="AF872" s="8" t="n"/>
      <c r="AG872" s="8" t="n"/>
      <c r="AH872" s="8" t="n"/>
      <c r="AI872" s="8" t="n"/>
      <c r="AJ872" s="8" t="n"/>
    </row>
    <row r="873" ht="15.75" customHeight="1" s="239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23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238" t="n"/>
      <c r="AE873" s="8" t="n"/>
      <c r="AF873" s="8" t="n"/>
      <c r="AG873" s="8" t="n"/>
      <c r="AH873" s="8" t="n"/>
      <c r="AI873" s="8" t="n"/>
      <c r="AJ873" s="8" t="n"/>
    </row>
    <row r="874" ht="15.75" customHeight="1" s="239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23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238" t="n"/>
      <c r="AE874" s="8" t="n"/>
      <c r="AF874" s="8" t="n"/>
      <c r="AG874" s="8" t="n"/>
      <c r="AH874" s="8" t="n"/>
      <c r="AI874" s="8" t="n"/>
      <c r="AJ874" s="8" t="n"/>
    </row>
    <row r="875" ht="15.75" customHeight="1" s="239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23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238" t="n"/>
      <c r="AE875" s="8" t="n"/>
      <c r="AF875" s="8" t="n"/>
      <c r="AG875" s="8" t="n"/>
      <c r="AH875" s="8" t="n"/>
      <c r="AI875" s="8" t="n"/>
      <c r="AJ875" s="8" t="n"/>
    </row>
    <row r="876" ht="15.75" customHeight="1" s="239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23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238" t="n"/>
      <c r="AE876" s="8" t="n"/>
      <c r="AF876" s="8" t="n"/>
      <c r="AG876" s="8" t="n"/>
      <c r="AH876" s="8" t="n"/>
      <c r="AI876" s="8" t="n"/>
      <c r="AJ876" s="8" t="n"/>
    </row>
    <row r="877" ht="15.75" customHeight="1" s="239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23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238" t="n"/>
      <c r="AE877" s="8" t="n"/>
      <c r="AF877" s="8" t="n"/>
      <c r="AG877" s="8" t="n"/>
      <c r="AH877" s="8" t="n"/>
      <c r="AI877" s="8" t="n"/>
      <c r="AJ877" s="8" t="n"/>
    </row>
    <row r="878" ht="15.75" customHeight="1" s="239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23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238" t="n"/>
      <c r="AE878" s="8" t="n"/>
      <c r="AF878" s="8" t="n"/>
      <c r="AG878" s="8" t="n"/>
      <c r="AH878" s="8" t="n"/>
      <c r="AI878" s="8" t="n"/>
      <c r="AJ878" s="8" t="n"/>
    </row>
    <row r="879" ht="15.75" customHeight="1" s="23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23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238" t="n"/>
      <c r="AE879" s="8" t="n"/>
      <c r="AF879" s="8" t="n"/>
      <c r="AG879" s="8" t="n"/>
      <c r="AH879" s="8" t="n"/>
      <c r="AI879" s="8" t="n"/>
      <c r="AJ879" s="8" t="n"/>
    </row>
    <row r="880" ht="15.75" customHeight="1" s="239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23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238" t="n"/>
      <c r="AE880" s="8" t="n"/>
      <c r="AF880" s="8" t="n"/>
      <c r="AG880" s="8" t="n"/>
      <c r="AH880" s="8" t="n"/>
      <c r="AI880" s="8" t="n"/>
      <c r="AJ880" s="8" t="n"/>
    </row>
    <row r="881" ht="15.75" customHeight="1" s="239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23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238" t="n"/>
      <c r="AE881" s="8" t="n"/>
      <c r="AF881" s="8" t="n"/>
      <c r="AG881" s="8" t="n"/>
      <c r="AH881" s="8" t="n"/>
      <c r="AI881" s="8" t="n"/>
      <c r="AJ881" s="8" t="n"/>
    </row>
    <row r="882" ht="15.75" customHeight="1" s="239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23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238" t="n"/>
      <c r="AE882" s="8" t="n"/>
      <c r="AF882" s="8" t="n"/>
      <c r="AG882" s="8" t="n"/>
      <c r="AH882" s="8" t="n"/>
      <c r="AI882" s="8" t="n"/>
      <c r="AJ882" s="8" t="n"/>
    </row>
    <row r="883" ht="15.75" customHeight="1" s="239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23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238" t="n"/>
      <c r="AE883" s="8" t="n"/>
      <c r="AF883" s="8" t="n"/>
      <c r="AG883" s="8" t="n"/>
      <c r="AH883" s="8" t="n"/>
      <c r="AI883" s="8" t="n"/>
      <c r="AJ883" s="8" t="n"/>
    </row>
    <row r="884" ht="15.75" customHeight="1" s="239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23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238" t="n"/>
      <c r="AE884" s="8" t="n"/>
      <c r="AF884" s="8" t="n"/>
      <c r="AG884" s="8" t="n"/>
      <c r="AH884" s="8" t="n"/>
      <c r="AI884" s="8" t="n"/>
      <c r="AJ884" s="8" t="n"/>
    </row>
    <row r="885" ht="15.75" customHeight="1" s="239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23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238" t="n"/>
      <c r="AE885" s="8" t="n"/>
      <c r="AF885" s="8" t="n"/>
      <c r="AG885" s="8" t="n"/>
      <c r="AH885" s="8" t="n"/>
      <c r="AI885" s="8" t="n"/>
      <c r="AJ885" s="8" t="n"/>
    </row>
    <row r="886" ht="15.75" customHeight="1" s="239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23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238" t="n"/>
      <c r="AE886" s="8" t="n"/>
      <c r="AF886" s="8" t="n"/>
      <c r="AG886" s="8" t="n"/>
      <c r="AH886" s="8" t="n"/>
      <c r="AI886" s="8" t="n"/>
      <c r="AJ886" s="8" t="n"/>
    </row>
    <row r="887" ht="15.75" customHeight="1" s="239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23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238" t="n"/>
      <c r="AE887" s="8" t="n"/>
      <c r="AF887" s="8" t="n"/>
      <c r="AG887" s="8" t="n"/>
      <c r="AH887" s="8" t="n"/>
      <c r="AI887" s="8" t="n"/>
      <c r="AJ887" s="8" t="n"/>
    </row>
    <row r="888" ht="15.75" customHeight="1" s="239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23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238" t="n"/>
      <c r="AE888" s="8" t="n"/>
      <c r="AF888" s="8" t="n"/>
      <c r="AG888" s="8" t="n"/>
      <c r="AH888" s="8" t="n"/>
      <c r="AI888" s="8" t="n"/>
      <c r="AJ888" s="8" t="n"/>
    </row>
    <row r="889" ht="15.75" customHeight="1" s="23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23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238" t="n"/>
      <c r="AE889" s="8" t="n"/>
      <c r="AF889" s="8" t="n"/>
      <c r="AG889" s="8" t="n"/>
      <c r="AH889" s="8" t="n"/>
      <c r="AI889" s="8" t="n"/>
      <c r="AJ889" s="8" t="n"/>
    </row>
    <row r="890" ht="15.75" customHeight="1" s="239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23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238" t="n"/>
      <c r="AE890" s="8" t="n"/>
      <c r="AF890" s="8" t="n"/>
      <c r="AG890" s="8" t="n"/>
      <c r="AH890" s="8" t="n"/>
      <c r="AI890" s="8" t="n"/>
      <c r="AJ890" s="8" t="n"/>
    </row>
    <row r="891" ht="15.75" customHeight="1" s="239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23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238" t="n"/>
      <c r="AE891" s="8" t="n"/>
      <c r="AF891" s="8" t="n"/>
      <c r="AG891" s="8" t="n"/>
      <c r="AH891" s="8" t="n"/>
      <c r="AI891" s="8" t="n"/>
      <c r="AJ891" s="8" t="n"/>
    </row>
    <row r="892" ht="15.75" customHeight="1" s="239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23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238" t="n"/>
      <c r="AE892" s="8" t="n"/>
      <c r="AF892" s="8" t="n"/>
      <c r="AG892" s="8" t="n"/>
      <c r="AH892" s="8" t="n"/>
      <c r="AI892" s="8" t="n"/>
      <c r="AJ892" s="8" t="n"/>
    </row>
    <row r="893" ht="15.75" customHeight="1" s="239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23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238" t="n"/>
      <c r="AE893" s="8" t="n"/>
      <c r="AF893" s="8" t="n"/>
      <c r="AG893" s="8" t="n"/>
      <c r="AH893" s="8" t="n"/>
      <c r="AI893" s="8" t="n"/>
      <c r="AJ893" s="8" t="n"/>
    </row>
    <row r="894" ht="15.75" customHeight="1" s="239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23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238" t="n"/>
      <c r="AE894" s="8" t="n"/>
      <c r="AF894" s="8" t="n"/>
      <c r="AG894" s="8" t="n"/>
      <c r="AH894" s="8" t="n"/>
      <c r="AI894" s="8" t="n"/>
      <c r="AJ894" s="8" t="n"/>
    </row>
    <row r="895" ht="15.75" customHeight="1" s="239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23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238" t="n"/>
      <c r="AE895" s="8" t="n"/>
      <c r="AF895" s="8" t="n"/>
      <c r="AG895" s="8" t="n"/>
      <c r="AH895" s="8" t="n"/>
      <c r="AI895" s="8" t="n"/>
      <c r="AJ895" s="8" t="n"/>
    </row>
    <row r="896" ht="15.75" customHeight="1" s="239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23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238" t="n"/>
      <c r="AE896" s="8" t="n"/>
      <c r="AF896" s="8" t="n"/>
      <c r="AG896" s="8" t="n"/>
      <c r="AH896" s="8" t="n"/>
      <c r="AI896" s="8" t="n"/>
      <c r="AJ896" s="8" t="n"/>
    </row>
    <row r="897" ht="15.75" customHeight="1" s="239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23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238" t="n"/>
      <c r="AE897" s="8" t="n"/>
      <c r="AF897" s="8" t="n"/>
      <c r="AG897" s="8" t="n"/>
      <c r="AH897" s="8" t="n"/>
      <c r="AI897" s="8" t="n"/>
      <c r="AJ897" s="8" t="n"/>
    </row>
    <row r="898" ht="15.75" customHeight="1" s="239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23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238" t="n"/>
      <c r="AE898" s="8" t="n"/>
      <c r="AF898" s="8" t="n"/>
      <c r="AG898" s="8" t="n"/>
      <c r="AH898" s="8" t="n"/>
      <c r="AI898" s="8" t="n"/>
      <c r="AJ898" s="8" t="n"/>
    </row>
    <row r="899" ht="15.75" customHeight="1" s="23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23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238" t="n"/>
      <c r="AE899" s="8" t="n"/>
      <c r="AF899" s="8" t="n"/>
      <c r="AG899" s="8" t="n"/>
      <c r="AH899" s="8" t="n"/>
      <c r="AI899" s="8" t="n"/>
      <c r="AJ899" s="8" t="n"/>
    </row>
    <row r="900" ht="15.75" customHeight="1" s="239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23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238" t="n"/>
      <c r="AE900" s="8" t="n"/>
      <c r="AF900" s="8" t="n"/>
      <c r="AG900" s="8" t="n"/>
      <c r="AH900" s="8" t="n"/>
      <c r="AI900" s="8" t="n"/>
      <c r="AJ900" s="8" t="n"/>
    </row>
    <row r="901" ht="15.75" customHeight="1" s="239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23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238" t="n"/>
      <c r="AE901" s="8" t="n"/>
      <c r="AF901" s="8" t="n"/>
      <c r="AG901" s="8" t="n"/>
      <c r="AH901" s="8" t="n"/>
      <c r="AI901" s="8" t="n"/>
      <c r="AJ901" s="8" t="n"/>
    </row>
    <row r="902" ht="15.75" customHeight="1" s="239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23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238" t="n"/>
      <c r="AE902" s="8" t="n"/>
      <c r="AF902" s="8" t="n"/>
      <c r="AG902" s="8" t="n"/>
      <c r="AH902" s="8" t="n"/>
      <c r="AI902" s="8" t="n"/>
      <c r="AJ902" s="8" t="n"/>
    </row>
    <row r="903" ht="15.75" customHeight="1" s="239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23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238" t="n"/>
      <c r="AE903" s="8" t="n"/>
      <c r="AF903" s="8" t="n"/>
      <c r="AG903" s="8" t="n"/>
      <c r="AH903" s="8" t="n"/>
      <c r="AI903" s="8" t="n"/>
      <c r="AJ903" s="8" t="n"/>
    </row>
    <row r="904" ht="15.75" customHeight="1" s="239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23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238" t="n"/>
      <c r="AE904" s="8" t="n"/>
      <c r="AF904" s="8" t="n"/>
      <c r="AG904" s="8" t="n"/>
      <c r="AH904" s="8" t="n"/>
      <c r="AI904" s="8" t="n"/>
      <c r="AJ904" s="8" t="n"/>
    </row>
    <row r="905" ht="15.75" customHeight="1" s="239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23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238" t="n"/>
      <c r="AE905" s="8" t="n"/>
      <c r="AF905" s="8" t="n"/>
      <c r="AG905" s="8" t="n"/>
      <c r="AH905" s="8" t="n"/>
      <c r="AI905" s="8" t="n"/>
      <c r="AJ905" s="8" t="n"/>
    </row>
    <row r="906" ht="15.75" customHeight="1" s="239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23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238" t="n"/>
      <c r="AE906" s="8" t="n"/>
      <c r="AF906" s="8" t="n"/>
      <c r="AG906" s="8" t="n"/>
      <c r="AH906" s="8" t="n"/>
      <c r="AI906" s="8" t="n"/>
      <c r="AJ906" s="8" t="n"/>
    </row>
    <row r="907" ht="15.75" customHeight="1" s="239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23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238" t="n"/>
      <c r="AE907" s="8" t="n"/>
      <c r="AF907" s="8" t="n"/>
      <c r="AG907" s="8" t="n"/>
      <c r="AH907" s="8" t="n"/>
      <c r="AI907" s="8" t="n"/>
      <c r="AJ907" s="8" t="n"/>
    </row>
    <row r="908" ht="15.75" customHeight="1" s="239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23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238" t="n"/>
      <c r="AE908" s="8" t="n"/>
      <c r="AF908" s="8" t="n"/>
      <c r="AG908" s="8" t="n"/>
      <c r="AH908" s="8" t="n"/>
      <c r="AI908" s="8" t="n"/>
      <c r="AJ908" s="8" t="n"/>
    </row>
    <row r="909" ht="15.75" customHeight="1" s="23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23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238" t="n"/>
      <c r="AE909" s="8" t="n"/>
      <c r="AF909" s="8" t="n"/>
      <c r="AG909" s="8" t="n"/>
      <c r="AH909" s="8" t="n"/>
      <c r="AI909" s="8" t="n"/>
      <c r="AJ909" s="8" t="n"/>
    </row>
    <row r="910" ht="15.75" customHeight="1" s="239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23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238" t="n"/>
      <c r="AE910" s="8" t="n"/>
      <c r="AF910" s="8" t="n"/>
      <c r="AG910" s="8" t="n"/>
      <c r="AH910" s="8" t="n"/>
      <c r="AI910" s="8" t="n"/>
      <c r="AJ910" s="8" t="n"/>
    </row>
    <row r="911" ht="15.75" customHeight="1" s="239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23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238" t="n"/>
      <c r="AE911" s="8" t="n"/>
      <c r="AF911" s="8" t="n"/>
      <c r="AG911" s="8" t="n"/>
      <c r="AH911" s="8" t="n"/>
      <c r="AI911" s="8" t="n"/>
      <c r="AJ911" s="8" t="n"/>
    </row>
    <row r="912" ht="15.75" customHeight="1" s="239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23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238" t="n"/>
      <c r="AE912" s="8" t="n"/>
      <c r="AF912" s="8" t="n"/>
      <c r="AG912" s="8" t="n"/>
      <c r="AH912" s="8" t="n"/>
      <c r="AI912" s="8" t="n"/>
      <c r="AJ912" s="8" t="n"/>
    </row>
    <row r="913" ht="15.75" customHeight="1" s="239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23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238" t="n"/>
      <c r="AE913" s="8" t="n"/>
      <c r="AF913" s="8" t="n"/>
      <c r="AG913" s="8" t="n"/>
      <c r="AH913" s="8" t="n"/>
      <c r="AI913" s="8" t="n"/>
      <c r="AJ913" s="8" t="n"/>
    </row>
    <row r="914" ht="15.75" customHeight="1" s="239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23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238" t="n"/>
      <c r="AE914" s="8" t="n"/>
      <c r="AF914" s="8" t="n"/>
      <c r="AG914" s="8" t="n"/>
      <c r="AH914" s="8" t="n"/>
      <c r="AI914" s="8" t="n"/>
      <c r="AJ914" s="8" t="n"/>
    </row>
    <row r="915" ht="15.75" customHeight="1" s="239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23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238" t="n"/>
      <c r="AE915" s="8" t="n"/>
      <c r="AF915" s="8" t="n"/>
      <c r="AG915" s="8" t="n"/>
      <c r="AH915" s="8" t="n"/>
      <c r="AI915" s="8" t="n"/>
      <c r="AJ915" s="8" t="n"/>
    </row>
    <row r="916" ht="15.75" customHeight="1" s="239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23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238" t="n"/>
      <c r="AE916" s="8" t="n"/>
      <c r="AF916" s="8" t="n"/>
      <c r="AG916" s="8" t="n"/>
      <c r="AH916" s="8" t="n"/>
      <c r="AI916" s="8" t="n"/>
      <c r="AJ916" s="8" t="n"/>
    </row>
    <row r="917" ht="15.75" customHeight="1" s="239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23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238" t="n"/>
      <c r="AE917" s="8" t="n"/>
      <c r="AF917" s="8" t="n"/>
      <c r="AG917" s="8" t="n"/>
      <c r="AH917" s="8" t="n"/>
      <c r="AI917" s="8" t="n"/>
      <c r="AJ917" s="8" t="n"/>
    </row>
    <row r="918" ht="15.75" customHeight="1" s="239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23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238" t="n"/>
      <c r="AE918" s="8" t="n"/>
      <c r="AF918" s="8" t="n"/>
      <c r="AG918" s="8" t="n"/>
      <c r="AH918" s="8" t="n"/>
      <c r="AI918" s="8" t="n"/>
      <c r="AJ918" s="8" t="n"/>
    </row>
    <row r="919" ht="15.75" customHeight="1" s="23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23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238" t="n"/>
      <c r="AE919" s="8" t="n"/>
      <c r="AF919" s="8" t="n"/>
      <c r="AG919" s="8" t="n"/>
      <c r="AH919" s="8" t="n"/>
      <c r="AI919" s="8" t="n"/>
      <c r="AJ919" s="8" t="n"/>
    </row>
    <row r="920" ht="15.75" customHeight="1" s="239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23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238" t="n"/>
      <c r="AE920" s="8" t="n"/>
      <c r="AF920" s="8" t="n"/>
      <c r="AG920" s="8" t="n"/>
      <c r="AH920" s="8" t="n"/>
      <c r="AI920" s="8" t="n"/>
      <c r="AJ920" s="8" t="n"/>
    </row>
    <row r="921" ht="15.75" customHeight="1" s="239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23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238" t="n"/>
      <c r="AE921" s="8" t="n"/>
      <c r="AF921" s="8" t="n"/>
      <c r="AG921" s="8" t="n"/>
      <c r="AH921" s="8" t="n"/>
      <c r="AI921" s="8" t="n"/>
      <c r="AJ921" s="8" t="n"/>
    </row>
    <row r="922" ht="15.75" customHeight="1" s="239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23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238" t="n"/>
      <c r="AE922" s="8" t="n"/>
      <c r="AF922" s="8" t="n"/>
      <c r="AG922" s="8" t="n"/>
      <c r="AH922" s="8" t="n"/>
      <c r="AI922" s="8" t="n"/>
      <c r="AJ922" s="8" t="n"/>
    </row>
    <row r="923" ht="15.75" customHeight="1" s="239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23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238" t="n"/>
      <c r="AE923" s="8" t="n"/>
      <c r="AF923" s="8" t="n"/>
      <c r="AG923" s="8" t="n"/>
      <c r="AH923" s="8" t="n"/>
      <c r="AI923" s="8" t="n"/>
      <c r="AJ923" s="8" t="n"/>
    </row>
    <row r="924" ht="15.75" customHeight="1" s="239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23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238" t="n"/>
      <c r="AE924" s="8" t="n"/>
      <c r="AF924" s="8" t="n"/>
      <c r="AG924" s="8" t="n"/>
      <c r="AH924" s="8" t="n"/>
      <c r="AI924" s="8" t="n"/>
      <c r="AJ924" s="8" t="n"/>
    </row>
    <row r="925" ht="15.75" customHeight="1" s="239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23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238" t="n"/>
      <c r="AE925" s="8" t="n"/>
      <c r="AF925" s="8" t="n"/>
      <c r="AG925" s="8" t="n"/>
      <c r="AH925" s="8" t="n"/>
      <c r="AI925" s="8" t="n"/>
      <c r="AJ925" s="8" t="n"/>
    </row>
    <row r="926" ht="15.75" customHeight="1" s="239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23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238" t="n"/>
      <c r="AE926" s="8" t="n"/>
      <c r="AF926" s="8" t="n"/>
      <c r="AG926" s="8" t="n"/>
      <c r="AH926" s="8" t="n"/>
      <c r="AI926" s="8" t="n"/>
      <c r="AJ926" s="8" t="n"/>
    </row>
    <row r="927" ht="15.75" customHeight="1" s="239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23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238" t="n"/>
      <c r="AE927" s="8" t="n"/>
      <c r="AF927" s="8" t="n"/>
      <c r="AG927" s="8" t="n"/>
      <c r="AH927" s="8" t="n"/>
      <c r="AI927" s="8" t="n"/>
      <c r="AJ927" s="8" t="n"/>
    </row>
    <row r="928" ht="15.75" customHeight="1" s="239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23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238" t="n"/>
      <c r="AE928" s="8" t="n"/>
      <c r="AF928" s="8" t="n"/>
      <c r="AG928" s="8" t="n"/>
      <c r="AH928" s="8" t="n"/>
      <c r="AI928" s="8" t="n"/>
      <c r="AJ928" s="8" t="n"/>
    </row>
    <row r="929" ht="15.75" customHeight="1" s="23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23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238" t="n"/>
      <c r="AE929" s="8" t="n"/>
      <c r="AF929" s="8" t="n"/>
      <c r="AG929" s="8" t="n"/>
      <c r="AH929" s="8" t="n"/>
      <c r="AI929" s="8" t="n"/>
      <c r="AJ929" s="8" t="n"/>
    </row>
    <row r="930" ht="15.75" customHeight="1" s="239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23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238" t="n"/>
      <c r="AE930" s="8" t="n"/>
      <c r="AF930" s="8" t="n"/>
      <c r="AG930" s="8" t="n"/>
      <c r="AH930" s="8" t="n"/>
      <c r="AI930" s="8" t="n"/>
      <c r="AJ930" s="8" t="n"/>
    </row>
    <row r="931" ht="15.75" customHeight="1" s="239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23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238" t="n"/>
      <c r="AE931" s="8" t="n"/>
      <c r="AF931" s="8" t="n"/>
      <c r="AG931" s="8" t="n"/>
      <c r="AH931" s="8" t="n"/>
      <c r="AI931" s="8" t="n"/>
      <c r="AJ931" s="8" t="n"/>
    </row>
    <row r="932" ht="15.75" customHeight="1" s="239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23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238" t="n"/>
      <c r="AE932" s="8" t="n"/>
      <c r="AF932" s="8" t="n"/>
      <c r="AG932" s="8" t="n"/>
      <c r="AH932" s="8" t="n"/>
      <c r="AI932" s="8" t="n"/>
      <c r="AJ932" s="8" t="n"/>
    </row>
    <row r="933" ht="15.75" customHeight="1" s="239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23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238" t="n"/>
      <c r="AE933" s="8" t="n"/>
      <c r="AF933" s="8" t="n"/>
      <c r="AG933" s="8" t="n"/>
      <c r="AH933" s="8" t="n"/>
      <c r="AI933" s="8" t="n"/>
      <c r="AJ933" s="8" t="n"/>
    </row>
    <row r="934" ht="15.75" customHeight="1" s="239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23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238" t="n"/>
      <c r="AE934" s="8" t="n"/>
      <c r="AF934" s="8" t="n"/>
      <c r="AG934" s="8" t="n"/>
      <c r="AH934" s="8" t="n"/>
      <c r="AI934" s="8" t="n"/>
      <c r="AJ934" s="8" t="n"/>
    </row>
    <row r="935" ht="15.75" customHeight="1" s="239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23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238" t="n"/>
      <c r="AE935" s="8" t="n"/>
      <c r="AF935" s="8" t="n"/>
      <c r="AG935" s="8" t="n"/>
      <c r="AH935" s="8" t="n"/>
      <c r="AI935" s="8" t="n"/>
      <c r="AJ935" s="8" t="n"/>
    </row>
    <row r="936" ht="15.75" customHeight="1" s="239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23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238" t="n"/>
      <c r="AE936" s="8" t="n"/>
      <c r="AF936" s="8" t="n"/>
      <c r="AG936" s="8" t="n"/>
      <c r="AH936" s="8" t="n"/>
      <c r="AI936" s="8" t="n"/>
      <c r="AJ936" s="8" t="n"/>
    </row>
    <row r="937" ht="15.75" customHeight="1" s="239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23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238" t="n"/>
      <c r="AE937" s="8" t="n"/>
      <c r="AF937" s="8" t="n"/>
      <c r="AG937" s="8" t="n"/>
      <c r="AH937" s="8" t="n"/>
      <c r="AI937" s="8" t="n"/>
      <c r="AJ937" s="8" t="n"/>
    </row>
    <row r="938" ht="15.75" customHeight="1" s="239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23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238" t="n"/>
      <c r="AE938" s="8" t="n"/>
      <c r="AF938" s="8" t="n"/>
      <c r="AG938" s="8" t="n"/>
      <c r="AH938" s="8" t="n"/>
      <c r="AI938" s="8" t="n"/>
      <c r="AJ938" s="8" t="n"/>
    </row>
    <row r="939" ht="15.75" customHeight="1" s="2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23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238" t="n"/>
      <c r="AE939" s="8" t="n"/>
      <c r="AF939" s="8" t="n"/>
      <c r="AG939" s="8" t="n"/>
      <c r="AH939" s="8" t="n"/>
      <c r="AI939" s="8" t="n"/>
      <c r="AJ939" s="8" t="n"/>
    </row>
    <row r="940" ht="15.75" customHeight="1" s="239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23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238" t="n"/>
      <c r="AE940" s="8" t="n"/>
      <c r="AF940" s="8" t="n"/>
      <c r="AG940" s="8" t="n"/>
      <c r="AH940" s="8" t="n"/>
      <c r="AI940" s="8" t="n"/>
      <c r="AJ940" s="8" t="n"/>
    </row>
    <row r="941" ht="15.75" customHeight="1" s="239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23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238" t="n"/>
      <c r="AE941" s="8" t="n"/>
      <c r="AF941" s="8" t="n"/>
      <c r="AG941" s="8" t="n"/>
      <c r="AH941" s="8" t="n"/>
      <c r="AI941" s="8" t="n"/>
      <c r="AJ941" s="8" t="n"/>
    </row>
    <row r="942" ht="15.75" customHeight="1" s="239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23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238" t="n"/>
      <c r="AE942" s="8" t="n"/>
      <c r="AF942" s="8" t="n"/>
      <c r="AG942" s="8" t="n"/>
      <c r="AH942" s="8" t="n"/>
      <c r="AI942" s="8" t="n"/>
      <c r="AJ942" s="8" t="n"/>
    </row>
    <row r="943" ht="15.75" customHeight="1" s="239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23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238" t="n"/>
      <c r="AE943" s="8" t="n"/>
      <c r="AF943" s="8" t="n"/>
      <c r="AG943" s="8" t="n"/>
      <c r="AH943" s="8" t="n"/>
      <c r="AI943" s="8" t="n"/>
      <c r="AJ943" s="8" t="n"/>
    </row>
    <row r="944" ht="15.75" customHeight="1" s="239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23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238" t="n"/>
      <c r="AE944" s="8" t="n"/>
      <c r="AF944" s="8" t="n"/>
      <c r="AG944" s="8" t="n"/>
      <c r="AH944" s="8" t="n"/>
      <c r="AI944" s="8" t="n"/>
      <c r="AJ944" s="8" t="n"/>
    </row>
    <row r="945" ht="15.75" customHeight="1" s="239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23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238" t="n"/>
      <c r="AE945" s="8" t="n"/>
      <c r="AF945" s="8" t="n"/>
      <c r="AG945" s="8" t="n"/>
      <c r="AH945" s="8" t="n"/>
      <c r="AI945" s="8" t="n"/>
      <c r="AJ945" s="8" t="n"/>
    </row>
    <row r="946" ht="15.75" customHeight="1" s="239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23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238" t="n"/>
      <c r="AE946" s="8" t="n"/>
      <c r="AF946" s="8" t="n"/>
      <c r="AG946" s="8" t="n"/>
      <c r="AH946" s="8" t="n"/>
      <c r="AI946" s="8" t="n"/>
      <c r="AJ946" s="8" t="n"/>
    </row>
    <row r="947" ht="15.75" customHeight="1" s="239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23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238" t="n"/>
      <c r="AE947" s="8" t="n"/>
      <c r="AF947" s="8" t="n"/>
      <c r="AG947" s="8" t="n"/>
      <c r="AH947" s="8" t="n"/>
      <c r="AI947" s="8" t="n"/>
      <c r="AJ947" s="8" t="n"/>
    </row>
    <row r="948" ht="15.75" customHeight="1" s="239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23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238" t="n"/>
      <c r="AE948" s="8" t="n"/>
      <c r="AF948" s="8" t="n"/>
      <c r="AG948" s="8" t="n"/>
      <c r="AH948" s="8" t="n"/>
      <c r="AI948" s="8" t="n"/>
      <c r="AJ948" s="8" t="n"/>
    </row>
    <row r="949" ht="15.75" customHeight="1" s="23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23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238" t="n"/>
      <c r="AE949" s="8" t="n"/>
      <c r="AF949" s="8" t="n"/>
      <c r="AG949" s="8" t="n"/>
      <c r="AH949" s="8" t="n"/>
      <c r="AI949" s="8" t="n"/>
      <c r="AJ949" s="8" t="n"/>
    </row>
    <row r="950" ht="15.75" customHeight="1" s="239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23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238" t="n"/>
      <c r="AE950" s="8" t="n"/>
      <c r="AF950" s="8" t="n"/>
      <c r="AG950" s="8" t="n"/>
      <c r="AH950" s="8" t="n"/>
      <c r="AI950" s="8" t="n"/>
      <c r="AJ950" s="8" t="n"/>
    </row>
    <row r="951" ht="15.75" customHeight="1" s="239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23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238" t="n"/>
      <c r="AE951" s="8" t="n"/>
      <c r="AF951" s="8" t="n"/>
      <c r="AG951" s="8" t="n"/>
      <c r="AH951" s="8" t="n"/>
      <c r="AI951" s="8" t="n"/>
      <c r="AJ951" s="8" t="n"/>
    </row>
    <row r="952" ht="15.75" customHeight="1" s="239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23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238" t="n"/>
      <c r="AE952" s="8" t="n"/>
      <c r="AF952" s="8" t="n"/>
      <c r="AG952" s="8" t="n"/>
      <c r="AH952" s="8" t="n"/>
      <c r="AI952" s="8" t="n"/>
      <c r="AJ952" s="8" t="n"/>
    </row>
    <row r="953" ht="15.75" customHeight="1" s="239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23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238" t="n"/>
      <c r="AE953" s="8" t="n"/>
      <c r="AF953" s="8" t="n"/>
      <c r="AG953" s="8" t="n"/>
      <c r="AH953" s="8" t="n"/>
      <c r="AI953" s="8" t="n"/>
      <c r="AJ953" s="8" t="n"/>
    </row>
    <row r="954" ht="15.75" customHeight="1" s="239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23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238" t="n"/>
      <c r="AE954" s="8" t="n"/>
      <c r="AF954" s="8" t="n"/>
      <c r="AG954" s="8" t="n"/>
      <c r="AH954" s="8" t="n"/>
      <c r="AI954" s="8" t="n"/>
      <c r="AJ954" s="8" t="n"/>
    </row>
    <row r="955" ht="15.75" customHeight="1" s="239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23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238" t="n"/>
      <c r="AE955" s="8" t="n"/>
      <c r="AF955" s="8" t="n"/>
      <c r="AG955" s="8" t="n"/>
      <c r="AH955" s="8" t="n"/>
      <c r="AI955" s="8" t="n"/>
      <c r="AJ955" s="8" t="n"/>
    </row>
    <row r="956" ht="15.75" customHeight="1" s="239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23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238" t="n"/>
      <c r="AE956" s="8" t="n"/>
      <c r="AF956" s="8" t="n"/>
      <c r="AG956" s="8" t="n"/>
      <c r="AH956" s="8" t="n"/>
      <c r="AI956" s="8" t="n"/>
      <c r="AJ956" s="8" t="n"/>
    </row>
    <row r="957" ht="15.75" customHeight="1" s="239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23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238" t="n"/>
      <c r="AE957" s="8" t="n"/>
      <c r="AF957" s="8" t="n"/>
      <c r="AG957" s="8" t="n"/>
      <c r="AH957" s="8" t="n"/>
      <c r="AI957" s="8" t="n"/>
      <c r="AJ957" s="8" t="n"/>
    </row>
    <row r="958" ht="15.75" customHeight="1" s="239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23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238" t="n"/>
      <c r="AE958" s="8" t="n"/>
      <c r="AF958" s="8" t="n"/>
      <c r="AG958" s="8" t="n"/>
      <c r="AH958" s="8" t="n"/>
      <c r="AI958" s="8" t="n"/>
      <c r="AJ958" s="8" t="n"/>
    </row>
    <row r="959" ht="15.75" customHeight="1" s="23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23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238" t="n"/>
      <c r="AE959" s="8" t="n"/>
      <c r="AF959" s="8" t="n"/>
      <c r="AG959" s="8" t="n"/>
      <c r="AH959" s="8" t="n"/>
      <c r="AI959" s="8" t="n"/>
      <c r="AJ959" s="8" t="n"/>
    </row>
    <row r="960" ht="15.75" customHeight="1" s="239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23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238" t="n"/>
      <c r="AE960" s="8" t="n"/>
      <c r="AF960" s="8" t="n"/>
      <c r="AG960" s="8" t="n"/>
      <c r="AH960" s="8" t="n"/>
      <c r="AI960" s="8" t="n"/>
      <c r="AJ960" s="8" t="n"/>
    </row>
    <row r="961" ht="15.75" customHeight="1" s="239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23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238" t="n"/>
      <c r="AE961" s="8" t="n"/>
      <c r="AF961" s="8" t="n"/>
      <c r="AG961" s="8" t="n"/>
      <c r="AH961" s="8" t="n"/>
      <c r="AI961" s="8" t="n"/>
      <c r="AJ961" s="8" t="n"/>
    </row>
    <row r="962" ht="15.75" customHeight="1" s="239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23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238" t="n"/>
      <c r="AE962" s="8" t="n"/>
      <c r="AF962" s="8" t="n"/>
      <c r="AG962" s="8" t="n"/>
      <c r="AH962" s="8" t="n"/>
      <c r="AI962" s="8" t="n"/>
      <c r="AJ962" s="8" t="n"/>
    </row>
    <row r="963" ht="15.75" customHeight="1" s="239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23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238" t="n"/>
      <c r="AE963" s="8" t="n"/>
      <c r="AF963" s="8" t="n"/>
      <c r="AG963" s="8" t="n"/>
      <c r="AH963" s="8" t="n"/>
      <c r="AI963" s="8" t="n"/>
      <c r="AJ963" s="8" t="n"/>
    </row>
    <row r="964" ht="15.75" customHeight="1" s="239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23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238" t="n"/>
      <c r="AE964" s="8" t="n"/>
      <c r="AF964" s="8" t="n"/>
      <c r="AG964" s="8" t="n"/>
      <c r="AH964" s="8" t="n"/>
      <c r="AI964" s="8" t="n"/>
      <c r="AJ964" s="8" t="n"/>
    </row>
    <row r="965" ht="15.75" customHeight="1" s="239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23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238" t="n"/>
      <c r="AE965" s="8" t="n"/>
      <c r="AF965" s="8" t="n"/>
      <c r="AG965" s="8" t="n"/>
      <c r="AH965" s="8" t="n"/>
      <c r="AI965" s="8" t="n"/>
      <c r="AJ965" s="8" t="n"/>
    </row>
    <row r="966" ht="15.75" customHeight="1" s="239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23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238" t="n"/>
      <c r="AE966" s="8" t="n"/>
      <c r="AF966" s="8" t="n"/>
      <c r="AG966" s="8" t="n"/>
      <c r="AH966" s="8" t="n"/>
      <c r="AI966" s="8" t="n"/>
      <c r="AJ966" s="8" t="n"/>
    </row>
    <row r="967" ht="15.75" customHeight="1" s="239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23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238" t="n"/>
      <c r="AE967" s="8" t="n"/>
      <c r="AF967" s="8" t="n"/>
      <c r="AG967" s="8" t="n"/>
      <c r="AH967" s="8" t="n"/>
      <c r="AI967" s="8" t="n"/>
      <c r="AJ967" s="8" t="n"/>
    </row>
    <row r="968" ht="15.75" customHeight="1" s="239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23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238" t="n"/>
      <c r="AE968" s="8" t="n"/>
      <c r="AF968" s="8" t="n"/>
      <c r="AG968" s="8" t="n"/>
      <c r="AH968" s="8" t="n"/>
      <c r="AI968" s="8" t="n"/>
      <c r="AJ968" s="8" t="n"/>
    </row>
    <row r="969" ht="15.75" customHeight="1" s="23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23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238" t="n"/>
      <c r="AE969" s="8" t="n"/>
      <c r="AF969" s="8" t="n"/>
      <c r="AG969" s="8" t="n"/>
      <c r="AH969" s="8" t="n"/>
      <c r="AI969" s="8" t="n"/>
      <c r="AJ969" s="8" t="n"/>
    </row>
    <row r="970" ht="15.75" customHeight="1" s="239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23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238" t="n"/>
      <c r="AE970" s="8" t="n"/>
      <c r="AF970" s="8" t="n"/>
      <c r="AG970" s="8" t="n"/>
      <c r="AH970" s="8" t="n"/>
      <c r="AI970" s="8" t="n"/>
      <c r="AJ970" s="8" t="n"/>
    </row>
    <row r="971" ht="15.75" customHeight="1" s="239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23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238" t="n"/>
      <c r="AE971" s="8" t="n"/>
      <c r="AF971" s="8" t="n"/>
      <c r="AG971" s="8" t="n"/>
      <c r="AH971" s="8" t="n"/>
      <c r="AI971" s="8" t="n"/>
      <c r="AJ971" s="8" t="n"/>
    </row>
    <row r="972" ht="15.75" customHeight="1" s="239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23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238" t="n"/>
      <c r="AE972" s="8" t="n"/>
      <c r="AF972" s="8" t="n"/>
      <c r="AG972" s="8" t="n"/>
      <c r="AH972" s="8" t="n"/>
      <c r="AI972" s="8" t="n"/>
      <c r="AJ972" s="8" t="n"/>
    </row>
    <row r="973" ht="15.75" customHeight="1" s="239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23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238" t="n"/>
      <c r="AE973" s="8" t="n"/>
      <c r="AF973" s="8" t="n"/>
      <c r="AG973" s="8" t="n"/>
      <c r="AH973" s="8" t="n"/>
      <c r="AI973" s="8" t="n"/>
      <c r="AJ973" s="8" t="n"/>
    </row>
    <row r="974" ht="15.75" customHeight="1" s="239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23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238" t="n"/>
      <c r="AE974" s="8" t="n"/>
      <c r="AF974" s="8" t="n"/>
      <c r="AG974" s="8" t="n"/>
      <c r="AH974" s="8" t="n"/>
      <c r="AI974" s="8" t="n"/>
      <c r="AJ974" s="8" t="n"/>
    </row>
    <row r="975" ht="15.75" customHeight="1" s="239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23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238" t="n"/>
      <c r="AE975" s="8" t="n"/>
      <c r="AF975" s="8" t="n"/>
      <c r="AG975" s="8" t="n"/>
      <c r="AH975" s="8" t="n"/>
      <c r="AI975" s="8" t="n"/>
      <c r="AJ975" s="8" t="n"/>
    </row>
    <row r="976" ht="15.75" customHeight="1" s="239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23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238" t="n"/>
      <c r="AE976" s="8" t="n"/>
      <c r="AF976" s="8" t="n"/>
      <c r="AG976" s="8" t="n"/>
      <c r="AH976" s="8" t="n"/>
      <c r="AI976" s="8" t="n"/>
      <c r="AJ976" s="8" t="n"/>
    </row>
    <row r="977" ht="15.75" customHeight="1" s="239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23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238" t="n"/>
      <c r="AE977" s="8" t="n"/>
      <c r="AF977" s="8" t="n"/>
      <c r="AG977" s="8" t="n"/>
      <c r="AH977" s="8" t="n"/>
      <c r="AI977" s="8" t="n"/>
      <c r="AJ977" s="8" t="n"/>
    </row>
    <row r="978" ht="15.75" customHeight="1" s="239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23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238" t="n"/>
      <c r="AE978" s="8" t="n"/>
      <c r="AF978" s="8" t="n"/>
      <c r="AG978" s="8" t="n"/>
      <c r="AH978" s="8" t="n"/>
      <c r="AI978" s="8" t="n"/>
      <c r="AJ978" s="8" t="n"/>
    </row>
    <row r="979" ht="15.75" customHeight="1" s="23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23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238" t="n"/>
      <c r="AE979" s="8" t="n"/>
      <c r="AF979" s="8" t="n"/>
      <c r="AG979" s="8" t="n"/>
      <c r="AH979" s="8" t="n"/>
      <c r="AI979" s="8" t="n"/>
      <c r="AJ979" s="8" t="n"/>
    </row>
    <row r="980" ht="15.75" customHeight="1" s="239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23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238" t="n"/>
      <c r="AE980" s="8" t="n"/>
      <c r="AF980" s="8" t="n"/>
      <c r="AG980" s="8" t="n"/>
      <c r="AH980" s="8" t="n"/>
      <c r="AI980" s="8" t="n"/>
      <c r="AJ980" s="8" t="n"/>
    </row>
    <row r="981" ht="15.75" customHeight="1" s="239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23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238" t="n"/>
      <c r="AE981" s="8" t="n"/>
      <c r="AF981" s="8" t="n"/>
      <c r="AG981" s="8" t="n"/>
      <c r="AH981" s="8" t="n"/>
      <c r="AI981" s="8" t="n"/>
      <c r="AJ981" s="8" t="n"/>
    </row>
    <row r="982" ht="15.75" customHeight="1" s="239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23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238" t="n"/>
      <c r="AE982" s="8" t="n"/>
      <c r="AF982" s="8" t="n"/>
      <c r="AG982" s="8" t="n"/>
      <c r="AH982" s="8" t="n"/>
      <c r="AI982" s="8" t="n"/>
      <c r="AJ982" s="8" t="n"/>
    </row>
    <row r="983" ht="15.75" customHeight="1" s="239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23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238" t="n"/>
      <c r="AE983" s="8" t="n"/>
      <c r="AF983" s="8" t="n"/>
      <c r="AG983" s="8" t="n"/>
      <c r="AH983" s="8" t="n"/>
      <c r="AI983" s="8" t="n"/>
      <c r="AJ983" s="8" t="n"/>
    </row>
    <row r="984" ht="15.75" customHeight="1" s="239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23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238" t="n"/>
      <c r="AE984" s="8" t="n"/>
      <c r="AF984" s="8" t="n"/>
      <c r="AG984" s="8" t="n"/>
      <c r="AH984" s="8" t="n"/>
      <c r="AI984" s="8" t="n"/>
      <c r="AJ984" s="8" t="n"/>
    </row>
    <row r="985" ht="15.75" customHeight="1" s="239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23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238" t="n"/>
      <c r="AE985" s="8" t="n"/>
      <c r="AF985" s="8" t="n"/>
      <c r="AG985" s="8" t="n"/>
      <c r="AH985" s="8" t="n"/>
      <c r="AI985" s="8" t="n"/>
      <c r="AJ985" s="8" t="n"/>
    </row>
    <row r="986" ht="15.75" customHeight="1" s="239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23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238" t="n"/>
      <c r="AE986" s="8" t="n"/>
      <c r="AF986" s="8" t="n"/>
      <c r="AG986" s="8" t="n"/>
      <c r="AH986" s="8" t="n"/>
      <c r="AI986" s="8" t="n"/>
      <c r="AJ986" s="8" t="n"/>
    </row>
    <row r="987" ht="15.75" customHeight="1" s="239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23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238" t="n"/>
      <c r="AE987" s="8" t="n"/>
      <c r="AF987" s="8" t="n"/>
      <c r="AG987" s="8" t="n"/>
      <c r="AH987" s="8" t="n"/>
      <c r="AI987" s="8" t="n"/>
      <c r="AJ987" s="8" t="n"/>
    </row>
    <row r="988" ht="15.75" customHeight="1" s="239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23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238" t="n"/>
      <c r="AE988" s="8" t="n"/>
      <c r="AF988" s="8" t="n"/>
      <c r="AG988" s="8" t="n"/>
      <c r="AH988" s="8" t="n"/>
      <c r="AI988" s="8" t="n"/>
      <c r="AJ988" s="8" t="n"/>
    </row>
    <row r="989" ht="15.75" customHeight="1" s="23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23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238" t="n"/>
      <c r="AE989" s="8" t="n"/>
      <c r="AF989" s="8" t="n"/>
      <c r="AG989" s="8" t="n"/>
      <c r="AH989" s="8" t="n"/>
      <c r="AI989" s="8" t="n"/>
      <c r="AJ989" s="8" t="n"/>
    </row>
    <row r="990" ht="15.75" customHeight="1" s="239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23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238" t="n"/>
      <c r="AE990" s="8" t="n"/>
      <c r="AF990" s="8" t="n"/>
      <c r="AG990" s="8" t="n"/>
      <c r="AH990" s="8" t="n"/>
      <c r="AI990" s="8" t="n"/>
      <c r="AJ990" s="8" t="n"/>
    </row>
    <row r="991" ht="15.75" customHeight="1" s="239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23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238" t="n"/>
      <c r="AE991" s="8" t="n"/>
      <c r="AF991" s="8" t="n"/>
      <c r="AG991" s="8" t="n"/>
      <c r="AH991" s="8" t="n"/>
      <c r="AI991" s="8" t="n"/>
      <c r="AJ991" s="8" t="n"/>
    </row>
    <row r="992" ht="15.75" customHeight="1" s="239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23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238" t="n"/>
      <c r="AE992" s="8" t="n"/>
      <c r="AF992" s="8" t="n"/>
      <c r="AG992" s="8" t="n"/>
      <c r="AH992" s="8" t="n"/>
      <c r="AI992" s="8" t="n"/>
      <c r="AJ992" s="8" t="n"/>
    </row>
    <row r="993" ht="15.75" customHeight="1" s="239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23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238" t="n"/>
      <c r="AE993" s="8" t="n"/>
      <c r="AF993" s="8" t="n"/>
      <c r="AG993" s="8" t="n"/>
      <c r="AH993" s="8" t="n"/>
      <c r="AI993" s="8" t="n"/>
      <c r="AJ993" s="8" t="n"/>
    </row>
    <row r="994" ht="15.75" customHeight="1" s="239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23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238" t="n"/>
      <c r="AE994" s="8" t="n"/>
      <c r="AF994" s="8" t="n"/>
      <c r="AG994" s="8" t="n"/>
      <c r="AH994" s="8" t="n"/>
      <c r="AI994" s="8" t="n"/>
      <c r="AJ994" s="8" t="n"/>
    </row>
    <row r="995" ht="15.75" customHeight="1" s="239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23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238" t="n"/>
      <c r="AE995" s="8" t="n"/>
      <c r="AF995" s="8" t="n"/>
      <c r="AG995" s="8" t="n"/>
      <c r="AH995" s="8" t="n"/>
      <c r="AI995" s="8" t="n"/>
      <c r="AJ995" s="8" t="n"/>
    </row>
    <row r="996" ht="15.75" customHeight="1" s="239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23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238" t="n"/>
      <c r="AE996" s="8" t="n"/>
      <c r="AF996" s="8" t="n"/>
      <c r="AG996" s="8" t="n"/>
      <c r="AH996" s="8" t="n"/>
      <c r="AI996" s="8" t="n"/>
      <c r="AJ996" s="8" t="n"/>
    </row>
    <row r="997" ht="15.75" customHeight="1" s="239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23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238" t="n"/>
      <c r="AE997" s="8" t="n"/>
      <c r="AF997" s="8" t="n"/>
      <c r="AG997" s="8" t="n"/>
      <c r="AH997" s="8" t="n"/>
      <c r="AI997" s="8" t="n"/>
      <c r="AJ997" s="8" t="n"/>
    </row>
    <row r="998" ht="15.75" customHeight="1" s="239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23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238" t="n"/>
      <c r="AE998" s="8" t="n"/>
      <c r="AF998" s="8" t="n"/>
      <c r="AG998" s="8" t="n"/>
      <c r="AH998" s="8" t="n"/>
      <c r="AI998" s="8" t="n"/>
      <c r="AJ998" s="8" t="n"/>
    </row>
    <row r="999" ht="15.75" customHeight="1" s="23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23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238" t="n"/>
      <c r="AE999" s="8" t="n"/>
      <c r="AF999" s="8" t="n"/>
      <c r="AG999" s="8" t="n"/>
      <c r="AH999" s="8" t="n"/>
      <c r="AI999" s="8" t="n"/>
      <c r="AJ999" s="8" t="n"/>
    </row>
    <row r="1000" ht="15.75" customHeight="1" s="239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23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238" t="n"/>
      <c r="AE1000" s="8" t="n"/>
      <c r="AF1000" s="8" t="n"/>
      <c r="AG1000" s="8" t="n"/>
      <c r="AH1000" s="8" t="n"/>
      <c r="AI1000" s="8" t="n"/>
      <c r="AJ1000" s="8" t="n"/>
    </row>
    <row r="1001" ht="15.75" customHeight="1" s="239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23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 t="n"/>
      <c r="Y1001" s="8" t="n"/>
      <c r="Z1001" s="8" t="n"/>
      <c r="AA1001" s="8" t="n"/>
      <c r="AB1001" s="8" t="n"/>
      <c r="AC1001" s="8" t="n"/>
      <c r="AD1001" s="238" t="n"/>
      <c r="AE1001" s="8" t="n"/>
      <c r="AF1001" s="8" t="n"/>
      <c r="AG1001" s="8" t="n"/>
      <c r="AH1001" s="8" t="n"/>
      <c r="AI1001" s="8" t="n"/>
      <c r="AJ1001" s="8" t="n"/>
    </row>
    <row r="1002" ht="15.75" customHeight="1" s="239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23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 t="n"/>
      <c r="Y1002" s="8" t="n"/>
      <c r="Z1002" s="8" t="n"/>
      <c r="AA1002" s="8" t="n"/>
      <c r="AB1002" s="8" t="n"/>
      <c r="AC1002" s="8" t="n"/>
      <c r="AD1002" s="238" t="n"/>
      <c r="AE1002" s="8" t="n"/>
      <c r="AF1002" s="8" t="n"/>
      <c r="AG1002" s="8" t="n"/>
      <c r="AH1002" s="8" t="n"/>
      <c r="AI1002" s="8" t="n"/>
      <c r="AJ1002" s="8" t="n"/>
    </row>
    <row r="1003" ht="15.75" customHeight="1" s="239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23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 t="n"/>
      <c r="Y1003" s="8" t="n"/>
      <c r="Z1003" s="8" t="n"/>
      <c r="AA1003" s="8" t="n"/>
      <c r="AB1003" s="8" t="n"/>
      <c r="AC1003" s="8" t="n"/>
      <c r="AD1003" s="238" t="n"/>
      <c r="AE1003" s="8" t="n"/>
      <c r="AF1003" s="8" t="n"/>
      <c r="AG1003" s="8" t="n"/>
      <c r="AH1003" s="8" t="n"/>
      <c r="AI1003" s="8" t="n"/>
      <c r="AJ1003" s="8" t="n"/>
    </row>
    <row r="1004" ht="15.75" customHeight="1" s="239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23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 t="n"/>
      <c r="Y1004" s="8" t="n"/>
      <c r="Z1004" s="8" t="n"/>
      <c r="AA1004" s="8" t="n"/>
      <c r="AB1004" s="8" t="n"/>
      <c r="AC1004" s="8" t="n"/>
      <c r="AD1004" s="238" t="n"/>
      <c r="AE1004" s="8" t="n"/>
      <c r="AF1004" s="8" t="n"/>
      <c r="AG1004" s="8" t="n"/>
      <c r="AH1004" s="8" t="n"/>
      <c r="AI1004" s="8" t="n"/>
      <c r="AJ1004" s="8" t="n"/>
    </row>
    <row r="1005" ht="15.75" customHeight="1" s="239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23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 t="n"/>
      <c r="Y1005" s="8" t="n"/>
      <c r="Z1005" s="8" t="n"/>
      <c r="AA1005" s="8" t="n"/>
      <c r="AB1005" s="8" t="n"/>
      <c r="AC1005" s="8" t="n"/>
      <c r="AD1005" s="238" t="n"/>
      <c r="AE1005" s="8" t="n"/>
      <c r="AF1005" s="8" t="n"/>
      <c r="AG1005" s="8" t="n"/>
      <c r="AH1005" s="8" t="n"/>
      <c r="AI1005" s="8" t="n"/>
      <c r="AJ1005" s="8" t="n"/>
    </row>
    <row r="1006" ht="15.75" customHeight="1" s="239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23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 t="n"/>
      <c r="Y1006" s="8" t="n"/>
      <c r="Z1006" s="8" t="n"/>
      <c r="AA1006" s="8" t="n"/>
      <c r="AB1006" s="8" t="n"/>
      <c r="AC1006" s="8" t="n"/>
      <c r="AD1006" s="238" t="n"/>
      <c r="AE1006" s="8" t="n"/>
      <c r="AF1006" s="8" t="n"/>
      <c r="AG1006" s="8" t="n"/>
      <c r="AH1006" s="8" t="n"/>
      <c r="AI1006" s="8" t="n"/>
      <c r="AJ1006" s="8" t="n"/>
    </row>
    <row r="1007" ht="15.75" customHeight="1" s="239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23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 t="n"/>
      <c r="Y1007" s="8" t="n"/>
      <c r="Z1007" s="8" t="n"/>
      <c r="AA1007" s="8" t="n"/>
      <c r="AB1007" s="8" t="n"/>
      <c r="AC1007" s="8" t="n"/>
      <c r="AD1007" s="238" t="n"/>
      <c r="AE1007" s="8" t="n"/>
      <c r="AF1007" s="8" t="n"/>
      <c r="AG1007" s="8" t="n"/>
      <c r="AH1007" s="8" t="n"/>
      <c r="AI1007" s="8" t="n"/>
      <c r="AJ1007" s="8" t="n"/>
    </row>
    <row r="1008" ht="15.75" customHeight="1" s="239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23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 t="n"/>
      <c r="Y1008" s="8" t="n"/>
      <c r="Z1008" s="8" t="n"/>
      <c r="AA1008" s="8" t="n"/>
      <c r="AB1008" s="8" t="n"/>
      <c r="AC1008" s="8" t="n"/>
      <c r="AD1008" s="238" t="n"/>
      <c r="AE1008" s="8" t="n"/>
      <c r="AF1008" s="8" t="n"/>
      <c r="AG1008" s="8" t="n"/>
      <c r="AH1008" s="8" t="n"/>
      <c r="AI1008" s="8" t="n"/>
      <c r="AJ1008" s="8" t="n"/>
    </row>
    <row r="1009" ht="15.75" customHeight="1" s="23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23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 t="n"/>
      <c r="Y1009" s="8" t="n"/>
      <c r="Z1009" s="8" t="n"/>
      <c r="AA1009" s="8" t="n"/>
      <c r="AB1009" s="8" t="n"/>
      <c r="AC1009" s="8" t="n"/>
      <c r="AD1009" s="238" t="n"/>
      <c r="AE1009" s="8" t="n"/>
      <c r="AF1009" s="8" t="n"/>
      <c r="AG1009" s="8" t="n"/>
      <c r="AH1009" s="8" t="n"/>
      <c r="AI1009" s="8" t="n"/>
      <c r="AJ1009" s="8" t="n"/>
    </row>
    <row r="1010" ht="15.75" customHeight="1" s="239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23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 t="n"/>
      <c r="Y1010" s="8" t="n"/>
      <c r="Z1010" s="8" t="n"/>
      <c r="AA1010" s="8" t="n"/>
      <c r="AB1010" s="8" t="n"/>
      <c r="AC1010" s="8" t="n"/>
      <c r="AD1010" s="238" t="n"/>
      <c r="AE1010" s="8" t="n"/>
      <c r="AF1010" s="8" t="n"/>
      <c r="AG1010" s="8" t="n"/>
      <c r="AH1010" s="8" t="n"/>
      <c r="AI1010" s="8" t="n"/>
      <c r="AJ1010" s="8" t="n"/>
    </row>
    <row r="1011" ht="15.75" customHeight="1" s="239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23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 t="n"/>
      <c r="Y1011" s="8" t="n"/>
      <c r="Z1011" s="8" t="n"/>
      <c r="AA1011" s="8" t="n"/>
      <c r="AB1011" s="8" t="n"/>
      <c r="AC1011" s="8" t="n"/>
      <c r="AD1011" s="238" t="n"/>
      <c r="AE1011" s="8" t="n"/>
      <c r="AF1011" s="8" t="n"/>
      <c r="AG1011" s="8" t="n"/>
      <c r="AH1011" s="8" t="n"/>
      <c r="AI1011" s="8" t="n"/>
      <c r="AJ1011" s="8" t="n"/>
    </row>
    <row r="1012" ht="15.75" customHeight="1" s="239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23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 t="n"/>
      <c r="Y1012" s="8" t="n"/>
      <c r="Z1012" s="8" t="n"/>
      <c r="AA1012" s="8" t="n"/>
      <c r="AB1012" s="8" t="n"/>
      <c r="AC1012" s="8" t="n"/>
      <c r="AD1012" s="238" t="n"/>
      <c r="AE1012" s="8" t="n"/>
      <c r="AF1012" s="8" t="n"/>
      <c r="AG1012" s="8" t="n"/>
      <c r="AH1012" s="8" t="n"/>
      <c r="AI1012" s="8" t="n"/>
      <c r="AJ1012" s="8" t="n"/>
    </row>
    <row r="1013" ht="15.75" customHeight="1" s="239">
      <c r="A1013" s="8" t="n"/>
      <c r="B1013" s="8" t="n"/>
      <c r="C1013" s="8" t="n"/>
      <c r="D1013" s="8" t="n"/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23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 t="n"/>
      <c r="Y1013" s="8" t="n"/>
      <c r="Z1013" s="8" t="n"/>
      <c r="AA1013" s="8" t="n"/>
      <c r="AB1013" s="8" t="n"/>
      <c r="AC1013" s="8" t="n"/>
      <c r="AD1013" s="238" t="n"/>
      <c r="AE1013" s="8" t="n"/>
      <c r="AF1013" s="8" t="n"/>
      <c r="AG1013" s="8" t="n"/>
      <c r="AH1013" s="8" t="n"/>
      <c r="AI1013" s="8" t="n"/>
      <c r="AJ1013" s="8" t="n"/>
    </row>
    <row r="1014" ht="15.75" customHeight="1" s="239">
      <c r="A1014" s="8" t="n"/>
      <c r="B1014" s="8" t="n"/>
      <c r="C1014" s="8" t="n"/>
      <c r="D1014" s="8" t="n"/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23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 t="n"/>
      <c r="Y1014" s="8" t="n"/>
      <c r="Z1014" s="8" t="n"/>
      <c r="AA1014" s="8" t="n"/>
      <c r="AB1014" s="8" t="n"/>
      <c r="AC1014" s="8" t="n"/>
      <c r="AD1014" s="238" t="n"/>
      <c r="AE1014" s="8" t="n"/>
      <c r="AF1014" s="8" t="n"/>
      <c r="AG1014" s="8" t="n"/>
      <c r="AH1014" s="8" t="n"/>
      <c r="AI1014" s="8" t="n"/>
      <c r="AJ1014" s="8" t="n"/>
    </row>
    <row r="1015" ht="15.75" customHeight="1" s="239">
      <c r="A1015" s="8" t="n"/>
      <c r="B1015" s="8" t="n"/>
      <c r="C1015" s="8" t="n"/>
      <c r="D1015" s="8" t="n"/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23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 t="n"/>
      <c r="Y1015" s="8" t="n"/>
      <c r="Z1015" s="8" t="n"/>
      <c r="AA1015" s="8" t="n"/>
      <c r="AB1015" s="8" t="n"/>
      <c r="AC1015" s="8" t="n"/>
      <c r="AD1015" s="238" t="n"/>
      <c r="AE1015" s="8" t="n"/>
      <c r="AF1015" s="8" t="n"/>
      <c r="AG1015" s="8" t="n"/>
      <c r="AH1015" s="8" t="n"/>
      <c r="AI1015" s="8" t="n"/>
      <c r="AJ1015" s="8" t="n"/>
    </row>
    <row r="1016" ht="15.75" customHeight="1" s="239">
      <c r="A1016" s="8" t="n"/>
      <c r="B1016" s="8" t="n"/>
      <c r="C1016" s="8" t="n"/>
      <c r="D1016" s="8" t="n"/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23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 t="n"/>
      <c r="Y1016" s="8" t="n"/>
      <c r="Z1016" s="8" t="n"/>
      <c r="AA1016" s="8" t="n"/>
      <c r="AB1016" s="8" t="n"/>
      <c r="AC1016" s="8" t="n"/>
      <c r="AD1016" s="238" t="n"/>
      <c r="AE1016" s="8" t="n"/>
      <c r="AF1016" s="8" t="n"/>
      <c r="AG1016" s="8" t="n"/>
      <c r="AH1016" s="8" t="n"/>
      <c r="AI1016" s="8" t="n"/>
      <c r="AJ1016" s="8" t="n"/>
    </row>
    <row r="1017" ht="15.75" customHeight="1" s="239">
      <c r="A1017" s="8" t="n"/>
      <c r="B1017" s="8" t="n"/>
      <c r="C1017" s="8" t="n"/>
      <c r="D1017" s="8" t="n"/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23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 t="n"/>
      <c r="Y1017" s="8" t="n"/>
      <c r="Z1017" s="8" t="n"/>
      <c r="AA1017" s="8" t="n"/>
      <c r="AB1017" s="8" t="n"/>
      <c r="AC1017" s="8" t="n"/>
      <c r="AD1017" s="238" t="n"/>
      <c r="AE1017" s="8" t="n"/>
      <c r="AF1017" s="8" t="n"/>
      <c r="AG1017" s="8" t="n"/>
      <c r="AH1017" s="8" t="n"/>
      <c r="AI1017" s="8" t="n"/>
      <c r="AJ1017" s="8" t="n"/>
    </row>
    <row r="1018" ht="15.75" customHeight="1" s="239">
      <c r="A1018" s="8" t="n"/>
      <c r="B1018" s="8" t="n"/>
      <c r="C1018" s="8" t="n"/>
      <c r="D1018" s="8" t="n"/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23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 t="n"/>
      <c r="Y1018" s="8" t="n"/>
      <c r="Z1018" s="8" t="n"/>
      <c r="AA1018" s="8" t="n"/>
      <c r="AB1018" s="8" t="n"/>
      <c r="AC1018" s="8" t="n"/>
      <c r="AD1018" s="238" t="n"/>
      <c r="AE1018" s="8" t="n"/>
      <c r="AF1018" s="8" t="n"/>
      <c r="AG1018" s="8" t="n"/>
      <c r="AH1018" s="8" t="n"/>
      <c r="AI1018" s="8" t="n"/>
      <c r="AJ1018" s="8" t="n"/>
    </row>
    <row r="1019" ht="15.75" customHeight="1" s="239">
      <c r="A1019" s="8" t="n"/>
      <c r="B1019" s="8" t="n"/>
      <c r="C1019" s="8" t="n"/>
      <c r="D1019" s="8" t="n"/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23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 t="n"/>
      <c r="Y1019" s="8" t="n"/>
      <c r="Z1019" s="8" t="n"/>
      <c r="AA1019" s="8" t="n"/>
      <c r="AB1019" s="8" t="n"/>
      <c r="AC1019" s="8" t="n"/>
      <c r="AD1019" s="238" t="n"/>
      <c r="AE1019" s="8" t="n"/>
      <c r="AF1019" s="8" t="n"/>
      <c r="AG1019" s="8" t="n"/>
      <c r="AH1019" s="8" t="n"/>
      <c r="AI1019" s="8" t="n"/>
      <c r="AJ1019" s="8" t="n"/>
    </row>
    <row r="1020" ht="15.75" customHeight="1" s="239">
      <c r="A1020" s="8" t="n"/>
      <c r="B1020" s="8" t="n"/>
      <c r="C1020" s="8" t="n"/>
      <c r="D1020" s="8" t="n"/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23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 t="n"/>
      <c r="Y1020" s="8" t="n"/>
      <c r="Z1020" s="8" t="n"/>
      <c r="AA1020" s="8" t="n"/>
      <c r="AB1020" s="8" t="n"/>
      <c r="AC1020" s="8" t="n"/>
      <c r="AD1020" s="238" t="n"/>
      <c r="AE1020" s="8" t="n"/>
      <c r="AF1020" s="8" t="n"/>
      <c r="AG1020" s="8" t="n"/>
      <c r="AH1020" s="8" t="n"/>
      <c r="AI1020" s="8" t="n"/>
      <c r="AJ1020" s="8" t="n"/>
    </row>
    <row r="1021" ht="15.75" customHeight="1" s="239">
      <c r="A1021" s="8" t="n"/>
      <c r="B1021" s="8" t="n"/>
      <c r="C1021" s="8" t="n"/>
      <c r="D1021" s="8" t="n"/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23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 t="n"/>
      <c r="Y1021" s="8" t="n"/>
      <c r="Z1021" s="8" t="n"/>
      <c r="AA1021" s="8" t="n"/>
      <c r="AB1021" s="8" t="n"/>
      <c r="AC1021" s="8" t="n"/>
      <c r="AD1021" s="238" t="n"/>
      <c r="AE1021" s="8" t="n"/>
      <c r="AF1021" s="8" t="n"/>
      <c r="AG1021" s="8" t="n"/>
      <c r="AH1021" s="8" t="n"/>
      <c r="AI1021" s="8" t="n"/>
      <c r="AJ1021" s="8" t="n"/>
    </row>
    <row r="1022" ht="15.75" customHeight="1" s="239">
      <c r="A1022" s="8" t="n"/>
      <c r="B1022" s="8" t="n"/>
      <c r="C1022" s="8" t="n"/>
      <c r="D1022" s="8" t="n"/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23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 t="n"/>
      <c r="Y1022" s="8" t="n"/>
      <c r="Z1022" s="8" t="n"/>
      <c r="AA1022" s="8" t="n"/>
      <c r="AB1022" s="8" t="n"/>
      <c r="AC1022" s="8" t="n"/>
      <c r="AD1022" s="238" t="n"/>
      <c r="AE1022" s="8" t="n"/>
      <c r="AF1022" s="8" t="n"/>
      <c r="AG1022" s="8" t="n"/>
      <c r="AH1022" s="8" t="n"/>
      <c r="AI1022" s="8" t="n"/>
      <c r="AJ1022" s="8" t="n"/>
    </row>
    <row r="1023" ht="15.75" customHeight="1" s="239">
      <c r="A1023" s="8" t="n"/>
      <c r="B1023" s="8" t="n"/>
      <c r="C1023" s="8" t="n"/>
      <c r="D1023" s="8" t="n"/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23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 t="n"/>
      <c r="Y1023" s="8" t="n"/>
      <c r="Z1023" s="8" t="n"/>
      <c r="AA1023" s="8" t="n"/>
      <c r="AB1023" s="8" t="n"/>
      <c r="AC1023" s="8" t="n"/>
      <c r="AD1023" s="238" t="n"/>
      <c r="AE1023" s="8" t="n"/>
      <c r="AF1023" s="8" t="n"/>
      <c r="AG1023" s="8" t="n"/>
      <c r="AH1023" s="8" t="n"/>
      <c r="AI1023" s="8" t="n"/>
      <c r="AJ1023" s="8" t="n"/>
    </row>
    <row r="1024" ht="15.75" customHeight="1" s="239">
      <c r="A1024" s="8" t="n"/>
      <c r="B1024" s="8" t="n"/>
      <c r="C1024" s="8" t="n"/>
      <c r="D1024" s="8" t="n"/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23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 t="n"/>
      <c r="Y1024" s="8" t="n"/>
      <c r="Z1024" s="8" t="n"/>
      <c r="AA1024" s="8" t="n"/>
      <c r="AB1024" s="8" t="n"/>
      <c r="AC1024" s="8" t="n"/>
      <c r="AD1024" s="238" t="n"/>
      <c r="AE1024" s="8" t="n"/>
      <c r="AF1024" s="8" t="n"/>
      <c r="AG1024" s="8" t="n"/>
      <c r="AH1024" s="8" t="n"/>
      <c r="AI1024" s="8" t="n"/>
      <c r="AJ1024" s="8" t="n"/>
    </row>
    <row r="1025" ht="15.75" customHeight="1" s="239">
      <c r="A1025" s="8" t="n"/>
      <c r="B1025" s="8" t="n"/>
      <c r="C1025" s="8" t="n"/>
      <c r="D1025" s="8" t="n"/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23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 t="n"/>
      <c r="Y1025" s="8" t="n"/>
      <c r="Z1025" s="8" t="n"/>
      <c r="AA1025" s="8" t="n"/>
      <c r="AB1025" s="8" t="n"/>
      <c r="AC1025" s="8" t="n"/>
      <c r="AD1025" s="238" t="n"/>
      <c r="AE1025" s="8" t="n"/>
      <c r="AF1025" s="8" t="n"/>
      <c r="AG1025" s="8" t="n"/>
      <c r="AH1025" s="8" t="n"/>
      <c r="AI1025" s="8" t="n"/>
      <c r="AJ1025" s="8" t="n"/>
    </row>
    <row r="1026" ht="15.75" customHeight="1" s="239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23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 t="n"/>
      <c r="Y1026" s="8" t="n"/>
      <c r="Z1026" s="8" t="n"/>
      <c r="AA1026" s="8" t="n"/>
      <c r="AB1026" s="8" t="n"/>
      <c r="AC1026" s="8" t="n"/>
      <c r="AD1026" s="238" t="n"/>
      <c r="AE1026" s="8" t="n"/>
      <c r="AF1026" s="8" t="n"/>
      <c r="AG1026" s="8" t="n"/>
      <c r="AH1026" s="8" t="n"/>
      <c r="AI1026" s="8" t="n"/>
      <c r="AJ1026" s="8" t="n"/>
    </row>
    <row r="1027" ht="15.75" customHeight="1" s="239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23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 t="n"/>
      <c r="Y1027" s="8" t="n"/>
      <c r="Z1027" s="8" t="n"/>
      <c r="AA1027" s="8" t="n"/>
      <c r="AB1027" s="8" t="n"/>
      <c r="AC1027" s="8" t="n"/>
      <c r="AD1027" s="238" t="n"/>
      <c r="AE1027" s="8" t="n"/>
      <c r="AF1027" s="8" t="n"/>
      <c r="AG1027" s="8" t="n"/>
      <c r="AH1027" s="8" t="n"/>
      <c r="AI1027" s="8" t="n"/>
      <c r="AJ1027" s="8" t="n"/>
    </row>
    <row r="1028" ht="15.75" customHeight="1" s="239">
      <c r="A1028" s="8" t="n"/>
      <c r="B1028" s="8" t="n"/>
      <c r="C1028" s="8" t="n"/>
      <c r="D1028" s="8" t="n"/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23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 t="n"/>
      <c r="Y1028" s="8" t="n"/>
      <c r="Z1028" s="8" t="n"/>
      <c r="AA1028" s="8" t="n"/>
      <c r="AB1028" s="8" t="n"/>
      <c r="AC1028" s="8" t="n"/>
      <c r="AD1028" s="238" t="n"/>
      <c r="AE1028" s="8" t="n"/>
      <c r="AF1028" s="8" t="n"/>
      <c r="AG1028" s="8" t="n"/>
      <c r="AH1028" s="8" t="n"/>
      <c r="AI1028" s="8" t="n"/>
      <c r="AJ1028" s="8" t="n"/>
    </row>
    <row r="1029" ht="15.75" customHeight="1" s="239">
      <c r="A1029" s="8" t="n"/>
      <c r="B1029" s="8" t="n"/>
      <c r="C1029" s="8" t="n"/>
      <c r="D1029" s="8" t="n"/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23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 t="n"/>
      <c r="Y1029" s="8" t="n"/>
      <c r="Z1029" s="8" t="n"/>
      <c r="AA1029" s="8" t="n"/>
      <c r="AB1029" s="8" t="n"/>
      <c r="AC1029" s="8" t="n"/>
      <c r="AD1029" s="238" t="n"/>
      <c r="AE1029" s="8" t="n"/>
      <c r="AF1029" s="8" t="n"/>
      <c r="AG1029" s="8" t="n"/>
      <c r="AH1029" s="8" t="n"/>
      <c r="AI1029" s="8" t="n"/>
      <c r="AJ1029" s="8" t="n"/>
    </row>
    <row r="1030" ht="15.75" customHeight="1" s="239">
      <c r="A1030" s="8" t="n"/>
      <c r="B1030" s="8" t="n"/>
      <c r="C1030" s="8" t="n"/>
      <c r="D1030" s="8" t="n"/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23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 t="n"/>
      <c r="Y1030" s="8" t="n"/>
      <c r="Z1030" s="8" t="n"/>
      <c r="AA1030" s="8" t="n"/>
      <c r="AB1030" s="8" t="n"/>
      <c r="AC1030" s="8" t="n"/>
      <c r="AD1030" s="238" t="n"/>
      <c r="AE1030" s="8" t="n"/>
      <c r="AF1030" s="8" t="n"/>
      <c r="AG1030" s="8" t="n"/>
      <c r="AH1030" s="8" t="n"/>
      <c r="AI1030" s="8" t="n"/>
      <c r="AJ1030" s="8" t="n"/>
    </row>
    <row r="1031" ht="15.75" customHeight="1" s="239">
      <c r="A1031" s="8" t="n"/>
      <c r="B1031" s="8" t="n"/>
      <c r="C1031" s="8" t="n"/>
      <c r="D1031" s="8" t="n"/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23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 t="n"/>
      <c r="Y1031" s="8" t="n"/>
      <c r="Z1031" s="8" t="n"/>
      <c r="AA1031" s="8" t="n"/>
      <c r="AB1031" s="8" t="n"/>
      <c r="AC1031" s="8" t="n"/>
      <c r="AD1031" s="238" t="n"/>
      <c r="AE1031" s="8" t="n"/>
      <c r="AF1031" s="8" t="n"/>
      <c r="AG1031" s="8" t="n"/>
      <c r="AH1031" s="8" t="n"/>
      <c r="AI1031" s="8" t="n"/>
      <c r="AJ1031" s="8" t="n"/>
    </row>
    <row r="1032" ht="15.75" customHeight="1" s="239">
      <c r="A1032" s="8" t="n"/>
      <c r="B1032" s="8" t="n"/>
      <c r="C1032" s="8" t="n"/>
      <c r="D1032" s="8" t="n"/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23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 t="n"/>
      <c r="Y1032" s="8" t="n"/>
      <c r="Z1032" s="8" t="n"/>
      <c r="AA1032" s="8" t="n"/>
      <c r="AB1032" s="8" t="n"/>
      <c r="AC1032" s="8" t="n"/>
      <c r="AD1032" s="238" t="n"/>
      <c r="AE1032" s="8" t="n"/>
      <c r="AF1032" s="8" t="n"/>
      <c r="AG1032" s="8" t="n"/>
      <c r="AH1032" s="8" t="n"/>
      <c r="AI1032" s="8" t="n"/>
      <c r="AJ1032" s="8" t="n"/>
    </row>
    <row r="1033" ht="15.75" customHeight="1" s="239">
      <c r="A1033" s="8" t="n"/>
      <c r="B1033" s="8" t="n"/>
      <c r="C1033" s="8" t="n"/>
      <c r="D1033" s="8" t="n"/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23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 t="n"/>
      <c r="Y1033" s="8" t="n"/>
      <c r="Z1033" s="8" t="n"/>
      <c r="AA1033" s="8" t="n"/>
      <c r="AB1033" s="8" t="n"/>
      <c r="AC1033" s="8" t="n"/>
      <c r="AD1033" s="238" t="n"/>
      <c r="AE1033" s="8" t="n"/>
      <c r="AF1033" s="8" t="n"/>
      <c r="AG1033" s="8" t="n"/>
      <c r="AH1033" s="8" t="n"/>
      <c r="AI1033" s="8" t="n"/>
      <c r="AJ1033" s="8" t="n"/>
    </row>
    <row r="1034" ht="15.75" customHeight="1" s="239">
      <c r="A1034" s="8" t="n"/>
      <c r="B1034" s="8" t="n"/>
      <c r="C1034" s="8" t="n"/>
      <c r="D1034" s="8" t="n"/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23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 t="n"/>
      <c r="Y1034" s="8" t="n"/>
      <c r="Z1034" s="8" t="n"/>
      <c r="AA1034" s="8" t="n"/>
      <c r="AB1034" s="8" t="n"/>
      <c r="AC1034" s="8" t="n"/>
      <c r="AD1034" s="238" t="n"/>
      <c r="AE1034" s="8" t="n"/>
      <c r="AF1034" s="8" t="n"/>
      <c r="AG1034" s="8" t="n"/>
      <c r="AH1034" s="8" t="n"/>
      <c r="AI1034" s="8" t="n"/>
      <c r="AJ1034" s="8" t="n"/>
    </row>
    <row r="1035" ht="15.75" customHeight="1" s="239">
      <c r="A1035" s="8" t="n"/>
      <c r="B1035" s="8" t="n"/>
      <c r="C1035" s="8" t="n"/>
      <c r="D1035" s="8" t="n"/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23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 t="n"/>
      <c r="Y1035" s="8" t="n"/>
      <c r="Z1035" s="8" t="n"/>
      <c r="AA1035" s="8" t="n"/>
      <c r="AB1035" s="8" t="n"/>
      <c r="AC1035" s="8" t="n"/>
      <c r="AD1035" s="238" t="n"/>
      <c r="AE1035" s="8" t="n"/>
      <c r="AF1035" s="8" t="n"/>
      <c r="AG1035" s="8" t="n"/>
      <c r="AH1035" s="8" t="n"/>
      <c r="AI1035" s="8" t="n"/>
      <c r="AJ1035" s="8" t="n"/>
    </row>
    <row r="1036" ht="15.75" customHeight="1" s="239">
      <c r="A1036" s="8" t="n"/>
      <c r="B1036" s="8" t="n"/>
      <c r="C1036" s="8" t="n"/>
      <c r="D1036" s="8" t="n"/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23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 t="n"/>
      <c r="Y1036" s="8" t="n"/>
      <c r="Z1036" s="8" t="n"/>
      <c r="AA1036" s="8" t="n"/>
      <c r="AB1036" s="8" t="n"/>
      <c r="AC1036" s="8" t="n"/>
      <c r="AD1036" s="238" t="n"/>
      <c r="AE1036" s="8" t="n"/>
      <c r="AF1036" s="8" t="n"/>
      <c r="AG1036" s="8" t="n"/>
      <c r="AH1036" s="8" t="n"/>
      <c r="AI1036" s="8" t="n"/>
      <c r="AJ1036" s="8" t="n"/>
    </row>
    <row r="1037" ht="15.75" customHeight="1" s="239">
      <c r="A1037" s="8" t="n"/>
      <c r="B1037" s="8" t="n"/>
      <c r="C1037" s="8" t="n"/>
      <c r="D1037" s="8" t="n"/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23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 t="n"/>
      <c r="Y1037" s="8" t="n"/>
      <c r="Z1037" s="8" t="n"/>
      <c r="AA1037" s="8" t="n"/>
      <c r="AB1037" s="8" t="n"/>
      <c r="AC1037" s="8" t="n"/>
      <c r="AD1037" s="238" t="n"/>
      <c r="AE1037" s="8" t="n"/>
      <c r="AF1037" s="8" t="n"/>
      <c r="AG1037" s="8" t="n"/>
      <c r="AH1037" s="8" t="n"/>
      <c r="AI1037" s="8" t="n"/>
      <c r="AJ1037" s="8" t="n"/>
    </row>
    <row r="1038" ht="15.75" customHeight="1" s="239">
      <c r="A1038" s="8" t="n"/>
      <c r="B1038" s="8" t="n"/>
      <c r="C1038" s="8" t="n"/>
      <c r="D1038" s="8" t="n"/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23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 t="n"/>
      <c r="Y1038" s="8" t="n"/>
      <c r="Z1038" s="8" t="n"/>
      <c r="AA1038" s="8" t="n"/>
      <c r="AB1038" s="8" t="n"/>
      <c r="AC1038" s="8" t="n"/>
      <c r="AD1038" s="238" t="n"/>
      <c r="AE1038" s="8" t="n"/>
      <c r="AF1038" s="8" t="n"/>
      <c r="AG1038" s="8" t="n"/>
      <c r="AH1038" s="8" t="n"/>
      <c r="AI1038" s="8" t="n"/>
      <c r="AJ1038" s="8" t="n"/>
    </row>
    <row r="1039" ht="15.75" customHeight="1" s="239">
      <c r="A1039" s="8" t="n"/>
      <c r="B1039" s="8" t="n"/>
      <c r="C1039" s="8" t="n"/>
      <c r="D1039" s="8" t="n"/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23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 t="n"/>
      <c r="Y1039" s="8" t="n"/>
      <c r="Z1039" s="8" t="n"/>
      <c r="AA1039" s="8" t="n"/>
      <c r="AB1039" s="8" t="n"/>
      <c r="AC1039" s="8" t="n"/>
      <c r="AD1039" s="238" t="n"/>
      <c r="AE1039" s="8" t="n"/>
      <c r="AF1039" s="8" t="n"/>
      <c r="AG1039" s="8" t="n"/>
      <c r="AH1039" s="8" t="n"/>
      <c r="AI1039" s="8" t="n"/>
      <c r="AJ1039" s="8" t="n"/>
    </row>
    <row r="1040" ht="15.75" customHeight="1" s="239">
      <c r="A1040" s="8" t="n"/>
      <c r="B1040" s="8" t="n"/>
      <c r="C1040" s="8" t="n"/>
      <c r="D1040" s="8" t="n"/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23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 t="n"/>
      <c r="Y1040" s="8" t="n"/>
      <c r="Z1040" s="8" t="n"/>
      <c r="AA1040" s="8" t="n"/>
      <c r="AB1040" s="8" t="n"/>
      <c r="AC1040" s="8" t="n"/>
      <c r="AD1040" s="238" t="n"/>
      <c r="AE1040" s="8" t="n"/>
      <c r="AF1040" s="8" t="n"/>
      <c r="AG1040" s="8" t="n"/>
      <c r="AH1040" s="8" t="n"/>
      <c r="AI1040" s="8" t="n"/>
      <c r="AJ1040" s="8" t="n"/>
    </row>
    <row r="1041" ht="15.75" customHeight="1" s="239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23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 t="n"/>
      <c r="Y1041" s="8" t="n"/>
      <c r="Z1041" s="8" t="n"/>
      <c r="AA1041" s="8" t="n"/>
      <c r="AB1041" s="8" t="n"/>
      <c r="AC1041" s="8" t="n"/>
      <c r="AD1041" s="238" t="n"/>
      <c r="AE1041" s="8" t="n"/>
      <c r="AF1041" s="8" t="n"/>
      <c r="AG1041" s="8" t="n"/>
      <c r="AH1041" s="8" t="n"/>
      <c r="AI1041" s="8" t="n"/>
      <c r="AJ1041" s="8" t="n"/>
    </row>
    <row r="1042" ht="15.75" customHeight="1" s="239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23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 t="n"/>
      <c r="Y1042" s="8" t="n"/>
      <c r="Z1042" s="8" t="n"/>
      <c r="AA1042" s="8" t="n"/>
      <c r="AB1042" s="8" t="n"/>
      <c r="AC1042" s="8" t="n"/>
      <c r="AD1042" s="238" t="n"/>
      <c r="AE1042" s="8" t="n"/>
      <c r="AF1042" s="8" t="n"/>
      <c r="AG1042" s="8" t="n"/>
      <c r="AH1042" s="8" t="n"/>
      <c r="AI1042" s="8" t="n"/>
      <c r="AJ1042" s="8" t="n"/>
    </row>
    <row r="1043" ht="15.75" customHeight="1" s="239">
      <c r="A1043" s="8" t="n"/>
      <c r="B1043" s="8" t="n"/>
      <c r="C1043" s="8" t="n"/>
      <c r="D1043" s="8" t="n"/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23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 t="n"/>
      <c r="Y1043" s="8" t="n"/>
      <c r="Z1043" s="8" t="n"/>
      <c r="AA1043" s="8" t="n"/>
      <c r="AB1043" s="8" t="n"/>
      <c r="AC1043" s="8" t="n"/>
      <c r="AD1043" s="238" t="n"/>
      <c r="AE1043" s="8" t="n"/>
      <c r="AF1043" s="8" t="n"/>
      <c r="AG1043" s="8" t="n"/>
      <c r="AH1043" s="8" t="n"/>
      <c r="AI1043" s="8" t="n"/>
      <c r="AJ1043" s="8" t="n"/>
    </row>
    <row r="1044" ht="15.75" customHeight="1" s="239">
      <c r="A1044" s="8" t="n"/>
      <c r="B1044" s="8" t="n"/>
      <c r="C1044" s="8" t="n"/>
      <c r="D1044" s="8" t="n"/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23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 t="n"/>
      <c r="Y1044" s="8" t="n"/>
      <c r="Z1044" s="8" t="n"/>
      <c r="AA1044" s="8" t="n"/>
      <c r="AB1044" s="8" t="n"/>
      <c r="AC1044" s="8" t="n"/>
      <c r="AD1044" s="238" t="n"/>
      <c r="AE1044" s="8" t="n"/>
      <c r="AF1044" s="8" t="n"/>
      <c r="AG1044" s="8" t="n"/>
      <c r="AH1044" s="8" t="n"/>
      <c r="AI1044" s="8" t="n"/>
      <c r="AJ1044" s="8" t="n"/>
    </row>
    <row r="1045" ht="15.75" customHeight="1" s="239">
      <c r="A1045" s="8" t="n"/>
      <c r="B1045" s="8" t="n"/>
      <c r="C1045" s="8" t="n"/>
      <c r="D1045" s="8" t="n"/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23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 t="n"/>
      <c r="Y1045" s="8" t="n"/>
      <c r="Z1045" s="8" t="n"/>
      <c r="AA1045" s="8" t="n"/>
      <c r="AB1045" s="8" t="n"/>
      <c r="AC1045" s="8" t="n"/>
      <c r="AD1045" s="238" t="n"/>
      <c r="AE1045" s="8" t="n"/>
      <c r="AF1045" s="8" t="n"/>
      <c r="AG1045" s="8" t="n"/>
      <c r="AH1045" s="8" t="n"/>
      <c r="AI1045" s="8" t="n"/>
      <c r="AJ1045" s="8" t="n"/>
    </row>
    <row r="1046" ht="15.75" customHeight="1" s="239">
      <c r="A1046" s="8" t="n"/>
      <c r="B1046" s="8" t="n"/>
      <c r="C1046" s="8" t="n"/>
      <c r="D1046" s="8" t="n"/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23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 t="n"/>
      <c r="Y1046" s="8" t="n"/>
      <c r="Z1046" s="8" t="n"/>
      <c r="AA1046" s="8" t="n"/>
      <c r="AB1046" s="8" t="n"/>
      <c r="AC1046" s="8" t="n"/>
      <c r="AD1046" s="238" t="n"/>
      <c r="AE1046" s="8" t="n"/>
      <c r="AF1046" s="8" t="n"/>
      <c r="AG1046" s="8" t="n"/>
      <c r="AH1046" s="8" t="n"/>
      <c r="AI1046" s="8" t="n"/>
      <c r="AJ1046" s="8" t="n"/>
    </row>
    <row r="1047" ht="15.75" customHeight="1" s="239">
      <c r="A1047" s="8" t="n"/>
      <c r="B1047" s="8" t="n"/>
      <c r="C1047" s="8" t="n"/>
      <c r="D1047" s="8" t="n"/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23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 t="n"/>
      <c r="Y1047" s="8" t="n"/>
      <c r="Z1047" s="8" t="n"/>
      <c r="AA1047" s="8" t="n"/>
      <c r="AB1047" s="8" t="n"/>
      <c r="AC1047" s="8" t="n"/>
      <c r="AD1047" s="238" t="n"/>
      <c r="AE1047" s="8" t="n"/>
      <c r="AF1047" s="8" t="n"/>
      <c r="AG1047" s="8" t="n"/>
      <c r="AH1047" s="8" t="n"/>
      <c r="AI1047" s="8" t="n"/>
      <c r="AJ1047" s="8" t="n"/>
    </row>
    <row r="1048" ht="15.75" customHeight="1" s="239">
      <c r="A1048" s="8" t="n"/>
      <c r="B1048" s="8" t="n"/>
      <c r="C1048" s="8" t="n"/>
      <c r="D1048" s="8" t="n"/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23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 t="n"/>
      <c r="Y1048" s="8" t="n"/>
      <c r="Z1048" s="8" t="n"/>
      <c r="AA1048" s="8" t="n"/>
      <c r="AB1048" s="8" t="n"/>
      <c r="AC1048" s="8" t="n"/>
      <c r="AD1048" s="238" t="n"/>
      <c r="AE1048" s="8" t="n"/>
      <c r="AF1048" s="8" t="n"/>
      <c r="AG1048" s="8" t="n"/>
      <c r="AH1048" s="8" t="n"/>
      <c r="AI1048" s="8" t="n"/>
      <c r="AJ1048" s="8" t="n"/>
    </row>
    <row r="1049" ht="15.75" customHeight="1" s="239">
      <c r="A1049" s="8" t="n"/>
      <c r="B1049" s="8" t="n"/>
      <c r="C1049" s="8" t="n"/>
      <c r="D1049" s="8" t="n"/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23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 t="n"/>
      <c r="Y1049" s="8" t="n"/>
      <c r="Z1049" s="8" t="n"/>
      <c r="AA1049" s="8" t="n"/>
      <c r="AB1049" s="8" t="n"/>
      <c r="AC1049" s="8" t="n"/>
      <c r="AD1049" s="238" t="n"/>
      <c r="AE1049" s="8" t="n"/>
      <c r="AF1049" s="8" t="n"/>
      <c r="AG1049" s="8" t="n"/>
      <c r="AH1049" s="8" t="n"/>
      <c r="AI1049" s="8" t="n"/>
      <c r="AJ1049" s="8" t="n"/>
    </row>
    <row r="1050" ht="15.75" customHeight="1" s="239">
      <c r="A1050" s="8" t="n"/>
      <c r="B1050" s="8" t="n"/>
      <c r="C1050" s="8" t="n"/>
      <c r="D1050" s="8" t="n"/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23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 t="n"/>
      <c r="Y1050" s="8" t="n"/>
      <c r="Z1050" s="8" t="n"/>
      <c r="AA1050" s="8" t="n"/>
      <c r="AB1050" s="8" t="n"/>
      <c r="AC1050" s="8" t="n"/>
      <c r="AD1050" s="238" t="n"/>
      <c r="AE1050" s="8" t="n"/>
      <c r="AF1050" s="8" t="n"/>
      <c r="AG1050" s="8" t="n"/>
      <c r="AH1050" s="8" t="n"/>
      <c r="AI1050" s="8" t="n"/>
      <c r="AJ1050" s="8" t="n"/>
    </row>
    <row r="1051" ht="15.75" customHeight="1" s="239">
      <c r="A1051" s="8" t="n"/>
      <c r="B1051" s="8" t="n"/>
      <c r="C1051" s="8" t="n"/>
      <c r="D1051" s="8" t="n"/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23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 t="n"/>
      <c r="Y1051" s="8" t="n"/>
      <c r="Z1051" s="8" t="n"/>
      <c r="AA1051" s="8" t="n"/>
      <c r="AB1051" s="8" t="n"/>
      <c r="AC1051" s="8" t="n"/>
      <c r="AD1051" s="238" t="n"/>
      <c r="AE1051" s="8" t="n"/>
      <c r="AF1051" s="8" t="n"/>
      <c r="AG1051" s="8" t="n"/>
      <c r="AH1051" s="8" t="n"/>
      <c r="AI1051" s="8" t="n"/>
      <c r="AJ1051" s="8" t="n"/>
    </row>
    <row r="1052" ht="15.75" customHeight="1" s="239">
      <c r="A1052" s="8" t="n"/>
      <c r="B1052" s="8" t="n"/>
      <c r="C1052" s="8" t="n"/>
      <c r="D1052" s="8" t="n"/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23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 t="n"/>
      <c r="Y1052" s="8" t="n"/>
      <c r="Z1052" s="8" t="n"/>
      <c r="AA1052" s="8" t="n"/>
      <c r="AB1052" s="8" t="n"/>
      <c r="AC1052" s="8" t="n"/>
      <c r="AD1052" s="238" t="n"/>
      <c r="AE1052" s="8" t="n"/>
      <c r="AF1052" s="8" t="n"/>
      <c r="AG1052" s="8" t="n"/>
      <c r="AH1052" s="8" t="n"/>
      <c r="AI1052" s="8" t="n"/>
      <c r="AJ1052" s="8" t="n"/>
    </row>
    <row r="1053" ht="15.75" customHeight="1" s="239">
      <c r="A1053" s="8" t="n"/>
      <c r="B1053" s="8" t="n"/>
      <c r="C1053" s="8" t="n"/>
      <c r="D1053" s="8" t="n"/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23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 t="n"/>
      <c r="Y1053" s="8" t="n"/>
      <c r="Z1053" s="8" t="n"/>
      <c r="AA1053" s="8" t="n"/>
      <c r="AB1053" s="8" t="n"/>
      <c r="AC1053" s="8" t="n"/>
      <c r="AD1053" s="238" t="n"/>
      <c r="AE1053" s="8" t="n"/>
      <c r="AF1053" s="8" t="n"/>
      <c r="AG1053" s="8" t="n"/>
      <c r="AH1053" s="8" t="n"/>
      <c r="AI1053" s="8" t="n"/>
      <c r="AJ1053" s="8" t="n"/>
    </row>
    <row r="1054" ht="15.75" customHeight="1" s="239">
      <c r="A1054" s="8" t="n"/>
      <c r="B1054" s="8" t="n"/>
      <c r="C1054" s="8" t="n"/>
      <c r="D1054" s="8" t="n"/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23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 t="n"/>
      <c r="Y1054" s="8" t="n"/>
      <c r="Z1054" s="8" t="n"/>
      <c r="AA1054" s="8" t="n"/>
      <c r="AB1054" s="8" t="n"/>
      <c r="AC1054" s="8" t="n"/>
      <c r="AD1054" s="238" t="n"/>
      <c r="AE1054" s="8" t="n"/>
      <c r="AF1054" s="8" t="n"/>
      <c r="AG1054" s="8" t="n"/>
      <c r="AH1054" s="8" t="n"/>
      <c r="AI1054" s="8" t="n"/>
      <c r="AJ1054" s="8" t="n"/>
    </row>
    <row r="1055" ht="15.75" customHeight="1" s="239">
      <c r="A1055" s="8" t="n"/>
      <c r="B1055" s="8" t="n"/>
      <c r="C1055" s="8" t="n"/>
      <c r="D1055" s="8" t="n"/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23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 t="n"/>
      <c r="Y1055" s="8" t="n"/>
      <c r="Z1055" s="8" t="n"/>
      <c r="AA1055" s="8" t="n"/>
      <c r="AB1055" s="8" t="n"/>
      <c r="AC1055" s="8" t="n"/>
      <c r="AD1055" s="238" t="n"/>
      <c r="AE1055" s="8" t="n"/>
      <c r="AF1055" s="8" t="n"/>
      <c r="AG1055" s="8" t="n"/>
      <c r="AH1055" s="8" t="n"/>
      <c r="AI1055" s="8" t="n"/>
      <c r="AJ1055" s="8" t="n"/>
    </row>
    <row r="1056" ht="15.75" customHeight="1" s="239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23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 t="n"/>
      <c r="Y1056" s="8" t="n"/>
      <c r="Z1056" s="8" t="n"/>
      <c r="AA1056" s="8" t="n"/>
      <c r="AB1056" s="8" t="n"/>
      <c r="AC1056" s="8" t="n"/>
      <c r="AD1056" s="238" t="n"/>
      <c r="AE1056" s="8" t="n"/>
      <c r="AF1056" s="8" t="n"/>
      <c r="AG1056" s="8" t="n"/>
      <c r="AH1056" s="8" t="n"/>
      <c r="AI1056" s="8" t="n"/>
      <c r="AJ1056" s="8" t="n"/>
    </row>
    <row r="1057" ht="15.75" customHeight="1" s="239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23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 t="n"/>
      <c r="Y1057" s="8" t="n"/>
      <c r="Z1057" s="8" t="n"/>
      <c r="AA1057" s="8" t="n"/>
      <c r="AB1057" s="8" t="n"/>
      <c r="AC1057" s="8" t="n"/>
      <c r="AD1057" s="238" t="n"/>
      <c r="AE1057" s="8" t="n"/>
      <c r="AF1057" s="8" t="n"/>
      <c r="AG1057" s="8" t="n"/>
      <c r="AH1057" s="8" t="n"/>
      <c r="AI1057" s="8" t="n"/>
      <c r="AJ1057" s="8" t="n"/>
    </row>
    <row r="1058" ht="15.75" customHeight="1" s="239">
      <c r="A1058" s="8" t="n"/>
      <c r="B1058" s="8" t="n"/>
      <c r="C1058" s="8" t="n"/>
      <c r="D1058" s="8" t="n"/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23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 t="n"/>
      <c r="Y1058" s="8" t="n"/>
      <c r="Z1058" s="8" t="n"/>
      <c r="AA1058" s="8" t="n"/>
      <c r="AB1058" s="8" t="n"/>
      <c r="AC1058" s="8" t="n"/>
      <c r="AD1058" s="238" t="n"/>
      <c r="AE1058" s="8" t="n"/>
      <c r="AF1058" s="8" t="n"/>
      <c r="AG1058" s="8" t="n"/>
      <c r="AH1058" s="8" t="n"/>
      <c r="AI1058" s="8" t="n"/>
      <c r="AJ1058" s="8" t="n"/>
    </row>
    <row r="1059" ht="15.75" customHeight="1" s="239">
      <c r="A1059" s="8" t="n"/>
      <c r="B1059" s="8" t="n"/>
      <c r="C1059" s="8" t="n"/>
      <c r="D1059" s="8" t="n"/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23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 t="n"/>
      <c r="Y1059" s="8" t="n"/>
      <c r="Z1059" s="8" t="n"/>
      <c r="AA1059" s="8" t="n"/>
      <c r="AB1059" s="8" t="n"/>
      <c r="AC1059" s="8" t="n"/>
      <c r="AD1059" s="238" t="n"/>
      <c r="AE1059" s="8" t="n"/>
      <c r="AF1059" s="8" t="n"/>
      <c r="AG1059" s="8" t="n"/>
      <c r="AH1059" s="8" t="n"/>
      <c r="AI1059" s="8" t="n"/>
      <c r="AJ1059" s="8" t="n"/>
    </row>
    <row r="1060" ht="15.75" customHeight="1" s="239">
      <c r="A1060" s="8" t="n"/>
      <c r="B1060" s="8" t="n"/>
      <c r="C1060" s="8" t="n"/>
      <c r="D1060" s="8" t="n"/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23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 t="n"/>
      <c r="Y1060" s="8" t="n"/>
      <c r="Z1060" s="8" t="n"/>
      <c r="AA1060" s="8" t="n"/>
      <c r="AB1060" s="8" t="n"/>
      <c r="AC1060" s="8" t="n"/>
      <c r="AD1060" s="238" t="n"/>
      <c r="AE1060" s="8" t="n"/>
      <c r="AF1060" s="8" t="n"/>
      <c r="AG1060" s="8" t="n"/>
      <c r="AH1060" s="8" t="n"/>
      <c r="AI1060" s="8" t="n"/>
      <c r="AJ1060" s="8" t="n"/>
    </row>
    <row r="1061" ht="15.75" customHeight="1" s="239">
      <c r="A1061" s="8" t="n"/>
      <c r="B1061" s="8" t="n"/>
      <c r="C1061" s="8" t="n"/>
      <c r="D1061" s="8" t="n"/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23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 t="n"/>
      <c r="Y1061" s="8" t="n"/>
      <c r="Z1061" s="8" t="n"/>
      <c r="AA1061" s="8" t="n"/>
      <c r="AB1061" s="8" t="n"/>
      <c r="AC1061" s="8" t="n"/>
      <c r="AD1061" s="238" t="n"/>
      <c r="AE1061" s="8" t="n"/>
      <c r="AF1061" s="8" t="n"/>
      <c r="AG1061" s="8" t="n"/>
      <c r="AH1061" s="8" t="n"/>
      <c r="AI1061" s="8" t="n"/>
      <c r="AJ1061" s="8" t="n"/>
    </row>
    <row r="1062" ht="15.75" customHeight="1" s="239">
      <c r="A1062" s="8" t="n"/>
      <c r="B1062" s="8" t="n"/>
      <c r="C1062" s="8" t="n"/>
      <c r="D1062" s="8" t="n"/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23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 t="n"/>
      <c r="Y1062" s="8" t="n"/>
      <c r="Z1062" s="8" t="n"/>
      <c r="AA1062" s="8" t="n"/>
      <c r="AB1062" s="8" t="n"/>
      <c r="AC1062" s="8" t="n"/>
      <c r="AD1062" s="238" t="n"/>
      <c r="AE1062" s="8" t="n"/>
      <c r="AF1062" s="8" t="n"/>
      <c r="AG1062" s="8" t="n"/>
      <c r="AH1062" s="8" t="n"/>
      <c r="AI1062" s="8" t="n"/>
      <c r="AJ1062" s="8" t="n"/>
    </row>
    <row r="1063" ht="15.75" customHeight="1" s="239">
      <c r="A1063" s="8" t="n"/>
      <c r="B1063" s="8" t="n"/>
      <c r="C1063" s="8" t="n"/>
      <c r="D1063" s="8" t="n"/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23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 t="n"/>
      <c r="Y1063" s="8" t="n"/>
      <c r="Z1063" s="8" t="n"/>
      <c r="AA1063" s="8" t="n"/>
      <c r="AB1063" s="8" t="n"/>
      <c r="AC1063" s="8" t="n"/>
      <c r="AD1063" s="238" t="n"/>
      <c r="AE1063" s="8" t="n"/>
      <c r="AF1063" s="8" t="n"/>
      <c r="AG1063" s="8" t="n"/>
      <c r="AH1063" s="8" t="n"/>
      <c r="AI1063" s="8" t="n"/>
      <c r="AJ1063" s="8" t="n"/>
    </row>
    <row r="1064" ht="15.75" customHeight="1" s="239">
      <c r="A1064" s="8" t="n"/>
      <c r="B1064" s="8" t="n"/>
      <c r="C1064" s="8" t="n"/>
      <c r="D1064" s="8" t="n"/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23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 t="n"/>
      <c r="Y1064" s="8" t="n"/>
      <c r="Z1064" s="8" t="n"/>
      <c r="AA1064" s="8" t="n"/>
      <c r="AB1064" s="8" t="n"/>
      <c r="AC1064" s="8" t="n"/>
      <c r="AD1064" s="238" t="n"/>
      <c r="AE1064" s="8" t="n"/>
      <c r="AF1064" s="8" t="n"/>
      <c r="AG1064" s="8" t="n"/>
      <c r="AH1064" s="8" t="n"/>
      <c r="AI1064" s="8" t="n"/>
      <c r="AJ1064" s="8" t="n"/>
    </row>
    <row r="1065" ht="15.75" customHeight="1" s="239">
      <c r="A1065" s="8" t="n"/>
      <c r="B1065" s="8" t="n"/>
      <c r="C1065" s="8" t="n"/>
      <c r="D1065" s="8" t="n"/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23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 t="n"/>
      <c r="Y1065" s="8" t="n"/>
      <c r="Z1065" s="8" t="n"/>
      <c r="AA1065" s="8" t="n"/>
      <c r="AB1065" s="8" t="n"/>
      <c r="AC1065" s="8" t="n"/>
      <c r="AD1065" s="238" t="n"/>
      <c r="AE1065" s="8" t="n"/>
      <c r="AF1065" s="8" t="n"/>
      <c r="AG1065" s="8" t="n"/>
      <c r="AH1065" s="8" t="n"/>
      <c r="AI1065" s="8" t="n"/>
      <c r="AJ1065" s="8" t="n"/>
    </row>
    <row r="1066" ht="15.75" customHeight="1" s="239">
      <c r="A1066" s="8" t="n"/>
      <c r="B1066" s="8" t="n"/>
      <c r="C1066" s="8" t="n"/>
      <c r="D1066" s="8" t="n"/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23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 t="n"/>
      <c r="Y1066" s="8" t="n"/>
      <c r="Z1066" s="8" t="n"/>
      <c r="AA1066" s="8" t="n"/>
      <c r="AB1066" s="8" t="n"/>
      <c r="AC1066" s="8" t="n"/>
      <c r="AD1066" s="238" t="n"/>
      <c r="AE1066" s="8" t="n"/>
      <c r="AF1066" s="8" t="n"/>
      <c r="AG1066" s="8" t="n"/>
      <c r="AH1066" s="8" t="n"/>
      <c r="AI1066" s="8" t="n"/>
      <c r="AJ1066" s="8" t="n"/>
    </row>
    <row r="1067" ht="15.75" customHeight="1" s="239">
      <c r="A1067" s="8" t="n"/>
      <c r="B1067" s="8" t="n"/>
      <c r="C1067" s="8" t="n"/>
      <c r="D1067" s="8" t="n"/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23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 t="n"/>
      <c r="Y1067" s="8" t="n"/>
      <c r="Z1067" s="8" t="n"/>
      <c r="AA1067" s="8" t="n"/>
      <c r="AB1067" s="8" t="n"/>
      <c r="AC1067" s="8" t="n"/>
      <c r="AD1067" s="238" t="n"/>
      <c r="AE1067" s="8" t="n"/>
      <c r="AF1067" s="8" t="n"/>
      <c r="AG1067" s="8" t="n"/>
      <c r="AH1067" s="8" t="n"/>
      <c r="AI1067" s="8" t="n"/>
      <c r="AJ1067" s="8" t="n"/>
    </row>
    <row r="1068" ht="15.75" customHeight="1" s="239">
      <c r="A1068" s="8" t="n"/>
      <c r="B1068" s="8" t="n"/>
      <c r="C1068" s="8" t="n"/>
      <c r="D1068" s="8" t="n"/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23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 t="n"/>
      <c r="Y1068" s="8" t="n"/>
      <c r="Z1068" s="8" t="n"/>
      <c r="AA1068" s="8" t="n"/>
      <c r="AB1068" s="8" t="n"/>
      <c r="AC1068" s="8" t="n"/>
      <c r="AD1068" s="238" t="n"/>
      <c r="AE1068" s="8" t="n"/>
      <c r="AF1068" s="8" t="n"/>
      <c r="AG1068" s="8" t="n"/>
      <c r="AH1068" s="8" t="n"/>
      <c r="AI1068" s="8" t="n"/>
      <c r="AJ1068" s="8" t="n"/>
    </row>
    <row r="1069" ht="15.75" customHeight="1" s="239">
      <c r="A1069" s="8" t="n"/>
      <c r="B1069" s="8" t="n"/>
      <c r="C1069" s="8" t="n"/>
      <c r="D1069" s="8" t="n"/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23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 t="n"/>
      <c r="Y1069" s="8" t="n"/>
      <c r="Z1069" s="8" t="n"/>
      <c r="AA1069" s="8" t="n"/>
      <c r="AB1069" s="8" t="n"/>
      <c r="AC1069" s="8" t="n"/>
      <c r="AD1069" s="238" t="n"/>
      <c r="AE1069" s="8" t="n"/>
      <c r="AF1069" s="8" t="n"/>
      <c r="AG1069" s="8" t="n"/>
      <c r="AH1069" s="8" t="n"/>
      <c r="AI1069" s="8" t="n"/>
      <c r="AJ1069" s="8" t="n"/>
    </row>
    <row r="1070" ht="15.75" customHeight="1" s="239">
      <c r="A1070" s="8" t="n"/>
      <c r="B1070" s="8" t="n"/>
      <c r="C1070" s="8" t="n"/>
      <c r="D1070" s="8" t="n"/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23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 t="n"/>
      <c r="Y1070" s="8" t="n"/>
      <c r="Z1070" s="8" t="n"/>
      <c r="AA1070" s="8" t="n"/>
      <c r="AB1070" s="8" t="n"/>
      <c r="AC1070" s="8" t="n"/>
      <c r="AD1070" s="238" t="n"/>
      <c r="AE1070" s="8" t="n"/>
      <c r="AF1070" s="8" t="n"/>
      <c r="AG1070" s="8" t="n"/>
      <c r="AH1070" s="8" t="n"/>
      <c r="AI1070" s="8" t="n"/>
      <c r="AJ1070" s="8" t="n"/>
    </row>
    <row r="1071" ht="15.75" customHeight="1" s="239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23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 t="n"/>
      <c r="Y1071" s="8" t="n"/>
      <c r="Z1071" s="8" t="n"/>
      <c r="AA1071" s="8" t="n"/>
      <c r="AB1071" s="8" t="n"/>
      <c r="AC1071" s="8" t="n"/>
      <c r="AD1071" s="238" t="n"/>
      <c r="AE1071" s="8" t="n"/>
      <c r="AF1071" s="8" t="n"/>
      <c r="AG1071" s="8" t="n"/>
      <c r="AH1071" s="8" t="n"/>
      <c r="AI1071" s="8" t="n"/>
      <c r="AJ1071" s="8" t="n"/>
    </row>
    <row r="1072" ht="15.75" customHeight="1" s="239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23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 t="n"/>
      <c r="Y1072" s="8" t="n"/>
      <c r="Z1072" s="8" t="n"/>
      <c r="AA1072" s="8" t="n"/>
      <c r="AB1072" s="8" t="n"/>
      <c r="AC1072" s="8" t="n"/>
      <c r="AD1072" s="238" t="n"/>
      <c r="AE1072" s="8" t="n"/>
      <c r="AF1072" s="8" t="n"/>
      <c r="AG1072" s="8" t="n"/>
      <c r="AH1072" s="8" t="n"/>
      <c r="AI1072" s="8" t="n"/>
      <c r="AJ1072" s="8" t="n"/>
    </row>
    <row r="1073" ht="15.75" customHeight="1" s="239">
      <c r="A1073" s="8" t="n"/>
      <c r="B1073" s="8" t="n"/>
      <c r="C1073" s="8" t="n"/>
      <c r="D1073" s="8" t="n"/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23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 t="n"/>
      <c r="Y1073" s="8" t="n"/>
      <c r="Z1073" s="8" t="n"/>
      <c r="AA1073" s="8" t="n"/>
      <c r="AB1073" s="8" t="n"/>
      <c r="AC1073" s="8" t="n"/>
      <c r="AD1073" s="238" t="n"/>
      <c r="AE1073" s="8" t="n"/>
      <c r="AF1073" s="8" t="n"/>
      <c r="AG1073" s="8" t="n"/>
      <c r="AH1073" s="8" t="n"/>
      <c r="AI1073" s="8" t="n"/>
      <c r="AJ1073" s="8" t="n"/>
    </row>
    <row r="1074" ht="15.75" customHeight="1" s="239">
      <c r="A1074" s="8" t="n"/>
      <c r="B1074" s="8" t="n"/>
      <c r="C1074" s="8" t="n"/>
      <c r="D1074" s="8" t="n"/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23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 t="n"/>
      <c r="Y1074" s="8" t="n"/>
      <c r="Z1074" s="8" t="n"/>
      <c r="AA1074" s="8" t="n"/>
      <c r="AB1074" s="8" t="n"/>
      <c r="AC1074" s="8" t="n"/>
      <c r="AD1074" s="238" t="n"/>
      <c r="AE1074" s="8" t="n"/>
      <c r="AF1074" s="8" t="n"/>
      <c r="AG1074" s="8" t="n"/>
      <c r="AH1074" s="8" t="n"/>
      <c r="AI1074" s="8" t="n"/>
      <c r="AJ1074" s="8" t="n"/>
    </row>
    <row r="1075" ht="15.75" customHeight="1" s="239">
      <c r="A1075" s="8" t="n"/>
      <c r="B1075" s="8" t="n"/>
      <c r="C1075" s="8" t="n"/>
      <c r="D1075" s="8" t="n"/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23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 t="n"/>
      <c r="Y1075" s="8" t="n"/>
      <c r="Z1075" s="8" t="n"/>
      <c r="AA1075" s="8" t="n"/>
      <c r="AB1075" s="8" t="n"/>
      <c r="AC1075" s="8" t="n"/>
      <c r="AD1075" s="238" t="n"/>
      <c r="AE1075" s="8" t="n"/>
      <c r="AF1075" s="8" t="n"/>
      <c r="AG1075" s="8" t="n"/>
      <c r="AH1075" s="8" t="n"/>
      <c r="AI1075" s="8" t="n"/>
      <c r="AJ1075" s="8" t="n"/>
    </row>
    <row r="1076" ht="15.75" customHeight="1" s="239">
      <c r="A1076" s="8" t="n"/>
      <c r="B1076" s="8" t="n"/>
      <c r="C1076" s="8" t="n"/>
      <c r="D1076" s="8" t="n"/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23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 t="n"/>
      <c r="Y1076" s="8" t="n"/>
      <c r="Z1076" s="8" t="n"/>
      <c r="AA1076" s="8" t="n"/>
      <c r="AB1076" s="8" t="n"/>
      <c r="AC1076" s="8" t="n"/>
      <c r="AD1076" s="238" t="n"/>
      <c r="AE1076" s="8" t="n"/>
      <c r="AF1076" s="8" t="n"/>
      <c r="AG1076" s="8" t="n"/>
      <c r="AH1076" s="8" t="n"/>
      <c r="AI1076" s="8" t="n"/>
      <c r="AJ1076" s="8" t="n"/>
    </row>
    <row r="1077" ht="15.75" customHeight="1" s="239">
      <c r="A1077" s="8" t="n"/>
      <c r="B1077" s="8" t="n"/>
      <c r="C1077" s="8" t="n"/>
      <c r="D1077" s="8" t="n"/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23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 t="n"/>
      <c r="Y1077" s="8" t="n"/>
      <c r="Z1077" s="8" t="n"/>
      <c r="AA1077" s="8" t="n"/>
      <c r="AB1077" s="8" t="n"/>
      <c r="AC1077" s="8" t="n"/>
      <c r="AD1077" s="238" t="n"/>
      <c r="AE1077" s="8" t="n"/>
      <c r="AF1077" s="8" t="n"/>
      <c r="AG1077" s="8" t="n"/>
      <c r="AH1077" s="8" t="n"/>
      <c r="AI1077" s="8" t="n"/>
      <c r="AJ1077" s="8" t="n"/>
    </row>
    <row r="1078" ht="15.75" customHeight="1" s="239">
      <c r="A1078" s="8" t="n"/>
      <c r="B1078" s="8" t="n"/>
      <c r="C1078" s="8" t="n"/>
      <c r="D1078" s="8" t="n"/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23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 t="n"/>
      <c r="Y1078" s="8" t="n"/>
      <c r="Z1078" s="8" t="n"/>
      <c r="AA1078" s="8" t="n"/>
      <c r="AB1078" s="8" t="n"/>
      <c r="AC1078" s="8" t="n"/>
      <c r="AD1078" s="238" t="n"/>
      <c r="AE1078" s="8" t="n"/>
      <c r="AF1078" s="8" t="n"/>
      <c r="AG1078" s="8" t="n"/>
      <c r="AH1078" s="8" t="n"/>
      <c r="AI1078" s="8" t="n"/>
      <c r="AJ1078" s="8" t="n"/>
    </row>
    <row r="1079" ht="15.75" customHeight="1" s="239">
      <c r="A1079" s="8" t="n"/>
      <c r="B1079" s="8" t="n"/>
      <c r="C1079" s="8" t="n"/>
      <c r="D1079" s="8" t="n"/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23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 t="n"/>
      <c r="Y1079" s="8" t="n"/>
      <c r="Z1079" s="8" t="n"/>
      <c r="AA1079" s="8" t="n"/>
      <c r="AB1079" s="8" t="n"/>
      <c r="AC1079" s="8" t="n"/>
      <c r="AD1079" s="238" t="n"/>
      <c r="AE1079" s="8" t="n"/>
      <c r="AF1079" s="8" t="n"/>
      <c r="AG1079" s="8" t="n"/>
      <c r="AH1079" s="8" t="n"/>
      <c r="AI1079" s="8" t="n"/>
      <c r="AJ1079" s="8" t="n"/>
    </row>
    <row r="1080" ht="15.75" customHeight="1" s="239">
      <c r="A1080" s="8" t="n"/>
      <c r="B1080" s="8" t="n"/>
      <c r="C1080" s="8" t="n"/>
      <c r="D1080" s="8" t="n"/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23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 t="n"/>
      <c r="Y1080" s="8" t="n"/>
      <c r="Z1080" s="8" t="n"/>
      <c r="AA1080" s="8" t="n"/>
      <c r="AB1080" s="8" t="n"/>
      <c r="AC1080" s="8" t="n"/>
      <c r="AD1080" s="238" t="n"/>
      <c r="AE1080" s="8" t="n"/>
      <c r="AF1080" s="8" t="n"/>
      <c r="AG1080" s="8" t="n"/>
      <c r="AH1080" s="8" t="n"/>
      <c r="AI1080" s="8" t="n"/>
      <c r="AJ1080" s="8" t="n"/>
    </row>
    <row r="1081" ht="15.75" customHeight="1" s="239">
      <c r="A1081" s="8" t="n"/>
      <c r="B1081" s="8" t="n"/>
      <c r="C1081" s="8" t="n"/>
      <c r="D1081" s="8" t="n"/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23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 t="n"/>
      <c r="Y1081" s="8" t="n"/>
      <c r="Z1081" s="8" t="n"/>
      <c r="AA1081" s="8" t="n"/>
      <c r="AB1081" s="8" t="n"/>
      <c r="AC1081" s="8" t="n"/>
      <c r="AD1081" s="238" t="n"/>
      <c r="AE1081" s="8" t="n"/>
      <c r="AF1081" s="8" t="n"/>
      <c r="AG1081" s="8" t="n"/>
      <c r="AH1081" s="8" t="n"/>
      <c r="AI1081" s="8" t="n"/>
      <c r="AJ1081" s="8" t="n"/>
    </row>
    <row r="1082" ht="15.75" customHeight="1" s="239">
      <c r="A1082" s="8" t="n"/>
      <c r="B1082" s="8" t="n"/>
      <c r="C1082" s="8" t="n"/>
      <c r="D1082" s="8" t="n"/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23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 t="n"/>
      <c r="Y1082" s="8" t="n"/>
      <c r="Z1082" s="8" t="n"/>
      <c r="AA1082" s="8" t="n"/>
      <c r="AB1082" s="8" t="n"/>
      <c r="AC1082" s="8" t="n"/>
      <c r="AD1082" s="238" t="n"/>
      <c r="AE1082" s="8" t="n"/>
      <c r="AF1082" s="8" t="n"/>
      <c r="AG1082" s="8" t="n"/>
      <c r="AH1082" s="8" t="n"/>
      <c r="AI1082" s="8" t="n"/>
      <c r="AJ1082" s="8" t="n"/>
    </row>
    <row r="1083" ht="15.75" customHeight="1" s="239">
      <c r="A1083" s="8" t="n"/>
      <c r="B1083" s="8" t="n"/>
      <c r="C1083" s="8" t="n"/>
      <c r="D1083" s="8" t="n"/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23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 t="n"/>
      <c r="Y1083" s="8" t="n"/>
      <c r="Z1083" s="8" t="n"/>
      <c r="AA1083" s="8" t="n"/>
      <c r="AB1083" s="8" t="n"/>
      <c r="AC1083" s="8" t="n"/>
      <c r="AD1083" s="238" t="n"/>
      <c r="AE1083" s="8" t="n"/>
      <c r="AF1083" s="8" t="n"/>
      <c r="AG1083" s="8" t="n"/>
      <c r="AH1083" s="8" t="n"/>
      <c r="AI1083" s="8" t="n"/>
      <c r="AJ1083" s="8" t="n"/>
    </row>
    <row r="1084" ht="15.75" customHeight="1" s="239">
      <c r="A1084" s="8" t="n"/>
      <c r="B1084" s="8" t="n"/>
      <c r="C1084" s="8" t="n"/>
      <c r="D1084" s="8" t="n"/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23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 t="n"/>
      <c r="Y1084" s="8" t="n"/>
      <c r="Z1084" s="8" t="n"/>
      <c r="AA1084" s="8" t="n"/>
      <c r="AB1084" s="8" t="n"/>
      <c r="AC1084" s="8" t="n"/>
      <c r="AD1084" s="238" t="n"/>
      <c r="AE1084" s="8" t="n"/>
      <c r="AF1084" s="8" t="n"/>
      <c r="AG1084" s="8" t="n"/>
      <c r="AH1084" s="8" t="n"/>
      <c r="AI1084" s="8" t="n"/>
      <c r="AJ1084" s="8" t="n"/>
    </row>
    <row r="1085" ht="15.75" customHeight="1" s="239">
      <c r="A1085" s="8" t="n"/>
      <c r="B1085" s="8" t="n"/>
      <c r="C1085" s="8" t="n"/>
      <c r="D1085" s="8" t="n"/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23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 t="n"/>
      <c r="Y1085" s="8" t="n"/>
      <c r="Z1085" s="8" t="n"/>
      <c r="AA1085" s="8" t="n"/>
      <c r="AB1085" s="8" t="n"/>
      <c r="AC1085" s="8" t="n"/>
      <c r="AD1085" s="238" t="n"/>
      <c r="AE1085" s="8" t="n"/>
      <c r="AF1085" s="8" t="n"/>
      <c r="AG1085" s="8" t="n"/>
      <c r="AH1085" s="8" t="n"/>
      <c r="AI1085" s="8" t="n"/>
      <c r="AJ1085" s="8" t="n"/>
    </row>
    <row r="1086" ht="15.75" customHeight="1" s="239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23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 t="n"/>
      <c r="Y1086" s="8" t="n"/>
      <c r="Z1086" s="8" t="n"/>
      <c r="AA1086" s="8" t="n"/>
      <c r="AB1086" s="8" t="n"/>
      <c r="AC1086" s="8" t="n"/>
      <c r="AD1086" s="238" t="n"/>
      <c r="AE1086" s="8" t="n"/>
      <c r="AF1086" s="8" t="n"/>
      <c r="AG1086" s="8" t="n"/>
      <c r="AH1086" s="8" t="n"/>
      <c r="AI1086" s="8" t="n"/>
      <c r="AJ1086" s="8" t="n"/>
    </row>
    <row r="1087" ht="15.75" customHeight="1" s="239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23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 t="n"/>
      <c r="Y1087" s="8" t="n"/>
      <c r="Z1087" s="8" t="n"/>
      <c r="AA1087" s="8" t="n"/>
      <c r="AB1087" s="8" t="n"/>
      <c r="AC1087" s="8" t="n"/>
      <c r="AD1087" s="238" t="n"/>
      <c r="AE1087" s="8" t="n"/>
      <c r="AF1087" s="8" t="n"/>
      <c r="AG1087" s="8" t="n"/>
      <c r="AH1087" s="8" t="n"/>
      <c r="AI1087" s="8" t="n"/>
      <c r="AJ1087" s="8" t="n"/>
    </row>
    <row r="1088" ht="15.75" customHeight="1" s="239">
      <c r="A1088" s="8" t="n"/>
      <c r="B1088" s="8" t="n"/>
      <c r="C1088" s="8" t="n"/>
      <c r="D1088" s="8" t="n"/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23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 t="n"/>
      <c r="Y1088" s="8" t="n"/>
      <c r="Z1088" s="8" t="n"/>
      <c r="AA1088" s="8" t="n"/>
      <c r="AB1088" s="8" t="n"/>
      <c r="AC1088" s="8" t="n"/>
      <c r="AD1088" s="238" t="n"/>
      <c r="AE1088" s="8" t="n"/>
      <c r="AF1088" s="8" t="n"/>
      <c r="AG1088" s="8" t="n"/>
      <c r="AH1088" s="8" t="n"/>
      <c r="AI1088" s="8" t="n"/>
      <c r="AJ1088" s="8" t="n"/>
    </row>
    <row r="1089" ht="15.75" customHeight="1" s="239">
      <c r="A1089" s="8" t="n"/>
      <c r="B1089" s="8" t="n"/>
      <c r="C1089" s="8" t="n"/>
      <c r="D1089" s="8" t="n"/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23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 t="n"/>
      <c r="Y1089" s="8" t="n"/>
      <c r="Z1089" s="8" t="n"/>
      <c r="AA1089" s="8" t="n"/>
      <c r="AB1089" s="8" t="n"/>
      <c r="AC1089" s="8" t="n"/>
      <c r="AD1089" s="238" t="n"/>
      <c r="AE1089" s="8" t="n"/>
      <c r="AF1089" s="8" t="n"/>
      <c r="AG1089" s="8" t="n"/>
      <c r="AH1089" s="8" t="n"/>
      <c r="AI1089" s="8" t="n"/>
      <c r="AJ1089" s="8" t="n"/>
    </row>
    <row r="1090" ht="15.75" customHeight="1" s="239">
      <c r="A1090" s="8" t="n"/>
      <c r="B1090" s="8" t="n"/>
      <c r="C1090" s="8" t="n"/>
      <c r="D1090" s="8" t="n"/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23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 t="n"/>
      <c r="Y1090" s="8" t="n"/>
      <c r="Z1090" s="8" t="n"/>
      <c r="AA1090" s="8" t="n"/>
      <c r="AB1090" s="8" t="n"/>
      <c r="AC1090" s="8" t="n"/>
      <c r="AD1090" s="238" t="n"/>
      <c r="AE1090" s="8" t="n"/>
      <c r="AF1090" s="8" t="n"/>
      <c r="AG1090" s="8" t="n"/>
      <c r="AH1090" s="8" t="n"/>
      <c r="AI1090" s="8" t="n"/>
      <c r="AJ1090" s="8" t="n"/>
    </row>
    <row r="1091" ht="15.75" customHeight="1" s="239">
      <c r="A1091" s="8" t="n"/>
      <c r="B1091" s="8" t="n"/>
      <c r="C1091" s="8" t="n"/>
      <c r="D1091" s="8" t="n"/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23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 t="n"/>
      <c r="Y1091" s="8" t="n"/>
      <c r="Z1091" s="8" t="n"/>
      <c r="AA1091" s="8" t="n"/>
      <c r="AB1091" s="8" t="n"/>
      <c r="AC1091" s="8" t="n"/>
      <c r="AD1091" s="238" t="n"/>
      <c r="AE1091" s="8" t="n"/>
      <c r="AF1091" s="8" t="n"/>
      <c r="AG1091" s="8" t="n"/>
      <c r="AH1091" s="8" t="n"/>
      <c r="AI1091" s="8" t="n"/>
      <c r="AJ1091" s="8" t="n"/>
    </row>
    <row r="1092" ht="15.75" customHeight="1" s="239">
      <c r="A1092" s="8" t="n"/>
      <c r="B1092" s="8" t="n"/>
      <c r="C1092" s="8" t="n"/>
      <c r="D1092" s="8" t="n"/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23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 t="n"/>
      <c r="Y1092" s="8" t="n"/>
      <c r="Z1092" s="8" t="n"/>
      <c r="AA1092" s="8" t="n"/>
      <c r="AB1092" s="8" t="n"/>
      <c r="AC1092" s="8" t="n"/>
      <c r="AD1092" s="238" t="n"/>
      <c r="AE1092" s="8" t="n"/>
      <c r="AF1092" s="8" t="n"/>
      <c r="AG1092" s="8" t="n"/>
      <c r="AH1092" s="8" t="n"/>
      <c r="AI1092" s="8" t="n"/>
      <c r="AJ1092" s="8" t="n"/>
    </row>
    <row r="1093" ht="15.75" customHeight="1" s="239">
      <c r="A1093" s="8" t="n"/>
      <c r="B1093" s="8" t="n"/>
      <c r="C1093" s="8" t="n"/>
      <c r="D1093" s="8" t="n"/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23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 t="n"/>
      <c r="Y1093" s="8" t="n"/>
      <c r="Z1093" s="8" t="n"/>
      <c r="AA1093" s="8" t="n"/>
      <c r="AB1093" s="8" t="n"/>
      <c r="AC1093" s="8" t="n"/>
      <c r="AD1093" s="238" t="n"/>
      <c r="AE1093" s="8" t="n"/>
      <c r="AF1093" s="8" t="n"/>
      <c r="AG1093" s="8" t="n"/>
      <c r="AH1093" s="8" t="n"/>
      <c r="AI1093" s="8" t="n"/>
      <c r="AJ1093" s="8" t="n"/>
    </row>
    <row r="1094" ht="15.75" customHeight="1" s="239">
      <c r="A1094" s="8" t="n"/>
      <c r="B1094" s="8" t="n"/>
      <c r="C1094" s="8" t="n"/>
      <c r="D1094" s="8" t="n"/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23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 t="n"/>
      <c r="Y1094" s="8" t="n"/>
      <c r="Z1094" s="8" t="n"/>
      <c r="AA1094" s="8" t="n"/>
      <c r="AB1094" s="8" t="n"/>
      <c r="AC1094" s="8" t="n"/>
      <c r="AD1094" s="238" t="n"/>
      <c r="AE1094" s="8" t="n"/>
      <c r="AF1094" s="8" t="n"/>
      <c r="AG1094" s="8" t="n"/>
      <c r="AH1094" s="8" t="n"/>
      <c r="AI1094" s="8" t="n"/>
      <c r="AJ1094" s="8" t="n"/>
    </row>
    <row r="1095" ht="15.75" customHeight="1" s="239">
      <c r="A1095" s="8" t="n"/>
      <c r="B1095" s="8" t="n"/>
      <c r="C1095" s="8" t="n"/>
      <c r="D1095" s="8" t="n"/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23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 t="n"/>
      <c r="Y1095" s="8" t="n"/>
      <c r="Z1095" s="8" t="n"/>
      <c r="AA1095" s="8" t="n"/>
      <c r="AB1095" s="8" t="n"/>
      <c r="AC1095" s="8" t="n"/>
      <c r="AD1095" s="238" t="n"/>
      <c r="AE1095" s="8" t="n"/>
      <c r="AF1095" s="8" t="n"/>
      <c r="AG1095" s="8" t="n"/>
      <c r="AH1095" s="8" t="n"/>
      <c r="AI1095" s="8" t="n"/>
      <c r="AJ1095" s="8" t="n"/>
    </row>
    <row r="1096" ht="15.75" customHeight="1" s="239">
      <c r="A1096" s="8" t="n"/>
      <c r="B1096" s="8" t="n"/>
      <c r="C1096" s="8" t="n"/>
      <c r="D1096" s="8" t="n"/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23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 t="n"/>
      <c r="Y1096" s="8" t="n"/>
      <c r="Z1096" s="8" t="n"/>
      <c r="AA1096" s="8" t="n"/>
      <c r="AB1096" s="8" t="n"/>
      <c r="AC1096" s="8" t="n"/>
      <c r="AD1096" s="238" t="n"/>
      <c r="AE1096" s="8" t="n"/>
      <c r="AF1096" s="8" t="n"/>
      <c r="AG1096" s="8" t="n"/>
      <c r="AH1096" s="8" t="n"/>
      <c r="AI1096" s="8" t="n"/>
      <c r="AJ1096" s="8" t="n"/>
    </row>
    <row r="1097" ht="15.75" customHeight="1" s="239">
      <c r="A1097" s="8" t="n"/>
      <c r="B1097" s="8" t="n"/>
      <c r="C1097" s="8" t="n"/>
      <c r="D1097" s="8" t="n"/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23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 t="n"/>
      <c r="Y1097" s="8" t="n"/>
      <c r="Z1097" s="8" t="n"/>
      <c r="AA1097" s="8" t="n"/>
      <c r="AB1097" s="8" t="n"/>
      <c r="AC1097" s="8" t="n"/>
      <c r="AD1097" s="238" t="n"/>
      <c r="AE1097" s="8" t="n"/>
      <c r="AF1097" s="8" t="n"/>
      <c r="AG1097" s="8" t="n"/>
      <c r="AH1097" s="8" t="n"/>
      <c r="AI1097" s="8" t="n"/>
      <c r="AJ1097" s="8" t="n"/>
    </row>
    <row r="1098" ht="15.75" customHeight="1" s="239">
      <c r="A1098" s="8" t="n"/>
      <c r="B1098" s="8" t="n"/>
      <c r="C1098" s="8" t="n"/>
      <c r="D1098" s="8" t="n"/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23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 t="n"/>
      <c r="Y1098" s="8" t="n"/>
      <c r="Z1098" s="8" t="n"/>
      <c r="AA1098" s="8" t="n"/>
      <c r="AB1098" s="8" t="n"/>
      <c r="AC1098" s="8" t="n"/>
      <c r="AD1098" s="238" t="n"/>
      <c r="AE1098" s="8" t="n"/>
      <c r="AF1098" s="8" t="n"/>
      <c r="AG1098" s="8" t="n"/>
      <c r="AH1098" s="8" t="n"/>
      <c r="AI1098" s="8" t="n"/>
      <c r="AJ1098" s="8" t="n"/>
    </row>
    <row r="1099" ht="15.75" customHeight="1" s="239">
      <c r="A1099" s="8" t="n"/>
      <c r="B1099" s="8" t="n"/>
      <c r="C1099" s="8" t="n"/>
      <c r="D1099" s="8" t="n"/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23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 t="n"/>
      <c r="Y1099" s="8" t="n"/>
      <c r="Z1099" s="8" t="n"/>
      <c r="AA1099" s="8" t="n"/>
      <c r="AB1099" s="8" t="n"/>
      <c r="AC1099" s="8" t="n"/>
      <c r="AD1099" s="238" t="n"/>
      <c r="AE1099" s="8" t="n"/>
      <c r="AF1099" s="8" t="n"/>
      <c r="AG1099" s="8" t="n"/>
      <c r="AH1099" s="8" t="n"/>
      <c r="AI1099" s="8" t="n"/>
      <c r="AJ1099" s="8" t="n"/>
    </row>
    <row r="1100" ht="15.75" customHeight="1" s="239">
      <c r="A1100" s="8" t="n"/>
      <c r="B1100" s="8" t="n"/>
      <c r="C1100" s="8" t="n"/>
      <c r="D1100" s="8" t="n"/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23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 t="n"/>
      <c r="Y1100" s="8" t="n"/>
      <c r="Z1100" s="8" t="n"/>
      <c r="AA1100" s="8" t="n"/>
      <c r="AB1100" s="8" t="n"/>
      <c r="AC1100" s="8" t="n"/>
      <c r="AD1100" s="238" t="n"/>
      <c r="AE1100" s="8" t="n"/>
      <c r="AF1100" s="8" t="n"/>
      <c r="AG1100" s="8" t="n"/>
      <c r="AH1100" s="8" t="n"/>
      <c r="AI1100" s="8" t="n"/>
      <c r="AJ1100" s="8" t="n"/>
    </row>
    <row r="1101" ht="15.75" customHeight="1" s="239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23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 t="n"/>
      <c r="Y1101" s="8" t="n"/>
      <c r="Z1101" s="8" t="n"/>
      <c r="AA1101" s="8" t="n"/>
      <c r="AB1101" s="8" t="n"/>
      <c r="AC1101" s="8" t="n"/>
      <c r="AD1101" s="238" t="n"/>
      <c r="AE1101" s="8" t="n"/>
      <c r="AF1101" s="8" t="n"/>
      <c r="AG1101" s="8" t="n"/>
      <c r="AH1101" s="8" t="n"/>
      <c r="AI1101" s="8" t="n"/>
      <c r="AJ1101" s="8" t="n"/>
    </row>
    <row r="1102" ht="15.75" customHeight="1" s="239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23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 t="n"/>
      <c r="Y1102" s="8" t="n"/>
      <c r="Z1102" s="8" t="n"/>
      <c r="AA1102" s="8" t="n"/>
      <c r="AB1102" s="8" t="n"/>
      <c r="AC1102" s="8" t="n"/>
      <c r="AD1102" s="238" t="n"/>
      <c r="AE1102" s="8" t="n"/>
      <c r="AF1102" s="8" t="n"/>
      <c r="AG1102" s="8" t="n"/>
      <c r="AH1102" s="8" t="n"/>
      <c r="AI1102" s="8" t="n"/>
      <c r="AJ1102" s="8" t="n"/>
    </row>
    <row r="1103" ht="15.75" customHeight="1" s="239">
      <c r="A1103" s="8" t="n"/>
      <c r="B1103" s="8" t="n"/>
      <c r="C1103" s="8" t="n"/>
      <c r="D1103" s="8" t="n"/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23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 t="n"/>
      <c r="Y1103" s="8" t="n"/>
      <c r="Z1103" s="8" t="n"/>
      <c r="AA1103" s="8" t="n"/>
      <c r="AB1103" s="8" t="n"/>
      <c r="AC1103" s="8" t="n"/>
      <c r="AD1103" s="238" t="n"/>
      <c r="AE1103" s="8" t="n"/>
      <c r="AF1103" s="8" t="n"/>
      <c r="AG1103" s="8" t="n"/>
      <c r="AH1103" s="8" t="n"/>
      <c r="AI1103" s="8" t="n"/>
      <c r="AJ1103" s="8" t="n"/>
    </row>
    <row r="1104" ht="15.75" customHeight="1" s="239">
      <c r="A1104" s="8" t="n"/>
      <c r="B1104" s="8" t="n"/>
      <c r="C1104" s="8" t="n"/>
      <c r="D1104" s="8" t="n"/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23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 t="n"/>
      <c r="Y1104" s="8" t="n"/>
      <c r="Z1104" s="8" t="n"/>
      <c r="AA1104" s="8" t="n"/>
      <c r="AB1104" s="8" t="n"/>
      <c r="AC1104" s="8" t="n"/>
      <c r="AD1104" s="238" t="n"/>
      <c r="AE1104" s="8" t="n"/>
      <c r="AF1104" s="8" t="n"/>
      <c r="AG1104" s="8" t="n"/>
      <c r="AH1104" s="8" t="n"/>
      <c r="AI1104" s="8" t="n"/>
      <c r="AJ1104" s="8" t="n"/>
    </row>
    <row r="1105" ht="15.75" customHeight="1" s="239">
      <c r="A1105" s="8" t="n"/>
      <c r="B1105" s="8" t="n"/>
      <c r="C1105" s="8" t="n"/>
      <c r="D1105" s="8" t="n"/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23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 t="n"/>
      <c r="Y1105" s="8" t="n"/>
      <c r="Z1105" s="8" t="n"/>
      <c r="AA1105" s="8" t="n"/>
      <c r="AB1105" s="8" t="n"/>
      <c r="AC1105" s="8" t="n"/>
      <c r="AD1105" s="238" t="n"/>
      <c r="AE1105" s="8" t="n"/>
      <c r="AF1105" s="8" t="n"/>
      <c r="AG1105" s="8" t="n"/>
      <c r="AH1105" s="8" t="n"/>
      <c r="AI1105" s="8" t="n"/>
      <c r="AJ1105" s="8" t="n"/>
    </row>
    <row r="1106" ht="15.75" customHeight="1" s="239">
      <c r="A1106" s="8" t="n"/>
      <c r="B1106" s="8" t="n"/>
      <c r="C1106" s="8" t="n"/>
      <c r="D1106" s="8" t="n"/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23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 t="n"/>
      <c r="Y1106" s="8" t="n"/>
      <c r="Z1106" s="8" t="n"/>
      <c r="AA1106" s="8" t="n"/>
      <c r="AB1106" s="8" t="n"/>
      <c r="AC1106" s="8" t="n"/>
      <c r="AD1106" s="238" t="n"/>
      <c r="AE1106" s="8" t="n"/>
      <c r="AF1106" s="8" t="n"/>
      <c r="AG1106" s="8" t="n"/>
      <c r="AH1106" s="8" t="n"/>
      <c r="AI1106" s="8" t="n"/>
      <c r="AJ1106" s="8" t="n"/>
    </row>
    <row r="1107" ht="15.75" customHeight="1" s="239">
      <c r="A1107" s="8" t="n"/>
      <c r="B1107" s="8" t="n"/>
      <c r="C1107" s="8" t="n"/>
      <c r="D1107" s="8" t="n"/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23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 t="n"/>
      <c r="Y1107" s="8" t="n"/>
      <c r="Z1107" s="8" t="n"/>
      <c r="AA1107" s="8" t="n"/>
      <c r="AB1107" s="8" t="n"/>
      <c r="AC1107" s="8" t="n"/>
      <c r="AD1107" s="238" t="n"/>
      <c r="AE1107" s="8" t="n"/>
      <c r="AF1107" s="8" t="n"/>
      <c r="AG1107" s="8" t="n"/>
      <c r="AH1107" s="8" t="n"/>
      <c r="AI1107" s="8" t="n"/>
      <c r="AJ1107" s="8" t="n"/>
    </row>
    <row r="1108" ht="15.75" customHeight="1" s="239">
      <c r="A1108" s="8" t="n"/>
      <c r="B1108" s="8" t="n"/>
      <c r="C1108" s="8" t="n"/>
      <c r="D1108" s="8" t="n"/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23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 t="n"/>
      <c r="Y1108" s="8" t="n"/>
      <c r="Z1108" s="8" t="n"/>
      <c r="AA1108" s="8" t="n"/>
      <c r="AB1108" s="8" t="n"/>
      <c r="AC1108" s="8" t="n"/>
      <c r="AD1108" s="238" t="n"/>
      <c r="AE1108" s="8" t="n"/>
      <c r="AF1108" s="8" t="n"/>
      <c r="AG1108" s="8" t="n"/>
      <c r="AH1108" s="8" t="n"/>
      <c r="AI1108" s="8" t="n"/>
      <c r="AJ1108" s="8" t="n"/>
    </row>
    <row r="1109" ht="15.75" customHeight="1" s="239">
      <c r="A1109" s="8" t="n"/>
      <c r="B1109" s="8" t="n"/>
      <c r="C1109" s="8" t="n"/>
      <c r="D1109" s="8" t="n"/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23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 t="n"/>
      <c r="Y1109" s="8" t="n"/>
      <c r="Z1109" s="8" t="n"/>
      <c r="AA1109" s="8" t="n"/>
      <c r="AB1109" s="8" t="n"/>
      <c r="AC1109" s="8" t="n"/>
      <c r="AD1109" s="238" t="n"/>
      <c r="AE1109" s="8" t="n"/>
      <c r="AF1109" s="8" t="n"/>
      <c r="AG1109" s="8" t="n"/>
      <c r="AH1109" s="8" t="n"/>
      <c r="AI1109" s="8" t="n"/>
      <c r="AJ1109" s="8" t="n"/>
    </row>
    <row r="1110" ht="15.75" customHeight="1" s="239">
      <c r="A1110" s="8" t="n"/>
      <c r="B1110" s="8" t="n"/>
      <c r="C1110" s="8" t="n"/>
      <c r="D1110" s="8" t="n"/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23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 t="n"/>
      <c r="Y1110" s="8" t="n"/>
      <c r="Z1110" s="8" t="n"/>
      <c r="AA1110" s="8" t="n"/>
      <c r="AB1110" s="8" t="n"/>
      <c r="AC1110" s="8" t="n"/>
      <c r="AD1110" s="238" t="n"/>
      <c r="AE1110" s="8" t="n"/>
      <c r="AF1110" s="8" t="n"/>
      <c r="AG1110" s="8" t="n"/>
      <c r="AH1110" s="8" t="n"/>
      <c r="AI1110" s="8" t="n"/>
      <c r="AJ1110" s="8" t="n"/>
    </row>
    <row r="1111" ht="15.75" customHeight="1" s="239">
      <c r="A1111" s="8" t="n"/>
      <c r="B1111" s="8" t="n"/>
      <c r="C1111" s="8" t="n"/>
      <c r="D1111" s="8" t="n"/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23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 t="n"/>
      <c r="Y1111" s="8" t="n"/>
      <c r="Z1111" s="8" t="n"/>
      <c r="AA1111" s="8" t="n"/>
      <c r="AB1111" s="8" t="n"/>
      <c r="AC1111" s="8" t="n"/>
      <c r="AD1111" s="238" t="n"/>
      <c r="AE1111" s="8" t="n"/>
      <c r="AF1111" s="8" t="n"/>
      <c r="AG1111" s="8" t="n"/>
      <c r="AH1111" s="8" t="n"/>
      <c r="AI1111" s="8" t="n"/>
      <c r="AJ1111" s="8" t="n"/>
    </row>
    <row r="1112" ht="15.75" customHeight="1" s="239">
      <c r="A1112" s="8" t="n"/>
      <c r="B1112" s="8" t="n"/>
      <c r="C1112" s="8" t="n"/>
      <c r="D1112" s="8" t="n"/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23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 t="n"/>
      <c r="Y1112" s="8" t="n"/>
      <c r="Z1112" s="8" t="n"/>
      <c r="AA1112" s="8" t="n"/>
      <c r="AB1112" s="8" t="n"/>
      <c r="AC1112" s="8" t="n"/>
      <c r="AD1112" s="238" t="n"/>
      <c r="AE1112" s="8" t="n"/>
      <c r="AF1112" s="8" t="n"/>
      <c r="AG1112" s="8" t="n"/>
      <c r="AH1112" s="8" t="n"/>
      <c r="AI1112" s="8" t="n"/>
      <c r="AJ1112" s="8" t="n"/>
    </row>
    <row r="1113" ht="15.75" customHeight="1" s="239">
      <c r="A1113" s="8" t="n"/>
      <c r="B1113" s="8" t="n"/>
      <c r="C1113" s="8" t="n"/>
      <c r="D1113" s="8" t="n"/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23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 t="n"/>
      <c r="Y1113" s="8" t="n"/>
      <c r="Z1113" s="8" t="n"/>
      <c r="AA1113" s="8" t="n"/>
      <c r="AB1113" s="8" t="n"/>
      <c r="AC1113" s="8" t="n"/>
      <c r="AD1113" s="238" t="n"/>
      <c r="AE1113" s="8" t="n"/>
      <c r="AF1113" s="8" t="n"/>
      <c r="AG1113" s="8" t="n"/>
      <c r="AH1113" s="8" t="n"/>
      <c r="AI1113" s="8" t="n"/>
      <c r="AJ1113" s="8" t="n"/>
    </row>
    <row r="1114" ht="15.75" customHeight="1" s="239">
      <c r="A1114" s="8" t="n"/>
      <c r="B1114" s="8" t="n"/>
      <c r="C1114" s="8" t="n"/>
      <c r="D1114" s="8" t="n"/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23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 t="n"/>
      <c r="Y1114" s="8" t="n"/>
      <c r="Z1114" s="8" t="n"/>
      <c r="AA1114" s="8" t="n"/>
      <c r="AB1114" s="8" t="n"/>
      <c r="AC1114" s="8" t="n"/>
      <c r="AD1114" s="238" t="n"/>
      <c r="AE1114" s="8" t="n"/>
      <c r="AF1114" s="8" t="n"/>
      <c r="AG1114" s="8" t="n"/>
      <c r="AH1114" s="8" t="n"/>
      <c r="AI1114" s="8" t="n"/>
      <c r="AJ1114" s="8" t="n"/>
    </row>
    <row r="1115" ht="15.75" customHeight="1" s="239">
      <c r="A1115" s="8" t="n"/>
      <c r="B1115" s="8" t="n"/>
      <c r="C1115" s="8" t="n"/>
      <c r="D1115" s="8" t="n"/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23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 t="n"/>
      <c r="Y1115" s="8" t="n"/>
      <c r="Z1115" s="8" t="n"/>
      <c r="AA1115" s="8" t="n"/>
      <c r="AB1115" s="8" t="n"/>
      <c r="AC1115" s="8" t="n"/>
      <c r="AD1115" s="238" t="n"/>
      <c r="AE1115" s="8" t="n"/>
      <c r="AF1115" s="8" t="n"/>
      <c r="AG1115" s="8" t="n"/>
      <c r="AH1115" s="8" t="n"/>
      <c r="AI1115" s="8" t="n"/>
      <c r="AJ1115" s="8" t="n"/>
    </row>
    <row r="1116" ht="15.75" customHeight="1" s="239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23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 t="n"/>
      <c r="Y1116" s="8" t="n"/>
      <c r="Z1116" s="8" t="n"/>
      <c r="AA1116" s="8" t="n"/>
      <c r="AB1116" s="8" t="n"/>
      <c r="AC1116" s="8" t="n"/>
      <c r="AD1116" s="238" t="n"/>
      <c r="AE1116" s="8" t="n"/>
      <c r="AF1116" s="8" t="n"/>
      <c r="AG1116" s="8" t="n"/>
      <c r="AH1116" s="8" t="n"/>
      <c r="AI1116" s="8" t="n"/>
      <c r="AJ1116" s="8" t="n"/>
    </row>
    <row r="1117" ht="15.75" customHeight="1" s="239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23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 t="n"/>
      <c r="Y1117" s="8" t="n"/>
      <c r="Z1117" s="8" t="n"/>
      <c r="AA1117" s="8" t="n"/>
      <c r="AB1117" s="8" t="n"/>
      <c r="AC1117" s="8" t="n"/>
      <c r="AD1117" s="238" t="n"/>
      <c r="AE1117" s="8" t="n"/>
      <c r="AF1117" s="8" t="n"/>
      <c r="AG1117" s="8" t="n"/>
      <c r="AH1117" s="8" t="n"/>
      <c r="AI1117" s="8" t="n"/>
      <c r="AJ1117" s="8" t="n"/>
    </row>
    <row r="1118" ht="15.75" customHeight="1" s="239">
      <c r="A1118" s="8" t="n"/>
      <c r="B1118" s="8" t="n"/>
      <c r="C1118" s="8" t="n"/>
      <c r="D1118" s="8" t="n"/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23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 t="n"/>
      <c r="Y1118" s="8" t="n"/>
      <c r="Z1118" s="8" t="n"/>
      <c r="AA1118" s="8" t="n"/>
      <c r="AB1118" s="8" t="n"/>
      <c r="AC1118" s="8" t="n"/>
      <c r="AD1118" s="238" t="n"/>
      <c r="AE1118" s="8" t="n"/>
      <c r="AF1118" s="8" t="n"/>
      <c r="AG1118" s="8" t="n"/>
      <c r="AH1118" s="8" t="n"/>
      <c r="AI1118" s="8" t="n"/>
      <c r="AJ1118" s="8" t="n"/>
    </row>
    <row r="1119" ht="15.75" customHeight="1" s="239">
      <c r="A1119" s="8" t="n"/>
      <c r="B1119" s="8" t="n"/>
      <c r="C1119" s="8" t="n"/>
      <c r="D1119" s="8" t="n"/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23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 t="n"/>
      <c r="Y1119" s="8" t="n"/>
      <c r="Z1119" s="8" t="n"/>
      <c r="AA1119" s="8" t="n"/>
      <c r="AB1119" s="8" t="n"/>
      <c r="AC1119" s="8" t="n"/>
      <c r="AD1119" s="238" t="n"/>
      <c r="AE1119" s="8" t="n"/>
      <c r="AF1119" s="8" t="n"/>
      <c r="AG1119" s="8" t="n"/>
      <c r="AH1119" s="8" t="n"/>
      <c r="AI1119" s="8" t="n"/>
      <c r="AJ1119" s="8" t="n"/>
    </row>
    <row r="1120" ht="15.75" customHeight="1" s="239">
      <c r="A1120" s="8" t="n"/>
      <c r="B1120" s="8" t="n"/>
      <c r="C1120" s="8" t="n"/>
      <c r="D1120" s="8" t="n"/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23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 t="n"/>
      <c r="Y1120" s="8" t="n"/>
      <c r="Z1120" s="8" t="n"/>
      <c r="AA1120" s="8" t="n"/>
      <c r="AB1120" s="8" t="n"/>
      <c r="AC1120" s="8" t="n"/>
      <c r="AD1120" s="238" t="n"/>
      <c r="AE1120" s="8" t="n"/>
      <c r="AF1120" s="8" t="n"/>
      <c r="AG1120" s="8" t="n"/>
      <c r="AH1120" s="8" t="n"/>
      <c r="AI1120" s="8" t="n"/>
      <c r="AJ1120" s="8" t="n"/>
    </row>
    <row r="1121" ht="15.75" customHeight="1" s="239">
      <c r="A1121" s="8" t="n"/>
      <c r="B1121" s="8" t="n"/>
      <c r="C1121" s="8" t="n"/>
      <c r="D1121" s="8" t="n"/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23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 t="n"/>
      <c r="Y1121" s="8" t="n"/>
      <c r="Z1121" s="8" t="n"/>
      <c r="AA1121" s="8" t="n"/>
      <c r="AB1121" s="8" t="n"/>
      <c r="AC1121" s="8" t="n"/>
      <c r="AD1121" s="238" t="n"/>
      <c r="AE1121" s="8" t="n"/>
      <c r="AF1121" s="8" t="n"/>
      <c r="AG1121" s="8" t="n"/>
      <c r="AH1121" s="8" t="n"/>
      <c r="AI1121" s="8" t="n"/>
      <c r="AJ1121" s="8" t="n"/>
    </row>
    <row r="1122" ht="15.75" customHeight="1" s="239">
      <c r="A1122" s="8" t="n"/>
      <c r="B1122" s="8" t="n"/>
      <c r="C1122" s="8" t="n"/>
      <c r="D1122" s="8" t="n"/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23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 t="n"/>
      <c r="Y1122" s="8" t="n"/>
      <c r="Z1122" s="8" t="n"/>
      <c r="AA1122" s="8" t="n"/>
      <c r="AB1122" s="8" t="n"/>
      <c r="AC1122" s="8" t="n"/>
      <c r="AD1122" s="238" t="n"/>
      <c r="AE1122" s="8" t="n"/>
      <c r="AF1122" s="8" t="n"/>
      <c r="AG1122" s="8" t="n"/>
      <c r="AH1122" s="8" t="n"/>
      <c r="AI1122" s="8" t="n"/>
      <c r="AJ1122" s="8" t="n"/>
    </row>
    <row r="1123" ht="15.75" customHeight="1" s="239">
      <c r="A1123" s="8" t="n"/>
      <c r="B1123" s="8" t="n"/>
      <c r="C1123" s="8" t="n"/>
      <c r="D1123" s="8" t="n"/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23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 t="n"/>
      <c r="Y1123" s="8" t="n"/>
      <c r="Z1123" s="8" t="n"/>
      <c r="AA1123" s="8" t="n"/>
      <c r="AB1123" s="8" t="n"/>
      <c r="AC1123" s="8" t="n"/>
      <c r="AD1123" s="238" t="n"/>
      <c r="AE1123" s="8" t="n"/>
      <c r="AF1123" s="8" t="n"/>
      <c r="AG1123" s="8" t="n"/>
      <c r="AH1123" s="8" t="n"/>
      <c r="AI1123" s="8" t="n"/>
      <c r="AJ1123" s="8" t="n"/>
    </row>
    <row r="1124" ht="15.75" customHeight="1" s="239">
      <c r="A1124" s="8" t="n"/>
      <c r="B1124" s="8" t="n"/>
      <c r="C1124" s="8" t="n"/>
      <c r="D1124" s="8" t="n"/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23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 t="n"/>
      <c r="Y1124" s="8" t="n"/>
      <c r="Z1124" s="8" t="n"/>
      <c r="AA1124" s="8" t="n"/>
      <c r="AB1124" s="8" t="n"/>
      <c r="AC1124" s="8" t="n"/>
      <c r="AD1124" s="238" t="n"/>
      <c r="AE1124" s="8" t="n"/>
      <c r="AF1124" s="8" t="n"/>
      <c r="AG1124" s="8" t="n"/>
      <c r="AH1124" s="8" t="n"/>
      <c r="AI1124" s="8" t="n"/>
      <c r="AJ1124" s="8" t="n"/>
    </row>
    <row r="1125" ht="15.75" customHeight="1" s="239">
      <c r="A1125" s="8" t="n"/>
      <c r="B1125" s="8" t="n"/>
      <c r="C1125" s="8" t="n"/>
      <c r="D1125" s="8" t="n"/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23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 t="n"/>
      <c r="Y1125" s="8" t="n"/>
      <c r="Z1125" s="8" t="n"/>
      <c r="AA1125" s="8" t="n"/>
      <c r="AB1125" s="8" t="n"/>
      <c r="AC1125" s="8" t="n"/>
      <c r="AD1125" s="238" t="n"/>
      <c r="AE1125" s="8" t="n"/>
      <c r="AF1125" s="8" t="n"/>
      <c r="AG1125" s="8" t="n"/>
      <c r="AH1125" s="8" t="n"/>
      <c r="AI1125" s="8" t="n"/>
      <c r="AJ1125" s="8" t="n"/>
    </row>
    <row r="1126" ht="15.75" customHeight="1" s="239">
      <c r="A1126" s="8" t="n"/>
      <c r="B1126" s="8" t="n"/>
      <c r="C1126" s="8" t="n"/>
      <c r="D1126" s="8" t="n"/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23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 t="n"/>
      <c r="Y1126" s="8" t="n"/>
      <c r="Z1126" s="8" t="n"/>
      <c r="AA1126" s="8" t="n"/>
      <c r="AB1126" s="8" t="n"/>
      <c r="AC1126" s="8" t="n"/>
      <c r="AD1126" s="238" t="n"/>
      <c r="AE1126" s="8" t="n"/>
      <c r="AF1126" s="8" t="n"/>
      <c r="AG1126" s="8" t="n"/>
      <c r="AH1126" s="8" t="n"/>
      <c r="AI1126" s="8" t="n"/>
      <c r="AJ1126" s="8" t="n"/>
    </row>
    <row r="1127" ht="15.75" customHeight="1" s="239">
      <c r="A1127" s="8" t="n"/>
      <c r="B1127" s="8" t="n"/>
      <c r="C1127" s="8" t="n"/>
      <c r="D1127" s="8" t="n"/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23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 t="n"/>
      <c r="Y1127" s="8" t="n"/>
      <c r="Z1127" s="8" t="n"/>
      <c r="AA1127" s="8" t="n"/>
      <c r="AB1127" s="8" t="n"/>
      <c r="AC1127" s="8" t="n"/>
      <c r="AD1127" s="238" t="n"/>
      <c r="AE1127" s="8" t="n"/>
      <c r="AF1127" s="8" t="n"/>
      <c r="AG1127" s="8" t="n"/>
      <c r="AH1127" s="8" t="n"/>
      <c r="AI1127" s="8" t="n"/>
      <c r="AJ1127" s="8" t="n"/>
    </row>
    <row r="1128" ht="15.75" customHeight="1" s="239">
      <c r="A1128" s="8" t="n"/>
      <c r="B1128" s="8" t="n"/>
      <c r="C1128" s="8" t="n"/>
      <c r="D1128" s="8" t="n"/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23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 t="n"/>
      <c r="Y1128" s="8" t="n"/>
      <c r="Z1128" s="8" t="n"/>
      <c r="AA1128" s="8" t="n"/>
      <c r="AB1128" s="8" t="n"/>
      <c r="AC1128" s="8" t="n"/>
      <c r="AD1128" s="238" t="n"/>
      <c r="AE1128" s="8" t="n"/>
      <c r="AF1128" s="8" t="n"/>
      <c r="AG1128" s="8" t="n"/>
      <c r="AH1128" s="8" t="n"/>
      <c r="AI1128" s="8" t="n"/>
      <c r="AJ1128" s="8" t="n"/>
    </row>
    <row r="1129" ht="15.75" customHeight="1" s="239">
      <c r="A1129" s="8" t="n"/>
      <c r="B1129" s="8" t="n"/>
      <c r="C1129" s="8" t="n"/>
      <c r="D1129" s="8" t="n"/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23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 t="n"/>
      <c r="Y1129" s="8" t="n"/>
      <c r="Z1129" s="8" t="n"/>
      <c r="AA1129" s="8" t="n"/>
      <c r="AB1129" s="8" t="n"/>
      <c r="AC1129" s="8" t="n"/>
      <c r="AD1129" s="238" t="n"/>
      <c r="AE1129" s="8" t="n"/>
      <c r="AF1129" s="8" t="n"/>
      <c r="AG1129" s="8" t="n"/>
      <c r="AH1129" s="8" t="n"/>
      <c r="AI1129" s="8" t="n"/>
      <c r="AJ1129" s="8" t="n"/>
    </row>
    <row r="1130" ht="15.75" customHeight="1" s="239">
      <c r="A1130" s="8" t="n"/>
      <c r="B1130" s="8" t="n"/>
      <c r="C1130" s="8" t="n"/>
      <c r="D1130" s="8" t="n"/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23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 t="n"/>
      <c r="Y1130" s="8" t="n"/>
      <c r="Z1130" s="8" t="n"/>
      <c r="AA1130" s="8" t="n"/>
      <c r="AB1130" s="8" t="n"/>
      <c r="AC1130" s="8" t="n"/>
      <c r="AD1130" s="238" t="n"/>
      <c r="AE1130" s="8" t="n"/>
      <c r="AF1130" s="8" t="n"/>
      <c r="AG1130" s="8" t="n"/>
      <c r="AH1130" s="8" t="n"/>
      <c r="AI1130" s="8" t="n"/>
      <c r="AJ1130" s="8" t="n"/>
    </row>
    <row r="1131" ht="15.75" customHeight="1" s="239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23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 t="n"/>
      <c r="Y1131" s="8" t="n"/>
      <c r="Z1131" s="8" t="n"/>
      <c r="AA1131" s="8" t="n"/>
      <c r="AB1131" s="8" t="n"/>
      <c r="AC1131" s="8" t="n"/>
      <c r="AD1131" s="238" t="n"/>
      <c r="AE1131" s="8" t="n"/>
      <c r="AF1131" s="8" t="n"/>
      <c r="AG1131" s="8" t="n"/>
      <c r="AH1131" s="8" t="n"/>
      <c r="AI1131" s="8" t="n"/>
      <c r="AJ1131" s="8" t="n"/>
    </row>
    <row r="1132" ht="15.75" customHeight="1" s="239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23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 t="n"/>
      <c r="Y1132" s="8" t="n"/>
      <c r="Z1132" s="8" t="n"/>
      <c r="AA1132" s="8" t="n"/>
      <c r="AB1132" s="8" t="n"/>
      <c r="AC1132" s="8" t="n"/>
      <c r="AD1132" s="238" t="n"/>
      <c r="AE1132" s="8" t="n"/>
      <c r="AF1132" s="8" t="n"/>
      <c r="AG1132" s="8" t="n"/>
      <c r="AH1132" s="8" t="n"/>
      <c r="AI1132" s="8" t="n"/>
      <c r="AJ1132" s="8" t="n"/>
    </row>
    <row r="1133" ht="15.75" customHeight="1" s="239">
      <c r="A1133" s="8" t="n"/>
      <c r="B1133" s="8" t="n"/>
      <c r="C1133" s="8" t="n"/>
      <c r="D1133" s="8" t="n"/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23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 t="n"/>
      <c r="Y1133" s="8" t="n"/>
      <c r="Z1133" s="8" t="n"/>
      <c r="AA1133" s="8" t="n"/>
      <c r="AB1133" s="8" t="n"/>
      <c r="AC1133" s="8" t="n"/>
      <c r="AD1133" s="238" t="n"/>
      <c r="AE1133" s="8" t="n"/>
      <c r="AF1133" s="8" t="n"/>
      <c r="AG1133" s="8" t="n"/>
      <c r="AH1133" s="8" t="n"/>
      <c r="AI1133" s="8" t="n"/>
      <c r="AJ1133" s="8" t="n"/>
    </row>
    <row r="1134" ht="15.75" customHeight="1" s="239">
      <c r="A1134" s="8" t="n"/>
      <c r="B1134" s="8" t="n"/>
      <c r="C1134" s="8" t="n"/>
      <c r="D1134" s="8" t="n"/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23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 t="n"/>
      <c r="Y1134" s="8" t="n"/>
      <c r="Z1134" s="8" t="n"/>
      <c r="AA1134" s="8" t="n"/>
      <c r="AB1134" s="8" t="n"/>
      <c r="AC1134" s="8" t="n"/>
      <c r="AD1134" s="238" t="n"/>
      <c r="AE1134" s="8" t="n"/>
      <c r="AF1134" s="8" t="n"/>
      <c r="AG1134" s="8" t="n"/>
      <c r="AH1134" s="8" t="n"/>
      <c r="AI1134" s="8" t="n"/>
      <c r="AJ1134" s="8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.13" customWidth="1" style="239" min="1" max="1"/>
    <col collapsed="1" width="16" customWidth="1" style="239" min="2" max="2"/>
    <col hidden="1" outlineLevel="1" width="12.63" customWidth="1" style="239" min="3" max="4"/>
    <col width="11.13" customWidth="1" style="239" min="10" max="10"/>
    <col width="9.25" customWidth="1" style="239" min="17" max="17"/>
  </cols>
  <sheetData>
    <row r="1">
      <c r="A1" s="127" t="inlineStr">
        <is>
          <t>Project</t>
        </is>
      </c>
      <c r="B1" s="127">
        <f>"Update to: " &amp; DAY(NOW())</f>
        <v/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24" t="n">
        <v>46296</v>
      </c>
      <c r="I1" s="157" t="inlineStr">
        <is>
          <t>VS. SPLM</t>
        </is>
      </c>
      <c r="J1" s="127" t="inlineStr">
        <is>
          <t>Full month</t>
        </is>
      </c>
      <c r="K1" s="124" t="n">
        <v>46143</v>
      </c>
      <c r="L1" s="124" t="n">
        <v>46174</v>
      </c>
      <c r="M1" s="124" t="n">
        <v>46204</v>
      </c>
      <c r="N1" s="124" t="n">
        <v>46235</v>
      </c>
      <c r="O1" s="124" t="n">
        <v>46266</v>
      </c>
      <c r="P1" s="124" t="n">
        <v>46296</v>
      </c>
      <c r="Q1" s="157" t="inlineStr">
        <is>
          <t>VS. LM</t>
        </is>
      </c>
      <c r="R1" s="124" t="n">
        <v>46327</v>
      </c>
      <c r="S1" s="124" t="n">
        <v>46357</v>
      </c>
      <c r="T1" s="164" t="n"/>
      <c r="U1" s="164" t="n"/>
      <c r="V1" s="164" t="n"/>
      <c r="W1" s="164" t="n"/>
      <c r="X1" s="164" t="n"/>
      <c r="Y1" s="164" t="n"/>
      <c r="Z1" s="164" t="n"/>
    </row>
    <row r="2">
      <c r="A2" s="130" t="inlineStr">
        <is>
          <t xml:space="preserve">   Target</t>
        </is>
      </c>
      <c r="B2" s="130" t="n"/>
      <c r="C2" s="131" t="n"/>
      <c r="D2" s="131" t="n"/>
      <c r="E2" s="131" t="n"/>
      <c r="F2" s="131" t="n"/>
      <c r="G2" s="131" t="n"/>
      <c r="H2" s="131" t="n"/>
      <c r="I2" s="130" t="n"/>
      <c r="J2" s="130" t="n"/>
      <c r="K2" s="131" t="n"/>
      <c r="L2" s="131" t="n"/>
      <c r="M2" s="131" t="n">
        <v>0</v>
      </c>
      <c r="N2" s="131" t="n">
        <v>0</v>
      </c>
      <c r="O2" s="50" t="n">
        <v>964394.3350400146</v>
      </c>
      <c r="P2" s="50" t="n">
        <v>1117378.181279731</v>
      </c>
      <c r="Q2" s="164" t="n"/>
      <c r="R2" s="50" t="n">
        <v>1294630.168009226</v>
      </c>
      <c r="S2" s="50" t="n">
        <v>1500000</v>
      </c>
      <c r="T2" s="130" t="n"/>
      <c r="U2" s="130" t="n"/>
      <c r="V2" s="152" t="n"/>
      <c r="W2" s="130" t="n"/>
      <c r="X2" s="130" t="n"/>
      <c r="Y2" s="130" t="n"/>
      <c r="Z2" s="130" t="n"/>
    </row>
    <row r="3">
      <c r="A3" s="164" t="inlineStr">
        <is>
          <t xml:space="preserve">   Traffic Actual (Page Views)</t>
        </is>
      </c>
      <c r="B3" s="164" t="n"/>
      <c r="C3" s="50">
        <f>SUM(C9,C16,C23,C30,C37,C44)</f>
        <v/>
      </c>
      <c r="D3" s="50">
        <f>SUM(D9,D16,D23,D30,D37,D44)</f>
        <v/>
      </c>
      <c r="E3" s="50">
        <f>SUM(E9,E16,E23,E30,E37,E44)</f>
        <v/>
      </c>
      <c r="F3" s="50">
        <f>SUM(F9,F16,F23,F30,F37,F44)</f>
        <v/>
      </c>
      <c r="G3" s="50">
        <f>sum(G9,G16,G23,G30,G37,G44)</f>
        <v/>
      </c>
      <c r="H3" s="50">
        <f>sum(H9,H16,H23,H30,H37,H44)</f>
        <v/>
      </c>
      <c r="I3" s="50">
        <f>H3-G3</f>
        <v/>
      </c>
      <c r="J3" s="164" t="n"/>
      <c r="K3" s="50">
        <f>SUM(K9,K16,K23,K30,K37,K44)</f>
        <v/>
      </c>
      <c r="L3" s="50">
        <f>SUM(L9,L16,L23,L30,L37,L44)</f>
        <v/>
      </c>
      <c r="M3" s="50">
        <f>SUM(M9,M16,M23,M30,M37,M44)</f>
        <v/>
      </c>
      <c r="N3" s="50">
        <f>SUM(N9,N16,N23,N30,N37,N44)</f>
        <v/>
      </c>
      <c r="O3" s="50">
        <f>SUM(O9,O16,O23,O30,O37,O44)</f>
        <v/>
      </c>
      <c r="P3" s="50">
        <f>SUM(P9,P16,P23,P30,P37,P44)</f>
        <v/>
      </c>
      <c r="Q3" s="50">
        <f>P3-O3</f>
        <v/>
      </c>
      <c r="R3" s="131" t="n">
        <v>0</v>
      </c>
      <c r="S3" s="131" t="n">
        <v>0</v>
      </c>
      <c r="T3" s="164" t="n"/>
      <c r="U3" s="89" t="n"/>
      <c r="V3" s="89" t="n"/>
      <c r="W3" s="164" t="n"/>
      <c r="X3" s="164" t="n"/>
      <c r="Y3" s="164" t="n"/>
      <c r="Z3" s="164" t="n"/>
    </row>
    <row r="4">
      <c r="A4" s="130" t="inlineStr">
        <is>
          <t xml:space="preserve">   Net change</t>
        </is>
      </c>
      <c r="B4" s="130" t="n"/>
      <c r="C4" s="131">
        <f>C3-0</f>
        <v/>
      </c>
      <c r="D4" s="131">
        <f>D3-C3</f>
        <v/>
      </c>
      <c r="E4" s="131">
        <f>E3-D3</f>
        <v/>
      </c>
      <c r="F4" s="131">
        <f>F3-E3</f>
        <v/>
      </c>
      <c r="G4" s="131">
        <f>G3-F3</f>
        <v/>
      </c>
      <c r="H4" s="131">
        <f>H3-G3</f>
        <v/>
      </c>
      <c r="I4" s="50">
        <f>H4-G4</f>
        <v/>
      </c>
      <c r="J4" s="130" t="n"/>
      <c r="K4" s="131">
        <f>K3-0</f>
        <v/>
      </c>
      <c r="L4" s="131">
        <f>L3-K3</f>
        <v/>
      </c>
      <c r="M4" s="131">
        <f>M3-L3</f>
        <v/>
      </c>
      <c r="N4" s="131">
        <f>N3-M3</f>
        <v/>
      </c>
      <c r="O4" s="131">
        <f>O3-N3</f>
        <v/>
      </c>
      <c r="P4" s="131">
        <f>P3-O3</f>
        <v/>
      </c>
      <c r="Q4" s="164" t="n"/>
      <c r="R4" s="50">
        <f>R2-P2</f>
        <v/>
      </c>
      <c r="S4" s="50">
        <f>S2-R2</f>
        <v/>
      </c>
      <c r="T4" s="130" t="n"/>
      <c r="U4" s="130" t="n"/>
      <c r="V4" s="152" t="n"/>
      <c r="W4" s="130" t="n"/>
      <c r="X4" s="130" t="n"/>
      <c r="Y4" s="130" t="n"/>
      <c r="Z4" s="130" t="n"/>
    </row>
    <row r="5">
      <c r="A5" s="130" t="inlineStr">
        <is>
          <t xml:space="preserve">  Growth Rate (%)</t>
        </is>
      </c>
      <c r="B5" s="130" t="n"/>
      <c r="C5" s="152" t="n"/>
      <c r="D5" s="152">
        <f>(D3/C3)-1</f>
        <v/>
      </c>
      <c r="E5" s="152">
        <f>(E3/D3)-1</f>
        <v/>
      </c>
      <c r="F5" s="152">
        <f>(F3/E3)-1</f>
        <v/>
      </c>
      <c r="G5" s="152">
        <f>(G3/F3)-1</f>
        <v/>
      </c>
      <c r="H5" s="152">
        <f>(H3/G3)-1</f>
        <v/>
      </c>
      <c r="I5" s="89">
        <f>H5-G5</f>
        <v/>
      </c>
      <c r="J5" s="130" t="n"/>
      <c r="K5" s="131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2">
        <f>R2/P2-1</f>
        <v/>
      </c>
      <c r="S5" s="152">
        <f>S2/R2-1</f>
        <v/>
      </c>
      <c r="T5" s="130" t="n"/>
      <c r="U5" s="130" t="n"/>
      <c r="V5" s="130" t="n"/>
      <c r="W5" s="130" t="n"/>
      <c r="X5" s="130" t="n"/>
      <c r="Y5" s="130" t="n"/>
      <c r="Z5" s="130" t="n"/>
    </row>
    <row r="6">
      <c r="A6" s="164" t="inlineStr">
        <is>
          <t xml:space="preserve">  Progress</t>
        </is>
      </c>
      <c r="B6" s="164" t="n"/>
      <c r="C6" s="50" t="n"/>
      <c r="D6" s="50" t="n"/>
      <c r="E6" s="50" t="n"/>
      <c r="F6" s="50" t="n"/>
      <c r="G6" s="50" t="n"/>
      <c r="H6" s="50" t="n"/>
      <c r="I6" s="164" t="n"/>
      <c r="J6" s="130" t="n"/>
      <c r="K6" s="131" t="n"/>
      <c r="L6" s="131" t="n"/>
      <c r="M6" s="131" t="n"/>
      <c r="N6" s="131" t="n"/>
      <c r="O6" s="152">
        <f>IFERROR(__xludf.DUMMYFUNCTION("SPARKLINE(O3/O2, {""charttype"", ""bar""; ""max"", 1; ""color1"", ""#00000""})"),"")</f>
        <v/>
      </c>
      <c r="P6" s="152">
        <f>IFERROR(__xludf.DUMMYFUNCTION("SPARKLINE(P3/P2, {""charttype"", ""bar""; ""max"", 1; ""color1"", ""#00000""})"),"")</f>
        <v/>
      </c>
      <c r="Q6" s="164" t="n"/>
      <c r="R6" s="79" t="n"/>
      <c r="S6" s="79" t="n"/>
      <c r="T6" s="164" t="n"/>
      <c r="U6" s="164" t="n"/>
      <c r="V6" s="164" t="n"/>
      <c r="W6" s="164" t="n"/>
      <c r="X6" s="164" t="n"/>
      <c r="Y6" s="164" t="n"/>
      <c r="Z6" s="164" t="n"/>
    </row>
    <row r="7">
      <c r="A7" s="164" t="inlineStr">
        <is>
          <t xml:space="preserve">  Gap</t>
        </is>
      </c>
      <c r="B7" s="164" t="n"/>
      <c r="C7" s="50" t="n"/>
      <c r="D7" s="50" t="n"/>
      <c r="E7" s="50" t="n"/>
      <c r="F7" s="50" t="n"/>
      <c r="G7" s="50" t="n"/>
      <c r="H7" s="50" t="n"/>
      <c r="I7" s="164" t="n"/>
      <c r="J7" s="130" t="n"/>
      <c r="K7" s="131" t="n"/>
      <c r="L7" s="50" t="n"/>
      <c r="M7" s="50" t="n"/>
      <c r="N7" s="50" t="n"/>
      <c r="O7" s="50">
        <f>O3-O2</f>
        <v/>
      </c>
      <c r="P7" s="50">
        <f>P3-P2</f>
        <v/>
      </c>
      <c r="Q7" s="50">
        <f>P7-O7</f>
        <v/>
      </c>
      <c r="R7" s="79" t="n"/>
      <c r="S7" s="79" t="n"/>
      <c r="T7" s="164" t="n"/>
      <c r="U7" s="164" t="n"/>
      <c r="V7" s="164" t="n"/>
      <c r="W7" s="164" t="n"/>
      <c r="X7" s="164" t="n"/>
      <c r="Y7" s="164" t="n"/>
      <c r="Z7" s="164" t="n"/>
    </row>
    <row r="8">
      <c r="A8" s="164" t="n"/>
      <c r="B8" s="164" t="n"/>
      <c r="C8" s="50" t="n"/>
      <c r="D8" s="50" t="n"/>
      <c r="E8" s="50" t="n"/>
      <c r="F8" s="50" t="n"/>
      <c r="G8" s="50" t="n"/>
      <c r="H8" s="50" t="n"/>
      <c r="I8" s="164" t="n"/>
      <c r="J8" s="130" t="n"/>
      <c r="K8" s="131" t="n"/>
      <c r="L8" s="131" t="n"/>
      <c r="M8" s="131" t="n"/>
      <c r="N8" s="131" t="n"/>
      <c r="O8" s="131" t="n"/>
      <c r="P8" s="131" t="n"/>
      <c r="Q8" s="164" t="n"/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</row>
    <row r="9">
      <c r="A9" s="157" t="inlineStr">
        <is>
          <t>Trang Rạp phim</t>
        </is>
      </c>
      <c r="B9" s="157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0">
        <f>H9-G9</f>
        <v/>
      </c>
      <c r="J9" s="157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0">
        <f>P9-O9</f>
        <v/>
      </c>
      <c r="R9" s="157" t="n"/>
      <c r="S9" s="157" t="n"/>
      <c r="T9" s="164" t="n"/>
      <c r="U9" s="157" t="n"/>
      <c r="V9" s="157" t="n"/>
      <c r="W9" s="157" t="n"/>
      <c r="X9" s="157" t="n"/>
      <c r="Y9" s="157" t="n"/>
      <c r="Z9" s="157" t="n"/>
    </row>
    <row r="10">
      <c r="A10" s="164" t="n"/>
      <c r="B10" s="158" t="inlineStr">
        <is>
          <t>Organic</t>
        </is>
      </c>
      <c r="C10" s="50">
        <f>SUMIFS('MTD Pivot'!D:D, 'MTD Pivot'!$A:$A, "Cinema_Cineplex Page", 'MTD Pivot'!$C:$C, $B10)</f>
        <v/>
      </c>
      <c r="D10" s="50">
        <f>SUMIFS('MTD Pivot'!E:E, 'MTD Pivot'!$A:$A, "Cinema_Cineplex Page", 'MTD Pivot'!$C:$C, $B10)</f>
        <v/>
      </c>
      <c r="E10" s="50">
        <f>SUMIFS('MTD Pivot'!F:F, 'MTD Pivot'!$A:$A, "Cinema_Cineplex Page", 'MTD Pivot'!$C:$C, $B10)</f>
        <v/>
      </c>
      <c r="F10" s="50">
        <f>SUMIFS('MTD Pivot'!G:G, 'MTD Pivot'!$A:$A, "Cinema_Cineplex Page", 'MTD Pivot'!$C:$C, $B10)</f>
        <v/>
      </c>
      <c r="G10" s="50">
        <f>SUMIFS('MTD Pivot'!H:H, 'MTD Pivot'!$A:$A, "Cinema_Cineplex Page", 'MTD Pivot'!$C:$C, $B10)</f>
        <v/>
      </c>
      <c r="H10" s="50">
        <f>SUMIFS('MTD Pivot'!I:I, 'MTD Pivot'!$A:$A, "Cinema_Cineplex Page", 'MTD Pivot'!$C:$C, $B10)</f>
        <v/>
      </c>
      <c r="I10" s="50">
        <f>H10-G10</f>
        <v/>
      </c>
      <c r="J10" s="164" t="n"/>
      <c r="K10" s="50">
        <f>SUMIFS('Full month Pivot'!D:D, 'Full month Pivot'!$A:$A, "Cinema_Cineplex Page", 'Full month Pivot'!$C:$C, $B10)</f>
        <v/>
      </c>
      <c r="L10" s="50">
        <f>SUMIFS('Full month Pivot'!E:E, 'Full month Pivot'!$A:$A, "Cinema_Cineplex Page", 'Full month Pivot'!$C:$C, $B10)</f>
        <v/>
      </c>
      <c r="M10" s="50">
        <f>SUMIFS('Full month Pivot'!F:F, 'Full month Pivot'!$A:$A, "Cinema_Cineplex Page", 'Full month Pivot'!$C:$C, $B10)</f>
        <v/>
      </c>
      <c r="N10" s="50">
        <f>SUMIFS('Full month Pivot'!G:G, 'Full month Pivot'!$A:$A, "Cinema_Cineplex Page", 'Full month Pivot'!$C:$C, $B10)</f>
        <v/>
      </c>
      <c r="O10" s="50">
        <f>SUMIFS('Full month Pivot'!H:H, 'Full month Pivot'!$A:$A, "Cinema_Cineplex Page", 'Full month Pivot'!$C:$C, $B10)</f>
        <v/>
      </c>
      <c r="P10" s="50">
        <f>SUMIFS('Full month Pivot'!I:I, 'Full month Pivot'!$A:$A, "Cinema_Cineplex Page", 'Full month Pivot'!$C:$C, $B10)</f>
        <v/>
      </c>
      <c r="Q10" s="50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</row>
    <row r="11">
      <c r="A11" s="164" t="n"/>
      <c r="B11" s="158" t="inlineStr">
        <is>
          <t>Direct</t>
        </is>
      </c>
      <c r="C11" s="50">
        <f>SUMIFS('MTD Pivot'!D:D, 'MTD Pivot'!$A:$A, "Cinema_Cineplex Page", 'MTD Pivot'!$C:$C, $B11)</f>
        <v/>
      </c>
      <c r="D11" s="50">
        <f>SUMIFS('MTD Pivot'!E:E, 'MTD Pivot'!$A:$A, "Cinema_Cineplex Page", 'MTD Pivot'!$C:$C, $B11)</f>
        <v/>
      </c>
      <c r="E11" s="50">
        <f>SUMIFS('MTD Pivot'!F:F, 'MTD Pivot'!$A:$A, "Cinema_Cineplex Page", 'MTD Pivot'!$C:$C, $B11)</f>
        <v/>
      </c>
      <c r="F11" s="50">
        <f>SUMIFS('MTD Pivot'!G:G, 'MTD Pivot'!$A:$A, "Cinema_Cineplex Page", 'MTD Pivot'!$C:$C, $B11)</f>
        <v/>
      </c>
      <c r="G11" s="50">
        <f>SUMIFS('MTD Pivot'!H:H, 'MTD Pivot'!$A:$A, "Cinema_Cineplex Page", 'MTD Pivot'!$C:$C, $B11)</f>
        <v/>
      </c>
      <c r="H11" s="50">
        <f>SUMIFS('MTD Pivot'!I:I, 'MTD Pivot'!$A:$A, "Cinema_Cineplex Page", 'MTD Pivot'!$C:$C, $B11)</f>
        <v/>
      </c>
      <c r="I11" s="50">
        <f>H11-G11</f>
        <v/>
      </c>
      <c r="J11" s="164" t="n"/>
      <c r="K11" s="50">
        <f>SUMIFS('Full month Pivot'!D:D, 'Full month Pivot'!$A:$A, "Cinema_Cineplex Page", 'Full month Pivot'!$C:$C, $B11)</f>
        <v/>
      </c>
      <c r="L11" s="50">
        <f>SUMIFS('Full month Pivot'!E:E, 'Full month Pivot'!$A:$A, "Cinema_Cineplex Page", 'Full month Pivot'!$C:$C, $B11)</f>
        <v/>
      </c>
      <c r="M11" s="50">
        <f>SUMIFS('Full month Pivot'!F:F, 'Full month Pivot'!$A:$A, "Cinema_Cineplex Page", 'Full month Pivot'!$C:$C, $B11)</f>
        <v/>
      </c>
      <c r="N11" s="50">
        <f>SUMIFS('Full month Pivot'!G:G, 'Full month Pivot'!$A:$A, "Cinema_Cineplex Page", 'Full month Pivot'!$C:$C, $B11)</f>
        <v/>
      </c>
      <c r="O11" s="50">
        <f>SUMIFS('Full month Pivot'!H:H, 'Full month Pivot'!$A:$A, "Cinema_Cineplex Page", 'Full month Pivot'!$C:$C, $B11)</f>
        <v/>
      </c>
      <c r="P11" s="50">
        <f>SUMIFS('Full month Pivot'!I:I, 'Full month Pivot'!$A:$A, "Cinema_Cineplex Page", 'Full month Pivot'!$C:$C, $B11)</f>
        <v/>
      </c>
      <c r="Q11" s="50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</row>
    <row r="12">
      <c r="A12" s="164" t="n"/>
      <c r="B12" s="158" t="inlineStr">
        <is>
          <t>Paid</t>
        </is>
      </c>
      <c r="C12" s="50">
        <f>SUMIFS('MTD Pivot'!D:D, 'MTD Pivot'!$A:$A, "Cinema_Cineplex Page", 'MTD Pivot'!$C:$C, $B12)</f>
        <v/>
      </c>
      <c r="D12" s="50">
        <f>SUMIFS('MTD Pivot'!E:E, 'MTD Pivot'!$A:$A, "Cinema_Cineplex Page", 'MTD Pivot'!$C:$C, $B12)</f>
        <v/>
      </c>
      <c r="E12" s="50">
        <f>SUMIFS('MTD Pivot'!F:F, 'MTD Pivot'!$A:$A, "Cinema_Cineplex Page", 'MTD Pivot'!$C:$C, $B12)</f>
        <v/>
      </c>
      <c r="F12" s="50">
        <f>SUMIFS('MTD Pivot'!G:G, 'MTD Pivot'!$A:$A, "Cinema_Cineplex Page", 'MTD Pivot'!$C:$C, $B12)</f>
        <v/>
      </c>
      <c r="G12" s="50">
        <f>SUMIFS('MTD Pivot'!H:H, 'MTD Pivot'!$A:$A, "Cinema_Cineplex Page", 'MTD Pivot'!$C:$C, $B12)</f>
        <v/>
      </c>
      <c r="H12" s="50">
        <f>SUMIFS('MTD Pivot'!I:I, 'MTD Pivot'!$A:$A, "Cinema_Cineplex Page", 'MTD Pivot'!$C:$C, $B12)</f>
        <v/>
      </c>
      <c r="I12" s="50">
        <f>H12-G12</f>
        <v/>
      </c>
      <c r="J12" s="164" t="n"/>
      <c r="K12" s="50">
        <f>SUMIFS('Full month Pivot'!D:D, 'Full month Pivot'!$A:$A, "Cinema_Cineplex Page", 'Full month Pivot'!$C:$C, $B12)</f>
        <v/>
      </c>
      <c r="L12" s="50">
        <f>SUMIFS('Full month Pivot'!E:E, 'Full month Pivot'!$A:$A, "Cinema_Cineplex Page", 'Full month Pivot'!$C:$C, $B12)</f>
        <v/>
      </c>
      <c r="M12" s="50">
        <f>SUMIFS('Full month Pivot'!F:F, 'Full month Pivot'!$A:$A, "Cinema_Cineplex Page", 'Full month Pivot'!$C:$C, $B12)</f>
        <v/>
      </c>
      <c r="N12" s="50">
        <f>SUMIFS('Full month Pivot'!G:G, 'Full month Pivot'!$A:$A, "Cinema_Cineplex Page", 'Full month Pivot'!$C:$C, $B12)</f>
        <v/>
      </c>
      <c r="O12" s="50">
        <f>SUMIFS('Full month Pivot'!H:H, 'Full month Pivot'!$A:$A, "Cinema_Cineplex Page", 'Full month Pivot'!$C:$C, $B12)</f>
        <v/>
      </c>
      <c r="P12" s="50">
        <f>SUMIFS('Full month Pivot'!I:I, 'Full month Pivot'!$A:$A, "Cinema_Cineplex Page", 'Full month Pivot'!$C:$C, $B12)</f>
        <v/>
      </c>
      <c r="Q12" s="50">
        <f>P12-O12</f>
        <v/>
      </c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</row>
    <row r="13">
      <c r="A13" s="164" t="n"/>
      <c r="B13" s="158" t="inlineStr">
        <is>
          <t>Referral</t>
        </is>
      </c>
      <c r="C13" s="50">
        <f>SUMIFS('MTD Pivot'!D:D, 'MTD Pivot'!$A:$A, "Cinema_Cineplex Page", 'MTD Pivot'!$C:$C, $B13)</f>
        <v/>
      </c>
      <c r="D13" s="50">
        <f>SUMIFS('MTD Pivot'!E:E, 'MTD Pivot'!$A:$A, "Cinema_Cineplex Page", 'MTD Pivot'!$C:$C, $B13)</f>
        <v/>
      </c>
      <c r="E13" s="50">
        <f>SUMIFS('MTD Pivot'!F:F, 'MTD Pivot'!$A:$A, "Cinema_Cineplex Page", 'MTD Pivot'!$C:$C, $B13)</f>
        <v/>
      </c>
      <c r="F13" s="50">
        <f>SUMIFS('MTD Pivot'!G:G, 'MTD Pivot'!$A:$A, "Cinema_Cineplex Page", 'MTD Pivot'!$C:$C, $B13)</f>
        <v/>
      </c>
      <c r="G13" s="50">
        <f>SUMIFS('MTD Pivot'!H:H, 'MTD Pivot'!$A:$A, "Cinema_Cineplex Page", 'MTD Pivot'!$C:$C, $B13)</f>
        <v/>
      </c>
      <c r="H13" s="50">
        <f>SUMIFS('MTD Pivot'!I:I, 'MTD Pivot'!$A:$A, "Cinema_Cineplex Page", 'MTD Pivot'!$C:$C, $B13)</f>
        <v/>
      </c>
      <c r="I13" s="50">
        <f>H13-G13</f>
        <v/>
      </c>
      <c r="J13" s="164" t="n"/>
      <c r="K13" s="50">
        <f>SUMIFS('Full month Pivot'!D:D, 'Full month Pivot'!$A:$A, "Cinema_Cineplex Page", 'Full month Pivot'!$C:$C, $B13)</f>
        <v/>
      </c>
      <c r="L13" s="50">
        <f>SUMIFS('Full month Pivot'!E:E, 'Full month Pivot'!$A:$A, "Cinema_Cineplex Page", 'Full month Pivot'!$C:$C, $B13)</f>
        <v/>
      </c>
      <c r="M13" s="50">
        <f>SUMIFS('Full month Pivot'!F:F, 'Full month Pivot'!$A:$A, "Cinema_Cineplex Page", 'Full month Pivot'!$C:$C, $B13)</f>
        <v/>
      </c>
      <c r="N13" s="50">
        <f>SUMIFS('Full month Pivot'!G:G, 'Full month Pivot'!$A:$A, "Cinema_Cineplex Page", 'Full month Pivot'!$C:$C, $B13)</f>
        <v/>
      </c>
      <c r="O13" s="50">
        <f>SUMIFS('Full month Pivot'!H:H, 'Full month Pivot'!$A:$A, "Cinema_Cineplex Page", 'Full month Pivot'!$C:$C, $B13)</f>
        <v/>
      </c>
      <c r="P13" s="50">
        <f>SUMIFS('Full month Pivot'!I:I, 'Full month Pivot'!$A:$A, "Cinema_Cineplex Page", 'Full month Pivot'!$C:$C, $B13)</f>
        <v/>
      </c>
      <c r="Q13" s="50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</row>
    <row r="14">
      <c r="A14" s="164" t="n"/>
      <c r="B14" s="158" t="inlineStr">
        <is>
          <t>Others</t>
        </is>
      </c>
      <c r="C14" s="50">
        <f>SUMIFS('MTD Pivot'!D:D, 'MTD Pivot'!$A:$A, "Cinema_Cineplex Page", 'MTD Pivot'!$C:$C, $B14)</f>
        <v/>
      </c>
      <c r="D14" s="50">
        <f>SUMIFS('MTD Pivot'!E:E, 'MTD Pivot'!$A:$A, "Cinema_Cineplex Page", 'MTD Pivot'!$C:$C, $B14)</f>
        <v/>
      </c>
      <c r="E14" s="50">
        <f>SUMIFS('MTD Pivot'!F:F, 'MTD Pivot'!$A:$A, "Cinema_Cineplex Page", 'MTD Pivot'!$C:$C, $B14)</f>
        <v/>
      </c>
      <c r="F14" s="50">
        <f>SUMIFS('MTD Pivot'!G:G, 'MTD Pivot'!$A:$A, "Cinema_Cineplex Page", 'MTD Pivot'!$C:$C, $B14)</f>
        <v/>
      </c>
      <c r="G14" s="50">
        <f>SUMIFS('MTD Pivot'!H:H, 'MTD Pivot'!$A:$A, "Cinema_Cineplex Page", 'MTD Pivot'!$C:$C, $B14)</f>
        <v/>
      </c>
      <c r="H14" s="50">
        <f>SUMIFS('MTD Pivot'!I:I, 'MTD Pivot'!$A:$A, "Cinema_Cineplex Page", 'MTD Pivot'!$C:$C, $B14)</f>
        <v/>
      </c>
      <c r="I14" s="50">
        <f>H14-G14</f>
        <v/>
      </c>
      <c r="J14" s="157" t="n"/>
      <c r="K14" s="50">
        <f>SUMIFS('Full month Pivot'!D:D, 'Full month Pivot'!$A:$A, "Cinema_Cineplex Page", 'Full month Pivot'!$C:$C, $B14)</f>
        <v/>
      </c>
      <c r="L14" s="50">
        <f>SUMIFS('Full month Pivot'!E:E, 'Full month Pivot'!$A:$A, "Cinema_Cineplex Page", 'Full month Pivot'!$C:$C, $B14)</f>
        <v/>
      </c>
      <c r="M14" s="50">
        <f>SUMIFS('Full month Pivot'!F:F, 'Full month Pivot'!$A:$A, "Cinema_Cineplex Page", 'Full month Pivot'!$C:$C, $B14)</f>
        <v/>
      </c>
      <c r="N14" s="50">
        <f>SUMIFS('Full month Pivot'!G:G, 'Full month Pivot'!$A:$A, "Cinema_Cineplex Page", 'Full month Pivot'!$C:$C, $B14)</f>
        <v/>
      </c>
      <c r="O14" s="50">
        <f>SUMIFS('Full month Pivot'!H:H, 'Full month Pivot'!$A:$A, "Cinema_Cineplex Page", 'Full month Pivot'!$C:$C, $B14)</f>
        <v/>
      </c>
      <c r="P14" s="50">
        <f>SUMIFS('Full month Pivot'!I:I, 'Full month Pivot'!$A:$A, "Cinema_Cineplex Page", 'Full month Pivot'!$C:$C, $B14)</f>
        <v/>
      </c>
      <c r="Q14" s="50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</row>
    <row r="15">
      <c r="A15" s="164" t="n"/>
      <c r="B15" s="164" t="n"/>
      <c r="C15" s="50" t="n"/>
      <c r="D15" s="50" t="n"/>
      <c r="E15" s="50" t="n"/>
      <c r="F15" s="50" t="n"/>
      <c r="G15" s="50" t="n"/>
      <c r="H15" s="50" t="n"/>
      <c r="I15" s="164" t="n"/>
      <c r="J15" s="165" t="n"/>
      <c r="K15" s="165" t="n"/>
      <c r="L15" s="165" t="n"/>
      <c r="M15" s="165" t="n"/>
      <c r="N15" s="165" t="n"/>
      <c r="O15" s="165" t="n"/>
      <c r="P15" s="165" t="n"/>
      <c r="Q15" s="164" t="n"/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</row>
    <row r="16">
      <c r="A16" s="157" t="inlineStr">
        <is>
          <t>Trang phim chi tiết</t>
        </is>
      </c>
      <c r="B16" s="157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0">
        <f>H16-G16</f>
        <v/>
      </c>
      <c r="J16" s="157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0">
        <f>P16-O16</f>
        <v/>
      </c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</row>
    <row r="17">
      <c r="A17" s="164" t="n"/>
      <c r="B17" s="158" t="inlineStr">
        <is>
          <t>Organic</t>
        </is>
      </c>
      <c r="C17" s="50">
        <f>SUMIFS('MTD Pivot'!D:D, 'MTD Pivot'!$A:$A, "Cinema_Page", 'MTD Pivot'!$C:$C, $B17)</f>
        <v/>
      </c>
      <c r="D17" s="50">
        <f>SUMIFS('MTD Pivot'!E:E, 'MTD Pivot'!$A:$A, "Cinema_Page", 'MTD Pivot'!$C:$C, $B17)</f>
        <v/>
      </c>
      <c r="E17" s="50">
        <f>SUMIFS('MTD Pivot'!F:F, 'MTD Pivot'!$A:$A, "Cinema_Page", 'MTD Pivot'!$C:$C, $B17)</f>
        <v/>
      </c>
      <c r="F17" s="50">
        <f>SUMIFS('MTD Pivot'!G:G, 'MTD Pivot'!$A:$A, "Cinema_Page", 'MTD Pivot'!$C:$C, $B17)</f>
        <v/>
      </c>
      <c r="G17" s="50">
        <f>SUMIFS('MTD Pivot'!H:H, 'MTD Pivot'!$A:$A, "Cinema_Page", 'MTD Pivot'!$C:$C, $B17)</f>
        <v/>
      </c>
      <c r="H17" s="50">
        <f>SUMIFS('MTD Pivot'!I:I, 'MTD Pivot'!$A:$A, "Cinema_Page", 'MTD Pivot'!$C:$C, $B17)</f>
        <v/>
      </c>
      <c r="I17" s="50">
        <f>H17-G17</f>
        <v/>
      </c>
      <c r="J17" s="164" t="n"/>
      <c r="K17" s="50">
        <f>SUMIFS('Full month Pivot'!D:D, 'Full month Pivot'!$A:$A, "Cinema_Page", 'Full month Pivot'!$C:$C, $B17)</f>
        <v/>
      </c>
      <c r="L17" s="50">
        <f>SUMIFS('Full month Pivot'!E:E, 'Full month Pivot'!$A:$A, "Cinema_Page", 'Full month Pivot'!$C:$C, $B17)</f>
        <v/>
      </c>
      <c r="M17" s="50">
        <f>SUMIFS('Full month Pivot'!F:F, 'Full month Pivot'!$A:$A, "Cinema_Page", 'Full month Pivot'!$C:$C, $B17)</f>
        <v/>
      </c>
      <c r="N17" s="50">
        <f>SUMIFS('Full month Pivot'!G:G, 'Full month Pivot'!$A:$A, "Cinema_Page", 'Full month Pivot'!$C:$C, $B17)</f>
        <v/>
      </c>
      <c r="O17" s="50">
        <f>SUMIFS('Full month Pivot'!H:H, 'Full month Pivot'!$A:$A, "Cinema_Page", 'Full month Pivot'!$C:$C, $B17)</f>
        <v/>
      </c>
      <c r="P17" s="50">
        <f>SUMIFS('Full month Pivot'!I:I, 'Full month Pivot'!$A:$A, "Cinema_Page", 'Full month Pivot'!$C:$C, $B17)</f>
        <v/>
      </c>
      <c r="Q17" s="50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</row>
    <row r="18">
      <c r="A18" s="164" t="n"/>
      <c r="B18" s="158" t="inlineStr">
        <is>
          <t>Direct</t>
        </is>
      </c>
      <c r="C18" s="50">
        <f>SUMIFS('MTD Pivot'!D:D, 'MTD Pivot'!$A:$A, "Cinema_Page", 'MTD Pivot'!$C:$C, $B18)</f>
        <v/>
      </c>
      <c r="D18" s="50">
        <f>SUMIFS('MTD Pivot'!E:E, 'MTD Pivot'!$A:$A, "Cinema_Page", 'MTD Pivot'!$C:$C, $B18)</f>
        <v/>
      </c>
      <c r="E18" s="50">
        <f>SUMIFS('MTD Pivot'!F:F, 'MTD Pivot'!$A:$A, "Cinema_Page", 'MTD Pivot'!$C:$C, $B18)</f>
        <v/>
      </c>
      <c r="F18" s="50">
        <f>SUMIFS('MTD Pivot'!G:G, 'MTD Pivot'!$A:$A, "Cinema_Page", 'MTD Pivot'!$C:$C, $B18)</f>
        <v/>
      </c>
      <c r="G18" s="50">
        <f>SUMIFS('MTD Pivot'!H:H, 'MTD Pivot'!$A:$A, "Cinema_Page", 'MTD Pivot'!$C:$C, $B18)</f>
        <v/>
      </c>
      <c r="H18" s="50">
        <f>SUMIFS('MTD Pivot'!I:I, 'MTD Pivot'!$A:$A, "Cinema_Page", 'MTD Pivot'!$C:$C, $B18)</f>
        <v/>
      </c>
      <c r="I18" s="50">
        <f>H18-G18</f>
        <v/>
      </c>
      <c r="J18" s="164" t="n"/>
      <c r="K18" s="50">
        <f>SUMIFS('Full month Pivot'!D:D, 'Full month Pivot'!$A:$A, "Cinema_Page", 'Full month Pivot'!$C:$C, $B18)</f>
        <v/>
      </c>
      <c r="L18" s="50">
        <f>SUMIFS('Full month Pivot'!E:E, 'Full month Pivot'!$A:$A, "Cinema_Page", 'Full month Pivot'!$C:$C, $B18)</f>
        <v/>
      </c>
      <c r="M18" s="50">
        <f>SUMIFS('Full month Pivot'!F:F, 'Full month Pivot'!$A:$A, "Cinema_Page", 'Full month Pivot'!$C:$C, $B18)</f>
        <v/>
      </c>
      <c r="N18" s="50">
        <f>SUMIFS('Full month Pivot'!G:G, 'Full month Pivot'!$A:$A, "Cinema_Page", 'Full month Pivot'!$C:$C, $B18)</f>
        <v/>
      </c>
      <c r="O18" s="50">
        <f>SUMIFS('Full month Pivot'!H:H, 'Full month Pivot'!$A:$A, "Cinema_Page", 'Full month Pivot'!$C:$C, $B18)</f>
        <v/>
      </c>
      <c r="P18" s="50">
        <f>SUMIFS('Full month Pivot'!I:I, 'Full month Pivot'!$A:$A, "Cinema_Page", 'Full month Pivot'!$C:$C, $B18)</f>
        <v/>
      </c>
      <c r="Q18" s="50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</row>
    <row r="19">
      <c r="A19" s="164" t="n"/>
      <c r="B19" s="158" t="inlineStr">
        <is>
          <t>Paid</t>
        </is>
      </c>
      <c r="C19" s="50">
        <f>SUMIFS('MTD Pivot'!D:D, 'MTD Pivot'!$A:$A, "Cinema_Page", 'MTD Pivot'!$C:$C, $B19)</f>
        <v/>
      </c>
      <c r="D19" s="50">
        <f>SUMIFS('MTD Pivot'!E:E, 'MTD Pivot'!$A:$A, "Cinema_Page", 'MTD Pivot'!$C:$C, $B19)</f>
        <v/>
      </c>
      <c r="E19" s="50">
        <f>SUMIFS('MTD Pivot'!F:F, 'MTD Pivot'!$A:$A, "Cinema_Page", 'MTD Pivot'!$C:$C, $B19)</f>
        <v/>
      </c>
      <c r="F19" s="50">
        <f>SUMIFS('MTD Pivot'!G:G, 'MTD Pivot'!$A:$A, "Cinema_Page", 'MTD Pivot'!$C:$C, $B19)</f>
        <v/>
      </c>
      <c r="G19" s="50">
        <f>SUMIFS('MTD Pivot'!H:H, 'MTD Pivot'!$A:$A, "Cinema_Page", 'MTD Pivot'!$C:$C, $B19)</f>
        <v/>
      </c>
      <c r="H19" s="50">
        <f>SUMIFS('MTD Pivot'!I:I, 'MTD Pivot'!$A:$A, "Cinema_Page", 'MTD Pivot'!$C:$C, $B19)</f>
        <v/>
      </c>
      <c r="I19" s="50">
        <f>H19-G19</f>
        <v/>
      </c>
      <c r="J19" s="164" t="n"/>
      <c r="K19" s="50">
        <f>SUMIFS('Full month Pivot'!D:D, 'Full month Pivot'!$A:$A, "Cinema_Page", 'Full month Pivot'!$C:$C, $B19)</f>
        <v/>
      </c>
      <c r="L19" s="50">
        <f>SUMIFS('Full month Pivot'!E:E, 'Full month Pivot'!$A:$A, "Cinema_Page", 'Full month Pivot'!$C:$C, $B19)</f>
        <v/>
      </c>
      <c r="M19" s="50">
        <f>SUMIFS('Full month Pivot'!F:F, 'Full month Pivot'!$A:$A, "Cinema_Page", 'Full month Pivot'!$C:$C, $B19)</f>
        <v/>
      </c>
      <c r="N19" s="50">
        <f>SUMIFS('Full month Pivot'!G:G, 'Full month Pivot'!$A:$A, "Cinema_Page", 'Full month Pivot'!$C:$C, $B19)</f>
        <v/>
      </c>
      <c r="O19" s="50">
        <f>SUMIFS('Full month Pivot'!H:H, 'Full month Pivot'!$A:$A, "Cinema_Page", 'Full month Pivot'!$C:$C, $B19)</f>
        <v/>
      </c>
      <c r="P19" s="50">
        <f>SUMIFS('Full month Pivot'!I:I, 'Full month Pivot'!$A:$A, "Cinema_Page", 'Full month Pivot'!$C:$C, $B19)</f>
        <v/>
      </c>
      <c r="Q19" s="50">
        <f>P19-O19</f>
        <v/>
      </c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</row>
    <row r="20">
      <c r="A20" s="164" t="n"/>
      <c r="B20" s="158" t="inlineStr">
        <is>
          <t>Referral</t>
        </is>
      </c>
      <c r="C20" s="50">
        <f>SUMIFS('MTD Pivot'!D:D, 'MTD Pivot'!$A:$A, "Cinema_Page", 'MTD Pivot'!$C:$C, $B20)</f>
        <v/>
      </c>
      <c r="D20" s="50">
        <f>SUMIFS('MTD Pivot'!E:E, 'MTD Pivot'!$A:$A, "Cinema_Page", 'MTD Pivot'!$C:$C, $B20)</f>
        <v/>
      </c>
      <c r="E20" s="50">
        <f>SUMIFS('MTD Pivot'!F:F, 'MTD Pivot'!$A:$A, "Cinema_Page", 'MTD Pivot'!$C:$C, $B20)</f>
        <v/>
      </c>
      <c r="F20" s="50">
        <f>SUMIFS('MTD Pivot'!G:G, 'MTD Pivot'!$A:$A, "Cinema_Page", 'MTD Pivot'!$C:$C, $B20)</f>
        <v/>
      </c>
      <c r="G20" s="50">
        <f>SUMIFS('MTD Pivot'!H:H, 'MTD Pivot'!$A:$A, "Cinema_Page", 'MTD Pivot'!$C:$C, $B20)</f>
        <v/>
      </c>
      <c r="H20" s="50">
        <f>SUMIFS('MTD Pivot'!I:I, 'MTD Pivot'!$A:$A, "Cinema_Page", 'MTD Pivot'!$C:$C, $B20)</f>
        <v/>
      </c>
      <c r="I20" s="50">
        <f>H20-G20</f>
        <v/>
      </c>
      <c r="J20" s="164" t="n"/>
      <c r="K20" s="50">
        <f>SUMIFS('Full month Pivot'!D:D, 'Full month Pivot'!$A:$A, "Cinema_Page", 'Full month Pivot'!$C:$C, $B20)</f>
        <v/>
      </c>
      <c r="L20" s="50">
        <f>SUMIFS('Full month Pivot'!E:E, 'Full month Pivot'!$A:$A, "Cinema_Page", 'Full month Pivot'!$C:$C, $B20)</f>
        <v/>
      </c>
      <c r="M20" s="50">
        <f>SUMIFS('Full month Pivot'!F:F, 'Full month Pivot'!$A:$A, "Cinema_Page", 'Full month Pivot'!$C:$C, $B20)</f>
        <v/>
      </c>
      <c r="N20" s="50">
        <f>SUMIFS('Full month Pivot'!G:G, 'Full month Pivot'!$A:$A, "Cinema_Page", 'Full month Pivot'!$C:$C, $B20)</f>
        <v/>
      </c>
      <c r="O20" s="50">
        <f>SUMIFS('Full month Pivot'!H:H, 'Full month Pivot'!$A:$A, "Cinema_Page", 'Full month Pivot'!$C:$C, $B20)</f>
        <v/>
      </c>
      <c r="P20" s="50">
        <f>SUMIFS('Full month Pivot'!I:I, 'Full month Pivot'!$A:$A, "Cinema_Page", 'Full month Pivot'!$C:$C, $B20)</f>
        <v/>
      </c>
      <c r="Q20" s="50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</row>
    <row r="21">
      <c r="A21" s="164" t="n"/>
      <c r="B21" s="158" t="inlineStr">
        <is>
          <t>Others</t>
        </is>
      </c>
      <c r="C21" s="50">
        <f>SUMIFS('MTD Pivot'!D:D, 'MTD Pivot'!$A:$A, "Cinema_Page", 'MTD Pivot'!$C:$C, $B21)</f>
        <v/>
      </c>
      <c r="D21" s="50">
        <f>SUMIFS('MTD Pivot'!E:E, 'MTD Pivot'!$A:$A, "Cinema_Page", 'MTD Pivot'!$C:$C, $B21)</f>
        <v/>
      </c>
      <c r="E21" s="50">
        <f>SUMIFS('MTD Pivot'!F:F, 'MTD Pivot'!$A:$A, "Cinema_Page", 'MTD Pivot'!$C:$C, $B21)</f>
        <v/>
      </c>
      <c r="F21" s="50">
        <f>SUMIFS('MTD Pivot'!G:G, 'MTD Pivot'!$A:$A, "Cinema_Page", 'MTD Pivot'!$C:$C, $B21)</f>
        <v/>
      </c>
      <c r="G21" s="50">
        <f>SUMIFS('MTD Pivot'!H:H, 'MTD Pivot'!$A:$A, "Cinema_Page", 'MTD Pivot'!$C:$C, $B21)</f>
        <v/>
      </c>
      <c r="H21" s="50">
        <f>SUMIFS('MTD Pivot'!I:I, 'MTD Pivot'!$A:$A, "Cinema_Page", 'MTD Pivot'!$C:$C, $B21)</f>
        <v/>
      </c>
      <c r="I21" s="50">
        <f>H21-G21</f>
        <v/>
      </c>
      <c r="J21" s="164" t="n"/>
      <c r="K21" s="50">
        <f>SUMIFS('Full month Pivot'!D:D, 'Full month Pivot'!$A:$A, "Cinema_Page", 'Full month Pivot'!$C:$C, $B21)</f>
        <v/>
      </c>
      <c r="L21" s="50">
        <f>SUMIFS('Full month Pivot'!E:E, 'Full month Pivot'!$A:$A, "Cinema_Page", 'Full month Pivot'!$C:$C, $B21)</f>
        <v/>
      </c>
      <c r="M21" s="50">
        <f>SUMIFS('Full month Pivot'!F:F, 'Full month Pivot'!$A:$A, "Cinema_Page", 'Full month Pivot'!$C:$C, $B21)</f>
        <v/>
      </c>
      <c r="N21" s="50">
        <f>SUMIFS('Full month Pivot'!G:G, 'Full month Pivot'!$A:$A, "Cinema_Page", 'Full month Pivot'!$C:$C, $B21)</f>
        <v/>
      </c>
      <c r="O21" s="50">
        <f>SUMIFS('Full month Pivot'!H:H, 'Full month Pivot'!$A:$A, "Cinema_Page", 'Full month Pivot'!$C:$C, $B21)</f>
        <v/>
      </c>
      <c r="P21" s="50">
        <f>SUMIFS('Full month Pivot'!I:I, 'Full month Pivot'!$A:$A, "Cinema_Page", 'Full month Pivot'!$C:$C, $B21)</f>
        <v/>
      </c>
      <c r="Q21" s="50">
        <f>P21-O21</f>
        <v/>
      </c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</row>
    <row r="22">
      <c r="A22" s="164" t="n"/>
      <c r="B22" s="164" t="n"/>
      <c r="C22" s="50" t="n"/>
      <c r="D22" s="50" t="n"/>
      <c r="E22" s="50" t="n"/>
      <c r="F22" s="50" t="n"/>
      <c r="G22" s="50" t="n"/>
      <c r="H22" s="50" t="n"/>
      <c r="I22" s="164" t="n"/>
      <c r="J22" s="165" t="n"/>
      <c r="K22" s="165" t="n"/>
      <c r="L22" s="165" t="n"/>
      <c r="M22" s="165" t="n"/>
      <c r="N22" s="165" t="n"/>
      <c r="O22" s="165" t="n"/>
      <c r="P22" s="165" t="n"/>
      <c r="Q22" s="164" t="n"/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</row>
    <row r="23">
      <c r="A23" s="157" t="inlineStr">
        <is>
          <t>Cinema_Blog</t>
        </is>
      </c>
      <c r="B23" s="157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0">
        <f>H23-G23</f>
        <v/>
      </c>
      <c r="J23" s="157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0">
        <f>P23-O23</f>
        <v/>
      </c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</row>
    <row r="24">
      <c r="A24" s="164" t="n"/>
      <c r="B24" s="158" t="inlineStr">
        <is>
          <t>Organic</t>
        </is>
      </c>
      <c r="C24" s="50">
        <f>SUMIFS('MTD Pivot'!D:D, 'MTD Pivot'!$A:$A, "Cinema_Blog", 'MTD Pivot'!$C:$C, $B24)</f>
        <v/>
      </c>
      <c r="D24" s="50">
        <f>SUMIFS('MTD Pivot'!E:E, 'MTD Pivot'!$A:$A, "Cinema_Blog", 'MTD Pivot'!$C:$C, $B24)</f>
        <v/>
      </c>
      <c r="E24" s="50">
        <f>SUMIFS('MTD Pivot'!F:F, 'MTD Pivot'!$A:$A, "Cinema_Blog", 'MTD Pivot'!$C:$C, $B24)</f>
        <v/>
      </c>
      <c r="F24" s="50">
        <f>SUMIFS('MTD Pivot'!G:G, 'MTD Pivot'!$A:$A, "Cinema_Blog", 'MTD Pivot'!$C:$C, $B24)</f>
        <v/>
      </c>
      <c r="G24" s="50">
        <f>SUMIFS('MTD Pivot'!H:H, 'MTD Pivot'!$A:$A, "Cinema_Blog", 'MTD Pivot'!$C:$C, $B24)</f>
        <v/>
      </c>
      <c r="H24" s="50">
        <f>SUMIFS('MTD Pivot'!I:I, 'MTD Pivot'!$A:$A, "Cinema_Blog", 'MTD Pivot'!$C:$C, $B24)</f>
        <v/>
      </c>
      <c r="I24" s="50">
        <f>H24-G24</f>
        <v/>
      </c>
      <c r="J24" s="164" t="n"/>
      <c r="K24" s="50">
        <f>SUMIFS('Full month Pivot'!D:D, 'Full month Pivot'!$A:$A, "Cinema_Blog", 'Full month Pivot'!$C:$C, $B24)</f>
        <v/>
      </c>
      <c r="L24" s="50">
        <f>SUMIFS('Full month Pivot'!E:E, 'Full month Pivot'!$A:$A, "Cinema_Blog", 'Full month Pivot'!$C:$C, $B24)</f>
        <v/>
      </c>
      <c r="M24" s="50">
        <f>SUMIFS('Full month Pivot'!F:F, 'Full month Pivot'!$A:$A, "Cinema_Blog", 'Full month Pivot'!$C:$C, $B24)</f>
        <v/>
      </c>
      <c r="N24" s="50">
        <f>SUMIFS('Full month Pivot'!G:G, 'Full month Pivot'!$A:$A, "Cinema_Blog", 'Full month Pivot'!$C:$C, $B24)</f>
        <v/>
      </c>
      <c r="O24" s="50">
        <f>SUMIFS('Full month Pivot'!H:H, 'Full month Pivot'!$A:$A, "Cinema_Blog", 'Full month Pivot'!$C:$C, $B24)</f>
        <v/>
      </c>
      <c r="P24" s="50">
        <f>SUMIFS('Full month Pivot'!I:I, 'Full month Pivot'!$A:$A, "Cinema_Blog", 'Full month Pivot'!$C:$C, $B24)</f>
        <v/>
      </c>
      <c r="Q24" s="50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</row>
    <row r="25">
      <c r="A25" s="164" t="n"/>
      <c r="B25" s="158" t="inlineStr">
        <is>
          <t>Referral</t>
        </is>
      </c>
      <c r="C25" s="50">
        <f>SUMIFS('MTD Pivot'!D:D, 'MTD Pivot'!$A:$A, "Cinema_Blog", 'MTD Pivot'!$C:$C, $B25)</f>
        <v/>
      </c>
      <c r="D25" s="50">
        <f>SUMIFS('MTD Pivot'!E:E, 'MTD Pivot'!$A:$A, "Cinema_Blog", 'MTD Pivot'!$C:$C, $B25)</f>
        <v/>
      </c>
      <c r="E25" s="50">
        <f>SUMIFS('MTD Pivot'!F:F, 'MTD Pivot'!$A:$A, "Cinema_Blog", 'MTD Pivot'!$C:$C, $B25)</f>
        <v/>
      </c>
      <c r="F25" s="50">
        <f>SUMIFS('MTD Pivot'!G:G, 'MTD Pivot'!$A:$A, "Cinema_Blog", 'MTD Pivot'!$C:$C, $B25)</f>
        <v/>
      </c>
      <c r="G25" s="50">
        <f>SUMIFS('MTD Pivot'!H:H, 'MTD Pivot'!$A:$A, "Cinema_Blog", 'MTD Pivot'!$C:$C, $B25)</f>
        <v/>
      </c>
      <c r="H25" s="50">
        <f>SUMIFS('MTD Pivot'!I:I, 'MTD Pivot'!$A:$A, "Cinema_Blog", 'MTD Pivot'!$C:$C, $B25)</f>
        <v/>
      </c>
      <c r="I25" s="50">
        <f>H25-G25</f>
        <v/>
      </c>
      <c r="J25" s="164" t="n"/>
      <c r="K25" s="50">
        <f>SUMIFS('Full month Pivot'!D:D, 'Full month Pivot'!$A:$A, "Cinema_Blog", 'Full month Pivot'!$C:$C, $B25)</f>
        <v/>
      </c>
      <c r="L25" s="50">
        <f>SUMIFS('Full month Pivot'!E:E, 'Full month Pivot'!$A:$A, "Cinema_Blog", 'Full month Pivot'!$C:$C, $B25)</f>
        <v/>
      </c>
      <c r="M25" s="50">
        <f>SUMIFS('Full month Pivot'!F:F, 'Full month Pivot'!$A:$A, "Cinema_Blog", 'Full month Pivot'!$C:$C, $B25)</f>
        <v/>
      </c>
      <c r="N25" s="50">
        <f>SUMIFS('Full month Pivot'!G:G, 'Full month Pivot'!$A:$A, "Cinema_Blog", 'Full month Pivot'!$C:$C, $B25)</f>
        <v/>
      </c>
      <c r="O25" s="50">
        <f>SUMIFS('Full month Pivot'!H:H, 'Full month Pivot'!$A:$A, "Cinema_Blog", 'Full month Pivot'!$C:$C, $B25)</f>
        <v/>
      </c>
      <c r="P25" s="50">
        <f>SUMIFS('Full month Pivot'!I:I, 'Full month Pivot'!$A:$A, "Cinema_Blog", 'Full month Pivot'!$C:$C, $B25)</f>
        <v/>
      </c>
      <c r="Q25" s="50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</row>
    <row r="26">
      <c r="A26" s="164" t="n"/>
      <c r="B26" s="158" t="inlineStr">
        <is>
          <t>Direct</t>
        </is>
      </c>
      <c r="C26" s="50">
        <f>SUMIFS('MTD Pivot'!D:D, 'MTD Pivot'!$A:$A, "Cinema_Blog", 'MTD Pivot'!$C:$C, $B26)</f>
        <v/>
      </c>
      <c r="D26" s="50">
        <f>SUMIFS('MTD Pivot'!E:E, 'MTD Pivot'!$A:$A, "Cinema_Blog", 'MTD Pivot'!$C:$C, $B26)</f>
        <v/>
      </c>
      <c r="E26" s="50">
        <f>SUMIFS('MTD Pivot'!F:F, 'MTD Pivot'!$A:$A, "Cinema_Blog", 'MTD Pivot'!$C:$C, $B26)</f>
        <v/>
      </c>
      <c r="F26" s="50">
        <f>SUMIFS('MTD Pivot'!G:G, 'MTD Pivot'!$A:$A, "Cinema_Blog", 'MTD Pivot'!$C:$C, $B26)</f>
        <v/>
      </c>
      <c r="G26" s="50">
        <f>SUMIFS('MTD Pivot'!H:H, 'MTD Pivot'!$A:$A, "Cinema_Blog", 'MTD Pivot'!$C:$C, $B26)</f>
        <v/>
      </c>
      <c r="H26" s="50">
        <f>SUMIFS('MTD Pivot'!I:I, 'MTD Pivot'!$A:$A, "Cinema_Blog", 'MTD Pivot'!$C:$C, $B26)</f>
        <v/>
      </c>
      <c r="I26" s="50">
        <f>H26-G26</f>
        <v/>
      </c>
      <c r="J26" s="164" t="n"/>
      <c r="K26" s="50">
        <f>SUMIFS('Full month Pivot'!D:D, 'Full month Pivot'!$A:$A, "Cinema_Blog", 'Full month Pivot'!$C:$C, $B26)</f>
        <v/>
      </c>
      <c r="L26" s="50">
        <f>SUMIFS('Full month Pivot'!E:E, 'Full month Pivot'!$A:$A, "Cinema_Blog", 'Full month Pivot'!$C:$C, $B26)</f>
        <v/>
      </c>
      <c r="M26" s="50">
        <f>SUMIFS('Full month Pivot'!F:F, 'Full month Pivot'!$A:$A, "Cinema_Blog", 'Full month Pivot'!$C:$C, $B26)</f>
        <v/>
      </c>
      <c r="N26" s="50">
        <f>SUMIFS('Full month Pivot'!G:G, 'Full month Pivot'!$A:$A, "Cinema_Blog", 'Full month Pivot'!$C:$C, $B26)</f>
        <v/>
      </c>
      <c r="O26" s="50">
        <f>SUMIFS('Full month Pivot'!H:H, 'Full month Pivot'!$A:$A, "Cinema_Blog", 'Full month Pivot'!$C:$C, $B26)</f>
        <v/>
      </c>
      <c r="P26" s="50">
        <f>SUMIFS('Full month Pivot'!I:I, 'Full month Pivot'!$A:$A, "Cinema_Blog", 'Full month Pivot'!$C:$C, $B26)</f>
        <v/>
      </c>
      <c r="Q26" s="50">
        <f>P26-O26</f>
        <v/>
      </c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</row>
    <row r="27">
      <c r="A27" s="164" t="n"/>
      <c r="B27" s="158" t="inlineStr">
        <is>
          <t>Others</t>
        </is>
      </c>
      <c r="C27" s="50">
        <f>SUMIFS('MTD Pivot'!D:D, 'MTD Pivot'!$A:$A, "Cinema_Blog", 'MTD Pivot'!$C:$C, $B27)</f>
        <v/>
      </c>
      <c r="D27" s="50">
        <f>SUMIFS('MTD Pivot'!E:E, 'MTD Pivot'!$A:$A, "Cinema_Blog", 'MTD Pivot'!$C:$C, $B27)</f>
        <v/>
      </c>
      <c r="E27" s="50">
        <f>SUMIFS('MTD Pivot'!F:F, 'MTD Pivot'!$A:$A, "Cinema_Blog", 'MTD Pivot'!$C:$C, $B27)</f>
        <v/>
      </c>
      <c r="F27" s="50">
        <f>SUMIFS('MTD Pivot'!G:G, 'MTD Pivot'!$A:$A, "Cinema_Blog", 'MTD Pivot'!$C:$C, $B27)</f>
        <v/>
      </c>
      <c r="G27" s="50">
        <f>SUMIFS('MTD Pivot'!H:H, 'MTD Pivot'!$A:$A, "Cinema_Blog", 'MTD Pivot'!$C:$C, $B27)</f>
        <v/>
      </c>
      <c r="H27" s="50">
        <f>SUMIFS('MTD Pivot'!I:I, 'MTD Pivot'!$A:$A, "Cinema_Blog", 'MTD Pivot'!$C:$C, $B27)</f>
        <v/>
      </c>
      <c r="I27" s="50">
        <f>H27-G27</f>
        <v/>
      </c>
      <c r="J27" s="164" t="n"/>
      <c r="K27" s="50">
        <f>SUMIFS('Full month Pivot'!D:D, 'Full month Pivot'!$A:$A, "Cinema_Blog", 'Full month Pivot'!$C:$C, $B27)</f>
        <v/>
      </c>
      <c r="L27" s="50">
        <f>SUMIFS('Full month Pivot'!E:E, 'Full month Pivot'!$A:$A, "Cinema_Blog", 'Full month Pivot'!$C:$C, $B27)</f>
        <v/>
      </c>
      <c r="M27" s="50">
        <f>SUMIFS('Full month Pivot'!F:F, 'Full month Pivot'!$A:$A, "Cinema_Blog", 'Full month Pivot'!$C:$C, $B27)</f>
        <v/>
      </c>
      <c r="N27" s="50">
        <f>SUMIFS('Full month Pivot'!G:G, 'Full month Pivot'!$A:$A, "Cinema_Blog", 'Full month Pivot'!$C:$C, $B27)</f>
        <v/>
      </c>
      <c r="O27" s="50">
        <f>SUMIFS('Full month Pivot'!H:H, 'Full month Pivot'!$A:$A, "Cinema_Blog", 'Full month Pivot'!$C:$C, $B27)</f>
        <v/>
      </c>
      <c r="P27" s="50">
        <f>SUMIFS('Full month Pivot'!I:I, 'Full month Pivot'!$A:$A, "Cinema_Blog", 'Full month Pivot'!$C:$C, $B27)</f>
        <v/>
      </c>
      <c r="Q27" s="50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</row>
    <row r="28">
      <c r="A28" s="164" t="n"/>
      <c r="B28" s="158" t="inlineStr">
        <is>
          <t>Paid</t>
        </is>
      </c>
      <c r="C28" s="50">
        <f>SUMIFS('MTD Pivot'!D:D, 'MTD Pivot'!$A:$A, "Cinema_Blog", 'MTD Pivot'!$C:$C, $B28)</f>
        <v/>
      </c>
      <c r="D28" s="50">
        <f>SUMIFS('MTD Pivot'!E:E, 'MTD Pivot'!$A:$A, "Cinema_Blog", 'MTD Pivot'!$C:$C, $B28)</f>
        <v/>
      </c>
      <c r="E28" s="50">
        <f>SUMIFS('MTD Pivot'!F:F, 'MTD Pivot'!$A:$A, "Cinema_Blog", 'MTD Pivot'!$C:$C, $B28)</f>
        <v/>
      </c>
      <c r="F28" s="50">
        <f>SUMIFS('MTD Pivot'!G:G, 'MTD Pivot'!$A:$A, "Cinema_Blog", 'MTD Pivot'!$C:$C, $B28)</f>
        <v/>
      </c>
      <c r="G28" s="50">
        <f>SUMIFS('MTD Pivot'!H:H, 'MTD Pivot'!$A:$A, "Cinema_Blog", 'MTD Pivot'!$C:$C, $B28)</f>
        <v/>
      </c>
      <c r="H28" s="50">
        <f>SUMIFS('MTD Pivot'!I:I, 'MTD Pivot'!$A:$A, "Cinema_Blog", 'MTD Pivot'!$C:$C, $B28)</f>
        <v/>
      </c>
      <c r="I28" s="50">
        <f>H28-G28</f>
        <v/>
      </c>
      <c r="J28" s="164" t="n"/>
      <c r="K28" s="50">
        <f>SUMIFS('Full month Pivot'!D:D, 'Full month Pivot'!$A:$A, "Cinema_Blog", 'Full month Pivot'!$C:$C, $B28)</f>
        <v/>
      </c>
      <c r="L28" s="50">
        <f>SUMIFS('Full month Pivot'!E:E, 'Full month Pivot'!$A:$A, "Cinema_Blog", 'Full month Pivot'!$C:$C, $B28)</f>
        <v/>
      </c>
      <c r="M28" s="50">
        <f>SUMIFS('Full month Pivot'!F:F, 'Full month Pivot'!$A:$A, "Cinema_Blog", 'Full month Pivot'!$C:$C, $B28)</f>
        <v/>
      </c>
      <c r="N28" s="50">
        <f>SUMIFS('Full month Pivot'!G:G, 'Full month Pivot'!$A:$A, "Cinema_Blog", 'Full month Pivot'!$C:$C, $B28)</f>
        <v/>
      </c>
      <c r="O28" s="50">
        <f>SUMIFS('Full month Pivot'!H:H, 'Full month Pivot'!$A:$A, "Cinema_Blog", 'Full month Pivot'!$C:$C, $B28)</f>
        <v/>
      </c>
      <c r="P28" s="50">
        <f>SUMIFS('Full month Pivot'!I:I, 'Full month Pivot'!$A:$A, "Cinema_Blog", 'Full month Pivot'!$C:$C, $B28)</f>
        <v/>
      </c>
      <c r="Q28" s="50">
        <f>P28-O28</f>
        <v/>
      </c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</row>
    <row r="29">
      <c r="A29" s="164" t="n"/>
      <c r="B29" s="164" t="n"/>
      <c r="C29" s="50" t="n"/>
      <c r="D29" s="50" t="n"/>
      <c r="E29" s="50" t="n"/>
      <c r="F29" s="50" t="n"/>
      <c r="G29" s="50" t="n"/>
      <c r="H29" s="50" t="n"/>
      <c r="I29" s="164" t="n"/>
      <c r="J29" s="165" t="n"/>
      <c r="K29" s="165" t="n"/>
      <c r="L29" s="165" t="n"/>
      <c r="M29" s="165" t="n"/>
      <c r="N29" s="165" t="n"/>
      <c r="O29" s="165" t="n"/>
      <c r="P29" s="165" t="n"/>
      <c r="Q29" s="164" t="n"/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</row>
    <row r="30">
      <c r="A30" s="157" t="inlineStr">
        <is>
          <t>Cinema_Home Page (Trang chủ Cinema)</t>
        </is>
      </c>
      <c r="B30" s="157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0">
        <f>H30-G30</f>
        <v/>
      </c>
      <c r="J30" s="157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0">
        <f>P30-O30</f>
        <v/>
      </c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</row>
    <row r="31">
      <c r="A31" s="164" t="n"/>
      <c r="B31" s="158" t="inlineStr">
        <is>
          <t>Organic</t>
        </is>
      </c>
      <c r="C31" s="50">
        <f>SUMIFS('MTD Pivot'!D:D, 'MTD Pivot'!$A:$A, "Cinema_Home Page", 'MTD Pivot'!$C:$C, $B31)</f>
        <v/>
      </c>
      <c r="D31" s="50">
        <f>SUMIFS('MTD Pivot'!E:E, 'MTD Pivot'!$A:$A, "Cinema_Home Page", 'MTD Pivot'!$C:$C, $B31)</f>
        <v/>
      </c>
      <c r="E31" s="50">
        <f>SUMIFS('MTD Pivot'!F:F, 'MTD Pivot'!$A:$A, "Cinema_Home Page", 'MTD Pivot'!$C:$C, $B31)</f>
        <v/>
      </c>
      <c r="F31" s="50">
        <f>SUMIFS('MTD Pivot'!G:G, 'MTD Pivot'!$A:$A, "Cinema_Home Page", 'MTD Pivot'!$C:$C, $B31)</f>
        <v/>
      </c>
      <c r="G31" s="50">
        <f>SUMIFS('MTD Pivot'!H:H, 'MTD Pivot'!$A:$A, "Cinema_Home Page", 'MTD Pivot'!$C:$C, $B31)</f>
        <v/>
      </c>
      <c r="H31" s="50">
        <f>SUMIFS('MTD Pivot'!I:I, 'MTD Pivot'!$A:$A, "Cinema_Home Page", 'MTD Pivot'!$C:$C, $B31)</f>
        <v/>
      </c>
      <c r="I31" s="50">
        <f>H31-G31</f>
        <v/>
      </c>
      <c r="J31" s="164" t="n"/>
      <c r="K31" s="50">
        <f>SUMIFS('Full month Pivot'!D:D, 'Full month Pivot'!$A:$A, "Cinema_Home Page", 'Full month Pivot'!$C:$C, $B31)</f>
        <v/>
      </c>
      <c r="L31" s="50">
        <f>SUMIFS('Full month Pivot'!E:E, 'Full month Pivot'!$A:$A, "Cinema_Home Page", 'Full month Pivot'!$C:$C, $B31)</f>
        <v/>
      </c>
      <c r="M31" s="50">
        <f>SUMIFS('Full month Pivot'!F:F, 'Full month Pivot'!$A:$A, "Cinema_Home Page", 'Full month Pivot'!$C:$C, $B31)</f>
        <v/>
      </c>
      <c r="N31" s="50">
        <f>SUMIFS('Full month Pivot'!G:G, 'Full month Pivot'!$A:$A, "Cinema_Home Page", 'Full month Pivot'!$C:$C, $B31)</f>
        <v/>
      </c>
      <c r="O31" s="50">
        <f>SUMIFS('Full month Pivot'!H:H, 'Full month Pivot'!$A:$A, "Cinema_Home Page", 'Full month Pivot'!$C:$C, $B31)</f>
        <v/>
      </c>
      <c r="P31" s="50">
        <f>SUMIFS('Full month Pivot'!I:I, 'Full month Pivot'!$A:$A, "Cinema_Home Page", 'Full month Pivot'!$C:$C, $B31)</f>
        <v/>
      </c>
      <c r="Q31" s="50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</row>
    <row r="32">
      <c r="A32" s="164" t="n"/>
      <c r="B32" s="158" t="inlineStr">
        <is>
          <t>Direct</t>
        </is>
      </c>
      <c r="C32" s="50">
        <f>SUMIFS('MTD Pivot'!D:D, 'MTD Pivot'!$A:$A, "Cinema_Home Page", 'MTD Pivot'!$C:$C, $B32)</f>
        <v/>
      </c>
      <c r="D32" s="50">
        <f>SUMIFS('MTD Pivot'!E:E, 'MTD Pivot'!$A:$A, "Cinema_Home Page", 'MTD Pivot'!$C:$C, $B32)</f>
        <v/>
      </c>
      <c r="E32" s="50">
        <f>SUMIFS('MTD Pivot'!F:F, 'MTD Pivot'!$A:$A, "Cinema_Home Page", 'MTD Pivot'!$C:$C, $B32)</f>
        <v/>
      </c>
      <c r="F32" s="50">
        <f>SUMIFS('MTD Pivot'!G:G, 'MTD Pivot'!$A:$A, "Cinema_Home Page", 'MTD Pivot'!$C:$C, $B32)</f>
        <v/>
      </c>
      <c r="G32" s="50">
        <f>SUMIFS('MTD Pivot'!H:H, 'MTD Pivot'!$A:$A, "Cinema_Home Page", 'MTD Pivot'!$C:$C, $B32)</f>
        <v/>
      </c>
      <c r="H32" s="50">
        <f>SUMIFS('MTD Pivot'!I:I, 'MTD Pivot'!$A:$A, "Cinema_Home Page", 'MTD Pivot'!$C:$C, $B32)</f>
        <v/>
      </c>
      <c r="I32" s="50">
        <f>H32-G32</f>
        <v/>
      </c>
      <c r="J32" s="164" t="n"/>
      <c r="K32" s="50">
        <f>SUMIFS('Full month Pivot'!D:D, 'Full month Pivot'!$A:$A, "Cinema_Home Page", 'Full month Pivot'!$C:$C, $B32)</f>
        <v/>
      </c>
      <c r="L32" s="50">
        <f>SUMIFS('Full month Pivot'!E:E, 'Full month Pivot'!$A:$A, "Cinema_Home Page", 'Full month Pivot'!$C:$C, $B32)</f>
        <v/>
      </c>
      <c r="M32" s="50">
        <f>SUMIFS('Full month Pivot'!F:F, 'Full month Pivot'!$A:$A, "Cinema_Home Page", 'Full month Pivot'!$C:$C, $B32)</f>
        <v/>
      </c>
      <c r="N32" s="50">
        <f>SUMIFS('Full month Pivot'!G:G, 'Full month Pivot'!$A:$A, "Cinema_Home Page", 'Full month Pivot'!$C:$C, $B32)</f>
        <v/>
      </c>
      <c r="O32" s="50">
        <f>SUMIFS('Full month Pivot'!H:H, 'Full month Pivot'!$A:$A, "Cinema_Home Page", 'Full month Pivot'!$C:$C, $B32)</f>
        <v/>
      </c>
      <c r="P32" s="50">
        <f>SUMIFS('Full month Pivot'!I:I, 'Full month Pivot'!$A:$A, "Cinema_Home Page", 'Full month Pivot'!$C:$C, $B32)</f>
        <v/>
      </c>
      <c r="Q32" s="50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</row>
    <row r="33">
      <c r="A33" s="164" t="n"/>
      <c r="B33" s="158" t="inlineStr">
        <is>
          <t>Referral</t>
        </is>
      </c>
      <c r="C33" s="50">
        <f>SUMIFS('MTD Pivot'!D:D, 'MTD Pivot'!$A:$A, "Cinema_Home Page", 'MTD Pivot'!$C:$C, $B33)</f>
        <v/>
      </c>
      <c r="D33" s="50">
        <f>SUMIFS('MTD Pivot'!E:E, 'MTD Pivot'!$A:$A, "Cinema_Home Page", 'MTD Pivot'!$C:$C, $B33)</f>
        <v/>
      </c>
      <c r="E33" s="50">
        <f>SUMIFS('MTD Pivot'!F:F, 'MTD Pivot'!$A:$A, "Cinema_Home Page", 'MTD Pivot'!$C:$C, $B33)</f>
        <v/>
      </c>
      <c r="F33" s="50">
        <f>SUMIFS('MTD Pivot'!G:G, 'MTD Pivot'!$A:$A, "Cinema_Home Page", 'MTD Pivot'!$C:$C, $B33)</f>
        <v/>
      </c>
      <c r="G33" s="50">
        <f>SUMIFS('MTD Pivot'!H:H, 'MTD Pivot'!$A:$A, "Cinema_Home Page", 'MTD Pivot'!$C:$C, $B33)</f>
        <v/>
      </c>
      <c r="H33" s="50">
        <f>SUMIFS('MTD Pivot'!I:I, 'MTD Pivot'!$A:$A, "Cinema_Home Page", 'MTD Pivot'!$C:$C, $B33)</f>
        <v/>
      </c>
      <c r="I33" s="50">
        <f>H33-G33</f>
        <v/>
      </c>
      <c r="J33" s="164" t="n"/>
      <c r="K33" s="50">
        <f>SUMIFS('Full month Pivot'!D:D, 'Full month Pivot'!$A:$A, "Cinema_Home Page", 'Full month Pivot'!$C:$C, $B33)</f>
        <v/>
      </c>
      <c r="L33" s="50">
        <f>SUMIFS('Full month Pivot'!E:E, 'Full month Pivot'!$A:$A, "Cinema_Home Page", 'Full month Pivot'!$C:$C, $B33)</f>
        <v/>
      </c>
      <c r="M33" s="50">
        <f>SUMIFS('Full month Pivot'!F:F, 'Full month Pivot'!$A:$A, "Cinema_Home Page", 'Full month Pivot'!$C:$C, $B33)</f>
        <v/>
      </c>
      <c r="N33" s="50">
        <f>SUMIFS('Full month Pivot'!G:G, 'Full month Pivot'!$A:$A, "Cinema_Home Page", 'Full month Pivot'!$C:$C, $B33)</f>
        <v/>
      </c>
      <c r="O33" s="50">
        <f>SUMIFS('Full month Pivot'!H:H, 'Full month Pivot'!$A:$A, "Cinema_Home Page", 'Full month Pivot'!$C:$C, $B33)</f>
        <v/>
      </c>
      <c r="P33" s="50">
        <f>SUMIFS('Full month Pivot'!I:I, 'Full month Pivot'!$A:$A, "Cinema_Home Page", 'Full month Pivot'!$C:$C, $B33)</f>
        <v/>
      </c>
      <c r="Q33" s="50">
        <f>P33-O33</f>
        <v/>
      </c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</row>
    <row r="34">
      <c r="A34" s="164" t="n"/>
      <c r="B34" s="158" t="inlineStr">
        <is>
          <t>Others</t>
        </is>
      </c>
      <c r="C34" s="50">
        <f>SUMIFS('MTD Pivot'!D:D, 'MTD Pivot'!$A:$A, "Cinema_Home Page", 'MTD Pivot'!$C:$C, $B34)</f>
        <v/>
      </c>
      <c r="D34" s="50">
        <f>SUMIFS('MTD Pivot'!E:E, 'MTD Pivot'!$A:$A, "Cinema_Home Page", 'MTD Pivot'!$C:$C, $B34)</f>
        <v/>
      </c>
      <c r="E34" s="50">
        <f>SUMIFS('MTD Pivot'!F:F, 'MTD Pivot'!$A:$A, "Cinema_Home Page", 'MTD Pivot'!$C:$C, $B34)</f>
        <v/>
      </c>
      <c r="F34" s="50">
        <f>SUMIFS('MTD Pivot'!G:G, 'MTD Pivot'!$A:$A, "Cinema_Home Page", 'MTD Pivot'!$C:$C, $B34)</f>
        <v/>
      </c>
      <c r="G34" s="50">
        <f>SUMIFS('MTD Pivot'!H:H, 'MTD Pivot'!$A:$A, "Cinema_Home Page", 'MTD Pivot'!$C:$C, $B34)</f>
        <v/>
      </c>
      <c r="H34" s="50">
        <f>SUMIFS('MTD Pivot'!I:I, 'MTD Pivot'!$A:$A, "Cinema_Home Page", 'MTD Pivot'!$C:$C, $B34)</f>
        <v/>
      </c>
      <c r="I34" s="50">
        <f>H34-G34</f>
        <v/>
      </c>
      <c r="J34" s="164" t="n"/>
      <c r="K34" s="50">
        <f>SUMIFS('Full month Pivot'!D:D, 'Full month Pivot'!$A:$A, "Cinema_Home Page", 'Full month Pivot'!$C:$C, $B34)</f>
        <v/>
      </c>
      <c r="L34" s="50">
        <f>SUMIFS('Full month Pivot'!E:E, 'Full month Pivot'!$A:$A, "Cinema_Home Page", 'Full month Pivot'!$C:$C, $B34)</f>
        <v/>
      </c>
      <c r="M34" s="50">
        <f>SUMIFS('Full month Pivot'!F:F, 'Full month Pivot'!$A:$A, "Cinema_Home Page", 'Full month Pivot'!$C:$C, $B34)</f>
        <v/>
      </c>
      <c r="N34" s="50">
        <f>SUMIFS('Full month Pivot'!G:G, 'Full month Pivot'!$A:$A, "Cinema_Home Page", 'Full month Pivot'!$C:$C, $B34)</f>
        <v/>
      </c>
      <c r="O34" s="50">
        <f>SUMIFS('Full month Pivot'!H:H, 'Full month Pivot'!$A:$A, "Cinema_Home Page", 'Full month Pivot'!$C:$C, $B34)</f>
        <v/>
      </c>
      <c r="P34" s="50">
        <f>SUMIFS('Full month Pivot'!I:I, 'Full month Pivot'!$A:$A, "Cinema_Home Page", 'Full month Pivot'!$C:$C, $B34)</f>
        <v/>
      </c>
      <c r="Q34" s="50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</row>
    <row r="35">
      <c r="A35" s="164" t="n"/>
      <c r="B35" s="158" t="inlineStr">
        <is>
          <t>Paid</t>
        </is>
      </c>
      <c r="C35" s="50">
        <f>SUMIFS('MTD Pivot'!D:D, 'MTD Pivot'!$A:$A, "Cinema_Home Page", 'MTD Pivot'!$C:$C, $B35)</f>
        <v/>
      </c>
      <c r="D35" s="50">
        <f>SUMIFS('MTD Pivot'!E:E, 'MTD Pivot'!$A:$A, "Cinema_Home Page", 'MTD Pivot'!$C:$C, $B35)</f>
        <v/>
      </c>
      <c r="E35" s="50">
        <f>SUMIFS('MTD Pivot'!F:F, 'MTD Pivot'!$A:$A, "Cinema_Home Page", 'MTD Pivot'!$C:$C, $B35)</f>
        <v/>
      </c>
      <c r="F35" s="50">
        <f>SUMIFS('MTD Pivot'!G:G, 'MTD Pivot'!$A:$A, "Cinema_Home Page", 'MTD Pivot'!$C:$C, $B35)</f>
        <v/>
      </c>
      <c r="G35" s="50">
        <f>SUMIFS('MTD Pivot'!H:H, 'MTD Pivot'!$A:$A, "Cinema_Home Page", 'MTD Pivot'!$C:$C, $B35)</f>
        <v/>
      </c>
      <c r="H35" s="50">
        <f>SUMIFS('MTD Pivot'!I:I, 'MTD Pivot'!$A:$A, "Cinema_Home Page", 'MTD Pivot'!$C:$C, $B35)</f>
        <v/>
      </c>
      <c r="I35" s="50">
        <f>H35-G35</f>
        <v/>
      </c>
      <c r="J35" s="164" t="n"/>
      <c r="K35" s="50">
        <f>SUMIFS('Full month Pivot'!D:D, 'Full month Pivot'!$A:$A, "Cinema_Home Page", 'Full month Pivot'!$C:$C, $B35)</f>
        <v/>
      </c>
      <c r="L35" s="50">
        <f>SUMIFS('Full month Pivot'!E:E, 'Full month Pivot'!$A:$A, "Cinema_Home Page", 'Full month Pivot'!$C:$C, $B35)</f>
        <v/>
      </c>
      <c r="M35" s="50">
        <f>SUMIFS('Full month Pivot'!F:F, 'Full month Pivot'!$A:$A, "Cinema_Home Page", 'Full month Pivot'!$C:$C, $B35)</f>
        <v/>
      </c>
      <c r="N35" s="50">
        <f>SUMIFS('Full month Pivot'!G:G, 'Full month Pivot'!$A:$A, "Cinema_Home Page", 'Full month Pivot'!$C:$C, $B35)</f>
        <v/>
      </c>
      <c r="O35" s="50">
        <f>SUMIFS('Full month Pivot'!H:H, 'Full month Pivot'!$A:$A, "Cinema_Home Page", 'Full month Pivot'!$C:$C, $B35)</f>
        <v/>
      </c>
      <c r="P35" s="50">
        <f>SUMIFS('Full month Pivot'!I:I, 'Full month Pivot'!$A:$A, "Cinema_Home Page", 'Full month Pivot'!$C:$C, $B35)</f>
        <v/>
      </c>
      <c r="Q35" s="50">
        <f>P35-O35</f>
        <v/>
      </c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</row>
    <row r="36">
      <c r="A36" s="164" t="n"/>
      <c r="B36" s="164" t="n"/>
      <c r="C36" s="50" t="n"/>
      <c r="D36" s="50" t="n"/>
      <c r="E36" s="50" t="n"/>
      <c r="F36" s="50" t="n"/>
      <c r="G36" s="50" t="n"/>
      <c r="H36" s="50" t="n"/>
      <c r="I36" s="164" t="n"/>
      <c r="J36" s="165" t="n"/>
      <c r="K36" s="165" t="n"/>
      <c r="L36" s="165" t="n"/>
      <c r="M36" s="165" t="n"/>
      <c r="N36" s="165" t="n"/>
      <c r="O36" s="165" t="n"/>
      <c r="P36" s="165" t="n"/>
      <c r="Q36" s="164" t="n"/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</row>
    <row r="37">
      <c r="A37" s="157" t="inlineStr">
        <is>
          <t>Tin tức</t>
        </is>
      </c>
      <c r="B37" s="157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0">
        <f>H37-G37</f>
        <v/>
      </c>
      <c r="J37" s="157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0">
        <f>P37-O37</f>
        <v/>
      </c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</row>
    <row r="38">
      <c r="A38" s="164" t="n"/>
      <c r="B38" s="158" t="inlineStr">
        <is>
          <t>Organic</t>
        </is>
      </c>
      <c r="C38" s="50">
        <f>SUMIFS('MTD Pivot'!D:D, 'MTD Pivot'!$A:$A, "Cinema_News", 'MTD Pivot'!$C:$C, $B38)</f>
        <v/>
      </c>
      <c r="D38" s="50">
        <f>SUMIFS('MTD Pivot'!E:E, 'MTD Pivot'!$A:$A, "Cinema_News", 'MTD Pivot'!$C:$C, $B38)</f>
        <v/>
      </c>
      <c r="E38" s="50">
        <f>SUMIFS('MTD Pivot'!F:F, 'MTD Pivot'!$A:$A, "Cinema_News", 'MTD Pivot'!$C:$C, $B38)</f>
        <v/>
      </c>
      <c r="F38" s="50">
        <f>SUMIFS('MTD Pivot'!G:G, 'MTD Pivot'!$A:$A, "Cinema_News", 'MTD Pivot'!$C:$C, $B38)</f>
        <v/>
      </c>
      <c r="G38" s="50">
        <f>SUMIFS('MTD Pivot'!H:H, 'MTD Pivot'!$A:$A, "Cinema_News", 'MTD Pivot'!$C:$C, $B38)</f>
        <v/>
      </c>
      <c r="H38" s="50">
        <f>SUMIFS('MTD Pivot'!I:I, 'MTD Pivot'!$A:$A, "Cinema_News", 'MTD Pivot'!$C:$C, $B38)</f>
        <v/>
      </c>
      <c r="I38" s="50">
        <f>H38-G38</f>
        <v/>
      </c>
      <c r="J38" s="164" t="n"/>
      <c r="K38" s="50">
        <f>SUMIFS('Full month Pivot'!D:D, 'Full month Pivot'!$A:$A, "Cinema_News", 'Full month Pivot'!$C:$C, $B38)</f>
        <v/>
      </c>
      <c r="L38" s="50">
        <f>SUMIFS('Full month Pivot'!E:E, 'Full month Pivot'!$A:$A, "Cinema_News", 'Full month Pivot'!$C:$C, $B38)</f>
        <v/>
      </c>
      <c r="M38" s="50">
        <f>SUMIFS('Full month Pivot'!F:F, 'Full month Pivot'!$A:$A, "Cinema_News", 'Full month Pivot'!$C:$C, $B38)</f>
        <v/>
      </c>
      <c r="N38" s="50">
        <f>SUMIFS('Full month Pivot'!G:G, 'Full month Pivot'!$A:$A, "Cinema_News", 'Full month Pivot'!$C:$C, $B38)</f>
        <v/>
      </c>
      <c r="O38" s="50">
        <f>SUMIFS('Full month Pivot'!H:H, 'Full month Pivot'!$A:$A, "Cinema_News", 'Full month Pivot'!$C:$C, $B38)</f>
        <v/>
      </c>
      <c r="P38" s="50">
        <f>SUMIFS('Full month Pivot'!I:I, 'Full month Pivot'!$A:$A, "Cinema_News", 'Full month Pivot'!$C:$C, $B38)</f>
        <v/>
      </c>
      <c r="Q38" s="50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</row>
    <row r="39">
      <c r="A39" s="164" t="n"/>
      <c r="B39" s="158" t="inlineStr">
        <is>
          <t>Direct</t>
        </is>
      </c>
      <c r="C39" s="50">
        <f>SUMIFS('MTD Pivot'!D:D, 'MTD Pivot'!$A:$A, "Cinema_News", 'MTD Pivot'!$C:$C, $B39)</f>
        <v/>
      </c>
      <c r="D39" s="50">
        <f>SUMIFS('MTD Pivot'!E:E, 'MTD Pivot'!$A:$A, "Cinema_News", 'MTD Pivot'!$C:$C, $B39)</f>
        <v/>
      </c>
      <c r="E39" s="50">
        <f>SUMIFS('MTD Pivot'!F:F, 'MTD Pivot'!$A:$A, "Cinema_News", 'MTD Pivot'!$C:$C, $B39)</f>
        <v/>
      </c>
      <c r="F39" s="50">
        <f>SUMIFS('MTD Pivot'!G:G, 'MTD Pivot'!$A:$A, "Cinema_News", 'MTD Pivot'!$C:$C, $B39)</f>
        <v/>
      </c>
      <c r="G39" s="50">
        <f>SUMIFS('MTD Pivot'!H:H, 'MTD Pivot'!$A:$A, "Cinema_News", 'MTD Pivot'!$C:$C, $B39)</f>
        <v/>
      </c>
      <c r="H39" s="50">
        <f>SUMIFS('MTD Pivot'!I:I, 'MTD Pivot'!$A:$A, "Cinema_News", 'MTD Pivot'!$C:$C, $B39)</f>
        <v/>
      </c>
      <c r="I39" s="50">
        <f>H39-G39</f>
        <v/>
      </c>
      <c r="J39" s="164" t="n"/>
      <c r="K39" s="50">
        <f>SUMIFS('Full month Pivot'!D:D, 'Full month Pivot'!$A:$A, "Cinema_News", 'Full month Pivot'!$C:$C, $B39)</f>
        <v/>
      </c>
      <c r="L39" s="50">
        <f>SUMIFS('Full month Pivot'!E:E, 'Full month Pivot'!$A:$A, "Cinema_News", 'Full month Pivot'!$C:$C, $B39)</f>
        <v/>
      </c>
      <c r="M39" s="50">
        <f>SUMIFS('Full month Pivot'!F:F, 'Full month Pivot'!$A:$A, "Cinema_News", 'Full month Pivot'!$C:$C, $B39)</f>
        <v/>
      </c>
      <c r="N39" s="50">
        <f>SUMIFS('Full month Pivot'!G:G, 'Full month Pivot'!$A:$A, "Cinema_News", 'Full month Pivot'!$C:$C, $B39)</f>
        <v/>
      </c>
      <c r="O39" s="50">
        <f>SUMIFS('Full month Pivot'!H:H, 'Full month Pivot'!$A:$A, "Cinema_News", 'Full month Pivot'!$C:$C, $B39)</f>
        <v/>
      </c>
      <c r="P39" s="50">
        <f>SUMIFS('Full month Pivot'!I:I, 'Full month Pivot'!$A:$A, "Cinema_News", 'Full month Pivot'!$C:$C, $B39)</f>
        <v/>
      </c>
      <c r="Q39" s="50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</row>
    <row r="40">
      <c r="A40" s="164" t="n"/>
      <c r="B40" s="158" t="inlineStr">
        <is>
          <t>Referral</t>
        </is>
      </c>
      <c r="C40" s="50">
        <f>SUMIFS('MTD Pivot'!D:D, 'MTD Pivot'!$A:$A, "Cinema_News", 'MTD Pivot'!$C:$C, $B40)</f>
        <v/>
      </c>
      <c r="D40" s="50">
        <f>SUMIFS('MTD Pivot'!E:E, 'MTD Pivot'!$A:$A, "Cinema_News", 'MTD Pivot'!$C:$C, $B40)</f>
        <v/>
      </c>
      <c r="E40" s="50">
        <f>SUMIFS('MTD Pivot'!F:F, 'MTD Pivot'!$A:$A, "Cinema_News", 'MTD Pivot'!$C:$C, $B40)</f>
        <v/>
      </c>
      <c r="F40" s="50">
        <f>SUMIFS('MTD Pivot'!G:G, 'MTD Pivot'!$A:$A, "Cinema_News", 'MTD Pivot'!$C:$C, $B40)</f>
        <v/>
      </c>
      <c r="G40" s="50">
        <f>SUMIFS('MTD Pivot'!H:H, 'MTD Pivot'!$A:$A, "Cinema_News", 'MTD Pivot'!$C:$C, $B40)</f>
        <v/>
      </c>
      <c r="H40" s="50">
        <f>SUMIFS('MTD Pivot'!I:I, 'MTD Pivot'!$A:$A, "Cinema_News", 'MTD Pivot'!$C:$C, $B40)</f>
        <v/>
      </c>
      <c r="I40" s="50">
        <f>H40-G40</f>
        <v/>
      </c>
      <c r="J40" s="164" t="n"/>
      <c r="K40" s="50">
        <f>SUMIFS('Full month Pivot'!D:D, 'Full month Pivot'!$A:$A, "Cinema_News", 'Full month Pivot'!$C:$C, $B40)</f>
        <v/>
      </c>
      <c r="L40" s="50">
        <f>SUMIFS('Full month Pivot'!E:E, 'Full month Pivot'!$A:$A, "Cinema_News", 'Full month Pivot'!$C:$C, $B40)</f>
        <v/>
      </c>
      <c r="M40" s="50">
        <f>SUMIFS('Full month Pivot'!F:F, 'Full month Pivot'!$A:$A, "Cinema_News", 'Full month Pivot'!$C:$C, $B40)</f>
        <v/>
      </c>
      <c r="N40" s="50">
        <f>SUMIFS('Full month Pivot'!G:G, 'Full month Pivot'!$A:$A, "Cinema_News", 'Full month Pivot'!$C:$C, $B40)</f>
        <v/>
      </c>
      <c r="O40" s="50">
        <f>SUMIFS('Full month Pivot'!H:H, 'Full month Pivot'!$A:$A, "Cinema_News", 'Full month Pivot'!$C:$C, $B40)</f>
        <v/>
      </c>
      <c r="P40" s="50">
        <f>SUMIFS('Full month Pivot'!I:I, 'Full month Pivot'!$A:$A, "Cinema_News", 'Full month Pivot'!$C:$C, $B40)</f>
        <v/>
      </c>
      <c r="Q40" s="50">
        <f>P40-O40</f>
        <v/>
      </c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</row>
    <row r="41">
      <c r="A41" s="164" t="n"/>
      <c r="B41" s="158" t="inlineStr">
        <is>
          <t>Others</t>
        </is>
      </c>
      <c r="C41" s="50">
        <f>SUMIFS('MTD Pivot'!D:D, 'MTD Pivot'!$A:$A, "Cinema_News", 'MTD Pivot'!$C:$C, $B41)</f>
        <v/>
      </c>
      <c r="D41" s="50">
        <f>SUMIFS('MTD Pivot'!E:E, 'MTD Pivot'!$A:$A, "Cinema_News", 'MTD Pivot'!$C:$C, $B41)</f>
        <v/>
      </c>
      <c r="E41" s="50">
        <f>SUMIFS('MTD Pivot'!F:F, 'MTD Pivot'!$A:$A, "Cinema_News", 'MTD Pivot'!$C:$C, $B41)</f>
        <v/>
      </c>
      <c r="F41" s="50">
        <f>SUMIFS('MTD Pivot'!G:G, 'MTD Pivot'!$A:$A, "Cinema_News", 'MTD Pivot'!$C:$C, $B41)</f>
        <v/>
      </c>
      <c r="G41" s="50">
        <f>SUMIFS('MTD Pivot'!H:H, 'MTD Pivot'!$A:$A, "Cinema_News", 'MTD Pivot'!$C:$C, $B41)</f>
        <v/>
      </c>
      <c r="H41" s="50">
        <f>SUMIFS('MTD Pivot'!I:I, 'MTD Pivot'!$A:$A, "Cinema_News", 'MTD Pivot'!$C:$C, $B41)</f>
        <v/>
      </c>
      <c r="I41" s="50">
        <f>H41-G41</f>
        <v/>
      </c>
      <c r="J41" s="164" t="n"/>
      <c r="K41" s="50">
        <f>SUMIFS('Full month Pivot'!D:D, 'Full month Pivot'!$A:$A, "Cinema_News", 'Full month Pivot'!$C:$C, $B41)</f>
        <v/>
      </c>
      <c r="L41" s="50">
        <f>SUMIFS('Full month Pivot'!E:E, 'Full month Pivot'!$A:$A, "Cinema_News", 'Full month Pivot'!$C:$C, $B41)</f>
        <v/>
      </c>
      <c r="M41" s="50">
        <f>SUMIFS('Full month Pivot'!F:F, 'Full month Pivot'!$A:$A, "Cinema_News", 'Full month Pivot'!$C:$C, $B41)</f>
        <v/>
      </c>
      <c r="N41" s="50">
        <f>SUMIFS('Full month Pivot'!G:G, 'Full month Pivot'!$A:$A, "Cinema_News", 'Full month Pivot'!$C:$C, $B41)</f>
        <v/>
      </c>
      <c r="O41" s="50">
        <f>SUMIFS('Full month Pivot'!H:H, 'Full month Pivot'!$A:$A, "Cinema_News", 'Full month Pivot'!$C:$C, $B41)</f>
        <v/>
      </c>
      <c r="P41" s="50">
        <f>SUMIFS('Full month Pivot'!I:I, 'Full month Pivot'!$A:$A, "Cinema_News", 'Full month Pivot'!$C:$C, $B41)</f>
        <v/>
      </c>
      <c r="Q41" s="50">
        <f>P41-O41</f>
        <v/>
      </c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</row>
    <row r="42">
      <c r="A42" s="164" t="n"/>
      <c r="B42" s="158" t="inlineStr">
        <is>
          <t>Paid</t>
        </is>
      </c>
      <c r="C42" s="50">
        <f>SUMIFS('MTD Pivot'!D:D, 'MTD Pivot'!$A:$A, "Cinema_News", 'MTD Pivot'!$C:$C, $B42)</f>
        <v/>
      </c>
      <c r="D42" s="50">
        <f>SUMIFS('MTD Pivot'!E:E, 'MTD Pivot'!$A:$A, "Cinema_News", 'MTD Pivot'!$C:$C, $B42)</f>
        <v/>
      </c>
      <c r="E42" s="50">
        <f>SUMIFS('MTD Pivot'!F:F, 'MTD Pivot'!$A:$A, "Cinema_News", 'MTD Pivot'!$C:$C, $B42)</f>
        <v/>
      </c>
      <c r="F42" s="50">
        <f>SUMIFS('MTD Pivot'!G:G, 'MTD Pivot'!$A:$A, "Cinema_News", 'MTD Pivot'!$C:$C, $B42)</f>
        <v/>
      </c>
      <c r="G42" s="50">
        <f>SUMIFS('MTD Pivot'!H:H, 'MTD Pivot'!$A:$A, "Cinema_News", 'MTD Pivot'!$C:$C, $B42)</f>
        <v/>
      </c>
      <c r="H42" s="50">
        <f>SUMIFS('MTD Pivot'!I:I, 'MTD Pivot'!$A:$A, "Cinema_News", 'MTD Pivot'!$C:$C, $B42)</f>
        <v/>
      </c>
      <c r="I42" s="50">
        <f>H42-G42</f>
        <v/>
      </c>
      <c r="J42" s="164" t="n"/>
      <c r="K42" s="50">
        <f>SUMIFS('Full month Pivot'!D:D, 'Full month Pivot'!$A:$A, "Cinema_News", 'Full month Pivot'!$C:$C, $B42)</f>
        <v/>
      </c>
      <c r="L42" s="50">
        <f>SUMIFS('Full month Pivot'!E:E, 'Full month Pivot'!$A:$A, "Cinema_News", 'Full month Pivot'!$C:$C, $B42)</f>
        <v/>
      </c>
      <c r="M42" s="50">
        <f>SUMIFS('Full month Pivot'!F:F, 'Full month Pivot'!$A:$A, "Cinema_News", 'Full month Pivot'!$C:$C, $B42)</f>
        <v/>
      </c>
      <c r="N42" s="50">
        <f>SUMIFS('Full month Pivot'!G:G, 'Full month Pivot'!$A:$A, "Cinema_News", 'Full month Pivot'!$C:$C, $B42)</f>
        <v/>
      </c>
      <c r="O42" s="50">
        <f>SUMIFS('Full month Pivot'!H:H, 'Full month Pivot'!$A:$A, "Cinema_News", 'Full month Pivot'!$C:$C, $B42)</f>
        <v/>
      </c>
      <c r="P42" s="50">
        <f>SUMIFS('Full month Pivot'!I:I, 'Full month Pivot'!$A:$A, "Cinema_News", 'Full month Pivot'!$C:$C, $B42)</f>
        <v/>
      </c>
      <c r="Q42" s="50">
        <f>P42-O42</f>
        <v/>
      </c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5" t="n"/>
      <c r="K43" s="165" t="n"/>
      <c r="L43" s="165" t="n"/>
      <c r="M43" s="165" t="n"/>
      <c r="N43" s="165" t="n"/>
      <c r="O43" s="165" t="n"/>
      <c r="P43" s="165" t="n"/>
      <c r="Q43" s="164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</row>
    <row r="44">
      <c r="A44" s="157" t="inlineStr">
        <is>
          <t>Cinema_Landing Page</t>
        </is>
      </c>
      <c r="B44" s="157" t="n"/>
      <c r="C44" s="157" t="n">
        <v>98</v>
      </c>
      <c r="D44" s="157" t="n">
        <v>193</v>
      </c>
      <c r="E44" s="157" t="n">
        <v>60</v>
      </c>
      <c r="F44" s="157" t="n">
        <v>79</v>
      </c>
      <c r="G44" s="157">
        <f>sum(G45:G48)</f>
        <v/>
      </c>
      <c r="H44" s="157">
        <f>sum(H45:H48)</f>
        <v/>
      </c>
      <c r="I44" s="164">
        <f>H44-G44</f>
        <v/>
      </c>
      <c r="J44" s="157" t="n"/>
      <c r="K44" s="157" t="n">
        <v>145</v>
      </c>
      <c r="L44" s="157" t="n">
        <v>222</v>
      </c>
      <c r="M44" s="157" t="n">
        <v>85</v>
      </c>
      <c r="N44" s="169">
        <f>sum('Full month Pivot'!G258:G261)</f>
        <v/>
      </c>
      <c r="O44" s="157">
        <f>sum(O45:O48)</f>
        <v/>
      </c>
      <c r="P44" s="157">
        <f>sum(P45:P48)</f>
        <v/>
      </c>
      <c r="Q44" s="164">
        <f>P44-O44</f>
        <v/>
      </c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</row>
    <row r="45">
      <c r="A45" s="164" t="n"/>
      <c r="B45" s="158" t="inlineStr">
        <is>
          <t>Organic</t>
        </is>
      </c>
      <c r="C45" s="164">
        <f>SUMIFS('MTD Pivot'!D:D, 'MTD Pivot'!$A:$A, "Cinema_Landing Page", 'MTD Pivot'!$C:$C, $B45)</f>
        <v/>
      </c>
      <c r="D45" s="164">
        <f>SUMIFS('MTD Pivot'!E:E, 'MTD Pivot'!$A:$A, "Cinema_Landing Page", 'MTD Pivot'!$C:$C, $B45)</f>
        <v/>
      </c>
      <c r="E45" s="164">
        <f>SUMIFS('MTD Pivot'!F:F, 'MTD Pivot'!$A:$A, "Cinema_Landing Page", 'MTD Pivot'!$C:$C, $B45)</f>
        <v/>
      </c>
      <c r="F45" s="164">
        <f>SUMIFS('MTD Pivot'!G:G, 'MTD Pivot'!$A:$A, "Cinema_Landing Page", 'MTD Pivot'!$C:$C, $B45)</f>
        <v/>
      </c>
      <c r="G45" s="164">
        <f>SUMIFS('MTD Pivot'!H:H, 'MTD Pivot'!$A:$A, "Cinema_Landing Page", 'MTD Pivot'!$C:$C, $B45)</f>
        <v/>
      </c>
      <c r="H45" s="164">
        <f>SUMIFS('MTD Pivot'!I:I, 'MTD Pivot'!$A:$A, "Cinema_Landing Page", 'MTD Pivot'!$C:$C, $B45)</f>
        <v/>
      </c>
      <c r="I45" s="164">
        <f>H45-G45</f>
        <v/>
      </c>
      <c r="J45" s="164" t="n"/>
      <c r="K45" s="164">
        <f>SUMIFS('Full month Pivot'!D:D, 'Full month Pivot'!$A:$A, "Cinema_Landing Page", 'Full month Pivot'!$C:$C, $B45)</f>
        <v/>
      </c>
      <c r="L45" s="164">
        <f>SUMIFS('Full month Pivot'!E:E, 'Full month Pivot'!$A:$A, "Cinema_Landing Page", 'Full month Pivot'!$C:$C, $B45)</f>
        <v/>
      </c>
      <c r="M45" s="164">
        <f>SUMIFS('Full month Pivot'!F:F, 'Full month Pivot'!$A:$A, "Cinema_Landing Page", 'Full month Pivot'!$C:$C, $B45)</f>
        <v/>
      </c>
      <c r="N45" s="164">
        <f>SUMIFS('Full month Pivot'!G:G, 'Full month Pivot'!$A:$A, "Cinema_Landing Page", 'Full month Pivot'!$C:$C, $B45)</f>
        <v/>
      </c>
      <c r="O45" s="164">
        <f>SUMIFS('Full month Pivot'!H:H, 'Full month Pivot'!$A:$A, "Cinema_Landing Page", 'Full month Pivot'!$C:$C, $B45)</f>
        <v/>
      </c>
      <c r="P45" s="164">
        <f>SUMIFS('Full month Pivot'!I:I, 'Full month Pivot'!$A:$A, "Cinema_Landing Page", 'Full month Pivot'!$C:$C, $B45)</f>
        <v/>
      </c>
      <c r="Q45" s="164">
        <f>P45-O45</f>
        <v/>
      </c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</row>
    <row r="46">
      <c r="A46" s="164" t="n"/>
      <c r="B46" s="158" t="inlineStr">
        <is>
          <t>Direct</t>
        </is>
      </c>
      <c r="C46" s="164">
        <f>SUMIFS('MTD Pivot'!D:D, 'MTD Pivot'!$A:$A, "Cinema_Landing Page", 'MTD Pivot'!$C:$C, $B46)</f>
        <v/>
      </c>
      <c r="D46" s="164">
        <f>SUMIFS('MTD Pivot'!E:E, 'MTD Pivot'!$A:$A, "Cinema_Landing Page", 'MTD Pivot'!$C:$C, $B46)</f>
        <v/>
      </c>
      <c r="E46" s="164">
        <f>SUMIFS('MTD Pivot'!F:F, 'MTD Pivot'!$A:$A, "Cinema_Landing Page", 'MTD Pivot'!$C:$C, $B46)</f>
        <v/>
      </c>
      <c r="F46" s="164">
        <f>SUMIFS('MTD Pivot'!G:G, 'MTD Pivot'!$A:$A, "Cinema_Landing Page", 'MTD Pivot'!$C:$C, $B46)</f>
        <v/>
      </c>
      <c r="G46" s="164">
        <f>SUMIFS('MTD Pivot'!H:H, 'MTD Pivot'!$A:$A, "Cinema_Landing Page", 'MTD Pivot'!$C:$C, $B46)</f>
        <v/>
      </c>
      <c r="H46" s="164">
        <f>SUMIFS('MTD Pivot'!I:I, 'MTD Pivot'!$A:$A, "Cinema_Landing Page", 'MTD Pivot'!$C:$C, $B46)</f>
        <v/>
      </c>
      <c r="I46" s="164">
        <f>H46-G46</f>
        <v/>
      </c>
      <c r="J46" s="157" t="n"/>
      <c r="K46" s="164">
        <f>SUMIFS('Full month Pivot'!D:D, 'Full month Pivot'!$A:$A, "Cinema_Landing Page", 'Full month Pivot'!$C:$C, $B46)</f>
        <v/>
      </c>
      <c r="L46" s="164">
        <f>SUMIFS('Full month Pivot'!E:E, 'Full month Pivot'!$A:$A, "Cinema_Landing Page", 'Full month Pivot'!$C:$C, $B46)</f>
        <v/>
      </c>
      <c r="M46" s="164">
        <f>SUMIFS('Full month Pivot'!F:F, 'Full month Pivot'!$A:$A, "Cinema_Landing Page", 'Full month Pivot'!$C:$C, $B46)</f>
        <v/>
      </c>
      <c r="N46" s="164">
        <f>SUMIFS('Full month Pivot'!G:G, 'Full month Pivot'!$A:$A, "Cinema_Landing Page", 'Full month Pivot'!$C:$C, $B46)</f>
        <v/>
      </c>
      <c r="O46" s="164">
        <f>SUMIFS('Full month Pivot'!H:H, 'Full month Pivot'!$A:$A, "Cinema_Landing Page", 'Full month Pivot'!$C:$C, $B46)</f>
        <v/>
      </c>
      <c r="P46" s="164">
        <f>SUMIFS('Full month Pivot'!I:I, 'Full month Pivot'!$A:$A, "Cinema_Landing Page", 'Full month Pivot'!$C:$C, $B46)</f>
        <v/>
      </c>
      <c r="Q46" s="164">
        <f>P46-O46</f>
        <v/>
      </c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</row>
    <row r="47">
      <c r="A47" s="164" t="n"/>
      <c r="B47" s="158" t="inlineStr">
        <is>
          <t>Others</t>
        </is>
      </c>
      <c r="C47" s="164">
        <f>SUMIFS('MTD Pivot'!D:D, 'MTD Pivot'!$A:$A, "Cinema_Landing Page", 'MTD Pivot'!$C:$C, $B47)</f>
        <v/>
      </c>
      <c r="D47" s="164">
        <f>SUMIFS('MTD Pivot'!E:E, 'MTD Pivot'!$A:$A, "Cinema_Landing Page", 'MTD Pivot'!$C:$C, $B47)</f>
        <v/>
      </c>
      <c r="E47" s="164">
        <f>SUMIFS('MTD Pivot'!F:F, 'MTD Pivot'!$A:$A, "Cinema_Landing Page", 'MTD Pivot'!$C:$C, $B47)</f>
        <v/>
      </c>
      <c r="F47" s="164">
        <f>SUMIFS('MTD Pivot'!G:G, 'MTD Pivot'!$A:$A, "Cinema_Landing Page", 'MTD Pivot'!$C:$C, $B47)</f>
        <v/>
      </c>
      <c r="G47" s="164">
        <f>SUMIFS('MTD Pivot'!H:H, 'MTD Pivot'!$A:$A, "Cinema_Landing Page", 'MTD Pivot'!$C:$C, $B47)</f>
        <v/>
      </c>
      <c r="H47" s="164">
        <f>SUMIFS('MTD Pivot'!I:I, 'MTD Pivot'!$A:$A, "Cinema_Landing Page", 'MTD Pivot'!$C:$C, $B47)</f>
        <v/>
      </c>
      <c r="I47" s="164">
        <f>H47-G47</f>
        <v/>
      </c>
      <c r="J47" s="164" t="n"/>
      <c r="K47" s="164">
        <f>SUMIFS('Full month Pivot'!D:D, 'Full month Pivot'!$A:$A, "Cinema_Landing Page", 'Full month Pivot'!$C:$C, $B47)</f>
        <v/>
      </c>
      <c r="L47" s="164">
        <f>SUMIFS('Full month Pivot'!E:E, 'Full month Pivot'!$A:$A, "Cinema_Landing Page", 'Full month Pivot'!$C:$C, $B47)</f>
        <v/>
      </c>
      <c r="M47" s="164">
        <f>SUMIFS('Full month Pivot'!F:F, 'Full month Pivot'!$A:$A, "Cinema_Landing Page", 'Full month Pivot'!$C:$C, $B47)</f>
        <v/>
      </c>
      <c r="N47" s="164">
        <f>SUMIFS('Full month Pivot'!G:G, 'Full month Pivot'!$A:$A, "Cinema_Landing Page", 'Full month Pivot'!$C:$C, $B47)</f>
        <v/>
      </c>
      <c r="O47" s="164">
        <f>SUMIFS('Full month Pivot'!H:H, 'Full month Pivot'!$A:$A, "Cinema_Landing Page", 'Full month Pivot'!$C:$C, $B47)</f>
        <v/>
      </c>
      <c r="P47" s="164">
        <f>SUMIFS('Full month Pivot'!I:I, 'Full month Pivot'!$A:$A, "Cinema_Landing Page", 'Full month Pivot'!$C:$C, $B47)</f>
        <v/>
      </c>
      <c r="Q47" s="164">
        <f>P47-O47</f>
        <v/>
      </c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</row>
    <row r="48">
      <c r="A48" s="164" t="n"/>
      <c r="B48" s="158" t="inlineStr">
        <is>
          <t>Referral</t>
        </is>
      </c>
      <c r="C48" s="164">
        <f>SUMIFS('MTD Pivot'!D:D, 'MTD Pivot'!$A:$A, "Cinema_Landing Page", 'MTD Pivot'!$C:$C, $B48)</f>
        <v/>
      </c>
      <c r="D48" s="164">
        <f>SUMIFS('MTD Pivot'!E:E, 'MTD Pivot'!$A:$A, "Cinema_Landing Page", 'MTD Pivot'!$C:$C, $B48)</f>
        <v/>
      </c>
      <c r="E48" s="164">
        <f>SUMIFS('MTD Pivot'!F:F, 'MTD Pivot'!$A:$A, "Cinema_Landing Page", 'MTD Pivot'!$C:$C, $B48)</f>
        <v/>
      </c>
      <c r="F48" s="164">
        <f>SUMIFS('MTD Pivot'!G:G, 'MTD Pivot'!$A:$A, "Cinema_Landing Page", 'MTD Pivot'!$C:$C, $B48)</f>
        <v/>
      </c>
      <c r="G48" s="164">
        <f>SUMIFS('MTD Pivot'!H:H, 'MTD Pivot'!$A:$A, "Cinema_Landing Page", 'MTD Pivot'!$C:$C, $B48)</f>
        <v/>
      </c>
      <c r="H48" s="164">
        <f>SUMIFS('MTD Pivot'!I:I, 'MTD Pivot'!$A:$A, "Cinema_Landing Page", 'MTD Pivot'!$C:$C, $B48)</f>
        <v/>
      </c>
      <c r="I48" s="164">
        <f>H48-G48</f>
        <v/>
      </c>
      <c r="J48" s="164" t="n"/>
      <c r="K48" s="164">
        <f>SUMIFS('Full month Pivot'!D:D, 'Full month Pivot'!$A:$A, "Cinema_Landing Page", 'Full month Pivot'!$C:$C, $B48)</f>
        <v/>
      </c>
      <c r="L48" s="164">
        <f>SUMIFS('Full month Pivot'!E:E, 'Full month Pivot'!$A:$A, "Cinema_Landing Page", 'Full month Pivot'!$C:$C, $B48)</f>
        <v/>
      </c>
      <c r="M48" s="164">
        <f>SUMIFS('Full month Pivot'!F:F, 'Full month Pivot'!$A:$A, "Cinema_Landing Page", 'Full month Pivot'!$C:$C, $B48)</f>
        <v/>
      </c>
      <c r="N48" s="164">
        <f>SUMIFS('Full month Pivot'!G:G, 'Full month Pivot'!$A:$A, "Cinema_Landing Page", 'Full month Pivot'!$C:$C, $B48)</f>
        <v/>
      </c>
      <c r="O48" s="164">
        <f>SUMIFS('Full month Pivot'!H:H, 'Full month Pivot'!$A:$A, "Cinema_Landing Page", 'Full month Pivot'!$C:$C, $B48)</f>
        <v/>
      </c>
      <c r="P48" s="164">
        <f>SUMIFS('Full month Pivot'!I:I, 'Full month Pivot'!$A:$A, "Cinema_Landing Page", 'Full month Pivot'!$C:$C, $B48)</f>
        <v/>
      </c>
      <c r="Q48" s="164">
        <f>P48-O48</f>
        <v/>
      </c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</row>
    <row r="49">
      <c r="A49" s="164" t="n"/>
      <c r="B49" s="164" t="n"/>
      <c r="C49" s="50" t="n"/>
      <c r="D49" s="50" t="n"/>
      <c r="E49" s="50" t="n"/>
      <c r="F49" s="50" t="n"/>
      <c r="G49" s="50" t="n"/>
      <c r="H49" s="50" t="n"/>
      <c r="I49" s="164" t="n"/>
      <c r="J49" s="165" t="n"/>
      <c r="K49" s="165" t="n"/>
      <c r="L49" s="165" t="n"/>
      <c r="M49" s="165" t="n"/>
      <c r="N49" s="165" t="n"/>
      <c r="O49" s="165" t="n"/>
      <c r="P49" s="165" t="n"/>
      <c r="Q49" s="16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50" t="n"/>
      <c r="L50" s="50" t="n"/>
      <c r="M50" s="50" t="n"/>
      <c r="N50" s="50" t="n"/>
      <c r="O50" s="50" t="n"/>
      <c r="P50" s="50" t="n"/>
      <c r="Q50" s="164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57" t="n"/>
      <c r="K64" s="157" t="n"/>
      <c r="L64" s="157" t="n"/>
      <c r="M64" s="157" t="n"/>
      <c r="N64" s="157" t="n"/>
      <c r="O64" s="157" t="n"/>
      <c r="P64" s="157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16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16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16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16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16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16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16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16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16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16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16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16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164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4" t="n"/>
      <c r="L996" s="164" t="n"/>
      <c r="M996" s="164" t="n"/>
      <c r="N996" s="164" t="n"/>
      <c r="O996" s="164" t="n"/>
      <c r="P996" s="164" t="n"/>
      <c r="Q996" s="164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</row>
    <row r="997">
      <c r="A997" s="164" t="n"/>
      <c r="B997" s="164" t="n"/>
      <c r="C997" s="164" t="n"/>
      <c r="D997" s="164" t="n"/>
      <c r="E997" s="164" t="n"/>
      <c r="F997" s="164" t="n"/>
      <c r="G997" s="164" t="n"/>
      <c r="H997" s="164" t="n"/>
      <c r="I997" s="164" t="n"/>
      <c r="J997" s="164" t="n"/>
      <c r="K997" s="164" t="n"/>
      <c r="L997" s="164" t="n"/>
      <c r="M997" s="164" t="n"/>
      <c r="N997" s="164" t="n"/>
      <c r="O997" s="164" t="n"/>
      <c r="P997" s="164" t="n"/>
      <c r="Q997" s="164" t="n"/>
      <c r="R997" s="164" t="n"/>
      <c r="S997" s="164" t="n"/>
      <c r="T997" s="164" t="n"/>
      <c r="U997" s="164" t="n"/>
      <c r="V997" s="164" t="n"/>
      <c r="W997" s="164" t="n"/>
      <c r="X997" s="164" t="n"/>
      <c r="Y997" s="164" t="n"/>
      <c r="Z997" s="164" t="n"/>
    </row>
    <row r="998">
      <c r="A998" s="164" t="n"/>
      <c r="B998" s="164" t="n"/>
      <c r="C998" s="164" t="n"/>
      <c r="D998" s="164" t="n"/>
      <c r="E998" s="164" t="n"/>
      <c r="F998" s="164" t="n"/>
      <c r="G998" s="164" t="n"/>
      <c r="H998" s="164" t="n"/>
      <c r="I998" s="164" t="n"/>
      <c r="J998" s="164" t="n"/>
      <c r="K998" s="164" t="n"/>
      <c r="L998" s="164" t="n"/>
      <c r="M998" s="164" t="n"/>
      <c r="N998" s="164" t="n"/>
      <c r="O998" s="164" t="n"/>
      <c r="P998" s="164" t="n"/>
      <c r="Q998" s="164" t="n"/>
      <c r="R998" s="164" t="n"/>
      <c r="S998" s="164" t="n"/>
      <c r="T998" s="164" t="n"/>
      <c r="U998" s="164" t="n"/>
      <c r="V998" s="164" t="n"/>
      <c r="W998" s="164" t="n"/>
      <c r="X998" s="164" t="n"/>
      <c r="Y998" s="164" t="n"/>
      <c r="Z998" s="164" t="n"/>
    </row>
    <row r="999">
      <c r="A999" s="164" t="n"/>
      <c r="B999" s="164" t="n"/>
      <c r="C999" s="164" t="n"/>
      <c r="D999" s="164" t="n"/>
      <c r="E999" s="164" t="n"/>
      <c r="F999" s="164" t="n"/>
      <c r="G999" s="164" t="n"/>
      <c r="H999" s="164" t="n"/>
      <c r="I999" s="164" t="n"/>
      <c r="J999" s="164" t="n"/>
      <c r="K999" s="164" t="n"/>
      <c r="L999" s="164" t="n"/>
      <c r="M999" s="164" t="n"/>
      <c r="N999" s="164" t="n"/>
      <c r="O999" s="164" t="n"/>
      <c r="P999" s="164" t="n"/>
      <c r="Q999" s="164" t="n"/>
      <c r="R999" s="164" t="n"/>
      <c r="S999" s="164" t="n"/>
      <c r="T999" s="164" t="n"/>
      <c r="U999" s="164" t="n"/>
      <c r="V999" s="164" t="n"/>
      <c r="W999" s="164" t="n"/>
      <c r="X999" s="164" t="n"/>
      <c r="Y999" s="164" t="n"/>
      <c r="Z999" s="164" t="n"/>
    </row>
    <row r="1000">
      <c r="A1000" s="164" t="n"/>
      <c r="B1000" s="164" t="n"/>
      <c r="C1000" s="164" t="n"/>
      <c r="D1000" s="164" t="n"/>
      <c r="E1000" s="164" t="n"/>
      <c r="F1000" s="164" t="n"/>
      <c r="G1000" s="164" t="n"/>
      <c r="H1000" s="164" t="n"/>
      <c r="I1000" s="164" t="n"/>
      <c r="J1000" s="164" t="n"/>
      <c r="K1000" s="164" t="n"/>
      <c r="L1000" s="164" t="n"/>
      <c r="M1000" s="164" t="n"/>
      <c r="N1000" s="164" t="n"/>
      <c r="O1000" s="164" t="n"/>
      <c r="P1000" s="164" t="n"/>
      <c r="Q1000" s="164" t="n"/>
      <c r="R1000" s="164" t="n"/>
      <c r="S1000" s="164" t="n"/>
      <c r="T1000" s="164" t="n"/>
      <c r="U1000" s="164" t="n"/>
      <c r="V1000" s="164" t="n"/>
      <c r="W1000" s="164" t="n"/>
      <c r="X1000" s="164" t="n"/>
      <c r="Y1000" s="164" t="n"/>
      <c r="Z1000" s="164" t="n"/>
    </row>
    <row r="1001">
      <c r="A1001" s="164" t="n"/>
      <c r="B1001" s="164" t="n"/>
      <c r="C1001" s="164" t="n"/>
      <c r="D1001" s="164" t="n"/>
      <c r="E1001" s="164" t="n"/>
      <c r="F1001" s="164" t="n"/>
      <c r="G1001" s="164" t="n"/>
      <c r="H1001" s="164" t="n"/>
      <c r="I1001" s="164" t="n"/>
      <c r="J1001" s="164" t="n"/>
      <c r="K1001" s="164" t="n"/>
      <c r="L1001" s="164" t="n"/>
      <c r="M1001" s="164" t="n"/>
      <c r="N1001" s="164" t="n"/>
      <c r="O1001" s="164" t="n"/>
      <c r="P1001" s="164" t="n"/>
      <c r="Q1001" s="164" t="n"/>
      <c r="R1001" s="164" t="n"/>
      <c r="S1001" s="164" t="n"/>
      <c r="T1001" s="164" t="n"/>
      <c r="U1001" s="164" t="n"/>
      <c r="V1001" s="164" t="n"/>
      <c r="W1001" s="164" t="n"/>
      <c r="X1001" s="164" t="n"/>
      <c r="Y1001" s="164" t="n"/>
      <c r="Z1001" s="164" t="n"/>
    </row>
    <row r="1002">
      <c r="A1002" s="164" t="n"/>
      <c r="B1002" s="164" t="n"/>
      <c r="C1002" s="164" t="n"/>
      <c r="D1002" s="164" t="n"/>
      <c r="E1002" s="164" t="n"/>
      <c r="F1002" s="164" t="n"/>
      <c r="G1002" s="164" t="n"/>
      <c r="H1002" s="164" t="n"/>
      <c r="I1002" s="164" t="n"/>
      <c r="J1002" s="164" t="n"/>
      <c r="K1002" s="164" t="n"/>
      <c r="L1002" s="164" t="n"/>
      <c r="M1002" s="164" t="n"/>
      <c r="N1002" s="164" t="n"/>
      <c r="O1002" s="164" t="n"/>
      <c r="P1002" s="164" t="n"/>
      <c r="Q1002" s="164" t="n"/>
      <c r="R1002" s="164" t="n"/>
      <c r="S1002" s="164" t="n"/>
      <c r="T1002" s="164" t="n"/>
      <c r="U1002" s="164" t="n"/>
      <c r="V1002" s="164" t="n"/>
      <c r="W1002" s="164" t="n"/>
      <c r="X1002" s="164" t="n"/>
      <c r="Y1002" s="164" t="n"/>
      <c r="Z1002" s="164" t="n"/>
    </row>
    <row r="1003">
      <c r="A1003" s="164" t="n"/>
      <c r="B1003" s="164" t="n"/>
      <c r="C1003" s="164" t="n"/>
      <c r="D1003" s="164" t="n"/>
      <c r="E1003" s="164" t="n"/>
      <c r="F1003" s="164" t="n"/>
      <c r="G1003" s="164" t="n"/>
      <c r="H1003" s="164" t="n"/>
      <c r="I1003" s="164" t="n"/>
      <c r="J1003" s="164" t="n"/>
      <c r="K1003" s="164" t="n"/>
      <c r="L1003" s="164" t="n"/>
      <c r="M1003" s="164" t="n"/>
      <c r="N1003" s="164" t="n"/>
      <c r="O1003" s="164" t="n"/>
      <c r="P1003" s="164" t="n"/>
      <c r="Q1003" s="164" t="n"/>
      <c r="R1003" s="164" t="n"/>
      <c r="S1003" s="164" t="n"/>
      <c r="T1003" s="164" t="n"/>
      <c r="U1003" s="164" t="n"/>
      <c r="V1003" s="164" t="n"/>
      <c r="W1003" s="164" t="n"/>
      <c r="X1003" s="164" t="n"/>
      <c r="Y1003" s="164" t="n"/>
      <c r="Z1003" s="164" t="n"/>
    </row>
    <row r="1004">
      <c r="A1004" s="164" t="n"/>
      <c r="B1004" s="164" t="n"/>
      <c r="C1004" s="164" t="n"/>
      <c r="D1004" s="164" t="n"/>
      <c r="E1004" s="164" t="n"/>
      <c r="F1004" s="164" t="n"/>
      <c r="G1004" s="164" t="n"/>
      <c r="H1004" s="164" t="n"/>
      <c r="I1004" s="164" t="n"/>
      <c r="J1004" s="164" t="n"/>
      <c r="K1004" s="164" t="n"/>
      <c r="L1004" s="164" t="n"/>
      <c r="M1004" s="164" t="n"/>
      <c r="N1004" s="164" t="n"/>
      <c r="O1004" s="164" t="n"/>
      <c r="P1004" s="164" t="n"/>
      <c r="Q1004" s="164" t="n"/>
      <c r="R1004" s="164" t="n"/>
      <c r="S1004" s="164" t="n"/>
      <c r="T1004" s="164" t="n"/>
      <c r="U1004" s="164" t="n"/>
      <c r="V1004" s="164" t="n"/>
      <c r="W1004" s="164" t="n"/>
      <c r="X1004" s="164" t="n"/>
      <c r="Y1004" s="164" t="n"/>
      <c r="Z1004" s="164" t="n"/>
    </row>
    <row r="1005">
      <c r="A1005" s="164" t="n"/>
      <c r="B1005" s="164" t="n"/>
      <c r="C1005" s="164" t="n"/>
      <c r="D1005" s="164" t="n"/>
      <c r="E1005" s="164" t="n"/>
      <c r="F1005" s="164" t="n"/>
      <c r="G1005" s="164" t="n"/>
      <c r="H1005" s="164" t="n"/>
      <c r="I1005" s="164" t="n"/>
      <c r="J1005" s="164" t="n"/>
      <c r="K1005" s="164" t="n"/>
      <c r="L1005" s="164" t="n"/>
      <c r="M1005" s="164" t="n"/>
      <c r="N1005" s="164" t="n"/>
      <c r="O1005" s="164" t="n"/>
      <c r="P1005" s="164" t="n"/>
      <c r="Q1005" s="164" t="n"/>
      <c r="R1005" s="164" t="n"/>
      <c r="S1005" s="164" t="n"/>
      <c r="T1005" s="164" t="n"/>
      <c r="U1005" s="164" t="n"/>
      <c r="V1005" s="164" t="n"/>
      <c r="W1005" s="164" t="n"/>
      <c r="X1005" s="164" t="n"/>
      <c r="Y1005" s="164" t="n"/>
      <c r="Z1005" s="164" t="n"/>
    </row>
    <row r="1006">
      <c r="A1006" s="164" t="n"/>
      <c r="B1006" s="164" t="n"/>
      <c r="C1006" s="164" t="n"/>
      <c r="D1006" s="164" t="n"/>
      <c r="E1006" s="164" t="n"/>
      <c r="F1006" s="164" t="n"/>
      <c r="G1006" s="164" t="n"/>
      <c r="H1006" s="164" t="n"/>
      <c r="I1006" s="164" t="n"/>
      <c r="J1006" s="164" t="n"/>
      <c r="K1006" s="164" t="n"/>
      <c r="L1006" s="164" t="n"/>
      <c r="M1006" s="164" t="n"/>
      <c r="N1006" s="164" t="n"/>
      <c r="O1006" s="164" t="n"/>
      <c r="P1006" s="164" t="n"/>
      <c r="Q1006" s="164" t="n"/>
      <c r="R1006" s="164" t="n"/>
      <c r="S1006" s="164" t="n"/>
      <c r="T1006" s="164" t="n"/>
      <c r="U1006" s="164" t="n"/>
      <c r="V1006" s="164" t="n"/>
      <c r="W1006" s="164" t="n"/>
      <c r="X1006" s="164" t="n"/>
      <c r="Y1006" s="164" t="n"/>
      <c r="Z1006" s="164" t="n"/>
    </row>
    <row r="1007">
      <c r="A1007" s="164" t="n"/>
      <c r="B1007" s="164" t="n"/>
      <c r="C1007" s="164" t="n"/>
      <c r="D1007" s="164" t="n"/>
      <c r="E1007" s="164" t="n"/>
      <c r="F1007" s="164" t="n"/>
      <c r="G1007" s="164" t="n"/>
      <c r="H1007" s="164" t="n"/>
      <c r="I1007" s="164" t="n"/>
      <c r="J1007" s="164" t="n"/>
      <c r="K1007" s="164" t="n"/>
      <c r="L1007" s="164" t="n"/>
      <c r="M1007" s="164" t="n"/>
      <c r="N1007" s="164" t="n"/>
      <c r="O1007" s="164" t="n"/>
      <c r="P1007" s="164" t="n"/>
      <c r="Q1007" s="164" t="n"/>
      <c r="R1007" s="164" t="n"/>
      <c r="S1007" s="164" t="n"/>
      <c r="T1007" s="164" t="n"/>
      <c r="U1007" s="164" t="n"/>
      <c r="V1007" s="164" t="n"/>
      <c r="W1007" s="164" t="n"/>
      <c r="X1007" s="164" t="n"/>
      <c r="Y1007" s="164" t="n"/>
      <c r="Z1007" s="164" t="n"/>
    </row>
    <row r="1008">
      <c r="A1008" s="164" t="n"/>
      <c r="B1008" s="164" t="n"/>
      <c r="C1008" s="164" t="n"/>
      <c r="D1008" s="164" t="n"/>
      <c r="E1008" s="164" t="n"/>
      <c r="F1008" s="164" t="n"/>
      <c r="G1008" s="164" t="n"/>
      <c r="H1008" s="164" t="n"/>
      <c r="I1008" s="164" t="n"/>
      <c r="J1008" s="164" t="n"/>
      <c r="K1008" s="164" t="n"/>
      <c r="L1008" s="164" t="n"/>
      <c r="M1008" s="164" t="n"/>
      <c r="N1008" s="164" t="n"/>
      <c r="O1008" s="164" t="n"/>
      <c r="P1008" s="164" t="n"/>
      <c r="Q1008" s="164" t="n"/>
      <c r="R1008" s="164" t="n"/>
      <c r="S1008" s="164" t="n"/>
      <c r="T1008" s="164" t="n"/>
      <c r="U1008" s="164" t="n"/>
      <c r="V1008" s="164" t="n"/>
      <c r="W1008" s="164" t="n"/>
      <c r="X1008" s="164" t="n"/>
      <c r="Y1008" s="164" t="n"/>
      <c r="Z1008" s="164" t="n"/>
    </row>
    <row r="1009">
      <c r="A1009" s="164" t="n"/>
      <c r="B1009" s="164" t="n"/>
      <c r="C1009" s="164" t="n"/>
      <c r="D1009" s="164" t="n"/>
      <c r="E1009" s="164" t="n"/>
      <c r="F1009" s="164" t="n"/>
      <c r="G1009" s="164" t="n"/>
      <c r="H1009" s="164" t="n"/>
      <c r="I1009" s="164" t="n"/>
      <c r="J1009" s="165" t="n"/>
      <c r="K1009" s="165" t="n"/>
      <c r="L1009" s="165" t="n"/>
      <c r="M1009" s="165" t="n"/>
      <c r="N1009" s="165" t="n"/>
      <c r="O1009" s="165" t="n"/>
      <c r="P1009" s="165" t="n"/>
      <c r="Q1009" s="164" t="n"/>
      <c r="R1009" s="164" t="n"/>
      <c r="S1009" s="164" t="n"/>
      <c r="T1009" s="164" t="n"/>
      <c r="U1009" s="164" t="n"/>
      <c r="V1009" s="164" t="n"/>
      <c r="W1009" s="164" t="n"/>
      <c r="X1009" s="164" t="n"/>
      <c r="Y1009" s="164" t="n"/>
      <c r="Z1009" s="164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 outlineLevelRow="1"/>
  <cols>
    <col width="32.13" customWidth="1" style="239" min="1" max="1"/>
    <col width="15.63" customWidth="1" style="239" min="2" max="2"/>
    <col width="2.63" customWidth="1" style="239" min="10" max="10"/>
  </cols>
  <sheetData>
    <row r="1">
      <c r="A1" s="127" t="inlineStr">
        <is>
          <t>Project</t>
        </is>
      </c>
      <c r="B1" s="127">
        <f>"Update to: " &amp; DAY(NOW())</f>
        <v/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24" t="n">
        <v>46296</v>
      </c>
      <c r="I1" s="157" t="inlineStr">
        <is>
          <t>VS. SPLM</t>
        </is>
      </c>
      <c r="J1" s="162" t="n"/>
      <c r="K1" s="124" t="n">
        <v>46143</v>
      </c>
      <c r="L1" s="124" t="n">
        <v>46174</v>
      </c>
      <c r="M1" s="124" t="n">
        <v>46204</v>
      </c>
      <c r="N1" s="124" t="n">
        <v>46235</v>
      </c>
      <c r="O1" s="124" t="n">
        <v>46266</v>
      </c>
      <c r="P1" s="124" t="n">
        <v>46296</v>
      </c>
      <c r="Q1" s="157" t="inlineStr">
        <is>
          <t>VS. LM</t>
        </is>
      </c>
      <c r="R1" s="124" t="n">
        <v>46327</v>
      </c>
      <c r="S1" s="124" t="n">
        <v>46357</v>
      </c>
      <c r="T1" s="164" t="n"/>
      <c r="U1" s="164" t="n"/>
      <c r="V1" s="164" t="n"/>
      <c r="W1" s="164" t="n"/>
      <c r="X1" s="164" t="n"/>
      <c r="Y1" s="164" t="n"/>
      <c r="Z1" s="164" t="n"/>
      <c r="AA1" s="164" t="n"/>
    </row>
    <row r="2">
      <c r="A2" s="164" t="inlineStr">
        <is>
          <t xml:space="preserve">     Target</t>
        </is>
      </c>
      <c r="B2" s="164" t="n"/>
      <c r="C2" s="50" t="n"/>
      <c r="D2" s="50" t="n"/>
      <c r="E2" s="50" t="n"/>
      <c r="F2" s="50" t="n"/>
      <c r="G2" s="50" t="n"/>
      <c r="H2" s="50" t="n"/>
      <c r="I2" s="164" t="n"/>
      <c r="J2" s="162" t="n"/>
      <c r="K2" s="50" t="n"/>
      <c r="L2" s="50" t="n"/>
      <c r="M2" s="50" t="n"/>
      <c r="N2" s="50" t="n"/>
      <c r="O2" s="50" t="n">
        <v>250000</v>
      </c>
      <c r="P2" s="50" t="n">
        <v>450000</v>
      </c>
      <c r="Q2" s="164" t="n"/>
      <c r="R2" s="50" t="n">
        <v>700000</v>
      </c>
      <c r="S2" s="50" t="n">
        <v>1000000</v>
      </c>
      <c r="T2" s="164" t="n"/>
      <c r="U2" s="164" t="n"/>
      <c r="V2" s="164" t="n"/>
      <c r="W2" s="164" t="n"/>
      <c r="X2" s="164" t="n"/>
      <c r="Y2" s="164" t="n"/>
      <c r="Z2" s="164" t="n"/>
      <c r="AA2" s="164" t="n"/>
    </row>
    <row r="3">
      <c r="A3" s="164" t="inlineStr">
        <is>
          <t xml:space="preserve">    Actual Traffic (Page Views)</t>
        </is>
      </c>
      <c r="B3" s="164" t="n"/>
      <c r="C3" s="50">
        <f>sum(C8,C15,C22,C36,C29,C50,C43,C64,C71,C78,C85,C92)</f>
        <v/>
      </c>
      <c r="D3" s="50">
        <f>sum(D8,D15,D22,D36,D29,D50,D43,D64,D71,D78,D85,D92)</f>
        <v/>
      </c>
      <c r="E3" s="50">
        <f>sum(E8,E15,E22,E36,E29,E50,E43,E64,E71,E78,E85,E92)</f>
        <v/>
      </c>
      <c r="F3" s="50">
        <f>sum(F8,F15,F22,F36,F29,F50,F43,F64,F71,F78,F85,F92)</f>
        <v/>
      </c>
      <c r="G3" s="50">
        <f>sum(G8,G15,G22,G36,G29,G50,G43,G64,G71,G78,G85,G92)</f>
        <v/>
      </c>
      <c r="H3" s="50">
        <f>sum(H8,H15,H22,H36,H29,H50,H43,H64,H71,H78,H85,H92)</f>
        <v/>
      </c>
      <c r="I3" s="50">
        <f>H3-G3</f>
        <v/>
      </c>
      <c r="J3" s="162" t="n"/>
      <c r="K3" s="50">
        <f>sum(K8,K15,K22,K29,K36,K43,K50,K57,K64,K71,K78,K85,K92)</f>
        <v/>
      </c>
      <c r="L3" s="50">
        <f>sum(L8,L15,L22,L29,L36,L43,L50,L57,L64,L71,L78,L85,L92)</f>
        <v/>
      </c>
      <c r="M3" s="50">
        <f>sum(M8,M15,M22,M29,M36,M43,M50,M57,M64,M71,M78,M85,M92)</f>
        <v/>
      </c>
      <c r="N3" s="50">
        <f>sum(N8,N15,N22,N29,N36,N43,N50,N57,N64,N71,N78,N85,N92)</f>
        <v/>
      </c>
      <c r="O3" s="50">
        <f>sum(O8,O15,O22,O29,O36,O43,O50,O57,O64,O71,O78,O85,O92)</f>
        <v/>
      </c>
      <c r="P3" s="50">
        <f>sum(P8,P15,P22,P29,P36,P43,P50,P57,P64,P71,P78,P85,P92)</f>
        <v/>
      </c>
      <c r="Q3" s="50">
        <f>P3-O3</f>
        <v/>
      </c>
      <c r="T3" s="164" t="n"/>
      <c r="U3" s="164" t="n"/>
      <c r="V3" s="164" t="n"/>
      <c r="W3" s="164" t="n"/>
      <c r="X3" s="164" t="n"/>
      <c r="Y3" s="164" t="n"/>
      <c r="Z3" s="164" t="n"/>
      <c r="AA3" s="164" t="n"/>
    </row>
    <row r="4">
      <c r="A4" s="130" t="inlineStr">
        <is>
          <t xml:space="preserve">   Net change (Target)</t>
        </is>
      </c>
      <c r="B4" s="164" t="n"/>
      <c r="C4" s="50">
        <f>C3-0</f>
        <v/>
      </c>
      <c r="D4" s="50">
        <f>D3-C3</f>
        <v/>
      </c>
      <c r="E4" s="50">
        <f>E3-D3</f>
        <v/>
      </c>
      <c r="F4" s="50">
        <f>F3-E3</f>
        <v/>
      </c>
      <c r="G4" s="50">
        <f>G3-F3</f>
        <v/>
      </c>
      <c r="H4" s="50">
        <f>H3-G3</f>
        <v/>
      </c>
      <c r="I4" s="50">
        <f>H4-G4</f>
        <v/>
      </c>
      <c r="J4" s="162" t="n"/>
      <c r="K4" s="50">
        <f>K3-0</f>
        <v/>
      </c>
      <c r="L4" s="50">
        <f>L3-K3</f>
        <v/>
      </c>
      <c r="M4" s="50">
        <f>M3-L3</f>
        <v/>
      </c>
      <c r="N4" s="50">
        <f>N3-M3</f>
        <v/>
      </c>
      <c r="O4" s="50">
        <f>O3-N3</f>
        <v/>
      </c>
      <c r="P4" s="50">
        <f>P3-O3</f>
        <v/>
      </c>
      <c r="Q4" s="50">
        <f>P4-O4</f>
        <v/>
      </c>
      <c r="R4" s="50">
        <f>R2-P2</f>
        <v/>
      </c>
      <c r="S4" s="50">
        <f>S2-R2</f>
        <v/>
      </c>
      <c r="T4" s="164" t="n"/>
      <c r="U4" s="164" t="n"/>
      <c r="V4" s="164" t="n"/>
      <c r="W4" s="164" t="n"/>
      <c r="X4" s="164" t="n"/>
      <c r="Y4" s="164" t="n"/>
      <c r="Z4" s="164" t="n"/>
      <c r="AA4" s="164" t="n"/>
    </row>
    <row r="5">
      <c r="A5" s="130" t="inlineStr">
        <is>
          <t xml:space="preserve">   Growth Rate (Target)</t>
        </is>
      </c>
      <c r="B5" s="164" t="n"/>
      <c r="C5" s="152" t="n"/>
      <c r="D5" s="152">
        <f>(D3/C3)-1</f>
        <v/>
      </c>
      <c r="E5" s="152">
        <f>(E3/D3)-1</f>
        <v/>
      </c>
      <c r="F5" s="152">
        <f>(F3/E3)-1</f>
        <v/>
      </c>
      <c r="G5" s="152">
        <f>(G3/F3)-1</f>
        <v/>
      </c>
      <c r="H5" s="152">
        <f>(H3/G3)-1</f>
        <v/>
      </c>
      <c r="I5" s="89">
        <f>H5-G5</f>
        <v/>
      </c>
      <c r="J5" s="162" t="n"/>
      <c r="K5" s="75" t="n"/>
      <c r="L5" s="75">
        <f>(L3/K3)-1</f>
        <v/>
      </c>
      <c r="M5" s="75">
        <f>(M3/L3)-1</f>
        <v/>
      </c>
      <c r="N5" s="75">
        <f>(N3/M3)-1</f>
        <v/>
      </c>
      <c r="O5" s="75">
        <f>(O3/N3)-1</f>
        <v/>
      </c>
      <c r="P5" s="75">
        <f>(P3/O3)-1</f>
        <v/>
      </c>
      <c r="Q5" s="71">
        <f>P5-O5</f>
        <v/>
      </c>
      <c r="R5" s="89">
        <f>R2/P2-1</f>
        <v/>
      </c>
      <c r="S5" s="89">
        <f>S2/R2-1</f>
        <v/>
      </c>
      <c r="T5" s="164" t="n"/>
      <c r="U5" s="164" t="n"/>
      <c r="V5" s="164" t="n"/>
      <c r="W5" s="164" t="n"/>
      <c r="X5" s="164" t="n"/>
      <c r="Y5" s="164" t="n"/>
      <c r="Z5" s="164" t="n"/>
      <c r="AA5" s="164" t="n"/>
    </row>
    <row r="6">
      <c r="A6" s="130" t="inlineStr">
        <is>
          <t xml:space="preserve">   Progress Rate</t>
        </is>
      </c>
      <c r="B6" s="164" t="n"/>
      <c r="C6" s="152" t="n"/>
      <c r="D6" s="152" t="n"/>
      <c r="E6" s="152" t="n"/>
      <c r="F6" s="152" t="n"/>
      <c r="G6" s="152" t="n"/>
      <c r="H6" s="152" t="n"/>
      <c r="I6" s="164" t="n"/>
      <c r="J6" s="162" t="n"/>
      <c r="K6" s="75" t="n"/>
      <c r="L6" s="75" t="n"/>
      <c r="M6" s="75" t="n"/>
      <c r="N6" s="75" t="n"/>
      <c r="O6" s="75">
        <f>O3/O2</f>
        <v/>
      </c>
      <c r="P6" s="75">
        <f>P3/P2</f>
        <v/>
      </c>
      <c r="Q6" s="164" t="n"/>
      <c r="R6" s="89" t="n"/>
      <c r="S6" s="89" t="n"/>
      <c r="T6" s="164" t="n"/>
      <c r="U6" s="164" t="n"/>
      <c r="V6" s="164" t="n"/>
      <c r="W6" s="164" t="n"/>
      <c r="X6" s="164" t="n"/>
      <c r="Y6" s="164" t="n"/>
      <c r="Z6" s="164" t="n"/>
      <c r="AA6" s="164" t="n"/>
    </row>
    <row r="7">
      <c r="A7" s="164" t="n"/>
      <c r="B7" s="164" t="n"/>
      <c r="C7" s="50" t="n"/>
      <c r="D7" s="50" t="n"/>
      <c r="E7" s="50" t="n"/>
      <c r="F7" s="50" t="n"/>
      <c r="G7" s="50" t="n"/>
      <c r="H7" s="50" t="n"/>
      <c r="I7" s="164" t="n"/>
      <c r="J7" s="162" t="n"/>
      <c r="K7" s="50" t="n"/>
      <c r="L7" s="50" t="n"/>
      <c r="M7" s="50" t="n"/>
      <c r="N7" s="50" t="n"/>
      <c r="O7" s="50" t="n"/>
      <c r="P7" s="164" t="n"/>
      <c r="Q7" s="164" t="n"/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</row>
    <row r="8">
      <c r="A8" s="157" t="inlineStr">
        <is>
          <t>Vay Nhanh</t>
        </is>
      </c>
      <c r="B8" s="157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0">
        <f>H8-G8</f>
        <v/>
      </c>
      <c r="J8" s="166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50">
        <f>P8-O8</f>
        <v/>
      </c>
      <c r="R8" s="157" t="n"/>
      <c r="S8" s="157" t="n"/>
      <c r="T8" s="157" t="n"/>
      <c r="U8" s="157" t="n"/>
      <c r="V8" s="157" t="n"/>
      <c r="W8" s="157" t="n"/>
      <c r="X8" s="157" t="n"/>
      <c r="Y8" s="157" t="n"/>
      <c r="Z8" s="157" t="n"/>
      <c r="AA8" s="157" t="n"/>
    </row>
    <row r="9">
      <c r="A9" s="164" t="n"/>
      <c r="B9" s="164" t="inlineStr">
        <is>
          <t>Organic</t>
        </is>
      </c>
      <c r="C9" s="50">
        <f>SUMIFS('MTD Pivot'!D:D, 'MTD Pivot'!$A:$A, $A$8, 'MTD Pivot'!$C:$C, $B9)</f>
        <v/>
      </c>
      <c r="D9" s="50">
        <f>SUMIFS('MTD Pivot'!E:E, 'MTD Pivot'!$A:$A, $A$8, 'MTD Pivot'!$C:$C, $B9)</f>
        <v/>
      </c>
      <c r="E9" s="50">
        <f>SUMIFS('MTD Pivot'!F:F, 'MTD Pivot'!$A:$A, $A$8, 'MTD Pivot'!$C:$C, $B9)</f>
        <v/>
      </c>
      <c r="F9" s="50">
        <f>SUMIFS('MTD Pivot'!G:G, 'MTD Pivot'!$A:$A, $A$8, 'MTD Pivot'!$C:$C, $B9)</f>
        <v/>
      </c>
      <c r="G9" s="50">
        <f>SUMIFS('MTD Pivot'!H:H, 'MTD Pivot'!$A:$A, $A$8, 'MTD Pivot'!$C:$C, $B9)</f>
        <v/>
      </c>
      <c r="H9" s="50">
        <f>SUMIFS('MTD Pivot'!I:I, 'MTD Pivot'!$A:$A, $A$8, 'MTD Pivot'!$C:$C, $B9)</f>
        <v/>
      </c>
      <c r="I9" s="50">
        <f>H9-G9</f>
        <v/>
      </c>
      <c r="J9" s="162" t="n"/>
      <c r="K9" s="50">
        <f>SUMIFS('Full month Pivot'!D:D, 'Full month Pivot'!$A:$A, "Vay Nhanh", 'Full month Pivot'!$C:$C, $B9)</f>
        <v/>
      </c>
      <c r="L9" s="50">
        <f>SUMIFS('Full month Pivot'!E:E, 'Full month Pivot'!$A:$A, "Vay Nhanh", 'Full month Pivot'!$C:$C, $B9)</f>
        <v/>
      </c>
      <c r="M9" s="50">
        <f>SUMIFS('Full month Pivot'!F:F, 'Full month Pivot'!$A:$A, "Vay Nhanh", 'Full month Pivot'!$C:$C, $B9)</f>
        <v/>
      </c>
      <c r="N9" s="50">
        <f>SUMIFS('Full month Pivot'!G:G, 'Full month Pivot'!$A:$A, "Vay Nhanh", 'Full month Pivot'!$C:$C, $B9)</f>
        <v/>
      </c>
      <c r="O9" s="50">
        <f>SUMIFS('Full month Pivot'!H:H, 'Full month Pivot'!$A:$A, "Vay Nhanh", 'Full month Pivot'!$C:$C, $B9)</f>
        <v/>
      </c>
      <c r="P9" s="50">
        <f>SUMIFS('Full month Pivot'!I:I, 'Full month Pivot'!$A:$A, "Vay Nhanh", 'Full month Pivot'!$C:$C, $B9)</f>
        <v/>
      </c>
      <c r="Q9" s="50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</row>
    <row r="10">
      <c r="A10" s="164" t="n"/>
      <c r="B10" s="164" t="inlineStr">
        <is>
          <t>Paid</t>
        </is>
      </c>
      <c r="C10" s="50">
        <f>SUMIFS('MTD Pivot'!D:D, 'MTD Pivot'!$A:$A, $A$8, 'MTD Pivot'!$C:$C, $B10)</f>
        <v/>
      </c>
      <c r="D10" s="50">
        <f>SUMIFS('MTD Pivot'!E:E, 'MTD Pivot'!$A:$A, $A$8, 'MTD Pivot'!$C:$C, $B10)</f>
        <v/>
      </c>
      <c r="E10" s="50">
        <f>SUMIFS('MTD Pivot'!F:F, 'MTD Pivot'!$A:$A, $A$8, 'MTD Pivot'!$C:$C, $B10)</f>
        <v/>
      </c>
      <c r="F10" s="50">
        <f>SUMIFS('MTD Pivot'!G:G, 'MTD Pivot'!$A:$A, $A$8, 'MTD Pivot'!$C:$C, $B10)</f>
        <v/>
      </c>
      <c r="G10" s="50">
        <f>SUMIFS('MTD Pivot'!H:H, 'MTD Pivot'!$A:$A, $A$8, 'MTD Pivot'!$C:$C, $B10)</f>
        <v/>
      </c>
      <c r="H10" s="50">
        <f>SUMIFS('MTD Pivot'!I:I, 'MTD Pivot'!$A:$A, $A$8, 'MTD Pivot'!$C:$C, $B10)</f>
        <v/>
      </c>
      <c r="I10" s="50">
        <f>H10-G10</f>
        <v/>
      </c>
      <c r="J10" s="162" t="n"/>
      <c r="K10" s="50">
        <f>SUMIFS('Full month Pivot'!D:D, 'Full month Pivot'!$A:$A, "Vay Nhanh", 'Full month Pivot'!$C:$C, $B10)</f>
        <v/>
      </c>
      <c r="L10" s="50">
        <f>SUMIFS('Full month Pivot'!E:E, 'Full month Pivot'!$A:$A, "Vay Nhanh", 'Full month Pivot'!$C:$C, $B10)</f>
        <v/>
      </c>
      <c r="M10" s="50">
        <f>SUMIFS('Full month Pivot'!F:F, 'Full month Pivot'!$A:$A, "Vay Nhanh", 'Full month Pivot'!$C:$C, $B10)</f>
        <v/>
      </c>
      <c r="N10" s="50">
        <f>SUMIFS('Full month Pivot'!G:G, 'Full month Pivot'!$A:$A, "Vay Nhanh", 'Full month Pivot'!$C:$C, $B10)</f>
        <v/>
      </c>
      <c r="O10" s="50">
        <f>SUMIFS('Full month Pivot'!H:H, 'Full month Pivot'!$A:$A, "Vay Nhanh", 'Full month Pivot'!$C:$C, $B10)</f>
        <v/>
      </c>
      <c r="P10" s="50">
        <f>SUMIFS('Full month Pivot'!I:I, 'Full month Pivot'!$A:$A, "Vay Nhanh", 'Full month Pivot'!$C:$C, $B10)</f>
        <v/>
      </c>
      <c r="Q10" s="50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</row>
    <row r="11">
      <c r="A11" s="164" t="n"/>
      <c r="B11" s="164" t="inlineStr">
        <is>
          <t>Referral</t>
        </is>
      </c>
      <c r="C11" s="50">
        <f>SUMIFS('MTD Pivot'!D:D, 'MTD Pivot'!$A:$A, $A$8, 'MTD Pivot'!$C:$C, $B11)</f>
        <v/>
      </c>
      <c r="D11" s="50">
        <f>SUMIFS('MTD Pivot'!E:E, 'MTD Pivot'!$A:$A, $A$8, 'MTD Pivot'!$C:$C, $B11)</f>
        <v/>
      </c>
      <c r="E11" s="50">
        <f>SUMIFS('MTD Pivot'!F:F, 'MTD Pivot'!$A:$A, $A$8, 'MTD Pivot'!$C:$C, $B11)</f>
        <v/>
      </c>
      <c r="F11" s="50">
        <f>SUMIFS('MTD Pivot'!G:G, 'MTD Pivot'!$A:$A, $A$8, 'MTD Pivot'!$C:$C, $B11)</f>
        <v/>
      </c>
      <c r="G11" s="50">
        <f>SUMIFS('MTD Pivot'!H:H, 'MTD Pivot'!$A:$A, $A$8, 'MTD Pivot'!$C:$C, $B11)</f>
        <v/>
      </c>
      <c r="H11" s="50">
        <f>SUMIFS('MTD Pivot'!I:I, 'MTD Pivot'!$A:$A, $A$8, 'MTD Pivot'!$C:$C, $B11)</f>
        <v/>
      </c>
      <c r="I11" s="50">
        <f>H11-G11</f>
        <v/>
      </c>
      <c r="J11" s="162" t="n"/>
      <c r="K11" s="50">
        <f>SUMIFS('Full month Pivot'!D:D, 'Full month Pivot'!$A:$A, "Vay Nhanh", 'Full month Pivot'!$C:$C, $B11)</f>
        <v/>
      </c>
      <c r="L11" s="50">
        <f>SUMIFS('Full month Pivot'!E:E, 'Full month Pivot'!$A:$A, "Vay Nhanh", 'Full month Pivot'!$C:$C, $B11)</f>
        <v/>
      </c>
      <c r="M11" s="50">
        <f>SUMIFS('Full month Pivot'!F:F, 'Full month Pivot'!$A:$A, "Vay Nhanh", 'Full month Pivot'!$C:$C, $B11)</f>
        <v/>
      </c>
      <c r="N11" s="50">
        <f>SUMIFS('Full month Pivot'!G:G, 'Full month Pivot'!$A:$A, "Vay Nhanh", 'Full month Pivot'!$C:$C, $B11)</f>
        <v/>
      </c>
      <c r="O11" s="50">
        <f>SUMIFS('Full month Pivot'!H:H, 'Full month Pivot'!$A:$A, "Vay Nhanh", 'Full month Pivot'!$C:$C, $B11)</f>
        <v/>
      </c>
      <c r="P11" s="50">
        <f>SUMIFS('Full month Pivot'!I:I, 'Full month Pivot'!$A:$A, "Vay Nhanh", 'Full month Pivot'!$C:$C, $B11)</f>
        <v/>
      </c>
      <c r="Q11" s="50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</row>
    <row r="12">
      <c r="A12" s="164" t="n"/>
      <c r="B12" s="164" t="inlineStr">
        <is>
          <t>Direct</t>
        </is>
      </c>
      <c r="C12" s="50">
        <f>SUMIFS('MTD Pivot'!D:D, 'MTD Pivot'!$A:$A, $A$8, 'MTD Pivot'!$C:$C, $B12)</f>
        <v/>
      </c>
      <c r="D12" s="50">
        <f>SUMIFS('MTD Pivot'!E:E, 'MTD Pivot'!$A:$A, $A$8, 'MTD Pivot'!$C:$C, $B12)</f>
        <v/>
      </c>
      <c r="E12" s="50">
        <f>SUMIFS('MTD Pivot'!F:F, 'MTD Pivot'!$A:$A, $A$8, 'MTD Pivot'!$C:$C, $B12)</f>
        <v/>
      </c>
      <c r="F12" s="50">
        <f>SUMIFS('MTD Pivot'!G:G, 'MTD Pivot'!$A:$A, $A$8, 'MTD Pivot'!$C:$C, $B12)</f>
        <v/>
      </c>
      <c r="G12" s="50">
        <f>SUMIFS('MTD Pivot'!H:H, 'MTD Pivot'!$A:$A, $A$8, 'MTD Pivot'!$C:$C, $B12)</f>
        <v/>
      </c>
      <c r="H12" s="50">
        <f>SUMIFS('MTD Pivot'!I:I, 'MTD Pivot'!$A:$A, $A$8, 'MTD Pivot'!$C:$C, $B12)</f>
        <v/>
      </c>
      <c r="I12" s="50">
        <f>H12-G12</f>
        <v/>
      </c>
      <c r="J12" s="162" t="n"/>
      <c r="K12" s="50">
        <f>SUMIFS('Full month Pivot'!D:D, 'Full month Pivot'!$A:$A, "Vay Nhanh", 'Full month Pivot'!$C:$C, $B12)</f>
        <v/>
      </c>
      <c r="L12" s="50">
        <f>SUMIFS('Full month Pivot'!E:E, 'Full month Pivot'!$A:$A, "Vay Nhanh", 'Full month Pivot'!$C:$C, $B12)</f>
        <v/>
      </c>
      <c r="M12" s="50">
        <f>SUMIFS('Full month Pivot'!F:F, 'Full month Pivot'!$A:$A, "Vay Nhanh", 'Full month Pivot'!$C:$C, $B12)</f>
        <v/>
      </c>
      <c r="N12" s="50">
        <f>SUMIFS('Full month Pivot'!G:G, 'Full month Pivot'!$A:$A, "Vay Nhanh", 'Full month Pivot'!$C:$C, $B12)</f>
        <v/>
      </c>
      <c r="O12" s="50">
        <f>SUMIFS('Full month Pivot'!H:H, 'Full month Pivot'!$A:$A, "Vay Nhanh", 'Full month Pivot'!$C:$C, $B12)</f>
        <v/>
      </c>
      <c r="P12" s="50">
        <f>SUMIFS('Full month Pivot'!I:I, 'Full month Pivot'!$A:$A, "Vay Nhanh", 'Full month Pivot'!$C:$C, $B12)</f>
        <v/>
      </c>
      <c r="Q12" s="50">
        <f>P12-O12</f>
        <v/>
      </c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</row>
    <row r="13">
      <c r="A13" s="164" t="n"/>
      <c r="B13" s="164" t="inlineStr">
        <is>
          <t>Others</t>
        </is>
      </c>
      <c r="C13" s="50">
        <f>SUMIFS('MTD Pivot'!D:D, 'MTD Pivot'!$A:$A, $A$8, 'MTD Pivot'!$C:$C, $B13)</f>
        <v/>
      </c>
      <c r="D13" s="50">
        <f>SUMIFS('MTD Pivot'!E:E, 'MTD Pivot'!$A:$A, $A$8, 'MTD Pivot'!$C:$C, $B13)</f>
        <v/>
      </c>
      <c r="E13" s="50">
        <f>SUMIFS('MTD Pivot'!F:F, 'MTD Pivot'!$A:$A, $A$8, 'MTD Pivot'!$C:$C, $B13)</f>
        <v/>
      </c>
      <c r="F13" s="50">
        <f>SUMIFS('MTD Pivot'!G:G, 'MTD Pivot'!$A:$A, $A$8, 'MTD Pivot'!$C:$C, $B13)</f>
        <v/>
      </c>
      <c r="G13" s="50">
        <f>SUMIFS('MTD Pivot'!H:H, 'MTD Pivot'!$A:$A, $A$8, 'MTD Pivot'!$C:$C, $B13)</f>
        <v/>
      </c>
      <c r="H13" s="50">
        <f>SUMIFS('MTD Pivot'!I:I, 'MTD Pivot'!$A:$A, $A$8, 'MTD Pivot'!$C:$C, $B13)</f>
        <v/>
      </c>
      <c r="I13" s="50">
        <f>H13-G13</f>
        <v/>
      </c>
      <c r="J13" s="162" t="n"/>
      <c r="K13" s="50">
        <f>SUMIFS('Full month Pivot'!D:D, 'Full month Pivot'!$A:$A, "Vay Nhanh", 'Full month Pivot'!$C:$C, $B13)</f>
        <v/>
      </c>
      <c r="L13" s="50">
        <f>SUMIFS('Full month Pivot'!E:E, 'Full month Pivot'!$A:$A, "Vay Nhanh", 'Full month Pivot'!$C:$C, $B13)</f>
        <v/>
      </c>
      <c r="M13" s="50">
        <f>SUMIFS('Full month Pivot'!F:F, 'Full month Pivot'!$A:$A, "Vay Nhanh", 'Full month Pivot'!$C:$C, $B13)</f>
        <v/>
      </c>
      <c r="N13" s="50">
        <f>SUMIFS('Full month Pivot'!G:G, 'Full month Pivot'!$A:$A, "Vay Nhanh", 'Full month Pivot'!$C:$C, $B13)</f>
        <v/>
      </c>
      <c r="O13" s="50">
        <f>SUMIFS('Full month Pivot'!H:H, 'Full month Pivot'!$A:$A, "Vay Nhanh", 'Full month Pivot'!$C:$C, $B13)</f>
        <v/>
      </c>
      <c r="P13" s="50">
        <f>SUMIFS('Full month Pivot'!I:I, 'Full month Pivot'!$A:$A, "Vay Nhanh", 'Full month Pivot'!$C:$C, $B13)</f>
        <v/>
      </c>
      <c r="Q13" s="50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</row>
    <row r="14">
      <c r="A14" s="164" t="n"/>
      <c r="B14" s="164" t="n"/>
      <c r="C14" s="50" t="n"/>
      <c r="D14" s="50" t="n"/>
      <c r="E14" s="50" t="n"/>
      <c r="F14" s="50" t="n"/>
      <c r="G14" s="50" t="n"/>
      <c r="H14" s="50" t="n"/>
      <c r="I14" s="164" t="n"/>
      <c r="J14" s="162" t="n"/>
      <c r="K14" s="169" t="n"/>
      <c r="L14" s="169" t="n"/>
      <c r="M14" s="169" t="n"/>
      <c r="N14" s="169" t="n"/>
      <c r="O14" s="169" t="n"/>
      <c r="P14" s="169" t="n"/>
      <c r="Q14" s="164" t="n"/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</row>
    <row r="15">
      <c r="A15" s="157" t="inlineStr">
        <is>
          <t>Điểm Tín Dụng</t>
        </is>
      </c>
      <c r="B15" s="157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0">
        <f>H15-G15</f>
        <v/>
      </c>
      <c r="J15" s="166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0">
        <f>P15-O15</f>
        <v/>
      </c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</row>
    <row r="16">
      <c r="A16" s="164" t="n"/>
      <c r="B16" s="164" t="inlineStr">
        <is>
          <t>Paid</t>
        </is>
      </c>
      <c r="C16" s="50">
        <f>SUMIFS('MTD Pivot'!D:D, 'MTD Pivot'!$A:$A, "Điểm Tín Dụng", 'MTD Pivot'!$C:$C, $B16)</f>
        <v/>
      </c>
      <c r="D16" s="50">
        <f>SUMIFS('MTD Pivot'!E:E, 'MTD Pivot'!$A:$A, "Điểm Tín Dụng", 'MTD Pivot'!$C:$C, $B16)</f>
        <v/>
      </c>
      <c r="E16" s="50">
        <f>SUMIFS('MTD Pivot'!F:F, 'MTD Pivot'!$A:$A, "Điểm Tín Dụng", 'MTD Pivot'!$C:$C, $B16)</f>
        <v/>
      </c>
      <c r="F16" s="50">
        <f>SUMIFS('MTD Pivot'!G:G, 'MTD Pivot'!$A:$A, "Điểm Tín Dụng", 'MTD Pivot'!$C:$C, $B16)</f>
        <v/>
      </c>
      <c r="G16" s="50">
        <f>SUMIFS('MTD Pivot'!H:H, 'MTD Pivot'!$A:$A, "Điểm Tín Dụng", 'MTD Pivot'!$C:$C, $B16)</f>
        <v/>
      </c>
      <c r="H16" s="50">
        <f>SUMIFS('MTD Pivot'!I:I, 'MTD Pivot'!$A:$A, "Điểm Tín Dụng", 'MTD Pivot'!$C:$C, $B16)</f>
        <v/>
      </c>
      <c r="I16" s="50">
        <f>H16-G16</f>
        <v/>
      </c>
      <c r="J16" s="162" t="n"/>
      <c r="K16" s="50">
        <f>SUMIFS('Full month Pivot'!D:D, 'Full month Pivot'!$A:$A, "Điểm Tín Dụng", 'Full month Pivot'!$C:$C, $B16)</f>
        <v/>
      </c>
      <c r="L16" s="50">
        <f>SUMIFS('Full month Pivot'!E:E, 'Full month Pivot'!$A:$A, "Điểm Tín Dụng", 'Full month Pivot'!$C:$C, $B16)</f>
        <v/>
      </c>
      <c r="M16" s="50">
        <f>SUMIFS('Full month Pivot'!F:F, 'Full month Pivot'!$A:$A, "Điểm Tín Dụng", 'Full month Pivot'!$C:$C, $B16)</f>
        <v/>
      </c>
      <c r="N16" s="50">
        <f>SUMIFS('Full month Pivot'!G:G, 'Full month Pivot'!$A:$A, "Điểm Tín Dụng", 'Full month Pivot'!$C:$C, $B16)</f>
        <v/>
      </c>
      <c r="O16" s="50">
        <f>SUMIFS('Full month Pivot'!H:H, 'Full month Pivot'!$A:$A, "Điểm Tín Dụng", 'Full month Pivot'!$C:$C, $B16)</f>
        <v/>
      </c>
      <c r="P16" s="50">
        <f>SUMIFS('Full month Pivot'!I:I, 'Full month Pivot'!$A:$A, "Điểm Tín Dụng", 'Full month Pivot'!$C:$C, $B16)</f>
        <v/>
      </c>
      <c r="Q16" s="50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</row>
    <row r="17">
      <c r="A17" s="164" t="n"/>
      <c r="B17" s="164" t="inlineStr">
        <is>
          <t>Organic</t>
        </is>
      </c>
      <c r="C17" s="50">
        <f>SUMIFS('MTD Pivot'!D:D, 'MTD Pivot'!$A:$A, "Điểm Tín Dụng", 'MTD Pivot'!$C:$C, $B17)</f>
        <v/>
      </c>
      <c r="D17" s="50">
        <f>SUMIFS('MTD Pivot'!E:E, 'MTD Pivot'!$A:$A, "Điểm Tín Dụng", 'MTD Pivot'!$C:$C, $B17)</f>
        <v/>
      </c>
      <c r="E17" s="50">
        <f>SUMIFS('MTD Pivot'!F:F, 'MTD Pivot'!$A:$A, "Điểm Tín Dụng", 'MTD Pivot'!$C:$C, $B17)</f>
        <v/>
      </c>
      <c r="F17" s="50">
        <f>SUMIFS('MTD Pivot'!G:G, 'MTD Pivot'!$A:$A, "Điểm Tín Dụng", 'MTD Pivot'!$C:$C, $B17)</f>
        <v/>
      </c>
      <c r="G17" s="50">
        <f>SUMIFS('MTD Pivot'!H:H, 'MTD Pivot'!$A:$A, "Điểm Tín Dụng", 'MTD Pivot'!$C:$C, $B17)</f>
        <v/>
      </c>
      <c r="H17" s="50">
        <f>SUMIFS('MTD Pivot'!I:I, 'MTD Pivot'!$A:$A, "Điểm Tín Dụng", 'MTD Pivot'!$C:$C, $B17)</f>
        <v/>
      </c>
      <c r="I17" s="50">
        <f>H17-G17</f>
        <v/>
      </c>
      <c r="J17" s="162" t="n"/>
      <c r="K17" s="50">
        <f>SUMIFS('Full month Pivot'!D:D, 'Full month Pivot'!$A:$A, "Điểm Tín Dụng", 'Full month Pivot'!$C:$C, $B17)</f>
        <v/>
      </c>
      <c r="L17" s="50">
        <f>SUMIFS('Full month Pivot'!E:E, 'Full month Pivot'!$A:$A, "Điểm Tín Dụng", 'Full month Pivot'!$C:$C, $B17)</f>
        <v/>
      </c>
      <c r="M17" s="50">
        <f>SUMIFS('Full month Pivot'!F:F, 'Full month Pivot'!$A:$A, "Điểm Tín Dụng", 'Full month Pivot'!$C:$C, $B17)</f>
        <v/>
      </c>
      <c r="N17" s="50">
        <f>SUMIFS('Full month Pivot'!G:G, 'Full month Pivot'!$A:$A, "Điểm Tín Dụng", 'Full month Pivot'!$C:$C, $B17)</f>
        <v/>
      </c>
      <c r="O17" s="50">
        <f>SUMIFS('Full month Pivot'!H:H, 'Full month Pivot'!$A:$A, "Điểm Tín Dụng", 'Full month Pivot'!$C:$C, $B17)</f>
        <v/>
      </c>
      <c r="P17" s="50">
        <f>SUMIFS('Full month Pivot'!I:I, 'Full month Pivot'!$A:$A, "Điểm Tín Dụng", 'Full month Pivot'!$C:$C, $B17)</f>
        <v/>
      </c>
      <c r="Q17" s="50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</row>
    <row r="18">
      <c r="A18" s="164" t="n"/>
      <c r="B18" s="164" t="inlineStr">
        <is>
          <t>Direct</t>
        </is>
      </c>
      <c r="C18" s="50">
        <f>SUMIFS('MTD Pivot'!D:D, 'MTD Pivot'!$A:$A, "Điểm Tín Dụng", 'MTD Pivot'!$C:$C, $B18)</f>
        <v/>
      </c>
      <c r="D18" s="50">
        <f>SUMIFS('MTD Pivot'!E:E, 'MTD Pivot'!$A:$A, "Điểm Tín Dụng", 'MTD Pivot'!$C:$C, $B18)</f>
        <v/>
      </c>
      <c r="E18" s="50">
        <f>SUMIFS('MTD Pivot'!F:F, 'MTD Pivot'!$A:$A, "Điểm Tín Dụng", 'MTD Pivot'!$C:$C, $B18)</f>
        <v/>
      </c>
      <c r="F18" s="50">
        <f>SUMIFS('MTD Pivot'!G:G, 'MTD Pivot'!$A:$A, "Điểm Tín Dụng", 'MTD Pivot'!$C:$C, $B18)</f>
        <v/>
      </c>
      <c r="G18" s="50">
        <f>SUMIFS('MTD Pivot'!H:H, 'MTD Pivot'!$A:$A, "Điểm Tín Dụng", 'MTD Pivot'!$C:$C, $B18)</f>
        <v/>
      </c>
      <c r="H18" s="50">
        <f>SUMIFS('MTD Pivot'!I:I, 'MTD Pivot'!$A:$A, "Điểm Tín Dụng", 'MTD Pivot'!$C:$C, $B18)</f>
        <v/>
      </c>
      <c r="I18" s="50">
        <f>H18-G18</f>
        <v/>
      </c>
      <c r="J18" s="162" t="n"/>
      <c r="K18" s="50">
        <f>SUMIFS('Full month Pivot'!D:D, 'Full month Pivot'!$A:$A, "Điểm Tín Dụng", 'Full month Pivot'!$C:$C, $B18)</f>
        <v/>
      </c>
      <c r="L18" s="50">
        <f>SUMIFS('Full month Pivot'!E:E, 'Full month Pivot'!$A:$A, "Điểm Tín Dụng", 'Full month Pivot'!$C:$C, $B18)</f>
        <v/>
      </c>
      <c r="M18" s="50">
        <f>SUMIFS('Full month Pivot'!F:F, 'Full month Pivot'!$A:$A, "Điểm Tín Dụng", 'Full month Pivot'!$C:$C, $B18)</f>
        <v/>
      </c>
      <c r="N18" s="50">
        <f>SUMIFS('Full month Pivot'!G:G, 'Full month Pivot'!$A:$A, "Điểm Tín Dụng", 'Full month Pivot'!$C:$C, $B18)</f>
        <v/>
      </c>
      <c r="O18" s="50">
        <f>SUMIFS('Full month Pivot'!H:H, 'Full month Pivot'!$A:$A, "Điểm Tín Dụng", 'Full month Pivot'!$C:$C, $B18)</f>
        <v/>
      </c>
      <c r="P18" s="50">
        <f>SUMIFS('Full month Pivot'!I:I, 'Full month Pivot'!$A:$A, "Điểm Tín Dụng", 'Full month Pivot'!$C:$C, $B18)</f>
        <v/>
      </c>
      <c r="Q18" s="50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</row>
    <row r="19">
      <c r="A19" s="164" t="n"/>
      <c r="B19" s="164" t="inlineStr">
        <is>
          <t>Referral</t>
        </is>
      </c>
      <c r="C19" s="50">
        <f>SUMIFS('MTD Pivot'!D:D, 'MTD Pivot'!$A:$A, "Điểm Tín Dụng", 'MTD Pivot'!$C:$C, $B19)</f>
        <v/>
      </c>
      <c r="D19" s="50">
        <f>SUMIFS('MTD Pivot'!E:E, 'MTD Pivot'!$A:$A, "Điểm Tín Dụng", 'MTD Pivot'!$C:$C, $B19)</f>
        <v/>
      </c>
      <c r="E19" s="50">
        <f>SUMIFS('MTD Pivot'!F:F, 'MTD Pivot'!$A:$A, "Điểm Tín Dụng", 'MTD Pivot'!$C:$C, $B19)</f>
        <v/>
      </c>
      <c r="F19" s="50">
        <f>SUMIFS('MTD Pivot'!G:G, 'MTD Pivot'!$A:$A, "Điểm Tín Dụng", 'MTD Pivot'!$C:$C, $B19)</f>
        <v/>
      </c>
      <c r="G19" s="50">
        <f>SUMIFS('MTD Pivot'!H:H, 'MTD Pivot'!$A:$A, "Điểm Tín Dụng", 'MTD Pivot'!$C:$C, $B19)</f>
        <v/>
      </c>
      <c r="H19" s="50">
        <f>SUMIFS('MTD Pivot'!I:I, 'MTD Pivot'!$A:$A, "Điểm Tín Dụng", 'MTD Pivot'!$C:$C, $B19)</f>
        <v/>
      </c>
      <c r="I19" s="50">
        <f>H19-G19</f>
        <v/>
      </c>
      <c r="J19" s="162" t="n"/>
      <c r="K19" s="50">
        <f>SUMIFS('Full month Pivot'!D:D, 'Full month Pivot'!$A:$A, "Điểm Tín Dụng", 'Full month Pivot'!$C:$C, $B19)</f>
        <v/>
      </c>
      <c r="L19" s="50">
        <f>SUMIFS('Full month Pivot'!E:E, 'Full month Pivot'!$A:$A, "Điểm Tín Dụng", 'Full month Pivot'!$C:$C, $B19)</f>
        <v/>
      </c>
      <c r="M19" s="50">
        <f>SUMIFS('Full month Pivot'!F:F, 'Full month Pivot'!$A:$A, "Điểm Tín Dụng", 'Full month Pivot'!$C:$C, $B19)</f>
        <v/>
      </c>
      <c r="N19" s="50">
        <f>SUMIFS('Full month Pivot'!G:G, 'Full month Pivot'!$A:$A, "Điểm Tín Dụng", 'Full month Pivot'!$C:$C, $B19)</f>
        <v/>
      </c>
      <c r="O19" s="50">
        <f>SUMIFS('Full month Pivot'!H:H, 'Full month Pivot'!$A:$A, "Điểm Tín Dụng", 'Full month Pivot'!$C:$C, $B19)</f>
        <v/>
      </c>
      <c r="P19" s="50">
        <f>SUMIFS('Full month Pivot'!I:I, 'Full month Pivot'!$A:$A, "Điểm Tín Dụng", 'Full month Pivot'!$C:$C, $B19)</f>
        <v/>
      </c>
      <c r="Q19" s="50">
        <f>P19-O19</f>
        <v/>
      </c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</row>
    <row r="20">
      <c r="A20" s="164" t="n"/>
      <c r="B20" s="164" t="inlineStr">
        <is>
          <t>Others</t>
        </is>
      </c>
      <c r="C20" s="50">
        <f>SUMIFS('MTD Pivot'!D:D, 'MTD Pivot'!$A:$A, "Điểm Tín Dụng", 'MTD Pivot'!$C:$C, $B20)</f>
        <v/>
      </c>
      <c r="D20" s="50">
        <f>SUMIFS('MTD Pivot'!E:E, 'MTD Pivot'!$A:$A, "Điểm Tín Dụng", 'MTD Pivot'!$C:$C, $B20)</f>
        <v/>
      </c>
      <c r="E20" s="50">
        <f>SUMIFS('MTD Pivot'!F:F, 'MTD Pivot'!$A:$A, "Điểm Tín Dụng", 'MTD Pivot'!$C:$C, $B20)</f>
        <v/>
      </c>
      <c r="F20" s="50">
        <f>SUMIFS('MTD Pivot'!G:G, 'MTD Pivot'!$A:$A, "Điểm Tín Dụng", 'MTD Pivot'!$C:$C, $B20)</f>
        <v/>
      </c>
      <c r="G20" s="50">
        <f>SUMIFS('MTD Pivot'!H:H, 'MTD Pivot'!$A:$A, "Điểm Tín Dụng", 'MTD Pivot'!$C:$C, $B20)</f>
        <v/>
      </c>
      <c r="H20" s="50">
        <f>SUMIFS('MTD Pivot'!I:I, 'MTD Pivot'!$A:$A, "Điểm Tín Dụng", 'MTD Pivot'!$C:$C, $B20)</f>
        <v/>
      </c>
      <c r="I20" s="50">
        <f>H20-G20</f>
        <v/>
      </c>
      <c r="J20" s="162" t="n"/>
      <c r="K20" s="50">
        <f>SUMIFS('Full month Pivot'!D:D, 'Full month Pivot'!$A:$A, "Điểm Tín Dụng", 'Full month Pivot'!$C:$C, $B20)</f>
        <v/>
      </c>
      <c r="L20" s="50">
        <f>SUMIFS('Full month Pivot'!E:E, 'Full month Pivot'!$A:$A, "Điểm Tín Dụng", 'Full month Pivot'!$C:$C, $B20)</f>
        <v/>
      </c>
      <c r="M20" s="50">
        <f>SUMIFS('Full month Pivot'!F:F, 'Full month Pivot'!$A:$A, "Điểm Tín Dụng", 'Full month Pivot'!$C:$C, $B20)</f>
        <v/>
      </c>
      <c r="N20" s="50">
        <f>SUMIFS('Full month Pivot'!G:G, 'Full month Pivot'!$A:$A, "Điểm Tín Dụng", 'Full month Pivot'!$C:$C, $B20)</f>
        <v/>
      </c>
      <c r="O20" s="50">
        <f>SUMIFS('Full month Pivot'!H:H, 'Full month Pivot'!$A:$A, "Điểm Tín Dụng", 'Full month Pivot'!$C:$C, $B20)</f>
        <v/>
      </c>
      <c r="P20" s="50">
        <f>SUMIFS('Full month Pivot'!I:I, 'Full month Pivot'!$A:$A, "Điểm Tín Dụng", 'Full month Pivot'!$C:$C, $B20)</f>
        <v/>
      </c>
      <c r="Q20" s="50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</row>
    <row r="21">
      <c r="A21" s="164" t="n"/>
      <c r="B21" s="164" t="n"/>
      <c r="C21" s="50" t="n"/>
      <c r="D21" s="50" t="n"/>
      <c r="E21" s="50" t="n"/>
      <c r="F21" s="50" t="n"/>
      <c r="G21" s="50" t="n"/>
      <c r="H21" s="50" t="n"/>
      <c r="I21" s="164" t="n"/>
      <c r="J21" s="162" t="n"/>
      <c r="K21" s="169" t="n"/>
      <c r="L21" s="169" t="n"/>
      <c r="M21" s="169" t="n"/>
      <c r="N21" s="169" t="n"/>
      <c r="O21" s="169" t="n"/>
      <c r="P21" s="169" t="n"/>
      <c r="Q21" s="164" t="n"/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</row>
    <row r="22">
      <c r="A22" s="157" t="inlineStr">
        <is>
          <t>Ví Trả Sau</t>
        </is>
      </c>
      <c r="B22" s="157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0">
        <f>H22-G22</f>
        <v/>
      </c>
      <c r="J22" s="166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0">
        <f>P22-O22</f>
        <v/>
      </c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</row>
    <row r="23">
      <c r="A23" s="164" t="n"/>
      <c r="B23" s="164" t="inlineStr">
        <is>
          <t>Paid</t>
        </is>
      </c>
      <c r="C23" s="50">
        <f>SUMIFS('MTD Pivot'!D:D, 'MTD Pivot'!$A:$A, "Ví Trả Sau", 'MTD Pivot'!$C:$C, $B23)</f>
        <v/>
      </c>
      <c r="D23" s="50">
        <f>SUMIFS('MTD Pivot'!E:E, 'MTD Pivot'!$A:$A, "Ví Trả Sau", 'MTD Pivot'!$C:$C, $B23)</f>
        <v/>
      </c>
      <c r="E23" s="50">
        <f>SUMIFS('MTD Pivot'!F:F, 'MTD Pivot'!$A:$A, "Ví Trả Sau", 'MTD Pivot'!$C:$C, $B23)</f>
        <v/>
      </c>
      <c r="F23" s="50">
        <f>SUMIFS('MTD Pivot'!G:G, 'MTD Pivot'!$A:$A, "Ví Trả Sau", 'MTD Pivot'!$C:$C, $B23)</f>
        <v/>
      </c>
      <c r="G23" s="50">
        <f>SUMIFS('MTD Pivot'!H:H, 'MTD Pivot'!$A:$A, "Ví Trả Sau", 'MTD Pivot'!$C:$C, $B23)</f>
        <v/>
      </c>
      <c r="H23" s="50">
        <f>SUMIFS('MTD Pivot'!I:I, 'MTD Pivot'!$A:$A, "Ví Trả Sau", 'MTD Pivot'!$C:$C, $B23)</f>
        <v/>
      </c>
      <c r="I23" s="50">
        <f>H23-G23</f>
        <v/>
      </c>
      <c r="J23" s="162" t="n"/>
      <c r="K23" s="50">
        <f>SUMIFS('Full month Pivot'!D:D, 'Full month Pivot'!$A:$A, "Ví Trả Sau", 'Full month Pivot'!$C:$C, $B23)</f>
        <v/>
      </c>
      <c r="L23" s="50">
        <f>SUMIFS('Full month Pivot'!E:E, 'Full month Pivot'!$A:$A, "Ví Trả Sau", 'Full month Pivot'!$C:$C, $B23)</f>
        <v/>
      </c>
      <c r="M23" s="50">
        <f>SUMIFS('Full month Pivot'!F:F, 'Full month Pivot'!$A:$A, "Ví Trả Sau", 'Full month Pivot'!$C:$C, $B23)</f>
        <v/>
      </c>
      <c r="N23" s="50">
        <f>SUMIFS('Full month Pivot'!G:G, 'Full month Pivot'!$A:$A, "Ví Trả Sau", 'Full month Pivot'!$C:$C, $B23)</f>
        <v/>
      </c>
      <c r="O23" s="50">
        <f>SUMIFS('Full month Pivot'!H:H, 'Full month Pivot'!$A:$A, "Ví Trả Sau", 'Full month Pivot'!$C:$C, $B23)</f>
        <v/>
      </c>
      <c r="P23" s="50">
        <f>SUMIFS('Full month Pivot'!I:I, 'Full month Pivot'!$A:$A, "Ví Trả Sau", 'Full month Pivot'!$C:$C, $B23)</f>
        <v/>
      </c>
      <c r="Q23" s="50">
        <f>P23-O23</f>
        <v/>
      </c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</row>
    <row r="24">
      <c r="A24" s="164" t="n"/>
      <c r="B24" s="164" t="inlineStr">
        <is>
          <t>Organic</t>
        </is>
      </c>
      <c r="C24" s="50">
        <f>SUMIFS('MTD Pivot'!D:D, 'MTD Pivot'!$A:$A, "Ví Trả Sau", 'MTD Pivot'!$C:$C, $B24)</f>
        <v/>
      </c>
      <c r="D24" s="50">
        <f>SUMIFS('MTD Pivot'!E:E, 'MTD Pivot'!$A:$A, "Ví Trả Sau", 'MTD Pivot'!$C:$C, $B24)</f>
        <v/>
      </c>
      <c r="E24" s="50">
        <f>SUMIFS('MTD Pivot'!F:F, 'MTD Pivot'!$A:$A, "Ví Trả Sau", 'MTD Pivot'!$C:$C, $B24)</f>
        <v/>
      </c>
      <c r="F24" s="50">
        <f>SUMIFS('MTD Pivot'!G:G, 'MTD Pivot'!$A:$A, "Ví Trả Sau", 'MTD Pivot'!$C:$C, $B24)</f>
        <v/>
      </c>
      <c r="G24" s="50">
        <f>SUMIFS('MTD Pivot'!H:H, 'MTD Pivot'!$A:$A, "Ví Trả Sau", 'MTD Pivot'!$C:$C, $B24)</f>
        <v/>
      </c>
      <c r="H24" s="50">
        <f>SUMIFS('MTD Pivot'!I:I, 'MTD Pivot'!$A:$A, "Ví Trả Sau", 'MTD Pivot'!$C:$C, $B24)</f>
        <v/>
      </c>
      <c r="I24" s="50">
        <f>H24-G24</f>
        <v/>
      </c>
      <c r="J24" s="162" t="n"/>
      <c r="K24" s="50">
        <f>SUMIFS('Full month Pivot'!D:D, 'Full month Pivot'!$A:$A, "Ví Trả Sau", 'Full month Pivot'!$C:$C, $B24)</f>
        <v/>
      </c>
      <c r="L24" s="50">
        <f>SUMIFS('Full month Pivot'!E:E, 'Full month Pivot'!$A:$A, "Ví Trả Sau", 'Full month Pivot'!$C:$C, $B24)</f>
        <v/>
      </c>
      <c r="M24" s="50">
        <f>SUMIFS('Full month Pivot'!F:F, 'Full month Pivot'!$A:$A, "Ví Trả Sau", 'Full month Pivot'!$C:$C, $B24)</f>
        <v/>
      </c>
      <c r="N24" s="50">
        <f>SUMIFS('Full month Pivot'!G:G, 'Full month Pivot'!$A:$A, "Ví Trả Sau", 'Full month Pivot'!$C:$C, $B24)</f>
        <v/>
      </c>
      <c r="O24" s="50">
        <f>SUMIFS('Full month Pivot'!H:H, 'Full month Pivot'!$A:$A, "Ví Trả Sau", 'Full month Pivot'!$C:$C, $B24)</f>
        <v/>
      </c>
      <c r="P24" s="50">
        <f>SUMIFS('Full month Pivot'!I:I, 'Full month Pivot'!$A:$A, "Ví Trả Sau", 'Full month Pivot'!$C:$C, $B24)</f>
        <v/>
      </c>
      <c r="Q24" s="50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</row>
    <row r="25">
      <c r="A25" s="164" t="n"/>
      <c r="B25" s="164" t="inlineStr">
        <is>
          <t>Referral</t>
        </is>
      </c>
      <c r="C25" s="50">
        <f>SUMIFS('MTD Pivot'!D:D, 'MTD Pivot'!$A:$A, "Ví Trả Sau", 'MTD Pivot'!$C:$C, $B25)</f>
        <v/>
      </c>
      <c r="D25" s="50">
        <f>SUMIFS('MTD Pivot'!E:E, 'MTD Pivot'!$A:$A, "Ví Trả Sau", 'MTD Pivot'!$C:$C, $B25)</f>
        <v/>
      </c>
      <c r="E25" s="50">
        <f>SUMIFS('MTD Pivot'!F:F, 'MTD Pivot'!$A:$A, "Ví Trả Sau", 'MTD Pivot'!$C:$C, $B25)</f>
        <v/>
      </c>
      <c r="F25" s="50">
        <f>SUMIFS('MTD Pivot'!G:G, 'MTD Pivot'!$A:$A, "Ví Trả Sau", 'MTD Pivot'!$C:$C, $B25)</f>
        <v/>
      </c>
      <c r="G25" s="50">
        <f>SUMIFS('MTD Pivot'!H:H, 'MTD Pivot'!$A:$A, "Ví Trả Sau", 'MTD Pivot'!$C:$C, $B25)</f>
        <v/>
      </c>
      <c r="H25" s="50">
        <f>SUMIFS('MTD Pivot'!I:I, 'MTD Pivot'!$A:$A, "Ví Trả Sau", 'MTD Pivot'!$C:$C, $B25)</f>
        <v/>
      </c>
      <c r="I25" s="50">
        <f>H25-G25</f>
        <v/>
      </c>
      <c r="J25" s="162" t="n"/>
      <c r="K25" s="50">
        <f>SUMIFS('Full month Pivot'!D:D, 'Full month Pivot'!$A:$A, "Ví Trả Sau", 'Full month Pivot'!$C:$C, $B25)</f>
        <v/>
      </c>
      <c r="L25" s="50">
        <f>SUMIFS('Full month Pivot'!E:E, 'Full month Pivot'!$A:$A, "Ví Trả Sau", 'Full month Pivot'!$C:$C, $B25)</f>
        <v/>
      </c>
      <c r="M25" s="50">
        <f>SUMIFS('Full month Pivot'!F:F, 'Full month Pivot'!$A:$A, "Ví Trả Sau", 'Full month Pivot'!$C:$C, $B25)</f>
        <v/>
      </c>
      <c r="N25" s="50">
        <f>SUMIFS('Full month Pivot'!G:G, 'Full month Pivot'!$A:$A, "Ví Trả Sau", 'Full month Pivot'!$C:$C, $B25)</f>
        <v/>
      </c>
      <c r="O25" s="50">
        <f>SUMIFS('Full month Pivot'!H:H, 'Full month Pivot'!$A:$A, "Ví Trả Sau", 'Full month Pivot'!$C:$C, $B25)</f>
        <v/>
      </c>
      <c r="P25" s="50">
        <f>SUMIFS('Full month Pivot'!I:I, 'Full month Pivot'!$A:$A, "Ví Trả Sau", 'Full month Pivot'!$C:$C, $B25)</f>
        <v/>
      </c>
      <c r="Q25" s="50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</row>
    <row r="26">
      <c r="A26" s="164" t="n"/>
      <c r="B26" s="164" t="inlineStr">
        <is>
          <t>Direct</t>
        </is>
      </c>
      <c r="C26" s="50">
        <f>SUMIFS('MTD Pivot'!D:D, 'MTD Pivot'!$A:$A, "Ví Trả Sau", 'MTD Pivot'!$C:$C, $B26)</f>
        <v/>
      </c>
      <c r="D26" s="50">
        <f>SUMIFS('MTD Pivot'!E:E, 'MTD Pivot'!$A:$A, "Ví Trả Sau", 'MTD Pivot'!$C:$C, $B26)</f>
        <v/>
      </c>
      <c r="E26" s="50">
        <f>SUMIFS('MTD Pivot'!F:F, 'MTD Pivot'!$A:$A, "Ví Trả Sau", 'MTD Pivot'!$C:$C, $B26)</f>
        <v/>
      </c>
      <c r="F26" s="50">
        <f>SUMIFS('MTD Pivot'!G:G, 'MTD Pivot'!$A:$A, "Ví Trả Sau", 'MTD Pivot'!$C:$C, $B26)</f>
        <v/>
      </c>
      <c r="G26" s="50">
        <f>SUMIFS('MTD Pivot'!H:H, 'MTD Pivot'!$A:$A, "Ví Trả Sau", 'MTD Pivot'!$C:$C, $B26)</f>
        <v/>
      </c>
      <c r="H26" s="50">
        <f>SUMIFS('MTD Pivot'!I:I, 'MTD Pivot'!$A:$A, "Ví Trả Sau", 'MTD Pivot'!$C:$C, $B26)</f>
        <v/>
      </c>
      <c r="I26" s="50">
        <f>H26-G26</f>
        <v/>
      </c>
      <c r="J26" s="162" t="n"/>
      <c r="K26" s="50">
        <f>SUMIFS('Full month Pivot'!D:D, 'Full month Pivot'!$A:$A, "Ví Trả Sau", 'Full month Pivot'!$C:$C, $B26)</f>
        <v/>
      </c>
      <c r="L26" s="50">
        <f>SUMIFS('Full month Pivot'!E:E, 'Full month Pivot'!$A:$A, "Ví Trả Sau", 'Full month Pivot'!$C:$C, $B26)</f>
        <v/>
      </c>
      <c r="M26" s="50">
        <f>SUMIFS('Full month Pivot'!F:F, 'Full month Pivot'!$A:$A, "Ví Trả Sau", 'Full month Pivot'!$C:$C, $B26)</f>
        <v/>
      </c>
      <c r="N26" s="50">
        <f>SUMIFS('Full month Pivot'!G:G, 'Full month Pivot'!$A:$A, "Ví Trả Sau", 'Full month Pivot'!$C:$C, $B26)</f>
        <v/>
      </c>
      <c r="O26" s="50">
        <f>SUMIFS('Full month Pivot'!H:H, 'Full month Pivot'!$A:$A, "Ví Trả Sau", 'Full month Pivot'!$C:$C, $B26)</f>
        <v/>
      </c>
      <c r="P26" s="50">
        <f>SUMIFS('Full month Pivot'!I:I, 'Full month Pivot'!$A:$A, "Ví Trả Sau", 'Full month Pivot'!$C:$C, $B26)</f>
        <v/>
      </c>
      <c r="Q26" s="50">
        <f>P26-O26</f>
        <v/>
      </c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</row>
    <row r="27">
      <c r="A27" s="164" t="n"/>
      <c r="B27" s="164" t="inlineStr">
        <is>
          <t>Others</t>
        </is>
      </c>
      <c r="C27" s="50">
        <f>SUMIFS('MTD Pivot'!D:D, 'MTD Pivot'!$A:$A, "Ví Trả Sau", 'MTD Pivot'!$C:$C, $B27)</f>
        <v/>
      </c>
      <c r="D27" s="50">
        <f>SUMIFS('MTD Pivot'!E:E, 'MTD Pivot'!$A:$A, "Ví Trả Sau", 'MTD Pivot'!$C:$C, $B27)</f>
        <v/>
      </c>
      <c r="E27" s="50">
        <f>SUMIFS('MTD Pivot'!F:F, 'MTD Pivot'!$A:$A, "Ví Trả Sau", 'MTD Pivot'!$C:$C, $B27)</f>
        <v/>
      </c>
      <c r="F27" s="50">
        <f>SUMIFS('MTD Pivot'!G:G, 'MTD Pivot'!$A:$A, "Ví Trả Sau", 'MTD Pivot'!$C:$C, $B27)</f>
        <v/>
      </c>
      <c r="G27" s="50">
        <f>SUMIFS('MTD Pivot'!H:H, 'MTD Pivot'!$A:$A, "Ví Trả Sau", 'MTD Pivot'!$C:$C, $B27)</f>
        <v/>
      </c>
      <c r="H27" s="50">
        <f>SUMIFS('MTD Pivot'!I:I, 'MTD Pivot'!$A:$A, "Ví Trả Sau", 'MTD Pivot'!$C:$C, $B27)</f>
        <v/>
      </c>
      <c r="I27" s="50">
        <f>H27-G27</f>
        <v/>
      </c>
      <c r="J27" s="162" t="n"/>
      <c r="K27" s="50">
        <f>SUMIFS('Full month Pivot'!D:D, 'Full month Pivot'!$A:$A, "Ví Trả Sau", 'Full month Pivot'!$C:$C, $B27)</f>
        <v/>
      </c>
      <c r="L27" s="50">
        <f>SUMIFS('Full month Pivot'!E:E, 'Full month Pivot'!$A:$A, "Ví Trả Sau", 'Full month Pivot'!$C:$C, $B27)</f>
        <v/>
      </c>
      <c r="M27" s="50">
        <f>SUMIFS('Full month Pivot'!F:F, 'Full month Pivot'!$A:$A, "Ví Trả Sau", 'Full month Pivot'!$C:$C, $B27)</f>
        <v/>
      </c>
      <c r="N27" s="50">
        <f>SUMIFS('Full month Pivot'!G:G, 'Full month Pivot'!$A:$A, "Ví Trả Sau", 'Full month Pivot'!$C:$C, $B27)</f>
        <v/>
      </c>
      <c r="O27" s="50">
        <f>SUMIFS('Full month Pivot'!H:H, 'Full month Pivot'!$A:$A, "Ví Trả Sau", 'Full month Pivot'!$C:$C, $B27)</f>
        <v/>
      </c>
      <c r="P27" s="50">
        <f>SUMIFS('Full month Pivot'!I:I, 'Full month Pivot'!$A:$A, "Ví Trả Sau", 'Full month Pivot'!$C:$C, $B27)</f>
        <v/>
      </c>
      <c r="Q27" s="50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</row>
    <row r="28">
      <c r="A28" s="164" t="n"/>
      <c r="B28" s="164" t="n"/>
      <c r="C28" s="164" t="n"/>
      <c r="D28" s="164" t="n"/>
      <c r="E28" s="50" t="n"/>
      <c r="F28" s="50" t="n"/>
      <c r="G28" s="50" t="n"/>
      <c r="H28" s="50" t="n"/>
      <c r="I28" s="164" t="n"/>
      <c r="J28" s="162" t="n"/>
      <c r="K28" s="169" t="n"/>
      <c r="L28" s="169" t="n"/>
      <c r="M28" s="169" t="n"/>
      <c r="N28" s="169" t="n"/>
      <c r="O28" s="169" t="n"/>
      <c r="P28" s="169" t="n"/>
      <c r="Q28" s="164" t="n"/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</row>
    <row r="29">
      <c r="A29" s="157" t="inlineStr">
        <is>
          <t>Túi Thần Tài</t>
        </is>
      </c>
      <c r="B29" s="157" t="n"/>
      <c r="C29" s="157" t="n">
        <v>864</v>
      </c>
      <c r="D29" s="157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0">
        <f>H29-G29</f>
        <v/>
      </c>
      <c r="J29" s="166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0">
        <f>P29-O29</f>
        <v/>
      </c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</row>
    <row r="30">
      <c r="A30" s="164" t="n"/>
      <c r="B30" s="164" t="inlineStr">
        <is>
          <t>Organic</t>
        </is>
      </c>
      <c r="C30" s="164">
        <f>SUMIFS('MTD Pivot'!D:D, 'MTD Pivot'!$A:$A, "Túi Thần Tài", 'MTD Pivot'!$C:$C, $B30)</f>
        <v/>
      </c>
      <c r="D30" s="164">
        <f>SUMIFS('MTD Pivot'!E:E, 'MTD Pivot'!$A:$A, "Túi Thần Tài", 'MTD Pivot'!$C:$C, $B30)</f>
        <v/>
      </c>
      <c r="E30" s="164">
        <f>SUMIFS('MTD Pivot'!F:F, 'MTD Pivot'!$A:$A, "Túi Thần Tài", 'MTD Pivot'!$C:$C, $B30)</f>
        <v/>
      </c>
      <c r="F30" s="164">
        <f>SUMIFS('MTD Pivot'!G:G, 'MTD Pivot'!$A:$A, "Túi Thần Tài", 'MTD Pivot'!$C:$C, $B30)</f>
        <v/>
      </c>
      <c r="G30" s="164">
        <f>SUMIFS('MTD Pivot'!H:H, 'MTD Pivot'!$A:$A, "Túi Thần Tài", 'MTD Pivot'!$C:$C, $B30)</f>
        <v/>
      </c>
      <c r="H30" s="164">
        <f>SUMIFS('MTD Pivot'!I:I, 'MTD Pivot'!$A:$A, "Túi Thần Tài", 'MTD Pivot'!$C:$C, $B30)</f>
        <v/>
      </c>
      <c r="I30" s="164">
        <f>H30-G30</f>
        <v/>
      </c>
      <c r="J30" s="162" t="n"/>
      <c r="K30" s="50">
        <f>SUMIFS('Full month Pivot'!D:D, 'Full month Pivot'!$A:$A, "Túi Thần Tài", 'Full month Pivot'!$C:$C, $B30)</f>
        <v/>
      </c>
      <c r="L30" s="50">
        <f>SUMIFS('Full month Pivot'!E:E, 'Full month Pivot'!$A:$A, "Túi Thần Tài", 'Full month Pivot'!$C:$C, $B30)</f>
        <v/>
      </c>
      <c r="M30" s="50">
        <f>SUMIFS('Full month Pivot'!F:F, 'Full month Pivot'!$A:$A, "Túi Thần Tài", 'Full month Pivot'!$C:$C, $B30)</f>
        <v/>
      </c>
      <c r="N30" s="50">
        <f>SUMIFS('Full month Pivot'!G:G, 'Full month Pivot'!$A:$A, "Túi Thần Tài", 'Full month Pivot'!$C:$C, $B30)</f>
        <v/>
      </c>
      <c r="O30" s="50">
        <f>SUMIFS('Full month Pivot'!H:H, 'Full month Pivot'!$A:$A, "Túi Thần Tài", 'Full month Pivot'!$C:$C, $B30)</f>
        <v/>
      </c>
      <c r="P30" s="50">
        <f>SUMIFS('Full month Pivot'!I:I, 'Full month Pivot'!$A:$A, "Túi Thần Tài", 'Full month Pivot'!$C:$C, $B30)</f>
        <v/>
      </c>
      <c r="Q30" s="50">
        <f>P30-O30</f>
        <v/>
      </c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</row>
    <row r="31">
      <c r="A31" s="164" t="n"/>
      <c r="B31" s="164" t="inlineStr">
        <is>
          <t>Referral</t>
        </is>
      </c>
      <c r="C31" s="164">
        <f>SUMIFS('MTD Pivot'!D:D, 'MTD Pivot'!$A:$A, "Túi Thần Tài", 'MTD Pivot'!$C:$C, $B31)</f>
        <v/>
      </c>
      <c r="D31" s="164">
        <f>SUMIFS('MTD Pivot'!E:E, 'MTD Pivot'!$A:$A, "Túi Thần Tài", 'MTD Pivot'!$C:$C, $B31)</f>
        <v/>
      </c>
      <c r="E31" s="164">
        <f>SUMIFS('MTD Pivot'!F:F, 'MTD Pivot'!$A:$A, "Túi Thần Tài", 'MTD Pivot'!$C:$C, $B31)</f>
        <v/>
      </c>
      <c r="F31" s="164">
        <f>SUMIFS('MTD Pivot'!G:G, 'MTD Pivot'!$A:$A, "Túi Thần Tài", 'MTD Pivot'!$C:$C, $B31)</f>
        <v/>
      </c>
      <c r="G31" s="164">
        <f>SUMIFS('MTD Pivot'!H:H, 'MTD Pivot'!$A:$A, "Túi Thần Tài", 'MTD Pivot'!$C:$C, $B31)</f>
        <v/>
      </c>
      <c r="H31" s="164">
        <f>SUMIFS('MTD Pivot'!I:I, 'MTD Pivot'!$A:$A, "Túi Thần Tài", 'MTD Pivot'!$C:$C, $B31)</f>
        <v/>
      </c>
      <c r="I31" s="164">
        <f>H31-G31</f>
        <v/>
      </c>
      <c r="J31" s="162" t="n"/>
      <c r="K31" s="50">
        <f>SUMIFS('Full month Pivot'!D:D, 'Full month Pivot'!$A:$A, "Túi Thần Tài", 'Full month Pivot'!$C:$C, $B31)</f>
        <v/>
      </c>
      <c r="L31" s="50">
        <f>SUMIFS('Full month Pivot'!E:E, 'Full month Pivot'!$A:$A, "Túi Thần Tài", 'Full month Pivot'!$C:$C, $B31)</f>
        <v/>
      </c>
      <c r="M31" s="50">
        <f>SUMIFS('Full month Pivot'!F:F, 'Full month Pivot'!$A:$A, "Túi Thần Tài", 'Full month Pivot'!$C:$C, $B31)</f>
        <v/>
      </c>
      <c r="N31" s="50">
        <f>SUMIFS('Full month Pivot'!G:G, 'Full month Pivot'!$A:$A, "Túi Thần Tài", 'Full month Pivot'!$C:$C, $B31)</f>
        <v/>
      </c>
      <c r="O31" s="50">
        <f>SUMIFS('Full month Pivot'!H:H, 'Full month Pivot'!$A:$A, "Túi Thần Tài", 'Full month Pivot'!$C:$C, $B31)</f>
        <v/>
      </c>
      <c r="P31" s="50">
        <f>SUMIFS('Full month Pivot'!I:I, 'Full month Pivot'!$A:$A, "Túi Thần Tài", 'Full month Pivot'!$C:$C, $B31)</f>
        <v/>
      </c>
      <c r="Q31" s="50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</row>
    <row r="32">
      <c r="A32" s="164" t="n"/>
      <c r="B32" s="164" t="inlineStr">
        <is>
          <t>Direct</t>
        </is>
      </c>
      <c r="C32" s="164">
        <f>SUMIFS('MTD Pivot'!D:D, 'MTD Pivot'!$A:$A, "Túi Thần Tài", 'MTD Pivot'!$C:$C, $B32)</f>
        <v/>
      </c>
      <c r="D32" s="164">
        <f>SUMIFS('MTD Pivot'!E:E, 'MTD Pivot'!$A:$A, "Túi Thần Tài", 'MTD Pivot'!$C:$C, $B32)</f>
        <v/>
      </c>
      <c r="E32" s="164">
        <f>SUMIFS('MTD Pivot'!F:F, 'MTD Pivot'!$A:$A, "Túi Thần Tài", 'MTD Pivot'!$C:$C, $B32)</f>
        <v/>
      </c>
      <c r="F32" s="164">
        <f>SUMIFS('MTD Pivot'!G:G, 'MTD Pivot'!$A:$A, "Túi Thần Tài", 'MTD Pivot'!$C:$C, $B32)</f>
        <v/>
      </c>
      <c r="G32" s="164">
        <f>SUMIFS('MTD Pivot'!H:H, 'MTD Pivot'!$A:$A, "Túi Thần Tài", 'MTD Pivot'!$C:$C, $B32)</f>
        <v/>
      </c>
      <c r="H32" s="164">
        <f>SUMIFS('MTD Pivot'!I:I, 'MTD Pivot'!$A:$A, "Túi Thần Tài", 'MTD Pivot'!$C:$C, $B32)</f>
        <v/>
      </c>
      <c r="I32" s="164">
        <f>H32-G32</f>
        <v/>
      </c>
      <c r="J32" s="162" t="n"/>
      <c r="K32" s="50">
        <f>SUMIFS('Full month Pivot'!D:D, 'Full month Pivot'!$A:$A, "Túi Thần Tài", 'Full month Pivot'!$C:$C, $B32)</f>
        <v/>
      </c>
      <c r="L32" s="50">
        <f>SUMIFS('Full month Pivot'!E:E, 'Full month Pivot'!$A:$A, "Túi Thần Tài", 'Full month Pivot'!$C:$C, $B32)</f>
        <v/>
      </c>
      <c r="M32" s="50">
        <f>SUMIFS('Full month Pivot'!F:F, 'Full month Pivot'!$A:$A, "Túi Thần Tài", 'Full month Pivot'!$C:$C, $B32)</f>
        <v/>
      </c>
      <c r="N32" s="50">
        <f>SUMIFS('Full month Pivot'!G:G, 'Full month Pivot'!$A:$A, "Túi Thần Tài", 'Full month Pivot'!$C:$C, $B32)</f>
        <v/>
      </c>
      <c r="O32" s="50">
        <f>SUMIFS('Full month Pivot'!H:H, 'Full month Pivot'!$A:$A, "Túi Thần Tài", 'Full month Pivot'!$C:$C, $B32)</f>
        <v/>
      </c>
      <c r="P32" s="50">
        <f>SUMIFS('Full month Pivot'!I:I, 'Full month Pivot'!$A:$A, "Túi Thần Tài", 'Full month Pivot'!$C:$C, $B32)</f>
        <v/>
      </c>
      <c r="Q32" s="50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</row>
    <row r="33">
      <c r="A33" s="164" t="n"/>
      <c r="B33" s="164" t="inlineStr">
        <is>
          <t>Others</t>
        </is>
      </c>
      <c r="C33" s="164">
        <f>SUMIFS('MTD Pivot'!D:D, 'MTD Pivot'!$A:$A, "Túi Thần Tài", 'MTD Pivot'!$C:$C, $B33)</f>
        <v/>
      </c>
      <c r="D33" s="164">
        <f>SUMIFS('MTD Pivot'!E:E, 'MTD Pivot'!$A:$A, "Túi Thần Tài", 'MTD Pivot'!$C:$C, $B33)</f>
        <v/>
      </c>
      <c r="E33" s="164">
        <f>SUMIFS('MTD Pivot'!F:F, 'MTD Pivot'!$A:$A, "Túi Thần Tài", 'MTD Pivot'!$C:$C, $B33)</f>
        <v/>
      </c>
      <c r="F33" s="164">
        <f>SUMIFS('MTD Pivot'!G:G, 'MTD Pivot'!$A:$A, "Túi Thần Tài", 'MTD Pivot'!$C:$C, $B33)</f>
        <v/>
      </c>
      <c r="G33" s="164">
        <f>SUMIFS('MTD Pivot'!H:H, 'MTD Pivot'!$A:$A, "Túi Thần Tài", 'MTD Pivot'!$C:$C, $B33)</f>
        <v/>
      </c>
      <c r="H33" s="164">
        <f>SUMIFS('MTD Pivot'!I:I, 'MTD Pivot'!$A:$A, "Túi Thần Tài", 'MTD Pivot'!$C:$C, $B33)</f>
        <v/>
      </c>
      <c r="I33" s="164">
        <f>H33-G33</f>
        <v/>
      </c>
      <c r="J33" s="162" t="n"/>
      <c r="K33" s="50">
        <f>SUMIFS('Full month Pivot'!D:D, 'Full month Pivot'!$A:$A, "Túi Thần Tài", 'Full month Pivot'!$C:$C, $B33)</f>
        <v/>
      </c>
      <c r="L33" s="50">
        <f>SUMIFS('Full month Pivot'!E:E, 'Full month Pivot'!$A:$A, "Túi Thần Tài", 'Full month Pivot'!$C:$C, $B33)</f>
        <v/>
      </c>
      <c r="M33" s="50">
        <f>SUMIFS('Full month Pivot'!F:F, 'Full month Pivot'!$A:$A, "Túi Thần Tài", 'Full month Pivot'!$C:$C, $B33)</f>
        <v/>
      </c>
      <c r="N33" s="50">
        <f>SUMIFS('Full month Pivot'!G:G, 'Full month Pivot'!$A:$A, "Túi Thần Tài", 'Full month Pivot'!$C:$C, $B33)</f>
        <v/>
      </c>
      <c r="O33" s="50">
        <f>SUMIFS('Full month Pivot'!H:H, 'Full month Pivot'!$A:$A, "Túi Thần Tài", 'Full month Pivot'!$C:$C, $B33)</f>
        <v/>
      </c>
      <c r="P33" s="50">
        <f>SUMIFS('Full month Pivot'!I:I, 'Full month Pivot'!$A:$A, "Túi Thần Tài", 'Full month Pivot'!$C:$C, $B33)</f>
        <v/>
      </c>
      <c r="Q33" s="50">
        <f>P33-O33</f>
        <v/>
      </c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</row>
    <row r="34">
      <c r="A34" s="164" t="n"/>
      <c r="B34" s="164" t="inlineStr">
        <is>
          <t>Paid</t>
        </is>
      </c>
      <c r="C34" s="164">
        <f>SUMIFS('MTD Pivot'!D:D, 'MTD Pivot'!$A:$A, "Túi Thần Tài", 'MTD Pivot'!$C:$C, $B34)</f>
        <v/>
      </c>
      <c r="D34" s="164">
        <f>SUMIFS('MTD Pivot'!E:E, 'MTD Pivot'!$A:$A, "Túi Thần Tài", 'MTD Pivot'!$C:$C, $B34)</f>
        <v/>
      </c>
      <c r="E34" s="164">
        <f>SUMIFS('MTD Pivot'!F:F, 'MTD Pivot'!$A:$A, "Túi Thần Tài", 'MTD Pivot'!$C:$C, $B34)</f>
        <v/>
      </c>
      <c r="F34" s="164">
        <f>SUMIFS('MTD Pivot'!G:G, 'MTD Pivot'!$A:$A, "Túi Thần Tài", 'MTD Pivot'!$C:$C, $B34)</f>
        <v/>
      </c>
      <c r="G34" s="164">
        <f>SUMIFS('MTD Pivot'!H:H, 'MTD Pivot'!$A:$A, "Túi Thần Tài", 'MTD Pivot'!$C:$C, $B34)</f>
        <v/>
      </c>
      <c r="H34" s="164">
        <f>SUMIFS('MTD Pivot'!I:I, 'MTD Pivot'!$A:$A, "Túi Thần Tài", 'MTD Pivot'!$C:$C, $B34)</f>
        <v/>
      </c>
      <c r="I34" s="164">
        <f>H34-G34</f>
        <v/>
      </c>
      <c r="J34" s="162" t="n"/>
      <c r="K34" s="50">
        <f>SUMIFS('Full month Pivot'!D:D, 'Full month Pivot'!$A:$A, "Túi Thần Tài", 'Full month Pivot'!$C:$C, $B34)</f>
        <v/>
      </c>
      <c r="L34" s="50">
        <f>SUMIFS('Full month Pivot'!E:E, 'Full month Pivot'!$A:$A, "Túi Thần Tài", 'Full month Pivot'!$C:$C, $B34)</f>
        <v/>
      </c>
      <c r="M34" s="50">
        <f>SUMIFS('Full month Pivot'!F:F, 'Full month Pivot'!$A:$A, "Túi Thần Tài", 'Full month Pivot'!$C:$C, $B34)</f>
        <v/>
      </c>
      <c r="N34" s="50">
        <f>SUMIFS('Full month Pivot'!G:G, 'Full month Pivot'!$A:$A, "Túi Thần Tài", 'Full month Pivot'!$C:$C, $B34)</f>
        <v/>
      </c>
      <c r="O34" s="50">
        <f>SUMIFS('Full month Pivot'!H:H, 'Full month Pivot'!$A:$A, "Túi Thần Tài", 'Full month Pivot'!$C:$C, $B34)</f>
        <v/>
      </c>
      <c r="P34" s="50">
        <f>SUMIFS('Full month Pivot'!I:I, 'Full month Pivot'!$A:$A, "Túi Thần Tài", 'Full month Pivot'!$C:$C, $B34)</f>
        <v/>
      </c>
      <c r="Q34" s="50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</row>
    <row r="35">
      <c r="A35" s="164" t="n"/>
      <c r="B35" s="164" t="n"/>
      <c r="C35" s="50" t="n"/>
      <c r="D35" s="50" t="n"/>
      <c r="E35" s="50" t="n"/>
      <c r="F35" s="50" t="n"/>
      <c r="G35" s="50" t="n"/>
      <c r="H35" s="50" t="n"/>
      <c r="I35" s="164" t="n"/>
      <c r="J35" s="162" t="n"/>
      <c r="K35" s="169" t="n"/>
      <c r="L35" s="169" t="n"/>
      <c r="M35" s="169" t="n"/>
      <c r="N35" s="169" t="n"/>
      <c r="O35" s="169" t="n"/>
      <c r="P35" s="169" t="n"/>
      <c r="Q35" s="164" t="n"/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</row>
    <row r="36">
      <c r="A36" s="157" t="inlineStr">
        <is>
          <t>Mở Thẻ Tín Dụng</t>
        </is>
      </c>
      <c r="B36" s="157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0">
        <f>H36-G36</f>
        <v/>
      </c>
      <c r="J36" s="166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0">
        <f>P36-O36</f>
        <v/>
      </c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</row>
    <row r="37">
      <c r="A37" s="164" t="n"/>
      <c r="B37" s="164" t="inlineStr">
        <is>
          <t>Organic</t>
        </is>
      </c>
      <c r="C37" s="50">
        <f>SUMIFS('MTD Pivot'!D:D, 'MTD Pivot'!$A:$A, "Mở Thẻ Tín Dụng", 'MTD Pivot'!$C:$C, $B37)</f>
        <v/>
      </c>
      <c r="D37" s="50">
        <f>SUMIFS('MTD Pivot'!E:E, 'MTD Pivot'!$A:$A, "Mở Thẻ Tín Dụng", 'MTD Pivot'!$C:$C, $B37)</f>
        <v/>
      </c>
      <c r="E37" s="50">
        <f>SUMIFS('MTD Pivot'!F:F, 'MTD Pivot'!$A:$A, "Mở Thẻ Tín Dụng", 'MTD Pivot'!$C:$C, $B37)</f>
        <v/>
      </c>
      <c r="F37" s="50">
        <f>SUMIFS('MTD Pivot'!G:G, 'MTD Pivot'!$A:$A, "Mở Thẻ Tín Dụng", 'MTD Pivot'!$C:$C, $B37)</f>
        <v/>
      </c>
      <c r="G37" s="50">
        <f>SUMIFS('MTD Pivot'!H:H, 'MTD Pivot'!$A:$A, "Mở Thẻ Tín Dụng", 'MTD Pivot'!$C:$C, $B37)</f>
        <v/>
      </c>
      <c r="H37" s="50">
        <f>SUMIFS('MTD Pivot'!I:I, 'MTD Pivot'!$A:$A, "Mở Thẻ Tín Dụng", 'MTD Pivot'!$C:$C, $B37)</f>
        <v/>
      </c>
      <c r="I37" s="50">
        <f>H37-G37</f>
        <v/>
      </c>
      <c r="J37" s="162" t="n"/>
      <c r="K37" s="50">
        <f>SUMIFS('Full month Pivot'!D:D, 'Full month Pivot'!$A:$A, "Mở Thẻ Tín Dụng", 'Full month Pivot'!$C:$C, $B37)</f>
        <v/>
      </c>
      <c r="L37" s="50">
        <f>SUMIFS('Full month Pivot'!E:E, 'Full month Pivot'!$A:$A, "Mở Thẻ Tín Dụng", 'Full month Pivot'!$C:$C, $B37)</f>
        <v/>
      </c>
      <c r="M37" s="50">
        <f>SUMIFS('Full month Pivot'!F:F, 'Full month Pivot'!$A:$A, "Mở Thẻ Tín Dụng", 'Full month Pivot'!$C:$C, $B37)</f>
        <v/>
      </c>
      <c r="N37" s="50">
        <f>SUMIFS('Full month Pivot'!G:G, 'Full month Pivot'!$A:$A, "Mở Thẻ Tín Dụng", 'Full month Pivot'!$C:$C, $B37)</f>
        <v/>
      </c>
      <c r="O37" s="50">
        <f>SUMIFS('Full month Pivot'!H:H, 'Full month Pivot'!$A:$A, "Mở Thẻ Tín Dụng", 'Full month Pivot'!$C:$C, $B37)</f>
        <v/>
      </c>
      <c r="P37" s="50">
        <f>SUMIFS('Full month Pivot'!I:I, 'Full month Pivot'!$A:$A, "Mở Thẻ Tín Dụng", 'Full month Pivot'!$C:$C, $B37)</f>
        <v/>
      </c>
      <c r="Q37" s="50">
        <f>P37-O37</f>
        <v/>
      </c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</row>
    <row r="38">
      <c r="A38" s="164" t="n"/>
      <c r="B38" s="164" t="inlineStr">
        <is>
          <t>Referral</t>
        </is>
      </c>
      <c r="C38" s="50">
        <f>SUMIFS('MTD Pivot'!D:D, 'MTD Pivot'!$A:$A, "Mở Thẻ Tín Dụng", 'MTD Pivot'!$C:$C, $B38)</f>
        <v/>
      </c>
      <c r="D38" s="50">
        <f>SUMIFS('MTD Pivot'!E:E, 'MTD Pivot'!$A:$A, "Mở Thẻ Tín Dụng", 'MTD Pivot'!$C:$C, $B38)</f>
        <v/>
      </c>
      <c r="E38" s="50">
        <f>SUMIFS('MTD Pivot'!F:F, 'MTD Pivot'!$A:$A, "Mở Thẻ Tín Dụng", 'MTD Pivot'!$C:$C, $B38)</f>
        <v/>
      </c>
      <c r="F38" s="50">
        <f>SUMIFS('MTD Pivot'!G:G, 'MTD Pivot'!$A:$A, "Mở Thẻ Tín Dụng", 'MTD Pivot'!$C:$C, $B38)</f>
        <v/>
      </c>
      <c r="G38" s="50">
        <f>SUMIFS('MTD Pivot'!H:H, 'MTD Pivot'!$A:$A, "Mở Thẻ Tín Dụng", 'MTD Pivot'!$C:$C, $B38)</f>
        <v/>
      </c>
      <c r="H38" s="50">
        <f>SUMIFS('MTD Pivot'!I:I, 'MTD Pivot'!$A:$A, "Mở Thẻ Tín Dụng", 'MTD Pivot'!$C:$C, $B38)</f>
        <v/>
      </c>
      <c r="I38" s="50">
        <f>H38-G38</f>
        <v/>
      </c>
      <c r="J38" s="162" t="n"/>
      <c r="K38" s="50">
        <f>SUMIFS('Full month Pivot'!D:D, 'Full month Pivot'!$A:$A, "Mở Thẻ Tín Dụng", 'Full month Pivot'!$C:$C, $B38)</f>
        <v/>
      </c>
      <c r="L38" s="50">
        <f>SUMIFS('Full month Pivot'!E:E, 'Full month Pivot'!$A:$A, "Mở Thẻ Tín Dụng", 'Full month Pivot'!$C:$C, $B38)</f>
        <v/>
      </c>
      <c r="M38" s="50">
        <f>SUMIFS('Full month Pivot'!F:F, 'Full month Pivot'!$A:$A, "Mở Thẻ Tín Dụng", 'Full month Pivot'!$C:$C, $B38)</f>
        <v/>
      </c>
      <c r="N38" s="50">
        <f>SUMIFS('Full month Pivot'!G:G, 'Full month Pivot'!$A:$A, "Mở Thẻ Tín Dụng", 'Full month Pivot'!$C:$C, $B38)</f>
        <v/>
      </c>
      <c r="O38" s="50">
        <f>SUMIFS('Full month Pivot'!H:H, 'Full month Pivot'!$A:$A, "Mở Thẻ Tín Dụng", 'Full month Pivot'!$C:$C, $B38)</f>
        <v/>
      </c>
      <c r="P38" s="50">
        <f>SUMIFS('Full month Pivot'!I:I, 'Full month Pivot'!$A:$A, "Mở Thẻ Tín Dụng", 'Full month Pivot'!$C:$C, $B38)</f>
        <v/>
      </c>
      <c r="Q38" s="50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</row>
    <row r="39">
      <c r="A39" s="164" t="n"/>
      <c r="B39" s="164" t="inlineStr">
        <is>
          <t>Direct</t>
        </is>
      </c>
      <c r="C39" s="50">
        <f>SUMIFS('MTD Pivot'!D:D, 'MTD Pivot'!$A:$A, "Mở Thẻ Tín Dụng", 'MTD Pivot'!$C:$C, $B39)</f>
        <v/>
      </c>
      <c r="D39" s="50">
        <f>SUMIFS('MTD Pivot'!E:E, 'MTD Pivot'!$A:$A, "Mở Thẻ Tín Dụng", 'MTD Pivot'!$C:$C, $B39)</f>
        <v/>
      </c>
      <c r="E39" s="50">
        <f>SUMIFS('MTD Pivot'!F:F, 'MTD Pivot'!$A:$A, "Mở Thẻ Tín Dụng", 'MTD Pivot'!$C:$C, $B39)</f>
        <v/>
      </c>
      <c r="F39" s="50">
        <f>SUMIFS('MTD Pivot'!G:G, 'MTD Pivot'!$A:$A, "Mở Thẻ Tín Dụng", 'MTD Pivot'!$C:$C, $B39)</f>
        <v/>
      </c>
      <c r="G39" s="50">
        <f>SUMIFS('MTD Pivot'!H:H, 'MTD Pivot'!$A:$A, "Mở Thẻ Tín Dụng", 'MTD Pivot'!$C:$C, $B39)</f>
        <v/>
      </c>
      <c r="H39" s="50">
        <f>SUMIFS('MTD Pivot'!I:I, 'MTD Pivot'!$A:$A, "Mở Thẻ Tín Dụng", 'MTD Pivot'!$C:$C, $B39)</f>
        <v/>
      </c>
      <c r="I39" s="50">
        <f>H39-G39</f>
        <v/>
      </c>
      <c r="J39" s="162" t="n"/>
      <c r="K39" s="50">
        <f>SUMIFS('Full month Pivot'!D:D, 'Full month Pivot'!$A:$A, "Mở Thẻ Tín Dụng", 'Full month Pivot'!$C:$C, $B39)</f>
        <v/>
      </c>
      <c r="L39" s="50">
        <f>SUMIFS('Full month Pivot'!E:E, 'Full month Pivot'!$A:$A, "Mở Thẻ Tín Dụng", 'Full month Pivot'!$C:$C, $B39)</f>
        <v/>
      </c>
      <c r="M39" s="50">
        <f>SUMIFS('Full month Pivot'!F:F, 'Full month Pivot'!$A:$A, "Mở Thẻ Tín Dụng", 'Full month Pivot'!$C:$C, $B39)</f>
        <v/>
      </c>
      <c r="N39" s="50">
        <f>SUMIFS('Full month Pivot'!G:G, 'Full month Pivot'!$A:$A, "Mở Thẻ Tín Dụng", 'Full month Pivot'!$C:$C, $B39)</f>
        <v/>
      </c>
      <c r="O39" s="50">
        <f>SUMIFS('Full month Pivot'!H:H, 'Full month Pivot'!$A:$A, "Mở Thẻ Tín Dụng", 'Full month Pivot'!$C:$C, $B39)</f>
        <v/>
      </c>
      <c r="P39" s="50">
        <f>SUMIFS('Full month Pivot'!I:I, 'Full month Pivot'!$A:$A, "Mở Thẻ Tín Dụng", 'Full month Pivot'!$C:$C, $B39)</f>
        <v/>
      </c>
      <c r="Q39" s="50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</row>
    <row r="40">
      <c r="A40" s="164" t="n"/>
      <c r="B40" s="164" t="inlineStr">
        <is>
          <t>Paid</t>
        </is>
      </c>
      <c r="C40" s="50">
        <f>SUMIFS('MTD Pivot'!D:D, 'MTD Pivot'!$A:$A, "Mở Thẻ Tín Dụng", 'MTD Pivot'!$C:$C, $B40)</f>
        <v/>
      </c>
      <c r="D40" s="50">
        <f>SUMIFS('MTD Pivot'!E:E, 'MTD Pivot'!$A:$A, "Mở Thẻ Tín Dụng", 'MTD Pivot'!$C:$C, $B40)</f>
        <v/>
      </c>
      <c r="E40" s="50">
        <f>SUMIFS('MTD Pivot'!F:F, 'MTD Pivot'!$A:$A, "Mở Thẻ Tín Dụng", 'MTD Pivot'!$C:$C, $B40)</f>
        <v/>
      </c>
      <c r="F40" s="50">
        <f>SUMIFS('MTD Pivot'!G:G, 'MTD Pivot'!$A:$A, "Mở Thẻ Tín Dụng", 'MTD Pivot'!$C:$C, $B40)</f>
        <v/>
      </c>
      <c r="G40" s="50">
        <f>SUMIFS('MTD Pivot'!H:H, 'MTD Pivot'!$A:$A, "Mở Thẻ Tín Dụng", 'MTD Pivot'!$C:$C, $B40)</f>
        <v/>
      </c>
      <c r="H40" s="50">
        <f>SUMIFS('MTD Pivot'!I:I, 'MTD Pivot'!$A:$A, "Mở Thẻ Tín Dụng", 'MTD Pivot'!$C:$C, $B40)</f>
        <v/>
      </c>
      <c r="I40" s="50">
        <f>H40-G40</f>
        <v/>
      </c>
      <c r="J40" s="162" t="n"/>
      <c r="K40" s="50">
        <f>SUMIFS('Full month Pivot'!D:D, 'Full month Pivot'!$A:$A, "Mở Thẻ Tín Dụng", 'Full month Pivot'!$C:$C, $B40)</f>
        <v/>
      </c>
      <c r="L40" s="50">
        <f>SUMIFS('Full month Pivot'!E:E, 'Full month Pivot'!$A:$A, "Mở Thẻ Tín Dụng", 'Full month Pivot'!$C:$C, $B40)</f>
        <v/>
      </c>
      <c r="M40" s="50">
        <f>SUMIFS('Full month Pivot'!F:F, 'Full month Pivot'!$A:$A, "Mở Thẻ Tín Dụng", 'Full month Pivot'!$C:$C, $B40)</f>
        <v/>
      </c>
      <c r="N40" s="50">
        <f>SUMIFS('Full month Pivot'!G:G, 'Full month Pivot'!$A:$A, "Mở Thẻ Tín Dụng", 'Full month Pivot'!$C:$C, $B40)</f>
        <v/>
      </c>
      <c r="O40" s="50">
        <f>SUMIFS('Full month Pivot'!H:H, 'Full month Pivot'!$A:$A, "Mở Thẻ Tín Dụng", 'Full month Pivot'!$C:$C, $B40)</f>
        <v/>
      </c>
      <c r="P40" s="50">
        <f>SUMIFS('Full month Pivot'!I:I, 'Full month Pivot'!$A:$A, "Mở Thẻ Tín Dụng", 'Full month Pivot'!$C:$C, $B40)</f>
        <v/>
      </c>
      <c r="Q40" s="50">
        <f>P40-O40</f>
        <v/>
      </c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</row>
    <row r="41">
      <c r="A41" s="164" t="n"/>
      <c r="B41" s="164" t="inlineStr">
        <is>
          <t>Others</t>
        </is>
      </c>
      <c r="C41" s="50">
        <f>SUMIFS('MTD Pivot'!D:D, 'MTD Pivot'!$A:$A, "Mở Thẻ Tín Dụng", 'MTD Pivot'!$C:$C, $B41)</f>
        <v/>
      </c>
      <c r="D41" s="50">
        <f>SUMIFS('MTD Pivot'!E:E, 'MTD Pivot'!$A:$A, "Mở Thẻ Tín Dụng", 'MTD Pivot'!$C:$C, $B41)</f>
        <v/>
      </c>
      <c r="E41" s="50">
        <f>SUMIFS('MTD Pivot'!F:F, 'MTD Pivot'!$A:$A, "Mở Thẻ Tín Dụng", 'MTD Pivot'!$C:$C, $B41)</f>
        <v/>
      </c>
      <c r="F41" s="50">
        <f>SUMIFS('MTD Pivot'!G:G, 'MTD Pivot'!$A:$A, "Mở Thẻ Tín Dụng", 'MTD Pivot'!$C:$C, $B41)</f>
        <v/>
      </c>
      <c r="G41" s="50">
        <f>SUMIFS('MTD Pivot'!H:H, 'MTD Pivot'!$A:$A, "Mở Thẻ Tín Dụng", 'MTD Pivot'!$C:$C, $B41)</f>
        <v/>
      </c>
      <c r="H41" s="50">
        <f>SUMIFS('MTD Pivot'!I:I, 'MTD Pivot'!$A:$A, "Mở Thẻ Tín Dụng", 'MTD Pivot'!$C:$C, $B41)</f>
        <v/>
      </c>
      <c r="I41" s="50">
        <f>H41-G41</f>
        <v/>
      </c>
      <c r="J41" s="162" t="n"/>
      <c r="K41" s="50">
        <f>SUMIFS('Full month Pivot'!D:D, 'Full month Pivot'!$A:$A, "Mở Thẻ Tín Dụng", 'Full month Pivot'!$C:$C, $B41)</f>
        <v/>
      </c>
      <c r="L41" s="50">
        <f>SUMIFS('Full month Pivot'!E:E, 'Full month Pivot'!$A:$A, "Mở Thẻ Tín Dụng", 'Full month Pivot'!$C:$C, $B41)</f>
        <v/>
      </c>
      <c r="M41" s="50">
        <f>SUMIFS('Full month Pivot'!F:F, 'Full month Pivot'!$A:$A, "Mở Thẻ Tín Dụng", 'Full month Pivot'!$C:$C, $B41)</f>
        <v/>
      </c>
      <c r="N41" s="50">
        <f>SUMIFS('Full month Pivot'!G:G, 'Full month Pivot'!$A:$A, "Mở Thẻ Tín Dụng", 'Full month Pivot'!$C:$C, $B41)</f>
        <v/>
      </c>
      <c r="O41" s="50">
        <f>SUMIFS('Full month Pivot'!H:H, 'Full month Pivot'!$A:$A, "Mở Thẻ Tín Dụng", 'Full month Pivot'!$C:$C, $B41)</f>
        <v/>
      </c>
      <c r="P41" s="50">
        <f>SUMIFS('Full month Pivot'!I:I, 'Full month Pivot'!$A:$A, "Mở Thẻ Tín Dụng", 'Full month Pivot'!$C:$C, $B41)</f>
        <v/>
      </c>
      <c r="Q41" s="50">
        <f>P41-O41</f>
        <v/>
      </c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2" t="n"/>
      <c r="K42" s="169" t="n"/>
      <c r="L42" s="169" t="n"/>
      <c r="M42" s="169" t="n"/>
      <c r="N42" s="169" t="n"/>
      <c r="O42" s="169" t="n"/>
      <c r="P42" s="169" t="n"/>
      <c r="Q42" s="164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</row>
    <row r="43">
      <c r="A43" s="157" t="inlineStr">
        <is>
          <t>Trả Góp Apple</t>
        </is>
      </c>
      <c r="B43" s="157" t="n"/>
      <c r="C43" s="157">
        <f>sum(C44:C48)</f>
        <v/>
      </c>
      <c r="D43" s="157">
        <f>sum(D44:D48)</f>
        <v/>
      </c>
      <c r="E43" s="157">
        <f>sum(E44:E48)</f>
        <v/>
      </c>
      <c r="F43" s="157">
        <f>sum(F44:F48)</f>
        <v/>
      </c>
      <c r="G43" s="157">
        <f>sum(G44:G48)</f>
        <v/>
      </c>
      <c r="H43" s="157">
        <f>sum(H44:H48)</f>
        <v/>
      </c>
      <c r="I43" s="164">
        <f>H43-G43</f>
        <v/>
      </c>
      <c r="J43" s="166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0">
        <f>P43-O43</f>
        <v/>
      </c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</row>
    <row r="44">
      <c r="A44" s="164" t="n"/>
      <c r="B44" s="164" t="inlineStr">
        <is>
          <t>Organic</t>
        </is>
      </c>
      <c r="C44" s="164">
        <f>SUMIFS('MTD Pivot'!D:D, 'MTD Pivot'!$A:$A, "Trả Góp Apple", 'MTD Pivot'!$C:$C, $B44)</f>
        <v/>
      </c>
      <c r="D44" s="164">
        <f>SUMIFS('MTD Pivot'!E:E, 'MTD Pivot'!$A:$A, "Trả Góp Apple", 'MTD Pivot'!$C:$C, $B44)</f>
        <v/>
      </c>
      <c r="E44" s="164">
        <f>SUMIFS('MTD Pivot'!F:F, 'MTD Pivot'!$A:$A, "Trả Góp Apple", 'MTD Pivot'!$C:$C, $B44)</f>
        <v/>
      </c>
      <c r="F44" s="164">
        <f>SUMIFS('MTD Pivot'!G:G, 'MTD Pivot'!$A:$A, "Trả Góp Apple", 'MTD Pivot'!$C:$C, $B44)</f>
        <v/>
      </c>
      <c r="G44" s="164">
        <f>SUMIFS('MTD Pivot'!H:H, 'MTD Pivot'!$A:$A, "Trả Góp Apple", 'MTD Pivot'!$C:$C, $B44)</f>
        <v/>
      </c>
      <c r="H44" s="164">
        <f>SUMIFS('MTD Pivot'!I:I, 'MTD Pivot'!$A:$A, "Trả Góp Apple", 'MTD Pivot'!$C:$C, $B44)</f>
        <v/>
      </c>
      <c r="I44" s="164">
        <f>H44-G44</f>
        <v/>
      </c>
      <c r="J44" s="162" t="n"/>
      <c r="K44" s="50">
        <f>SUMIFS('Full month Pivot'!D:D, 'Full month Pivot'!$A:$A, "Trả Góp Apple", 'Full month Pivot'!$C:$C, $B44)</f>
        <v/>
      </c>
      <c r="L44" s="50">
        <f>SUMIFS('Full month Pivot'!E:E, 'Full month Pivot'!$A:$A, "Trả Góp Apple", 'Full month Pivot'!$C:$C, $B44)</f>
        <v/>
      </c>
      <c r="M44" s="50">
        <f>SUMIFS('Full month Pivot'!F:F, 'Full month Pivot'!$A:$A, "Trả Góp Apple", 'Full month Pivot'!$C:$C, $B44)</f>
        <v/>
      </c>
      <c r="N44" s="50">
        <f>SUMIFS('Full month Pivot'!G:G, 'Full month Pivot'!$A:$A, "Trả Góp Apple", 'Full month Pivot'!$C:$C, $B44)</f>
        <v/>
      </c>
      <c r="O44" s="50">
        <f>SUMIFS('Full month Pivot'!H:H, 'Full month Pivot'!$A:$A, "Trả Góp Apple", 'Full month Pivot'!$C:$C, $B44)</f>
        <v/>
      </c>
      <c r="P44" s="50">
        <f>SUMIFS('Full month Pivot'!I:I, 'Full month Pivot'!$A:$A, "Trả Góp Apple", 'Full month Pivot'!$C:$C, $B44)</f>
        <v/>
      </c>
      <c r="Q44" s="50">
        <f>P44-O44</f>
        <v/>
      </c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</row>
    <row r="45">
      <c r="A45" s="164" t="n"/>
      <c r="B45" s="164" t="inlineStr">
        <is>
          <t>Direct</t>
        </is>
      </c>
      <c r="C45" s="164">
        <f>SUMIFS('MTD Pivot'!D:D, 'MTD Pivot'!$A:$A, "Trả Góp Apple", 'MTD Pivot'!$C:$C, $B45)</f>
        <v/>
      </c>
      <c r="D45" s="164">
        <f>SUMIFS('MTD Pivot'!E:E, 'MTD Pivot'!$A:$A, "Trả Góp Apple", 'MTD Pivot'!$C:$C, $B45)</f>
        <v/>
      </c>
      <c r="E45" s="164">
        <f>SUMIFS('MTD Pivot'!F:F, 'MTD Pivot'!$A:$A, "Trả Góp Apple", 'MTD Pivot'!$C:$C, $B45)</f>
        <v/>
      </c>
      <c r="F45" s="164">
        <f>SUMIFS('MTD Pivot'!G:G, 'MTD Pivot'!$A:$A, "Trả Góp Apple", 'MTD Pivot'!$C:$C, $B45)</f>
        <v/>
      </c>
      <c r="G45" s="164">
        <f>SUMIFS('MTD Pivot'!H:H, 'MTD Pivot'!$A:$A, "Trả Góp Apple", 'MTD Pivot'!$C:$C, $B45)</f>
        <v/>
      </c>
      <c r="H45" s="164">
        <f>SUMIFS('MTD Pivot'!I:I, 'MTD Pivot'!$A:$A, "Trả Góp Apple", 'MTD Pivot'!$C:$C, $B45)</f>
        <v/>
      </c>
      <c r="I45" s="164">
        <f>H45-G45</f>
        <v/>
      </c>
      <c r="J45" s="162" t="n"/>
      <c r="K45" s="50">
        <f>SUMIFS('Full month Pivot'!D:D, 'Full month Pivot'!$A:$A, "Trả Góp Apple", 'Full month Pivot'!$C:$C, $B45)</f>
        <v/>
      </c>
      <c r="L45" s="50">
        <f>SUMIFS('Full month Pivot'!E:E, 'Full month Pivot'!$A:$A, "Trả Góp Apple", 'Full month Pivot'!$C:$C, $B45)</f>
        <v/>
      </c>
      <c r="M45" s="50">
        <f>SUMIFS('Full month Pivot'!F:F, 'Full month Pivot'!$A:$A, "Trả Góp Apple", 'Full month Pivot'!$C:$C, $B45)</f>
        <v/>
      </c>
      <c r="N45" s="50">
        <f>SUMIFS('Full month Pivot'!G:G, 'Full month Pivot'!$A:$A, "Trả Góp Apple", 'Full month Pivot'!$C:$C, $B45)</f>
        <v/>
      </c>
      <c r="O45" s="50">
        <f>SUMIFS('Full month Pivot'!H:H, 'Full month Pivot'!$A:$A, "Trả Góp Apple", 'Full month Pivot'!$C:$C, $B45)</f>
        <v/>
      </c>
      <c r="P45" s="50">
        <f>SUMIFS('Full month Pivot'!I:I, 'Full month Pivot'!$A:$A, "Trả Góp Apple", 'Full month Pivot'!$C:$C, $B45)</f>
        <v/>
      </c>
      <c r="Q45" s="50">
        <f>P45-O45</f>
        <v/>
      </c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</row>
    <row r="46">
      <c r="A46" s="164" t="n"/>
      <c r="B46" s="164" t="inlineStr">
        <is>
          <t>Referral</t>
        </is>
      </c>
      <c r="C46" s="164">
        <f>SUMIFS('MTD Pivot'!D:D, 'MTD Pivot'!$A:$A, "Trả Góp Apple", 'MTD Pivot'!$C:$C, $B46)</f>
        <v/>
      </c>
      <c r="D46" s="164">
        <f>SUMIFS('MTD Pivot'!E:E, 'MTD Pivot'!$A:$A, "Trả Góp Apple", 'MTD Pivot'!$C:$C, $B46)</f>
        <v/>
      </c>
      <c r="E46" s="164">
        <f>SUMIFS('MTD Pivot'!F:F, 'MTD Pivot'!$A:$A, "Trả Góp Apple", 'MTD Pivot'!$C:$C, $B46)</f>
        <v/>
      </c>
      <c r="F46" s="164">
        <f>SUMIFS('MTD Pivot'!G:G, 'MTD Pivot'!$A:$A, "Trả Góp Apple", 'MTD Pivot'!$C:$C, $B46)</f>
        <v/>
      </c>
      <c r="G46" s="164">
        <f>SUMIFS('MTD Pivot'!H:H, 'MTD Pivot'!$A:$A, "Trả Góp Apple", 'MTD Pivot'!$C:$C, $B46)</f>
        <v/>
      </c>
      <c r="H46" s="164">
        <f>SUMIFS('MTD Pivot'!I:I, 'MTD Pivot'!$A:$A, "Trả Góp Apple", 'MTD Pivot'!$C:$C, $B46)</f>
        <v/>
      </c>
      <c r="I46" s="164">
        <f>H46-G46</f>
        <v/>
      </c>
      <c r="J46" s="162" t="n"/>
      <c r="K46" s="50">
        <f>SUMIFS('Full month Pivot'!D:D, 'Full month Pivot'!$A:$A, "Trả Góp Apple", 'Full month Pivot'!$C:$C, $B46)</f>
        <v/>
      </c>
      <c r="L46" s="50">
        <f>SUMIFS('Full month Pivot'!E:E, 'Full month Pivot'!$A:$A, "Trả Góp Apple", 'Full month Pivot'!$C:$C, $B46)</f>
        <v/>
      </c>
      <c r="M46" s="50">
        <f>SUMIFS('Full month Pivot'!F:F, 'Full month Pivot'!$A:$A, "Trả Góp Apple", 'Full month Pivot'!$C:$C, $B46)</f>
        <v/>
      </c>
      <c r="N46" s="50">
        <f>SUMIFS('Full month Pivot'!G:G, 'Full month Pivot'!$A:$A, "Trả Góp Apple", 'Full month Pivot'!$C:$C, $B46)</f>
        <v/>
      </c>
      <c r="O46" s="50">
        <f>SUMIFS('Full month Pivot'!H:H, 'Full month Pivot'!$A:$A, "Trả Góp Apple", 'Full month Pivot'!$C:$C, $B46)</f>
        <v/>
      </c>
      <c r="P46" s="50">
        <f>SUMIFS('Full month Pivot'!I:I, 'Full month Pivot'!$A:$A, "Trả Góp Apple", 'Full month Pivot'!$C:$C, $B46)</f>
        <v/>
      </c>
      <c r="Q46" s="50">
        <f>P46-O46</f>
        <v/>
      </c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</row>
    <row r="47">
      <c r="A47" s="164" t="n"/>
      <c r="B47" s="164" t="inlineStr">
        <is>
          <t>Paid</t>
        </is>
      </c>
      <c r="C47" s="164">
        <f>SUMIFS('MTD Pivot'!D:D, 'MTD Pivot'!$A:$A, "Trả Góp Apple", 'MTD Pivot'!$C:$C, $B47)</f>
        <v/>
      </c>
      <c r="D47" s="164">
        <f>SUMIFS('MTD Pivot'!E:E, 'MTD Pivot'!$A:$A, "Trả Góp Apple", 'MTD Pivot'!$C:$C, $B47)</f>
        <v/>
      </c>
      <c r="E47" s="164">
        <f>SUMIFS('MTD Pivot'!F:F, 'MTD Pivot'!$A:$A, "Trả Góp Apple", 'MTD Pivot'!$C:$C, $B47)</f>
        <v/>
      </c>
      <c r="F47" s="164">
        <f>SUMIFS('MTD Pivot'!G:G, 'MTD Pivot'!$A:$A, "Trả Góp Apple", 'MTD Pivot'!$C:$C, $B47)</f>
        <v/>
      </c>
      <c r="G47" s="164">
        <f>SUMIFS('MTD Pivot'!H:H, 'MTD Pivot'!$A:$A, "Trả Góp Apple", 'MTD Pivot'!$C:$C, $B47)</f>
        <v/>
      </c>
      <c r="H47" s="164">
        <f>SUMIFS('MTD Pivot'!I:I, 'MTD Pivot'!$A:$A, "Trả Góp Apple", 'MTD Pivot'!$C:$C, $B47)</f>
        <v/>
      </c>
      <c r="I47" s="164">
        <f>H47-G47</f>
        <v/>
      </c>
      <c r="J47" s="162" t="n"/>
      <c r="K47" s="50">
        <f>SUMIFS('Full month Pivot'!D:D, 'Full month Pivot'!$A:$A, "Trả Góp Apple", 'Full month Pivot'!$C:$C, $B47)</f>
        <v/>
      </c>
      <c r="L47" s="50">
        <f>SUMIFS('Full month Pivot'!E:E, 'Full month Pivot'!$A:$A, "Trả Góp Apple", 'Full month Pivot'!$C:$C, $B47)</f>
        <v/>
      </c>
      <c r="M47" s="50">
        <f>SUMIFS('Full month Pivot'!F:F, 'Full month Pivot'!$A:$A, "Trả Góp Apple", 'Full month Pivot'!$C:$C, $B47)</f>
        <v/>
      </c>
      <c r="N47" s="50">
        <f>SUMIFS('Full month Pivot'!G:G, 'Full month Pivot'!$A:$A, "Trả Góp Apple", 'Full month Pivot'!$C:$C, $B47)</f>
        <v/>
      </c>
      <c r="O47" s="50">
        <f>SUMIFS('Full month Pivot'!H:H, 'Full month Pivot'!$A:$A, "Trả Góp Apple", 'Full month Pivot'!$C:$C, $B47)</f>
        <v/>
      </c>
      <c r="P47" s="50">
        <f>SUMIFS('Full month Pivot'!I:I, 'Full month Pivot'!$A:$A, "Trả Góp Apple", 'Full month Pivot'!$C:$C, $B47)</f>
        <v/>
      </c>
      <c r="Q47" s="50">
        <f>P47-O47</f>
        <v/>
      </c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</row>
    <row r="48">
      <c r="A48" s="164" t="n"/>
      <c r="B48" s="164" t="inlineStr">
        <is>
          <t>Others</t>
        </is>
      </c>
      <c r="C48" s="164">
        <f>SUMIFS('MTD Pivot'!D:D, 'MTD Pivot'!$A:$A, "Trả Góp Apple", 'MTD Pivot'!$C:$C, $B48)</f>
        <v/>
      </c>
      <c r="D48" s="164">
        <f>SUMIFS('MTD Pivot'!E:E, 'MTD Pivot'!$A:$A, "Trả Góp Apple", 'MTD Pivot'!$C:$C, $B48)</f>
        <v/>
      </c>
      <c r="E48" s="164">
        <f>SUMIFS('MTD Pivot'!F:F, 'MTD Pivot'!$A:$A, "Trả Góp Apple", 'MTD Pivot'!$C:$C, $B48)</f>
        <v/>
      </c>
      <c r="F48" s="164">
        <f>SUMIFS('MTD Pivot'!G:G, 'MTD Pivot'!$A:$A, "Trả Góp Apple", 'MTD Pivot'!$C:$C, $B48)</f>
        <v/>
      </c>
      <c r="G48" s="164">
        <f>SUMIFS('MTD Pivot'!H:H, 'MTD Pivot'!$A:$A, "Trả Góp Apple", 'MTD Pivot'!$C:$C, $B48)</f>
        <v/>
      </c>
      <c r="H48" s="164">
        <f>SUMIFS('MTD Pivot'!I:I, 'MTD Pivot'!$A:$A, "Trả Góp Apple", 'MTD Pivot'!$C:$C, $B48)</f>
        <v/>
      </c>
      <c r="I48" s="164">
        <f>H48-G48</f>
        <v/>
      </c>
      <c r="J48" s="162" t="n"/>
      <c r="K48" s="50">
        <f>SUMIFS('Full month Pivot'!D:D, 'Full month Pivot'!$A:$A, "Trả Góp Apple", 'Full month Pivot'!$C:$C, $B48)</f>
        <v/>
      </c>
      <c r="L48" s="50">
        <f>SUMIFS('Full month Pivot'!E:E, 'Full month Pivot'!$A:$A, "Trả Góp Apple", 'Full month Pivot'!$C:$C, $B48)</f>
        <v/>
      </c>
      <c r="M48" s="50">
        <f>SUMIFS('Full month Pivot'!F:F, 'Full month Pivot'!$A:$A, "Trả Góp Apple", 'Full month Pivot'!$C:$C, $B48)</f>
        <v/>
      </c>
      <c r="N48" s="50">
        <f>SUMIFS('Full month Pivot'!G:G, 'Full month Pivot'!$A:$A, "Trả Góp Apple", 'Full month Pivot'!$C:$C, $B48)</f>
        <v/>
      </c>
      <c r="O48" s="50">
        <f>SUMIFS('Full month Pivot'!H:H, 'Full month Pivot'!$A:$A, "Trả Góp Apple", 'Full month Pivot'!$C:$C, $B48)</f>
        <v/>
      </c>
      <c r="P48" s="50">
        <f>SUMIFS('Full month Pivot'!I:I, 'Full month Pivot'!$A:$A, "Trả Góp Apple", 'Full month Pivot'!$C:$C, $B48)</f>
        <v/>
      </c>
      <c r="Q48" s="50">
        <f>P48-O48</f>
        <v/>
      </c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2" t="n"/>
      <c r="K49" s="169" t="n"/>
      <c r="L49" s="169" t="n"/>
      <c r="M49" s="169" t="n"/>
      <c r="N49" s="169" t="n"/>
      <c r="O49" s="169" t="n"/>
      <c r="P49" s="169" t="n"/>
      <c r="Q49" s="16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</row>
    <row r="50">
      <c r="A50" s="157" t="inlineStr">
        <is>
          <t>Chứng Khoán</t>
        </is>
      </c>
      <c r="B50" s="157" t="n"/>
      <c r="C50" s="157">
        <f>sum(C51:C55)</f>
        <v/>
      </c>
      <c r="D50" s="157">
        <f>sum(D51:D55)</f>
        <v/>
      </c>
      <c r="E50" s="157">
        <f>sum(E51:E55)</f>
        <v/>
      </c>
      <c r="F50" s="157">
        <f>sum(F51:F55)</f>
        <v/>
      </c>
      <c r="G50" s="157">
        <f>sum(G51:G55)</f>
        <v/>
      </c>
      <c r="H50" s="157">
        <f>sum(H51:H55)</f>
        <v/>
      </c>
      <c r="I50" s="164">
        <f>H50-G50</f>
        <v/>
      </c>
      <c r="J50" s="166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0">
        <f>P50-O50</f>
        <v/>
      </c>
      <c r="R50" s="157" t="n"/>
      <c r="S50" s="157" t="n"/>
      <c r="T50" s="157" t="n"/>
      <c r="U50" s="157" t="n"/>
      <c r="V50" s="157" t="n"/>
      <c r="W50" s="157" t="n"/>
      <c r="X50" s="157" t="n"/>
      <c r="Y50" s="157" t="n"/>
      <c r="Z50" s="157" t="n"/>
      <c r="AA50" s="157" t="n"/>
    </row>
    <row r="51">
      <c r="A51" s="164" t="n"/>
      <c r="B51" s="164" t="inlineStr">
        <is>
          <t>Organic</t>
        </is>
      </c>
      <c r="C51" s="164">
        <f>SUMIFS('MTD Pivot'!D:D, 'MTD Pivot'!$A:$A, "Chứng Khoán", 'MTD Pivot'!$C:$C, $B51)</f>
        <v/>
      </c>
      <c r="D51" s="164">
        <f>SUMIFS('MTD Pivot'!E:E, 'MTD Pivot'!$A:$A, "Chứng Khoán", 'MTD Pivot'!$C:$C, $B51)</f>
        <v/>
      </c>
      <c r="E51" s="164">
        <f>SUMIFS('MTD Pivot'!F:F, 'MTD Pivot'!$A:$A, "Chứng Khoán", 'MTD Pivot'!$C:$C, $B51)</f>
        <v/>
      </c>
      <c r="F51" s="164">
        <f>SUMIFS('MTD Pivot'!G:G, 'MTD Pivot'!$A:$A, "Chứng Khoán", 'MTD Pivot'!$C:$C, $B51)</f>
        <v/>
      </c>
      <c r="G51" s="164">
        <f>SUMIFS('MTD Pivot'!H:H, 'MTD Pivot'!$A:$A, "Chứng Khoán", 'MTD Pivot'!$C:$C, $B51)</f>
        <v/>
      </c>
      <c r="H51" s="164">
        <f>SUMIFS('MTD Pivot'!I:I, 'MTD Pivot'!$A:$A, "Chứng Khoán", 'MTD Pivot'!$C:$C, $B51)</f>
        <v/>
      </c>
      <c r="I51" s="164">
        <f>H51-G51</f>
        <v/>
      </c>
      <c r="J51" s="162" t="n"/>
      <c r="K51" s="50">
        <f>SUMIFS('Full month Pivot'!D:D, 'Full month Pivot'!$A:$A, "Chứng Khoán", 'Full month Pivot'!$C:$C, $B51)</f>
        <v/>
      </c>
      <c r="L51" s="50">
        <f>SUMIFS('Full month Pivot'!E:E, 'Full month Pivot'!$A:$A, "Chứng Khoán", 'Full month Pivot'!$C:$C, $B51)</f>
        <v/>
      </c>
      <c r="M51" s="50">
        <f>SUMIFS('Full month Pivot'!F:F, 'Full month Pivot'!$A:$A, "Chứng Khoán", 'Full month Pivot'!$C:$C, $B51)</f>
        <v/>
      </c>
      <c r="N51" s="50">
        <f>SUMIFS('Full month Pivot'!G:G, 'Full month Pivot'!$A:$A, "Chứng Khoán", 'Full month Pivot'!$C:$C, $B51)</f>
        <v/>
      </c>
      <c r="O51" s="50">
        <f>SUMIFS('Full month Pivot'!H:H, 'Full month Pivot'!$A:$A, "Chứng Khoán", 'Full month Pivot'!$C:$C, $B51)</f>
        <v/>
      </c>
      <c r="P51" s="50">
        <f>SUMIFS('Full month Pivot'!I:I, 'Full month Pivot'!$A:$A, "Chứng Khoán", 'Full month Pivot'!$C:$C, $B51)</f>
        <v/>
      </c>
      <c r="Q51" s="50">
        <f>P51-O51</f>
        <v/>
      </c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</row>
    <row r="52">
      <c r="A52" s="164" t="n"/>
      <c r="B52" s="164" t="inlineStr">
        <is>
          <t>Referral</t>
        </is>
      </c>
      <c r="C52" s="164">
        <f>SUMIFS('MTD Pivot'!D:D, 'MTD Pivot'!$A:$A, "Chứng Khoán", 'MTD Pivot'!$C:$C, $B52)</f>
        <v/>
      </c>
      <c r="D52" s="164">
        <f>SUMIFS('MTD Pivot'!E:E, 'MTD Pivot'!$A:$A, "Chứng Khoán", 'MTD Pivot'!$C:$C, $B52)</f>
        <v/>
      </c>
      <c r="E52" s="164">
        <f>SUMIFS('MTD Pivot'!F:F, 'MTD Pivot'!$A:$A, "Chứng Khoán", 'MTD Pivot'!$C:$C, $B52)</f>
        <v/>
      </c>
      <c r="F52" s="164">
        <f>SUMIFS('MTD Pivot'!G:G, 'MTD Pivot'!$A:$A, "Chứng Khoán", 'MTD Pivot'!$C:$C, $B52)</f>
        <v/>
      </c>
      <c r="G52" s="164">
        <f>SUMIFS('MTD Pivot'!H:H, 'MTD Pivot'!$A:$A, "Chứng Khoán", 'MTD Pivot'!$C:$C, $B52)</f>
        <v/>
      </c>
      <c r="H52" s="164">
        <f>SUMIFS('MTD Pivot'!I:I, 'MTD Pivot'!$A:$A, "Chứng Khoán", 'MTD Pivot'!$C:$C, $B52)</f>
        <v/>
      </c>
      <c r="I52" s="164">
        <f>H52-G52</f>
        <v/>
      </c>
      <c r="J52" s="162" t="n"/>
      <c r="K52" s="50">
        <f>SUMIFS('Full month Pivot'!D:D, 'Full month Pivot'!$A:$A, "Chứng Khoán", 'Full month Pivot'!$C:$C, $B52)</f>
        <v/>
      </c>
      <c r="L52" s="50">
        <f>SUMIFS('Full month Pivot'!E:E, 'Full month Pivot'!$A:$A, "Chứng Khoán", 'Full month Pivot'!$C:$C, $B52)</f>
        <v/>
      </c>
      <c r="M52" s="50">
        <f>SUMIFS('Full month Pivot'!F:F, 'Full month Pivot'!$A:$A, "Chứng Khoán", 'Full month Pivot'!$C:$C, $B52)</f>
        <v/>
      </c>
      <c r="N52" s="50">
        <f>SUMIFS('Full month Pivot'!G:G, 'Full month Pivot'!$A:$A, "Chứng Khoán", 'Full month Pivot'!$C:$C, $B52)</f>
        <v/>
      </c>
      <c r="O52" s="50">
        <f>SUMIFS('Full month Pivot'!H:H, 'Full month Pivot'!$A:$A, "Chứng Khoán", 'Full month Pivot'!$C:$C, $B52)</f>
        <v/>
      </c>
      <c r="P52" s="50">
        <f>SUMIFS('Full month Pivot'!I:I, 'Full month Pivot'!$A:$A, "Chứng Khoán", 'Full month Pivot'!$C:$C, $B52)</f>
        <v/>
      </c>
      <c r="Q52" s="50">
        <f>P52-O52</f>
        <v/>
      </c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</row>
    <row r="53">
      <c r="A53" s="164" t="n"/>
      <c r="B53" s="164" t="inlineStr">
        <is>
          <t>Direct</t>
        </is>
      </c>
      <c r="C53" s="164">
        <f>SUMIFS('MTD Pivot'!D:D, 'MTD Pivot'!$A:$A, "Chứng Khoán", 'MTD Pivot'!$C:$C, $B53)</f>
        <v/>
      </c>
      <c r="D53" s="164">
        <f>SUMIFS('MTD Pivot'!E:E, 'MTD Pivot'!$A:$A, "Chứng Khoán", 'MTD Pivot'!$C:$C, $B53)</f>
        <v/>
      </c>
      <c r="E53" s="164">
        <f>SUMIFS('MTD Pivot'!F:F, 'MTD Pivot'!$A:$A, "Chứng Khoán", 'MTD Pivot'!$C:$C, $B53)</f>
        <v/>
      </c>
      <c r="F53" s="164">
        <f>SUMIFS('MTD Pivot'!G:G, 'MTD Pivot'!$A:$A, "Chứng Khoán", 'MTD Pivot'!$C:$C, $B53)</f>
        <v/>
      </c>
      <c r="G53" s="164">
        <f>SUMIFS('MTD Pivot'!H:H, 'MTD Pivot'!$A:$A, "Chứng Khoán", 'MTD Pivot'!$C:$C, $B53)</f>
        <v/>
      </c>
      <c r="H53" s="164">
        <f>SUMIFS('MTD Pivot'!I:I, 'MTD Pivot'!$A:$A, "Chứng Khoán", 'MTD Pivot'!$C:$C, $B53)</f>
        <v/>
      </c>
      <c r="I53" s="164">
        <f>H53-G53</f>
        <v/>
      </c>
      <c r="J53" s="162" t="n"/>
      <c r="K53" s="50">
        <f>SUMIFS('Full month Pivot'!D:D, 'Full month Pivot'!$A:$A, "Chứng Khoán", 'Full month Pivot'!$C:$C, $B53)</f>
        <v/>
      </c>
      <c r="L53" s="50">
        <f>SUMIFS('Full month Pivot'!E:E, 'Full month Pivot'!$A:$A, "Chứng Khoán", 'Full month Pivot'!$C:$C, $B53)</f>
        <v/>
      </c>
      <c r="M53" s="50">
        <f>SUMIFS('Full month Pivot'!F:F, 'Full month Pivot'!$A:$A, "Chứng Khoán", 'Full month Pivot'!$C:$C, $B53)</f>
        <v/>
      </c>
      <c r="N53" s="50">
        <f>SUMIFS('Full month Pivot'!G:G, 'Full month Pivot'!$A:$A, "Chứng Khoán", 'Full month Pivot'!$C:$C, $B53)</f>
        <v/>
      </c>
      <c r="O53" s="50">
        <f>SUMIFS('Full month Pivot'!H:H, 'Full month Pivot'!$A:$A, "Chứng Khoán", 'Full month Pivot'!$C:$C, $B53)</f>
        <v/>
      </c>
      <c r="P53" s="50">
        <f>SUMIFS('Full month Pivot'!I:I, 'Full month Pivot'!$A:$A, "Chứng Khoán", 'Full month Pivot'!$C:$C, $B53)</f>
        <v/>
      </c>
      <c r="Q53" s="50">
        <f>P53-O53</f>
        <v/>
      </c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</row>
    <row r="54">
      <c r="A54" s="164" t="n"/>
      <c r="B54" s="164" t="inlineStr">
        <is>
          <t>Others</t>
        </is>
      </c>
      <c r="C54" s="164">
        <f>SUMIFS('MTD Pivot'!D:D, 'MTD Pivot'!$A:$A, "Chứng Khoán", 'MTD Pivot'!$C:$C, $B54)</f>
        <v/>
      </c>
      <c r="D54" s="164">
        <f>SUMIFS('MTD Pivot'!E:E, 'MTD Pivot'!$A:$A, "Chứng Khoán", 'MTD Pivot'!$C:$C, $B54)</f>
        <v/>
      </c>
      <c r="E54" s="164">
        <f>SUMIFS('MTD Pivot'!F:F, 'MTD Pivot'!$A:$A, "Chứng Khoán", 'MTD Pivot'!$C:$C, $B54)</f>
        <v/>
      </c>
      <c r="F54" s="164">
        <f>SUMIFS('MTD Pivot'!G:G, 'MTD Pivot'!$A:$A, "Chứng Khoán", 'MTD Pivot'!$C:$C, $B54)</f>
        <v/>
      </c>
      <c r="G54" s="164">
        <f>SUMIFS('MTD Pivot'!H:H, 'MTD Pivot'!$A:$A, "Chứng Khoán", 'MTD Pivot'!$C:$C, $B54)</f>
        <v/>
      </c>
      <c r="H54" s="164">
        <f>SUMIFS('MTD Pivot'!I:I, 'MTD Pivot'!$A:$A, "Chứng Khoán", 'MTD Pivot'!$C:$C, $B54)</f>
        <v/>
      </c>
      <c r="I54" s="164">
        <f>H54-G54</f>
        <v/>
      </c>
      <c r="J54" s="162" t="n"/>
      <c r="K54" s="50">
        <f>SUMIFS('Full month Pivot'!D:D, 'Full month Pivot'!$A:$A, "Chứng Khoán", 'Full month Pivot'!$C:$C, $B54)</f>
        <v/>
      </c>
      <c r="L54" s="50">
        <f>SUMIFS('Full month Pivot'!E:E, 'Full month Pivot'!$A:$A, "Chứng Khoán", 'Full month Pivot'!$C:$C, $B54)</f>
        <v/>
      </c>
      <c r="M54" s="50">
        <f>SUMIFS('Full month Pivot'!F:F, 'Full month Pivot'!$A:$A, "Chứng Khoán", 'Full month Pivot'!$C:$C, $B54)</f>
        <v/>
      </c>
      <c r="N54" s="50">
        <f>SUMIFS('Full month Pivot'!G:G, 'Full month Pivot'!$A:$A, "Chứng Khoán", 'Full month Pivot'!$C:$C, $B54)</f>
        <v/>
      </c>
      <c r="O54" s="50">
        <f>SUMIFS('Full month Pivot'!H:H, 'Full month Pivot'!$A:$A, "Chứng Khoán", 'Full month Pivot'!$C:$C, $B54)</f>
        <v/>
      </c>
      <c r="P54" s="50">
        <f>SUMIFS('Full month Pivot'!I:I, 'Full month Pivot'!$A:$A, "Chứng Khoán", 'Full month Pivot'!$C:$C, $B54)</f>
        <v/>
      </c>
      <c r="Q54" s="50">
        <f>P54-O54</f>
        <v/>
      </c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</row>
    <row r="55">
      <c r="A55" s="164" t="n"/>
      <c r="B55" s="164" t="inlineStr">
        <is>
          <t>Paid</t>
        </is>
      </c>
      <c r="C55" s="164">
        <f>SUMIFS('MTD Pivot'!D:D, 'MTD Pivot'!$A:$A, "Chứng Khoán", 'MTD Pivot'!$C:$C, $B55)</f>
        <v/>
      </c>
      <c r="D55" s="164">
        <f>SUMIFS('MTD Pivot'!E:E, 'MTD Pivot'!$A:$A, "Chứng Khoán", 'MTD Pivot'!$C:$C, $B55)</f>
        <v/>
      </c>
      <c r="E55" s="164">
        <f>SUMIFS('MTD Pivot'!F:F, 'MTD Pivot'!$A:$A, "Chứng Khoán", 'MTD Pivot'!$C:$C, $B55)</f>
        <v/>
      </c>
      <c r="F55" s="164">
        <f>SUMIFS('MTD Pivot'!G:G, 'MTD Pivot'!$A:$A, "Chứng Khoán", 'MTD Pivot'!$C:$C, $B55)</f>
        <v/>
      </c>
      <c r="G55" s="164">
        <f>SUMIFS('MTD Pivot'!H:H, 'MTD Pivot'!$A:$A, "Chứng Khoán", 'MTD Pivot'!$C:$C, $B55)</f>
        <v/>
      </c>
      <c r="H55" s="164">
        <f>SUMIFS('MTD Pivot'!I:I, 'MTD Pivot'!$A:$A, "Chứng Khoán", 'MTD Pivot'!$C:$C, $B55)</f>
        <v/>
      </c>
      <c r="I55" s="164">
        <f>H55-G55</f>
        <v/>
      </c>
      <c r="J55" s="162" t="n"/>
      <c r="K55" s="50">
        <f>SUMIFS('Full month Pivot'!D:D, 'Full month Pivot'!$A:$A, "Chứng Khoán", 'Full month Pivot'!$C:$C, $B55)</f>
        <v/>
      </c>
      <c r="L55" s="50">
        <f>SUMIFS('Full month Pivot'!E:E, 'Full month Pivot'!$A:$A, "Chứng Khoán", 'Full month Pivot'!$C:$C, $B55)</f>
        <v/>
      </c>
      <c r="M55" s="50">
        <f>SUMIFS('Full month Pivot'!F:F, 'Full month Pivot'!$A:$A, "Chứng Khoán", 'Full month Pivot'!$C:$C, $B55)</f>
        <v/>
      </c>
      <c r="N55" s="50">
        <f>SUMIFS('Full month Pivot'!G:G, 'Full month Pivot'!$A:$A, "Chứng Khoán", 'Full month Pivot'!$C:$C, $B55)</f>
        <v/>
      </c>
      <c r="O55" s="50">
        <f>SUMIFS('Full month Pivot'!H:H, 'Full month Pivot'!$A:$A, "Chứng Khoán", 'Full month Pivot'!$C:$C, $B55)</f>
        <v/>
      </c>
      <c r="P55" s="50">
        <f>SUMIFS('Full month Pivot'!I:I, 'Full month Pivot'!$A:$A, "Chứng Khoán", 'Full month Pivot'!$C:$C, $B55)</f>
        <v/>
      </c>
      <c r="Q55" s="50">
        <f>P55-O55</f>
        <v/>
      </c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2" t="n"/>
      <c r="K56" s="158" t="n"/>
      <c r="L56" s="158" t="n"/>
      <c r="M56" s="158" t="n"/>
      <c r="N56" s="158" t="n"/>
      <c r="O56" s="158" t="n"/>
      <c r="P56" s="158" t="n"/>
      <c r="Q56" s="16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</row>
    <row r="57">
      <c r="A57" s="157" t="inlineStr">
        <is>
          <t>Tiết Kiệm Online</t>
        </is>
      </c>
      <c r="B57" s="157" t="n"/>
      <c r="C57" s="157">
        <f>sum(C58:C62)</f>
        <v/>
      </c>
      <c r="D57" s="157">
        <f>sum(D58:D62)</f>
        <v/>
      </c>
      <c r="E57" s="157">
        <f>sum(E58:E62)</f>
        <v/>
      </c>
      <c r="F57" s="157">
        <f>sum(F58:F62)</f>
        <v/>
      </c>
      <c r="G57" s="157">
        <f>sum(G58:G62)</f>
        <v/>
      </c>
      <c r="H57" s="157">
        <f>sum(H58:H62)</f>
        <v/>
      </c>
      <c r="I57" s="164">
        <f>H57-G57</f>
        <v/>
      </c>
      <c r="J57" s="166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0">
        <f>P57-O57</f>
        <v/>
      </c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</row>
    <row r="58">
      <c r="A58" s="164" t="n"/>
      <c r="B58" s="164" t="inlineStr">
        <is>
          <t>Organic</t>
        </is>
      </c>
      <c r="C58" s="164">
        <f>SUMIFS('MTD Pivot'!D:D, 'MTD Pivot'!$A:$A, "Tiết Kiệm Online", 'MTD Pivot'!$C:$C, $B58)</f>
        <v/>
      </c>
      <c r="D58" s="164">
        <f>SUMIFS('MTD Pivot'!E:E, 'MTD Pivot'!$A:$A, "Tiết Kiệm Online", 'MTD Pivot'!$C:$C, $B58)</f>
        <v/>
      </c>
      <c r="E58" s="164">
        <f>SUMIFS('MTD Pivot'!F:F, 'MTD Pivot'!$A:$A, "Tiết Kiệm Online", 'MTD Pivot'!$C:$C, $B58)</f>
        <v/>
      </c>
      <c r="F58" s="164">
        <f>SUMIFS('MTD Pivot'!G:G, 'MTD Pivot'!$A:$A, "Tiết Kiệm Online", 'MTD Pivot'!$C:$C, $B58)</f>
        <v/>
      </c>
      <c r="G58" s="164">
        <f>SUMIFS('MTD Pivot'!H:H, 'MTD Pivot'!$A:$A, "Tiết Kiệm Online", 'MTD Pivot'!$C:$C, $B58)</f>
        <v/>
      </c>
      <c r="H58" s="164">
        <f>SUMIFS('MTD Pivot'!I:I, 'MTD Pivot'!$A:$A, "Tiết Kiệm Online", 'MTD Pivot'!$C:$C, $B58)</f>
        <v/>
      </c>
      <c r="I58" s="164">
        <f>H58-G58</f>
        <v/>
      </c>
      <c r="J58" s="162" t="n"/>
      <c r="K58" s="50">
        <f>SUMIFS('Full month Pivot'!D:D, 'Full month Pivot'!$A:$A, "Tiết Kiệm Online", 'Full month Pivot'!$C:$C, $B58)</f>
        <v/>
      </c>
      <c r="L58" s="50">
        <f>SUMIFS('Full month Pivot'!E:E, 'Full month Pivot'!$A:$A, "Tiết Kiệm Online", 'Full month Pivot'!$C:$C, $B58)</f>
        <v/>
      </c>
      <c r="M58" s="50">
        <f>SUMIFS('Full month Pivot'!F:F, 'Full month Pivot'!$A:$A, "Tiết Kiệm Online", 'Full month Pivot'!$C:$C, $B58)</f>
        <v/>
      </c>
      <c r="N58" s="50">
        <f>SUMIFS('Full month Pivot'!G:G, 'Full month Pivot'!$A:$A, "Tiết Kiệm Online", 'Full month Pivot'!$C:$C, $B58)</f>
        <v/>
      </c>
      <c r="O58" s="50">
        <f>SUMIFS('Full month Pivot'!H:H, 'Full month Pivot'!$A:$A, "Tiết Kiệm Online", 'Full month Pivot'!$C:$C, $B58)</f>
        <v/>
      </c>
      <c r="P58" s="50">
        <f>SUMIFS('Full month Pivot'!I:I, 'Full month Pivot'!$A:$A, "Tiết Kiệm Online", 'Full month Pivot'!$C:$C, $B58)</f>
        <v/>
      </c>
      <c r="Q58" s="50">
        <f>P58-O58</f>
        <v/>
      </c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</row>
    <row r="59">
      <c r="A59" s="164" t="n"/>
      <c r="B59" s="164" t="inlineStr">
        <is>
          <t>Referral</t>
        </is>
      </c>
      <c r="C59" s="164">
        <f>SUMIFS('MTD Pivot'!D:D, 'MTD Pivot'!$A:$A, "Tiết Kiệm Online", 'MTD Pivot'!$C:$C, $B59)</f>
        <v/>
      </c>
      <c r="D59" s="164">
        <f>SUMIFS('MTD Pivot'!E:E, 'MTD Pivot'!$A:$A, "Tiết Kiệm Online", 'MTD Pivot'!$C:$C, $B59)</f>
        <v/>
      </c>
      <c r="E59" s="164">
        <f>SUMIFS('MTD Pivot'!F:F, 'MTD Pivot'!$A:$A, "Tiết Kiệm Online", 'MTD Pivot'!$C:$C, $B59)</f>
        <v/>
      </c>
      <c r="F59" s="164">
        <f>SUMIFS('MTD Pivot'!G:G, 'MTD Pivot'!$A:$A, "Tiết Kiệm Online", 'MTD Pivot'!$C:$C, $B59)</f>
        <v/>
      </c>
      <c r="G59" s="164">
        <f>SUMIFS('MTD Pivot'!H:H, 'MTD Pivot'!$A:$A, "Tiết Kiệm Online", 'MTD Pivot'!$C:$C, $B59)</f>
        <v/>
      </c>
      <c r="H59" s="164">
        <f>SUMIFS('MTD Pivot'!I:I, 'MTD Pivot'!$A:$A, "Tiết Kiệm Online", 'MTD Pivot'!$C:$C, $B59)</f>
        <v/>
      </c>
      <c r="I59" s="164">
        <f>H59-G59</f>
        <v/>
      </c>
      <c r="J59" s="162" t="n"/>
      <c r="K59" s="50">
        <f>SUMIFS('Full month Pivot'!D:D, 'Full month Pivot'!$A:$A, "Tiết Kiệm Online", 'Full month Pivot'!$C:$C, $B59)</f>
        <v/>
      </c>
      <c r="L59" s="50">
        <f>SUMIFS('Full month Pivot'!E:E, 'Full month Pivot'!$A:$A, "Tiết Kiệm Online", 'Full month Pivot'!$C:$C, $B59)</f>
        <v/>
      </c>
      <c r="M59" s="50">
        <f>SUMIFS('Full month Pivot'!F:F, 'Full month Pivot'!$A:$A, "Tiết Kiệm Online", 'Full month Pivot'!$C:$C, $B59)</f>
        <v/>
      </c>
      <c r="N59" s="50">
        <f>SUMIFS('Full month Pivot'!G:G, 'Full month Pivot'!$A:$A, "Tiết Kiệm Online", 'Full month Pivot'!$C:$C, $B59)</f>
        <v/>
      </c>
      <c r="O59" s="50">
        <f>SUMIFS('Full month Pivot'!H:H, 'Full month Pivot'!$A:$A, "Tiết Kiệm Online", 'Full month Pivot'!$C:$C, $B59)</f>
        <v/>
      </c>
      <c r="P59" s="50">
        <f>SUMIFS('Full month Pivot'!I:I, 'Full month Pivot'!$A:$A, "Tiết Kiệm Online", 'Full month Pivot'!$C:$C, $B59)</f>
        <v/>
      </c>
      <c r="Q59" s="50">
        <f>P59-O59</f>
        <v/>
      </c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</row>
    <row r="60">
      <c r="A60" s="164" t="n"/>
      <c r="B60" s="164" t="inlineStr">
        <is>
          <t>Direct</t>
        </is>
      </c>
      <c r="C60" s="164">
        <f>SUMIFS('MTD Pivot'!D:D, 'MTD Pivot'!$A:$A, "Tiết Kiệm Online", 'MTD Pivot'!$C:$C, $B60)</f>
        <v/>
      </c>
      <c r="D60" s="164">
        <f>SUMIFS('MTD Pivot'!E:E, 'MTD Pivot'!$A:$A, "Tiết Kiệm Online", 'MTD Pivot'!$C:$C, $B60)</f>
        <v/>
      </c>
      <c r="E60" s="164">
        <f>SUMIFS('MTD Pivot'!F:F, 'MTD Pivot'!$A:$A, "Tiết Kiệm Online", 'MTD Pivot'!$C:$C, $B60)</f>
        <v/>
      </c>
      <c r="F60" s="164">
        <f>SUMIFS('MTD Pivot'!G:G, 'MTD Pivot'!$A:$A, "Tiết Kiệm Online", 'MTD Pivot'!$C:$C, $B60)</f>
        <v/>
      </c>
      <c r="G60" s="164">
        <f>SUMIFS('MTD Pivot'!H:H, 'MTD Pivot'!$A:$A, "Tiết Kiệm Online", 'MTD Pivot'!$C:$C, $B60)</f>
        <v/>
      </c>
      <c r="H60" s="164">
        <f>SUMIFS('MTD Pivot'!I:I, 'MTD Pivot'!$A:$A, "Tiết Kiệm Online", 'MTD Pivot'!$C:$C, $B60)</f>
        <v/>
      </c>
      <c r="I60" s="164">
        <f>H60-G60</f>
        <v/>
      </c>
      <c r="J60" s="162" t="n"/>
      <c r="K60" s="50">
        <f>SUMIFS('Full month Pivot'!D:D, 'Full month Pivot'!$A:$A, "Tiết Kiệm Online", 'Full month Pivot'!$C:$C, $B60)</f>
        <v/>
      </c>
      <c r="L60" s="50">
        <f>SUMIFS('Full month Pivot'!E:E, 'Full month Pivot'!$A:$A, "Tiết Kiệm Online", 'Full month Pivot'!$C:$C, $B60)</f>
        <v/>
      </c>
      <c r="M60" s="50">
        <f>SUMIFS('Full month Pivot'!F:F, 'Full month Pivot'!$A:$A, "Tiết Kiệm Online", 'Full month Pivot'!$C:$C, $B60)</f>
        <v/>
      </c>
      <c r="N60" s="50">
        <f>SUMIFS('Full month Pivot'!G:G, 'Full month Pivot'!$A:$A, "Tiết Kiệm Online", 'Full month Pivot'!$C:$C, $B60)</f>
        <v/>
      </c>
      <c r="O60" s="50">
        <f>SUMIFS('Full month Pivot'!H:H, 'Full month Pivot'!$A:$A, "Tiết Kiệm Online", 'Full month Pivot'!$C:$C, $B60)</f>
        <v/>
      </c>
      <c r="P60" s="50">
        <f>SUMIFS('Full month Pivot'!I:I, 'Full month Pivot'!$A:$A, "Tiết Kiệm Online", 'Full month Pivot'!$C:$C, $B60)</f>
        <v/>
      </c>
      <c r="Q60" s="50">
        <f>P60-O60</f>
        <v/>
      </c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</row>
    <row r="61">
      <c r="A61" s="164" t="n"/>
      <c r="B61" s="164" t="inlineStr">
        <is>
          <t>Others</t>
        </is>
      </c>
      <c r="C61" s="164">
        <f>SUMIFS('MTD Pivot'!D:D, 'MTD Pivot'!$A:$A, "Tiết Kiệm Online", 'MTD Pivot'!$C:$C, $B61)</f>
        <v/>
      </c>
      <c r="D61" s="164">
        <f>SUMIFS('MTD Pivot'!E:E, 'MTD Pivot'!$A:$A, "Tiết Kiệm Online", 'MTD Pivot'!$C:$C, $B61)</f>
        <v/>
      </c>
      <c r="E61" s="164">
        <f>SUMIFS('MTD Pivot'!F:F, 'MTD Pivot'!$A:$A, "Tiết Kiệm Online", 'MTD Pivot'!$C:$C, $B61)</f>
        <v/>
      </c>
      <c r="F61" s="164">
        <f>SUMIFS('MTD Pivot'!G:G, 'MTD Pivot'!$A:$A, "Tiết Kiệm Online", 'MTD Pivot'!$C:$C, $B61)</f>
        <v/>
      </c>
      <c r="G61" s="164">
        <f>SUMIFS('MTD Pivot'!H:H, 'MTD Pivot'!$A:$A, "Tiết Kiệm Online", 'MTD Pivot'!$C:$C, $B61)</f>
        <v/>
      </c>
      <c r="H61" s="164">
        <f>SUMIFS('MTD Pivot'!I:I, 'MTD Pivot'!$A:$A, "Tiết Kiệm Online", 'MTD Pivot'!$C:$C, $B61)</f>
        <v/>
      </c>
      <c r="I61" s="164">
        <f>H61-G61</f>
        <v/>
      </c>
      <c r="J61" s="162" t="n"/>
      <c r="K61" s="50">
        <f>SUMIFS('Full month Pivot'!D:D, 'Full month Pivot'!$A:$A, "Tiết Kiệm Online", 'Full month Pivot'!$C:$C, $B61)</f>
        <v/>
      </c>
      <c r="L61" s="50">
        <f>SUMIFS('Full month Pivot'!E:E, 'Full month Pivot'!$A:$A, "Tiết Kiệm Online", 'Full month Pivot'!$C:$C, $B61)</f>
        <v/>
      </c>
      <c r="M61" s="50">
        <f>SUMIFS('Full month Pivot'!F:F, 'Full month Pivot'!$A:$A, "Tiết Kiệm Online", 'Full month Pivot'!$C:$C, $B61)</f>
        <v/>
      </c>
      <c r="N61" s="50">
        <f>SUMIFS('Full month Pivot'!G:G, 'Full month Pivot'!$A:$A, "Tiết Kiệm Online", 'Full month Pivot'!$C:$C, $B61)</f>
        <v/>
      </c>
      <c r="O61" s="50">
        <f>SUMIFS('Full month Pivot'!H:H, 'Full month Pivot'!$A:$A, "Tiết Kiệm Online", 'Full month Pivot'!$C:$C, $B61)</f>
        <v/>
      </c>
      <c r="P61" s="50">
        <f>SUMIFS('Full month Pivot'!I:I, 'Full month Pivot'!$A:$A, "Tiết Kiệm Online", 'Full month Pivot'!$C:$C, $B61)</f>
        <v/>
      </c>
      <c r="Q61" s="50">
        <f>P61-O61</f>
        <v/>
      </c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</row>
    <row r="62">
      <c r="A62" s="164" t="n"/>
      <c r="B62" s="164" t="inlineStr">
        <is>
          <t>Paid</t>
        </is>
      </c>
      <c r="C62" s="164">
        <f>SUMIFS('MTD Pivot'!D:D, 'MTD Pivot'!$A:$A, "Tiết Kiệm Online", 'MTD Pivot'!$C:$C, $B62)</f>
        <v/>
      </c>
      <c r="D62" s="164">
        <f>SUMIFS('MTD Pivot'!E:E, 'MTD Pivot'!$A:$A, "Tiết Kiệm Online", 'MTD Pivot'!$C:$C, $B62)</f>
        <v/>
      </c>
      <c r="E62" s="164">
        <f>SUMIFS('MTD Pivot'!F:F, 'MTD Pivot'!$A:$A, "Tiết Kiệm Online", 'MTD Pivot'!$C:$C, $B62)</f>
        <v/>
      </c>
      <c r="F62" s="164">
        <f>SUMIFS('MTD Pivot'!G:G, 'MTD Pivot'!$A:$A, "Tiết Kiệm Online", 'MTD Pivot'!$C:$C, $B62)</f>
        <v/>
      </c>
      <c r="G62" s="164">
        <f>SUMIFS('MTD Pivot'!H:H, 'MTD Pivot'!$A:$A, "Tiết Kiệm Online", 'MTD Pivot'!$C:$C, $B62)</f>
        <v/>
      </c>
      <c r="H62" s="164">
        <f>SUMIFS('MTD Pivot'!I:I, 'MTD Pivot'!$A:$A, "Tiết Kiệm Online", 'MTD Pivot'!$C:$C, $B62)</f>
        <v/>
      </c>
      <c r="I62" s="164">
        <f>H62-G62</f>
        <v/>
      </c>
      <c r="J62" s="162" t="n"/>
      <c r="K62" s="50">
        <f>SUMIFS('Full month Pivot'!D:D, 'Full month Pivot'!$A:$A, "Tiết Kiệm Online", 'Full month Pivot'!$C:$C, $B62)</f>
        <v/>
      </c>
      <c r="L62" s="50">
        <f>SUMIFS('Full month Pivot'!E:E, 'Full month Pivot'!$A:$A, "Tiết Kiệm Online", 'Full month Pivot'!$C:$C, $B62)</f>
        <v/>
      </c>
      <c r="M62" s="50">
        <f>SUMIFS('Full month Pivot'!F:F, 'Full month Pivot'!$A:$A, "Tiết Kiệm Online", 'Full month Pivot'!$C:$C, $B62)</f>
        <v/>
      </c>
      <c r="N62" s="50">
        <f>SUMIFS('Full month Pivot'!G:G, 'Full month Pivot'!$A:$A, "Tiết Kiệm Online", 'Full month Pivot'!$C:$C, $B62)</f>
        <v/>
      </c>
      <c r="O62" s="50">
        <f>SUMIFS('Full month Pivot'!H:H, 'Full month Pivot'!$A:$A, "Tiết Kiệm Online", 'Full month Pivot'!$C:$C, $B62)</f>
        <v/>
      </c>
      <c r="P62" s="50">
        <f>SUMIFS('Full month Pivot'!I:I, 'Full month Pivot'!$A:$A, "Tiết Kiệm Online", 'Full month Pivot'!$C:$C, $B62)</f>
        <v/>
      </c>
      <c r="Q62" s="50">
        <f>P62-O62</f>
        <v/>
      </c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2" t="n"/>
      <c r="K63" s="169" t="n"/>
      <c r="L63" s="169" t="n"/>
      <c r="M63" s="169" t="n"/>
      <c r="N63" s="169" t="n"/>
      <c r="O63" s="169" t="n"/>
      <c r="P63" s="169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</row>
    <row r="64">
      <c r="A64" s="157" t="inlineStr">
        <is>
          <t>Thanh Toán Thẻ Tín Dụng</t>
        </is>
      </c>
      <c r="B64" s="157" t="n"/>
      <c r="C64" s="157">
        <f>sum(C65:C69)</f>
        <v/>
      </c>
      <c r="D64" s="157">
        <f>sum(D65:D69)</f>
        <v/>
      </c>
      <c r="E64" s="157">
        <f>sum(E65:E69)</f>
        <v/>
      </c>
      <c r="F64" s="157">
        <f>sum(F65:F69)</f>
        <v/>
      </c>
      <c r="G64" s="157">
        <f>sum(G65:G69)</f>
        <v/>
      </c>
      <c r="H64" s="157">
        <f>sum(H65:H69)</f>
        <v/>
      </c>
      <c r="I64" s="164">
        <f>H64-G64</f>
        <v/>
      </c>
      <c r="J64" s="166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0">
        <f>P64-O64</f>
        <v/>
      </c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</row>
    <row r="65">
      <c r="A65" s="164" t="n"/>
      <c r="B65" s="164" t="inlineStr">
        <is>
          <t>Organic</t>
        </is>
      </c>
      <c r="C65" s="164">
        <f>SUMIFS('MTD Pivot'!D:D, 'MTD Pivot'!$A:$A, "Thanh Toán Thẻ Tín Dụng", 'MTD Pivot'!$C:$C, $B65)</f>
        <v/>
      </c>
      <c r="D65" s="164">
        <f>SUMIFS('MTD Pivot'!E:E, 'MTD Pivot'!$A:$A, "Thanh Toán Thẻ Tín Dụng", 'MTD Pivot'!$C:$C, $B65)</f>
        <v/>
      </c>
      <c r="E65" s="164">
        <f>SUMIFS('MTD Pivot'!F:F, 'MTD Pivot'!$A:$A, "Thanh Toán Thẻ Tín Dụng", 'MTD Pivot'!$C:$C, $B65)</f>
        <v/>
      </c>
      <c r="F65" s="164">
        <f>SUMIFS('MTD Pivot'!G:G, 'MTD Pivot'!$A:$A, "Thanh Toán Thẻ Tín Dụng", 'MTD Pivot'!$C:$C, $B65)</f>
        <v/>
      </c>
      <c r="G65" s="164">
        <f>SUMIFS('MTD Pivot'!H:H, 'MTD Pivot'!$A:$A, "Thanh Toán Thẻ Tín Dụng", 'MTD Pivot'!$C:$C, $B65)</f>
        <v/>
      </c>
      <c r="H65" s="164">
        <f>SUMIFS('MTD Pivot'!I:I, 'MTD Pivot'!$A:$A, "Thanh Toán Thẻ Tín Dụng", 'MTD Pivot'!$C:$C, $B65)</f>
        <v/>
      </c>
      <c r="I65" s="164">
        <f>H65-G65</f>
        <v/>
      </c>
      <c r="J65" s="162" t="n"/>
      <c r="K65" s="50">
        <f>SUMIFS('Full month Pivot'!D:D, 'Full month Pivot'!$A:$A, "Thanh Toán Thẻ Tín Dụng", 'Full month Pivot'!$C:$C, $B65)</f>
        <v/>
      </c>
      <c r="L65" s="50">
        <f>SUMIFS('Full month Pivot'!E:E, 'Full month Pivot'!$A:$A, "Thanh Toán Thẻ Tín Dụng", 'Full month Pivot'!$C:$C, $B65)</f>
        <v/>
      </c>
      <c r="M65" s="50">
        <f>SUMIFS('Full month Pivot'!F:F, 'Full month Pivot'!$A:$A, "Thanh Toán Thẻ Tín Dụng", 'Full month Pivot'!$C:$C, $B65)</f>
        <v/>
      </c>
      <c r="N65" s="50">
        <f>SUMIFS('Full month Pivot'!G:G, 'Full month Pivot'!$A:$A, "Thanh Toán Thẻ Tín Dụng", 'Full month Pivot'!$C:$C, $B65)</f>
        <v/>
      </c>
      <c r="O65" s="50">
        <f>SUMIFS('Full month Pivot'!H:H, 'Full month Pivot'!$A:$A, "Thanh Toán Thẻ Tín Dụng", 'Full month Pivot'!$C:$C, $B65)</f>
        <v/>
      </c>
      <c r="P65" s="50">
        <f>SUMIFS('Full month Pivot'!I:I, 'Full month Pivot'!$A:$A, "Thanh Toán Thẻ Tín Dụng", 'Full month Pivot'!$C:$C, $B65)</f>
        <v/>
      </c>
      <c r="Q65" s="50">
        <f>P65-O65</f>
        <v/>
      </c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</row>
    <row r="66">
      <c r="A66" s="164" t="n"/>
      <c r="B66" s="164" t="inlineStr">
        <is>
          <t>Direct</t>
        </is>
      </c>
      <c r="C66" s="164">
        <f>SUMIFS('MTD Pivot'!D:D, 'MTD Pivot'!$A:$A, "Thanh Toán Thẻ Tín Dụng", 'MTD Pivot'!$C:$C, $B66)</f>
        <v/>
      </c>
      <c r="D66" s="164">
        <f>SUMIFS('MTD Pivot'!E:E, 'MTD Pivot'!$A:$A, "Thanh Toán Thẻ Tín Dụng", 'MTD Pivot'!$C:$C, $B66)</f>
        <v/>
      </c>
      <c r="E66" s="164">
        <f>SUMIFS('MTD Pivot'!F:F, 'MTD Pivot'!$A:$A, "Thanh Toán Thẻ Tín Dụng", 'MTD Pivot'!$C:$C, $B66)</f>
        <v/>
      </c>
      <c r="F66" s="164">
        <f>SUMIFS('MTD Pivot'!G:G, 'MTD Pivot'!$A:$A, "Thanh Toán Thẻ Tín Dụng", 'MTD Pivot'!$C:$C, $B66)</f>
        <v/>
      </c>
      <c r="G66" s="164">
        <f>SUMIFS('MTD Pivot'!H:H, 'MTD Pivot'!$A:$A, "Thanh Toán Thẻ Tín Dụng", 'MTD Pivot'!$C:$C, $B66)</f>
        <v/>
      </c>
      <c r="H66" s="164">
        <f>SUMIFS('MTD Pivot'!I:I, 'MTD Pivot'!$A:$A, "Thanh Toán Thẻ Tín Dụng", 'MTD Pivot'!$C:$C, $B66)</f>
        <v/>
      </c>
      <c r="I66" s="164">
        <f>H66-G66</f>
        <v/>
      </c>
      <c r="J66" s="162" t="n"/>
      <c r="K66" s="50">
        <f>SUMIFS('Full month Pivot'!D:D, 'Full month Pivot'!$A:$A, "Thanh Toán Thẻ Tín Dụng", 'Full month Pivot'!$C:$C, $B66)</f>
        <v/>
      </c>
      <c r="L66" s="50">
        <f>SUMIFS('Full month Pivot'!E:E, 'Full month Pivot'!$A:$A, "Thanh Toán Thẻ Tín Dụng", 'Full month Pivot'!$C:$C, $B66)</f>
        <v/>
      </c>
      <c r="M66" s="50">
        <f>SUMIFS('Full month Pivot'!F:F, 'Full month Pivot'!$A:$A, "Thanh Toán Thẻ Tín Dụng", 'Full month Pivot'!$C:$C, $B66)</f>
        <v/>
      </c>
      <c r="N66" s="50">
        <f>SUMIFS('Full month Pivot'!G:G, 'Full month Pivot'!$A:$A, "Thanh Toán Thẻ Tín Dụng", 'Full month Pivot'!$C:$C, $B66)</f>
        <v/>
      </c>
      <c r="O66" s="50">
        <f>SUMIFS('Full month Pivot'!H:H, 'Full month Pivot'!$A:$A, "Thanh Toán Thẻ Tín Dụng", 'Full month Pivot'!$C:$C, $B66)</f>
        <v/>
      </c>
      <c r="P66" s="50">
        <f>SUMIFS('Full month Pivot'!I:I, 'Full month Pivot'!$A:$A, "Thanh Toán Thẻ Tín Dụng", 'Full month Pivot'!$C:$C, $B66)</f>
        <v/>
      </c>
      <c r="Q66" s="50">
        <f>P66-O66</f>
        <v/>
      </c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</row>
    <row r="67">
      <c r="A67" s="164" t="n"/>
      <c r="B67" s="164" t="inlineStr">
        <is>
          <t>Referral</t>
        </is>
      </c>
      <c r="C67" s="164">
        <f>SUMIFS('MTD Pivot'!D:D, 'MTD Pivot'!$A:$A, "Thanh Toán Thẻ Tín Dụng", 'MTD Pivot'!$C:$C, $B67)</f>
        <v/>
      </c>
      <c r="D67" s="164">
        <f>SUMIFS('MTD Pivot'!E:E, 'MTD Pivot'!$A:$A, "Thanh Toán Thẻ Tín Dụng", 'MTD Pivot'!$C:$C, $B67)</f>
        <v/>
      </c>
      <c r="E67" s="164">
        <f>SUMIFS('MTD Pivot'!F:F, 'MTD Pivot'!$A:$A, "Thanh Toán Thẻ Tín Dụng", 'MTD Pivot'!$C:$C, $B67)</f>
        <v/>
      </c>
      <c r="F67" s="164">
        <f>SUMIFS('MTD Pivot'!G:G, 'MTD Pivot'!$A:$A, "Thanh Toán Thẻ Tín Dụng", 'MTD Pivot'!$C:$C, $B67)</f>
        <v/>
      </c>
      <c r="G67" s="164">
        <f>SUMIFS('MTD Pivot'!H:H, 'MTD Pivot'!$A:$A, "Thanh Toán Thẻ Tín Dụng", 'MTD Pivot'!$C:$C, $B67)</f>
        <v/>
      </c>
      <c r="H67" s="164">
        <f>SUMIFS('MTD Pivot'!I:I, 'MTD Pivot'!$A:$A, "Thanh Toán Thẻ Tín Dụng", 'MTD Pivot'!$C:$C, $B67)</f>
        <v/>
      </c>
      <c r="I67" s="164">
        <f>H67-G67</f>
        <v/>
      </c>
      <c r="J67" s="162" t="n"/>
      <c r="K67" s="50">
        <f>SUMIFS('Full month Pivot'!D:D, 'Full month Pivot'!$A:$A, "Thanh Toán Thẻ Tín Dụng", 'Full month Pivot'!$C:$C, $B67)</f>
        <v/>
      </c>
      <c r="L67" s="50">
        <f>SUMIFS('Full month Pivot'!E:E, 'Full month Pivot'!$A:$A, "Thanh Toán Thẻ Tín Dụng", 'Full month Pivot'!$C:$C, $B67)</f>
        <v/>
      </c>
      <c r="M67" s="50">
        <f>SUMIFS('Full month Pivot'!F:F, 'Full month Pivot'!$A:$A, "Thanh Toán Thẻ Tín Dụng", 'Full month Pivot'!$C:$C, $B67)</f>
        <v/>
      </c>
      <c r="N67" s="50">
        <f>SUMIFS('Full month Pivot'!G:G, 'Full month Pivot'!$A:$A, "Thanh Toán Thẻ Tín Dụng", 'Full month Pivot'!$C:$C, $B67)</f>
        <v/>
      </c>
      <c r="O67" s="50">
        <f>SUMIFS('Full month Pivot'!H:H, 'Full month Pivot'!$A:$A, "Thanh Toán Thẻ Tín Dụng", 'Full month Pivot'!$C:$C, $B67)</f>
        <v/>
      </c>
      <c r="P67" s="50">
        <f>SUMIFS('Full month Pivot'!I:I, 'Full month Pivot'!$A:$A, "Thanh Toán Thẻ Tín Dụng", 'Full month Pivot'!$C:$C, $B67)</f>
        <v/>
      </c>
      <c r="Q67" s="50">
        <f>P67-O67</f>
        <v/>
      </c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</row>
    <row r="68">
      <c r="A68" s="164" t="n"/>
      <c r="B68" s="164" t="inlineStr">
        <is>
          <t>Paid</t>
        </is>
      </c>
      <c r="C68" s="164">
        <f>SUMIFS('MTD Pivot'!D:D, 'MTD Pivot'!$A:$A, "Thanh Toán Thẻ Tín Dụng", 'MTD Pivot'!$C:$C, $B68)</f>
        <v/>
      </c>
      <c r="D68" s="164">
        <f>SUMIFS('MTD Pivot'!E:E, 'MTD Pivot'!$A:$A, "Thanh Toán Thẻ Tín Dụng", 'MTD Pivot'!$C:$C, $B68)</f>
        <v/>
      </c>
      <c r="E68" s="164">
        <f>SUMIFS('MTD Pivot'!F:F, 'MTD Pivot'!$A:$A, "Thanh Toán Thẻ Tín Dụng", 'MTD Pivot'!$C:$C, $B68)</f>
        <v/>
      </c>
      <c r="F68" s="164">
        <f>SUMIFS('MTD Pivot'!G:G, 'MTD Pivot'!$A:$A, "Thanh Toán Thẻ Tín Dụng", 'MTD Pivot'!$C:$C, $B68)</f>
        <v/>
      </c>
      <c r="G68" s="164">
        <f>SUMIFS('MTD Pivot'!H:H, 'MTD Pivot'!$A:$A, "Thanh Toán Thẻ Tín Dụng", 'MTD Pivot'!$C:$C, $B68)</f>
        <v/>
      </c>
      <c r="H68" s="164">
        <f>SUMIFS('MTD Pivot'!I:I, 'MTD Pivot'!$A:$A, "Thanh Toán Thẻ Tín Dụng", 'MTD Pivot'!$C:$C, $B68)</f>
        <v/>
      </c>
      <c r="I68" s="164">
        <f>H68-G68</f>
        <v/>
      </c>
      <c r="J68" s="162" t="n"/>
      <c r="K68" s="50">
        <f>SUMIFS('Full month Pivot'!D:D, 'Full month Pivot'!$A:$A, "Thanh Toán Thẻ Tín Dụng", 'Full month Pivot'!$C:$C, $B68)</f>
        <v/>
      </c>
      <c r="L68" s="50">
        <f>SUMIFS('Full month Pivot'!E:E, 'Full month Pivot'!$A:$A, "Thanh Toán Thẻ Tín Dụng", 'Full month Pivot'!$C:$C, $B68)</f>
        <v/>
      </c>
      <c r="M68" s="50">
        <f>SUMIFS('Full month Pivot'!F:F, 'Full month Pivot'!$A:$A, "Thanh Toán Thẻ Tín Dụng", 'Full month Pivot'!$C:$C, $B68)</f>
        <v/>
      </c>
      <c r="N68" s="50">
        <f>SUMIFS('Full month Pivot'!G:G, 'Full month Pivot'!$A:$A, "Thanh Toán Thẻ Tín Dụng", 'Full month Pivot'!$C:$C, $B68)</f>
        <v/>
      </c>
      <c r="O68" s="50">
        <f>SUMIFS('Full month Pivot'!H:H, 'Full month Pivot'!$A:$A, "Thanh Toán Thẻ Tín Dụng", 'Full month Pivot'!$C:$C, $B68)</f>
        <v/>
      </c>
      <c r="P68" s="50">
        <f>SUMIFS('Full month Pivot'!I:I, 'Full month Pivot'!$A:$A, "Thanh Toán Thẻ Tín Dụng", 'Full month Pivot'!$C:$C, $B68)</f>
        <v/>
      </c>
      <c r="Q68" s="50">
        <f>P68-O68</f>
        <v/>
      </c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</row>
    <row r="69">
      <c r="A69" s="164" t="n"/>
      <c r="B69" s="164" t="inlineStr">
        <is>
          <t>Others</t>
        </is>
      </c>
      <c r="C69" s="164">
        <f>SUMIFS('MTD Pivot'!D:D, 'MTD Pivot'!$A:$A, "Thanh Toán Thẻ Tín Dụng", 'MTD Pivot'!$C:$C, $B69)</f>
        <v/>
      </c>
      <c r="D69" s="164">
        <f>SUMIFS('MTD Pivot'!E:E, 'MTD Pivot'!$A:$A, "Thanh Toán Thẻ Tín Dụng", 'MTD Pivot'!$C:$C, $B69)</f>
        <v/>
      </c>
      <c r="E69" s="164">
        <f>SUMIFS('MTD Pivot'!F:F, 'MTD Pivot'!$A:$A, "Thanh Toán Thẻ Tín Dụng", 'MTD Pivot'!$C:$C, $B69)</f>
        <v/>
      </c>
      <c r="F69" s="164">
        <f>SUMIFS('MTD Pivot'!G:G, 'MTD Pivot'!$A:$A, "Thanh Toán Thẻ Tín Dụng", 'MTD Pivot'!$C:$C, $B69)</f>
        <v/>
      </c>
      <c r="G69" s="164">
        <f>SUMIFS('MTD Pivot'!H:H, 'MTD Pivot'!$A:$A, "Thanh Toán Thẻ Tín Dụng", 'MTD Pivot'!$C:$C, $B69)</f>
        <v/>
      </c>
      <c r="H69" s="164">
        <f>SUMIFS('MTD Pivot'!I:I, 'MTD Pivot'!$A:$A, "Thanh Toán Thẻ Tín Dụng", 'MTD Pivot'!$C:$C, $B69)</f>
        <v/>
      </c>
      <c r="I69" s="164">
        <f>H69-G69</f>
        <v/>
      </c>
      <c r="J69" s="162" t="n"/>
      <c r="K69" s="50">
        <f>SUMIFS('Full month Pivot'!D:D, 'Full month Pivot'!$A:$A, "Thanh Toán Thẻ Tín Dụng", 'Full month Pivot'!$C:$C, $B69)</f>
        <v/>
      </c>
      <c r="L69" s="50">
        <f>SUMIFS('Full month Pivot'!E:E, 'Full month Pivot'!$A:$A, "Thanh Toán Thẻ Tín Dụng", 'Full month Pivot'!$C:$C, $B69)</f>
        <v/>
      </c>
      <c r="M69" s="50">
        <f>SUMIFS('Full month Pivot'!F:F, 'Full month Pivot'!$A:$A, "Thanh Toán Thẻ Tín Dụng", 'Full month Pivot'!$C:$C, $B69)</f>
        <v/>
      </c>
      <c r="N69" s="50">
        <f>SUMIFS('Full month Pivot'!G:G, 'Full month Pivot'!$A:$A, "Thanh Toán Thẻ Tín Dụng", 'Full month Pivot'!$C:$C, $B69)</f>
        <v/>
      </c>
      <c r="O69" s="50">
        <f>SUMIFS('Full month Pivot'!H:H, 'Full month Pivot'!$A:$A, "Thanh Toán Thẻ Tín Dụng", 'Full month Pivot'!$C:$C, $B69)</f>
        <v/>
      </c>
      <c r="P69" s="50">
        <f>SUMIFS('Full month Pivot'!I:I, 'Full month Pivot'!$A:$A, "Thanh Toán Thẻ Tín Dụng", 'Full month Pivot'!$C:$C, $B69)</f>
        <v/>
      </c>
      <c r="Q69" s="50">
        <f>P69-O69</f>
        <v/>
      </c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2" t="n"/>
      <c r="K70" s="169" t="n"/>
      <c r="L70" s="169" t="n"/>
      <c r="M70" s="169" t="n"/>
      <c r="N70" s="169" t="n"/>
      <c r="O70" s="169" t="n"/>
      <c r="P70" s="169" t="n"/>
      <c r="Q70" s="16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</row>
    <row r="71">
      <c r="A71" s="157" t="inlineStr">
        <is>
          <t>Chứng Chỉ Quỹ</t>
        </is>
      </c>
      <c r="B71" s="157" t="n"/>
      <c r="C71" s="157">
        <f>sum(C72:C76)</f>
        <v/>
      </c>
      <c r="D71" s="157">
        <f>sum(D72:D76)</f>
        <v/>
      </c>
      <c r="E71" s="157">
        <f>sum(E72:E76)</f>
        <v/>
      </c>
      <c r="F71" s="157">
        <f>sum(F72:F76)</f>
        <v/>
      </c>
      <c r="G71" s="157">
        <f>sum(G72:G76)</f>
        <v/>
      </c>
      <c r="H71" s="157">
        <f>sum(H72:H76)</f>
        <v/>
      </c>
      <c r="I71" s="164">
        <f>H71-G71</f>
        <v/>
      </c>
      <c r="J71" s="166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0">
        <f>P71-O71</f>
        <v/>
      </c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</row>
    <row r="72">
      <c r="A72" s="164" t="n"/>
      <c r="B72" s="164" t="inlineStr">
        <is>
          <t>Organic</t>
        </is>
      </c>
      <c r="C72" s="164">
        <f>SUMIFS('MTD Pivot'!D:D, 'MTD Pivot'!$A:$A, "Chứng Chỉ Quỹ", 'MTD Pivot'!$C:$C, $B72)</f>
        <v/>
      </c>
      <c r="D72" s="164">
        <f>SUMIFS('MTD Pivot'!E:E, 'MTD Pivot'!$A:$A, "Chứng Chỉ Quỹ", 'MTD Pivot'!$C:$C, $B72)</f>
        <v/>
      </c>
      <c r="E72" s="164">
        <f>SUMIFS('MTD Pivot'!F:F, 'MTD Pivot'!$A:$A, "Chứng Chỉ Quỹ", 'MTD Pivot'!$C:$C, $B72)</f>
        <v/>
      </c>
      <c r="F72" s="164">
        <f>SUMIFS('MTD Pivot'!G:G, 'MTD Pivot'!$A:$A, "Chứng Chỉ Quỹ", 'MTD Pivot'!$C:$C, $B72)</f>
        <v/>
      </c>
      <c r="G72" s="164">
        <f>SUMIFS('MTD Pivot'!H:H, 'MTD Pivot'!$A:$A, "Chứng Chỉ Quỹ", 'MTD Pivot'!$C:$C, $B72)</f>
        <v/>
      </c>
      <c r="H72" s="164">
        <f>SUMIFS('MTD Pivot'!I:I, 'MTD Pivot'!$A:$A, "Chứng Chỉ Quỹ", 'MTD Pivot'!$C:$C, $B72)</f>
        <v/>
      </c>
      <c r="I72" s="164">
        <f>H72-G72</f>
        <v/>
      </c>
      <c r="J72" s="162" t="n"/>
      <c r="K72" s="50">
        <f>SUMIFS('Full month Pivot'!D:D, 'Full month Pivot'!$A:$A, "Chứng Chỉ Quỹ", 'Full month Pivot'!$C:$C, $B72)</f>
        <v/>
      </c>
      <c r="L72" s="50">
        <f>SUMIFS('Full month Pivot'!E:E, 'Full month Pivot'!$A:$A, "Chứng Chỉ Quỹ", 'Full month Pivot'!$C:$C, $B72)</f>
        <v/>
      </c>
      <c r="M72" s="50">
        <f>SUMIFS('Full month Pivot'!F:F, 'Full month Pivot'!$A:$A, "Chứng Chỉ Quỹ", 'Full month Pivot'!$C:$C, $B72)</f>
        <v/>
      </c>
      <c r="N72" s="50">
        <f>SUMIFS('Full month Pivot'!G:G, 'Full month Pivot'!$A:$A, "Chứng Chỉ Quỹ", 'Full month Pivot'!$C:$C, $B72)</f>
        <v/>
      </c>
      <c r="O72" s="50">
        <f>SUMIFS('Full month Pivot'!H:H, 'Full month Pivot'!$A:$A, "Chứng Chỉ Quỹ", 'Full month Pivot'!$C:$C, $B72)</f>
        <v/>
      </c>
      <c r="P72" s="50">
        <f>SUMIFS('Full month Pivot'!I:I, 'Full month Pivot'!$A:$A, "Chứng Chỉ Quỹ", 'Full month Pivot'!$C:$C, $B72)</f>
        <v/>
      </c>
      <c r="Q72" s="50">
        <f>P72-O72</f>
        <v/>
      </c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</row>
    <row r="73">
      <c r="A73" s="164" t="n"/>
      <c r="B73" s="164" t="inlineStr">
        <is>
          <t>Direct</t>
        </is>
      </c>
      <c r="C73" s="164">
        <f>SUMIFS('MTD Pivot'!D:D, 'MTD Pivot'!$A:$A, "Chứng Chỉ Quỹ", 'MTD Pivot'!$C:$C, $B73)</f>
        <v/>
      </c>
      <c r="D73" s="164">
        <f>SUMIFS('MTD Pivot'!E:E, 'MTD Pivot'!$A:$A, "Chứng Chỉ Quỹ", 'MTD Pivot'!$C:$C, $B73)</f>
        <v/>
      </c>
      <c r="E73" s="164">
        <f>SUMIFS('MTD Pivot'!F:F, 'MTD Pivot'!$A:$A, "Chứng Chỉ Quỹ", 'MTD Pivot'!$C:$C, $B73)</f>
        <v/>
      </c>
      <c r="F73" s="164">
        <f>SUMIFS('MTD Pivot'!G:G, 'MTD Pivot'!$A:$A, "Chứng Chỉ Quỹ", 'MTD Pivot'!$C:$C, $B73)</f>
        <v/>
      </c>
      <c r="G73" s="164">
        <f>SUMIFS('MTD Pivot'!H:H, 'MTD Pivot'!$A:$A, "Chứng Chỉ Quỹ", 'MTD Pivot'!$C:$C, $B73)</f>
        <v/>
      </c>
      <c r="H73" s="164">
        <f>SUMIFS('MTD Pivot'!I:I, 'MTD Pivot'!$A:$A, "Chứng Chỉ Quỹ", 'MTD Pivot'!$C:$C, $B73)</f>
        <v/>
      </c>
      <c r="I73" s="164">
        <f>H73-G73</f>
        <v/>
      </c>
      <c r="J73" s="162" t="n"/>
      <c r="K73" s="50">
        <f>SUMIFS('Full month Pivot'!D:D, 'Full month Pivot'!$A:$A, "Chứng Chỉ Quỹ", 'Full month Pivot'!$C:$C, $B73)</f>
        <v/>
      </c>
      <c r="L73" s="50">
        <f>SUMIFS('Full month Pivot'!E:E, 'Full month Pivot'!$A:$A, "Chứng Chỉ Quỹ", 'Full month Pivot'!$C:$C, $B73)</f>
        <v/>
      </c>
      <c r="M73" s="50">
        <f>SUMIFS('Full month Pivot'!F:F, 'Full month Pivot'!$A:$A, "Chứng Chỉ Quỹ", 'Full month Pivot'!$C:$C, $B73)</f>
        <v/>
      </c>
      <c r="N73" s="50">
        <f>SUMIFS('Full month Pivot'!G:G, 'Full month Pivot'!$A:$A, "Chứng Chỉ Quỹ", 'Full month Pivot'!$C:$C, $B73)</f>
        <v/>
      </c>
      <c r="O73" s="50">
        <f>SUMIFS('Full month Pivot'!H:H, 'Full month Pivot'!$A:$A, "Chứng Chỉ Quỹ", 'Full month Pivot'!$C:$C, $B73)</f>
        <v/>
      </c>
      <c r="P73" s="50">
        <f>SUMIFS('Full month Pivot'!I:I, 'Full month Pivot'!$A:$A, "Chứng Chỉ Quỹ", 'Full month Pivot'!$C:$C, $B73)</f>
        <v/>
      </c>
      <c r="Q73" s="50">
        <f>P73-O73</f>
        <v/>
      </c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</row>
    <row r="74">
      <c r="A74" s="164" t="n"/>
      <c r="B74" s="164" t="inlineStr">
        <is>
          <t>Referral</t>
        </is>
      </c>
      <c r="C74" s="164">
        <f>SUMIFS('MTD Pivot'!D:D, 'MTD Pivot'!$A:$A, "Chứng Chỉ Quỹ", 'MTD Pivot'!$C:$C, $B74)</f>
        <v/>
      </c>
      <c r="D74" s="164">
        <f>SUMIFS('MTD Pivot'!E:E, 'MTD Pivot'!$A:$A, "Chứng Chỉ Quỹ", 'MTD Pivot'!$C:$C, $B74)</f>
        <v/>
      </c>
      <c r="E74" s="164">
        <f>SUMIFS('MTD Pivot'!F:F, 'MTD Pivot'!$A:$A, "Chứng Chỉ Quỹ", 'MTD Pivot'!$C:$C, $B74)</f>
        <v/>
      </c>
      <c r="F74" s="164">
        <f>SUMIFS('MTD Pivot'!G:G, 'MTD Pivot'!$A:$A, "Chứng Chỉ Quỹ", 'MTD Pivot'!$C:$C, $B74)</f>
        <v/>
      </c>
      <c r="G74" s="164">
        <f>SUMIFS('MTD Pivot'!H:H, 'MTD Pivot'!$A:$A, "Chứng Chỉ Quỹ", 'MTD Pivot'!$C:$C, $B74)</f>
        <v/>
      </c>
      <c r="H74" s="164">
        <f>SUMIFS('MTD Pivot'!I:I, 'MTD Pivot'!$A:$A, "Chứng Chỉ Quỹ", 'MTD Pivot'!$C:$C, $B74)</f>
        <v/>
      </c>
      <c r="I74" s="164">
        <f>H74-G74</f>
        <v/>
      </c>
      <c r="J74" s="162" t="n"/>
      <c r="K74" s="50">
        <f>SUMIFS('Full month Pivot'!D:D, 'Full month Pivot'!$A:$A, "Chứng Chỉ Quỹ", 'Full month Pivot'!$C:$C, $B74)</f>
        <v/>
      </c>
      <c r="L74" s="50">
        <f>SUMIFS('Full month Pivot'!E:E, 'Full month Pivot'!$A:$A, "Chứng Chỉ Quỹ", 'Full month Pivot'!$C:$C, $B74)</f>
        <v/>
      </c>
      <c r="M74" s="50">
        <f>SUMIFS('Full month Pivot'!F:F, 'Full month Pivot'!$A:$A, "Chứng Chỉ Quỹ", 'Full month Pivot'!$C:$C, $B74)</f>
        <v/>
      </c>
      <c r="N74" s="50">
        <f>SUMIFS('Full month Pivot'!G:G, 'Full month Pivot'!$A:$A, "Chứng Chỉ Quỹ", 'Full month Pivot'!$C:$C, $B74)</f>
        <v/>
      </c>
      <c r="O74" s="50">
        <f>SUMIFS('Full month Pivot'!H:H, 'Full month Pivot'!$A:$A, "Chứng Chỉ Quỹ", 'Full month Pivot'!$C:$C, $B74)</f>
        <v/>
      </c>
      <c r="P74" s="50">
        <f>SUMIFS('Full month Pivot'!I:I, 'Full month Pivot'!$A:$A, "Chứng Chỉ Quỹ", 'Full month Pivot'!$C:$C, $B74)</f>
        <v/>
      </c>
      <c r="Q74" s="50">
        <f>P74-O74</f>
        <v/>
      </c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</row>
    <row r="75">
      <c r="A75" s="164" t="n"/>
      <c r="B75" s="164" t="inlineStr">
        <is>
          <t>Others</t>
        </is>
      </c>
      <c r="C75" s="164">
        <f>SUMIFS('MTD Pivot'!D:D, 'MTD Pivot'!$A:$A, "Chứng Chỉ Quỹ", 'MTD Pivot'!$C:$C, $B75)</f>
        <v/>
      </c>
      <c r="D75" s="164">
        <f>SUMIFS('MTD Pivot'!E:E, 'MTD Pivot'!$A:$A, "Chứng Chỉ Quỹ", 'MTD Pivot'!$C:$C, $B75)</f>
        <v/>
      </c>
      <c r="E75" s="164">
        <f>SUMIFS('MTD Pivot'!F:F, 'MTD Pivot'!$A:$A, "Chứng Chỉ Quỹ", 'MTD Pivot'!$C:$C, $B75)</f>
        <v/>
      </c>
      <c r="F75" s="164">
        <f>SUMIFS('MTD Pivot'!G:G, 'MTD Pivot'!$A:$A, "Chứng Chỉ Quỹ", 'MTD Pivot'!$C:$C, $B75)</f>
        <v/>
      </c>
      <c r="G75" s="164">
        <f>SUMIFS('MTD Pivot'!H:H, 'MTD Pivot'!$A:$A, "Chứng Chỉ Quỹ", 'MTD Pivot'!$C:$C, $B75)</f>
        <v/>
      </c>
      <c r="H75" s="164">
        <f>SUMIFS('MTD Pivot'!I:I, 'MTD Pivot'!$A:$A, "Chứng Chỉ Quỹ", 'MTD Pivot'!$C:$C, $B75)</f>
        <v/>
      </c>
      <c r="I75" s="164">
        <f>H75-G75</f>
        <v/>
      </c>
      <c r="J75" s="162" t="n"/>
      <c r="K75" s="50">
        <f>SUMIFS('Full month Pivot'!D:D, 'Full month Pivot'!$A:$A, "Chứng Chỉ Quỹ", 'Full month Pivot'!$C:$C, $B75)</f>
        <v/>
      </c>
      <c r="L75" s="50">
        <f>SUMIFS('Full month Pivot'!E:E, 'Full month Pivot'!$A:$A, "Chứng Chỉ Quỹ", 'Full month Pivot'!$C:$C, $B75)</f>
        <v/>
      </c>
      <c r="M75" s="50">
        <f>SUMIFS('Full month Pivot'!F:F, 'Full month Pivot'!$A:$A, "Chứng Chỉ Quỹ", 'Full month Pivot'!$C:$C, $B75)</f>
        <v/>
      </c>
      <c r="N75" s="50">
        <f>SUMIFS('Full month Pivot'!G:G, 'Full month Pivot'!$A:$A, "Chứng Chỉ Quỹ", 'Full month Pivot'!$C:$C, $B75)</f>
        <v/>
      </c>
      <c r="O75" s="50">
        <f>SUMIFS('Full month Pivot'!H:H, 'Full month Pivot'!$A:$A, "Chứng Chỉ Quỹ", 'Full month Pivot'!$C:$C, $B75)</f>
        <v/>
      </c>
      <c r="P75" s="50">
        <f>SUMIFS('Full month Pivot'!I:I, 'Full month Pivot'!$A:$A, "Chứng Chỉ Quỹ", 'Full month Pivot'!$C:$C, $B75)</f>
        <v/>
      </c>
      <c r="Q75" s="50">
        <f>P75-O75</f>
        <v/>
      </c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</row>
    <row r="76">
      <c r="A76" s="164" t="n"/>
      <c r="B76" s="164" t="inlineStr">
        <is>
          <t>Paid</t>
        </is>
      </c>
      <c r="C76" s="164">
        <f>SUMIFS('MTD Pivot'!D:D, 'MTD Pivot'!$A:$A, "Chứng Chỉ Quỹ", 'MTD Pivot'!$C:$C, $B76)</f>
        <v/>
      </c>
      <c r="D76" s="164">
        <f>SUMIFS('MTD Pivot'!E:E, 'MTD Pivot'!$A:$A, "Chứng Chỉ Quỹ", 'MTD Pivot'!$C:$C, $B76)</f>
        <v/>
      </c>
      <c r="E76" s="164">
        <f>SUMIFS('MTD Pivot'!F:F, 'MTD Pivot'!$A:$A, "Chứng Chỉ Quỹ", 'MTD Pivot'!$C:$C, $B76)</f>
        <v/>
      </c>
      <c r="F76" s="164">
        <f>SUMIFS('MTD Pivot'!G:G, 'MTD Pivot'!$A:$A, "Chứng Chỉ Quỹ", 'MTD Pivot'!$C:$C, $B76)</f>
        <v/>
      </c>
      <c r="G76" s="164">
        <f>SUMIFS('MTD Pivot'!H:H, 'MTD Pivot'!$A:$A, "Chứng Chỉ Quỹ", 'MTD Pivot'!$C:$C, $B76)</f>
        <v/>
      </c>
      <c r="H76" s="164">
        <f>SUMIFS('MTD Pivot'!I:I, 'MTD Pivot'!$A:$A, "Chứng Chỉ Quỹ", 'MTD Pivot'!$C:$C, $B76)</f>
        <v/>
      </c>
      <c r="I76" s="164">
        <f>H76-G76</f>
        <v/>
      </c>
      <c r="J76" s="162" t="n"/>
      <c r="K76" s="50">
        <f>SUMIFS('Full month Pivot'!D:D, 'Full month Pivot'!$A:$A, "Chứng Chỉ Quỹ", 'Full month Pivot'!$C:$C, $B76)</f>
        <v/>
      </c>
      <c r="L76" s="50">
        <f>SUMIFS('Full month Pivot'!E:E, 'Full month Pivot'!$A:$A, "Chứng Chỉ Quỹ", 'Full month Pivot'!$C:$C, $B76)</f>
        <v/>
      </c>
      <c r="M76" s="50">
        <f>SUMIFS('Full month Pivot'!F:F, 'Full month Pivot'!$A:$A, "Chứng Chỉ Quỹ", 'Full month Pivot'!$C:$C, $B76)</f>
        <v/>
      </c>
      <c r="N76" s="50">
        <f>SUMIFS('Full month Pivot'!G:G, 'Full month Pivot'!$A:$A, "Chứng Chỉ Quỹ", 'Full month Pivot'!$C:$C, $B76)</f>
        <v/>
      </c>
      <c r="O76" s="50">
        <f>SUMIFS('Full month Pivot'!H:H, 'Full month Pivot'!$A:$A, "Chứng Chỉ Quỹ", 'Full month Pivot'!$C:$C, $B76)</f>
        <v/>
      </c>
      <c r="P76" s="50">
        <f>SUMIFS('Full month Pivot'!I:I, 'Full month Pivot'!$A:$A, "Chứng Chỉ Quỹ", 'Full month Pivot'!$C:$C, $B76)</f>
        <v/>
      </c>
      <c r="Q76" s="50">
        <f>P76-O76</f>
        <v/>
      </c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</row>
    <row r="77">
      <c r="A77" s="164" t="n"/>
      <c r="B77" s="164" t="n"/>
      <c r="C77" s="50" t="n"/>
      <c r="D77" s="50" t="n"/>
      <c r="E77" s="50" t="n"/>
      <c r="F77" s="50" t="n"/>
      <c r="G77" s="50" t="n"/>
      <c r="H77" s="50" t="n"/>
      <c r="I77" s="164" t="n"/>
      <c r="J77" s="162" t="n"/>
      <c r="K77" s="50" t="n"/>
      <c r="L77" s="50" t="n"/>
      <c r="M77" s="50" t="n"/>
      <c r="N77" s="50" t="n"/>
      <c r="O77" s="50" t="n"/>
      <c r="P77" s="50" t="n"/>
      <c r="Q77" s="16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</row>
    <row r="78">
      <c r="A78" s="157" t="inlineStr">
        <is>
          <t>Sàn đầu tư</t>
        </is>
      </c>
      <c r="B78" s="157" t="n"/>
      <c r="C78" s="157">
        <f>sum(C79:C83)</f>
        <v/>
      </c>
      <c r="D78" s="157">
        <f>sum(D79:D83)</f>
        <v/>
      </c>
      <c r="E78" s="157">
        <f>sum(E79:E83)</f>
        <v/>
      </c>
      <c r="F78" s="157">
        <f>sum(F79:F83)</f>
        <v/>
      </c>
      <c r="G78" s="157">
        <f>sum(G79:G83)</f>
        <v/>
      </c>
      <c r="H78" s="157">
        <f>sum(H79:H83)</f>
        <v/>
      </c>
      <c r="I78" s="164">
        <f>H78-G78</f>
        <v/>
      </c>
      <c r="J78" s="166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0">
        <f>P78-O78</f>
        <v/>
      </c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</row>
    <row r="79">
      <c r="A79" s="164" t="n"/>
      <c r="B79" s="164" t="inlineStr">
        <is>
          <t>Organic</t>
        </is>
      </c>
      <c r="C79" s="164">
        <f>SUMIFS('MTD Pivot'!D:D, 'MTD Pivot'!$A:$A, "Sàn đầu tư", 'MTD Pivot'!$C:$C, $B72)</f>
        <v/>
      </c>
      <c r="D79" s="164">
        <f>SUMIFS('MTD Pivot'!E:E, 'MTD Pivot'!$A:$A, "Sàn đầu tư", 'MTD Pivot'!$C:$C, $B72)</f>
        <v/>
      </c>
      <c r="E79" s="164">
        <f>SUMIFS('MTD Pivot'!F:F, 'MTD Pivot'!$A:$A, "Sàn đầu tư", 'MTD Pivot'!$C:$C, $B72)</f>
        <v/>
      </c>
      <c r="F79" s="164">
        <f>SUMIFS('MTD Pivot'!G:G, 'MTD Pivot'!$A:$A, "Sàn đầu tư", 'MTD Pivot'!$C:$C, $B72)</f>
        <v/>
      </c>
      <c r="G79" s="164">
        <f>SUMIFS('MTD Pivot'!H:H, 'MTD Pivot'!$A:$A, "Sàn đầu tư", 'MTD Pivot'!$C:$C, $B72)</f>
        <v/>
      </c>
      <c r="H79" s="164">
        <f>SUMIFS('MTD Pivot'!I:I, 'MTD Pivot'!$A:$A, "Sàn đầu tư", 'MTD Pivot'!$C:$C, $B72)</f>
        <v/>
      </c>
      <c r="I79" s="164">
        <f>H79-G79</f>
        <v/>
      </c>
      <c r="J79" s="162" t="n"/>
      <c r="K79" s="50">
        <f>SUMIFS('Full month Pivot'!D:D, 'Full month Pivot'!$A:$A, "Sàn đầu tư", 'Full month Pivot'!$C:$C, $B72)</f>
        <v/>
      </c>
      <c r="L79" s="50">
        <f>SUMIFS('Full month Pivot'!E:E, 'Full month Pivot'!$A:$A, "Sàn đầu tư", 'Full month Pivot'!$C:$C, $B72)</f>
        <v/>
      </c>
      <c r="M79" s="50">
        <f>SUMIFS('Full month Pivot'!F:F, 'Full month Pivot'!$A:$A, "Sàn đầu tư", 'Full month Pivot'!$C:$C, $B72)</f>
        <v/>
      </c>
      <c r="N79" s="50">
        <f>SUMIFS('Full month Pivot'!G:G, 'Full month Pivot'!$A:$A, "Sàn đầu tư", 'Full month Pivot'!$C:$C, $B72)</f>
        <v/>
      </c>
      <c r="O79" s="50">
        <f>SUMIFS('Full month Pivot'!H:H, 'Full month Pivot'!$A:$A, "Sàn đầu tư", 'Full month Pivot'!$C:$C, $B72)</f>
        <v/>
      </c>
      <c r="P79" s="50">
        <f>SUMIFS('Full month Pivot'!I:I, 'Full month Pivot'!$A:$A, "Sàn đầu tư", 'Full month Pivot'!$C:$C, $B72)</f>
        <v/>
      </c>
      <c r="Q79" s="50">
        <f>P79-O79</f>
        <v/>
      </c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</row>
    <row r="80">
      <c r="A80" s="164" t="n"/>
      <c r="B80" s="164" t="inlineStr">
        <is>
          <t>Direct</t>
        </is>
      </c>
      <c r="C80" s="164">
        <f>SUMIFS('MTD Pivot'!D:D, 'MTD Pivot'!$A:$A, "Sàn đầu tư", 'MTD Pivot'!$C:$C, $B73)</f>
        <v/>
      </c>
      <c r="D80" s="164">
        <f>SUMIFS('MTD Pivot'!E:E, 'MTD Pivot'!$A:$A, "Sàn đầu tư", 'MTD Pivot'!$C:$C, $B73)</f>
        <v/>
      </c>
      <c r="E80" s="164">
        <f>SUMIFS('MTD Pivot'!F:F, 'MTD Pivot'!$A:$A, "Sàn đầu tư", 'MTD Pivot'!$C:$C, $B73)</f>
        <v/>
      </c>
      <c r="F80" s="164">
        <f>SUMIFS('MTD Pivot'!G:G, 'MTD Pivot'!$A:$A, "Sàn đầu tư", 'MTD Pivot'!$C:$C, $B73)</f>
        <v/>
      </c>
      <c r="G80" s="164">
        <f>SUMIFS('MTD Pivot'!H:H, 'MTD Pivot'!$A:$A, "Sàn đầu tư", 'MTD Pivot'!$C:$C, $B73)</f>
        <v/>
      </c>
      <c r="H80" s="164">
        <f>SUMIFS('MTD Pivot'!I:I, 'MTD Pivot'!$A:$A, "Sàn đầu tư", 'MTD Pivot'!$C:$C, $B73)</f>
        <v/>
      </c>
      <c r="I80" s="164">
        <f>H80-G80</f>
        <v/>
      </c>
      <c r="J80" s="162" t="n"/>
      <c r="K80" s="50">
        <f>SUMIFS('Full month Pivot'!D:D, 'Full month Pivot'!$A:$A, "Sàn đầu tư", 'Full month Pivot'!$C:$C, $B73)</f>
        <v/>
      </c>
      <c r="L80" s="50">
        <f>SUMIFS('Full month Pivot'!E:E, 'Full month Pivot'!$A:$A, "Sàn đầu tư", 'Full month Pivot'!$C:$C, $B73)</f>
        <v/>
      </c>
      <c r="M80" s="50">
        <f>SUMIFS('Full month Pivot'!F:F, 'Full month Pivot'!$A:$A, "Sàn đầu tư", 'Full month Pivot'!$C:$C, $B73)</f>
        <v/>
      </c>
      <c r="N80" s="50">
        <f>SUMIFS('Full month Pivot'!G:G, 'Full month Pivot'!$A:$A, "Sàn đầu tư", 'Full month Pivot'!$C:$C, $B73)</f>
        <v/>
      </c>
      <c r="O80" s="50">
        <f>SUMIFS('Full month Pivot'!H:H, 'Full month Pivot'!$A:$A, "Sàn đầu tư", 'Full month Pivot'!$C:$C, $B73)</f>
        <v/>
      </c>
      <c r="P80" s="50">
        <f>SUMIFS('Full month Pivot'!I:I, 'Full month Pivot'!$A:$A, "Sàn đầu tư", 'Full month Pivot'!$C:$C, $B73)</f>
        <v/>
      </c>
      <c r="Q80" s="50">
        <f>P80-O80</f>
        <v/>
      </c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</row>
    <row r="81">
      <c r="A81" s="164" t="n"/>
      <c r="B81" s="164" t="inlineStr">
        <is>
          <t>Referral</t>
        </is>
      </c>
      <c r="C81" s="164">
        <f>SUMIFS('MTD Pivot'!D:D, 'MTD Pivot'!$A:$A, "Sàn đầu tư", 'MTD Pivot'!$C:$C, $B74)</f>
        <v/>
      </c>
      <c r="D81" s="164">
        <f>SUMIFS('MTD Pivot'!E:E, 'MTD Pivot'!$A:$A, "Sàn đầu tư", 'MTD Pivot'!$C:$C, $B74)</f>
        <v/>
      </c>
      <c r="E81" s="164">
        <f>SUMIFS('MTD Pivot'!F:F, 'MTD Pivot'!$A:$A, "Sàn đầu tư", 'MTD Pivot'!$C:$C, $B74)</f>
        <v/>
      </c>
      <c r="F81" s="164">
        <f>SUMIFS('MTD Pivot'!G:G, 'MTD Pivot'!$A:$A, "Sàn đầu tư", 'MTD Pivot'!$C:$C, $B74)</f>
        <v/>
      </c>
      <c r="G81" s="164">
        <f>SUMIFS('MTD Pivot'!H:H, 'MTD Pivot'!$A:$A, "Sàn đầu tư", 'MTD Pivot'!$C:$C, $B74)</f>
        <v/>
      </c>
      <c r="H81" s="164">
        <f>SUMIFS('MTD Pivot'!I:I, 'MTD Pivot'!$A:$A, "Sàn đầu tư", 'MTD Pivot'!$C:$C, $B74)</f>
        <v/>
      </c>
      <c r="I81" s="164">
        <f>H81-G81</f>
        <v/>
      </c>
      <c r="J81" s="162" t="n"/>
      <c r="K81" s="50">
        <f>SUMIFS('Full month Pivot'!D:D, 'Full month Pivot'!$A:$A, "Sàn đầu tư", 'Full month Pivot'!$C:$C, $B74)</f>
        <v/>
      </c>
      <c r="L81" s="50">
        <f>SUMIFS('Full month Pivot'!E:E, 'Full month Pivot'!$A:$A, "Sàn đầu tư", 'Full month Pivot'!$C:$C, $B74)</f>
        <v/>
      </c>
      <c r="M81" s="50">
        <f>SUMIFS('Full month Pivot'!F:F, 'Full month Pivot'!$A:$A, "Sàn đầu tư", 'Full month Pivot'!$C:$C, $B74)</f>
        <v/>
      </c>
      <c r="N81" s="50">
        <f>SUMIFS('Full month Pivot'!G:G, 'Full month Pivot'!$A:$A, "Sàn đầu tư", 'Full month Pivot'!$C:$C, $B74)</f>
        <v/>
      </c>
      <c r="O81" s="50">
        <f>SUMIFS('Full month Pivot'!H:H, 'Full month Pivot'!$A:$A, "Sàn đầu tư", 'Full month Pivot'!$C:$C, $B74)</f>
        <v/>
      </c>
      <c r="P81" s="50">
        <f>SUMIFS('Full month Pivot'!I:I, 'Full month Pivot'!$A:$A, "Sàn đầu tư", 'Full month Pivot'!$C:$C, $B74)</f>
        <v/>
      </c>
      <c r="Q81" s="50">
        <f>P81-O81</f>
        <v/>
      </c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</row>
    <row r="82">
      <c r="A82" s="164" t="n"/>
      <c r="B82" s="164" t="inlineStr">
        <is>
          <t>Others</t>
        </is>
      </c>
      <c r="C82" s="164">
        <f>SUMIFS('MTD Pivot'!D:D, 'MTD Pivot'!$A:$A, "Sàn đầu tư", 'MTD Pivot'!$C:$C, $B75)</f>
        <v/>
      </c>
      <c r="D82" s="164">
        <f>SUMIFS('MTD Pivot'!E:E, 'MTD Pivot'!$A:$A, "Sàn đầu tư", 'MTD Pivot'!$C:$C, $B75)</f>
        <v/>
      </c>
      <c r="E82" s="164">
        <f>SUMIFS('MTD Pivot'!F:F, 'MTD Pivot'!$A:$A, "Sàn đầu tư", 'MTD Pivot'!$C:$C, $B75)</f>
        <v/>
      </c>
      <c r="F82" s="164">
        <f>SUMIFS('MTD Pivot'!G:G, 'MTD Pivot'!$A:$A, "Sàn đầu tư", 'MTD Pivot'!$C:$C, $B75)</f>
        <v/>
      </c>
      <c r="G82" s="164">
        <f>SUMIFS('MTD Pivot'!H:H, 'MTD Pivot'!$A:$A, "Sàn đầu tư", 'MTD Pivot'!$C:$C, $B75)</f>
        <v/>
      </c>
      <c r="H82" s="164">
        <f>SUMIFS('MTD Pivot'!I:I, 'MTD Pivot'!$A:$A, "Sàn đầu tư", 'MTD Pivot'!$C:$C, $B75)</f>
        <v/>
      </c>
      <c r="I82" s="164">
        <f>H82-G82</f>
        <v/>
      </c>
      <c r="J82" s="162" t="n"/>
      <c r="K82" s="50">
        <f>SUMIFS('Full month Pivot'!D:D, 'Full month Pivot'!$A:$A, "Sàn đầu tư", 'Full month Pivot'!$C:$C, $B75)</f>
        <v/>
      </c>
      <c r="L82" s="50">
        <f>SUMIFS('Full month Pivot'!E:E, 'Full month Pivot'!$A:$A, "Sàn đầu tư", 'Full month Pivot'!$C:$C, $B75)</f>
        <v/>
      </c>
      <c r="M82" s="50">
        <f>SUMIFS('Full month Pivot'!F:F, 'Full month Pivot'!$A:$A, "Sàn đầu tư", 'Full month Pivot'!$C:$C, $B75)</f>
        <v/>
      </c>
      <c r="N82" s="50">
        <f>SUMIFS('Full month Pivot'!G:G, 'Full month Pivot'!$A:$A, "Sàn đầu tư", 'Full month Pivot'!$C:$C, $B75)</f>
        <v/>
      </c>
      <c r="O82" s="50">
        <f>SUMIFS('Full month Pivot'!H:H, 'Full month Pivot'!$A:$A, "Sàn đầu tư", 'Full month Pivot'!$C:$C, $B75)</f>
        <v/>
      </c>
      <c r="P82" s="50">
        <f>SUMIFS('Full month Pivot'!I:I, 'Full month Pivot'!$A:$A, "Sàn đầu tư", 'Full month Pivot'!$C:$C, $B75)</f>
        <v/>
      </c>
      <c r="Q82" s="50">
        <f>P82-O82</f>
        <v/>
      </c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</row>
    <row r="83">
      <c r="A83" s="164" t="n"/>
      <c r="B83" s="164" t="inlineStr">
        <is>
          <t>Paid</t>
        </is>
      </c>
      <c r="C83" s="164">
        <f>SUMIFS('MTD Pivot'!D:D, 'MTD Pivot'!$A:$A, "Sàn đầu tư", 'MTD Pivot'!$C:$C, $B76)</f>
        <v/>
      </c>
      <c r="D83" s="164">
        <f>SUMIFS('MTD Pivot'!E:E, 'MTD Pivot'!$A:$A, "Sàn đầu tư", 'MTD Pivot'!$C:$C, $B76)</f>
        <v/>
      </c>
      <c r="E83" s="164">
        <f>SUMIFS('MTD Pivot'!F:F, 'MTD Pivot'!$A:$A, "Sàn đầu tư", 'MTD Pivot'!$C:$C, $B76)</f>
        <v/>
      </c>
      <c r="F83" s="164">
        <f>SUMIFS('MTD Pivot'!G:G, 'MTD Pivot'!$A:$A, "Sàn đầu tư", 'MTD Pivot'!$C:$C, $B76)</f>
        <v/>
      </c>
      <c r="G83" s="164">
        <f>SUMIFS('MTD Pivot'!H:H, 'MTD Pivot'!$A:$A, "Sàn đầu tư", 'MTD Pivot'!$C:$C, $B76)</f>
        <v/>
      </c>
      <c r="H83" s="164">
        <f>SUMIFS('MTD Pivot'!I:I, 'MTD Pivot'!$A:$A, "Sàn đầu tư", 'MTD Pivot'!$C:$C, $B76)</f>
        <v/>
      </c>
      <c r="I83" s="164">
        <f>H83-G83</f>
        <v/>
      </c>
      <c r="J83" s="162" t="n"/>
      <c r="K83" s="50">
        <f>SUMIFS('Full month Pivot'!D:D, 'Full month Pivot'!$A:$A, "Sàn đầu tư", 'Full month Pivot'!$C:$C, $B76)</f>
        <v/>
      </c>
      <c r="L83" s="50">
        <f>SUMIFS('Full month Pivot'!E:E, 'Full month Pivot'!$A:$A, "Sàn đầu tư", 'Full month Pivot'!$C:$C, $B76)</f>
        <v/>
      </c>
      <c r="M83" s="50">
        <f>SUMIFS('Full month Pivot'!F:F, 'Full month Pivot'!$A:$A, "Sàn đầu tư", 'Full month Pivot'!$C:$C, $B76)</f>
        <v/>
      </c>
      <c r="N83" s="50">
        <f>SUMIFS('Full month Pivot'!G:G, 'Full month Pivot'!$A:$A, "Sàn đầu tư", 'Full month Pivot'!$C:$C, $B76)</f>
        <v/>
      </c>
      <c r="O83" s="50">
        <f>SUMIFS('Full month Pivot'!H:H, 'Full month Pivot'!$A:$A, "Sàn đầu tư", 'Full month Pivot'!$C:$C, $B76)</f>
        <v/>
      </c>
      <c r="P83" s="50">
        <f>SUMIFS('Full month Pivot'!I:I, 'Full month Pivot'!$A:$A, "Sàn đầu tư", 'Full month Pivot'!$C:$C, $B76)</f>
        <v/>
      </c>
      <c r="Q83" s="50">
        <f>P83-O83</f>
        <v/>
      </c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</row>
    <row r="84">
      <c r="A84" s="164" t="n"/>
      <c r="B84" s="165" t="n"/>
      <c r="C84" s="165" t="n"/>
      <c r="D84" s="165" t="n"/>
      <c r="E84" s="165" t="n"/>
      <c r="F84" s="165" t="n"/>
      <c r="G84" s="165" t="n"/>
      <c r="H84" s="165" t="n"/>
      <c r="I84" s="164" t="n"/>
      <c r="J84" s="200" t="n"/>
      <c r="K84" s="165" t="n"/>
      <c r="L84" s="165" t="n"/>
      <c r="M84" s="165" t="n"/>
      <c r="N84" s="165" t="n"/>
      <c r="O84" s="165" t="n"/>
      <c r="P84" s="165" t="n"/>
      <c r="Q84" s="164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</row>
    <row r="85">
      <c r="A85" s="164" t="n"/>
      <c r="B85" s="165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50">
        <f>H85-G85</f>
        <v/>
      </c>
      <c r="J85" s="200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50">
        <f>P85-O85</f>
        <v/>
      </c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</row>
    <row r="86">
      <c r="A86" s="157" t="inlineStr">
        <is>
          <t>Trung Tâm Tài Chính</t>
        </is>
      </c>
      <c r="B86" s="164" t="inlineStr">
        <is>
          <t>Organic</t>
        </is>
      </c>
      <c r="C86" s="50">
        <f>SUMIFS('MTD Pivot'!D:D, 'MTD Pivot'!$A:$A, "Trung Tâm Tài Chính", 'MTD Pivot'!$C:$C, $B$86:$B$90)</f>
        <v/>
      </c>
      <c r="D86" s="50">
        <f>SUMIFS('MTD Pivot'!E:E, 'MTD Pivot'!$A:$A, "Trung Tâm Tài Chính", 'MTD Pivot'!$C:$C, $B$86:$B$90)</f>
        <v/>
      </c>
      <c r="E86" s="50">
        <f>SUMIFS('MTD Pivot'!F:F, 'MTD Pivot'!$A:$A, "Trung Tâm Tài Chính", 'MTD Pivot'!$C:$C, $B$86:$B$90)</f>
        <v/>
      </c>
      <c r="F86" s="50">
        <f>SUMIFS('MTD Pivot'!G:G, 'MTD Pivot'!$A:$A, "Trung Tâm Tài Chính", 'MTD Pivot'!$C:$C, $B$86:$B$90)</f>
        <v/>
      </c>
      <c r="G86" s="50">
        <f>SUMIFS('MTD Pivot'!H:H, 'MTD Pivot'!$A:$A, "Trung Tâm Tài Chính", 'MTD Pivot'!$C:$C, $B$86:$B$90)</f>
        <v/>
      </c>
      <c r="H86" s="50">
        <f>SUMIFS('MTD Pivot'!I:I, 'MTD Pivot'!$A:$A, "Trung Tâm Tài Chính", 'MTD Pivot'!$C:$C, $B$86:$B$90)</f>
        <v/>
      </c>
      <c r="I86" s="50">
        <f>H86-G86</f>
        <v/>
      </c>
      <c r="J86" s="200" t="n"/>
      <c r="K86" s="50">
        <f>SUMIFS('Full month Pivot'!D:D, 'Full month Pivot'!$A:$A, "Trung Tâm Tài Chính", 'Full month Pivot'!$C:$C, $B72)</f>
        <v/>
      </c>
      <c r="L86" s="50">
        <f>SUMIFS('Full month Pivot'!E:E, 'Full month Pivot'!$A:$A, "Trung Tâm Tài Chính", 'Full month Pivot'!$C:$C, $B72)</f>
        <v/>
      </c>
      <c r="M86" s="50">
        <f>SUMIFS('Full month Pivot'!F:F, 'Full month Pivot'!$A:$A, "Trung Tâm Tài Chính", 'Full month Pivot'!$C:$C, $B72)</f>
        <v/>
      </c>
      <c r="N86" s="50">
        <f>SUMIFS('Full month Pivot'!G:G, 'Full month Pivot'!$A:$A, "Trung Tâm Tài Chính", 'Full month Pivot'!$C:$C, $B72)</f>
        <v/>
      </c>
      <c r="O86" s="50">
        <f>SUMIFS('Full month Pivot'!H:H, 'Full month Pivot'!$A:$A, "Trung Tâm Tài Chính", 'Full month Pivot'!$C:$C, $B72)</f>
        <v/>
      </c>
      <c r="P86" s="50">
        <f>SUMIFS('Full month Pivot'!I:I, 'Full month Pivot'!$A:$A, "Trung Tâm Tài Chính", 'Full month Pivot'!$C:$C, $B72)</f>
        <v/>
      </c>
      <c r="Q86" s="50">
        <f>P86-O86</f>
        <v/>
      </c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</row>
    <row r="87">
      <c r="A87" s="164" t="n"/>
      <c r="B87" s="164" t="inlineStr">
        <is>
          <t>Direct</t>
        </is>
      </c>
      <c r="C87" s="50">
        <f>SUMIFS('MTD Pivot'!D:D, 'MTD Pivot'!$A:$A, "Trung Tâm Tài Chính", 'MTD Pivot'!$C:$C, $B$86:$B$90)</f>
        <v/>
      </c>
      <c r="D87" s="50">
        <f>SUMIFS('MTD Pivot'!E:E, 'MTD Pivot'!$A:$A, "Trung Tâm Tài Chính", 'MTD Pivot'!$C:$C, $B$86:$B$90)</f>
        <v/>
      </c>
      <c r="E87" s="50">
        <f>SUMIFS('MTD Pivot'!F:F, 'MTD Pivot'!$A:$A, "Trung Tâm Tài Chính", 'MTD Pivot'!$C:$C, $B$86:$B$90)</f>
        <v/>
      </c>
      <c r="F87" s="50">
        <f>SUMIFS('MTD Pivot'!G:G, 'MTD Pivot'!$A:$A, "Trung Tâm Tài Chính", 'MTD Pivot'!$C:$C, $B$86:$B$90)</f>
        <v/>
      </c>
      <c r="G87" s="50">
        <f>SUMIFS('MTD Pivot'!H:H, 'MTD Pivot'!$A:$A, "Trung Tâm Tài Chính", 'MTD Pivot'!$C:$C, $B$86:$B$90)</f>
        <v/>
      </c>
      <c r="H87" s="50">
        <f>SUMIFS('MTD Pivot'!I:I, 'MTD Pivot'!$A:$A, "Trung Tâm Tài Chính", 'MTD Pivot'!$C:$C, $B$86:$B$90)</f>
        <v/>
      </c>
      <c r="I87" s="50">
        <f>H87-G87</f>
        <v/>
      </c>
      <c r="J87" s="200" t="n"/>
      <c r="K87" s="50">
        <f>SUMIFS('Full month Pivot'!D:D, 'Full month Pivot'!$A:$A, "Trung Tâm Tài Chính", 'Full month Pivot'!$C:$C, $B73)</f>
        <v/>
      </c>
      <c r="L87" s="50">
        <f>SUMIFS('Full month Pivot'!E:E, 'Full month Pivot'!$A:$A, "Trung Tâm Tài Chính", 'Full month Pivot'!$C:$C, $B73)</f>
        <v/>
      </c>
      <c r="M87" s="50">
        <f>SUMIFS('Full month Pivot'!F:F, 'Full month Pivot'!$A:$A, "Trung Tâm Tài Chính", 'Full month Pivot'!$C:$C, $B73)</f>
        <v/>
      </c>
      <c r="N87" s="50">
        <f>SUMIFS('Full month Pivot'!G:G, 'Full month Pivot'!$A:$A, "Trung Tâm Tài Chính", 'Full month Pivot'!$C:$C, $B73)</f>
        <v/>
      </c>
      <c r="O87" s="50">
        <f>SUMIFS('Full month Pivot'!H:H, 'Full month Pivot'!$A:$A, "Trung Tâm Tài Chính", 'Full month Pivot'!$C:$C, $B73)</f>
        <v/>
      </c>
      <c r="P87" s="50">
        <f>SUMIFS('Full month Pivot'!I:I, 'Full month Pivot'!$A:$A, "Trung Tâm Tài Chính", 'Full month Pivot'!$C:$C, $B73)</f>
        <v/>
      </c>
      <c r="Q87" s="50">
        <f>P87-O87</f>
        <v/>
      </c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</row>
    <row r="88">
      <c r="A88" s="164" t="n"/>
      <c r="B88" s="164" t="inlineStr">
        <is>
          <t>Referral</t>
        </is>
      </c>
      <c r="C88" s="50">
        <f>SUMIFS('MTD Pivot'!D:D, 'MTD Pivot'!$A:$A, "Trung Tâm Tài Chính", 'MTD Pivot'!$C:$C, $B$86:$B$90)</f>
        <v/>
      </c>
      <c r="D88" s="50">
        <f>SUMIFS('MTD Pivot'!E:E, 'MTD Pivot'!$A:$A, "Trung Tâm Tài Chính", 'MTD Pivot'!$C:$C, $B$86:$B$90)</f>
        <v/>
      </c>
      <c r="E88" s="50">
        <f>SUMIFS('MTD Pivot'!F:F, 'MTD Pivot'!$A:$A, "Trung Tâm Tài Chính", 'MTD Pivot'!$C:$C, $B$86:$B$90)</f>
        <v/>
      </c>
      <c r="F88" s="50">
        <f>SUMIFS('MTD Pivot'!G:G, 'MTD Pivot'!$A:$A, "Trung Tâm Tài Chính", 'MTD Pivot'!$C:$C, $B$86:$B$90)</f>
        <v/>
      </c>
      <c r="G88" s="50">
        <f>SUMIFS('MTD Pivot'!H:H, 'MTD Pivot'!$A:$A, "Trung Tâm Tài Chính", 'MTD Pivot'!$C:$C, $B$86:$B$90)</f>
        <v/>
      </c>
      <c r="H88" s="50">
        <f>SUMIFS('MTD Pivot'!I:I, 'MTD Pivot'!$A:$A, "Trung Tâm Tài Chính", 'MTD Pivot'!$C:$C, $B$86:$B$90)</f>
        <v/>
      </c>
      <c r="I88" s="50">
        <f>H88-G88</f>
        <v/>
      </c>
      <c r="J88" s="162" t="n"/>
      <c r="K88" s="50">
        <f>SUMIFS('Full month Pivot'!D:D, 'Full month Pivot'!$A:$A, "Trung Tâm Tài Chính", 'Full month Pivot'!$C:$C, $B74)</f>
        <v/>
      </c>
      <c r="L88" s="50">
        <f>SUMIFS('Full month Pivot'!E:E, 'Full month Pivot'!$A:$A, "Trung Tâm Tài Chính", 'Full month Pivot'!$C:$C, $B74)</f>
        <v/>
      </c>
      <c r="M88" s="50">
        <f>SUMIFS('Full month Pivot'!F:F, 'Full month Pivot'!$A:$A, "Trung Tâm Tài Chính", 'Full month Pivot'!$C:$C, $B74)</f>
        <v/>
      </c>
      <c r="N88" s="50">
        <f>SUMIFS('Full month Pivot'!G:G, 'Full month Pivot'!$A:$A, "Trung Tâm Tài Chính", 'Full month Pivot'!$C:$C, $B74)</f>
        <v/>
      </c>
      <c r="O88" s="50">
        <f>SUMIFS('Full month Pivot'!H:H, 'Full month Pivot'!$A:$A, "Trung Tâm Tài Chính", 'Full month Pivot'!$C:$C, $B74)</f>
        <v/>
      </c>
      <c r="P88" s="50">
        <f>SUMIFS('Full month Pivot'!I:I, 'Full month Pivot'!$A:$A, "Trung Tâm Tài Chính", 'Full month Pivot'!$C:$C, $B74)</f>
        <v/>
      </c>
      <c r="Q88" s="50">
        <f>P88-O88</f>
        <v/>
      </c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</row>
    <row r="89">
      <c r="A89" s="164" t="n"/>
      <c r="B89" s="164" t="inlineStr">
        <is>
          <t>Others</t>
        </is>
      </c>
      <c r="C89" s="50">
        <f>SUMIFS('MTD Pivot'!D:D, 'MTD Pivot'!$A:$A, "Trung Tâm Tài Chính", 'MTD Pivot'!$C:$C, $B$86:$B$90)</f>
        <v/>
      </c>
      <c r="D89" s="50">
        <f>SUMIFS('MTD Pivot'!E:E, 'MTD Pivot'!$A:$A, "Trung Tâm Tài Chính", 'MTD Pivot'!$C:$C, $B$86:$B$90)</f>
        <v/>
      </c>
      <c r="E89" s="50">
        <f>SUMIFS('MTD Pivot'!F:F, 'MTD Pivot'!$A:$A, "Trung Tâm Tài Chính", 'MTD Pivot'!$C:$C, $B$86:$B$90)</f>
        <v/>
      </c>
      <c r="F89" s="50">
        <f>SUMIFS('MTD Pivot'!G:G, 'MTD Pivot'!$A:$A, "Trung Tâm Tài Chính", 'MTD Pivot'!$C:$C, $B$86:$B$90)</f>
        <v/>
      </c>
      <c r="G89" s="50">
        <f>SUMIFS('MTD Pivot'!H:H, 'MTD Pivot'!$A:$A, "Trung Tâm Tài Chính", 'MTD Pivot'!$C:$C, $B$86:$B$90)</f>
        <v/>
      </c>
      <c r="H89" s="50">
        <f>SUMIFS('MTD Pivot'!I:I, 'MTD Pivot'!$A:$A, "Trung Tâm Tài Chính", 'MTD Pivot'!$C:$C, $B$86:$B$90)</f>
        <v/>
      </c>
      <c r="I89" s="50">
        <f>H89-G89</f>
        <v/>
      </c>
      <c r="J89" s="162" t="n"/>
      <c r="K89" s="50">
        <f>SUMIFS('Full month Pivot'!D:D, 'Full month Pivot'!$A:$A, "Trung Tâm Tài Chính", 'Full month Pivot'!$C:$C, $B75)</f>
        <v/>
      </c>
      <c r="L89" s="50">
        <f>SUMIFS('Full month Pivot'!E:E, 'Full month Pivot'!$A:$A, "Trung Tâm Tài Chính", 'Full month Pivot'!$C:$C, $B75)</f>
        <v/>
      </c>
      <c r="M89" s="50">
        <f>SUMIFS('Full month Pivot'!F:F, 'Full month Pivot'!$A:$A, "Trung Tâm Tài Chính", 'Full month Pivot'!$C:$C, $B75)</f>
        <v/>
      </c>
      <c r="N89" s="50">
        <f>SUMIFS('Full month Pivot'!G:G, 'Full month Pivot'!$A:$A, "Trung Tâm Tài Chính", 'Full month Pivot'!$C:$C, $B75)</f>
        <v/>
      </c>
      <c r="O89" s="50">
        <f>SUMIFS('Full month Pivot'!H:H, 'Full month Pivot'!$A:$A, "Trung Tâm Tài Chính", 'Full month Pivot'!$C:$C, $B75)</f>
        <v/>
      </c>
      <c r="P89" s="50">
        <f>SUMIFS('Full month Pivot'!I:I, 'Full month Pivot'!$A:$A, "Trung Tâm Tài Chính", 'Full month Pivot'!$C:$C, $B75)</f>
        <v/>
      </c>
      <c r="Q89" s="50">
        <f>P89-O89</f>
        <v/>
      </c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</row>
    <row r="90">
      <c r="A90" s="164" t="n"/>
      <c r="B90" s="164" t="inlineStr">
        <is>
          <t>Paid</t>
        </is>
      </c>
      <c r="C90" s="50">
        <f>SUMIFS('MTD Pivot'!D:D, 'MTD Pivot'!$A:$A, "Trung Tâm Tài Chính", 'MTD Pivot'!$C:$C, $B$86:$B$90)</f>
        <v/>
      </c>
      <c r="D90" s="50">
        <f>SUMIFS('MTD Pivot'!E:E, 'MTD Pivot'!$A:$A, "Trung Tâm Tài Chính", 'MTD Pivot'!$C:$C, $B$86:$B$90)</f>
        <v/>
      </c>
      <c r="E90" s="50">
        <f>SUMIFS('MTD Pivot'!F:F, 'MTD Pivot'!$A:$A, "Trung Tâm Tài Chính", 'MTD Pivot'!$C:$C, $B$86:$B$90)</f>
        <v/>
      </c>
      <c r="F90" s="50">
        <f>SUMIFS('MTD Pivot'!G:G, 'MTD Pivot'!$A:$A, "Trung Tâm Tài Chính", 'MTD Pivot'!$C:$C, $B$86:$B$90)</f>
        <v/>
      </c>
      <c r="G90" s="50">
        <f>SUMIFS('MTD Pivot'!H:H, 'MTD Pivot'!$A:$A, "Trung Tâm Tài Chính", 'MTD Pivot'!$C:$C, $B$86:$B$90)</f>
        <v/>
      </c>
      <c r="H90" s="50">
        <f>SUMIFS('MTD Pivot'!I:I, 'MTD Pivot'!$A:$A, "Trung Tâm Tài Chính", 'MTD Pivot'!$C:$C, $B$86:$B$90)</f>
        <v/>
      </c>
      <c r="I90" s="50">
        <f>H90-G90</f>
        <v/>
      </c>
      <c r="J90" s="162" t="n"/>
      <c r="K90" s="50">
        <f>SUMIFS('Full month Pivot'!D:D, 'Full month Pivot'!$A:$A, "Trung Tâm Tài Chính", 'Full month Pivot'!$C:$C, $B76)</f>
        <v/>
      </c>
      <c r="L90" s="50">
        <f>SUMIFS('Full month Pivot'!E:E, 'Full month Pivot'!$A:$A, "Trung Tâm Tài Chính", 'Full month Pivot'!$C:$C, $B76)</f>
        <v/>
      </c>
      <c r="M90" s="50">
        <f>SUMIFS('Full month Pivot'!F:F, 'Full month Pivot'!$A:$A, "Trung Tâm Tài Chính", 'Full month Pivot'!$C:$C, $B76)</f>
        <v/>
      </c>
      <c r="N90" s="50">
        <f>SUMIFS('Full month Pivot'!G:G, 'Full month Pivot'!$A:$A, "Trung Tâm Tài Chính", 'Full month Pivot'!$C:$C, $B76)</f>
        <v/>
      </c>
      <c r="O90" s="50">
        <f>SUMIFS('Full month Pivot'!H:H, 'Full month Pivot'!$A:$A, "Trung Tâm Tài Chính", 'Full month Pivot'!$C:$C, $B76)</f>
        <v/>
      </c>
      <c r="P90" s="50">
        <f>SUMIFS('Full month Pivot'!I:I, 'Full month Pivot'!$A:$A, "Trung Tâm Tài Chính", 'Full month Pivot'!$C:$C, $B76)</f>
        <v/>
      </c>
      <c r="Q90" s="50">
        <f>P90-O90</f>
        <v/>
      </c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2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</row>
    <row r="92">
      <c r="A92" s="164" t="n"/>
      <c r="B92" s="164" t="n"/>
      <c r="C92" s="164">
        <f>sum(C93:C97)</f>
        <v/>
      </c>
      <c r="D92" s="164">
        <f>sum(D93:D97)</f>
        <v/>
      </c>
      <c r="E92" s="164">
        <f>sum(E93:E97)</f>
        <v/>
      </c>
      <c r="F92" s="164">
        <f>sum(F93:F97)</f>
        <v/>
      </c>
      <c r="G92" s="164">
        <f>sum(G93:G97)</f>
        <v/>
      </c>
      <c r="H92" s="164">
        <f>sum(H93:H97)</f>
        <v/>
      </c>
      <c r="I92" s="164">
        <f>H92-G92</f>
        <v/>
      </c>
      <c r="J92" s="162" t="n"/>
      <c r="K92" s="164">
        <f>sum(K93:K97)</f>
        <v/>
      </c>
      <c r="L92" s="164">
        <f>sum(L93:L97)</f>
        <v/>
      </c>
      <c r="M92" s="164">
        <f>sum(M93:M97)</f>
        <v/>
      </c>
      <c r="N92" s="164">
        <f>sum(N93:N97)</f>
        <v/>
      </c>
      <c r="O92" s="164">
        <f>sum(O93:O97)</f>
        <v/>
      </c>
      <c r="P92" s="164">
        <f>sum(P93:P97)</f>
        <v/>
      </c>
      <c r="Q92" s="164">
        <f>P92-O92</f>
        <v/>
      </c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</row>
    <row r="93">
      <c r="A93" s="157" t="inlineStr">
        <is>
          <t>Tiệm Vàng Online</t>
        </is>
      </c>
      <c r="B93" s="164" t="inlineStr">
        <is>
          <t>Organic</t>
        </is>
      </c>
      <c r="C93" s="164">
        <f>SUMIFS('MTD Pivot'!D:D, 'MTD Pivot'!$A:$A, "Tiệm Vàng Online", 'MTD Pivot'!$C:$C, $B$93:$B$97)</f>
        <v/>
      </c>
      <c r="D93" s="164">
        <f>SUMIFS('MTD Pivot'!E:E, 'MTD Pivot'!$A:$A, "Tiệm Vàng Online", 'MTD Pivot'!$C:$C, $B$93:$B$97)</f>
        <v/>
      </c>
      <c r="E93" s="164">
        <f>SUMIFS('MTD Pivot'!F:F, 'MTD Pivot'!$A:$A, "Tiệm Vàng Online", 'MTD Pivot'!$C:$C, $B$93:$B$97)</f>
        <v/>
      </c>
      <c r="F93" s="164">
        <f>SUMIFS('MTD Pivot'!G:G, 'MTD Pivot'!$A:$A, "Tiệm Vàng Online", 'MTD Pivot'!$C:$C, $B$93:$B$97)</f>
        <v/>
      </c>
      <c r="G93" s="164">
        <f>SUMIFS('MTD Pivot'!H:H, 'MTD Pivot'!$A:$A, "Tiệm Vàng Online", 'MTD Pivot'!$C:$C, $B$93:$B$97)</f>
        <v/>
      </c>
      <c r="H93" s="164">
        <f>SUMIFS('MTD Pivot'!I:I, 'MTD Pivot'!$A:$A, "Tiệm Vàng Online", 'MTD Pivot'!$C:$C, $B$93:$B$97)</f>
        <v/>
      </c>
      <c r="I93" s="164">
        <f>H93-G93</f>
        <v/>
      </c>
      <c r="J93" s="162" t="n"/>
      <c r="K93" s="164">
        <f>SUMIFS('Full month Pivot'!D:D, 'Full month Pivot'!$A:$A, "Tiệm Vàng Online", 'Full month Pivot'!$C:$C, $B$93:$B$97)</f>
        <v/>
      </c>
      <c r="L93" s="164">
        <f>SUMIFS('Full month Pivot'!E:E, 'Full month Pivot'!$A:$A, "Tiệm Vàng Online", 'Full month Pivot'!$C:$C, $B$93:$B$97)</f>
        <v/>
      </c>
      <c r="M93" s="164">
        <f>SUMIFS('Full month Pivot'!F:F, 'Full month Pivot'!$A:$A, "Tiệm Vàng Online", 'Full month Pivot'!$C:$C, $B$93:$B$97)</f>
        <v/>
      </c>
      <c r="N93" s="164">
        <f>SUMIFS('Full month Pivot'!G:G, 'Full month Pivot'!$A:$A, "Tiệm Vàng Online", 'Full month Pivot'!$C:$C, $B$93:$B$97)</f>
        <v/>
      </c>
      <c r="O93" s="164">
        <f>SUMIFS('Full month Pivot'!H:H, 'Full month Pivot'!$A:$A, "Tiệm Vàng Online", 'Full month Pivot'!$C:$C, $B$93:$B$97)</f>
        <v/>
      </c>
      <c r="P93" s="164">
        <f>SUMIFS('Full month Pivot'!I:I, 'Full month Pivot'!$A:$A, "Tiệm Vàng Online", 'Full month Pivot'!$C:$C, $B$93:$B$97)</f>
        <v/>
      </c>
      <c r="Q93" s="164">
        <f>P93-O93</f>
        <v/>
      </c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</row>
    <row r="94">
      <c r="A94" s="164" t="n"/>
      <c r="B94" s="164" t="inlineStr">
        <is>
          <t>Direct</t>
        </is>
      </c>
      <c r="C94" s="164">
        <f>SUMIFS('MTD Pivot'!D:D, 'MTD Pivot'!$A:$A, "Tiệm Vàng Online", 'MTD Pivot'!$C:$C, $B$93:$B$97)</f>
        <v/>
      </c>
      <c r="D94" s="164">
        <f>SUMIFS('MTD Pivot'!E:E, 'MTD Pivot'!$A:$A, "Tiệm Vàng Online", 'MTD Pivot'!$C:$C, $B$93:$B$97)</f>
        <v/>
      </c>
      <c r="E94" s="164">
        <f>SUMIFS('MTD Pivot'!F:F, 'MTD Pivot'!$A:$A, "Tiệm Vàng Online", 'MTD Pivot'!$C:$C, $B$93:$B$97)</f>
        <v/>
      </c>
      <c r="F94" s="164">
        <f>SUMIFS('MTD Pivot'!G:G, 'MTD Pivot'!$A:$A, "Tiệm Vàng Online", 'MTD Pivot'!$C:$C, $B$93:$B$97)</f>
        <v/>
      </c>
      <c r="G94" s="164">
        <f>SUMIFS('MTD Pivot'!H:H, 'MTD Pivot'!$A:$A, "Tiệm Vàng Online", 'MTD Pivot'!$C:$C, $B$93:$B$97)</f>
        <v/>
      </c>
      <c r="H94" s="164">
        <f>SUMIFS('MTD Pivot'!I:I, 'MTD Pivot'!$A:$A, "Tiệm Vàng Online", 'MTD Pivot'!$C:$C, $B$93:$B$97)</f>
        <v/>
      </c>
      <c r="I94" s="164">
        <f>H94-G94</f>
        <v/>
      </c>
      <c r="J94" s="162" t="n"/>
      <c r="K94" s="164">
        <f>SUMIFS('Full month Pivot'!D:D, 'Full month Pivot'!$A:$A, "Tiệm Vàng Online", 'Full month Pivot'!$C:$C, $B$93:$B$97)</f>
        <v/>
      </c>
      <c r="L94" s="164">
        <f>SUMIFS('Full month Pivot'!E:E, 'Full month Pivot'!$A:$A, "Tiệm Vàng Online", 'Full month Pivot'!$C:$C, $B$93:$B$97)</f>
        <v/>
      </c>
      <c r="M94" s="164">
        <f>SUMIFS('Full month Pivot'!F:F, 'Full month Pivot'!$A:$A, "Tiệm Vàng Online", 'Full month Pivot'!$C:$C, $B$93:$B$97)</f>
        <v/>
      </c>
      <c r="N94" s="164">
        <f>SUMIFS('Full month Pivot'!G:G, 'Full month Pivot'!$A:$A, "Tiệm Vàng Online", 'Full month Pivot'!$C:$C, $B$93:$B$97)</f>
        <v/>
      </c>
      <c r="O94" s="164">
        <f>SUMIFS('Full month Pivot'!H:H, 'Full month Pivot'!$A:$A, "Tiệm Vàng Online", 'Full month Pivot'!$C:$C, $B$93:$B$97)</f>
        <v/>
      </c>
      <c r="P94" s="164">
        <f>SUMIFS('Full month Pivot'!I:I, 'Full month Pivot'!$A:$A, "Tiệm Vàng Online", 'Full month Pivot'!$C:$C, $B$93:$B$97)</f>
        <v/>
      </c>
      <c r="Q94" s="164">
        <f>P94-O94</f>
        <v/>
      </c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</row>
    <row r="95">
      <c r="A95" s="164" t="n"/>
      <c r="B95" s="164" t="inlineStr">
        <is>
          <t>Referral</t>
        </is>
      </c>
      <c r="C95" s="164">
        <f>SUMIFS('MTD Pivot'!D:D, 'MTD Pivot'!$A:$A, "Tiệm Vàng Online", 'MTD Pivot'!$C:$C, $B$93:$B$97)</f>
        <v/>
      </c>
      <c r="D95" s="164">
        <f>SUMIFS('MTD Pivot'!E:E, 'MTD Pivot'!$A:$A, "Tiệm Vàng Online", 'MTD Pivot'!$C:$C, $B$93:$B$97)</f>
        <v/>
      </c>
      <c r="E95" s="164">
        <f>SUMIFS('MTD Pivot'!F:F, 'MTD Pivot'!$A:$A, "Tiệm Vàng Online", 'MTD Pivot'!$C:$C, $B$93:$B$97)</f>
        <v/>
      </c>
      <c r="F95" s="164">
        <f>SUMIFS('MTD Pivot'!G:G, 'MTD Pivot'!$A:$A, "Tiệm Vàng Online", 'MTD Pivot'!$C:$C, $B$93:$B$97)</f>
        <v/>
      </c>
      <c r="G95" s="164">
        <f>SUMIFS('MTD Pivot'!H:H, 'MTD Pivot'!$A:$A, "Tiệm Vàng Online", 'MTD Pivot'!$C:$C, $B$93:$B$97)</f>
        <v/>
      </c>
      <c r="H95" s="164">
        <f>SUMIFS('MTD Pivot'!I:I, 'MTD Pivot'!$A:$A, "Tiệm Vàng Online", 'MTD Pivot'!$C:$C, $B$93:$B$97)</f>
        <v/>
      </c>
      <c r="I95" s="164">
        <f>H95-G95</f>
        <v/>
      </c>
      <c r="J95" s="162" t="n"/>
      <c r="K95" s="164">
        <f>SUMIFS('Full month Pivot'!D:D, 'Full month Pivot'!$A:$A, "Tiệm Vàng Online", 'Full month Pivot'!$C:$C, $B$93:$B$97)</f>
        <v/>
      </c>
      <c r="L95" s="164">
        <f>SUMIFS('Full month Pivot'!E:E, 'Full month Pivot'!$A:$A, "Tiệm Vàng Online", 'Full month Pivot'!$C:$C, $B$93:$B$97)</f>
        <v/>
      </c>
      <c r="M95" s="164">
        <f>SUMIFS('Full month Pivot'!F:F, 'Full month Pivot'!$A:$A, "Tiệm Vàng Online", 'Full month Pivot'!$C:$C, $B$93:$B$97)</f>
        <v/>
      </c>
      <c r="N95" s="164">
        <f>SUMIFS('Full month Pivot'!G:G, 'Full month Pivot'!$A:$A, "Tiệm Vàng Online", 'Full month Pivot'!$C:$C, $B$93:$B$97)</f>
        <v/>
      </c>
      <c r="O95" s="164">
        <f>SUMIFS('Full month Pivot'!H:H, 'Full month Pivot'!$A:$A, "Tiệm Vàng Online", 'Full month Pivot'!$C:$C, $B$93:$B$97)</f>
        <v/>
      </c>
      <c r="P95" s="164">
        <f>SUMIFS('Full month Pivot'!I:I, 'Full month Pivot'!$A:$A, "Tiệm Vàng Online", 'Full month Pivot'!$C:$C, $B$93:$B$97)</f>
        <v/>
      </c>
      <c r="Q95" s="164">
        <f>P95-O95</f>
        <v/>
      </c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</row>
    <row r="96">
      <c r="A96" s="164" t="n"/>
      <c r="B96" s="164" t="inlineStr">
        <is>
          <t>Others</t>
        </is>
      </c>
      <c r="C96" s="164">
        <f>SUMIFS('MTD Pivot'!D:D, 'MTD Pivot'!$A:$A, "Tiệm Vàng Online", 'MTD Pivot'!$C:$C, $B$93:$B$97)</f>
        <v/>
      </c>
      <c r="D96" s="164">
        <f>SUMIFS('MTD Pivot'!E:E, 'MTD Pivot'!$A:$A, "Tiệm Vàng Online", 'MTD Pivot'!$C:$C, $B$93:$B$97)</f>
        <v/>
      </c>
      <c r="E96" s="164">
        <f>SUMIFS('MTD Pivot'!F:F, 'MTD Pivot'!$A:$A, "Tiệm Vàng Online", 'MTD Pivot'!$C:$C, $B$93:$B$97)</f>
        <v/>
      </c>
      <c r="F96" s="164">
        <f>SUMIFS('MTD Pivot'!G:G, 'MTD Pivot'!$A:$A, "Tiệm Vàng Online", 'MTD Pivot'!$C:$C, $B$93:$B$97)</f>
        <v/>
      </c>
      <c r="G96" s="164">
        <f>SUMIFS('MTD Pivot'!H:H, 'MTD Pivot'!$A:$A, "Tiệm Vàng Online", 'MTD Pivot'!$C:$C, $B$93:$B$97)</f>
        <v/>
      </c>
      <c r="H96" s="164">
        <f>SUMIFS('MTD Pivot'!I:I, 'MTD Pivot'!$A:$A, "Tiệm Vàng Online", 'MTD Pivot'!$C:$C, $B$93:$B$97)</f>
        <v/>
      </c>
      <c r="I96" s="164">
        <f>H96-G96</f>
        <v/>
      </c>
      <c r="J96" s="162" t="n"/>
      <c r="K96" s="164">
        <f>SUMIFS('Full month Pivot'!D:D, 'Full month Pivot'!$A:$A, "Tiệm Vàng Online", 'Full month Pivot'!$C:$C, $B$93:$B$97)</f>
        <v/>
      </c>
      <c r="L96" s="164">
        <f>SUMIFS('Full month Pivot'!E:E, 'Full month Pivot'!$A:$A, "Tiệm Vàng Online", 'Full month Pivot'!$C:$C, $B$93:$B$97)</f>
        <v/>
      </c>
      <c r="M96" s="164">
        <f>SUMIFS('Full month Pivot'!F:F, 'Full month Pivot'!$A:$A, "Tiệm Vàng Online", 'Full month Pivot'!$C:$C, $B$93:$B$97)</f>
        <v/>
      </c>
      <c r="N96" s="164">
        <f>SUMIFS('Full month Pivot'!G:G, 'Full month Pivot'!$A:$A, "Tiệm Vàng Online", 'Full month Pivot'!$C:$C, $B$93:$B$97)</f>
        <v/>
      </c>
      <c r="O96" s="164">
        <f>SUMIFS('Full month Pivot'!H:H, 'Full month Pivot'!$A:$A, "Tiệm Vàng Online", 'Full month Pivot'!$C:$C, $B$93:$B$97)</f>
        <v/>
      </c>
      <c r="P96" s="164">
        <f>SUMIFS('Full month Pivot'!I:I, 'Full month Pivot'!$A:$A, "Tiệm Vàng Online", 'Full month Pivot'!$C:$C, $B$93:$B$97)</f>
        <v/>
      </c>
      <c r="Q96" s="164">
        <f>P96-O96</f>
        <v/>
      </c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</row>
    <row r="97">
      <c r="A97" s="164" t="n"/>
      <c r="B97" s="164" t="inlineStr">
        <is>
          <t>Paid</t>
        </is>
      </c>
      <c r="C97" s="164">
        <f>SUMIFS('MTD Pivot'!D:D, 'MTD Pivot'!$A:$A, "Tiệm Vàng Online", 'MTD Pivot'!$C:$C, $B$93:$B$97)</f>
        <v/>
      </c>
      <c r="D97" s="164">
        <f>SUMIFS('MTD Pivot'!E:E, 'MTD Pivot'!$A:$A, "Tiệm Vàng Online", 'MTD Pivot'!$C:$C, $B$93:$B$97)</f>
        <v/>
      </c>
      <c r="E97" s="164">
        <f>SUMIFS('MTD Pivot'!F:F, 'MTD Pivot'!$A:$A, "Tiệm Vàng Online", 'MTD Pivot'!$C:$C, $B$93:$B$97)</f>
        <v/>
      </c>
      <c r="F97" s="164">
        <f>SUMIFS('MTD Pivot'!G:G, 'MTD Pivot'!$A:$A, "Tiệm Vàng Online", 'MTD Pivot'!$C:$C, $B$93:$B$97)</f>
        <v/>
      </c>
      <c r="G97" s="164">
        <f>SUMIFS('MTD Pivot'!H:H, 'MTD Pivot'!$A:$A, "Tiệm Vàng Online", 'MTD Pivot'!$C:$C, $B$93:$B$97)</f>
        <v/>
      </c>
      <c r="H97" s="164">
        <f>SUMIFS('MTD Pivot'!I:I, 'MTD Pivot'!$A:$A, "Tiệm Vàng Online", 'MTD Pivot'!$C:$C, $B$93:$B$97)</f>
        <v/>
      </c>
      <c r="I97" s="164">
        <f>H97-G97</f>
        <v/>
      </c>
      <c r="J97" s="162" t="n"/>
      <c r="K97" s="164">
        <f>SUMIFS('Full month Pivot'!D:D, 'Full month Pivot'!$A:$A, "Tiệm Vàng Online", 'Full month Pivot'!$C:$C, $B$93:$B$97)</f>
        <v/>
      </c>
      <c r="L97" s="164">
        <f>SUMIFS('Full month Pivot'!E:E, 'Full month Pivot'!$A:$A, "Tiệm Vàng Online", 'Full month Pivot'!$C:$C, $B$93:$B$97)</f>
        <v/>
      </c>
      <c r="M97" s="164">
        <f>SUMIFS('Full month Pivot'!F:F, 'Full month Pivot'!$A:$A, "Tiệm Vàng Online", 'Full month Pivot'!$C:$C, $B$93:$B$97)</f>
        <v/>
      </c>
      <c r="N97" s="164">
        <f>SUMIFS('Full month Pivot'!G:G, 'Full month Pivot'!$A:$A, "Tiệm Vàng Online", 'Full month Pivot'!$C:$C, $B$93:$B$97)</f>
        <v/>
      </c>
      <c r="O97" s="164">
        <f>SUMIFS('Full month Pivot'!H:H, 'Full month Pivot'!$A:$A, "Tiệm Vàng Online", 'Full month Pivot'!$C:$C, $B$93:$B$97)</f>
        <v/>
      </c>
      <c r="P97" s="164">
        <f>SUMIFS('Full month Pivot'!I:I, 'Full month Pivot'!$A:$A, "Tiệm Vàng Online", 'Full month Pivot'!$C:$C, $B$93:$B$97)</f>
        <v/>
      </c>
      <c r="Q97" s="164">
        <f>P97-O97</f>
        <v/>
      </c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2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2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2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2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2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2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2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2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2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2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2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2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2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2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2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2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2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2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2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2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2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2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2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2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2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2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2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2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2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2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2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2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2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2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2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2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2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2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2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2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2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2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2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2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2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2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2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2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2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2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2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2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2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2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2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2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2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2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2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2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2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2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2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2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2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2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2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2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2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2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2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2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2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2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2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2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2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2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2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2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2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2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2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2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2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2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2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2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2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2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2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2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2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2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2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2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2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2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2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2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2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2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2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2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2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2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2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2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2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2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2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2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2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2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2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2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2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2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2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2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2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2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2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2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2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2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2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2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2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2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2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2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2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2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2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2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2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2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2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2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2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2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2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2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2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2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2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2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2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2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2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2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2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2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2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2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2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2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2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2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2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2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2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2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2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2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2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2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2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2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2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2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2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2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2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2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2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2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2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2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2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2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2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2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2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2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2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2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2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2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2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2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2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2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2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2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2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2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2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2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2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2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2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2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2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2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2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2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2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2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2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2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2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2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2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2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2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2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2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2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2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2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2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2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2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2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2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2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2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2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2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2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2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2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2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2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2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2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2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2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2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2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2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2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2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2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2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2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2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2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2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2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2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2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2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2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2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2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2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2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2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2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2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2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2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2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2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2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2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2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2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2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2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2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2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2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2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2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2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2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2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2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2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2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2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2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2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2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2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2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2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2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2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2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2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2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2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2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2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2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2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2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2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2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2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2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2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2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2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2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2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2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2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2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2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2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2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2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2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2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2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2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2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2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2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2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2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2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2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2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2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2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2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2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2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2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2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2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2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2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2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2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2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2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2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2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2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2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2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2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2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2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2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2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2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2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2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2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2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2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2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2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2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2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2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2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2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2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2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2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2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2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2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2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2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2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2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2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2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2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2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2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2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2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2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2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2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2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2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2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2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2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2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2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2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2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2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2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2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2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2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2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2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2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2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2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2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2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2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2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2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2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2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2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2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2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2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2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2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2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2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2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2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2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2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2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2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2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2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2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2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2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2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2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2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2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2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2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2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2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2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2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2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2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2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2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2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2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2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2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2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2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2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2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2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2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2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2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2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2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2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2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2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2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2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2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2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2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2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2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2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2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2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2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2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2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2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2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2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2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2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2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2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2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2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2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2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2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2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2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2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2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2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2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2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2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2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2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2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2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2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2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2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2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2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2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2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2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2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2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2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2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2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2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2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2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2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2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2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2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2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2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2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2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2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2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2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2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2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2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2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2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2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2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2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2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2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2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2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2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2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2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2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2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2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2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2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2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2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2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2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2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2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2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2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2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2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2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2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2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2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2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2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2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2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2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2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2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2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2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2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2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2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2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2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2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2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2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2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2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2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2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2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2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2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2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2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2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2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2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2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2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2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2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2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2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2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2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2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2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2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2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2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2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2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2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2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2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2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2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2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2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2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2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2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2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2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2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2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2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2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2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2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2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2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2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2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2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2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2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2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2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2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2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2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2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2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2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2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2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2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2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2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2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2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2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2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2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2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2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2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2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2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2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2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2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2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2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2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2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2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2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2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2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2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2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2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2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2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2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2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2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2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2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2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2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2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2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2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2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2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2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2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2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2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2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2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2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2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2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2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2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2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2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2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2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2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2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2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2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2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2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2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2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2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2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2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2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2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2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2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2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2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2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2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2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2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2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2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2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2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2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2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2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2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2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2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2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2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2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2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2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2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2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2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2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2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2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2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2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2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2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2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2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2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2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2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2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2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2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2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2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2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2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2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2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2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2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2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2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2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2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2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2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2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2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2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2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2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2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2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2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2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2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2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2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2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2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2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2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2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2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2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2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2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2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2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2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2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2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2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2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2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2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2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2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2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2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2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2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2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2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2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2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2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2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2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2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2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2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2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2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2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2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2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2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2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2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2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2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2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2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2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2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2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2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2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2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2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2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2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2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2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2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2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2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2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2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2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2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2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2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2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2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2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2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2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2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2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2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2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2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2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2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2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2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2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2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2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2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2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2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2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2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2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2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2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2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2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2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2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2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2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2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2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2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2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2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2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2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2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2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2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2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2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2" t="n"/>
      <c r="K983" s="164" t="n"/>
      <c r="L983" s="164" t="n"/>
      <c r="M983" s="164" t="n"/>
      <c r="N983" s="164" t="n"/>
      <c r="O983" s="164" t="n"/>
      <c r="P983" s="164" t="n"/>
      <c r="Q983" s="16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2" t="n"/>
      <c r="K984" s="164" t="n"/>
      <c r="L984" s="164" t="n"/>
      <c r="M984" s="164" t="n"/>
      <c r="N984" s="164" t="n"/>
      <c r="O984" s="164" t="n"/>
      <c r="P984" s="164" t="n"/>
      <c r="Q984" s="16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2" t="n"/>
      <c r="K985" s="164" t="n"/>
      <c r="L985" s="164" t="n"/>
      <c r="M985" s="164" t="n"/>
      <c r="N985" s="164" t="n"/>
      <c r="O985" s="164" t="n"/>
      <c r="P985" s="164" t="n"/>
      <c r="Q985" s="16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2" t="n"/>
      <c r="K986" s="164" t="n"/>
      <c r="L986" s="164" t="n"/>
      <c r="M986" s="164" t="n"/>
      <c r="N986" s="164" t="n"/>
      <c r="O986" s="164" t="n"/>
      <c r="P986" s="164" t="n"/>
      <c r="Q986" s="16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2" t="n"/>
      <c r="K987" s="164" t="n"/>
      <c r="L987" s="164" t="n"/>
      <c r="M987" s="164" t="n"/>
      <c r="N987" s="164" t="n"/>
      <c r="O987" s="164" t="n"/>
      <c r="P987" s="164" t="n"/>
      <c r="Q987" s="16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2" t="n"/>
      <c r="K988" s="164" t="n"/>
      <c r="L988" s="164" t="n"/>
      <c r="M988" s="164" t="n"/>
      <c r="N988" s="164" t="n"/>
      <c r="O988" s="164" t="n"/>
      <c r="P988" s="164" t="n"/>
      <c r="Q988" s="16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2" t="n"/>
      <c r="K989" s="164" t="n"/>
      <c r="L989" s="164" t="n"/>
      <c r="M989" s="164" t="n"/>
      <c r="N989" s="164" t="n"/>
      <c r="O989" s="164" t="n"/>
      <c r="P989" s="164" t="n"/>
      <c r="Q989" s="16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2" t="n"/>
      <c r="K990" s="164" t="n"/>
      <c r="L990" s="164" t="n"/>
      <c r="M990" s="164" t="n"/>
      <c r="N990" s="164" t="n"/>
      <c r="O990" s="164" t="n"/>
      <c r="P990" s="164" t="n"/>
      <c r="Q990" s="16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2" t="n"/>
      <c r="K991" s="164" t="n"/>
      <c r="L991" s="164" t="n"/>
      <c r="M991" s="164" t="n"/>
      <c r="N991" s="164" t="n"/>
      <c r="O991" s="164" t="n"/>
      <c r="P991" s="164" t="n"/>
      <c r="Q991" s="16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2" t="n"/>
      <c r="K992" s="164" t="n"/>
      <c r="L992" s="164" t="n"/>
      <c r="M992" s="164" t="n"/>
      <c r="N992" s="164" t="n"/>
      <c r="O992" s="164" t="n"/>
      <c r="P992" s="164" t="n"/>
      <c r="Q992" s="16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2" t="n"/>
      <c r="K993" s="164" t="n"/>
      <c r="L993" s="164" t="n"/>
      <c r="M993" s="164" t="n"/>
      <c r="N993" s="164" t="n"/>
      <c r="O993" s="164" t="n"/>
      <c r="P993" s="164" t="n"/>
      <c r="Q993" s="16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2" t="n"/>
      <c r="K994" s="164" t="n"/>
      <c r="L994" s="164" t="n"/>
      <c r="M994" s="164" t="n"/>
      <c r="N994" s="164" t="n"/>
      <c r="O994" s="164" t="n"/>
      <c r="P994" s="164" t="n"/>
      <c r="Q994" s="16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2" t="n"/>
      <c r="K995" s="164" t="n"/>
      <c r="L995" s="164" t="n"/>
      <c r="M995" s="164" t="n"/>
      <c r="N995" s="164" t="n"/>
      <c r="O995" s="164" t="n"/>
      <c r="P995" s="164" t="n"/>
      <c r="Q995" s="164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  <c r="AA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2" t="n"/>
      <c r="K996" s="165" t="n"/>
      <c r="L996" s="165" t="n"/>
      <c r="M996" s="165" t="n"/>
      <c r="N996" s="165" t="n"/>
      <c r="O996" s="165" t="n"/>
      <c r="P996" s="164" t="n"/>
      <c r="Q996" s="164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  <c r="AA996" s="164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 outlineLevelRow="1"/>
  <cols>
    <col width="44.13" customWidth="1" style="239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3">
        <f>IFERROR((G3/F3)-1, 0)</f>
        <v/>
      </c>
      <c r="H5" s="193">
        <f>IFERROR((H3/G3)-1, 0)</f>
        <v/>
      </c>
      <c r="I5" s="193">
        <f>IFERROR((I3/H3)-1, 0)</f>
        <v/>
      </c>
      <c r="J5" s="193">
        <f>IFERROR((J3/I3)-1, 0)</f>
        <v/>
      </c>
      <c r="K5" s="193">
        <f>IFERROR((K3/J3)-1, 0)</f>
        <v/>
      </c>
      <c r="L5" s="193">
        <f>IFERROR((L3/K3)-1, 0)</f>
        <v/>
      </c>
      <c r="M5" s="193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6" t="n"/>
      <c r="B6" s="188" t="n"/>
      <c r="C6" s="188" t="n"/>
      <c r="D6" s="188" t="n"/>
      <c r="E6" s="188" t="n"/>
      <c r="F6" s="188" t="n"/>
      <c r="G6" s="195" t="n"/>
      <c r="H6" s="195" t="n"/>
      <c r="I6" s="192" t="n"/>
      <c r="J6" s="195" t="n"/>
      <c r="K6" s="195" t="n"/>
      <c r="L6" s="195" t="n"/>
      <c r="M6" s="195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6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6" t="inlineStr">
        <is>
          <t>% CR (REG / Install)</t>
        </is>
      </c>
      <c r="B9" s="188" t="n"/>
      <c r="C9" s="188" t="n"/>
      <c r="D9" s="188" t="n"/>
      <c r="E9" s="188" t="n"/>
      <c r="F9" s="197" t="inlineStr">
        <is>
          <t>31,2%</t>
        </is>
      </c>
      <c r="G9" s="197" t="inlineStr">
        <is>
          <t>32,1%</t>
        </is>
      </c>
      <c r="H9" s="197" t="inlineStr">
        <is>
          <t>32,1%</t>
        </is>
      </c>
      <c r="I9" s="197" t="inlineStr">
        <is>
          <t>32,1%</t>
        </is>
      </c>
      <c r="J9" s="197" t="n"/>
      <c r="K9" s="197" t="n"/>
      <c r="L9" s="197" t="n"/>
      <c r="M9" s="197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6" t="inlineStr">
        <is>
          <t>% CR (Map / REG)</t>
        </is>
      </c>
      <c r="B11" s="188" t="n"/>
      <c r="C11" s="188" t="n"/>
      <c r="D11" s="188" t="n"/>
      <c r="E11" s="188" t="n"/>
      <c r="F11" s="197" t="inlineStr">
        <is>
          <t>51,7%</t>
        </is>
      </c>
      <c r="G11" s="197" t="inlineStr">
        <is>
          <t>52,9%</t>
        </is>
      </c>
      <c r="H11" s="197" t="inlineStr">
        <is>
          <t>56,4%</t>
        </is>
      </c>
      <c r="I11" s="197" t="inlineStr">
        <is>
          <t>56,3%</t>
        </is>
      </c>
      <c r="J11" s="197" t="n"/>
      <c r="K11" s="197" t="n"/>
      <c r="L11" s="197" t="n"/>
      <c r="M11" s="197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6" t="inlineStr">
        <is>
          <t>% CR (MAU / Map)</t>
        </is>
      </c>
      <c r="B13" s="188" t="n"/>
      <c r="C13" s="188" t="n"/>
      <c r="D13" s="188" t="n"/>
      <c r="E13" s="188" t="n"/>
      <c r="F13" s="197" t="inlineStr">
        <is>
          <t>56,4%</t>
        </is>
      </c>
      <c r="G13" s="197" t="inlineStr">
        <is>
          <t>55,1%</t>
        </is>
      </c>
      <c r="H13" s="197" t="inlineStr">
        <is>
          <t>56,5%</t>
        </is>
      </c>
      <c r="I13" s="197" t="inlineStr">
        <is>
          <t>56,6%</t>
        </is>
      </c>
      <c r="J13" s="197" t="n"/>
      <c r="K13" s="197" t="n"/>
      <c r="L13" s="197" t="n"/>
      <c r="M13" s="197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6" t="inlineStr">
        <is>
          <t>End-to-End CR (MAU / Install)</t>
        </is>
      </c>
      <c r="B14" s="188" t="n"/>
      <c r="C14" s="188" t="n"/>
      <c r="D14" s="188" t="n"/>
      <c r="E14" s="188" t="n"/>
      <c r="F14" s="197" t="inlineStr">
        <is>
          <t>9,1%</t>
        </is>
      </c>
      <c r="G14" s="197" t="inlineStr">
        <is>
          <t>9,4%</t>
        </is>
      </c>
      <c r="H14" s="197" t="inlineStr">
        <is>
          <t>10,2%</t>
        </is>
      </c>
      <c r="I14" s="197" t="inlineStr">
        <is>
          <t>10,2%</t>
        </is>
      </c>
      <c r="J14" s="197" t="n"/>
      <c r="K14" s="197" t="n"/>
      <c r="L14" s="197" t="n"/>
      <c r="M14" s="197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6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6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7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6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7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8" t="n"/>
      <c r="B20" s="196" t="n"/>
      <c r="C20" s="196" t="n"/>
      <c r="D20" s="196" t="n"/>
      <c r="E20" s="196" t="n"/>
      <c r="F20" s="196" t="n"/>
      <c r="G20" s="196" t="n"/>
      <c r="H20" s="196" t="n"/>
      <c r="I20" s="199" t="n"/>
      <c r="J20" s="196" t="n"/>
      <c r="K20" s="196" t="n"/>
      <c r="L20" s="196" t="n"/>
      <c r="M20" s="196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6" t="n"/>
      <c r="B21" s="196" t="n"/>
      <c r="C21" s="196" t="n"/>
      <c r="D21" s="196" t="n"/>
      <c r="E21" s="196" t="n"/>
      <c r="F21" s="196" t="n"/>
      <c r="G21" s="196" t="n"/>
      <c r="H21" s="196" t="n"/>
      <c r="I21" s="199" t="n"/>
      <c r="J21" s="196" t="n"/>
      <c r="K21" s="196" t="n"/>
      <c r="L21" s="196" t="n"/>
      <c r="M21" s="196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39" min="1" max="1"/>
    <col width="13.75" customWidth="1" style="239" min="2" max="2"/>
  </cols>
  <sheetData>
    <row r="1">
      <c r="A1" s="127" t="inlineStr">
        <is>
          <t>Project</t>
        </is>
      </c>
      <c r="B1" s="127">
        <f>"Update to: " &amp; DAY(NOW())</f>
        <v/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24" t="n">
        <v>46296</v>
      </c>
      <c r="I1" s="157" t="inlineStr">
        <is>
          <t>VS. SPLM</t>
        </is>
      </c>
      <c r="J1" s="127" t="inlineStr">
        <is>
          <t>Full Month</t>
        </is>
      </c>
      <c r="K1" s="124" t="n">
        <v>46143</v>
      </c>
      <c r="L1" s="124" t="n">
        <v>46174</v>
      </c>
      <c r="M1" s="124" t="n">
        <v>46204</v>
      </c>
      <c r="N1" s="124" t="n">
        <v>46235</v>
      </c>
      <c r="O1" s="124" t="n">
        <v>46266</v>
      </c>
      <c r="P1" s="124" t="n">
        <v>46296</v>
      </c>
      <c r="Q1" s="201" t="inlineStr">
        <is>
          <t>VS. LM</t>
        </is>
      </c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  <c r="AC1" s="164" t="n"/>
    </row>
    <row r="2">
      <c r="A2" s="164" t="inlineStr">
        <is>
          <t>Traffic (Page Views)</t>
        </is>
      </c>
      <c r="B2" s="164" t="n"/>
      <c r="C2" s="50">
        <f>sum(C6,C13,C20)</f>
        <v/>
      </c>
      <c r="D2" s="50">
        <f>sum(D6,D13,D20)</f>
        <v/>
      </c>
      <c r="E2" s="50">
        <f>sum(E6,E13,E20)</f>
        <v/>
      </c>
      <c r="F2" s="50">
        <f>sum(F6,F13,F20)</f>
        <v/>
      </c>
      <c r="G2" s="50">
        <f>sum(G6,G13,G20,G27,G34)</f>
        <v/>
      </c>
      <c r="H2" s="50">
        <f>sum(H6,H13,H20,H27,H34)</f>
        <v/>
      </c>
      <c r="I2" s="50">
        <f>H2-G2</f>
        <v/>
      </c>
      <c r="J2" s="50" t="n"/>
      <c r="K2" s="50">
        <f>sum(K6,K13,K20)</f>
        <v/>
      </c>
      <c r="L2" s="50">
        <f>sum(L6,L13,L20)</f>
        <v/>
      </c>
      <c r="M2" s="50">
        <f>sum(M6,M13,M20)</f>
        <v/>
      </c>
      <c r="N2" s="50">
        <f>sum(N6,N13,N20)</f>
        <v/>
      </c>
      <c r="O2" s="50">
        <f>sum(O6,O13,O20,O27,O34)</f>
        <v/>
      </c>
      <c r="P2" s="50">
        <f>sum(P6,P13,P20,P27,P34)</f>
        <v/>
      </c>
      <c r="Q2" s="202">
        <f>P2-O2</f>
        <v/>
      </c>
      <c r="R2" s="164" t="n"/>
      <c r="S2" s="164" t="n"/>
      <c r="T2" s="164" t="n"/>
      <c r="U2" s="164" t="n"/>
      <c r="V2" s="164" t="n"/>
      <c r="W2" s="164" t="n"/>
      <c r="X2" s="164" t="n"/>
      <c r="Y2" s="164" t="n"/>
      <c r="Z2" s="164" t="n"/>
      <c r="AA2" s="164" t="n"/>
      <c r="AB2" s="164" t="n"/>
      <c r="AC2" s="164" t="n"/>
    </row>
    <row r="3">
      <c r="A3" s="130" t="inlineStr">
        <is>
          <t xml:space="preserve">   Net change</t>
        </is>
      </c>
      <c r="B3" s="164" t="n"/>
      <c r="C3" s="50">
        <f>C2-0</f>
        <v/>
      </c>
      <c r="D3" s="50">
        <f>D2-C2</f>
        <v/>
      </c>
      <c r="E3" s="50">
        <f>E2-D2</f>
        <v/>
      </c>
      <c r="F3" s="50">
        <f>F2-E2</f>
        <v/>
      </c>
      <c r="G3" s="50">
        <f>G2-F2</f>
        <v/>
      </c>
      <c r="H3" s="50">
        <f>H2-G2</f>
        <v/>
      </c>
      <c r="I3" s="50">
        <f>H3-G3</f>
        <v/>
      </c>
      <c r="J3" s="50" t="n"/>
      <c r="K3" s="50">
        <f>K2-0</f>
        <v/>
      </c>
      <c r="L3" s="50">
        <f>L2-K2</f>
        <v/>
      </c>
      <c r="M3" s="50">
        <f>M2-L2</f>
        <v/>
      </c>
      <c r="N3" s="50">
        <f>N2-M2</f>
        <v/>
      </c>
      <c r="O3" s="50">
        <f>O2-N2</f>
        <v/>
      </c>
      <c r="P3" s="50">
        <f>P2-O2</f>
        <v/>
      </c>
      <c r="Q3" s="204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64" t="n"/>
      <c r="AC3" s="164" t="n"/>
    </row>
    <row r="4">
      <c r="A4" s="130" t="inlineStr">
        <is>
          <t xml:space="preserve">   Growth Rate (%)</t>
        </is>
      </c>
      <c r="B4" s="164" t="n"/>
      <c r="C4" s="50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0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5">
        <f>P4-O4</f>
        <v/>
      </c>
      <c r="R4" s="164" t="n"/>
      <c r="S4" s="164" t="n"/>
      <c r="T4" s="164" t="n"/>
      <c r="U4" s="164" t="n"/>
      <c r="V4" s="164" t="n"/>
      <c r="W4" s="164" t="n"/>
      <c r="X4" s="164" t="n"/>
      <c r="Y4" s="164" t="n"/>
      <c r="Z4" s="164" t="n"/>
      <c r="AA4" s="164" t="n"/>
      <c r="AB4" s="164" t="n"/>
      <c r="AC4" s="164" t="n"/>
    </row>
    <row r="5">
      <c r="A5" s="164" t="n"/>
      <c r="B5" s="164" t="n"/>
      <c r="C5" s="157" t="n"/>
      <c r="D5" s="157" t="n"/>
      <c r="E5" s="157" t="n"/>
      <c r="F5" s="157" t="n"/>
      <c r="G5" s="157" t="n"/>
      <c r="H5" s="157" t="n"/>
      <c r="I5" s="164" t="n"/>
      <c r="J5" s="164" t="n"/>
      <c r="K5" s="157" t="n"/>
      <c r="L5" s="157" t="n"/>
      <c r="M5" s="157" t="n"/>
      <c r="N5" s="157" t="n"/>
      <c r="O5" s="157" t="n"/>
      <c r="P5" s="157" t="n"/>
      <c r="Q5" s="204" t="n"/>
      <c r="R5" s="164" t="n"/>
      <c r="S5" s="164" t="n"/>
      <c r="T5" s="164" t="n"/>
      <c r="U5" s="164" t="n"/>
      <c r="V5" s="164" t="n"/>
      <c r="W5" s="164" t="n"/>
      <c r="X5" s="164" t="n"/>
      <c r="Y5" s="164" t="n"/>
      <c r="Z5" s="164" t="n"/>
      <c r="AA5" s="164" t="n"/>
      <c r="AB5" s="164" t="n"/>
      <c r="AC5" s="164" t="n"/>
    </row>
    <row r="6">
      <c r="A6" s="164" t="n"/>
      <c r="B6" s="164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0">
        <f>H6-G6</f>
        <v/>
      </c>
      <c r="J6" s="164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64" t="n"/>
      <c r="S6" s="164" t="n"/>
      <c r="T6" s="164" t="n"/>
      <c r="U6" s="164" t="n"/>
      <c r="V6" s="164" t="n"/>
      <c r="W6" s="164" t="n"/>
      <c r="X6" s="164" t="n"/>
      <c r="Y6" s="164" t="n"/>
      <c r="Z6" s="164" t="n"/>
      <c r="AA6" s="164" t="n"/>
      <c r="AB6" s="164" t="n"/>
      <c r="AC6" s="164" t="n"/>
    </row>
    <row r="7">
      <c r="A7" s="157" t="inlineStr">
        <is>
          <t>Phạt Nguội</t>
        </is>
      </c>
      <c r="B7" s="158" t="inlineStr">
        <is>
          <t>Paid</t>
        </is>
      </c>
      <c r="C7" s="158">
        <f>SUMIFS('MTD Pivot'!D:D, 'MTD Pivot'!$A:$A, $A$7, 'MTD Pivot'!$C:$C, $B7)</f>
        <v/>
      </c>
      <c r="D7" s="158">
        <f>SUMIFS('MTD Pivot'!E:E, 'MTD Pivot'!$A:$A, $A$7, 'MTD Pivot'!$C:$C, $B7)</f>
        <v/>
      </c>
      <c r="E7" s="158">
        <f>SUMIFS('MTD Pivot'!F:F, 'MTD Pivot'!$A:$A, $A$7, 'MTD Pivot'!$C:$C, $B7)</f>
        <v/>
      </c>
      <c r="F7" s="158">
        <f>SUMIFS('MTD Pivot'!G:G, 'MTD Pivot'!$A:$A, $A$7, 'MTD Pivot'!$C:$C, $B7)</f>
        <v/>
      </c>
      <c r="G7" s="158">
        <f>SUMIFS('MTD Pivot'!H:H, 'MTD Pivot'!$A:$A, $A$7, 'MTD Pivot'!$C:$C, $B7)</f>
        <v/>
      </c>
      <c r="H7" s="158">
        <f>SUMIFS('MTD Pivot'!I:I, 'MTD Pivot'!$A:$A, $A$7, 'MTD Pivot'!$C:$C, $B7)</f>
        <v/>
      </c>
      <c r="I7" s="50">
        <f>H7-G7</f>
        <v/>
      </c>
      <c r="J7" s="164" t="n"/>
      <c r="K7" s="158">
        <f>SUMIFS('Full month Pivot'!D:D, 'Full month Pivot'!$A:$A, "Phạt Nguội", 'Full month Pivot'!$C:$C, $B7)</f>
        <v/>
      </c>
      <c r="L7" s="158">
        <f>SUMIFS('Full month Pivot'!E:E, 'Full month Pivot'!$A:$A, "Phạt Nguội", 'Full month Pivot'!$C:$C, $B7)</f>
        <v/>
      </c>
      <c r="M7" s="158">
        <f>SUMIFS('Full month Pivot'!F:F, 'Full month Pivot'!$A:$A, "Phạt Nguội", 'Full month Pivot'!$C:$C, $B7)</f>
        <v/>
      </c>
      <c r="N7" s="158">
        <f>SUMIFS('Full month Pivot'!G:G, 'Full month Pivot'!$A:$A, "Phạt Nguội", 'Full month Pivot'!$C:$C, $B7)</f>
        <v/>
      </c>
      <c r="O7" s="158">
        <f>SUMIFS('Full month Pivot'!H:H, 'Full month Pivot'!$A:$A, "Phạt Nguội", 'Full month Pivot'!$C:$C, $B7)</f>
        <v/>
      </c>
      <c r="P7" s="158">
        <f>SUMIFS('Full month Pivot'!I:I, 'Full month Pivot'!$A:$A, "Phạt Nguội", 'Full month Pivot'!$C:$C, $B7)</f>
        <v/>
      </c>
      <c r="Q7" s="202">
        <f>P7-O7</f>
        <v/>
      </c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  <c r="AB7" s="164" t="n"/>
      <c r="AC7" s="164" t="n"/>
    </row>
    <row r="8">
      <c r="A8" s="165" t="n"/>
      <c r="B8" s="158" t="inlineStr">
        <is>
          <t>Direct</t>
        </is>
      </c>
      <c r="C8" s="158">
        <f>SUMIFS('MTD Pivot'!D:D, 'MTD Pivot'!$A:$A, $A$7, 'MTD Pivot'!$C:$C, $B8)</f>
        <v/>
      </c>
      <c r="D8" s="158">
        <f>SUMIFS('MTD Pivot'!E:E, 'MTD Pivot'!$A:$A, $A$7, 'MTD Pivot'!$C:$C, $B8)</f>
        <v/>
      </c>
      <c r="E8" s="158">
        <f>SUMIFS('MTD Pivot'!F:F, 'MTD Pivot'!$A:$A, $A$7, 'MTD Pivot'!$C:$C, $B8)</f>
        <v/>
      </c>
      <c r="F8" s="158">
        <f>SUMIFS('MTD Pivot'!G:G, 'MTD Pivot'!$A:$A, $A$7, 'MTD Pivot'!$C:$C, $B8)</f>
        <v/>
      </c>
      <c r="G8" s="158">
        <f>SUMIFS('MTD Pivot'!H:H, 'MTD Pivot'!$A:$A, $A$7, 'MTD Pivot'!$C:$C, $B8)</f>
        <v/>
      </c>
      <c r="H8" s="158">
        <f>SUMIFS('MTD Pivot'!I:I, 'MTD Pivot'!$A:$A, $A$7, 'MTD Pivot'!$C:$C, $B8)</f>
        <v/>
      </c>
      <c r="I8" s="50">
        <f>H8-G8</f>
        <v/>
      </c>
      <c r="J8" s="164" t="n"/>
      <c r="K8" s="158">
        <f>SUMIFS('Full month Pivot'!D:D, 'Full month Pivot'!$A:$A, "Phạt Nguội", 'Full month Pivot'!$C:$C, $B8)</f>
        <v/>
      </c>
      <c r="L8" s="158">
        <f>SUMIFS('Full month Pivot'!E:E, 'Full month Pivot'!$A:$A, "Phạt Nguội", 'Full month Pivot'!$C:$C, $B8)</f>
        <v/>
      </c>
      <c r="M8" s="158">
        <f>SUMIFS('Full month Pivot'!F:F, 'Full month Pivot'!$A:$A, "Phạt Nguội", 'Full month Pivot'!$C:$C, $B8)</f>
        <v/>
      </c>
      <c r="N8" s="158">
        <f>SUMIFS('Full month Pivot'!G:G, 'Full month Pivot'!$A:$A, "Phạt Nguội", 'Full month Pivot'!$C:$C, $B8)</f>
        <v/>
      </c>
      <c r="O8" s="158">
        <f>SUMIFS('Full month Pivot'!H:H, 'Full month Pivot'!$A:$A, "Phạt Nguội", 'Full month Pivot'!$C:$C, $B8)</f>
        <v/>
      </c>
      <c r="P8" s="158">
        <f>SUMIFS('Full month Pivot'!I:I, 'Full month Pivot'!$A:$A, "Phạt Nguội", 'Full month Pivot'!$C:$C, $B8)</f>
        <v/>
      </c>
      <c r="Q8" s="202">
        <f>P8-O8</f>
        <v/>
      </c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  <c r="AA8" s="164" t="n"/>
      <c r="AB8" s="164" t="n"/>
      <c r="AC8" s="164" t="n"/>
    </row>
    <row r="9">
      <c r="A9" s="164" t="n"/>
      <c r="B9" s="158" t="inlineStr">
        <is>
          <t>Organic</t>
        </is>
      </c>
      <c r="C9" s="158">
        <f>SUMIFS('MTD Pivot'!D:D, 'MTD Pivot'!$A:$A, $A$7, 'MTD Pivot'!$C:$C, $B9)</f>
        <v/>
      </c>
      <c r="D9" s="158">
        <f>SUMIFS('MTD Pivot'!E:E, 'MTD Pivot'!$A:$A, $A$7, 'MTD Pivot'!$C:$C, $B9)</f>
        <v/>
      </c>
      <c r="E9" s="158">
        <f>SUMIFS('MTD Pivot'!F:F, 'MTD Pivot'!$A:$A, $A$7, 'MTD Pivot'!$C:$C, $B9)</f>
        <v/>
      </c>
      <c r="F9" s="158">
        <f>SUMIFS('MTD Pivot'!G:G, 'MTD Pivot'!$A:$A, $A$7, 'MTD Pivot'!$C:$C, $B9)</f>
        <v/>
      </c>
      <c r="G9" s="158">
        <f>SUMIFS('MTD Pivot'!H:H, 'MTD Pivot'!$A:$A, $A$7, 'MTD Pivot'!$C:$C, $B9)</f>
        <v/>
      </c>
      <c r="H9" s="158">
        <f>SUMIFS('MTD Pivot'!I:I, 'MTD Pivot'!$A:$A, $A$7, 'MTD Pivot'!$C:$C, $B9)</f>
        <v/>
      </c>
      <c r="I9" s="50">
        <f>H9-G9</f>
        <v/>
      </c>
      <c r="J9" s="164" t="n"/>
      <c r="K9" s="158">
        <f>SUMIFS('Full month Pivot'!D:D, 'Full month Pivot'!$A:$A, "Phạt Nguội", 'Full month Pivot'!$C:$C, $B9)</f>
        <v/>
      </c>
      <c r="L9" s="158">
        <f>SUMIFS('Full month Pivot'!E:E, 'Full month Pivot'!$A:$A, "Phạt Nguội", 'Full month Pivot'!$C:$C, $B9)</f>
        <v/>
      </c>
      <c r="M9" s="158">
        <f>SUMIFS('Full month Pivot'!F:F, 'Full month Pivot'!$A:$A, "Phạt Nguội", 'Full month Pivot'!$C:$C, $B9)</f>
        <v/>
      </c>
      <c r="N9" s="158">
        <f>SUMIFS('Full month Pivot'!G:G, 'Full month Pivot'!$A:$A, "Phạt Nguội", 'Full month Pivot'!$C:$C, $B9)</f>
        <v/>
      </c>
      <c r="O9" s="158">
        <f>SUMIFS('Full month Pivot'!H:H, 'Full month Pivot'!$A:$A, "Phạt Nguội", 'Full month Pivot'!$C:$C, $B9)</f>
        <v/>
      </c>
      <c r="P9" s="158">
        <f>SUMIFS('Full month Pivot'!I:I, 'Full month Pivot'!$A:$A, "Phạt Nguội", 'Full month Pivot'!$C:$C, $B9)</f>
        <v/>
      </c>
      <c r="Q9" s="202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  <c r="AB9" s="164" t="n"/>
      <c r="AC9" s="164" t="n"/>
    </row>
    <row r="10">
      <c r="A10" s="164" t="n"/>
      <c r="B10" s="158" t="inlineStr">
        <is>
          <t>Others</t>
        </is>
      </c>
      <c r="C10" s="158">
        <f>SUMIFS('MTD Pivot'!D:D, 'MTD Pivot'!$A:$A, $A$7, 'MTD Pivot'!$C:$C, $B10)</f>
        <v/>
      </c>
      <c r="D10" s="158">
        <f>SUMIFS('MTD Pivot'!E:E, 'MTD Pivot'!$A:$A, $A$7, 'MTD Pivot'!$C:$C, $B10)</f>
        <v/>
      </c>
      <c r="E10" s="158">
        <f>SUMIFS('MTD Pivot'!F:F, 'MTD Pivot'!$A:$A, $A$7, 'MTD Pivot'!$C:$C, $B10)</f>
        <v/>
      </c>
      <c r="F10" s="158">
        <f>SUMIFS('MTD Pivot'!G:G, 'MTD Pivot'!$A:$A, $A$7, 'MTD Pivot'!$C:$C, $B10)</f>
        <v/>
      </c>
      <c r="G10" s="158">
        <f>SUMIFS('MTD Pivot'!H:H, 'MTD Pivot'!$A:$A, $A$7, 'MTD Pivot'!$C:$C, $B10)</f>
        <v/>
      </c>
      <c r="H10" s="158">
        <f>SUMIFS('MTD Pivot'!I:I, 'MTD Pivot'!$A:$A, $A$7, 'MTD Pivot'!$C:$C, $B10)</f>
        <v/>
      </c>
      <c r="I10" s="50">
        <f>H10-G10</f>
        <v/>
      </c>
      <c r="J10" s="164" t="n"/>
      <c r="K10" s="158">
        <f>SUMIFS('Full month Pivot'!D:D, 'Full month Pivot'!$A:$A, "Phạt Nguội", 'Full month Pivot'!$C:$C, $B10)</f>
        <v/>
      </c>
      <c r="L10" s="158">
        <f>SUMIFS('Full month Pivot'!E:E, 'Full month Pivot'!$A:$A, "Phạt Nguội", 'Full month Pivot'!$C:$C, $B10)</f>
        <v/>
      </c>
      <c r="M10" s="158">
        <f>SUMIFS('Full month Pivot'!F:F, 'Full month Pivot'!$A:$A, "Phạt Nguội", 'Full month Pivot'!$C:$C, $B10)</f>
        <v/>
      </c>
      <c r="N10" s="158">
        <f>SUMIFS('Full month Pivot'!G:G, 'Full month Pivot'!$A:$A, "Phạt Nguội", 'Full month Pivot'!$C:$C, $B10)</f>
        <v/>
      </c>
      <c r="O10" s="158">
        <f>SUMIFS('Full month Pivot'!H:H, 'Full month Pivot'!$A:$A, "Phạt Nguội", 'Full month Pivot'!$C:$C, $B10)</f>
        <v/>
      </c>
      <c r="P10" s="158">
        <f>SUMIFS('Full month Pivot'!I:I, 'Full month Pivot'!$A:$A, "Phạt Nguội", 'Full month Pivot'!$C:$C, $B10)</f>
        <v/>
      </c>
      <c r="Q10" s="202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  <c r="AB10" s="164" t="n"/>
      <c r="AC10" s="164" t="n"/>
    </row>
    <row r="11">
      <c r="A11" s="164" t="n"/>
      <c r="B11" s="158" t="inlineStr">
        <is>
          <t>Referral</t>
        </is>
      </c>
      <c r="C11" s="158">
        <f>SUMIFS('MTD Pivot'!D:D, 'MTD Pivot'!$A:$A, $A$7, 'MTD Pivot'!$C:$C, $B11)</f>
        <v/>
      </c>
      <c r="D11" s="158">
        <f>SUMIFS('MTD Pivot'!E:E, 'MTD Pivot'!$A:$A, $A$7, 'MTD Pivot'!$C:$C, $B11)</f>
        <v/>
      </c>
      <c r="E11" s="158">
        <f>SUMIFS('MTD Pivot'!F:F, 'MTD Pivot'!$A:$A, $A$7, 'MTD Pivot'!$C:$C, $B11)</f>
        <v/>
      </c>
      <c r="F11" s="158">
        <f>SUMIFS('MTD Pivot'!G:G, 'MTD Pivot'!$A:$A, $A$7, 'MTD Pivot'!$C:$C, $B11)</f>
        <v/>
      </c>
      <c r="G11" s="158">
        <f>SUMIFS('MTD Pivot'!H:H, 'MTD Pivot'!$A:$A, $A$7, 'MTD Pivot'!$C:$C, $B11)</f>
        <v/>
      </c>
      <c r="H11" s="158">
        <f>SUMIFS('MTD Pivot'!I:I, 'MTD Pivot'!$A:$A, $A$7, 'MTD Pivot'!$C:$C, $B11)</f>
        <v/>
      </c>
      <c r="I11" s="50">
        <f>H11-G11</f>
        <v/>
      </c>
      <c r="J11" s="164" t="n"/>
      <c r="K11" s="158">
        <f>SUMIFS('Full month Pivot'!D:D, 'Full month Pivot'!$A:$A, "Phạt Nguội", 'Full month Pivot'!$C:$C, $B11)</f>
        <v/>
      </c>
      <c r="L11" s="158">
        <f>SUMIFS('Full month Pivot'!E:E, 'Full month Pivot'!$A:$A, "Phạt Nguội", 'Full month Pivot'!$C:$C, $B11)</f>
        <v/>
      </c>
      <c r="M11" s="158">
        <f>SUMIFS('Full month Pivot'!F:F, 'Full month Pivot'!$A:$A, "Phạt Nguội", 'Full month Pivot'!$C:$C, $B11)</f>
        <v/>
      </c>
      <c r="N11" s="158">
        <f>SUMIFS('Full month Pivot'!G:G, 'Full month Pivot'!$A:$A, "Phạt Nguội", 'Full month Pivot'!$C:$C, $B11)</f>
        <v/>
      </c>
      <c r="O11" s="158">
        <f>SUMIFS('Full month Pivot'!H:H, 'Full month Pivot'!$A:$A, "Phạt Nguội", 'Full month Pivot'!$C:$C, $B11)</f>
        <v/>
      </c>
      <c r="P11" s="158">
        <f>SUMIFS('Full month Pivot'!I:I, 'Full month Pivot'!$A:$A, "Phạt Nguội", 'Full month Pivot'!$C:$C, $B11)</f>
        <v/>
      </c>
      <c r="Q11" s="202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  <c r="AB11" s="164" t="n"/>
      <c r="AC11" s="164" t="n"/>
    </row>
    <row r="12">
      <c r="A12" s="164" t="n"/>
      <c r="B12" s="50" t="n"/>
      <c r="C12" s="158" t="n"/>
      <c r="D12" s="158" t="n"/>
      <c r="E12" s="158" t="n"/>
      <c r="F12" s="158" t="n"/>
      <c r="G12" s="158" t="n"/>
      <c r="H12" s="158" t="n"/>
      <c r="I12" s="164" t="n"/>
      <c r="J12" s="164" t="n"/>
      <c r="K12" s="50" t="n"/>
      <c r="L12" s="50" t="n"/>
      <c r="M12" s="50" t="n"/>
      <c r="N12" s="50" t="n"/>
      <c r="O12" s="50" t="n"/>
      <c r="P12" s="50" t="n"/>
      <c r="Q12" s="204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</row>
    <row r="13">
      <c r="A13" s="157" t="inlineStr">
        <is>
          <t>Bảo Hiểm Ô Tô</t>
        </is>
      </c>
      <c r="B13" s="50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50">
        <f>H13-G13</f>
        <v/>
      </c>
      <c r="J13" s="164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  <c r="AB13" s="164" t="n"/>
      <c r="AC13" s="164" t="n"/>
    </row>
    <row r="14">
      <c r="A14" s="164" t="n"/>
      <c r="B14" s="158" t="inlineStr">
        <is>
          <t>Organic</t>
        </is>
      </c>
      <c r="C14" s="158">
        <f>SUMIFS('MTD Pivot'!D:D, 'MTD Pivot'!$A:$A, "Bảo Hiểm Ô Tô", 'MTD Pivot'!$C:$C, $B14)</f>
        <v/>
      </c>
      <c r="D14" s="158">
        <f>SUMIFS('MTD Pivot'!E:E, 'MTD Pivot'!$A:$A, "Bảo Hiểm Ô Tô", 'MTD Pivot'!$C:$C, $B14)</f>
        <v/>
      </c>
      <c r="E14" s="158">
        <f>SUMIFS('MTD Pivot'!F:F, 'MTD Pivot'!$A:$A, "Bảo Hiểm Ô Tô", 'MTD Pivot'!$C:$C, $B14)</f>
        <v/>
      </c>
      <c r="F14" s="158">
        <f>SUMIFS('MTD Pivot'!G:G, 'MTD Pivot'!$A:$A, "Bảo Hiểm Ô Tô", 'MTD Pivot'!$C:$C, $B14)</f>
        <v/>
      </c>
      <c r="G14" s="158">
        <f>SUMIFS('MTD Pivot'!H:H, 'MTD Pivot'!$A:$A, "Bảo Hiểm Ô Tô", 'MTD Pivot'!$C:$C, $B14)</f>
        <v/>
      </c>
      <c r="H14" s="158">
        <f>SUMIFS('MTD Pivot'!I:I, 'MTD Pivot'!$A:$A, "Bảo Hiểm Ô Tô", 'MTD Pivot'!$C:$C, $B14)</f>
        <v/>
      </c>
      <c r="I14" s="50">
        <f>H14-G14</f>
        <v/>
      </c>
      <c r="J14" s="164" t="n"/>
      <c r="K14" s="158">
        <f>SUMIFS('Full month Pivot'!D:D, 'Full month Pivot'!$A:$A, "Bảo Hiểm Ô Tô", 'Full month Pivot'!$C:$C, $B14)</f>
        <v/>
      </c>
      <c r="L14" s="158">
        <f>SUMIFS('Full month Pivot'!E:E, 'Full month Pivot'!$A:$A, "Bảo Hiểm Ô Tô", 'Full month Pivot'!$C:$C, $B14)</f>
        <v/>
      </c>
      <c r="M14" s="158">
        <f>SUMIFS('Full month Pivot'!F:F, 'Full month Pivot'!$A:$A, "Bảo Hiểm Ô Tô", 'Full month Pivot'!$C:$C, $B14)</f>
        <v/>
      </c>
      <c r="N14" s="158">
        <f>SUMIFS('Full month Pivot'!G:G, 'Full month Pivot'!$A:$A, "Bảo Hiểm Ô Tô", 'Full month Pivot'!$C:$C, $B14)</f>
        <v/>
      </c>
      <c r="O14" s="158">
        <f>SUMIFS('Full month Pivot'!H:H, 'Full month Pivot'!$A:$A, "Bảo Hiểm Ô Tô", 'Full month Pivot'!$C:$C, $B14)</f>
        <v/>
      </c>
      <c r="P14" s="158">
        <f>SUMIFS('Full month Pivot'!I:I, 'Full month Pivot'!$A:$A, "Bảo Hiểm Ô Tô", 'Full month Pivot'!$C:$C, $B14)</f>
        <v/>
      </c>
      <c r="Q14" s="202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  <c r="AB14" s="164" t="n"/>
      <c r="AC14" s="164" t="n"/>
    </row>
    <row r="15">
      <c r="A15" s="164" t="n"/>
      <c r="B15" s="158" t="inlineStr">
        <is>
          <t>Direct</t>
        </is>
      </c>
      <c r="C15" s="158">
        <f>SUMIFS('MTD Pivot'!D:D, 'MTD Pivot'!$A:$A, "Bảo Hiểm Ô Tô", 'MTD Pivot'!$C:$C, $B15)</f>
        <v/>
      </c>
      <c r="D15" s="158">
        <f>SUMIFS('MTD Pivot'!E:E, 'MTD Pivot'!$A:$A, "Bảo Hiểm Ô Tô", 'MTD Pivot'!$C:$C, $B15)</f>
        <v/>
      </c>
      <c r="E15" s="158">
        <f>SUMIFS('MTD Pivot'!F:F, 'MTD Pivot'!$A:$A, "Bảo Hiểm Ô Tô", 'MTD Pivot'!$C:$C, $B15)</f>
        <v/>
      </c>
      <c r="F15" s="158">
        <f>SUMIFS('MTD Pivot'!G:G, 'MTD Pivot'!$A:$A, "Bảo Hiểm Ô Tô", 'MTD Pivot'!$C:$C, $B15)</f>
        <v/>
      </c>
      <c r="G15" s="158">
        <f>SUMIFS('MTD Pivot'!H:H, 'MTD Pivot'!$A:$A, "Bảo Hiểm Ô Tô", 'MTD Pivot'!$C:$C, $B15)</f>
        <v/>
      </c>
      <c r="H15" s="158">
        <f>SUMIFS('MTD Pivot'!I:I, 'MTD Pivot'!$A:$A, "Bảo Hiểm Ô Tô", 'MTD Pivot'!$C:$C, $B15)</f>
        <v/>
      </c>
      <c r="I15" s="50">
        <f>H15-G15</f>
        <v/>
      </c>
      <c r="J15" s="164" t="n"/>
      <c r="K15" s="158">
        <f>SUMIFS('Full month Pivot'!D:D, 'Full month Pivot'!$A:$A, "Bảo Hiểm Ô Tô", 'Full month Pivot'!$C:$C, $B15)</f>
        <v/>
      </c>
      <c r="L15" s="158">
        <f>SUMIFS('Full month Pivot'!E:E, 'Full month Pivot'!$A:$A, "Bảo Hiểm Ô Tô", 'Full month Pivot'!$C:$C, $B15)</f>
        <v/>
      </c>
      <c r="M15" s="158">
        <f>SUMIFS('Full month Pivot'!F:F, 'Full month Pivot'!$A:$A, "Bảo Hiểm Ô Tô", 'Full month Pivot'!$C:$C, $B15)</f>
        <v/>
      </c>
      <c r="N15" s="158">
        <f>SUMIFS('Full month Pivot'!G:G, 'Full month Pivot'!$A:$A, "Bảo Hiểm Ô Tô", 'Full month Pivot'!$C:$C, $B15)</f>
        <v/>
      </c>
      <c r="O15" s="158">
        <f>SUMIFS('Full month Pivot'!H:H, 'Full month Pivot'!$A:$A, "Bảo Hiểm Ô Tô", 'Full month Pivot'!$C:$C, $B15)</f>
        <v/>
      </c>
      <c r="P15" s="158">
        <f>SUMIFS('Full month Pivot'!I:I, 'Full month Pivot'!$A:$A, "Bảo Hiểm Ô Tô", 'Full month Pivot'!$C:$C, $B15)</f>
        <v/>
      </c>
      <c r="Q15" s="202">
        <f>P15-O15</f>
        <v/>
      </c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  <c r="AA15" s="164" t="n"/>
      <c r="AB15" s="164" t="n"/>
      <c r="AC15" s="164" t="n"/>
    </row>
    <row r="16">
      <c r="A16" s="164" t="n"/>
      <c r="B16" s="158" t="inlineStr">
        <is>
          <t>Referral</t>
        </is>
      </c>
      <c r="C16" s="158">
        <f>SUMIFS('MTD Pivot'!D:D, 'MTD Pivot'!$A:$A, "Bảo Hiểm Ô Tô", 'MTD Pivot'!$C:$C, $B16)</f>
        <v/>
      </c>
      <c r="D16" s="158">
        <f>SUMIFS('MTD Pivot'!E:E, 'MTD Pivot'!$A:$A, "Bảo Hiểm Ô Tô", 'MTD Pivot'!$C:$C, $B16)</f>
        <v/>
      </c>
      <c r="E16" s="158">
        <f>SUMIFS('MTD Pivot'!F:F, 'MTD Pivot'!$A:$A, "Bảo Hiểm Ô Tô", 'MTD Pivot'!$C:$C, $B16)</f>
        <v/>
      </c>
      <c r="F16" s="158">
        <f>SUMIFS('MTD Pivot'!G:G, 'MTD Pivot'!$A:$A, "Bảo Hiểm Ô Tô", 'MTD Pivot'!$C:$C, $B16)</f>
        <v/>
      </c>
      <c r="G16" s="158">
        <f>SUMIFS('MTD Pivot'!H:H, 'MTD Pivot'!$A:$A, "Bảo Hiểm Ô Tô", 'MTD Pivot'!$C:$C, $B16)</f>
        <v/>
      </c>
      <c r="H16" s="158">
        <f>SUMIFS('MTD Pivot'!I:I, 'MTD Pivot'!$A:$A, "Bảo Hiểm Ô Tô", 'MTD Pivot'!$C:$C, $B16)</f>
        <v/>
      </c>
      <c r="I16" s="50">
        <f>H16-G16</f>
        <v/>
      </c>
      <c r="J16" s="164" t="n"/>
      <c r="K16" s="158">
        <f>SUMIFS('Full month Pivot'!D:D, 'Full month Pivot'!$A:$A, "Bảo Hiểm Ô Tô", 'Full month Pivot'!$C:$C, $B16)</f>
        <v/>
      </c>
      <c r="L16" s="158">
        <f>SUMIFS('Full month Pivot'!E:E, 'Full month Pivot'!$A:$A, "Bảo Hiểm Ô Tô", 'Full month Pivot'!$C:$C, $B16)</f>
        <v/>
      </c>
      <c r="M16" s="158">
        <f>SUMIFS('Full month Pivot'!F:F, 'Full month Pivot'!$A:$A, "Bảo Hiểm Ô Tô", 'Full month Pivot'!$C:$C, $B16)</f>
        <v/>
      </c>
      <c r="N16" s="158">
        <f>SUMIFS('Full month Pivot'!G:G, 'Full month Pivot'!$A:$A, "Bảo Hiểm Ô Tô", 'Full month Pivot'!$C:$C, $B16)</f>
        <v/>
      </c>
      <c r="O16" s="158">
        <f>SUMIFS('Full month Pivot'!H:H, 'Full month Pivot'!$A:$A, "Bảo Hiểm Ô Tô", 'Full month Pivot'!$C:$C, $B16)</f>
        <v/>
      </c>
      <c r="P16" s="158">
        <f>SUMIFS('Full month Pivot'!I:I, 'Full month Pivot'!$A:$A, "Bảo Hiểm Ô Tô", 'Full month Pivot'!$C:$C, $B16)</f>
        <v/>
      </c>
      <c r="Q16" s="202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</row>
    <row r="17">
      <c r="A17" s="164" t="n"/>
      <c r="B17" s="158" t="inlineStr">
        <is>
          <t>Paid</t>
        </is>
      </c>
      <c r="C17" s="158">
        <f>SUMIFS('MTD Pivot'!D:D, 'MTD Pivot'!$A:$A, "Bảo Hiểm Ô Tô", 'MTD Pivot'!$C:$C, $B17)</f>
        <v/>
      </c>
      <c r="D17" s="158">
        <f>SUMIFS('MTD Pivot'!E:E, 'MTD Pivot'!$A:$A, "Bảo Hiểm Ô Tô", 'MTD Pivot'!$C:$C, $B17)</f>
        <v/>
      </c>
      <c r="E17" s="158">
        <f>SUMIFS('MTD Pivot'!F:F, 'MTD Pivot'!$A:$A, "Bảo Hiểm Ô Tô", 'MTD Pivot'!$C:$C, $B17)</f>
        <v/>
      </c>
      <c r="F17" s="158">
        <f>SUMIFS('MTD Pivot'!G:G, 'MTD Pivot'!$A:$A, "Bảo Hiểm Ô Tô", 'MTD Pivot'!$C:$C, $B17)</f>
        <v/>
      </c>
      <c r="G17" s="158">
        <f>SUMIFS('MTD Pivot'!H:H, 'MTD Pivot'!$A:$A, "Bảo Hiểm Ô Tô", 'MTD Pivot'!$C:$C, $B17)</f>
        <v/>
      </c>
      <c r="H17" s="158">
        <f>SUMIFS('MTD Pivot'!I:I, 'MTD Pivot'!$A:$A, "Bảo Hiểm Ô Tô", 'MTD Pivot'!$C:$C, $B17)</f>
        <v/>
      </c>
      <c r="I17" s="50">
        <f>H17-G17</f>
        <v/>
      </c>
      <c r="J17" s="164" t="n"/>
      <c r="K17" s="158">
        <f>SUMIFS('Full month Pivot'!D:D, 'Full month Pivot'!$A:$A, "Bảo Hiểm Ô Tô", 'Full month Pivot'!$C:$C, $B17)</f>
        <v/>
      </c>
      <c r="L17" s="158">
        <f>SUMIFS('Full month Pivot'!E:E, 'Full month Pivot'!$A:$A, "Bảo Hiểm Ô Tô", 'Full month Pivot'!$C:$C, $B17)</f>
        <v/>
      </c>
      <c r="M17" s="158">
        <f>SUMIFS('Full month Pivot'!F:F, 'Full month Pivot'!$A:$A, "Bảo Hiểm Ô Tô", 'Full month Pivot'!$C:$C, $B17)</f>
        <v/>
      </c>
      <c r="N17" s="158">
        <f>SUMIFS('Full month Pivot'!G:G, 'Full month Pivot'!$A:$A, "Bảo Hiểm Ô Tô", 'Full month Pivot'!$C:$C, $B17)</f>
        <v/>
      </c>
      <c r="O17" s="158">
        <f>SUMIFS('Full month Pivot'!H:H, 'Full month Pivot'!$A:$A, "Bảo Hiểm Ô Tô", 'Full month Pivot'!$C:$C, $B17)</f>
        <v/>
      </c>
      <c r="P17" s="158">
        <f>SUMIFS('Full month Pivot'!I:I, 'Full month Pivot'!$A:$A, "Bảo Hiểm Ô Tô", 'Full month Pivot'!$C:$C, $B17)</f>
        <v/>
      </c>
      <c r="Q17" s="202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  <c r="AB17" s="164" t="n"/>
      <c r="AC17" s="164" t="n"/>
    </row>
    <row r="18">
      <c r="A18" s="164" t="n"/>
      <c r="B18" s="158" t="inlineStr">
        <is>
          <t>Others</t>
        </is>
      </c>
      <c r="C18" s="158">
        <f>SUMIFS('MTD Pivot'!D:D, 'MTD Pivot'!$A:$A, "Bảo Hiểm Ô Tô", 'MTD Pivot'!$C:$C, $B18)</f>
        <v/>
      </c>
      <c r="D18" s="158">
        <f>SUMIFS('MTD Pivot'!E:E, 'MTD Pivot'!$A:$A, "Bảo Hiểm Ô Tô", 'MTD Pivot'!$C:$C, $B18)</f>
        <v/>
      </c>
      <c r="E18" s="158">
        <f>SUMIFS('MTD Pivot'!F:F, 'MTD Pivot'!$A:$A, "Bảo Hiểm Ô Tô", 'MTD Pivot'!$C:$C, $B18)</f>
        <v/>
      </c>
      <c r="F18" s="158">
        <f>SUMIFS('MTD Pivot'!G:G, 'MTD Pivot'!$A:$A, "Bảo Hiểm Ô Tô", 'MTD Pivot'!$C:$C, $B18)</f>
        <v/>
      </c>
      <c r="G18" s="158">
        <f>SUMIFS('MTD Pivot'!H:H, 'MTD Pivot'!$A:$A, "Bảo Hiểm Ô Tô", 'MTD Pivot'!$C:$C, $B18)</f>
        <v/>
      </c>
      <c r="H18" s="158">
        <f>SUMIFS('MTD Pivot'!I:I, 'MTD Pivot'!$A:$A, "Bảo Hiểm Ô Tô", 'MTD Pivot'!$C:$C, $B18)</f>
        <v/>
      </c>
      <c r="I18" s="50">
        <f>H18-G18</f>
        <v/>
      </c>
      <c r="J18" s="164" t="n"/>
      <c r="K18" s="158">
        <f>SUMIFS('Full month Pivot'!D:D, 'Full month Pivot'!$A:$A, "Bảo Hiểm Ô Tô", 'Full month Pivot'!$C:$C, $B18)</f>
        <v/>
      </c>
      <c r="L18" s="158">
        <f>SUMIFS('Full month Pivot'!E:E, 'Full month Pivot'!$A:$A, "Bảo Hiểm Ô Tô", 'Full month Pivot'!$C:$C, $B18)</f>
        <v/>
      </c>
      <c r="M18" s="158">
        <f>SUMIFS('Full month Pivot'!F:F, 'Full month Pivot'!$A:$A, "Bảo Hiểm Ô Tô", 'Full month Pivot'!$C:$C, $B18)</f>
        <v/>
      </c>
      <c r="N18" s="158">
        <f>SUMIFS('Full month Pivot'!G:G, 'Full month Pivot'!$A:$A, "Bảo Hiểm Ô Tô", 'Full month Pivot'!$C:$C, $B18)</f>
        <v/>
      </c>
      <c r="O18" s="158">
        <f>SUMIFS('Full month Pivot'!H:H, 'Full month Pivot'!$A:$A, "Bảo Hiểm Ô Tô", 'Full month Pivot'!$C:$C, $B18)</f>
        <v/>
      </c>
      <c r="P18" s="158">
        <f>SUMIFS('Full month Pivot'!I:I, 'Full month Pivot'!$A:$A, "Bảo Hiểm Ô Tô", 'Full month Pivot'!$C:$C, $B18)</f>
        <v/>
      </c>
      <c r="Q18" s="202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  <c r="AB18" s="164" t="n"/>
      <c r="AC18" s="164" t="n"/>
    </row>
    <row r="19">
      <c r="A19" s="164" t="n"/>
      <c r="B19" s="164" t="n"/>
      <c r="C19" s="164" t="n"/>
      <c r="D19" s="164" t="n"/>
      <c r="E19" s="164" t="n"/>
      <c r="F19" s="164" t="n"/>
      <c r="G19" s="164" t="n"/>
      <c r="H19" s="164" t="n"/>
      <c r="I19" s="164" t="n"/>
      <c r="J19" s="164" t="n"/>
      <c r="K19" s="164" t="n"/>
      <c r="L19" s="164" t="n"/>
      <c r="M19" s="164" t="n"/>
      <c r="N19" s="164" t="n"/>
      <c r="O19" s="164" t="n"/>
      <c r="P19" s="164" t="n"/>
      <c r="Q19" s="204" t="n"/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  <c r="AB19" s="164" t="n"/>
      <c r="AC19" s="164" t="n"/>
    </row>
    <row r="20">
      <c r="A20" s="157" t="inlineStr">
        <is>
          <t>Bảo Hiểm Xe Máy</t>
        </is>
      </c>
      <c r="B20" s="164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0">
        <f>H20-G20</f>
        <v/>
      </c>
      <c r="J20" s="164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2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</row>
    <row r="21">
      <c r="A21" s="164" t="n"/>
      <c r="B21" s="158" t="inlineStr">
        <is>
          <t>Organic</t>
        </is>
      </c>
      <c r="C21" s="158">
        <f>SUMIFS('MTD Pivot'!D:D, 'MTD Pivot'!$A:$A, "Bảo Hiểm Xe Máy", 'MTD Pivot'!$C:$C, $B21)</f>
        <v/>
      </c>
      <c r="D21" s="158">
        <f>SUMIFS('MTD Pivot'!E:E, 'MTD Pivot'!$A:$A, "Bảo Hiểm Xe Máy", 'MTD Pivot'!$C:$C, $B21)</f>
        <v/>
      </c>
      <c r="E21" s="158">
        <f>SUMIFS('MTD Pivot'!F:F, 'MTD Pivot'!$A:$A, "Bảo Hiểm Xe Máy", 'MTD Pivot'!$C:$C, $B21)</f>
        <v/>
      </c>
      <c r="F21" s="158">
        <f>SUMIFS('MTD Pivot'!G:G, 'MTD Pivot'!$A:$A, "Bảo Hiểm Xe Máy", 'MTD Pivot'!$C:$C, $B21)</f>
        <v/>
      </c>
      <c r="G21" s="158">
        <f>SUMIFS('MTD Pivot'!H:H, 'MTD Pivot'!$A:$A, "Bảo Hiểm Xe Máy", 'MTD Pivot'!$C:$C, $B21)</f>
        <v/>
      </c>
      <c r="H21" s="158">
        <f>SUMIFS('MTD Pivot'!I:I, 'MTD Pivot'!$A:$A, "Bảo Hiểm Xe Máy", 'MTD Pivot'!$C:$C, $B21)</f>
        <v/>
      </c>
      <c r="I21" s="50">
        <f>H21-G21</f>
        <v/>
      </c>
      <c r="J21" s="164" t="n"/>
      <c r="K21" s="158">
        <f>SUMIFS('Full month Pivot'!D:D, 'Full month Pivot'!$A:$A, "Bảo Hiểm Xe Máy", 'Full month Pivot'!$C:$C, $B21)</f>
        <v/>
      </c>
      <c r="L21" s="158">
        <f>SUMIFS('Full month Pivot'!E:E, 'Full month Pivot'!$A:$A, "Bảo Hiểm Xe Máy", 'Full month Pivot'!$C:$C, $B21)</f>
        <v/>
      </c>
      <c r="M21" s="158">
        <f>SUMIFS('Full month Pivot'!F:F, 'Full month Pivot'!$A:$A, "Bảo Hiểm Xe Máy", 'Full month Pivot'!$C:$C, $B21)</f>
        <v/>
      </c>
      <c r="N21" s="158">
        <f>SUMIFS('Full month Pivot'!G:G, 'Full month Pivot'!$A:$A, "Bảo Hiểm Xe Máy", 'Full month Pivot'!$C:$C, $B21)</f>
        <v/>
      </c>
      <c r="O21" s="158">
        <f>SUMIFS('Full month Pivot'!H:H, 'Full month Pivot'!$A:$A, "Bảo Hiểm Xe Máy", 'Full month Pivot'!$C:$C, $B21)</f>
        <v/>
      </c>
      <c r="P21" s="158">
        <f>SUMIFS('Full month Pivot'!I:I, 'Full month Pivot'!$A:$A, "Bảo Hiểm Xe Máy", 'Full month Pivot'!$C:$C, $B21)</f>
        <v/>
      </c>
      <c r="Q21" s="202">
        <f>P21-O21</f>
        <v/>
      </c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  <c r="AB21" s="164" t="n"/>
      <c r="AC21" s="164" t="n"/>
    </row>
    <row r="22">
      <c r="A22" s="164" t="n"/>
      <c r="B22" s="158" t="inlineStr">
        <is>
          <t>Direct</t>
        </is>
      </c>
      <c r="C22" s="158">
        <f>SUMIFS('MTD Pivot'!D:D, 'MTD Pivot'!$A:$A, "Bảo Hiểm Xe Máy", 'MTD Pivot'!$C:$C, $B22)</f>
        <v/>
      </c>
      <c r="D22" s="158">
        <f>SUMIFS('MTD Pivot'!E:E, 'MTD Pivot'!$A:$A, "Bảo Hiểm Xe Máy", 'MTD Pivot'!$C:$C, $B22)</f>
        <v/>
      </c>
      <c r="E22" s="158">
        <f>SUMIFS('MTD Pivot'!F:F, 'MTD Pivot'!$A:$A, "Bảo Hiểm Xe Máy", 'MTD Pivot'!$C:$C, $B22)</f>
        <v/>
      </c>
      <c r="F22" s="158">
        <f>SUMIFS('MTD Pivot'!G:G, 'MTD Pivot'!$A:$A, "Bảo Hiểm Xe Máy", 'MTD Pivot'!$C:$C, $B22)</f>
        <v/>
      </c>
      <c r="G22" s="158">
        <f>SUMIFS('MTD Pivot'!H:H, 'MTD Pivot'!$A:$A, "Bảo Hiểm Xe Máy", 'MTD Pivot'!$C:$C, $B22)</f>
        <v/>
      </c>
      <c r="H22" s="158">
        <f>SUMIFS('MTD Pivot'!I:I, 'MTD Pivot'!$A:$A, "Bảo Hiểm Xe Máy", 'MTD Pivot'!$C:$C, $B22)</f>
        <v/>
      </c>
      <c r="I22" s="50">
        <f>H22-G22</f>
        <v/>
      </c>
      <c r="J22" s="164" t="n"/>
      <c r="K22" s="158">
        <f>SUMIFS('Full month Pivot'!D:D, 'Full month Pivot'!$A:$A, "Bảo Hiểm Xe Máy", 'Full month Pivot'!$C:$C, $B22)</f>
        <v/>
      </c>
      <c r="L22" s="158">
        <f>SUMIFS('Full month Pivot'!E:E, 'Full month Pivot'!$A:$A, "Bảo Hiểm Xe Máy", 'Full month Pivot'!$C:$C, $B22)</f>
        <v/>
      </c>
      <c r="M22" s="158">
        <f>SUMIFS('Full month Pivot'!F:F, 'Full month Pivot'!$A:$A, "Bảo Hiểm Xe Máy", 'Full month Pivot'!$C:$C, $B22)</f>
        <v/>
      </c>
      <c r="N22" s="158">
        <f>SUMIFS('Full month Pivot'!G:G, 'Full month Pivot'!$A:$A, "Bảo Hiểm Xe Máy", 'Full month Pivot'!$C:$C, $B22)</f>
        <v/>
      </c>
      <c r="O22" s="158">
        <f>SUMIFS('Full month Pivot'!H:H, 'Full month Pivot'!$A:$A, "Bảo Hiểm Xe Máy", 'Full month Pivot'!$C:$C, $B22)</f>
        <v/>
      </c>
      <c r="P22" s="158">
        <f>SUMIFS('Full month Pivot'!I:I, 'Full month Pivot'!$A:$A, "Bảo Hiểm Xe Máy", 'Full month Pivot'!$C:$C, $B22)</f>
        <v/>
      </c>
      <c r="Q22" s="202">
        <f>P22-O22</f>
        <v/>
      </c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  <c r="AA22" s="164" t="n"/>
      <c r="AB22" s="164" t="n"/>
      <c r="AC22" s="164" t="n"/>
    </row>
    <row r="23">
      <c r="A23" s="164" t="n"/>
      <c r="B23" s="158" t="inlineStr">
        <is>
          <t>Referral</t>
        </is>
      </c>
      <c r="C23" s="158">
        <f>SUMIFS('MTD Pivot'!D:D, 'MTD Pivot'!$A:$A, "Bảo Hiểm Xe Máy", 'MTD Pivot'!$C:$C, $B23)</f>
        <v/>
      </c>
      <c r="D23" s="158">
        <f>SUMIFS('MTD Pivot'!E:E, 'MTD Pivot'!$A:$A, "Bảo Hiểm Xe Máy", 'MTD Pivot'!$C:$C, $B23)</f>
        <v/>
      </c>
      <c r="E23" s="158">
        <f>SUMIFS('MTD Pivot'!F:F, 'MTD Pivot'!$A:$A, "Bảo Hiểm Xe Máy", 'MTD Pivot'!$C:$C, $B23)</f>
        <v/>
      </c>
      <c r="F23" s="158">
        <f>SUMIFS('MTD Pivot'!G:G, 'MTD Pivot'!$A:$A, "Bảo Hiểm Xe Máy", 'MTD Pivot'!$C:$C, $B23)</f>
        <v/>
      </c>
      <c r="G23" s="158">
        <f>SUMIFS('MTD Pivot'!H:H, 'MTD Pivot'!$A:$A, "Bảo Hiểm Xe Máy", 'MTD Pivot'!$C:$C, $B23)</f>
        <v/>
      </c>
      <c r="H23" s="158">
        <f>SUMIFS('MTD Pivot'!I:I, 'MTD Pivot'!$A:$A, "Bảo Hiểm Xe Máy", 'MTD Pivot'!$C:$C, $B23)</f>
        <v/>
      </c>
      <c r="I23" s="50">
        <f>H23-G23</f>
        <v/>
      </c>
      <c r="J23" s="164" t="n"/>
      <c r="K23" s="158">
        <f>SUMIFS('Full month Pivot'!D:D, 'Full month Pivot'!$A:$A, "Bảo Hiểm Xe Máy", 'Full month Pivot'!$C:$C, $B23)</f>
        <v/>
      </c>
      <c r="L23" s="158">
        <f>SUMIFS('Full month Pivot'!E:E, 'Full month Pivot'!$A:$A, "Bảo Hiểm Xe Máy", 'Full month Pivot'!$C:$C, $B23)</f>
        <v/>
      </c>
      <c r="M23" s="158">
        <f>SUMIFS('Full month Pivot'!F:F, 'Full month Pivot'!$A:$A, "Bảo Hiểm Xe Máy", 'Full month Pivot'!$C:$C, $B23)</f>
        <v/>
      </c>
      <c r="N23" s="158">
        <f>SUMIFS('Full month Pivot'!G:G, 'Full month Pivot'!$A:$A, "Bảo Hiểm Xe Máy", 'Full month Pivot'!$C:$C, $B23)</f>
        <v/>
      </c>
      <c r="O23" s="158">
        <f>SUMIFS('Full month Pivot'!H:H, 'Full month Pivot'!$A:$A, "Bảo Hiểm Xe Máy", 'Full month Pivot'!$C:$C, $B23)</f>
        <v/>
      </c>
      <c r="P23" s="158">
        <f>SUMIFS('Full month Pivot'!I:I, 'Full month Pivot'!$A:$A, "Bảo Hiểm Xe Máy", 'Full month Pivot'!$C:$C, $B23)</f>
        <v/>
      </c>
      <c r="Q23" s="202">
        <f>P23-O23</f>
        <v/>
      </c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  <c r="AB23" s="164" t="n"/>
      <c r="AC23" s="164" t="n"/>
    </row>
    <row r="24">
      <c r="A24" s="164" t="n"/>
      <c r="B24" s="158" t="inlineStr">
        <is>
          <t>Paid</t>
        </is>
      </c>
      <c r="C24" s="158">
        <f>SUMIFS('MTD Pivot'!D:D, 'MTD Pivot'!$A:$A, "Bảo Hiểm Xe Máy", 'MTD Pivot'!$C:$C, $B24)</f>
        <v/>
      </c>
      <c r="D24" s="158">
        <f>SUMIFS('MTD Pivot'!E:E, 'MTD Pivot'!$A:$A, "Bảo Hiểm Xe Máy", 'MTD Pivot'!$C:$C, $B24)</f>
        <v/>
      </c>
      <c r="E24" s="158">
        <f>SUMIFS('MTD Pivot'!F:F, 'MTD Pivot'!$A:$A, "Bảo Hiểm Xe Máy", 'MTD Pivot'!$C:$C, $B24)</f>
        <v/>
      </c>
      <c r="F24" s="158">
        <f>SUMIFS('MTD Pivot'!G:G, 'MTD Pivot'!$A:$A, "Bảo Hiểm Xe Máy", 'MTD Pivot'!$C:$C, $B24)</f>
        <v/>
      </c>
      <c r="G24" s="158">
        <f>SUMIFS('MTD Pivot'!H:H, 'MTD Pivot'!$A:$A, "Bảo Hiểm Xe Máy", 'MTD Pivot'!$C:$C, $B24)</f>
        <v/>
      </c>
      <c r="H24" s="158">
        <f>SUMIFS('MTD Pivot'!I:I, 'MTD Pivot'!$A:$A, "Bảo Hiểm Xe Máy", 'MTD Pivot'!$C:$C, $B24)</f>
        <v/>
      </c>
      <c r="I24" s="50">
        <f>H24-G24</f>
        <v/>
      </c>
      <c r="J24" s="164" t="n"/>
      <c r="K24" s="158">
        <f>SUMIFS('Full month Pivot'!D:D, 'Full month Pivot'!$A:$A, "Bảo Hiểm Xe Máy", 'Full month Pivot'!$C:$C, $B24)</f>
        <v/>
      </c>
      <c r="L24" s="158">
        <f>SUMIFS('Full month Pivot'!E:E, 'Full month Pivot'!$A:$A, "Bảo Hiểm Xe Máy", 'Full month Pivot'!$C:$C, $B24)</f>
        <v/>
      </c>
      <c r="M24" s="158">
        <f>SUMIFS('Full month Pivot'!F:F, 'Full month Pivot'!$A:$A, "Bảo Hiểm Xe Máy", 'Full month Pivot'!$C:$C, $B24)</f>
        <v/>
      </c>
      <c r="N24" s="158">
        <f>SUMIFS('Full month Pivot'!G:G, 'Full month Pivot'!$A:$A, "Bảo Hiểm Xe Máy", 'Full month Pivot'!$C:$C, $B24)</f>
        <v/>
      </c>
      <c r="O24" s="158">
        <f>SUMIFS('Full month Pivot'!H:H, 'Full month Pivot'!$A:$A, "Bảo Hiểm Xe Máy", 'Full month Pivot'!$C:$C, $B24)</f>
        <v/>
      </c>
      <c r="P24" s="158">
        <f>SUMIFS('Full month Pivot'!I:I, 'Full month Pivot'!$A:$A, "Bảo Hiểm Xe Máy", 'Full month Pivot'!$C:$C, $B24)</f>
        <v/>
      </c>
      <c r="Q24" s="202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  <c r="AB24" s="164" t="n"/>
      <c r="AC24" s="164" t="n"/>
    </row>
    <row r="25">
      <c r="A25" s="164" t="n"/>
      <c r="B25" s="158" t="inlineStr">
        <is>
          <t>Others</t>
        </is>
      </c>
      <c r="C25" s="158">
        <f>SUMIFS('MTD Pivot'!D:D, 'MTD Pivot'!$A:$A, "Bảo Hiểm Xe Máy", 'MTD Pivot'!$C:$C, $B25)</f>
        <v/>
      </c>
      <c r="D25" s="158">
        <f>SUMIFS('MTD Pivot'!E:E, 'MTD Pivot'!$A:$A, "Bảo Hiểm Xe Máy", 'MTD Pivot'!$C:$C, $B25)</f>
        <v/>
      </c>
      <c r="E25" s="158">
        <f>SUMIFS('MTD Pivot'!F:F, 'MTD Pivot'!$A:$A, "Bảo Hiểm Xe Máy", 'MTD Pivot'!$C:$C, $B25)</f>
        <v/>
      </c>
      <c r="F25" s="158">
        <f>SUMIFS('MTD Pivot'!G:G, 'MTD Pivot'!$A:$A, "Bảo Hiểm Xe Máy", 'MTD Pivot'!$C:$C, $B25)</f>
        <v/>
      </c>
      <c r="G25" s="158">
        <f>SUMIFS('MTD Pivot'!H:H, 'MTD Pivot'!$A:$A, "Bảo Hiểm Xe Máy", 'MTD Pivot'!$C:$C, $B25)</f>
        <v/>
      </c>
      <c r="H25" s="158">
        <f>SUMIFS('MTD Pivot'!I:I, 'MTD Pivot'!$A:$A, "Bảo Hiểm Xe Máy", 'MTD Pivot'!$C:$C, $B25)</f>
        <v/>
      </c>
      <c r="I25" s="50">
        <f>H25-G25</f>
        <v/>
      </c>
      <c r="J25" s="164" t="n"/>
      <c r="K25" s="158">
        <f>SUMIFS('Full month Pivot'!D:D, 'Full month Pivot'!$A:$A, "Bảo Hiểm Xe Máy", 'Full month Pivot'!$C:$C, $B25)</f>
        <v/>
      </c>
      <c r="L25" s="158">
        <f>SUMIFS('Full month Pivot'!E:E, 'Full month Pivot'!$A:$A, "Bảo Hiểm Xe Máy", 'Full month Pivot'!$C:$C, $B25)</f>
        <v/>
      </c>
      <c r="M25" s="158">
        <f>SUMIFS('Full month Pivot'!F:F, 'Full month Pivot'!$A:$A, "Bảo Hiểm Xe Máy", 'Full month Pivot'!$C:$C, $B25)</f>
        <v/>
      </c>
      <c r="N25" s="158">
        <f>SUMIFS('Full month Pivot'!G:G, 'Full month Pivot'!$A:$A, "Bảo Hiểm Xe Máy", 'Full month Pivot'!$C:$C, $B25)</f>
        <v/>
      </c>
      <c r="O25" s="158">
        <f>SUMIFS('Full month Pivot'!H:H, 'Full month Pivot'!$A:$A, "Bảo Hiểm Xe Máy", 'Full month Pivot'!$C:$C, $B25)</f>
        <v/>
      </c>
      <c r="P25" s="158">
        <f>SUMIFS('Full month Pivot'!I:I, 'Full month Pivot'!$A:$A, "Bảo Hiểm Xe Máy", 'Full month Pivot'!$C:$C, $B25)</f>
        <v/>
      </c>
      <c r="Q25" s="202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  <c r="AB25" s="164" t="n"/>
      <c r="AC25" s="164" t="n"/>
    </row>
    <row r="26">
      <c r="A26" s="164" t="n"/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204" t="n"/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  <c r="AB26" s="164" t="n"/>
      <c r="AC26" s="164" t="n"/>
    </row>
    <row r="27">
      <c r="A27" s="164" t="n"/>
      <c r="B27" s="164" t="n"/>
      <c r="C27" s="157">
        <f>sum(C28:C32)</f>
        <v/>
      </c>
      <c r="D27" s="157">
        <f>sum(D28:D32)</f>
        <v/>
      </c>
      <c r="E27" s="157">
        <f>sum(E28:E32)</f>
        <v/>
      </c>
      <c r="F27" s="157">
        <f>sum(F28:F32)</f>
        <v/>
      </c>
      <c r="G27" s="157">
        <f>sum(G28:G32)</f>
        <v/>
      </c>
      <c r="H27" s="157">
        <f>sum(H28:H32)</f>
        <v/>
      </c>
      <c r="I27" s="164">
        <f>H27-G27</f>
        <v/>
      </c>
      <c r="J27" s="164" t="n"/>
      <c r="K27" s="157">
        <f>sum(K28:K32)</f>
        <v/>
      </c>
      <c r="L27" s="157">
        <f>sum(L28:L32)</f>
        <v/>
      </c>
      <c r="M27" s="157">
        <f>sum(M28:M32)</f>
        <v/>
      </c>
      <c r="N27" s="157">
        <f>sum(N28:N32)</f>
        <v/>
      </c>
      <c r="O27" s="157">
        <f>sum(O28:O32)</f>
        <v/>
      </c>
      <c r="P27" s="157">
        <f>sum(P28:P32)</f>
        <v/>
      </c>
      <c r="Q27" s="204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  <c r="AB27" s="164" t="n"/>
      <c r="AC27" s="164" t="n"/>
    </row>
    <row r="28">
      <c r="A28" s="157" t="inlineStr">
        <is>
          <t>Phí Không Dừng</t>
        </is>
      </c>
      <c r="B28" s="158" t="inlineStr">
        <is>
          <t>Organic</t>
        </is>
      </c>
      <c r="C28" s="164">
        <f>SUMIFS('MTD Pivot'!D:D, 'MTD Pivot'!$A:$A, "Phí Không Dừng", 'MTD Pivot'!$C:$C, $B28)</f>
        <v/>
      </c>
      <c r="D28" s="164">
        <f>SUMIFS('MTD Pivot'!E:E, 'MTD Pivot'!$A:$A, "Phí Không Dừng", 'MTD Pivot'!$C:$C, $B28)</f>
        <v/>
      </c>
      <c r="E28" s="164">
        <f>SUMIFS('MTD Pivot'!F:F, 'MTD Pivot'!$A:$A, "Phí Không Dừng", 'MTD Pivot'!$C:$C, $B28)</f>
        <v/>
      </c>
      <c r="F28" s="164">
        <f>SUMIFS('MTD Pivot'!G:G, 'MTD Pivot'!$A:$A, "Phí Không Dừng", 'MTD Pivot'!$C:$C, $B28)</f>
        <v/>
      </c>
      <c r="G28" s="164">
        <f>SUMIFS('MTD Pivot'!H:H, 'MTD Pivot'!$A:$A, "Phí Không Dừng", 'MTD Pivot'!$C:$C, $B28)</f>
        <v/>
      </c>
      <c r="H28" s="164">
        <f>SUMIFS('MTD Pivot'!I:I, 'MTD Pivot'!$A:$A, "Phí Không Dừng", 'MTD Pivot'!$C:$C, $B28)</f>
        <v/>
      </c>
      <c r="I28" s="164">
        <f>H28-G28</f>
        <v/>
      </c>
      <c r="J28" s="164" t="n"/>
      <c r="K28" s="164">
        <f>SUMIFS('Full month Pivot'!D:D, 'Full month Pivot'!$A:$A, "Phí Không Dừng", 'Full month Pivot'!$C:$C, $B28)</f>
        <v/>
      </c>
      <c r="L28" s="164">
        <f>SUMIFS('Full month Pivot'!E:E, 'Full month Pivot'!$A:$A, "Phí Không Dừng", 'Full month Pivot'!$C:$C, $B28)</f>
        <v/>
      </c>
      <c r="M28" s="164">
        <f>SUMIFS('Full month Pivot'!F:F, 'Full month Pivot'!$A:$A, "Phí Không Dừng", 'Full month Pivot'!$C:$C, $B28)</f>
        <v/>
      </c>
      <c r="N28" s="164">
        <f>SUMIFS('Full month Pivot'!G:G, 'Full month Pivot'!$A:$A, "Phí Không Dừng", 'Full month Pivot'!$C:$C, $B28)</f>
        <v/>
      </c>
      <c r="O28" s="164">
        <f>SUMIFS('Full month Pivot'!H:H, 'Full month Pivot'!$A:$A, "Phí Không Dừng", 'Full month Pivot'!$C:$C, $B28)</f>
        <v/>
      </c>
      <c r="P28" s="164">
        <f>SUMIFS('Full month Pivot'!I:I, 'Full month Pivot'!$A:$A, "Phí Không Dừng", 'Full month Pivot'!$C:$C, $B28)</f>
        <v/>
      </c>
      <c r="Q28" s="204">
        <f>P28-O28</f>
        <v/>
      </c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  <c r="AB28" s="164" t="n"/>
      <c r="AC28" s="164" t="n"/>
    </row>
    <row r="29">
      <c r="A29" s="164" t="n"/>
      <c r="B29" s="158" t="inlineStr">
        <is>
          <t>Direct</t>
        </is>
      </c>
      <c r="C29" s="164">
        <f>SUMIFS('MTD Pivot'!D:D, 'MTD Pivot'!$A:$A, "Phí Không Dừng", 'MTD Pivot'!$C:$C, $B29)</f>
        <v/>
      </c>
      <c r="D29" s="164">
        <f>SUMIFS('MTD Pivot'!E:E, 'MTD Pivot'!$A:$A, "Phí Không Dừng", 'MTD Pivot'!$C:$C, $B29)</f>
        <v/>
      </c>
      <c r="E29" s="164">
        <f>SUMIFS('MTD Pivot'!F:F, 'MTD Pivot'!$A:$A, "Phí Không Dừng", 'MTD Pivot'!$C:$C, $B29)</f>
        <v/>
      </c>
      <c r="F29" s="164">
        <f>SUMIFS('MTD Pivot'!G:G, 'MTD Pivot'!$A:$A, "Phí Không Dừng", 'MTD Pivot'!$C:$C, $B29)</f>
        <v/>
      </c>
      <c r="G29" s="164">
        <f>SUMIFS('MTD Pivot'!H:H, 'MTD Pivot'!$A:$A, "Phí Không Dừng", 'MTD Pivot'!$C:$C, $B29)</f>
        <v/>
      </c>
      <c r="H29" s="164">
        <f>SUMIFS('MTD Pivot'!I:I, 'MTD Pivot'!$A:$A, "Phí Không Dừng", 'MTD Pivot'!$C:$C, $B29)</f>
        <v/>
      </c>
      <c r="I29" s="164">
        <f>H29-G29</f>
        <v/>
      </c>
      <c r="J29" s="164" t="n"/>
      <c r="K29" s="164">
        <f>SUMIFS('Full month Pivot'!D:D, 'Full month Pivot'!$A:$A, "Phí Không Dừng", 'Full month Pivot'!$C:$C, $B29)</f>
        <v/>
      </c>
      <c r="L29" s="164">
        <f>SUMIFS('Full month Pivot'!E:E, 'Full month Pivot'!$A:$A, "Phí Không Dừng", 'Full month Pivot'!$C:$C, $B29)</f>
        <v/>
      </c>
      <c r="M29" s="164">
        <f>SUMIFS('Full month Pivot'!F:F, 'Full month Pivot'!$A:$A, "Phí Không Dừng", 'Full month Pivot'!$C:$C, $B29)</f>
        <v/>
      </c>
      <c r="N29" s="164">
        <f>SUMIFS('Full month Pivot'!G:G, 'Full month Pivot'!$A:$A, "Phí Không Dừng", 'Full month Pivot'!$C:$C, $B29)</f>
        <v/>
      </c>
      <c r="O29" s="164">
        <f>SUMIFS('Full month Pivot'!H:H, 'Full month Pivot'!$A:$A, "Phí Không Dừng", 'Full month Pivot'!$C:$C, $B29)</f>
        <v/>
      </c>
      <c r="P29" s="164">
        <f>SUMIFS('Full month Pivot'!I:I, 'Full month Pivot'!$A:$A, "Phí Không Dừng", 'Full month Pivot'!$C:$C, $B29)</f>
        <v/>
      </c>
      <c r="Q29" s="204">
        <f>P29-O29</f>
        <v/>
      </c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  <c r="AA29" s="164" t="n"/>
      <c r="AB29" s="164" t="n"/>
      <c r="AC29" s="164" t="n"/>
    </row>
    <row r="30">
      <c r="A30" s="164" t="n"/>
      <c r="B30" s="158" t="inlineStr">
        <is>
          <t>Referral</t>
        </is>
      </c>
      <c r="C30" s="164">
        <f>SUMIFS('MTD Pivot'!D:D, 'MTD Pivot'!$A:$A, "Phí Không Dừng", 'MTD Pivot'!$C:$C, $B30)</f>
        <v/>
      </c>
      <c r="D30" s="164">
        <f>SUMIFS('MTD Pivot'!E:E, 'MTD Pivot'!$A:$A, "Phí Không Dừng", 'MTD Pivot'!$C:$C, $B30)</f>
        <v/>
      </c>
      <c r="E30" s="164">
        <f>SUMIFS('MTD Pivot'!F:F, 'MTD Pivot'!$A:$A, "Phí Không Dừng", 'MTD Pivot'!$C:$C, $B30)</f>
        <v/>
      </c>
      <c r="F30" s="164">
        <f>SUMIFS('MTD Pivot'!G:G, 'MTD Pivot'!$A:$A, "Phí Không Dừng", 'MTD Pivot'!$C:$C, $B30)</f>
        <v/>
      </c>
      <c r="G30" s="164">
        <f>SUMIFS('MTD Pivot'!H:H, 'MTD Pivot'!$A:$A, "Phí Không Dừng", 'MTD Pivot'!$C:$C, $B30)</f>
        <v/>
      </c>
      <c r="H30" s="164">
        <f>SUMIFS('MTD Pivot'!I:I, 'MTD Pivot'!$A:$A, "Phí Không Dừng", 'MTD Pivot'!$C:$C, $B30)</f>
        <v/>
      </c>
      <c r="I30" s="164">
        <f>H30-G30</f>
        <v/>
      </c>
      <c r="J30" s="164" t="n"/>
      <c r="K30" s="164">
        <f>SUMIFS('Full month Pivot'!D:D, 'Full month Pivot'!$A:$A, "Phí Không Dừng", 'Full month Pivot'!$C:$C, $B30)</f>
        <v/>
      </c>
      <c r="L30" s="164">
        <f>SUMIFS('Full month Pivot'!E:E, 'Full month Pivot'!$A:$A, "Phí Không Dừng", 'Full month Pivot'!$C:$C, $B30)</f>
        <v/>
      </c>
      <c r="M30" s="164">
        <f>SUMIFS('Full month Pivot'!F:F, 'Full month Pivot'!$A:$A, "Phí Không Dừng", 'Full month Pivot'!$C:$C, $B30)</f>
        <v/>
      </c>
      <c r="N30" s="164">
        <f>SUMIFS('Full month Pivot'!G:G, 'Full month Pivot'!$A:$A, "Phí Không Dừng", 'Full month Pivot'!$C:$C, $B30)</f>
        <v/>
      </c>
      <c r="O30" s="164">
        <f>SUMIFS('Full month Pivot'!H:H, 'Full month Pivot'!$A:$A, "Phí Không Dừng", 'Full month Pivot'!$C:$C, $B30)</f>
        <v/>
      </c>
      <c r="P30" s="164">
        <f>SUMIFS('Full month Pivot'!I:I, 'Full month Pivot'!$A:$A, "Phí Không Dừng", 'Full month Pivot'!$C:$C, $B30)</f>
        <v/>
      </c>
      <c r="Q30" s="204">
        <f>P30-O30</f>
        <v/>
      </c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  <c r="AB30" s="164" t="n"/>
      <c r="AC30" s="164" t="n"/>
    </row>
    <row r="31">
      <c r="A31" s="164" t="n"/>
      <c r="B31" s="158" t="inlineStr">
        <is>
          <t>Paid</t>
        </is>
      </c>
      <c r="C31" s="164">
        <f>SUMIFS('MTD Pivot'!D:D, 'MTD Pivot'!$A:$A, "Phí Không Dừng", 'MTD Pivot'!$C:$C, $B31)</f>
        <v/>
      </c>
      <c r="D31" s="164">
        <f>SUMIFS('MTD Pivot'!E:E, 'MTD Pivot'!$A:$A, "Phí Không Dừng", 'MTD Pivot'!$C:$C, $B31)</f>
        <v/>
      </c>
      <c r="E31" s="164">
        <f>SUMIFS('MTD Pivot'!F:F, 'MTD Pivot'!$A:$A, "Phí Không Dừng", 'MTD Pivot'!$C:$C, $B31)</f>
        <v/>
      </c>
      <c r="F31" s="164">
        <f>SUMIFS('MTD Pivot'!G:G, 'MTD Pivot'!$A:$A, "Phí Không Dừng", 'MTD Pivot'!$C:$C, $B31)</f>
        <v/>
      </c>
      <c r="G31" s="164">
        <f>SUMIFS('MTD Pivot'!H:H, 'MTD Pivot'!$A:$A, "Phí Không Dừng", 'MTD Pivot'!$C:$C, $B31)</f>
        <v/>
      </c>
      <c r="H31" s="164">
        <f>SUMIFS('MTD Pivot'!I:I, 'MTD Pivot'!$A:$A, "Phí Không Dừng", 'MTD Pivot'!$C:$C, $B31)</f>
        <v/>
      </c>
      <c r="I31" s="164">
        <f>H31-G31</f>
        <v/>
      </c>
      <c r="J31" s="164" t="n"/>
      <c r="K31" s="164">
        <f>SUMIFS('Full month Pivot'!D:D, 'Full month Pivot'!$A:$A, "Phí Không Dừng", 'Full month Pivot'!$C:$C, $B31)</f>
        <v/>
      </c>
      <c r="L31" s="164">
        <f>SUMIFS('Full month Pivot'!E:E, 'Full month Pivot'!$A:$A, "Phí Không Dừng", 'Full month Pivot'!$C:$C, $B31)</f>
        <v/>
      </c>
      <c r="M31" s="164">
        <f>SUMIFS('Full month Pivot'!F:F, 'Full month Pivot'!$A:$A, "Phí Không Dừng", 'Full month Pivot'!$C:$C, $B31)</f>
        <v/>
      </c>
      <c r="N31" s="164">
        <f>SUMIFS('Full month Pivot'!G:G, 'Full month Pivot'!$A:$A, "Phí Không Dừng", 'Full month Pivot'!$C:$C, $B31)</f>
        <v/>
      </c>
      <c r="O31" s="164">
        <f>SUMIFS('Full month Pivot'!H:H, 'Full month Pivot'!$A:$A, "Phí Không Dừng", 'Full month Pivot'!$C:$C, $B31)</f>
        <v/>
      </c>
      <c r="P31" s="164">
        <f>SUMIFS('Full month Pivot'!I:I, 'Full month Pivot'!$A:$A, "Phí Không Dừng", 'Full month Pivot'!$C:$C, $B31)</f>
        <v/>
      </c>
      <c r="Q31" s="204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  <c r="AB31" s="164" t="n"/>
      <c r="AC31" s="164" t="n"/>
    </row>
    <row r="32">
      <c r="A32" s="164" t="n"/>
      <c r="B32" s="158" t="inlineStr">
        <is>
          <t>Others</t>
        </is>
      </c>
      <c r="C32" s="164">
        <f>SUMIFS('MTD Pivot'!D:D, 'MTD Pivot'!$A:$A, "Phí Không Dừng", 'MTD Pivot'!$C:$C, $B32)</f>
        <v/>
      </c>
      <c r="D32" s="164">
        <f>SUMIFS('MTD Pivot'!E:E, 'MTD Pivot'!$A:$A, "Phí Không Dừng", 'MTD Pivot'!$C:$C, $B32)</f>
        <v/>
      </c>
      <c r="E32" s="164">
        <f>SUMIFS('MTD Pivot'!F:F, 'MTD Pivot'!$A:$A, "Phí Không Dừng", 'MTD Pivot'!$C:$C, $B32)</f>
        <v/>
      </c>
      <c r="F32" s="164">
        <f>SUMIFS('MTD Pivot'!G:G, 'MTD Pivot'!$A:$A, "Phí Không Dừng", 'MTD Pivot'!$C:$C, $B32)</f>
        <v/>
      </c>
      <c r="G32" s="164">
        <f>SUMIFS('MTD Pivot'!H:H, 'MTD Pivot'!$A:$A, "Phí Không Dừng", 'MTD Pivot'!$C:$C, $B32)</f>
        <v/>
      </c>
      <c r="H32" s="164">
        <f>SUMIFS('MTD Pivot'!I:I, 'MTD Pivot'!$A:$A, "Phí Không Dừng", 'MTD Pivot'!$C:$C, $B32)</f>
        <v/>
      </c>
      <c r="I32" s="164">
        <f>H32-G32</f>
        <v/>
      </c>
      <c r="J32" s="164" t="n"/>
      <c r="K32" s="164">
        <f>SUMIFS('Full month Pivot'!D:D, 'Full month Pivot'!$A:$A, "Phí Không Dừng", 'Full month Pivot'!$C:$C, $B32)</f>
        <v/>
      </c>
      <c r="L32" s="164">
        <f>SUMIFS('Full month Pivot'!E:E, 'Full month Pivot'!$A:$A, "Phí Không Dừng", 'Full month Pivot'!$C:$C, $B32)</f>
        <v/>
      </c>
      <c r="M32" s="164">
        <f>SUMIFS('Full month Pivot'!F:F, 'Full month Pivot'!$A:$A, "Phí Không Dừng", 'Full month Pivot'!$C:$C, $B32)</f>
        <v/>
      </c>
      <c r="N32" s="164">
        <f>SUMIFS('Full month Pivot'!G:G, 'Full month Pivot'!$A:$A, "Phí Không Dừng", 'Full month Pivot'!$C:$C, $B32)</f>
        <v/>
      </c>
      <c r="O32" s="164">
        <f>SUMIFS('Full month Pivot'!H:H, 'Full month Pivot'!$A:$A, "Phí Không Dừng", 'Full month Pivot'!$C:$C, $B32)</f>
        <v/>
      </c>
      <c r="P32" s="164">
        <f>SUMIFS('Full month Pivot'!I:I, 'Full month Pivot'!$A:$A, "Phí Không Dừng", 'Full month Pivot'!$C:$C, $B32)</f>
        <v/>
      </c>
      <c r="Q32" s="204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  <c r="AB32" s="164" t="n"/>
      <c r="AC32" s="164" t="n"/>
    </row>
    <row r="33">
      <c r="A33" s="164" t="n"/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204" t="n"/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  <c r="AB33" s="164" t="n"/>
      <c r="AC33" s="164" t="n"/>
    </row>
    <row r="34">
      <c r="A34" s="164" t="n"/>
      <c r="B34" s="164" t="n"/>
      <c r="C34" s="157">
        <f>SUM(C35:C39)</f>
        <v/>
      </c>
      <c r="D34" s="157">
        <f>SUM(D35:D39)</f>
        <v/>
      </c>
      <c r="E34" s="157">
        <f>SUM(E35:E39)</f>
        <v/>
      </c>
      <c r="F34" s="157">
        <f>SUM(F35:F39)</f>
        <v/>
      </c>
      <c r="G34" s="157">
        <f>SUM(G35:G39)</f>
        <v/>
      </c>
      <c r="H34" s="157">
        <f>SUM(H35:H39)</f>
        <v/>
      </c>
      <c r="I34" s="164">
        <f>H34-G34</f>
        <v/>
      </c>
      <c r="J34" s="164" t="n"/>
      <c r="K34" s="157">
        <f>sum(K35:K39)</f>
        <v/>
      </c>
      <c r="L34" s="157">
        <f>sum(L35:L39)</f>
        <v/>
      </c>
      <c r="M34" s="157">
        <f>sum(M35:M39)</f>
        <v/>
      </c>
      <c r="N34" s="157">
        <f>sum(N35:N39)</f>
        <v/>
      </c>
      <c r="O34" s="157">
        <f>sum(O35:O39)</f>
        <v/>
      </c>
      <c r="P34" s="157">
        <f>sum(P35:P39)</f>
        <v/>
      </c>
      <c r="Q34" s="204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  <c r="AB34" s="164" t="n"/>
      <c r="AC34" s="164" t="n"/>
    </row>
    <row r="35">
      <c r="A35" s="157" t="inlineStr">
        <is>
          <t>Tiện Ích Giao Thông</t>
        </is>
      </c>
      <c r="B35" s="158" t="inlineStr">
        <is>
          <t>Organic</t>
        </is>
      </c>
      <c r="C35" s="164">
        <f>SUMIFS('MTD Pivot'!D:D, 'MTD Pivot'!$A:$A, "Tiện Ích Giao Thông", 'MTD Pivot'!$C:$C, $B$35:$B$39)</f>
        <v/>
      </c>
      <c r="D35" s="164">
        <f>SUMIFS('MTD Pivot'!E:E, 'MTD Pivot'!$A:$A, "Tiện Ích Giao Thông", 'MTD Pivot'!$C:$C, $B$35:$B$39)</f>
        <v/>
      </c>
      <c r="E35" s="164">
        <f>SUMIFS('MTD Pivot'!F:F, 'MTD Pivot'!$A:$A, "Tiện Ích Giao Thông", 'MTD Pivot'!$C:$C, $B$35:$B$39)</f>
        <v/>
      </c>
      <c r="F35" s="164">
        <f>SUMIFS('MTD Pivot'!G:G, 'MTD Pivot'!$A:$A, "Tiện Ích Giao Thông", 'MTD Pivot'!$C:$C, $B$35:$B$39)</f>
        <v/>
      </c>
      <c r="G35" s="164">
        <f>SUMIFS('MTD Pivot'!H:H, 'MTD Pivot'!$A:$A, "Tiện Ích Giao Thông", 'MTD Pivot'!$C:$C, $B$35:$B$39)</f>
        <v/>
      </c>
      <c r="H35" s="164">
        <f>SUMIFS('MTD Pivot'!I:I, 'MTD Pivot'!$A:$A, "Tiện Ích Giao Thông", 'MTD Pivot'!$C:$C, $B$35:$B$39)</f>
        <v/>
      </c>
      <c r="I35" s="164">
        <f>H35-G35</f>
        <v/>
      </c>
      <c r="J35" s="164" t="n"/>
      <c r="K35" s="164">
        <f>SUMIFS('Full month Pivot'!D:D, 'Full month Pivot'!$A:$A, "Tiện Ích Giao Thông", 'Full month Pivot'!$C:$C, $B35)</f>
        <v/>
      </c>
      <c r="L35" s="164">
        <f>SUMIFS('Full month Pivot'!E:E, 'Full month Pivot'!$A:$A, "Tiện Ích Giao Thông", 'Full month Pivot'!$C:$C, $B35)</f>
        <v/>
      </c>
      <c r="M35" s="164">
        <f>SUMIFS('Full month Pivot'!F:F, 'Full month Pivot'!$A:$A, "Tiện Ích Giao Thông", 'Full month Pivot'!$C:$C, $B35)</f>
        <v/>
      </c>
      <c r="N35" s="164">
        <f>SUMIFS('Full month Pivot'!G:G, 'Full month Pivot'!$A:$A, "Tiện Ích Giao Thông", 'Full month Pivot'!$C:$C, $B35)</f>
        <v/>
      </c>
      <c r="O35" s="164">
        <f>SUMIFS('Full month Pivot'!H:H, 'Full month Pivot'!$A:$A, "Tiện Ích Giao Thông", 'Full month Pivot'!$C:$C, $B35)</f>
        <v/>
      </c>
      <c r="P35" s="164">
        <f>SUMIFS('Full month Pivot'!I:I, 'Full month Pivot'!$A:$A, "Tiện Ích Giao Thông", 'Full month Pivot'!$C:$C, $B35)</f>
        <v/>
      </c>
      <c r="Q35" s="204">
        <f>P35-O35</f>
        <v/>
      </c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  <c r="AB35" s="164" t="n"/>
      <c r="AC35" s="164" t="n"/>
    </row>
    <row r="36">
      <c r="A36" s="164" t="n"/>
      <c r="B36" s="158" t="inlineStr">
        <is>
          <t>Direct</t>
        </is>
      </c>
      <c r="C36" s="164">
        <f>SUMIFS('MTD Pivot'!D:D, 'MTD Pivot'!$A:$A, "Tiện Ích Giao Thông", 'MTD Pivot'!$C:$C, $B$35:$B$39)</f>
        <v/>
      </c>
      <c r="D36" s="164">
        <f>SUMIFS('MTD Pivot'!E:E, 'MTD Pivot'!$A:$A, "Tiện Ích Giao Thông", 'MTD Pivot'!$C:$C, $B$35:$B$39)</f>
        <v/>
      </c>
      <c r="E36" s="164">
        <f>SUMIFS('MTD Pivot'!F:F, 'MTD Pivot'!$A:$A, "Tiện Ích Giao Thông", 'MTD Pivot'!$C:$C, $B$35:$B$39)</f>
        <v/>
      </c>
      <c r="F36" s="164">
        <f>SUMIFS('MTD Pivot'!G:G, 'MTD Pivot'!$A:$A, "Tiện Ích Giao Thông", 'MTD Pivot'!$C:$C, $B$35:$B$39)</f>
        <v/>
      </c>
      <c r="G36" s="164">
        <f>SUMIFS('MTD Pivot'!H:H, 'MTD Pivot'!$A:$A, "Tiện Ích Giao Thông", 'MTD Pivot'!$C:$C, $B$35:$B$39)</f>
        <v/>
      </c>
      <c r="H36" s="164">
        <f>SUMIFS('MTD Pivot'!I:I, 'MTD Pivot'!$A:$A, "Tiện Ích Giao Thông", 'MTD Pivot'!$C:$C, $B$35:$B$39)</f>
        <v/>
      </c>
      <c r="I36" s="164">
        <f>H36-G36</f>
        <v/>
      </c>
      <c r="J36" s="164" t="n"/>
      <c r="K36" s="164">
        <f>SUMIFS('Full month Pivot'!D:D, 'Full month Pivot'!$A:$A, "Tiện Ích Giao Thông", 'Full month Pivot'!$C:$C, $B36)</f>
        <v/>
      </c>
      <c r="L36" s="164">
        <f>SUMIFS('Full month Pivot'!E:E, 'Full month Pivot'!$A:$A, "Tiện Ích Giao Thông", 'Full month Pivot'!$C:$C, $B36)</f>
        <v/>
      </c>
      <c r="M36" s="164">
        <f>SUMIFS('Full month Pivot'!F:F, 'Full month Pivot'!$A:$A, "Tiện Ích Giao Thông", 'Full month Pivot'!$C:$C, $B36)</f>
        <v/>
      </c>
      <c r="N36" s="164">
        <f>SUMIFS('Full month Pivot'!G:G, 'Full month Pivot'!$A:$A, "Tiện Ích Giao Thông", 'Full month Pivot'!$C:$C, $B36)</f>
        <v/>
      </c>
      <c r="O36" s="164">
        <f>SUMIFS('Full month Pivot'!H:H, 'Full month Pivot'!$A:$A, "Tiện Ích Giao Thông", 'Full month Pivot'!$C:$C, $B36)</f>
        <v/>
      </c>
      <c r="P36" s="164">
        <f>SUMIFS('Full month Pivot'!I:I, 'Full month Pivot'!$A:$A, "Tiện Ích Giao Thông", 'Full month Pivot'!$C:$C, $B36)</f>
        <v/>
      </c>
      <c r="Q36" s="204">
        <f>P36-O36</f>
        <v/>
      </c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  <c r="AA36" s="164" t="n"/>
      <c r="AB36" s="164" t="n"/>
      <c r="AC36" s="164" t="n"/>
    </row>
    <row r="37">
      <c r="A37" s="164" t="n"/>
      <c r="B37" s="158" t="inlineStr">
        <is>
          <t>Referral</t>
        </is>
      </c>
      <c r="C37" s="164">
        <f>SUMIFS('MTD Pivot'!D:D, 'MTD Pivot'!$A:$A, "Tiện Ích Giao Thông", 'MTD Pivot'!$C:$C, $B$35:$B$39)</f>
        <v/>
      </c>
      <c r="D37" s="164">
        <f>SUMIFS('MTD Pivot'!E:E, 'MTD Pivot'!$A:$A, "Tiện Ích Giao Thông", 'MTD Pivot'!$C:$C, $B$35:$B$39)</f>
        <v/>
      </c>
      <c r="E37" s="164">
        <f>SUMIFS('MTD Pivot'!F:F, 'MTD Pivot'!$A:$A, "Tiện Ích Giao Thông", 'MTD Pivot'!$C:$C, $B$35:$B$39)</f>
        <v/>
      </c>
      <c r="F37" s="164">
        <f>SUMIFS('MTD Pivot'!G:G, 'MTD Pivot'!$A:$A, "Tiện Ích Giao Thông", 'MTD Pivot'!$C:$C, $B$35:$B$39)</f>
        <v/>
      </c>
      <c r="G37" s="164">
        <f>SUMIFS('MTD Pivot'!H:H, 'MTD Pivot'!$A:$A, "Tiện Ích Giao Thông", 'MTD Pivot'!$C:$C, $B$35:$B$39)</f>
        <v/>
      </c>
      <c r="H37" s="164">
        <f>SUMIFS('MTD Pivot'!I:I, 'MTD Pivot'!$A:$A, "Tiện Ích Giao Thông", 'MTD Pivot'!$C:$C, $B$35:$B$39)</f>
        <v/>
      </c>
      <c r="I37" s="164">
        <f>H37-G37</f>
        <v/>
      </c>
      <c r="J37" s="164" t="n"/>
      <c r="K37" s="164">
        <f>SUMIFS('Full month Pivot'!D:D, 'Full month Pivot'!$A:$A, "Tiện Ích Giao Thông", 'Full month Pivot'!$C:$C, $B37)</f>
        <v/>
      </c>
      <c r="L37" s="164">
        <f>SUMIFS('Full month Pivot'!E:E, 'Full month Pivot'!$A:$A, "Tiện Ích Giao Thông", 'Full month Pivot'!$C:$C, $B37)</f>
        <v/>
      </c>
      <c r="M37" s="164">
        <f>SUMIFS('Full month Pivot'!F:F, 'Full month Pivot'!$A:$A, "Tiện Ích Giao Thông", 'Full month Pivot'!$C:$C, $B37)</f>
        <v/>
      </c>
      <c r="N37" s="164">
        <f>SUMIFS('Full month Pivot'!G:G, 'Full month Pivot'!$A:$A, "Tiện Ích Giao Thông", 'Full month Pivot'!$C:$C, $B37)</f>
        <v/>
      </c>
      <c r="O37" s="164">
        <f>SUMIFS('Full month Pivot'!H:H, 'Full month Pivot'!$A:$A, "Tiện Ích Giao Thông", 'Full month Pivot'!$C:$C, $B37)</f>
        <v/>
      </c>
      <c r="P37" s="164">
        <f>SUMIFS('Full month Pivot'!I:I, 'Full month Pivot'!$A:$A, "Tiện Ích Giao Thông", 'Full month Pivot'!$C:$C, $B37)</f>
        <v/>
      </c>
      <c r="Q37" s="204">
        <f>P37-O37</f>
        <v/>
      </c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  <c r="AB37" s="164" t="n"/>
      <c r="AC37" s="164" t="n"/>
    </row>
    <row r="38">
      <c r="A38" s="164" t="n"/>
      <c r="B38" s="158" t="inlineStr">
        <is>
          <t>Paid</t>
        </is>
      </c>
      <c r="C38" s="164">
        <f>SUMIFS('MTD Pivot'!D:D, 'MTD Pivot'!$A:$A, "Tiện Ích Giao Thông", 'MTD Pivot'!$C:$C, $B$35:$B$39)</f>
        <v/>
      </c>
      <c r="D38" s="164">
        <f>SUMIFS('MTD Pivot'!E:E, 'MTD Pivot'!$A:$A, "Tiện Ích Giao Thông", 'MTD Pivot'!$C:$C, $B$35:$B$39)</f>
        <v/>
      </c>
      <c r="E38" s="164">
        <f>SUMIFS('MTD Pivot'!F:F, 'MTD Pivot'!$A:$A, "Tiện Ích Giao Thông", 'MTD Pivot'!$C:$C, $B$35:$B$39)</f>
        <v/>
      </c>
      <c r="F38" s="164">
        <f>SUMIFS('MTD Pivot'!G:G, 'MTD Pivot'!$A:$A, "Tiện Ích Giao Thông", 'MTD Pivot'!$C:$C, $B$35:$B$39)</f>
        <v/>
      </c>
      <c r="G38" s="164">
        <f>SUMIFS('MTD Pivot'!H:H, 'MTD Pivot'!$A:$A, "Tiện Ích Giao Thông", 'MTD Pivot'!$C:$C, $B$35:$B$39)</f>
        <v/>
      </c>
      <c r="H38" s="164">
        <f>SUMIFS('MTD Pivot'!I:I, 'MTD Pivot'!$A:$A, "Tiện Ích Giao Thông", 'MTD Pivot'!$C:$C, $B$35:$B$39)</f>
        <v/>
      </c>
      <c r="I38" s="164">
        <f>H38-G38</f>
        <v/>
      </c>
      <c r="J38" s="164" t="n"/>
      <c r="K38" s="164">
        <f>SUMIFS('Full month Pivot'!D:D, 'Full month Pivot'!$A:$A, "Tiện Ích Giao Thông", 'Full month Pivot'!$C:$C, $B38)</f>
        <v/>
      </c>
      <c r="L38" s="164">
        <f>SUMIFS('Full month Pivot'!E:E, 'Full month Pivot'!$A:$A, "Tiện Ích Giao Thông", 'Full month Pivot'!$C:$C, $B38)</f>
        <v/>
      </c>
      <c r="M38" s="164">
        <f>SUMIFS('Full month Pivot'!F:F, 'Full month Pivot'!$A:$A, "Tiện Ích Giao Thông", 'Full month Pivot'!$C:$C, $B38)</f>
        <v/>
      </c>
      <c r="N38" s="164">
        <f>SUMIFS('Full month Pivot'!G:G, 'Full month Pivot'!$A:$A, "Tiện Ích Giao Thông", 'Full month Pivot'!$C:$C, $B38)</f>
        <v/>
      </c>
      <c r="O38" s="164">
        <f>SUMIFS('Full month Pivot'!H:H, 'Full month Pivot'!$A:$A, "Tiện Ích Giao Thông", 'Full month Pivot'!$C:$C, $B38)</f>
        <v/>
      </c>
      <c r="P38" s="164">
        <f>SUMIFS('Full month Pivot'!I:I, 'Full month Pivot'!$A:$A, "Tiện Ích Giao Thông", 'Full month Pivot'!$C:$C, $B38)</f>
        <v/>
      </c>
      <c r="Q38" s="204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  <c r="AB38" s="164" t="n"/>
      <c r="AC38" s="164" t="n"/>
    </row>
    <row r="39">
      <c r="A39" s="164" t="n"/>
      <c r="B39" s="158" t="inlineStr">
        <is>
          <t>Others</t>
        </is>
      </c>
      <c r="C39" s="164">
        <f>SUMIFS('MTD Pivot'!D:D, 'MTD Pivot'!$A:$A, "Tiện Ích Giao Thông", 'MTD Pivot'!$C:$C, $B$35:$B$39)</f>
        <v/>
      </c>
      <c r="D39" s="164">
        <f>SUMIFS('MTD Pivot'!E:E, 'MTD Pivot'!$A:$A, "Tiện Ích Giao Thông", 'MTD Pivot'!$C:$C, $B$35:$B$39)</f>
        <v/>
      </c>
      <c r="E39" s="164">
        <f>SUMIFS('MTD Pivot'!F:F, 'MTD Pivot'!$A:$A, "Tiện Ích Giao Thông", 'MTD Pivot'!$C:$C, $B$35:$B$39)</f>
        <v/>
      </c>
      <c r="F39" s="164">
        <f>SUMIFS('MTD Pivot'!G:G, 'MTD Pivot'!$A:$A, "Tiện Ích Giao Thông", 'MTD Pivot'!$C:$C, $B$35:$B$39)</f>
        <v/>
      </c>
      <c r="G39" s="164">
        <f>SUMIFS('MTD Pivot'!H:H, 'MTD Pivot'!$A:$A, "Tiện Ích Giao Thông", 'MTD Pivot'!$C:$C, $B$35:$B$39)</f>
        <v/>
      </c>
      <c r="H39" s="164">
        <f>SUMIFS('MTD Pivot'!I:I, 'MTD Pivot'!$A:$A, "Tiện Ích Giao Thông", 'MTD Pivot'!$C:$C, $B$35:$B$39)</f>
        <v/>
      </c>
      <c r="I39" s="164">
        <f>H39-G39</f>
        <v/>
      </c>
      <c r="J39" s="164" t="n"/>
      <c r="K39" s="164">
        <f>SUMIFS('Full month Pivot'!D:D, 'Full month Pivot'!$A:$A, "Tiện Ích Giao Thông", 'Full month Pivot'!$C:$C, $B39)</f>
        <v/>
      </c>
      <c r="L39" s="164">
        <f>SUMIFS('Full month Pivot'!E:E, 'Full month Pivot'!$A:$A, "Tiện Ích Giao Thông", 'Full month Pivot'!$C:$C, $B39)</f>
        <v/>
      </c>
      <c r="M39" s="164">
        <f>SUMIFS('Full month Pivot'!F:F, 'Full month Pivot'!$A:$A, "Tiện Ích Giao Thông", 'Full month Pivot'!$C:$C, $B39)</f>
        <v/>
      </c>
      <c r="N39" s="164">
        <f>SUMIFS('Full month Pivot'!G:G, 'Full month Pivot'!$A:$A, "Tiện Ích Giao Thông", 'Full month Pivot'!$C:$C, $B39)</f>
        <v/>
      </c>
      <c r="O39" s="164">
        <f>SUMIFS('Full month Pivot'!H:H, 'Full month Pivot'!$A:$A, "Tiện Ích Giao Thông", 'Full month Pivot'!$C:$C, $B39)</f>
        <v/>
      </c>
      <c r="P39" s="164">
        <f>SUMIFS('Full month Pivot'!I:I, 'Full month Pivot'!$A:$A, "Tiện Ích Giao Thông", 'Full month Pivot'!$C:$C, $B39)</f>
        <v/>
      </c>
      <c r="Q39" s="204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  <c r="AB39" s="164" t="n"/>
      <c r="AC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204" t="n"/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  <c r="AB40" s="164" t="n"/>
      <c r="AC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204" t="n"/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  <c r="AB41" s="164" t="n"/>
      <c r="AC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204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  <c r="AB42" s="164" t="n"/>
      <c r="AC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204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  <c r="AA43" s="164" t="n"/>
      <c r="AB43" s="164" t="n"/>
      <c r="AC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204" t="n"/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  <c r="AB44" s="164" t="n"/>
      <c r="AC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204" t="n"/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  <c r="AB45" s="164" t="n"/>
      <c r="AC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204" t="n"/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  <c r="AB46" s="164" t="n"/>
      <c r="AC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204" t="n"/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  <c r="AB47" s="164" t="n"/>
      <c r="AC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20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20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  <c r="AB49" s="164" t="n"/>
      <c r="AC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204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  <c r="AA50" s="164" t="n"/>
      <c r="AB50" s="164" t="n"/>
      <c r="AC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204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  <c r="AB51" s="164" t="n"/>
      <c r="AC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204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  <c r="AB52" s="164" t="n"/>
      <c r="AC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204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  <c r="AB53" s="164" t="n"/>
      <c r="AC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204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  <c r="AB54" s="164" t="n"/>
      <c r="AC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20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20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  <c r="AB56" s="164" t="n"/>
      <c r="AC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20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204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  <c r="AB58" s="164" t="n"/>
      <c r="AC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204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  <c r="AB59" s="164" t="n"/>
      <c r="AC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204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  <c r="AB60" s="164" t="n"/>
      <c r="AC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204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  <c r="AB61" s="164" t="n"/>
      <c r="AC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204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20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20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204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  <c r="AB65" s="164" t="n"/>
      <c r="AC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204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  <c r="AB66" s="164" t="n"/>
      <c r="AC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20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204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  <c r="AB68" s="164" t="n"/>
      <c r="AC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204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  <c r="AB69" s="164" t="n"/>
      <c r="AC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20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  <c r="AB70" s="164" t="n"/>
      <c r="AC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204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  <c r="AA71" s="164" t="n"/>
      <c r="AB71" s="164" t="n"/>
      <c r="AC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20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204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  <c r="AB73" s="164" t="n"/>
      <c r="AC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204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  <c r="AB74" s="164" t="n"/>
      <c r="AC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204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  <c r="AB75" s="164" t="n"/>
      <c r="AC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204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  <c r="AB76" s="164" t="n"/>
      <c r="AC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20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  <c r="AB77" s="164" t="n"/>
      <c r="AC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204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  <c r="AA78" s="164" t="n"/>
      <c r="AB78" s="164" t="n"/>
      <c r="AC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204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204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  <c r="AB80" s="164" t="n"/>
      <c r="AC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204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  <c r="AB81" s="164" t="n"/>
      <c r="AC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204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  <c r="AB82" s="164" t="n"/>
      <c r="AC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204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  <c r="AB83" s="164" t="n"/>
      <c r="AC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204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  <c r="AA84" s="164" t="n"/>
      <c r="AB84" s="164" t="n"/>
      <c r="AC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204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  <c r="AA85" s="164" t="n"/>
      <c r="AB85" s="164" t="n"/>
      <c r="AC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204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  <c r="AA86" s="164" t="n"/>
      <c r="AB86" s="164" t="n"/>
      <c r="AC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204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  <c r="AA87" s="164" t="n"/>
      <c r="AB87" s="164" t="n"/>
      <c r="AC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204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  <c r="AB88" s="164" t="n"/>
      <c r="AC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204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  <c r="AB89" s="164" t="n"/>
      <c r="AC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204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  <c r="AB90" s="164" t="n"/>
      <c r="AC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20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204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  <c r="AB92" s="164" t="n"/>
      <c r="AC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204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  <c r="AB93" s="164" t="n"/>
      <c r="AC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204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  <c r="AB94" s="164" t="n"/>
      <c r="AC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20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204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  <c r="AB96" s="164" t="n"/>
      <c r="AC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204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20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  <c r="AB98" s="164" t="n"/>
      <c r="AC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20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  <c r="AB99" s="164" t="n"/>
      <c r="AC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20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  <c r="AB100" s="164" t="n"/>
      <c r="AC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20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  <c r="AB101" s="164" t="n"/>
      <c r="AC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20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  <c r="AB102" s="164" t="n"/>
      <c r="AC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20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  <c r="AB103" s="164" t="n"/>
      <c r="AC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20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  <c r="AB104" s="164" t="n"/>
      <c r="AC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20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  <c r="AB105" s="164" t="n"/>
      <c r="AC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20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20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  <c r="AB107" s="164" t="n"/>
      <c r="AC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20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  <c r="AB108" s="164" t="n"/>
      <c r="AC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20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  <c r="AB109" s="164" t="n"/>
      <c r="AC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20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  <c r="AB110" s="164" t="n"/>
      <c r="AC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20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  <c r="AB111" s="164" t="n"/>
      <c r="AC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20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  <c r="AB112" s="164" t="n"/>
      <c r="AC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20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  <c r="AB113" s="164" t="n"/>
      <c r="AC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20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  <c r="AB114" s="164" t="n"/>
      <c r="AC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20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  <c r="AB115" s="164" t="n"/>
      <c r="AC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20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20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  <c r="AB117" s="164" t="n"/>
      <c r="AC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20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20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  <c r="AB119" s="164" t="n"/>
      <c r="AC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20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  <c r="AB120" s="164" t="n"/>
      <c r="AC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20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  <c r="AB121" s="164" t="n"/>
      <c r="AC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20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20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20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  <c r="AB124" s="164" t="n"/>
      <c r="AC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20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  <c r="AB125" s="164" t="n"/>
      <c r="AC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20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  <c r="AB126" s="164" t="n"/>
      <c r="AC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20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  <c r="AB127" s="164" t="n"/>
      <c r="AC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20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  <c r="AB128" s="164" t="n"/>
      <c r="AC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20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20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  <c r="AB130" s="164" t="n"/>
      <c r="AC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20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  <c r="AB131" s="164" t="n"/>
      <c r="AC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20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  <c r="AB132" s="164" t="n"/>
      <c r="AC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20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  <c r="AB133" s="164" t="n"/>
      <c r="AC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20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  <c r="AB134" s="164" t="n"/>
      <c r="AC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20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  <c r="AB135" s="164" t="n"/>
      <c r="AC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20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  <c r="AB136" s="164" t="n"/>
      <c r="AC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20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  <c r="AB137" s="164" t="n"/>
      <c r="AC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20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  <c r="AB138" s="164" t="n"/>
      <c r="AC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20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  <c r="AB139" s="164" t="n"/>
      <c r="AC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20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  <c r="AB140" s="164" t="n"/>
      <c r="AC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20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  <c r="AB141" s="164" t="n"/>
      <c r="AC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20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  <c r="AB142" s="164" t="n"/>
      <c r="AC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20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  <c r="AB143" s="164" t="n"/>
      <c r="AC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20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  <c r="AB144" s="164" t="n"/>
      <c r="AC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20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  <c r="AB145" s="164" t="n"/>
      <c r="AC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20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  <c r="AB146" s="164" t="n"/>
      <c r="AC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20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  <c r="AB147" s="164" t="n"/>
      <c r="AC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20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  <c r="AB148" s="164" t="n"/>
      <c r="AC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20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  <c r="AB149" s="164" t="n"/>
      <c r="AC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20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  <c r="AB150" s="164" t="n"/>
      <c r="AC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20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  <c r="AB151" s="164" t="n"/>
      <c r="AC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20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  <c r="AB152" s="164" t="n"/>
      <c r="AC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20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  <c r="AB153" s="164" t="n"/>
      <c r="AC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20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  <c r="AB154" s="164" t="n"/>
      <c r="AC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20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  <c r="AB155" s="164" t="n"/>
      <c r="AC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20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  <c r="AB156" s="164" t="n"/>
      <c r="AC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20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  <c r="AB157" s="164" t="n"/>
      <c r="AC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20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  <c r="AB158" s="164" t="n"/>
      <c r="AC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20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  <c r="AB159" s="164" t="n"/>
      <c r="AC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20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  <c r="AB160" s="164" t="n"/>
      <c r="AC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20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  <c r="AB161" s="164" t="n"/>
      <c r="AC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20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  <c r="AB162" s="164" t="n"/>
      <c r="AC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20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  <c r="AB163" s="164" t="n"/>
      <c r="AC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20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  <c r="AB164" s="164" t="n"/>
      <c r="AC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20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  <c r="AB165" s="164" t="n"/>
      <c r="AC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20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  <c r="AB166" s="164" t="n"/>
      <c r="AC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20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20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  <c r="AB168" s="164" t="n"/>
      <c r="AC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20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  <c r="AB169" s="164" t="n"/>
      <c r="AC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20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  <c r="AB170" s="164" t="n"/>
      <c r="AC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20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  <c r="AB171" s="164" t="n"/>
      <c r="AC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20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  <c r="AB172" s="164" t="n"/>
      <c r="AC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20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  <c r="AB173" s="164" t="n"/>
      <c r="AC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20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  <c r="AB174" s="164" t="n"/>
      <c r="AC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20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  <c r="AB175" s="164" t="n"/>
      <c r="AC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20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  <c r="AB176" s="164" t="n"/>
      <c r="AC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20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  <c r="AB177" s="164" t="n"/>
      <c r="AC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20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  <c r="AB178" s="164" t="n"/>
      <c r="AC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20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  <c r="AB179" s="164" t="n"/>
      <c r="AC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20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  <c r="AB180" s="164" t="n"/>
      <c r="AC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20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  <c r="AB181" s="164" t="n"/>
      <c r="AC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20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  <c r="AB182" s="164" t="n"/>
      <c r="AC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20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  <c r="AB183" s="164" t="n"/>
      <c r="AC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20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  <c r="AB184" s="164" t="n"/>
      <c r="AC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20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  <c r="AB185" s="164" t="n"/>
      <c r="AC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20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  <c r="AB186" s="164" t="n"/>
      <c r="AC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20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  <c r="AB187" s="164" t="n"/>
      <c r="AC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20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  <c r="AB188" s="164" t="n"/>
      <c r="AC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20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  <c r="AB189" s="164" t="n"/>
      <c r="AC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20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  <c r="AB190" s="164" t="n"/>
      <c r="AC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20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  <c r="AB191" s="164" t="n"/>
      <c r="AC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20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  <c r="AB192" s="164" t="n"/>
      <c r="AC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20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  <c r="AB193" s="164" t="n"/>
      <c r="AC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20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  <c r="AB194" s="164" t="n"/>
      <c r="AC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20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  <c r="AB195" s="164" t="n"/>
      <c r="AC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20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  <c r="AB196" s="164" t="n"/>
      <c r="AC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20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  <c r="AB197" s="164" t="n"/>
      <c r="AC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20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  <c r="AB198" s="164" t="n"/>
      <c r="AC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20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  <c r="AB199" s="164" t="n"/>
      <c r="AC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20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  <c r="AB200" s="164" t="n"/>
      <c r="AC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20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  <c r="AB201" s="164" t="n"/>
      <c r="AC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20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20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  <c r="AB203" s="164" t="n"/>
      <c r="AC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20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  <c r="AB204" s="164" t="n"/>
      <c r="AC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20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  <c r="AB205" s="164" t="n"/>
      <c r="AC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20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  <c r="AB206" s="164" t="n"/>
      <c r="AC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20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  <c r="AB207" s="164" t="n"/>
      <c r="AC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20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  <c r="AB208" s="164" t="n"/>
      <c r="AC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20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  <c r="AB209" s="164" t="n"/>
      <c r="AC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20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  <c r="AB210" s="164" t="n"/>
      <c r="AC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20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  <c r="AB211" s="164" t="n"/>
      <c r="AC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20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  <c r="AB212" s="164" t="n"/>
      <c r="AC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20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  <c r="AB213" s="164" t="n"/>
      <c r="AC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20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  <c r="AB214" s="164" t="n"/>
      <c r="AC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20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20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  <c r="AB216" s="164" t="n"/>
      <c r="AC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20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  <c r="AB217" s="164" t="n"/>
      <c r="AC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20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  <c r="AB218" s="164" t="n"/>
      <c r="AC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20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  <c r="AB219" s="164" t="n"/>
      <c r="AC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20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  <c r="AB220" s="164" t="n"/>
      <c r="AC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20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  <c r="AB221" s="164" t="n"/>
      <c r="AC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20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  <c r="AB222" s="164" t="n"/>
      <c r="AC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20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  <c r="AB223" s="164" t="n"/>
      <c r="AC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20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  <c r="AB224" s="164" t="n"/>
      <c r="AC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20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  <c r="AB225" s="164" t="n"/>
      <c r="AC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20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  <c r="AB226" s="164" t="n"/>
      <c r="AC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20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  <c r="AB227" s="164" t="n"/>
      <c r="AC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20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  <c r="AB228" s="164" t="n"/>
      <c r="AC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20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  <c r="AB229" s="164" t="n"/>
      <c r="AC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20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  <c r="AB230" s="164" t="n"/>
      <c r="AC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20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  <c r="AB231" s="164" t="n"/>
      <c r="AC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20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  <c r="AB232" s="164" t="n"/>
      <c r="AC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20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  <c r="AB233" s="164" t="n"/>
      <c r="AC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20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  <c r="AB234" s="164" t="n"/>
      <c r="AC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20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  <c r="AB235" s="164" t="n"/>
      <c r="AC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20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  <c r="AB236" s="164" t="n"/>
      <c r="AC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20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  <c r="AB237" s="164" t="n"/>
      <c r="AC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20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  <c r="AB238" s="164" t="n"/>
      <c r="AC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20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  <c r="AB239" s="164" t="n"/>
      <c r="AC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20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  <c r="AB240" s="164" t="n"/>
      <c r="AC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20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  <c r="AB241" s="164" t="n"/>
      <c r="AC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20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  <c r="AB242" s="164" t="n"/>
      <c r="AC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20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4" t="n"/>
      <c r="AC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20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  <c r="AB244" s="164" t="n"/>
      <c r="AC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20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  <c r="AB245" s="164" t="n"/>
      <c r="AC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20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  <c r="AB246" s="164" t="n"/>
      <c r="AC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20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  <c r="AB247" s="164" t="n"/>
      <c r="AC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20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  <c r="AB248" s="164" t="n"/>
      <c r="AC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20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  <c r="AB249" s="164" t="n"/>
      <c r="AC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20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  <c r="AB250" s="164" t="n"/>
      <c r="AC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20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  <c r="AB251" s="164" t="n"/>
      <c r="AC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20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  <c r="AB252" s="164" t="n"/>
      <c r="AC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20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  <c r="AB253" s="164" t="n"/>
      <c r="AC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20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  <c r="AB254" s="164" t="n"/>
      <c r="AC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20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  <c r="AB255" s="164" t="n"/>
      <c r="AC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20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  <c r="AB256" s="164" t="n"/>
      <c r="AC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20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  <c r="AB257" s="164" t="n"/>
      <c r="AC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20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  <c r="AB258" s="164" t="n"/>
      <c r="AC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20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  <c r="AB259" s="164" t="n"/>
      <c r="AC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20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  <c r="AB260" s="164" t="n"/>
      <c r="AC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20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  <c r="AB261" s="164" t="n"/>
      <c r="AC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20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  <c r="AB262" s="164" t="n"/>
      <c r="AC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20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  <c r="AB263" s="164" t="n"/>
      <c r="AC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20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  <c r="AB264" s="164" t="n"/>
      <c r="AC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20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  <c r="AB265" s="164" t="n"/>
      <c r="AC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20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  <c r="AB266" s="164" t="n"/>
      <c r="AC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20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  <c r="AB267" s="164" t="n"/>
      <c r="AC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20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  <c r="AB268" s="164" t="n"/>
      <c r="AC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20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  <c r="AB269" s="164" t="n"/>
      <c r="AC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20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  <c r="AB270" s="164" t="n"/>
      <c r="AC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20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  <c r="AB271" s="164" t="n"/>
      <c r="AC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20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  <c r="AB272" s="164" t="n"/>
      <c r="AC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20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  <c r="AB273" s="164" t="n"/>
      <c r="AC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20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  <c r="AB274" s="164" t="n"/>
      <c r="AC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20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  <c r="AB275" s="164" t="n"/>
      <c r="AC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20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  <c r="AB276" s="164" t="n"/>
      <c r="AC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20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  <c r="AB277" s="164" t="n"/>
      <c r="AC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20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  <c r="AB278" s="164" t="n"/>
      <c r="AC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20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  <c r="AB279" s="164" t="n"/>
      <c r="AC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20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  <c r="AB280" s="164" t="n"/>
      <c r="AC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20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  <c r="AB281" s="164" t="n"/>
      <c r="AC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20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  <c r="AB282" s="164" t="n"/>
      <c r="AC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20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  <c r="AB283" s="164" t="n"/>
      <c r="AC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20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  <c r="AB284" s="164" t="n"/>
      <c r="AC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20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  <c r="AB285" s="164" t="n"/>
      <c r="AC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20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  <c r="AB286" s="164" t="n"/>
      <c r="AC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20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  <c r="AB287" s="164" t="n"/>
      <c r="AC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20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  <c r="AB288" s="164" t="n"/>
      <c r="AC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20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  <c r="AB289" s="164" t="n"/>
      <c r="AC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20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  <c r="AB290" s="164" t="n"/>
      <c r="AC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20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  <c r="AB291" s="164" t="n"/>
      <c r="AC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20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  <c r="AB292" s="164" t="n"/>
      <c r="AC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20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  <c r="AB293" s="164" t="n"/>
      <c r="AC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20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  <c r="AB294" s="164" t="n"/>
      <c r="AC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20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  <c r="AB295" s="164" t="n"/>
      <c r="AC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20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  <c r="AB296" s="164" t="n"/>
      <c r="AC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20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  <c r="AB297" s="164" t="n"/>
      <c r="AC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20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  <c r="AB298" s="164" t="n"/>
      <c r="AC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20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  <c r="AB299" s="164" t="n"/>
      <c r="AC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20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  <c r="AB300" s="164" t="n"/>
      <c r="AC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20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  <c r="AB301" s="164" t="n"/>
      <c r="AC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20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  <c r="AB302" s="164" t="n"/>
      <c r="AC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20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  <c r="AB303" s="164" t="n"/>
      <c r="AC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20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  <c r="AB304" s="164" t="n"/>
      <c r="AC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20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  <c r="AB305" s="164" t="n"/>
      <c r="AC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20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  <c r="AB306" s="164" t="n"/>
      <c r="AC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20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  <c r="AB307" s="164" t="n"/>
      <c r="AC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20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  <c r="AB308" s="164" t="n"/>
      <c r="AC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20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  <c r="AB309" s="164" t="n"/>
      <c r="AC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20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  <c r="AB310" s="164" t="n"/>
      <c r="AC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20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  <c r="AB311" s="164" t="n"/>
      <c r="AC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20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  <c r="AB312" s="164" t="n"/>
      <c r="AC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20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  <c r="AB313" s="164" t="n"/>
      <c r="AC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20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  <c r="AB314" s="164" t="n"/>
      <c r="AC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20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  <c r="AB315" s="164" t="n"/>
      <c r="AC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20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  <c r="AB316" s="164" t="n"/>
      <c r="AC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20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  <c r="AB317" s="164" t="n"/>
      <c r="AC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20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  <c r="AB318" s="164" t="n"/>
      <c r="AC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20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  <c r="AB319" s="164" t="n"/>
      <c r="AC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20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  <c r="AB320" s="164" t="n"/>
      <c r="AC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20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  <c r="AB321" s="164" t="n"/>
      <c r="AC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20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  <c r="AB322" s="164" t="n"/>
      <c r="AC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20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  <c r="AB323" s="164" t="n"/>
      <c r="AC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20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  <c r="AB324" s="164" t="n"/>
      <c r="AC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20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  <c r="AB325" s="164" t="n"/>
      <c r="AC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20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  <c r="AB326" s="164" t="n"/>
      <c r="AC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20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  <c r="AB327" s="164" t="n"/>
      <c r="AC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20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  <c r="AB328" s="164" t="n"/>
      <c r="AC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20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  <c r="AB329" s="164" t="n"/>
      <c r="AC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20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  <c r="AB330" s="164" t="n"/>
      <c r="AC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20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  <c r="AB331" s="164" t="n"/>
      <c r="AC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20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  <c r="AB332" s="164" t="n"/>
      <c r="AC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20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  <c r="AB333" s="164" t="n"/>
      <c r="AC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20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  <c r="AB334" s="164" t="n"/>
      <c r="AC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20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  <c r="AB335" s="164" t="n"/>
      <c r="AC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20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  <c r="AB336" s="164" t="n"/>
      <c r="AC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20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  <c r="AB337" s="164" t="n"/>
      <c r="AC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20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  <c r="AB338" s="164" t="n"/>
      <c r="AC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20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  <c r="AB339" s="164" t="n"/>
      <c r="AC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20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  <c r="AB340" s="164" t="n"/>
      <c r="AC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20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  <c r="AB341" s="164" t="n"/>
      <c r="AC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20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  <c r="AB342" s="164" t="n"/>
      <c r="AC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20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  <c r="AB343" s="164" t="n"/>
      <c r="AC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20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  <c r="AB344" s="164" t="n"/>
      <c r="AC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20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  <c r="AB345" s="164" t="n"/>
      <c r="AC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20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  <c r="AB346" s="164" t="n"/>
      <c r="AC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20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  <c r="AB347" s="164" t="n"/>
      <c r="AC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20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  <c r="AB348" s="164" t="n"/>
      <c r="AC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20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  <c r="AB349" s="164" t="n"/>
      <c r="AC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20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  <c r="AB350" s="164" t="n"/>
      <c r="AC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20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  <c r="AB351" s="164" t="n"/>
      <c r="AC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20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  <c r="AB352" s="164" t="n"/>
      <c r="AC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20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  <c r="AB353" s="164" t="n"/>
      <c r="AC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20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  <c r="AB354" s="164" t="n"/>
      <c r="AC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20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  <c r="AB355" s="164" t="n"/>
      <c r="AC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20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  <c r="AB356" s="164" t="n"/>
      <c r="AC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20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  <c r="AB357" s="164" t="n"/>
      <c r="AC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20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  <c r="AB358" s="164" t="n"/>
      <c r="AC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20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  <c r="AB359" s="164" t="n"/>
      <c r="AC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20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  <c r="AB360" s="164" t="n"/>
      <c r="AC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20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  <c r="AB361" s="164" t="n"/>
      <c r="AC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20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  <c r="AB362" s="164" t="n"/>
      <c r="AC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20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  <c r="AB363" s="164" t="n"/>
      <c r="AC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20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  <c r="AB364" s="164" t="n"/>
      <c r="AC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20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  <c r="AB365" s="164" t="n"/>
      <c r="AC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20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  <c r="AB366" s="164" t="n"/>
      <c r="AC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20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  <c r="AB367" s="164" t="n"/>
      <c r="AC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20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  <c r="AB368" s="164" t="n"/>
      <c r="AC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20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  <c r="AB369" s="164" t="n"/>
      <c r="AC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20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  <c r="AB370" s="164" t="n"/>
      <c r="AC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20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  <c r="AB371" s="164" t="n"/>
      <c r="AC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20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  <c r="AB372" s="164" t="n"/>
      <c r="AC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20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  <c r="AB373" s="164" t="n"/>
      <c r="AC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20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  <c r="AB374" s="164" t="n"/>
      <c r="AC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20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  <c r="AB375" s="164" t="n"/>
      <c r="AC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20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  <c r="AB376" s="164" t="n"/>
      <c r="AC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20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  <c r="AB377" s="164" t="n"/>
      <c r="AC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20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  <c r="AB378" s="164" t="n"/>
      <c r="AC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20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  <c r="AB379" s="164" t="n"/>
      <c r="AC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20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  <c r="AB380" s="164" t="n"/>
      <c r="AC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20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  <c r="AB381" s="164" t="n"/>
      <c r="AC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20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  <c r="AB382" s="164" t="n"/>
      <c r="AC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20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  <c r="AB383" s="164" t="n"/>
      <c r="AC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20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  <c r="AB384" s="164" t="n"/>
      <c r="AC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20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  <c r="AB385" s="164" t="n"/>
      <c r="AC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20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  <c r="AB386" s="164" t="n"/>
      <c r="AC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20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  <c r="AB387" s="164" t="n"/>
      <c r="AC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20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  <c r="AB388" s="164" t="n"/>
      <c r="AC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20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  <c r="AB389" s="164" t="n"/>
      <c r="AC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20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  <c r="AB390" s="164" t="n"/>
      <c r="AC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20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  <c r="AB391" s="164" t="n"/>
      <c r="AC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20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  <c r="AB392" s="164" t="n"/>
      <c r="AC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20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  <c r="AB393" s="164" t="n"/>
      <c r="AC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20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  <c r="AB394" s="164" t="n"/>
      <c r="AC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20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  <c r="AB395" s="164" t="n"/>
      <c r="AC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20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  <c r="AB396" s="164" t="n"/>
      <c r="AC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20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  <c r="AB397" s="164" t="n"/>
      <c r="AC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20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  <c r="AB398" s="164" t="n"/>
      <c r="AC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20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  <c r="AB399" s="164" t="n"/>
      <c r="AC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20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  <c r="AB400" s="164" t="n"/>
      <c r="AC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20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  <c r="AB401" s="164" t="n"/>
      <c r="AC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20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  <c r="AB402" s="164" t="n"/>
      <c r="AC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20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  <c r="AB403" s="164" t="n"/>
      <c r="AC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20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  <c r="AB404" s="164" t="n"/>
      <c r="AC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20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  <c r="AB405" s="164" t="n"/>
      <c r="AC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20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  <c r="AB406" s="164" t="n"/>
      <c r="AC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20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  <c r="AB407" s="164" t="n"/>
      <c r="AC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20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  <c r="AB408" s="164" t="n"/>
      <c r="AC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20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  <c r="AB409" s="164" t="n"/>
      <c r="AC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20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  <c r="AB410" s="164" t="n"/>
      <c r="AC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20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  <c r="AB411" s="164" t="n"/>
      <c r="AC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20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  <c r="AB412" s="164" t="n"/>
      <c r="AC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20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  <c r="AB413" s="164" t="n"/>
      <c r="AC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20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  <c r="AB414" s="164" t="n"/>
      <c r="AC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20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  <c r="AB415" s="164" t="n"/>
      <c r="AC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20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  <c r="AB416" s="164" t="n"/>
      <c r="AC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20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  <c r="AB417" s="164" t="n"/>
      <c r="AC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20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  <c r="AB418" s="164" t="n"/>
      <c r="AC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20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  <c r="AB419" s="164" t="n"/>
      <c r="AC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20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  <c r="AB420" s="164" t="n"/>
      <c r="AC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20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  <c r="AB421" s="164" t="n"/>
      <c r="AC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20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  <c r="AB422" s="164" t="n"/>
      <c r="AC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20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  <c r="AB423" s="164" t="n"/>
      <c r="AC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20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  <c r="AB424" s="164" t="n"/>
      <c r="AC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20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  <c r="AB425" s="164" t="n"/>
      <c r="AC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20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  <c r="AB426" s="164" t="n"/>
      <c r="AC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20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  <c r="AB427" s="164" t="n"/>
      <c r="AC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20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  <c r="AB428" s="164" t="n"/>
      <c r="AC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20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  <c r="AB429" s="164" t="n"/>
      <c r="AC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20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  <c r="AB430" s="164" t="n"/>
      <c r="AC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20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  <c r="AB431" s="164" t="n"/>
      <c r="AC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20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  <c r="AB432" s="164" t="n"/>
      <c r="AC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20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  <c r="AB433" s="164" t="n"/>
      <c r="AC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20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  <c r="AB434" s="164" t="n"/>
      <c r="AC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20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  <c r="AB435" s="164" t="n"/>
      <c r="AC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20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  <c r="AB436" s="164" t="n"/>
      <c r="AC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20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  <c r="AB437" s="164" t="n"/>
      <c r="AC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20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  <c r="AB438" s="164" t="n"/>
      <c r="AC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20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  <c r="AB439" s="164" t="n"/>
      <c r="AC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20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  <c r="AB440" s="164" t="n"/>
      <c r="AC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20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  <c r="AB441" s="164" t="n"/>
      <c r="AC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20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  <c r="AB442" s="164" t="n"/>
      <c r="AC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20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  <c r="AB443" s="164" t="n"/>
      <c r="AC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20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  <c r="AB444" s="164" t="n"/>
      <c r="AC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20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  <c r="AB445" s="164" t="n"/>
      <c r="AC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20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  <c r="AB446" s="164" t="n"/>
      <c r="AC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20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  <c r="AB447" s="164" t="n"/>
      <c r="AC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20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  <c r="AB448" s="164" t="n"/>
      <c r="AC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20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  <c r="AB449" s="164" t="n"/>
      <c r="AC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20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  <c r="AB450" s="164" t="n"/>
      <c r="AC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20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  <c r="AB451" s="164" t="n"/>
      <c r="AC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20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  <c r="AB452" s="164" t="n"/>
      <c r="AC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20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  <c r="AB453" s="164" t="n"/>
      <c r="AC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20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  <c r="AB454" s="164" t="n"/>
      <c r="AC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20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  <c r="AB455" s="164" t="n"/>
      <c r="AC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20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  <c r="AB456" s="164" t="n"/>
      <c r="AC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20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  <c r="AB457" s="164" t="n"/>
      <c r="AC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20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  <c r="AB458" s="164" t="n"/>
      <c r="AC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20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  <c r="AB459" s="164" t="n"/>
      <c r="AC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20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  <c r="AB460" s="164" t="n"/>
      <c r="AC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20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  <c r="AB461" s="164" t="n"/>
      <c r="AC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20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  <c r="AB462" s="164" t="n"/>
      <c r="AC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20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  <c r="AB463" s="164" t="n"/>
      <c r="AC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20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  <c r="AB464" s="164" t="n"/>
      <c r="AC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20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  <c r="AB465" s="164" t="n"/>
      <c r="AC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20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  <c r="AB466" s="164" t="n"/>
      <c r="AC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20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  <c r="AB467" s="164" t="n"/>
      <c r="AC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20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  <c r="AB468" s="164" t="n"/>
      <c r="AC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20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  <c r="AB469" s="164" t="n"/>
      <c r="AC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20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  <c r="AB470" s="164" t="n"/>
      <c r="AC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20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  <c r="AB471" s="164" t="n"/>
      <c r="AC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20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  <c r="AB472" s="164" t="n"/>
      <c r="AC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20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  <c r="AB473" s="164" t="n"/>
      <c r="AC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20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  <c r="AB474" s="164" t="n"/>
      <c r="AC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20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  <c r="AB475" s="164" t="n"/>
      <c r="AC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20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  <c r="AB476" s="164" t="n"/>
      <c r="AC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20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  <c r="AB477" s="164" t="n"/>
      <c r="AC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20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  <c r="AB478" s="164" t="n"/>
      <c r="AC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20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  <c r="AB479" s="164" t="n"/>
      <c r="AC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20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  <c r="AB480" s="164" t="n"/>
      <c r="AC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20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  <c r="AB481" s="164" t="n"/>
      <c r="AC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20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  <c r="AB482" s="164" t="n"/>
      <c r="AC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20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  <c r="AB483" s="164" t="n"/>
      <c r="AC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20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  <c r="AB484" s="164" t="n"/>
      <c r="AC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20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  <c r="AB485" s="164" t="n"/>
      <c r="AC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20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  <c r="AB486" s="164" t="n"/>
      <c r="AC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20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  <c r="AB487" s="164" t="n"/>
      <c r="AC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20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  <c r="AB488" s="164" t="n"/>
      <c r="AC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20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  <c r="AB489" s="164" t="n"/>
      <c r="AC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20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  <c r="AB490" s="164" t="n"/>
      <c r="AC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20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  <c r="AB491" s="164" t="n"/>
      <c r="AC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20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  <c r="AB492" s="164" t="n"/>
      <c r="AC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20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  <c r="AB493" s="164" t="n"/>
      <c r="AC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20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  <c r="AB494" s="164" t="n"/>
      <c r="AC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20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  <c r="AB495" s="164" t="n"/>
      <c r="AC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20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  <c r="AB496" s="164" t="n"/>
      <c r="AC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20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  <c r="AB497" s="164" t="n"/>
      <c r="AC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20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  <c r="AB498" s="164" t="n"/>
      <c r="AC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20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  <c r="AB499" s="164" t="n"/>
      <c r="AC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20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  <c r="AB500" s="164" t="n"/>
      <c r="AC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20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  <c r="AB501" s="164" t="n"/>
      <c r="AC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20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  <c r="AB502" s="164" t="n"/>
      <c r="AC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20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  <c r="AB503" s="164" t="n"/>
      <c r="AC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20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  <c r="AB504" s="164" t="n"/>
      <c r="AC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20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  <c r="AB505" s="164" t="n"/>
      <c r="AC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20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  <c r="AB506" s="164" t="n"/>
      <c r="AC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20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  <c r="AB507" s="164" t="n"/>
      <c r="AC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20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  <c r="AB508" s="164" t="n"/>
      <c r="AC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20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  <c r="AB509" s="164" t="n"/>
      <c r="AC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20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  <c r="AB510" s="164" t="n"/>
      <c r="AC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20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  <c r="AB511" s="164" t="n"/>
      <c r="AC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20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  <c r="AB512" s="164" t="n"/>
      <c r="AC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20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  <c r="AB513" s="164" t="n"/>
      <c r="AC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20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  <c r="AB514" s="164" t="n"/>
      <c r="AC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20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  <c r="AB515" s="164" t="n"/>
      <c r="AC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20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  <c r="AB516" s="164" t="n"/>
      <c r="AC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20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  <c r="AB517" s="164" t="n"/>
      <c r="AC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20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  <c r="AB518" s="164" t="n"/>
      <c r="AC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20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  <c r="AB519" s="164" t="n"/>
      <c r="AC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20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  <c r="AB520" s="164" t="n"/>
      <c r="AC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20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  <c r="AB521" s="164" t="n"/>
      <c r="AC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20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  <c r="AB522" s="164" t="n"/>
      <c r="AC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20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  <c r="AB523" s="164" t="n"/>
      <c r="AC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20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  <c r="AB524" s="164" t="n"/>
      <c r="AC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20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  <c r="AB525" s="164" t="n"/>
      <c r="AC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20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  <c r="AB526" s="164" t="n"/>
      <c r="AC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20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  <c r="AB527" s="164" t="n"/>
      <c r="AC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20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  <c r="AB528" s="164" t="n"/>
      <c r="AC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20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  <c r="AB529" s="164" t="n"/>
      <c r="AC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20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  <c r="AB530" s="164" t="n"/>
      <c r="AC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20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  <c r="AB531" s="164" t="n"/>
      <c r="AC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20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  <c r="AB532" s="164" t="n"/>
      <c r="AC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20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  <c r="AB533" s="164" t="n"/>
      <c r="AC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20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  <c r="AB534" s="164" t="n"/>
      <c r="AC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20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  <c r="AB535" s="164" t="n"/>
      <c r="AC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20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  <c r="AB536" s="164" t="n"/>
      <c r="AC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20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  <c r="AB537" s="164" t="n"/>
      <c r="AC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20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  <c r="AB538" s="164" t="n"/>
      <c r="AC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20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  <c r="AB539" s="164" t="n"/>
      <c r="AC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20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  <c r="AB540" s="164" t="n"/>
      <c r="AC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20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  <c r="AB541" s="164" t="n"/>
      <c r="AC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20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  <c r="AB542" s="164" t="n"/>
      <c r="AC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20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  <c r="AB543" s="164" t="n"/>
      <c r="AC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20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  <c r="AB544" s="164" t="n"/>
      <c r="AC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20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  <c r="AB545" s="164" t="n"/>
      <c r="AC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20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  <c r="AB546" s="164" t="n"/>
      <c r="AC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20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  <c r="AB547" s="164" t="n"/>
      <c r="AC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20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  <c r="AB548" s="164" t="n"/>
      <c r="AC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20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  <c r="AB549" s="164" t="n"/>
      <c r="AC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20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  <c r="AB550" s="164" t="n"/>
      <c r="AC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20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  <c r="AB551" s="164" t="n"/>
      <c r="AC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20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  <c r="AB552" s="164" t="n"/>
      <c r="AC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20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  <c r="AB553" s="164" t="n"/>
      <c r="AC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20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  <c r="AB554" s="164" t="n"/>
      <c r="AC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20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  <c r="AB555" s="164" t="n"/>
      <c r="AC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20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  <c r="AB556" s="164" t="n"/>
      <c r="AC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20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  <c r="AB557" s="164" t="n"/>
      <c r="AC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20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  <c r="AB558" s="164" t="n"/>
      <c r="AC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20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  <c r="AB559" s="164" t="n"/>
      <c r="AC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20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  <c r="AB560" s="164" t="n"/>
      <c r="AC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20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  <c r="AB561" s="164" t="n"/>
      <c r="AC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20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  <c r="AB562" s="164" t="n"/>
      <c r="AC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20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  <c r="AB563" s="164" t="n"/>
      <c r="AC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20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  <c r="AB564" s="164" t="n"/>
      <c r="AC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20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  <c r="AB565" s="164" t="n"/>
      <c r="AC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20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  <c r="AB566" s="164" t="n"/>
      <c r="AC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20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  <c r="AB567" s="164" t="n"/>
      <c r="AC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20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  <c r="AB568" s="164" t="n"/>
      <c r="AC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20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  <c r="AB569" s="164" t="n"/>
      <c r="AC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20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  <c r="AB570" s="164" t="n"/>
      <c r="AC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20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  <c r="AB571" s="164" t="n"/>
      <c r="AC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20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  <c r="AB572" s="164" t="n"/>
      <c r="AC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20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  <c r="AB573" s="164" t="n"/>
      <c r="AC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20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  <c r="AB574" s="164" t="n"/>
      <c r="AC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20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  <c r="AB575" s="164" t="n"/>
      <c r="AC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20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  <c r="AB576" s="164" t="n"/>
      <c r="AC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20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  <c r="AB577" s="164" t="n"/>
      <c r="AC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20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  <c r="AB578" s="164" t="n"/>
      <c r="AC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20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  <c r="AB579" s="164" t="n"/>
      <c r="AC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20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  <c r="AB580" s="164" t="n"/>
      <c r="AC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20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  <c r="AB581" s="164" t="n"/>
      <c r="AC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20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  <c r="AB582" s="164" t="n"/>
      <c r="AC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20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  <c r="AB583" s="164" t="n"/>
      <c r="AC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20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  <c r="AB584" s="164" t="n"/>
      <c r="AC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20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  <c r="AB585" s="164" t="n"/>
      <c r="AC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20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  <c r="AB586" s="164" t="n"/>
      <c r="AC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20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  <c r="AB587" s="164" t="n"/>
      <c r="AC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20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  <c r="AB588" s="164" t="n"/>
      <c r="AC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20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  <c r="AB589" s="164" t="n"/>
      <c r="AC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20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  <c r="AB590" s="164" t="n"/>
      <c r="AC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20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  <c r="AB591" s="164" t="n"/>
      <c r="AC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20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  <c r="AB592" s="164" t="n"/>
      <c r="AC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20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  <c r="AB593" s="164" t="n"/>
      <c r="AC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20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  <c r="AB594" s="164" t="n"/>
      <c r="AC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20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  <c r="AB595" s="164" t="n"/>
      <c r="AC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20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  <c r="AB596" s="164" t="n"/>
      <c r="AC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20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  <c r="AB597" s="164" t="n"/>
      <c r="AC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20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  <c r="AB598" s="164" t="n"/>
      <c r="AC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20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  <c r="AB599" s="164" t="n"/>
      <c r="AC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20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  <c r="AB600" s="164" t="n"/>
      <c r="AC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20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  <c r="AB601" s="164" t="n"/>
      <c r="AC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20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  <c r="AB602" s="164" t="n"/>
      <c r="AC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20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  <c r="AB603" s="164" t="n"/>
      <c r="AC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20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  <c r="AB604" s="164" t="n"/>
      <c r="AC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20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  <c r="AB605" s="164" t="n"/>
      <c r="AC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20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  <c r="AB606" s="164" t="n"/>
      <c r="AC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20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  <c r="AB607" s="164" t="n"/>
      <c r="AC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20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  <c r="AB608" s="164" t="n"/>
      <c r="AC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20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  <c r="AB609" s="164" t="n"/>
      <c r="AC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20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  <c r="AB610" s="164" t="n"/>
      <c r="AC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20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  <c r="AB611" s="164" t="n"/>
      <c r="AC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20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  <c r="AB612" s="164" t="n"/>
      <c r="AC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20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  <c r="AB613" s="164" t="n"/>
      <c r="AC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20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  <c r="AB614" s="164" t="n"/>
      <c r="AC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20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  <c r="AB615" s="164" t="n"/>
      <c r="AC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20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  <c r="AB616" s="164" t="n"/>
      <c r="AC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20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  <c r="AB617" s="164" t="n"/>
      <c r="AC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20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  <c r="AB618" s="164" t="n"/>
      <c r="AC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20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  <c r="AB619" s="164" t="n"/>
      <c r="AC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20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  <c r="AB620" s="164" t="n"/>
      <c r="AC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20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  <c r="AB621" s="164" t="n"/>
      <c r="AC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20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  <c r="AB622" s="164" t="n"/>
      <c r="AC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20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  <c r="AB623" s="164" t="n"/>
      <c r="AC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20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  <c r="AB624" s="164" t="n"/>
      <c r="AC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20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  <c r="AB625" s="164" t="n"/>
      <c r="AC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20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  <c r="AB626" s="164" t="n"/>
      <c r="AC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20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  <c r="AB627" s="164" t="n"/>
      <c r="AC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20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  <c r="AB628" s="164" t="n"/>
      <c r="AC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20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  <c r="AB629" s="164" t="n"/>
      <c r="AC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20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  <c r="AB630" s="164" t="n"/>
      <c r="AC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20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  <c r="AB631" s="164" t="n"/>
      <c r="AC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20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  <c r="AB632" s="164" t="n"/>
      <c r="AC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20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  <c r="AB633" s="164" t="n"/>
      <c r="AC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20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  <c r="AB634" s="164" t="n"/>
      <c r="AC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20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  <c r="AB635" s="164" t="n"/>
      <c r="AC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20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  <c r="AB636" s="164" t="n"/>
      <c r="AC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20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  <c r="AB637" s="164" t="n"/>
      <c r="AC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20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  <c r="AB638" s="164" t="n"/>
      <c r="AC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20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  <c r="AB639" s="164" t="n"/>
      <c r="AC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20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  <c r="AB640" s="164" t="n"/>
      <c r="AC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20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  <c r="AB641" s="164" t="n"/>
      <c r="AC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20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  <c r="AB642" s="164" t="n"/>
      <c r="AC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20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  <c r="AB643" s="164" t="n"/>
      <c r="AC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20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  <c r="AB644" s="164" t="n"/>
      <c r="AC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20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  <c r="AB645" s="164" t="n"/>
      <c r="AC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20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  <c r="AB646" s="164" t="n"/>
      <c r="AC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20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  <c r="AB647" s="164" t="n"/>
      <c r="AC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20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  <c r="AB648" s="164" t="n"/>
      <c r="AC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20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  <c r="AB649" s="164" t="n"/>
      <c r="AC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20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  <c r="AB650" s="164" t="n"/>
      <c r="AC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20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  <c r="AB651" s="164" t="n"/>
      <c r="AC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20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  <c r="AB652" s="164" t="n"/>
      <c r="AC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20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  <c r="AB653" s="164" t="n"/>
      <c r="AC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20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  <c r="AB654" s="164" t="n"/>
      <c r="AC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20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  <c r="AB655" s="164" t="n"/>
      <c r="AC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20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  <c r="AB656" s="164" t="n"/>
      <c r="AC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20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  <c r="AB657" s="164" t="n"/>
      <c r="AC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20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  <c r="AB658" s="164" t="n"/>
      <c r="AC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20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  <c r="AB659" s="164" t="n"/>
      <c r="AC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20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  <c r="AB660" s="164" t="n"/>
      <c r="AC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20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  <c r="AB661" s="164" t="n"/>
      <c r="AC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20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  <c r="AB662" s="164" t="n"/>
      <c r="AC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20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  <c r="AB663" s="164" t="n"/>
      <c r="AC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20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  <c r="AB664" s="164" t="n"/>
      <c r="AC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20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  <c r="AB665" s="164" t="n"/>
      <c r="AC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20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  <c r="AB666" s="164" t="n"/>
      <c r="AC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20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  <c r="AB667" s="164" t="n"/>
      <c r="AC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20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  <c r="AB668" s="164" t="n"/>
      <c r="AC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20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  <c r="AB669" s="164" t="n"/>
      <c r="AC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20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  <c r="AB670" s="164" t="n"/>
      <c r="AC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20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  <c r="AB671" s="164" t="n"/>
      <c r="AC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20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  <c r="AB672" s="164" t="n"/>
      <c r="AC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20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  <c r="AB673" s="164" t="n"/>
      <c r="AC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20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  <c r="AB674" s="164" t="n"/>
      <c r="AC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20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  <c r="AB675" s="164" t="n"/>
      <c r="AC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20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  <c r="AB676" s="164" t="n"/>
      <c r="AC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20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  <c r="AB677" s="164" t="n"/>
      <c r="AC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20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  <c r="AB678" s="164" t="n"/>
      <c r="AC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20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  <c r="AB679" s="164" t="n"/>
      <c r="AC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20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  <c r="AB680" s="164" t="n"/>
      <c r="AC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20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  <c r="AB681" s="164" t="n"/>
      <c r="AC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20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  <c r="AB682" s="164" t="n"/>
      <c r="AC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20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  <c r="AB683" s="164" t="n"/>
      <c r="AC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20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  <c r="AB684" s="164" t="n"/>
      <c r="AC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20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  <c r="AB685" s="164" t="n"/>
      <c r="AC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20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  <c r="AB686" s="164" t="n"/>
      <c r="AC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20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  <c r="AB687" s="164" t="n"/>
      <c r="AC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20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  <c r="AB688" s="164" t="n"/>
      <c r="AC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20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  <c r="AB689" s="164" t="n"/>
      <c r="AC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20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  <c r="AB690" s="164" t="n"/>
      <c r="AC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20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  <c r="AB691" s="164" t="n"/>
      <c r="AC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20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  <c r="AB692" s="164" t="n"/>
      <c r="AC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20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  <c r="AB693" s="164" t="n"/>
      <c r="AC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20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  <c r="AB694" s="164" t="n"/>
      <c r="AC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20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  <c r="AB695" s="164" t="n"/>
      <c r="AC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20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  <c r="AB696" s="164" t="n"/>
      <c r="AC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20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  <c r="AB697" s="164" t="n"/>
      <c r="AC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20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  <c r="AB698" s="164" t="n"/>
      <c r="AC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20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  <c r="AB699" s="164" t="n"/>
      <c r="AC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20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  <c r="AB700" s="164" t="n"/>
      <c r="AC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20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  <c r="AB701" s="164" t="n"/>
      <c r="AC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20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  <c r="AB702" s="164" t="n"/>
      <c r="AC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20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  <c r="AB703" s="164" t="n"/>
      <c r="AC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20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  <c r="AB704" s="164" t="n"/>
      <c r="AC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20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  <c r="AB705" s="164" t="n"/>
      <c r="AC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20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  <c r="AB706" s="164" t="n"/>
      <c r="AC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20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  <c r="AB707" s="164" t="n"/>
      <c r="AC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20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  <c r="AB708" s="164" t="n"/>
      <c r="AC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20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  <c r="AB709" s="164" t="n"/>
      <c r="AC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20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  <c r="AB710" s="164" t="n"/>
      <c r="AC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20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  <c r="AB711" s="164" t="n"/>
      <c r="AC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20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  <c r="AB712" s="164" t="n"/>
      <c r="AC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20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  <c r="AB713" s="164" t="n"/>
      <c r="AC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20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  <c r="AB714" s="164" t="n"/>
      <c r="AC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20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  <c r="AB715" s="164" t="n"/>
      <c r="AC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20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  <c r="AB716" s="164" t="n"/>
      <c r="AC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20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  <c r="AB717" s="164" t="n"/>
      <c r="AC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20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  <c r="AB718" s="164" t="n"/>
      <c r="AC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20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  <c r="AB719" s="164" t="n"/>
      <c r="AC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20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  <c r="AB720" s="164" t="n"/>
      <c r="AC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20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  <c r="AB721" s="164" t="n"/>
      <c r="AC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20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  <c r="AB722" s="164" t="n"/>
      <c r="AC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20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  <c r="AB723" s="164" t="n"/>
      <c r="AC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20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  <c r="AB724" s="164" t="n"/>
      <c r="AC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20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  <c r="AB725" s="164" t="n"/>
      <c r="AC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20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  <c r="AB726" s="164" t="n"/>
      <c r="AC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20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  <c r="AB727" s="164" t="n"/>
      <c r="AC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20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  <c r="AB728" s="164" t="n"/>
      <c r="AC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20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  <c r="AB729" s="164" t="n"/>
      <c r="AC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20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  <c r="AB730" s="164" t="n"/>
      <c r="AC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20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  <c r="AB731" s="164" t="n"/>
      <c r="AC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20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  <c r="AB732" s="164" t="n"/>
      <c r="AC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20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  <c r="AB733" s="164" t="n"/>
      <c r="AC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20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  <c r="AB734" s="164" t="n"/>
      <c r="AC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20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  <c r="AB735" s="164" t="n"/>
      <c r="AC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20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  <c r="AB736" s="164" t="n"/>
      <c r="AC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20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  <c r="AB737" s="164" t="n"/>
      <c r="AC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20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  <c r="AB738" s="164" t="n"/>
      <c r="AC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20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  <c r="AB739" s="164" t="n"/>
      <c r="AC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20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  <c r="AB740" s="164" t="n"/>
      <c r="AC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20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  <c r="AB741" s="164" t="n"/>
      <c r="AC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20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  <c r="AB742" s="164" t="n"/>
      <c r="AC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20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  <c r="AB743" s="164" t="n"/>
      <c r="AC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20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  <c r="AB744" s="164" t="n"/>
      <c r="AC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20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  <c r="AB745" s="164" t="n"/>
      <c r="AC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20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  <c r="AB746" s="164" t="n"/>
      <c r="AC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20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  <c r="AB747" s="164" t="n"/>
      <c r="AC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20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  <c r="AB748" s="164" t="n"/>
      <c r="AC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20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  <c r="AB749" s="164" t="n"/>
      <c r="AC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20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  <c r="AB750" s="164" t="n"/>
      <c r="AC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20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  <c r="AB751" s="164" t="n"/>
      <c r="AC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20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  <c r="AB752" s="164" t="n"/>
      <c r="AC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20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  <c r="AB753" s="164" t="n"/>
      <c r="AC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20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  <c r="AB754" s="164" t="n"/>
      <c r="AC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20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  <c r="AB755" s="164" t="n"/>
      <c r="AC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20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  <c r="AB756" s="164" t="n"/>
      <c r="AC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20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  <c r="AB757" s="164" t="n"/>
      <c r="AC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20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  <c r="AB758" s="164" t="n"/>
      <c r="AC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20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  <c r="AB759" s="164" t="n"/>
      <c r="AC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20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  <c r="AB760" s="164" t="n"/>
      <c r="AC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20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  <c r="AB761" s="164" t="n"/>
      <c r="AC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20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  <c r="AB762" s="164" t="n"/>
      <c r="AC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20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  <c r="AB763" s="164" t="n"/>
      <c r="AC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20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  <c r="AB764" s="164" t="n"/>
      <c r="AC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20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  <c r="AB765" s="164" t="n"/>
      <c r="AC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20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  <c r="AB766" s="164" t="n"/>
      <c r="AC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20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  <c r="AB767" s="164" t="n"/>
      <c r="AC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20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  <c r="AB768" s="164" t="n"/>
      <c r="AC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20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  <c r="AB769" s="164" t="n"/>
      <c r="AC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20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  <c r="AB770" s="164" t="n"/>
      <c r="AC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20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  <c r="AB771" s="164" t="n"/>
      <c r="AC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20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  <c r="AB772" s="164" t="n"/>
      <c r="AC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20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  <c r="AB773" s="164" t="n"/>
      <c r="AC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20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  <c r="AB774" s="164" t="n"/>
      <c r="AC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20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  <c r="AB775" s="164" t="n"/>
      <c r="AC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20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  <c r="AB776" s="164" t="n"/>
      <c r="AC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20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  <c r="AB777" s="164" t="n"/>
      <c r="AC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20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  <c r="AB778" s="164" t="n"/>
      <c r="AC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20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  <c r="AB779" s="164" t="n"/>
      <c r="AC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20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  <c r="AB780" s="164" t="n"/>
      <c r="AC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20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  <c r="AB781" s="164" t="n"/>
      <c r="AC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20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  <c r="AB782" s="164" t="n"/>
      <c r="AC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20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  <c r="AB783" s="164" t="n"/>
      <c r="AC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20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  <c r="AB784" s="164" t="n"/>
      <c r="AC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20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  <c r="AB785" s="164" t="n"/>
      <c r="AC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20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  <c r="AB786" s="164" t="n"/>
      <c r="AC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20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  <c r="AB787" s="164" t="n"/>
      <c r="AC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20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  <c r="AB788" s="164" t="n"/>
      <c r="AC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20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  <c r="AB789" s="164" t="n"/>
      <c r="AC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20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  <c r="AB790" s="164" t="n"/>
      <c r="AC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20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  <c r="AB791" s="164" t="n"/>
      <c r="AC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20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  <c r="AB792" s="164" t="n"/>
      <c r="AC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20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  <c r="AB793" s="164" t="n"/>
      <c r="AC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20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  <c r="AB794" s="164" t="n"/>
      <c r="AC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20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  <c r="AB795" s="164" t="n"/>
      <c r="AC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20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  <c r="AB796" s="164" t="n"/>
      <c r="AC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20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  <c r="AB797" s="164" t="n"/>
      <c r="AC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20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  <c r="AB798" s="164" t="n"/>
      <c r="AC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20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  <c r="AB799" s="164" t="n"/>
      <c r="AC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20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  <c r="AB800" s="164" t="n"/>
      <c r="AC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20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  <c r="AB801" s="164" t="n"/>
      <c r="AC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20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  <c r="AB802" s="164" t="n"/>
      <c r="AC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20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  <c r="AB803" s="164" t="n"/>
      <c r="AC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20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  <c r="AB804" s="164" t="n"/>
      <c r="AC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20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  <c r="AB805" s="164" t="n"/>
      <c r="AC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20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  <c r="AB806" s="164" t="n"/>
      <c r="AC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20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  <c r="AB807" s="164" t="n"/>
      <c r="AC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20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  <c r="AB808" s="164" t="n"/>
      <c r="AC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20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  <c r="AB809" s="164" t="n"/>
      <c r="AC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20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  <c r="AB810" s="164" t="n"/>
      <c r="AC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20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  <c r="AB811" s="164" t="n"/>
      <c r="AC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20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  <c r="AB812" s="164" t="n"/>
      <c r="AC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20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  <c r="AB813" s="164" t="n"/>
      <c r="AC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20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  <c r="AB814" s="164" t="n"/>
      <c r="AC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20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  <c r="AB815" s="164" t="n"/>
      <c r="AC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20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  <c r="AB816" s="164" t="n"/>
      <c r="AC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20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  <c r="AB817" s="164" t="n"/>
      <c r="AC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20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  <c r="AB818" s="164" t="n"/>
      <c r="AC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20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  <c r="AB819" s="164" t="n"/>
      <c r="AC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20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  <c r="AB820" s="164" t="n"/>
      <c r="AC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20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  <c r="AB821" s="164" t="n"/>
      <c r="AC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20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  <c r="AB822" s="164" t="n"/>
      <c r="AC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20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  <c r="AB823" s="164" t="n"/>
      <c r="AC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20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  <c r="AB824" s="164" t="n"/>
      <c r="AC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20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  <c r="AB825" s="164" t="n"/>
      <c r="AC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20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  <c r="AB826" s="164" t="n"/>
      <c r="AC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20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  <c r="AB827" s="164" t="n"/>
      <c r="AC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20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  <c r="AB828" s="164" t="n"/>
      <c r="AC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20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  <c r="AB829" s="164" t="n"/>
      <c r="AC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20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  <c r="AB830" s="164" t="n"/>
      <c r="AC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20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  <c r="AB831" s="164" t="n"/>
      <c r="AC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20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  <c r="AB832" s="164" t="n"/>
      <c r="AC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20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  <c r="AB833" s="164" t="n"/>
      <c r="AC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20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  <c r="AB834" s="164" t="n"/>
      <c r="AC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20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  <c r="AB835" s="164" t="n"/>
      <c r="AC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20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  <c r="AB836" s="164" t="n"/>
      <c r="AC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20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  <c r="AB837" s="164" t="n"/>
      <c r="AC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20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  <c r="AB838" s="164" t="n"/>
      <c r="AC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20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  <c r="AB839" s="164" t="n"/>
      <c r="AC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20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  <c r="AB840" s="164" t="n"/>
      <c r="AC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20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  <c r="AB841" s="164" t="n"/>
      <c r="AC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20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  <c r="AB842" s="164" t="n"/>
      <c r="AC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20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  <c r="AB843" s="164" t="n"/>
      <c r="AC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20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  <c r="AB844" s="164" t="n"/>
      <c r="AC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20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  <c r="AB845" s="164" t="n"/>
      <c r="AC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20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  <c r="AB846" s="164" t="n"/>
      <c r="AC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20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  <c r="AB847" s="164" t="n"/>
      <c r="AC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20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  <c r="AB848" s="164" t="n"/>
      <c r="AC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20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  <c r="AB849" s="164" t="n"/>
      <c r="AC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20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  <c r="AB850" s="164" t="n"/>
      <c r="AC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20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  <c r="AB851" s="164" t="n"/>
      <c r="AC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20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  <c r="AB852" s="164" t="n"/>
      <c r="AC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20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  <c r="AB853" s="164" t="n"/>
      <c r="AC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20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  <c r="AB854" s="164" t="n"/>
      <c r="AC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20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  <c r="AB855" s="164" t="n"/>
      <c r="AC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20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  <c r="AB856" s="164" t="n"/>
      <c r="AC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20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  <c r="AB857" s="164" t="n"/>
      <c r="AC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20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  <c r="AB858" s="164" t="n"/>
      <c r="AC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20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  <c r="AB859" s="164" t="n"/>
      <c r="AC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20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  <c r="AB860" s="164" t="n"/>
      <c r="AC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20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  <c r="AB861" s="164" t="n"/>
      <c r="AC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20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  <c r="AB862" s="164" t="n"/>
      <c r="AC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20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  <c r="AB863" s="164" t="n"/>
      <c r="AC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20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  <c r="AB864" s="164" t="n"/>
      <c r="AC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20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  <c r="AB865" s="164" t="n"/>
      <c r="AC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20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  <c r="AB866" s="164" t="n"/>
      <c r="AC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20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  <c r="AB867" s="164" t="n"/>
      <c r="AC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20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  <c r="AB868" s="164" t="n"/>
      <c r="AC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20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  <c r="AB869" s="164" t="n"/>
      <c r="AC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20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  <c r="AB870" s="164" t="n"/>
      <c r="AC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20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  <c r="AB871" s="164" t="n"/>
      <c r="AC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20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  <c r="AB872" s="164" t="n"/>
      <c r="AC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20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  <c r="AB873" s="164" t="n"/>
      <c r="AC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20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  <c r="AB874" s="164" t="n"/>
      <c r="AC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20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  <c r="AB875" s="164" t="n"/>
      <c r="AC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20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  <c r="AB876" s="164" t="n"/>
      <c r="AC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20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  <c r="AB877" s="164" t="n"/>
      <c r="AC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20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  <c r="AB878" s="164" t="n"/>
      <c r="AC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20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  <c r="AB879" s="164" t="n"/>
      <c r="AC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20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  <c r="AB880" s="164" t="n"/>
      <c r="AC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20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  <c r="AB881" s="164" t="n"/>
      <c r="AC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20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  <c r="AB882" s="164" t="n"/>
      <c r="AC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20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  <c r="AB883" s="164" t="n"/>
      <c r="AC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20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  <c r="AB884" s="164" t="n"/>
      <c r="AC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20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  <c r="AB885" s="164" t="n"/>
      <c r="AC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20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  <c r="AB886" s="164" t="n"/>
      <c r="AC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20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  <c r="AB887" s="164" t="n"/>
      <c r="AC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20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  <c r="AB888" s="164" t="n"/>
      <c r="AC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20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  <c r="AB889" s="164" t="n"/>
      <c r="AC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20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  <c r="AB890" s="164" t="n"/>
      <c r="AC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20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  <c r="AB891" s="164" t="n"/>
      <c r="AC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20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  <c r="AB892" s="164" t="n"/>
      <c r="AC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20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  <c r="AB893" s="164" t="n"/>
      <c r="AC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20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  <c r="AB894" s="164" t="n"/>
      <c r="AC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20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  <c r="AB895" s="164" t="n"/>
      <c r="AC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20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  <c r="AB896" s="164" t="n"/>
      <c r="AC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20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  <c r="AB897" s="164" t="n"/>
      <c r="AC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20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  <c r="AB898" s="164" t="n"/>
      <c r="AC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20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  <c r="AB899" s="164" t="n"/>
      <c r="AC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20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  <c r="AB900" s="164" t="n"/>
      <c r="AC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20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  <c r="AB901" s="164" t="n"/>
      <c r="AC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20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  <c r="AB902" s="164" t="n"/>
      <c r="AC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20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  <c r="AB903" s="164" t="n"/>
      <c r="AC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20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  <c r="AB904" s="164" t="n"/>
      <c r="AC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20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  <c r="AB905" s="164" t="n"/>
      <c r="AC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20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  <c r="AB906" s="164" t="n"/>
      <c r="AC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20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  <c r="AB907" s="164" t="n"/>
      <c r="AC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20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  <c r="AB908" s="164" t="n"/>
      <c r="AC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20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  <c r="AB909" s="164" t="n"/>
      <c r="AC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20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  <c r="AB910" s="164" t="n"/>
      <c r="AC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20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  <c r="AB911" s="164" t="n"/>
      <c r="AC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20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  <c r="AB912" s="164" t="n"/>
      <c r="AC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20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  <c r="AB913" s="164" t="n"/>
      <c r="AC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20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  <c r="AB914" s="164" t="n"/>
      <c r="AC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20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  <c r="AB915" s="164" t="n"/>
      <c r="AC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20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  <c r="AB916" s="164" t="n"/>
      <c r="AC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20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  <c r="AB917" s="164" t="n"/>
      <c r="AC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20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  <c r="AB918" s="164" t="n"/>
      <c r="AC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20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  <c r="AB919" s="164" t="n"/>
      <c r="AC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20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  <c r="AB920" s="164" t="n"/>
      <c r="AC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20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  <c r="AB921" s="164" t="n"/>
      <c r="AC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20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  <c r="AB922" s="164" t="n"/>
      <c r="AC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20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  <c r="AB923" s="164" t="n"/>
      <c r="AC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20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  <c r="AB924" s="164" t="n"/>
      <c r="AC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20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  <c r="AB925" s="164" t="n"/>
      <c r="AC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20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  <c r="AB926" s="164" t="n"/>
      <c r="AC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20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  <c r="AB927" s="164" t="n"/>
      <c r="AC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20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  <c r="AB928" s="164" t="n"/>
      <c r="AC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20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  <c r="AB929" s="164" t="n"/>
      <c r="AC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20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  <c r="AB930" s="164" t="n"/>
      <c r="AC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20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  <c r="AB931" s="164" t="n"/>
      <c r="AC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20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  <c r="AB932" s="164" t="n"/>
      <c r="AC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20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  <c r="AB933" s="164" t="n"/>
      <c r="AC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20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  <c r="AB934" s="164" t="n"/>
      <c r="AC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20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  <c r="AB935" s="164" t="n"/>
      <c r="AC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20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  <c r="AB936" s="164" t="n"/>
      <c r="AC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20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  <c r="AB937" s="164" t="n"/>
      <c r="AC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20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  <c r="AB938" s="164" t="n"/>
      <c r="AC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20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  <c r="AB939" s="164" t="n"/>
      <c r="AC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20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  <c r="AB940" s="164" t="n"/>
      <c r="AC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20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  <c r="AB941" s="164" t="n"/>
      <c r="AC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20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  <c r="AB942" s="164" t="n"/>
      <c r="AC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20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  <c r="AB943" s="164" t="n"/>
      <c r="AC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20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  <c r="AB944" s="164" t="n"/>
      <c r="AC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20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  <c r="AB945" s="164" t="n"/>
      <c r="AC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20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  <c r="AB946" s="164" t="n"/>
      <c r="AC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20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  <c r="AB947" s="164" t="n"/>
      <c r="AC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20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  <c r="AB948" s="164" t="n"/>
      <c r="AC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20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  <c r="AB949" s="164" t="n"/>
      <c r="AC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20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  <c r="AB950" s="164" t="n"/>
      <c r="AC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20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  <c r="AB951" s="164" t="n"/>
      <c r="AC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20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  <c r="AB952" s="164" t="n"/>
      <c r="AC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20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  <c r="AB953" s="164" t="n"/>
      <c r="AC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20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  <c r="AB954" s="164" t="n"/>
      <c r="AC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20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  <c r="AB955" s="164" t="n"/>
      <c r="AC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20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  <c r="AB956" s="164" t="n"/>
      <c r="AC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20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  <c r="AB957" s="164" t="n"/>
      <c r="AC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20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  <c r="AB958" s="164" t="n"/>
      <c r="AC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20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  <c r="AB959" s="164" t="n"/>
      <c r="AC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20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  <c r="AB960" s="164" t="n"/>
      <c r="AC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20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  <c r="AB961" s="164" t="n"/>
      <c r="AC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20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  <c r="AB962" s="164" t="n"/>
      <c r="AC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20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  <c r="AB963" s="164" t="n"/>
      <c r="AC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20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  <c r="AB964" s="164" t="n"/>
      <c r="AC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20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  <c r="AB965" s="164" t="n"/>
      <c r="AC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20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  <c r="AB966" s="164" t="n"/>
      <c r="AC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20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  <c r="AB967" s="164" t="n"/>
      <c r="AC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20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  <c r="AB968" s="164" t="n"/>
      <c r="AC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20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  <c r="AB969" s="164" t="n"/>
      <c r="AC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20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  <c r="AB970" s="164" t="n"/>
      <c r="AC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20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  <c r="AB971" s="164" t="n"/>
      <c r="AC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20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  <c r="AB972" s="164" t="n"/>
      <c r="AC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20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  <c r="AB973" s="164" t="n"/>
      <c r="AC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20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  <c r="AB974" s="164" t="n"/>
      <c r="AC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20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  <c r="AB975" s="164" t="n"/>
      <c r="AC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20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  <c r="AB976" s="164" t="n"/>
      <c r="AC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20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  <c r="AB977" s="164" t="n"/>
      <c r="AC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20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  <c r="AB978" s="164" t="n"/>
      <c r="AC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20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  <c r="AB979" s="164" t="n"/>
      <c r="AC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20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  <c r="AB980" s="164" t="n"/>
      <c r="AC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20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  <c r="AB981" s="164" t="n"/>
      <c r="AC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20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  <c r="AB982" s="164" t="n"/>
      <c r="AC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20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  <c r="AB983" s="164" t="n"/>
      <c r="AC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20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  <c r="AB984" s="164" t="n"/>
      <c r="AC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20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  <c r="AB985" s="164" t="n"/>
      <c r="AC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20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  <c r="AB986" s="164" t="n"/>
      <c r="AC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20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  <c r="AB987" s="164" t="n"/>
      <c r="AC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20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  <c r="AB988" s="164" t="n"/>
      <c r="AC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20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  <c r="AB989" s="164" t="n"/>
      <c r="AC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20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  <c r="AB990" s="164" t="n"/>
      <c r="AC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20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  <c r="AB991" s="164" t="n"/>
      <c r="AC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20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  <c r="AB992" s="164" t="n"/>
      <c r="AC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20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  <c r="AB993" s="164" t="n"/>
      <c r="AC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20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  <c r="AB994" s="164" t="n"/>
      <c r="AC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204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  <c r="AA995" s="164" t="n"/>
      <c r="AB995" s="164" t="n"/>
      <c r="AC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4" t="n"/>
      <c r="L996" s="164" t="n"/>
      <c r="M996" s="164" t="n"/>
      <c r="N996" s="164" t="n"/>
      <c r="O996" s="164" t="n"/>
      <c r="P996" s="164" t="n"/>
      <c r="Q996" s="204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  <c r="AA996" s="164" t="n"/>
      <c r="AB996" s="164" t="n"/>
      <c r="AC996" s="164" t="n"/>
    </row>
    <row r="997">
      <c r="A997" s="164" t="n"/>
      <c r="B997" s="164" t="n"/>
      <c r="C997" s="164" t="n"/>
      <c r="D997" s="164" t="n"/>
      <c r="E997" s="164" t="n"/>
      <c r="F997" s="164" t="n"/>
      <c r="G997" s="164" t="n"/>
      <c r="H997" s="164" t="n"/>
      <c r="I997" s="164" t="n"/>
      <c r="J997" s="164" t="n"/>
      <c r="K997" s="164" t="n"/>
      <c r="L997" s="164" t="n"/>
      <c r="M997" s="164" t="n"/>
      <c r="N997" s="164" t="n"/>
      <c r="O997" s="164" t="n"/>
      <c r="P997" s="164" t="n"/>
      <c r="Q997" s="204" t="n"/>
      <c r="R997" s="164" t="n"/>
      <c r="S997" s="164" t="n"/>
      <c r="T997" s="164" t="n"/>
      <c r="U997" s="164" t="n"/>
      <c r="V997" s="164" t="n"/>
      <c r="W997" s="164" t="n"/>
      <c r="X997" s="164" t="n"/>
      <c r="Y997" s="164" t="n"/>
      <c r="Z997" s="164" t="n"/>
      <c r="AA997" s="164" t="n"/>
      <c r="AB997" s="164" t="n"/>
      <c r="AC997" s="164" t="n"/>
    </row>
    <row r="998">
      <c r="A998" s="164" t="n"/>
      <c r="B998" s="164" t="n"/>
      <c r="C998" s="164" t="n"/>
      <c r="D998" s="164" t="n"/>
      <c r="E998" s="164" t="n"/>
      <c r="F998" s="164" t="n"/>
      <c r="G998" s="164" t="n"/>
      <c r="H998" s="164" t="n"/>
      <c r="I998" s="164" t="n"/>
      <c r="J998" s="164" t="n"/>
      <c r="K998" s="164" t="n"/>
      <c r="L998" s="164" t="n"/>
      <c r="M998" s="164" t="n"/>
      <c r="N998" s="164" t="n"/>
      <c r="O998" s="164" t="n"/>
      <c r="P998" s="164" t="n"/>
      <c r="Q998" s="204" t="n"/>
      <c r="R998" s="164" t="n"/>
      <c r="S998" s="164" t="n"/>
      <c r="T998" s="164" t="n"/>
      <c r="U998" s="164" t="n"/>
      <c r="V998" s="164" t="n"/>
      <c r="W998" s="164" t="n"/>
      <c r="X998" s="164" t="n"/>
      <c r="Y998" s="164" t="n"/>
      <c r="Z998" s="164" t="n"/>
      <c r="AA998" s="164" t="n"/>
      <c r="AB998" s="164" t="n"/>
      <c r="AC998" s="164" t="n"/>
    </row>
    <row r="999">
      <c r="A999" s="164" t="n"/>
      <c r="B999" s="164" t="n"/>
      <c r="C999" s="164" t="n"/>
      <c r="D999" s="164" t="n"/>
      <c r="E999" s="164" t="n"/>
      <c r="F999" s="164" t="n"/>
      <c r="G999" s="164" t="n"/>
      <c r="H999" s="164" t="n"/>
      <c r="I999" s="164" t="n"/>
      <c r="J999" s="164" t="n"/>
      <c r="K999" s="164" t="n"/>
      <c r="L999" s="164" t="n"/>
      <c r="M999" s="164" t="n"/>
      <c r="N999" s="164" t="n"/>
      <c r="O999" s="164" t="n"/>
      <c r="P999" s="164" t="n"/>
      <c r="Q999" s="204" t="n"/>
      <c r="R999" s="164" t="n"/>
      <c r="S999" s="164" t="n"/>
      <c r="T999" s="164" t="n"/>
      <c r="U999" s="164" t="n"/>
      <c r="V999" s="164" t="n"/>
      <c r="W999" s="164" t="n"/>
      <c r="X999" s="164" t="n"/>
      <c r="Y999" s="164" t="n"/>
      <c r="Z999" s="164" t="n"/>
      <c r="AA999" s="164" t="n"/>
      <c r="AB999" s="164" t="n"/>
      <c r="AC999" s="164" t="n"/>
    </row>
    <row r="1000">
      <c r="A1000" s="164" t="n"/>
      <c r="B1000" s="164" t="n"/>
      <c r="C1000" s="164" t="n"/>
      <c r="D1000" s="164" t="n"/>
      <c r="E1000" s="164" t="n"/>
      <c r="F1000" s="164" t="n"/>
      <c r="G1000" s="164" t="n"/>
      <c r="H1000" s="164" t="n"/>
      <c r="I1000" s="164" t="n"/>
      <c r="J1000" s="164" t="n"/>
      <c r="K1000" s="164" t="n"/>
      <c r="L1000" s="164" t="n"/>
      <c r="M1000" s="164" t="n"/>
      <c r="N1000" s="164" t="n"/>
      <c r="O1000" s="164" t="n"/>
      <c r="P1000" s="164" t="n"/>
      <c r="Q1000" s="204" t="n"/>
      <c r="R1000" s="164" t="n"/>
      <c r="S1000" s="164" t="n"/>
      <c r="T1000" s="164" t="n"/>
      <c r="U1000" s="164" t="n"/>
      <c r="V1000" s="164" t="n"/>
      <c r="W1000" s="164" t="n"/>
      <c r="X1000" s="164" t="n"/>
      <c r="Y1000" s="164" t="n"/>
      <c r="Z1000" s="164" t="n"/>
      <c r="AA1000" s="164" t="n"/>
      <c r="AB1000" s="164" t="n"/>
      <c r="AC1000" s="164" t="n"/>
    </row>
    <row r="1001">
      <c r="A1001" s="164" t="n"/>
      <c r="B1001" s="164" t="n"/>
      <c r="C1001" s="164" t="n"/>
      <c r="D1001" s="164" t="n"/>
      <c r="E1001" s="164" t="n"/>
      <c r="F1001" s="164" t="n"/>
      <c r="G1001" s="164" t="n"/>
      <c r="H1001" s="164" t="n"/>
      <c r="I1001" s="164" t="n"/>
      <c r="J1001" s="164" t="n"/>
      <c r="K1001" s="164" t="n"/>
      <c r="L1001" s="164" t="n"/>
      <c r="M1001" s="164" t="n"/>
      <c r="N1001" s="164" t="n"/>
      <c r="O1001" s="164" t="n"/>
      <c r="P1001" s="164" t="n"/>
      <c r="Q1001" s="204" t="n"/>
      <c r="R1001" s="164" t="n"/>
      <c r="S1001" s="164" t="n"/>
      <c r="T1001" s="164" t="n"/>
      <c r="U1001" s="164" t="n"/>
      <c r="V1001" s="164" t="n"/>
      <c r="W1001" s="164" t="n"/>
      <c r="X1001" s="164" t="n"/>
      <c r="Y1001" s="164" t="n"/>
      <c r="Z1001" s="164" t="n"/>
      <c r="AA1001" s="164" t="n"/>
      <c r="AB1001" s="164" t="n"/>
      <c r="AC1001" s="164" t="n"/>
    </row>
    <row r="1002">
      <c r="A1002" s="164" t="n"/>
      <c r="B1002" s="164" t="n"/>
      <c r="C1002" s="164" t="n"/>
      <c r="D1002" s="164" t="n"/>
      <c r="E1002" s="164" t="n"/>
      <c r="F1002" s="164" t="n"/>
      <c r="G1002" s="164" t="n"/>
      <c r="H1002" s="164" t="n"/>
      <c r="I1002" s="164" t="n"/>
      <c r="J1002" s="164" t="n"/>
      <c r="K1002" s="164" t="n"/>
      <c r="L1002" s="164" t="n"/>
      <c r="M1002" s="164" t="n"/>
      <c r="N1002" s="164" t="n"/>
      <c r="O1002" s="164" t="n"/>
      <c r="P1002" s="164" t="n"/>
      <c r="Q1002" s="204" t="n"/>
      <c r="R1002" s="164" t="n"/>
      <c r="S1002" s="164" t="n"/>
      <c r="T1002" s="164" t="n"/>
      <c r="U1002" s="164" t="n"/>
      <c r="V1002" s="164" t="n"/>
      <c r="W1002" s="164" t="n"/>
      <c r="X1002" s="164" t="n"/>
      <c r="Y1002" s="164" t="n"/>
      <c r="Z1002" s="164" t="n"/>
      <c r="AA1002" s="164" t="n"/>
      <c r="AB1002" s="164" t="n"/>
      <c r="AC1002" s="164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39" min="1" max="1"/>
    <col width="13.75" customWidth="1" style="239" min="2" max="2"/>
  </cols>
  <sheetData>
    <row r="1">
      <c r="A1" s="127" t="inlineStr">
        <is>
          <t>Project</t>
        </is>
      </c>
      <c r="B1" s="203">
        <f>"Update to: " &amp; DAY(NOW())</f>
        <v/>
      </c>
      <c r="C1" s="124" t="n">
        <v>46143</v>
      </c>
      <c r="D1" s="124" t="n">
        <v>46174</v>
      </c>
      <c r="E1" s="124" t="n">
        <v>46204</v>
      </c>
      <c r="F1" s="124" t="n">
        <v>46235</v>
      </c>
      <c r="G1" s="124" t="n">
        <v>46266</v>
      </c>
      <c r="H1" s="124" t="n">
        <v>46296</v>
      </c>
      <c r="I1" s="157" t="inlineStr">
        <is>
          <t>VS. SPLM</t>
        </is>
      </c>
      <c r="J1" s="127" t="inlineStr">
        <is>
          <t>Full Month</t>
        </is>
      </c>
      <c r="K1" s="124" t="n">
        <v>46143</v>
      </c>
      <c r="L1" s="124" t="n">
        <v>46174</v>
      </c>
      <c r="M1" s="124" t="n">
        <v>46204</v>
      </c>
      <c r="N1" s="124" t="n">
        <v>46235</v>
      </c>
      <c r="O1" s="124" t="n">
        <v>46266</v>
      </c>
      <c r="P1" s="124" t="n">
        <v>46296</v>
      </c>
      <c r="Q1" s="201" t="inlineStr">
        <is>
          <t>VS. LM</t>
        </is>
      </c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  <c r="AC1" s="164" t="n"/>
    </row>
    <row r="2">
      <c r="A2" s="164" t="inlineStr">
        <is>
          <t>Traffic (Page Views)</t>
        </is>
      </c>
      <c r="B2" s="164" t="n"/>
      <c r="C2" s="50">
        <f>sum(C6,C13)</f>
        <v/>
      </c>
      <c r="D2" s="50">
        <f>sum(D6,D13)</f>
        <v/>
      </c>
      <c r="E2" s="50">
        <f>sum(E6,E13)</f>
        <v/>
      </c>
      <c r="F2" s="50">
        <f>sum(F6,F13)</f>
        <v/>
      </c>
      <c r="G2" s="50">
        <f>sum(G6,G13)</f>
        <v/>
      </c>
      <c r="H2" s="50">
        <f>sum(H6,H13)</f>
        <v/>
      </c>
      <c r="I2" s="50">
        <f>H2-G2</f>
        <v/>
      </c>
      <c r="J2" s="50" t="n"/>
      <c r="K2" s="50">
        <f>sum(K6,K13)</f>
        <v/>
      </c>
      <c r="L2" s="50">
        <f>sum(L6,L13)</f>
        <v/>
      </c>
      <c r="M2" s="50">
        <f>sum(M6,M13)</f>
        <v/>
      </c>
      <c r="N2" s="50">
        <f>sum(N6,N13)</f>
        <v/>
      </c>
      <c r="O2" s="50">
        <f>sum(O6,O13)</f>
        <v/>
      </c>
      <c r="P2" s="50">
        <f>sum(P6,P13)</f>
        <v/>
      </c>
      <c r="Q2" s="202">
        <f>P2-O2</f>
        <v/>
      </c>
      <c r="R2" s="164" t="n"/>
      <c r="S2" s="164" t="n"/>
      <c r="T2" s="164" t="n"/>
      <c r="U2" s="164" t="n"/>
      <c r="V2" s="164" t="n"/>
      <c r="W2" s="164" t="n"/>
      <c r="X2" s="164" t="n"/>
      <c r="Y2" s="164" t="n"/>
      <c r="Z2" s="164" t="n"/>
      <c r="AA2" s="164" t="n"/>
      <c r="AB2" s="164" t="n"/>
      <c r="AC2" s="164" t="n"/>
    </row>
    <row r="3">
      <c r="A3" s="130" t="inlineStr">
        <is>
          <t xml:space="preserve">   Net change</t>
        </is>
      </c>
      <c r="B3" s="164" t="n"/>
      <c r="C3" s="50">
        <f>C2-0</f>
        <v/>
      </c>
      <c r="D3" s="50">
        <f>D2-C2</f>
        <v/>
      </c>
      <c r="E3" s="50">
        <f>E2-D2</f>
        <v/>
      </c>
      <c r="F3" s="50">
        <f>F2-E2</f>
        <v/>
      </c>
      <c r="G3" s="50">
        <f>G2-F2</f>
        <v/>
      </c>
      <c r="H3" s="50">
        <f>H2-G2</f>
        <v/>
      </c>
      <c r="I3" s="50" t="n"/>
      <c r="J3" s="50" t="n"/>
      <c r="K3" s="50">
        <f>K2-0</f>
        <v/>
      </c>
      <c r="L3" s="50">
        <f>L2-K2</f>
        <v/>
      </c>
      <c r="M3" s="50">
        <f>M2-L2</f>
        <v/>
      </c>
      <c r="N3" s="50">
        <f>N2-M2</f>
        <v/>
      </c>
      <c r="O3" s="50">
        <f>O2-N2</f>
        <v/>
      </c>
      <c r="P3" s="50">
        <f>P2-O2</f>
        <v/>
      </c>
      <c r="Q3" s="50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64" t="n"/>
      <c r="AC3" s="164" t="n"/>
    </row>
    <row r="4">
      <c r="A4" s="130" t="inlineStr">
        <is>
          <t xml:space="preserve">   Growth Rate (%)</t>
        </is>
      </c>
      <c r="B4" s="164" t="n"/>
      <c r="C4" s="152" t="n"/>
      <c r="D4" s="152">
        <f>(D2/C2)-1</f>
        <v/>
      </c>
      <c r="E4" s="152">
        <f>(E2/D2)-1</f>
        <v/>
      </c>
      <c r="F4" s="152">
        <f>(F2/E2)-1</f>
        <v/>
      </c>
      <c r="G4" s="152" t="n"/>
      <c r="H4" s="152" t="n"/>
      <c r="I4" s="152">
        <f>F4-E4</f>
        <v/>
      </c>
      <c r="J4" s="50" t="n"/>
      <c r="K4" s="206" t="n"/>
      <c r="L4" s="207">
        <f>L2/K2</f>
        <v/>
      </c>
      <c r="M4" s="207">
        <f>M2/L2</f>
        <v/>
      </c>
      <c r="N4" s="207">
        <f>N2/M2</f>
        <v/>
      </c>
      <c r="O4" s="207">
        <f>O2/N2</f>
        <v/>
      </c>
      <c r="P4" s="207">
        <f>P2/O2</f>
        <v/>
      </c>
      <c r="Q4" s="206">
        <f>N4-M4</f>
        <v/>
      </c>
      <c r="R4" s="164" t="n"/>
      <c r="S4" s="164" t="n"/>
      <c r="T4" s="164" t="n"/>
      <c r="U4" s="164" t="n"/>
      <c r="V4" s="164" t="n"/>
      <c r="W4" s="164" t="n"/>
      <c r="X4" s="164" t="n"/>
      <c r="Y4" s="164" t="n"/>
      <c r="Z4" s="164" t="n"/>
      <c r="AA4" s="164" t="n"/>
      <c r="AB4" s="164" t="n"/>
      <c r="AC4" s="164" t="n"/>
    </row>
    <row r="5">
      <c r="A5" s="164" t="n"/>
      <c r="B5" s="164" t="n"/>
      <c r="C5" s="157" t="n"/>
      <c r="D5" s="157" t="n"/>
      <c r="E5" s="157" t="n"/>
      <c r="F5" s="157" t="n"/>
      <c r="G5" s="157" t="n"/>
      <c r="H5" s="157" t="n"/>
      <c r="I5" s="50" t="n"/>
      <c r="J5" s="164" t="n"/>
      <c r="K5" s="157" t="n"/>
      <c r="L5" s="157" t="n"/>
      <c r="M5" s="157" t="n"/>
      <c r="N5" s="157" t="n"/>
      <c r="O5" s="157" t="n"/>
      <c r="P5" s="157" t="n"/>
      <c r="Q5" s="202" t="n"/>
      <c r="R5" s="164" t="n"/>
      <c r="S5" s="164" t="n"/>
      <c r="T5" s="164" t="n"/>
      <c r="U5" s="164" t="n"/>
      <c r="V5" s="164" t="n"/>
      <c r="W5" s="164" t="n"/>
      <c r="X5" s="164" t="n"/>
      <c r="Y5" s="164" t="n"/>
      <c r="Z5" s="164" t="n"/>
      <c r="AA5" s="164" t="n"/>
      <c r="AB5" s="164" t="n"/>
      <c r="AC5" s="164" t="n"/>
    </row>
    <row r="6">
      <c r="A6" s="164" t="n"/>
      <c r="B6" s="164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0">
        <f>H6-G6</f>
        <v/>
      </c>
      <c r="J6" s="164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64" t="n"/>
      <c r="S6" s="164" t="n"/>
      <c r="T6" s="164" t="n"/>
      <c r="U6" s="164" t="n"/>
      <c r="V6" s="164" t="n"/>
      <c r="W6" s="164" t="n"/>
      <c r="X6" s="164" t="n"/>
      <c r="Y6" s="164" t="n"/>
      <c r="Z6" s="164" t="n"/>
      <c r="AA6" s="164" t="n"/>
      <c r="AB6" s="164" t="n"/>
      <c r="AC6" s="164" t="n"/>
    </row>
    <row r="7">
      <c r="A7" s="157" t="inlineStr">
        <is>
          <t>Student Hub</t>
        </is>
      </c>
      <c r="B7" s="158" t="inlineStr">
        <is>
          <t>Organic</t>
        </is>
      </c>
      <c r="C7" s="158">
        <f>SUMIFS('MTD Pivot'!D:D, 'MTD Pivot'!$A:$A, "Student Hub", 'MTD Pivot'!$C:$C, $B7)</f>
        <v/>
      </c>
      <c r="D7" s="158">
        <f>SUMIFS('MTD Pivot'!E:E, 'MTD Pivot'!$A:$A, "Student Hub", 'MTD Pivot'!$C:$C, $B7)</f>
        <v/>
      </c>
      <c r="E7" s="158">
        <f>SUMIFS('MTD Pivot'!F:F, 'MTD Pivot'!$A:$A, "Student Hub", 'MTD Pivot'!$C:$C, $B7)</f>
        <v/>
      </c>
      <c r="F7" s="158">
        <f>SUMIFS('MTD Pivot'!G:G, 'MTD Pivot'!$A:$A, "Student Hub", 'MTD Pivot'!$C:$C, $B7)</f>
        <v/>
      </c>
      <c r="G7" s="158">
        <f>SUMIFS('MTD Pivot'!H:H, 'MTD Pivot'!$A:$A, "Student Hub", 'MTD Pivot'!$C:$C, $B7)</f>
        <v/>
      </c>
      <c r="H7" s="158">
        <f>SUMIFS('MTD Pivot'!I:I, 'MTD Pivot'!$A:$A, "Student Hub", 'MTD Pivot'!$C:$C, $B7)</f>
        <v/>
      </c>
      <c r="I7" s="50">
        <f>H7-G7</f>
        <v/>
      </c>
      <c r="J7" s="164" t="n"/>
      <c r="K7" s="158">
        <f>SUMIFS('Full month Pivot'!D:D, 'Full month Pivot'!$A:$A, "Student Hub", 'Full month Pivot'!$C:$C, $B7)</f>
        <v/>
      </c>
      <c r="L7" s="158">
        <f>SUMIFS('Full month Pivot'!E:E, 'Full month Pivot'!$A:$A, "Student Hub", 'Full month Pivot'!$C:$C, $B7)</f>
        <v/>
      </c>
      <c r="M7" s="158">
        <f>SUMIFS('Full month Pivot'!F:F, 'Full month Pivot'!$A:$A, "Student Hub", 'Full month Pivot'!$C:$C, $B7)</f>
        <v/>
      </c>
      <c r="N7" s="158">
        <f>SUMIFS('Full month Pivot'!G:G, 'Full month Pivot'!$A:$A, "Student Hub", 'Full month Pivot'!$C:$C, $B7)</f>
        <v/>
      </c>
      <c r="O7" s="158">
        <f>SUMIFS('Full month Pivot'!H:H, 'Full month Pivot'!$A:$A, "Student Hub", 'Full month Pivot'!$C:$C, $B7)</f>
        <v/>
      </c>
      <c r="P7" s="158">
        <f>SUMIFS('Full month Pivot'!I:I, 'Full month Pivot'!$A:$A, "Student Hub", 'Full month Pivot'!$C:$C, $B7)</f>
        <v/>
      </c>
      <c r="Q7" s="202">
        <f>P7-O7</f>
        <v/>
      </c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  <c r="AB7" s="164" t="n"/>
      <c r="AC7" s="164" t="n"/>
    </row>
    <row r="8">
      <c r="A8" s="165" t="n"/>
      <c r="B8" s="158" t="inlineStr">
        <is>
          <t>Direct</t>
        </is>
      </c>
      <c r="C8" s="158">
        <f>SUMIFS('MTD Pivot'!D:D, 'MTD Pivot'!$A:$A, "Student Hub", 'MTD Pivot'!$C:$C, $B8)</f>
        <v/>
      </c>
      <c r="D8" s="158">
        <f>SUMIFS('MTD Pivot'!E:E, 'MTD Pivot'!$A:$A, "Student Hub", 'MTD Pivot'!$C:$C, $B8)</f>
        <v/>
      </c>
      <c r="E8" s="158">
        <f>SUMIFS('MTD Pivot'!F:F, 'MTD Pivot'!$A:$A, "Student Hub", 'MTD Pivot'!$C:$C, $B8)</f>
        <v/>
      </c>
      <c r="F8" s="158">
        <f>SUMIFS('MTD Pivot'!G:G, 'MTD Pivot'!$A:$A, "Student Hub", 'MTD Pivot'!$C:$C, $B8)</f>
        <v/>
      </c>
      <c r="G8" s="158">
        <f>SUMIFS('MTD Pivot'!H:H, 'MTD Pivot'!$A:$A, "Student Hub", 'MTD Pivot'!$C:$C, $B8)</f>
        <v/>
      </c>
      <c r="H8" s="158">
        <f>SUMIFS('MTD Pivot'!I:I, 'MTD Pivot'!$A:$A, "Student Hub", 'MTD Pivot'!$C:$C, $B8)</f>
        <v/>
      </c>
      <c r="I8" s="50">
        <f>H8-G8</f>
        <v/>
      </c>
      <c r="J8" s="164" t="n"/>
      <c r="K8" s="158">
        <f>SUMIFS('Full month Pivot'!D:D, 'Full month Pivot'!$A:$A, "Student Hub", 'Full month Pivot'!$C:$C, $B8)</f>
        <v/>
      </c>
      <c r="L8" s="158">
        <f>SUMIFS('Full month Pivot'!E:E, 'Full month Pivot'!$A:$A, "Student Hub", 'Full month Pivot'!$C:$C, $B8)</f>
        <v/>
      </c>
      <c r="M8" s="158">
        <f>SUMIFS('Full month Pivot'!F:F, 'Full month Pivot'!$A:$A, "Student Hub", 'Full month Pivot'!$C:$C, $B8)</f>
        <v/>
      </c>
      <c r="N8" s="158">
        <f>SUMIFS('Full month Pivot'!G:G, 'Full month Pivot'!$A:$A, "Student Hub", 'Full month Pivot'!$C:$C, $B8)</f>
        <v/>
      </c>
      <c r="O8" s="158">
        <f>SUMIFS('Full month Pivot'!H:H, 'Full month Pivot'!$A:$A, "Student Hub", 'Full month Pivot'!$C:$C, $B8)</f>
        <v/>
      </c>
      <c r="P8" s="158">
        <f>SUMIFS('Full month Pivot'!I:I, 'Full month Pivot'!$A:$A, "Student Hub", 'Full month Pivot'!$C:$C, $B8)</f>
        <v/>
      </c>
      <c r="Q8" s="202">
        <f>P8-O8</f>
        <v/>
      </c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  <c r="AA8" s="164" t="n"/>
      <c r="AB8" s="164" t="n"/>
      <c r="AC8" s="164" t="n"/>
    </row>
    <row r="9">
      <c r="A9" s="164" t="n"/>
      <c r="B9" s="158" t="inlineStr">
        <is>
          <t>Referral</t>
        </is>
      </c>
      <c r="C9" s="158">
        <f>SUMIFS('MTD Pivot'!D:D, 'MTD Pivot'!$A:$A, "Student Hub", 'MTD Pivot'!$C:$C, $B9)</f>
        <v/>
      </c>
      <c r="D9" s="158">
        <f>SUMIFS('MTD Pivot'!E:E, 'MTD Pivot'!$A:$A, "Student Hub", 'MTD Pivot'!$C:$C, $B9)</f>
        <v/>
      </c>
      <c r="E9" s="158">
        <f>SUMIFS('MTD Pivot'!F:F, 'MTD Pivot'!$A:$A, "Student Hub", 'MTD Pivot'!$C:$C, $B9)</f>
        <v/>
      </c>
      <c r="F9" s="158">
        <f>SUMIFS('MTD Pivot'!G:G, 'MTD Pivot'!$A:$A, "Student Hub", 'MTD Pivot'!$C:$C, $B9)</f>
        <v/>
      </c>
      <c r="G9" s="158">
        <f>SUMIFS('MTD Pivot'!H:H, 'MTD Pivot'!$A:$A, "Student Hub", 'MTD Pivot'!$C:$C, $B9)</f>
        <v/>
      </c>
      <c r="H9" s="158">
        <f>SUMIFS('MTD Pivot'!I:I, 'MTD Pivot'!$A:$A, "Student Hub", 'MTD Pivot'!$C:$C, $B9)</f>
        <v/>
      </c>
      <c r="I9" s="50">
        <f>H9-G9</f>
        <v/>
      </c>
      <c r="J9" s="164" t="n"/>
      <c r="K9" s="158">
        <f>SUMIFS('Full month Pivot'!D:D, 'Full month Pivot'!$A:$A, "Student Hub", 'Full month Pivot'!$C:$C, $B9)</f>
        <v/>
      </c>
      <c r="L9" s="158">
        <f>SUMIFS('Full month Pivot'!E:E, 'Full month Pivot'!$A:$A, "Student Hub", 'Full month Pivot'!$C:$C, $B9)</f>
        <v/>
      </c>
      <c r="M9" s="158">
        <f>SUMIFS('Full month Pivot'!F:F, 'Full month Pivot'!$A:$A, "Student Hub", 'Full month Pivot'!$C:$C, $B9)</f>
        <v/>
      </c>
      <c r="N9" s="158">
        <f>SUMIFS('Full month Pivot'!G:G, 'Full month Pivot'!$A:$A, "Student Hub", 'Full month Pivot'!$C:$C, $B9)</f>
        <v/>
      </c>
      <c r="O9" s="158">
        <f>SUMIFS('Full month Pivot'!H:H, 'Full month Pivot'!$A:$A, "Student Hub", 'Full month Pivot'!$C:$C, $B9)</f>
        <v/>
      </c>
      <c r="P9" s="158">
        <f>SUMIFS('Full month Pivot'!I:I, 'Full month Pivot'!$A:$A, "Student Hub", 'Full month Pivot'!$C:$C, $B9)</f>
        <v/>
      </c>
      <c r="Q9" s="202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  <c r="AB9" s="164" t="n"/>
      <c r="AC9" s="164" t="n"/>
    </row>
    <row r="10">
      <c r="A10" s="164" t="n"/>
      <c r="B10" s="158" t="inlineStr">
        <is>
          <t>Paid</t>
        </is>
      </c>
      <c r="C10" s="158">
        <f>SUMIFS('MTD Pivot'!D:D, 'MTD Pivot'!$A:$A, "Student Hub", 'MTD Pivot'!$C:$C, $B10)</f>
        <v/>
      </c>
      <c r="D10" s="158">
        <f>SUMIFS('MTD Pivot'!E:E, 'MTD Pivot'!$A:$A, "Student Hub", 'MTD Pivot'!$C:$C, $B10)</f>
        <v/>
      </c>
      <c r="E10" s="158">
        <f>SUMIFS('MTD Pivot'!F:F, 'MTD Pivot'!$A:$A, "Student Hub", 'MTD Pivot'!$C:$C, $B10)</f>
        <v/>
      </c>
      <c r="F10" s="158">
        <f>SUMIFS('MTD Pivot'!G:G, 'MTD Pivot'!$A:$A, "Student Hub", 'MTD Pivot'!$C:$C, $B10)</f>
        <v/>
      </c>
      <c r="G10" s="158">
        <f>SUMIFS('MTD Pivot'!H:H, 'MTD Pivot'!$A:$A, "Student Hub", 'MTD Pivot'!$C:$C, $B10)</f>
        <v/>
      </c>
      <c r="H10" s="158">
        <f>SUMIFS('MTD Pivot'!I:I, 'MTD Pivot'!$A:$A, "Student Hub", 'MTD Pivot'!$C:$C, $B10)</f>
        <v/>
      </c>
      <c r="I10" s="50">
        <f>H10-G10</f>
        <v/>
      </c>
      <c r="J10" s="164" t="n"/>
      <c r="K10" s="158">
        <f>SUMIFS('Full month Pivot'!D:D, 'Full month Pivot'!$A:$A, "Student Hub", 'Full month Pivot'!$C:$C, $B10)</f>
        <v/>
      </c>
      <c r="L10" s="158">
        <f>SUMIFS('Full month Pivot'!E:E, 'Full month Pivot'!$A:$A, "Student Hub", 'Full month Pivot'!$C:$C, $B10)</f>
        <v/>
      </c>
      <c r="M10" s="158">
        <f>SUMIFS('Full month Pivot'!F:F, 'Full month Pivot'!$A:$A, "Student Hub", 'Full month Pivot'!$C:$C, $B10)</f>
        <v/>
      </c>
      <c r="N10" s="158">
        <f>SUMIFS('Full month Pivot'!G:G, 'Full month Pivot'!$A:$A, "Student Hub", 'Full month Pivot'!$C:$C, $B10)</f>
        <v/>
      </c>
      <c r="O10" s="158">
        <f>SUMIFS('Full month Pivot'!H:H, 'Full month Pivot'!$A:$A, "Student Hub", 'Full month Pivot'!$C:$C, $B10)</f>
        <v/>
      </c>
      <c r="P10" s="158">
        <f>SUMIFS('Full month Pivot'!I:I, 'Full month Pivot'!$A:$A, "Student Hub", 'Full month Pivot'!$C:$C, $B10)</f>
        <v/>
      </c>
      <c r="Q10" s="202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  <c r="AB10" s="164" t="n"/>
      <c r="AC10" s="164" t="n"/>
    </row>
    <row r="11">
      <c r="A11" s="164" t="n"/>
      <c r="B11" s="158" t="inlineStr">
        <is>
          <t>Others</t>
        </is>
      </c>
      <c r="C11" s="158">
        <f>SUMIFS('MTD Pivot'!D:D, 'MTD Pivot'!$A:$A, "Student Hub", 'MTD Pivot'!$C:$C, $B11)</f>
        <v/>
      </c>
      <c r="D11" s="158">
        <f>SUMIFS('MTD Pivot'!E:E, 'MTD Pivot'!$A:$A, "Student Hub", 'MTD Pivot'!$C:$C, $B11)</f>
        <v/>
      </c>
      <c r="E11" s="158">
        <f>SUMIFS('MTD Pivot'!F:F, 'MTD Pivot'!$A:$A, "Student Hub", 'MTD Pivot'!$C:$C, $B11)</f>
        <v/>
      </c>
      <c r="F11" s="158">
        <f>SUMIFS('MTD Pivot'!G:G, 'MTD Pivot'!$A:$A, "Student Hub", 'MTD Pivot'!$C:$C, $B11)</f>
        <v/>
      </c>
      <c r="G11" s="158">
        <f>SUMIFS('MTD Pivot'!H:H, 'MTD Pivot'!$A:$A, "Student Hub", 'MTD Pivot'!$C:$C, $B11)</f>
        <v/>
      </c>
      <c r="H11" s="158">
        <f>SUMIFS('MTD Pivot'!I:I, 'MTD Pivot'!$A:$A, "Student Hub", 'MTD Pivot'!$C:$C, $B11)</f>
        <v/>
      </c>
      <c r="I11" s="50">
        <f>H11-G11</f>
        <v/>
      </c>
      <c r="J11" s="164" t="n"/>
      <c r="K11" s="158">
        <f>SUMIFS('Full month Pivot'!D:D, 'Full month Pivot'!$A:$A, "Student Hub", 'Full month Pivot'!$C:$C, $B11)</f>
        <v/>
      </c>
      <c r="L11" s="158">
        <f>SUMIFS('Full month Pivot'!E:E, 'Full month Pivot'!$A:$A, "Student Hub", 'Full month Pivot'!$C:$C, $B11)</f>
        <v/>
      </c>
      <c r="M11" s="158">
        <f>SUMIFS('Full month Pivot'!F:F, 'Full month Pivot'!$A:$A, "Student Hub", 'Full month Pivot'!$C:$C, $B11)</f>
        <v/>
      </c>
      <c r="N11" s="158">
        <f>SUMIFS('Full month Pivot'!G:G, 'Full month Pivot'!$A:$A, "Student Hub", 'Full month Pivot'!$C:$C, $B11)</f>
        <v/>
      </c>
      <c r="O11" s="158">
        <f>SUMIFS('Full month Pivot'!H:H, 'Full month Pivot'!$A:$A, "Student Hub", 'Full month Pivot'!$C:$C, $B11)</f>
        <v/>
      </c>
      <c r="P11" s="158">
        <f>SUMIFS('Full month Pivot'!I:I, 'Full month Pivot'!$A:$A, "Student Hub", 'Full month Pivot'!$C:$C, $B11)</f>
        <v/>
      </c>
      <c r="Q11" s="202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  <c r="AB11" s="164" t="n"/>
      <c r="AC11" s="164" t="n"/>
    </row>
    <row r="12">
      <c r="A12" s="164" t="n"/>
      <c r="B12" s="50" t="n"/>
      <c r="C12" s="158" t="n"/>
      <c r="D12" s="158" t="n"/>
      <c r="E12" s="158" t="n"/>
      <c r="F12" s="158" t="n"/>
      <c r="G12" s="158" t="n"/>
      <c r="H12" s="158" t="n"/>
      <c r="I12" s="50" t="n"/>
      <c r="J12" s="164" t="n"/>
      <c r="K12" s="50" t="n"/>
      <c r="L12" s="50" t="n"/>
      <c r="M12" s="50" t="n"/>
      <c r="N12" s="50" t="n"/>
      <c r="O12" s="50" t="n"/>
      <c r="P12" s="50" t="n"/>
      <c r="Q12" s="202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</row>
    <row r="13">
      <c r="A13" s="157" t="inlineStr">
        <is>
          <t>Student Pass</t>
        </is>
      </c>
      <c r="B13" s="50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50">
        <f>H13-G13</f>
        <v/>
      </c>
      <c r="J13" s="164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  <c r="AB13" s="164" t="n"/>
      <c r="AC13" s="164" t="n"/>
    </row>
    <row r="14">
      <c r="A14" s="164" t="n"/>
      <c r="B14" s="158" t="inlineStr">
        <is>
          <t>Organic</t>
        </is>
      </c>
      <c r="C14" s="158">
        <f>SUMIFS('MTD Pivot'!D:D, 'MTD Pivot'!$A:$A, "Student Pass", 'MTD Pivot'!$C:$C, $B14)</f>
        <v/>
      </c>
      <c r="D14" s="158">
        <f>SUMIFS('MTD Pivot'!E:E, 'MTD Pivot'!$A:$A, "Student Pass", 'MTD Pivot'!$C:$C, $B14)</f>
        <v/>
      </c>
      <c r="E14" s="158">
        <f>SUMIFS('MTD Pivot'!F:F, 'MTD Pivot'!$A:$A, "Student Pass", 'MTD Pivot'!$C:$C, $B14)</f>
        <v/>
      </c>
      <c r="F14" s="158">
        <f>SUMIFS('MTD Pivot'!G:G, 'MTD Pivot'!$A:$A, "Student Pass", 'MTD Pivot'!$C:$C, $B14)</f>
        <v/>
      </c>
      <c r="G14" s="158">
        <f>SUMIFS('MTD Pivot'!H:H, 'MTD Pivot'!$A:$A, "Student Pass", 'MTD Pivot'!$C:$C, $B14)</f>
        <v/>
      </c>
      <c r="H14" s="158">
        <f>SUMIFS('MTD Pivot'!I:I, 'MTD Pivot'!$A:$A, "Student Pass", 'MTD Pivot'!$C:$C, $B14)</f>
        <v/>
      </c>
      <c r="I14" s="50">
        <f>H14-G14</f>
        <v/>
      </c>
      <c r="J14" s="164" t="n"/>
      <c r="K14" s="158">
        <f>SUMIFS('Full month Pivot'!D:D, 'Full month Pivot'!$A:$A, "Student Pass", 'Full month Pivot'!$C:$C, $B14)</f>
        <v/>
      </c>
      <c r="L14" s="158">
        <f>SUMIFS('Full month Pivot'!E:E, 'Full month Pivot'!$A:$A, "Student Pass", 'Full month Pivot'!$C:$C, $B14)</f>
        <v/>
      </c>
      <c r="M14" s="158">
        <f>SUMIFS('Full month Pivot'!F:F, 'Full month Pivot'!$A:$A, "Student Pass", 'Full month Pivot'!$C:$C, $B14)</f>
        <v/>
      </c>
      <c r="N14" s="158">
        <f>SUMIFS('Full month Pivot'!G:G, 'Full month Pivot'!$A:$A, "Student Pass", 'Full month Pivot'!$C:$C, $B14)</f>
        <v/>
      </c>
      <c r="O14" s="158">
        <f>SUMIFS('Full month Pivot'!H:H, 'Full month Pivot'!$A:$A, "Student Pass", 'Full month Pivot'!$C:$C, $B14)</f>
        <v/>
      </c>
      <c r="P14" s="158">
        <f>SUMIFS('Full month Pivot'!I:I, 'Full month Pivot'!$A:$A, "Student Pass", 'Full month Pivot'!$C:$C, $B14)</f>
        <v/>
      </c>
      <c r="Q14" s="202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  <c r="AB14" s="164" t="n"/>
      <c r="AC14" s="164" t="n"/>
    </row>
    <row r="15">
      <c r="A15" s="164" t="n"/>
      <c r="B15" s="158" t="inlineStr">
        <is>
          <t>Direct</t>
        </is>
      </c>
      <c r="C15" s="158">
        <f>SUMIFS('MTD Pivot'!D:D, 'MTD Pivot'!$A:$A, "Student Pass", 'MTD Pivot'!$C:$C, $B15)</f>
        <v/>
      </c>
      <c r="D15" s="158">
        <f>SUMIFS('MTD Pivot'!E:E, 'MTD Pivot'!$A:$A, "Student Pass", 'MTD Pivot'!$C:$C, $B15)</f>
        <v/>
      </c>
      <c r="E15" s="158">
        <f>SUMIFS('MTD Pivot'!F:F, 'MTD Pivot'!$A:$A, "Student Pass", 'MTD Pivot'!$C:$C, $B15)</f>
        <v/>
      </c>
      <c r="F15" s="158">
        <f>SUMIFS('MTD Pivot'!G:G, 'MTD Pivot'!$A:$A, "Student Pass", 'MTD Pivot'!$C:$C, $B15)</f>
        <v/>
      </c>
      <c r="G15" s="158">
        <f>SUMIFS('MTD Pivot'!H:H, 'MTD Pivot'!$A:$A, "Student Pass", 'MTD Pivot'!$C:$C, $B15)</f>
        <v/>
      </c>
      <c r="H15" s="158">
        <f>SUMIFS('MTD Pivot'!I:I, 'MTD Pivot'!$A:$A, "Student Pass", 'MTD Pivot'!$C:$C, $B15)</f>
        <v/>
      </c>
      <c r="I15" s="50">
        <f>H15-G15</f>
        <v/>
      </c>
      <c r="J15" s="164" t="n"/>
      <c r="K15" s="158">
        <f>SUMIFS('Full month Pivot'!D:D, 'Full month Pivot'!$A:$A, "Student Pass", 'Full month Pivot'!$C:$C, $B15)</f>
        <v/>
      </c>
      <c r="L15" s="158">
        <f>SUMIFS('Full month Pivot'!E:E, 'Full month Pivot'!$A:$A, "Student Pass", 'Full month Pivot'!$C:$C, $B15)</f>
        <v/>
      </c>
      <c r="M15" s="158">
        <f>SUMIFS('Full month Pivot'!F:F, 'Full month Pivot'!$A:$A, "Student Pass", 'Full month Pivot'!$C:$C, $B15)</f>
        <v/>
      </c>
      <c r="N15" s="158">
        <f>SUMIFS('Full month Pivot'!G:G, 'Full month Pivot'!$A:$A, "Student Pass", 'Full month Pivot'!$C:$C, $B15)</f>
        <v/>
      </c>
      <c r="O15" s="158">
        <f>SUMIFS('Full month Pivot'!H:H, 'Full month Pivot'!$A:$A, "Student Pass", 'Full month Pivot'!$C:$C, $B15)</f>
        <v/>
      </c>
      <c r="P15" s="158">
        <f>SUMIFS('Full month Pivot'!I:I, 'Full month Pivot'!$A:$A, "Student Pass", 'Full month Pivot'!$C:$C, $B15)</f>
        <v/>
      </c>
      <c r="Q15" s="202">
        <f>P15-O15</f>
        <v/>
      </c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  <c r="AA15" s="164" t="n"/>
      <c r="AB15" s="164" t="n"/>
      <c r="AC15" s="164" t="n"/>
    </row>
    <row r="16">
      <c r="A16" s="164" t="n"/>
      <c r="B16" s="158" t="inlineStr">
        <is>
          <t>Referral</t>
        </is>
      </c>
      <c r="C16" s="158">
        <f>SUMIFS('MTD Pivot'!D:D, 'MTD Pivot'!$A:$A, "Student Pass", 'MTD Pivot'!$C:$C, $B16)</f>
        <v/>
      </c>
      <c r="D16" s="158">
        <f>SUMIFS('MTD Pivot'!E:E, 'MTD Pivot'!$A:$A, "Student Pass", 'MTD Pivot'!$C:$C, $B16)</f>
        <v/>
      </c>
      <c r="E16" s="158">
        <f>SUMIFS('MTD Pivot'!F:F, 'MTD Pivot'!$A:$A, "Student Pass", 'MTD Pivot'!$C:$C, $B16)</f>
        <v/>
      </c>
      <c r="F16" s="158">
        <f>SUMIFS('MTD Pivot'!G:G, 'MTD Pivot'!$A:$A, "Student Pass", 'MTD Pivot'!$C:$C, $B16)</f>
        <v/>
      </c>
      <c r="G16" s="158">
        <f>SUMIFS('MTD Pivot'!H:H, 'MTD Pivot'!$A:$A, "Student Pass", 'MTD Pivot'!$C:$C, $B16)</f>
        <v/>
      </c>
      <c r="H16" s="158">
        <f>SUMIFS('MTD Pivot'!I:I, 'MTD Pivot'!$A:$A, "Student Pass", 'MTD Pivot'!$C:$C, $B16)</f>
        <v/>
      </c>
      <c r="I16" s="50">
        <f>H16-G16</f>
        <v/>
      </c>
      <c r="J16" s="164" t="n"/>
      <c r="K16" s="158">
        <f>SUMIFS('Full month Pivot'!D:D, 'Full month Pivot'!$A:$A, "Student Pass", 'Full month Pivot'!$C:$C, $B16)</f>
        <v/>
      </c>
      <c r="L16" s="158">
        <f>SUMIFS('Full month Pivot'!E:E, 'Full month Pivot'!$A:$A, "Student Pass", 'Full month Pivot'!$C:$C, $B16)</f>
        <v/>
      </c>
      <c r="M16" s="158">
        <f>SUMIFS('Full month Pivot'!F:F, 'Full month Pivot'!$A:$A, "Student Pass", 'Full month Pivot'!$C:$C, $B16)</f>
        <v/>
      </c>
      <c r="N16" s="158">
        <f>SUMIFS('Full month Pivot'!G:G, 'Full month Pivot'!$A:$A, "Student Pass", 'Full month Pivot'!$C:$C, $B16)</f>
        <v/>
      </c>
      <c r="O16" s="158">
        <f>SUMIFS('Full month Pivot'!H:H, 'Full month Pivot'!$A:$A, "Student Pass", 'Full month Pivot'!$C:$C, $B16)</f>
        <v/>
      </c>
      <c r="P16" s="158">
        <f>SUMIFS('Full month Pivot'!I:I, 'Full month Pivot'!$A:$A, "Student Pass", 'Full month Pivot'!$C:$C, $B16)</f>
        <v/>
      </c>
      <c r="Q16" s="202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</row>
    <row r="17">
      <c r="A17" s="164" t="n"/>
      <c r="B17" s="158" t="inlineStr">
        <is>
          <t>Paid</t>
        </is>
      </c>
      <c r="C17" s="158">
        <f>SUMIFS('MTD Pivot'!D:D, 'MTD Pivot'!$A:$A, "Student Pass", 'MTD Pivot'!$C:$C, $B17)</f>
        <v/>
      </c>
      <c r="D17" s="158">
        <f>SUMIFS('MTD Pivot'!E:E, 'MTD Pivot'!$A:$A, "Student Pass", 'MTD Pivot'!$C:$C, $B17)</f>
        <v/>
      </c>
      <c r="E17" s="158">
        <f>SUMIFS('MTD Pivot'!F:F, 'MTD Pivot'!$A:$A, "Student Pass", 'MTD Pivot'!$C:$C, $B17)</f>
        <v/>
      </c>
      <c r="F17" s="158">
        <f>SUMIFS('MTD Pivot'!G:G, 'MTD Pivot'!$A:$A, "Student Pass", 'MTD Pivot'!$C:$C, $B17)</f>
        <v/>
      </c>
      <c r="G17" s="158">
        <f>SUMIFS('MTD Pivot'!H:H, 'MTD Pivot'!$A:$A, "Student Pass", 'MTD Pivot'!$C:$C, $B17)</f>
        <v/>
      </c>
      <c r="H17" s="158">
        <f>SUMIFS('MTD Pivot'!I:I, 'MTD Pivot'!$A:$A, "Student Pass", 'MTD Pivot'!$C:$C, $B17)</f>
        <v/>
      </c>
      <c r="I17" s="50">
        <f>H17-G17</f>
        <v/>
      </c>
      <c r="J17" s="164" t="n"/>
      <c r="K17" s="158">
        <f>SUMIFS('Full month Pivot'!D:D, 'Full month Pivot'!$A:$A, "Student Pass", 'Full month Pivot'!$C:$C, $B17)</f>
        <v/>
      </c>
      <c r="L17" s="158">
        <f>SUMIFS('Full month Pivot'!E:E, 'Full month Pivot'!$A:$A, "Student Pass", 'Full month Pivot'!$C:$C, $B17)</f>
        <v/>
      </c>
      <c r="M17" s="158">
        <f>SUMIFS('Full month Pivot'!F:F, 'Full month Pivot'!$A:$A, "Student Pass", 'Full month Pivot'!$C:$C, $B17)</f>
        <v/>
      </c>
      <c r="N17" s="158">
        <f>SUMIFS('Full month Pivot'!G:G, 'Full month Pivot'!$A:$A, "Student Pass", 'Full month Pivot'!$C:$C, $B17)</f>
        <v/>
      </c>
      <c r="O17" s="158">
        <f>SUMIFS('Full month Pivot'!H:H, 'Full month Pivot'!$A:$A, "Student Pass", 'Full month Pivot'!$C:$C, $B17)</f>
        <v/>
      </c>
      <c r="P17" s="158">
        <f>SUMIFS('Full month Pivot'!I:I, 'Full month Pivot'!$A:$A, "Student Pass", 'Full month Pivot'!$C:$C, $B17)</f>
        <v/>
      </c>
      <c r="Q17" s="202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  <c r="AB17" s="164" t="n"/>
      <c r="AC17" s="164" t="n"/>
    </row>
    <row r="18">
      <c r="A18" s="164" t="n"/>
      <c r="B18" s="158" t="inlineStr">
        <is>
          <t>Others</t>
        </is>
      </c>
      <c r="C18" s="158">
        <f>SUMIFS('MTD Pivot'!D:D, 'MTD Pivot'!$A:$A, "Student Pass", 'MTD Pivot'!$C:$C, $B18)</f>
        <v/>
      </c>
      <c r="D18" s="158">
        <f>SUMIFS('MTD Pivot'!E:E, 'MTD Pivot'!$A:$A, "Student Pass", 'MTD Pivot'!$C:$C, $B18)</f>
        <v/>
      </c>
      <c r="E18" s="158">
        <f>SUMIFS('MTD Pivot'!F:F, 'MTD Pivot'!$A:$A, "Student Pass", 'MTD Pivot'!$C:$C, $B18)</f>
        <v/>
      </c>
      <c r="F18" s="158">
        <f>SUMIFS('MTD Pivot'!G:G, 'MTD Pivot'!$A:$A, "Student Pass", 'MTD Pivot'!$C:$C, $B18)</f>
        <v/>
      </c>
      <c r="G18" s="158">
        <f>SUMIFS('MTD Pivot'!H:H, 'MTD Pivot'!$A:$A, "Student Pass", 'MTD Pivot'!$C:$C, $B18)</f>
        <v/>
      </c>
      <c r="H18" s="158">
        <f>SUMIFS('MTD Pivot'!I:I, 'MTD Pivot'!$A:$A, "Student Pass", 'MTD Pivot'!$C:$C, $B18)</f>
        <v/>
      </c>
      <c r="I18" s="50">
        <f>H18-G18</f>
        <v/>
      </c>
      <c r="J18" s="164" t="n"/>
      <c r="K18" s="158">
        <f>SUMIFS('Full month Pivot'!D:D, 'Full month Pivot'!$A:$A, "Student Pass", 'Full month Pivot'!$C:$C, $B18)</f>
        <v/>
      </c>
      <c r="L18" s="158">
        <f>SUMIFS('Full month Pivot'!E:E, 'Full month Pivot'!$A:$A, "Student Pass", 'Full month Pivot'!$C:$C, $B18)</f>
        <v/>
      </c>
      <c r="M18" s="158">
        <f>SUMIFS('Full month Pivot'!F:F, 'Full month Pivot'!$A:$A, "Student Pass", 'Full month Pivot'!$C:$C, $B18)</f>
        <v/>
      </c>
      <c r="N18" s="158">
        <f>SUMIFS('Full month Pivot'!G:G, 'Full month Pivot'!$A:$A, "Student Pass", 'Full month Pivot'!$C:$C, $B18)</f>
        <v/>
      </c>
      <c r="O18" s="158">
        <f>SUMIFS('Full month Pivot'!H:H, 'Full month Pivot'!$A:$A, "Student Pass", 'Full month Pivot'!$C:$C, $B18)</f>
        <v/>
      </c>
      <c r="P18" s="158">
        <f>SUMIFS('Full month Pivot'!I:I, 'Full month Pivot'!$A:$A, "Student Pass", 'Full month Pivot'!$C:$C, $B18)</f>
        <v/>
      </c>
      <c r="Q18" s="202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  <c r="AB18" s="164" t="n"/>
      <c r="AC18" s="164" t="n"/>
    </row>
    <row r="19">
      <c r="A19" s="164" t="n"/>
      <c r="B19" s="164" t="n"/>
      <c r="C19" s="164" t="n"/>
      <c r="D19" s="164" t="n"/>
      <c r="E19" s="164" t="n"/>
      <c r="F19" s="164" t="n"/>
      <c r="G19" s="164" t="n"/>
      <c r="H19" s="164" t="n"/>
      <c r="I19" s="50" t="n"/>
      <c r="J19" s="164" t="n"/>
      <c r="K19" s="164" t="n"/>
      <c r="L19" s="164" t="n"/>
      <c r="M19" s="164" t="n"/>
      <c r="N19" s="164" t="n"/>
      <c r="O19" s="164" t="n"/>
      <c r="P19" s="164" t="n"/>
      <c r="Q19" s="202" t="n"/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  <c r="AB19" s="164" t="n"/>
      <c r="AC19" s="164" t="n"/>
    </row>
    <row r="20">
      <c r="A20" s="164" t="n"/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204" t="n"/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204" t="n"/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  <c r="AB21" s="164" t="n"/>
      <c r="AC21" s="164" t="n"/>
    </row>
    <row r="22">
      <c r="A22" s="164" t="n"/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204" t="n"/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  <c r="AA22" s="164" t="n"/>
      <c r="AB22" s="164" t="n"/>
      <c r="AC22" s="164" t="n"/>
    </row>
    <row r="23">
      <c r="A23" s="164" t="n"/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204" t="n"/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  <c r="AB23" s="164" t="n"/>
      <c r="AC23" s="164" t="n"/>
    </row>
    <row r="24">
      <c r="A24" s="164" t="n"/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204" t="n"/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  <c r="AB24" s="164" t="n"/>
      <c r="AC24" s="164" t="n"/>
    </row>
    <row r="25">
      <c r="A25" s="164" t="n"/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204" t="n"/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  <c r="AB25" s="164" t="n"/>
      <c r="AC25" s="164" t="n"/>
    </row>
    <row r="26">
      <c r="A26" s="164" t="n"/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204" t="n"/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  <c r="AB26" s="164" t="n"/>
      <c r="AC26" s="164" t="n"/>
    </row>
    <row r="27">
      <c r="A27" s="164" t="n"/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204" t="n"/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  <c r="AB27" s="164" t="n"/>
      <c r="AC27" s="164" t="n"/>
    </row>
    <row r="28">
      <c r="A28" s="164" t="n"/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204" t="n"/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  <c r="AB28" s="164" t="n"/>
      <c r="AC28" s="164" t="n"/>
    </row>
    <row r="29">
      <c r="A29" s="164" t="n"/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204" t="n"/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  <c r="AA29" s="164" t="n"/>
      <c r="AB29" s="164" t="n"/>
      <c r="AC29" s="164" t="n"/>
    </row>
    <row r="30">
      <c r="A30" s="164" t="n"/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204" t="n"/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  <c r="AB30" s="164" t="n"/>
      <c r="AC30" s="164" t="n"/>
    </row>
    <row r="31">
      <c r="A31" s="164" t="n"/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204" t="n"/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  <c r="AB31" s="164" t="n"/>
      <c r="AC31" s="164" t="n"/>
    </row>
    <row r="32">
      <c r="A32" s="164" t="n"/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204" t="n"/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  <c r="AB32" s="164" t="n"/>
      <c r="AC32" s="164" t="n"/>
    </row>
    <row r="33">
      <c r="A33" s="164" t="n"/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204" t="n"/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  <c r="AB33" s="164" t="n"/>
      <c r="AC33" s="164" t="n"/>
    </row>
    <row r="34">
      <c r="A34" s="164" t="n"/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204" t="n"/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  <c r="AB34" s="164" t="n"/>
      <c r="AC34" s="164" t="n"/>
    </row>
    <row r="35">
      <c r="A35" s="164" t="n"/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204" t="n"/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  <c r="AB35" s="164" t="n"/>
      <c r="AC35" s="164" t="n"/>
    </row>
    <row r="36">
      <c r="A36" s="164" t="n"/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204" t="n"/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  <c r="AA36" s="164" t="n"/>
      <c r="AB36" s="164" t="n"/>
      <c r="AC36" s="164" t="n"/>
    </row>
    <row r="37">
      <c r="A37" s="164" t="n"/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204" t="n"/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  <c r="AB37" s="164" t="n"/>
      <c r="AC37" s="164" t="n"/>
    </row>
    <row r="38">
      <c r="A38" s="164" t="n"/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204" t="n"/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  <c r="AB38" s="164" t="n"/>
      <c r="AC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204" t="n"/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  <c r="AB39" s="164" t="n"/>
      <c r="AC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204" t="n"/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  <c r="AB40" s="164" t="n"/>
      <c r="AC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204" t="n"/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  <c r="AB41" s="164" t="n"/>
      <c r="AC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204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  <c r="AB42" s="164" t="n"/>
      <c r="AC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204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  <c r="AA43" s="164" t="n"/>
      <c r="AB43" s="164" t="n"/>
      <c r="AC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204" t="n"/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  <c r="AB44" s="164" t="n"/>
      <c r="AC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204" t="n"/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  <c r="AB45" s="164" t="n"/>
      <c r="AC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204" t="n"/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  <c r="AB46" s="164" t="n"/>
      <c r="AC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204" t="n"/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  <c r="AB47" s="164" t="n"/>
      <c r="AC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20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20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  <c r="AB49" s="164" t="n"/>
      <c r="AC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204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  <c r="AA50" s="164" t="n"/>
      <c r="AB50" s="164" t="n"/>
      <c r="AC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204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  <c r="AB51" s="164" t="n"/>
      <c r="AC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204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  <c r="AB52" s="164" t="n"/>
      <c r="AC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204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  <c r="AB53" s="164" t="n"/>
      <c r="AC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204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  <c r="AB54" s="164" t="n"/>
      <c r="AC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20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20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  <c r="AB56" s="164" t="n"/>
      <c r="AC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20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204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  <c r="AB58" s="164" t="n"/>
      <c r="AC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204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  <c r="AB59" s="164" t="n"/>
      <c r="AC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204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  <c r="AB60" s="164" t="n"/>
      <c r="AC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204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  <c r="AB61" s="164" t="n"/>
      <c r="AC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204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20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20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204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  <c r="AB65" s="164" t="n"/>
      <c r="AC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204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  <c r="AB66" s="164" t="n"/>
      <c r="AC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20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204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  <c r="AB68" s="164" t="n"/>
      <c r="AC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204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  <c r="AB69" s="164" t="n"/>
      <c r="AC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20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  <c r="AB70" s="164" t="n"/>
      <c r="AC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204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  <c r="AA71" s="164" t="n"/>
      <c r="AB71" s="164" t="n"/>
      <c r="AC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20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204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  <c r="AB73" s="164" t="n"/>
      <c r="AC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204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  <c r="AB74" s="164" t="n"/>
      <c r="AC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204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  <c r="AB75" s="164" t="n"/>
      <c r="AC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204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  <c r="AB76" s="164" t="n"/>
      <c r="AC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20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  <c r="AB77" s="164" t="n"/>
      <c r="AC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204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  <c r="AA78" s="164" t="n"/>
      <c r="AB78" s="164" t="n"/>
      <c r="AC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204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204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  <c r="AB80" s="164" t="n"/>
      <c r="AC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204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  <c r="AB81" s="164" t="n"/>
      <c r="AC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204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  <c r="AB82" s="164" t="n"/>
      <c r="AC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204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  <c r="AB83" s="164" t="n"/>
      <c r="AC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204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  <c r="AA84" s="164" t="n"/>
      <c r="AB84" s="164" t="n"/>
      <c r="AC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204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  <c r="AA85" s="164" t="n"/>
      <c r="AB85" s="164" t="n"/>
      <c r="AC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204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  <c r="AA86" s="164" t="n"/>
      <c r="AB86" s="164" t="n"/>
      <c r="AC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204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  <c r="AA87" s="164" t="n"/>
      <c r="AB87" s="164" t="n"/>
      <c r="AC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204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  <c r="AB88" s="164" t="n"/>
      <c r="AC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204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  <c r="AB89" s="164" t="n"/>
      <c r="AC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204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  <c r="AB90" s="164" t="n"/>
      <c r="AC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20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204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  <c r="AB92" s="164" t="n"/>
      <c r="AC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204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  <c r="AB93" s="164" t="n"/>
      <c r="AC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204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  <c r="AB94" s="164" t="n"/>
      <c r="AC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20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204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  <c r="AB96" s="164" t="n"/>
      <c r="AC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204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20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  <c r="AB98" s="164" t="n"/>
      <c r="AC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20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  <c r="AB99" s="164" t="n"/>
      <c r="AC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20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  <c r="AB100" s="164" t="n"/>
      <c r="AC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20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  <c r="AB101" s="164" t="n"/>
      <c r="AC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20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  <c r="AB102" s="164" t="n"/>
      <c r="AC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20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  <c r="AB103" s="164" t="n"/>
      <c r="AC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20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  <c r="AB104" s="164" t="n"/>
      <c r="AC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20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  <c r="AB105" s="164" t="n"/>
      <c r="AC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20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20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  <c r="AB107" s="164" t="n"/>
      <c r="AC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20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  <c r="AB108" s="164" t="n"/>
      <c r="AC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20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  <c r="AB109" s="164" t="n"/>
      <c r="AC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20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  <c r="AB110" s="164" t="n"/>
      <c r="AC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20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  <c r="AB111" s="164" t="n"/>
      <c r="AC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20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  <c r="AB112" s="164" t="n"/>
      <c r="AC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20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  <c r="AB113" s="164" t="n"/>
      <c r="AC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20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  <c r="AB114" s="164" t="n"/>
      <c r="AC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20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  <c r="AB115" s="164" t="n"/>
      <c r="AC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20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20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  <c r="AB117" s="164" t="n"/>
      <c r="AC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20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20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  <c r="AB119" s="164" t="n"/>
      <c r="AC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20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  <c r="AB120" s="164" t="n"/>
      <c r="AC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20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  <c r="AB121" s="164" t="n"/>
      <c r="AC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20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20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20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  <c r="AB124" s="164" t="n"/>
      <c r="AC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20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  <c r="AB125" s="164" t="n"/>
      <c r="AC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20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  <c r="AB126" s="164" t="n"/>
      <c r="AC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20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  <c r="AB127" s="164" t="n"/>
      <c r="AC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20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  <c r="AB128" s="164" t="n"/>
      <c r="AC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20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20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  <c r="AB130" s="164" t="n"/>
      <c r="AC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20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  <c r="AB131" s="164" t="n"/>
      <c r="AC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20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  <c r="AB132" s="164" t="n"/>
      <c r="AC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20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  <c r="AB133" s="164" t="n"/>
      <c r="AC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20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  <c r="AB134" s="164" t="n"/>
      <c r="AC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20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  <c r="AB135" s="164" t="n"/>
      <c r="AC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20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  <c r="AB136" s="164" t="n"/>
      <c r="AC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20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  <c r="AB137" s="164" t="n"/>
      <c r="AC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20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  <c r="AB138" s="164" t="n"/>
      <c r="AC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20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  <c r="AB139" s="164" t="n"/>
      <c r="AC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20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  <c r="AB140" s="164" t="n"/>
      <c r="AC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20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  <c r="AB141" s="164" t="n"/>
      <c r="AC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20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  <c r="AB142" s="164" t="n"/>
      <c r="AC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20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  <c r="AB143" s="164" t="n"/>
      <c r="AC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20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  <c r="AB144" s="164" t="n"/>
      <c r="AC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20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  <c r="AB145" s="164" t="n"/>
      <c r="AC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20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  <c r="AB146" s="164" t="n"/>
      <c r="AC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20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  <c r="AB147" s="164" t="n"/>
      <c r="AC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20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  <c r="AB148" s="164" t="n"/>
      <c r="AC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20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  <c r="AB149" s="164" t="n"/>
      <c r="AC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20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  <c r="AB150" s="164" t="n"/>
      <c r="AC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20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  <c r="AB151" s="164" t="n"/>
      <c r="AC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20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  <c r="AB152" s="164" t="n"/>
      <c r="AC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20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  <c r="AB153" s="164" t="n"/>
      <c r="AC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20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  <c r="AB154" s="164" t="n"/>
      <c r="AC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20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  <c r="AB155" s="164" t="n"/>
      <c r="AC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20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  <c r="AB156" s="164" t="n"/>
      <c r="AC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20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  <c r="AB157" s="164" t="n"/>
      <c r="AC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20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  <c r="AB158" s="164" t="n"/>
      <c r="AC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20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  <c r="AB159" s="164" t="n"/>
      <c r="AC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20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  <c r="AB160" s="164" t="n"/>
      <c r="AC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20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  <c r="AB161" s="164" t="n"/>
      <c r="AC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20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  <c r="AB162" s="164" t="n"/>
      <c r="AC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20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  <c r="AB163" s="164" t="n"/>
      <c r="AC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20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  <c r="AB164" s="164" t="n"/>
      <c r="AC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20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  <c r="AB165" s="164" t="n"/>
      <c r="AC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20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  <c r="AB166" s="164" t="n"/>
      <c r="AC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20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20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  <c r="AB168" s="164" t="n"/>
      <c r="AC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20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  <c r="AB169" s="164" t="n"/>
      <c r="AC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20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  <c r="AB170" s="164" t="n"/>
      <c r="AC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20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  <c r="AB171" s="164" t="n"/>
      <c r="AC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20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  <c r="AB172" s="164" t="n"/>
      <c r="AC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20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  <c r="AB173" s="164" t="n"/>
      <c r="AC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20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  <c r="AB174" s="164" t="n"/>
      <c r="AC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20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  <c r="AB175" s="164" t="n"/>
      <c r="AC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20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  <c r="AB176" s="164" t="n"/>
      <c r="AC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20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  <c r="AB177" s="164" t="n"/>
      <c r="AC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20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  <c r="AB178" s="164" t="n"/>
      <c r="AC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20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  <c r="AB179" s="164" t="n"/>
      <c r="AC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20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  <c r="AB180" s="164" t="n"/>
      <c r="AC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20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  <c r="AB181" s="164" t="n"/>
      <c r="AC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20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  <c r="AB182" s="164" t="n"/>
      <c r="AC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20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  <c r="AB183" s="164" t="n"/>
      <c r="AC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20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  <c r="AB184" s="164" t="n"/>
      <c r="AC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20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  <c r="AB185" s="164" t="n"/>
      <c r="AC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20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  <c r="AB186" s="164" t="n"/>
      <c r="AC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20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  <c r="AB187" s="164" t="n"/>
      <c r="AC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20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  <c r="AB188" s="164" t="n"/>
      <c r="AC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20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  <c r="AB189" s="164" t="n"/>
      <c r="AC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20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  <c r="AB190" s="164" t="n"/>
      <c r="AC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20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  <c r="AB191" s="164" t="n"/>
      <c r="AC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20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  <c r="AB192" s="164" t="n"/>
      <c r="AC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20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  <c r="AB193" s="164" t="n"/>
      <c r="AC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20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  <c r="AB194" s="164" t="n"/>
      <c r="AC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20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  <c r="AB195" s="164" t="n"/>
      <c r="AC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20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  <c r="AB196" s="164" t="n"/>
      <c r="AC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20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  <c r="AB197" s="164" t="n"/>
      <c r="AC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20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  <c r="AB198" s="164" t="n"/>
      <c r="AC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20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  <c r="AB199" s="164" t="n"/>
      <c r="AC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20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  <c r="AB200" s="164" t="n"/>
      <c r="AC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20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  <c r="AB201" s="164" t="n"/>
      <c r="AC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20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20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  <c r="AB203" s="164" t="n"/>
      <c r="AC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20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  <c r="AB204" s="164" t="n"/>
      <c r="AC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20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  <c r="AB205" s="164" t="n"/>
      <c r="AC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20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  <c r="AB206" s="164" t="n"/>
      <c r="AC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20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  <c r="AB207" s="164" t="n"/>
      <c r="AC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20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  <c r="AB208" s="164" t="n"/>
      <c r="AC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20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  <c r="AB209" s="164" t="n"/>
      <c r="AC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20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  <c r="AB210" s="164" t="n"/>
      <c r="AC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20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  <c r="AB211" s="164" t="n"/>
      <c r="AC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20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  <c r="AB212" s="164" t="n"/>
      <c r="AC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20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  <c r="AB213" s="164" t="n"/>
      <c r="AC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20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  <c r="AB214" s="164" t="n"/>
      <c r="AC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20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20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  <c r="AB216" s="164" t="n"/>
      <c r="AC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20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  <c r="AB217" s="164" t="n"/>
      <c r="AC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20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  <c r="AB218" s="164" t="n"/>
      <c r="AC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20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  <c r="AB219" s="164" t="n"/>
      <c r="AC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20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  <c r="AB220" s="164" t="n"/>
      <c r="AC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20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  <c r="AB221" s="164" t="n"/>
      <c r="AC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20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  <c r="AB222" s="164" t="n"/>
      <c r="AC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20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  <c r="AB223" s="164" t="n"/>
      <c r="AC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20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  <c r="AB224" s="164" t="n"/>
      <c r="AC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20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  <c r="AB225" s="164" t="n"/>
      <c r="AC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20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  <c r="AB226" s="164" t="n"/>
      <c r="AC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20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  <c r="AB227" s="164" t="n"/>
      <c r="AC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20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  <c r="AB228" s="164" t="n"/>
      <c r="AC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20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  <c r="AB229" s="164" t="n"/>
      <c r="AC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20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  <c r="AB230" s="164" t="n"/>
      <c r="AC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20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  <c r="AB231" s="164" t="n"/>
      <c r="AC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20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  <c r="AB232" s="164" t="n"/>
      <c r="AC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20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  <c r="AB233" s="164" t="n"/>
      <c r="AC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20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  <c r="AB234" s="164" t="n"/>
      <c r="AC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20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  <c r="AB235" s="164" t="n"/>
      <c r="AC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20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  <c r="AB236" s="164" t="n"/>
      <c r="AC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20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  <c r="AB237" s="164" t="n"/>
      <c r="AC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20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  <c r="AB238" s="164" t="n"/>
      <c r="AC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20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  <c r="AB239" s="164" t="n"/>
      <c r="AC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20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  <c r="AB240" s="164" t="n"/>
      <c r="AC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20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  <c r="AB241" s="164" t="n"/>
      <c r="AC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20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  <c r="AB242" s="164" t="n"/>
      <c r="AC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20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4" t="n"/>
      <c r="AC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20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  <c r="AB244" s="164" t="n"/>
      <c r="AC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20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  <c r="AB245" s="164" t="n"/>
      <c r="AC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20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  <c r="AB246" s="164" t="n"/>
      <c r="AC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20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  <c r="AB247" s="164" t="n"/>
      <c r="AC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20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  <c r="AB248" s="164" t="n"/>
      <c r="AC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20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  <c r="AB249" s="164" t="n"/>
      <c r="AC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20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  <c r="AB250" s="164" t="n"/>
      <c r="AC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20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  <c r="AB251" s="164" t="n"/>
      <c r="AC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20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  <c r="AB252" s="164" t="n"/>
      <c r="AC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20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  <c r="AB253" s="164" t="n"/>
      <c r="AC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20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  <c r="AB254" s="164" t="n"/>
      <c r="AC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20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  <c r="AB255" s="164" t="n"/>
      <c r="AC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20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  <c r="AB256" s="164" t="n"/>
      <c r="AC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20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  <c r="AB257" s="164" t="n"/>
      <c r="AC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20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  <c r="AB258" s="164" t="n"/>
      <c r="AC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20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  <c r="AB259" s="164" t="n"/>
      <c r="AC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20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  <c r="AB260" s="164" t="n"/>
      <c r="AC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20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  <c r="AB261" s="164" t="n"/>
      <c r="AC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20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  <c r="AB262" s="164" t="n"/>
      <c r="AC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20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  <c r="AB263" s="164" t="n"/>
      <c r="AC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20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  <c r="AB264" s="164" t="n"/>
      <c r="AC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20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  <c r="AB265" s="164" t="n"/>
      <c r="AC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20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  <c r="AB266" s="164" t="n"/>
      <c r="AC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20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  <c r="AB267" s="164" t="n"/>
      <c r="AC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20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  <c r="AB268" s="164" t="n"/>
      <c r="AC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20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  <c r="AB269" s="164" t="n"/>
      <c r="AC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20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  <c r="AB270" s="164" t="n"/>
      <c r="AC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20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  <c r="AB271" s="164" t="n"/>
      <c r="AC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20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  <c r="AB272" s="164" t="n"/>
      <c r="AC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20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  <c r="AB273" s="164" t="n"/>
      <c r="AC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20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  <c r="AB274" s="164" t="n"/>
      <c r="AC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20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  <c r="AB275" s="164" t="n"/>
      <c r="AC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20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  <c r="AB276" s="164" t="n"/>
      <c r="AC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20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  <c r="AB277" s="164" t="n"/>
      <c r="AC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20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  <c r="AB278" s="164" t="n"/>
      <c r="AC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20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  <c r="AB279" s="164" t="n"/>
      <c r="AC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20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  <c r="AB280" s="164" t="n"/>
      <c r="AC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20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  <c r="AB281" s="164" t="n"/>
      <c r="AC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20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  <c r="AB282" s="164" t="n"/>
      <c r="AC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20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  <c r="AB283" s="164" t="n"/>
      <c r="AC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20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  <c r="AB284" s="164" t="n"/>
      <c r="AC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20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  <c r="AB285" s="164" t="n"/>
      <c r="AC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20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  <c r="AB286" s="164" t="n"/>
      <c r="AC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20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  <c r="AB287" s="164" t="n"/>
      <c r="AC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20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  <c r="AB288" s="164" t="n"/>
      <c r="AC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20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  <c r="AB289" s="164" t="n"/>
      <c r="AC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20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  <c r="AB290" s="164" t="n"/>
      <c r="AC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20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  <c r="AB291" s="164" t="n"/>
      <c r="AC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20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  <c r="AB292" s="164" t="n"/>
      <c r="AC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20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  <c r="AB293" s="164" t="n"/>
      <c r="AC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20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  <c r="AB294" s="164" t="n"/>
      <c r="AC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20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  <c r="AB295" s="164" t="n"/>
      <c r="AC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20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  <c r="AB296" s="164" t="n"/>
      <c r="AC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20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  <c r="AB297" s="164" t="n"/>
      <c r="AC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20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  <c r="AB298" s="164" t="n"/>
      <c r="AC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20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  <c r="AB299" s="164" t="n"/>
      <c r="AC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20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  <c r="AB300" s="164" t="n"/>
      <c r="AC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20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  <c r="AB301" s="164" t="n"/>
      <c r="AC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20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  <c r="AB302" s="164" t="n"/>
      <c r="AC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20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  <c r="AB303" s="164" t="n"/>
      <c r="AC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20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  <c r="AB304" s="164" t="n"/>
      <c r="AC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20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  <c r="AB305" s="164" t="n"/>
      <c r="AC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20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  <c r="AB306" s="164" t="n"/>
      <c r="AC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20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  <c r="AB307" s="164" t="n"/>
      <c r="AC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20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  <c r="AB308" s="164" t="n"/>
      <c r="AC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20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  <c r="AB309" s="164" t="n"/>
      <c r="AC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20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  <c r="AB310" s="164" t="n"/>
      <c r="AC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20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  <c r="AB311" s="164" t="n"/>
      <c r="AC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20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  <c r="AB312" s="164" t="n"/>
      <c r="AC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20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  <c r="AB313" s="164" t="n"/>
      <c r="AC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20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  <c r="AB314" s="164" t="n"/>
      <c r="AC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20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  <c r="AB315" s="164" t="n"/>
      <c r="AC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20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  <c r="AB316" s="164" t="n"/>
      <c r="AC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20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  <c r="AB317" s="164" t="n"/>
      <c r="AC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20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  <c r="AB318" s="164" t="n"/>
      <c r="AC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20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  <c r="AB319" s="164" t="n"/>
      <c r="AC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20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  <c r="AB320" s="164" t="n"/>
      <c r="AC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20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  <c r="AB321" s="164" t="n"/>
      <c r="AC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20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  <c r="AB322" s="164" t="n"/>
      <c r="AC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20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  <c r="AB323" s="164" t="n"/>
      <c r="AC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20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  <c r="AB324" s="164" t="n"/>
      <c r="AC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20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  <c r="AB325" s="164" t="n"/>
      <c r="AC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20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  <c r="AB326" s="164" t="n"/>
      <c r="AC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20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  <c r="AB327" s="164" t="n"/>
      <c r="AC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20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  <c r="AB328" s="164" t="n"/>
      <c r="AC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20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  <c r="AB329" s="164" t="n"/>
      <c r="AC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20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  <c r="AB330" s="164" t="n"/>
      <c r="AC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20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  <c r="AB331" s="164" t="n"/>
      <c r="AC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20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  <c r="AB332" s="164" t="n"/>
      <c r="AC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20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  <c r="AB333" s="164" t="n"/>
      <c r="AC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20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  <c r="AB334" s="164" t="n"/>
      <c r="AC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20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  <c r="AB335" s="164" t="n"/>
      <c r="AC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20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  <c r="AB336" s="164" t="n"/>
      <c r="AC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20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  <c r="AB337" s="164" t="n"/>
      <c r="AC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20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  <c r="AB338" s="164" t="n"/>
      <c r="AC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20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  <c r="AB339" s="164" t="n"/>
      <c r="AC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20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  <c r="AB340" s="164" t="n"/>
      <c r="AC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20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  <c r="AB341" s="164" t="n"/>
      <c r="AC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20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  <c r="AB342" s="164" t="n"/>
      <c r="AC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20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  <c r="AB343" s="164" t="n"/>
      <c r="AC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20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  <c r="AB344" s="164" t="n"/>
      <c r="AC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20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  <c r="AB345" s="164" t="n"/>
      <c r="AC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20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  <c r="AB346" s="164" t="n"/>
      <c r="AC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20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  <c r="AB347" s="164" t="n"/>
      <c r="AC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20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  <c r="AB348" s="164" t="n"/>
      <c r="AC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20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  <c r="AB349" s="164" t="n"/>
      <c r="AC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20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  <c r="AB350" s="164" t="n"/>
      <c r="AC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20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  <c r="AB351" s="164" t="n"/>
      <c r="AC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20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  <c r="AB352" s="164" t="n"/>
      <c r="AC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20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  <c r="AB353" s="164" t="n"/>
      <c r="AC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20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  <c r="AB354" s="164" t="n"/>
      <c r="AC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20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  <c r="AB355" s="164" t="n"/>
      <c r="AC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20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  <c r="AB356" s="164" t="n"/>
      <c r="AC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20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  <c r="AB357" s="164" t="n"/>
      <c r="AC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20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  <c r="AB358" s="164" t="n"/>
      <c r="AC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20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  <c r="AB359" s="164" t="n"/>
      <c r="AC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20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  <c r="AB360" s="164" t="n"/>
      <c r="AC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20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  <c r="AB361" s="164" t="n"/>
      <c r="AC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20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  <c r="AB362" s="164" t="n"/>
      <c r="AC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20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  <c r="AB363" s="164" t="n"/>
      <c r="AC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20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  <c r="AB364" s="164" t="n"/>
      <c r="AC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20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  <c r="AB365" s="164" t="n"/>
      <c r="AC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20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  <c r="AB366" s="164" t="n"/>
      <c r="AC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20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  <c r="AB367" s="164" t="n"/>
      <c r="AC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20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  <c r="AB368" s="164" t="n"/>
      <c r="AC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20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  <c r="AB369" s="164" t="n"/>
      <c r="AC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20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  <c r="AB370" s="164" t="n"/>
      <c r="AC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20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  <c r="AB371" s="164" t="n"/>
      <c r="AC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20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  <c r="AB372" s="164" t="n"/>
      <c r="AC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20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  <c r="AB373" s="164" t="n"/>
      <c r="AC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20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  <c r="AB374" s="164" t="n"/>
      <c r="AC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20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  <c r="AB375" s="164" t="n"/>
      <c r="AC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20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  <c r="AB376" s="164" t="n"/>
      <c r="AC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20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  <c r="AB377" s="164" t="n"/>
      <c r="AC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20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  <c r="AB378" s="164" t="n"/>
      <c r="AC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20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  <c r="AB379" s="164" t="n"/>
      <c r="AC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20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  <c r="AB380" s="164" t="n"/>
      <c r="AC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20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  <c r="AB381" s="164" t="n"/>
      <c r="AC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20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  <c r="AB382" s="164" t="n"/>
      <c r="AC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20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  <c r="AB383" s="164" t="n"/>
      <c r="AC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20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  <c r="AB384" s="164" t="n"/>
      <c r="AC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20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  <c r="AB385" s="164" t="n"/>
      <c r="AC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20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  <c r="AB386" s="164" t="n"/>
      <c r="AC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20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  <c r="AB387" s="164" t="n"/>
      <c r="AC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20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  <c r="AB388" s="164" t="n"/>
      <c r="AC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20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  <c r="AB389" s="164" t="n"/>
      <c r="AC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20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  <c r="AB390" s="164" t="n"/>
      <c r="AC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20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  <c r="AB391" s="164" t="n"/>
      <c r="AC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20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  <c r="AB392" s="164" t="n"/>
      <c r="AC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20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  <c r="AB393" s="164" t="n"/>
      <c r="AC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20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  <c r="AB394" s="164" t="n"/>
      <c r="AC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20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  <c r="AB395" s="164" t="n"/>
      <c r="AC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20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  <c r="AB396" s="164" t="n"/>
      <c r="AC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20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  <c r="AB397" s="164" t="n"/>
      <c r="AC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20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  <c r="AB398" s="164" t="n"/>
      <c r="AC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20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  <c r="AB399" s="164" t="n"/>
      <c r="AC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20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  <c r="AB400" s="164" t="n"/>
      <c r="AC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20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  <c r="AB401" s="164" t="n"/>
      <c r="AC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20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  <c r="AB402" s="164" t="n"/>
      <c r="AC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20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  <c r="AB403" s="164" t="n"/>
      <c r="AC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20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  <c r="AB404" s="164" t="n"/>
      <c r="AC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20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  <c r="AB405" s="164" t="n"/>
      <c r="AC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20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  <c r="AB406" s="164" t="n"/>
      <c r="AC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20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  <c r="AB407" s="164" t="n"/>
      <c r="AC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20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  <c r="AB408" s="164" t="n"/>
      <c r="AC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20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  <c r="AB409" s="164" t="n"/>
      <c r="AC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20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  <c r="AB410" s="164" t="n"/>
      <c r="AC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20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  <c r="AB411" s="164" t="n"/>
      <c r="AC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20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  <c r="AB412" s="164" t="n"/>
      <c r="AC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20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  <c r="AB413" s="164" t="n"/>
      <c r="AC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20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  <c r="AB414" s="164" t="n"/>
      <c r="AC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20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  <c r="AB415" s="164" t="n"/>
      <c r="AC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20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  <c r="AB416" s="164" t="n"/>
      <c r="AC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20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  <c r="AB417" s="164" t="n"/>
      <c r="AC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20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  <c r="AB418" s="164" t="n"/>
      <c r="AC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20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  <c r="AB419" s="164" t="n"/>
      <c r="AC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20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  <c r="AB420" s="164" t="n"/>
      <c r="AC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20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  <c r="AB421" s="164" t="n"/>
      <c r="AC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20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  <c r="AB422" s="164" t="n"/>
      <c r="AC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20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  <c r="AB423" s="164" t="n"/>
      <c r="AC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20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  <c r="AB424" s="164" t="n"/>
      <c r="AC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20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  <c r="AB425" s="164" t="n"/>
      <c r="AC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20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  <c r="AB426" s="164" t="n"/>
      <c r="AC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20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  <c r="AB427" s="164" t="n"/>
      <c r="AC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20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  <c r="AB428" s="164" t="n"/>
      <c r="AC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20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  <c r="AB429" s="164" t="n"/>
      <c r="AC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20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  <c r="AB430" s="164" t="n"/>
      <c r="AC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20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  <c r="AB431" s="164" t="n"/>
      <c r="AC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20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  <c r="AB432" s="164" t="n"/>
      <c r="AC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20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  <c r="AB433" s="164" t="n"/>
      <c r="AC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20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  <c r="AB434" s="164" t="n"/>
      <c r="AC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20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  <c r="AB435" s="164" t="n"/>
      <c r="AC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20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  <c r="AB436" s="164" t="n"/>
      <c r="AC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20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  <c r="AB437" s="164" t="n"/>
      <c r="AC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20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  <c r="AB438" s="164" t="n"/>
      <c r="AC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20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  <c r="AB439" s="164" t="n"/>
      <c r="AC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20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  <c r="AB440" s="164" t="n"/>
      <c r="AC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20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  <c r="AB441" s="164" t="n"/>
      <c r="AC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20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  <c r="AB442" s="164" t="n"/>
      <c r="AC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20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  <c r="AB443" s="164" t="n"/>
      <c r="AC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20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  <c r="AB444" s="164" t="n"/>
      <c r="AC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20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  <c r="AB445" s="164" t="n"/>
      <c r="AC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20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  <c r="AB446" s="164" t="n"/>
      <c r="AC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20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  <c r="AB447" s="164" t="n"/>
      <c r="AC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20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  <c r="AB448" s="164" t="n"/>
      <c r="AC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20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  <c r="AB449" s="164" t="n"/>
      <c r="AC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20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  <c r="AB450" s="164" t="n"/>
      <c r="AC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20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  <c r="AB451" s="164" t="n"/>
      <c r="AC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20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  <c r="AB452" s="164" t="n"/>
      <c r="AC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20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  <c r="AB453" s="164" t="n"/>
      <c r="AC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20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  <c r="AB454" s="164" t="n"/>
      <c r="AC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20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  <c r="AB455" s="164" t="n"/>
      <c r="AC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20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  <c r="AB456" s="164" t="n"/>
      <c r="AC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20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  <c r="AB457" s="164" t="n"/>
      <c r="AC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20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  <c r="AB458" s="164" t="n"/>
      <c r="AC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20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  <c r="AB459" s="164" t="n"/>
      <c r="AC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20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  <c r="AB460" s="164" t="n"/>
      <c r="AC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20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  <c r="AB461" s="164" t="n"/>
      <c r="AC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20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  <c r="AB462" s="164" t="n"/>
      <c r="AC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20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  <c r="AB463" s="164" t="n"/>
      <c r="AC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20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  <c r="AB464" s="164" t="n"/>
      <c r="AC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20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  <c r="AB465" s="164" t="n"/>
      <c r="AC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20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  <c r="AB466" s="164" t="n"/>
      <c r="AC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20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  <c r="AB467" s="164" t="n"/>
      <c r="AC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20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  <c r="AB468" s="164" t="n"/>
      <c r="AC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20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  <c r="AB469" s="164" t="n"/>
      <c r="AC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20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  <c r="AB470" s="164" t="n"/>
      <c r="AC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20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  <c r="AB471" s="164" t="n"/>
      <c r="AC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20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  <c r="AB472" s="164" t="n"/>
      <c r="AC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20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  <c r="AB473" s="164" t="n"/>
      <c r="AC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20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  <c r="AB474" s="164" t="n"/>
      <c r="AC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20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  <c r="AB475" s="164" t="n"/>
      <c r="AC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20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  <c r="AB476" s="164" t="n"/>
      <c r="AC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20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  <c r="AB477" s="164" t="n"/>
      <c r="AC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20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  <c r="AB478" s="164" t="n"/>
      <c r="AC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20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  <c r="AB479" s="164" t="n"/>
      <c r="AC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20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  <c r="AB480" s="164" t="n"/>
      <c r="AC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20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  <c r="AB481" s="164" t="n"/>
      <c r="AC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20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  <c r="AB482" s="164" t="n"/>
      <c r="AC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20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  <c r="AB483" s="164" t="n"/>
      <c r="AC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20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  <c r="AB484" s="164" t="n"/>
      <c r="AC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20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  <c r="AB485" s="164" t="n"/>
      <c r="AC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20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  <c r="AB486" s="164" t="n"/>
      <c r="AC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20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  <c r="AB487" s="164" t="n"/>
      <c r="AC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20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  <c r="AB488" s="164" t="n"/>
      <c r="AC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20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  <c r="AB489" s="164" t="n"/>
      <c r="AC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20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  <c r="AB490" s="164" t="n"/>
      <c r="AC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20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  <c r="AB491" s="164" t="n"/>
      <c r="AC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20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  <c r="AB492" s="164" t="n"/>
      <c r="AC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20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  <c r="AB493" s="164" t="n"/>
      <c r="AC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20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  <c r="AB494" s="164" t="n"/>
      <c r="AC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20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  <c r="AB495" s="164" t="n"/>
      <c r="AC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20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  <c r="AB496" s="164" t="n"/>
      <c r="AC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20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  <c r="AB497" s="164" t="n"/>
      <c r="AC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20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  <c r="AB498" s="164" t="n"/>
      <c r="AC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20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  <c r="AB499" s="164" t="n"/>
      <c r="AC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20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  <c r="AB500" s="164" t="n"/>
      <c r="AC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20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  <c r="AB501" s="164" t="n"/>
      <c r="AC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20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  <c r="AB502" s="164" t="n"/>
      <c r="AC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20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  <c r="AB503" s="164" t="n"/>
      <c r="AC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20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  <c r="AB504" s="164" t="n"/>
      <c r="AC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20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  <c r="AB505" s="164" t="n"/>
      <c r="AC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20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  <c r="AB506" s="164" t="n"/>
      <c r="AC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20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  <c r="AB507" s="164" t="n"/>
      <c r="AC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20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  <c r="AB508" s="164" t="n"/>
      <c r="AC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20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  <c r="AB509" s="164" t="n"/>
      <c r="AC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20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  <c r="AB510" s="164" t="n"/>
      <c r="AC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20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  <c r="AB511" s="164" t="n"/>
      <c r="AC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20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  <c r="AB512" s="164" t="n"/>
      <c r="AC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20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  <c r="AB513" s="164" t="n"/>
      <c r="AC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20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  <c r="AB514" s="164" t="n"/>
      <c r="AC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20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  <c r="AB515" s="164" t="n"/>
      <c r="AC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20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  <c r="AB516" s="164" t="n"/>
      <c r="AC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20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  <c r="AB517" s="164" t="n"/>
      <c r="AC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20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  <c r="AB518" s="164" t="n"/>
      <c r="AC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20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  <c r="AB519" s="164" t="n"/>
      <c r="AC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20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  <c r="AB520" s="164" t="n"/>
      <c r="AC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20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  <c r="AB521" s="164" t="n"/>
      <c r="AC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20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  <c r="AB522" s="164" t="n"/>
      <c r="AC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20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  <c r="AB523" s="164" t="n"/>
      <c r="AC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20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  <c r="AB524" s="164" t="n"/>
      <c r="AC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20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  <c r="AB525" s="164" t="n"/>
      <c r="AC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20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  <c r="AB526" s="164" t="n"/>
      <c r="AC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20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  <c r="AB527" s="164" t="n"/>
      <c r="AC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20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  <c r="AB528" s="164" t="n"/>
      <c r="AC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20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  <c r="AB529" s="164" t="n"/>
      <c r="AC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20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  <c r="AB530" s="164" t="n"/>
      <c r="AC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20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  <c r="AB531" s="164" t="n"/>
      <c r="AC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20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  <c r="AB532" s="164" t="n"/>
      <c r="AC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20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  <c r="AB533" s="164" t="n"/>
      <c r="AC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20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  <c r="AB534" s="164" t="n"/>
      <c r="AC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20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  <c r="AB535" s="164" t="n"/>
      <c r="AC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20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  <c r="AB536" s="164" t="n"/>
      <c r="AC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20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  <c r="AB537" s="164" t="n"/>
      <c r="AC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20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  <c r="AB538" s="164" t="n"/>
      <c r="AC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20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  <c r="AB539" s="164" t="n"/>
      <c r="AC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20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  <c r="AB540" s="164" t="n"/>
      <c r="AC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20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  <c r="AB541" s="164" t="n"/>
      <c r="AC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20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  <c r="AB542" s="164" t="n"/>
      <c r="AC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20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  <c r="AB543" s="164" t="n"/>
      <c r="AC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20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  <c r="AB544" s="164" t="n"/>
      <c r="AC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20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  <c r="AB545" s="164" t="n"/>
      <c r="AC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20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  <c r="AB546" s="164" t="n"/>
      <c r="AC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20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  <c r="AB547" s="164" t="n"/>
      <c r="AC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20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  <c r="AB548" s="164" t="n"/>
      <c r="AC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20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  <c r="AB549" s="164" t="n"/>
      <c r="AC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20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  <c r="AB550" s="164" t="n"/>
      <c r="AC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20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  <c r="AB551" s="164" t="n"/>
      <c r="AC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20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  <c r="AB552" s="164" t="n"/>
      <c r="AC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20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  <c r="AB553" s="164" t="n"/>
      <c r="AC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20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  <c r="AB554" s="164" t="n"/>
      <c r="AC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20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  <c r="AB555" s="164" t="n"/>
      <c r="AC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20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  <c r="AB556" s="164" t="n"/>
      <c r="AC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20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  <c r="AB557" s="164" t="n"/>
      <c r="AC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20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  <c r="AB558" s="164" t="n"/>
      <c r="AC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20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  <c r="AB559" s="164" t="n"/>
      <c r="AC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20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  <c r="AB560" s="164" t="n"/>
      <c r="AC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20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  <c r="AB561" s="164" t="n"/>
      <c r="AC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20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  <c r="AB562" s="164" t="n"/>
      <c r="AC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20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  <c r="AB563" s="164" t="n"/>
      <c r="AC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20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  <c r="AB564" s="164" t="n"/>
      <c r="AC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20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  <c r="AB565" s="164" t="n"/>
      <c r="AC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20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  <c r="AB566" s="164" t="n"/>
      <c r="AC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20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  <c r="AB567" s="164" t="n"/>
      <c r="AC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20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  <c r="AB568" s="164" t="n"/>
      <c r="AC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20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  <c r="AB569" s="164" t="n"/>
      <c r="AC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20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  <c r="AB570" s="164" t="n"/>
      <c r="AC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20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  <c r="AB571" s="164" t="n"/>
      <c r="AC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20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  <c r="AB572" s="164" t="n"/>
      <c r="AC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20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  <c r="AB573" s="164" t="n"/>
      <c r="AC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20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  <c r="AB574" s="164" t="n"/>
      <c r="AC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20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  <c r="AB575" s="164" t="n"/>
      <c r="AC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20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  <c r="AB576" s="164" t="n"/>
      <c r="AC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20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  <c r="AB577" s="164" t="n"/>
      <c r="AC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20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  <c r="AB578" s="164" t="n"/>
      <c r="AC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20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  <c r="AB579" s="164" t="n"/>
      <c r="AC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20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  <c r="AB580" s="164" t="n"/>
      <c r="AC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20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  <c r="AB581" s="164" t="n"/>
      <c r="AC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20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  <c r="AB582" s="164" t="n"/>
      <c r="AC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20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  <c r="AB583" s="164" t="n"/>
      <c r="AC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20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  <c r="AB584" s="164" t="n"/>
      <c r="AC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20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  <c r="AB585" s="164" t="n"/>
      <c r="AC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20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  <c r="AB586" s="164" t="n"/>
      <c r="AC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20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  <c r="AB587" s="164" t="n"/>
      <c r="AC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20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  <c r="AB588" s="164" t="n"/>
      <c r="AC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20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  <c r="AB589" s="164" t="n"/>
      <c r="AC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20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  <c r="AB590" s="164" t="n"/>
      <c r="AC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20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  <c r="AB591" s="164" t="n"/>
      <c r="AC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20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  <c r="AB592" s="164" t="n"/>
      <c r="AC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20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  <c r="AB593" s="164" t="n"/>
      <c r="AC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20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  <c r="AB594" s="164" t="n"/>
      <c r="AC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20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  <c r="AB595" s="164" t="n"/>
      <c r="AC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20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  <c r="AB596" s="164" t="n"/>
      <c r="AC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20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  <c r="AB597" s="164" t="n"/>
      <c r="AC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20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  <c r="AB598" s="164" t="n"/>
      <c r="AC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20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  <c r="AB599" s="164" t="n"/>
      <c r="AC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20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  <c r="AB600" s="164" t="n"/>
      <c r="AC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20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  <c r="AB601" s="164" t="n"/>
      <c r="AC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20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  <c r="AB602" s="164" t="n"/>
      <c r="AC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20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  <c r="AB603" s="164" t="n"/>
      <c r="AC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20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  <c r="AB604" s="164" t="n"/>
      <c r="AC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20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  <c r="AB605" s="164" t="n"/>
      <c r="AC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20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  <c r="AB606" s="164" t="n"/>
      <c r="AC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20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  <c r="AB607" s="164" t="n"/>
      <c r="AC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20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  <c r="AB608" s="164" t="n"/>
      <c r="AC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20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  <c r="AB609" s="164" t="n"/>
      <c r="AC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20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  <c r="AB610" s="164" t="n"/>
      <c r="AC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20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  <c r="AB611" s="164" t="n"/>
      <c r="AC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20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  <c r="AB612" s="164" t="n"/>
      <c r="AC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20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  <c r="AB613" s="164" t="n"/>
      <c r="AC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20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  <c r="AB614" s="164" t="n"/>
      <c r="AC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20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  <c r="AB615" s="164" t="n"/>
      <c r="AC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20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  <c r="AB616" s="164" t="n"/>
      <c r="AC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20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  <c r="AB617" s="164" t="n"/>
      <c r="AC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20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  <c r="AB618" s="164" t="n"/>
      <c r="AC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20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  <c r="AB619" s="164" t="n"/>
      <c r="AC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20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  <c r="AB620" s="164" t="n"/>
      <c r="AC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20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  <c r="AB621" s="164" t="n"/>
      <c r="AC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20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  <c r="AB622" s="164" t="n"/>
      <c r="AC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20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  <c r="AB623" s="164" t="n"/>
      <c r="AC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20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  <c r="AB624" s="164" t="n"/>
      <c r="AC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20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  <c r="AB625" s="164" t="n"/>
      <c r="AC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20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  <c r="AB626" s="164" t="n"/>
      <c r="AC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20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  <c r="AB627" s="164" t="n"/>
      <c r="AC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20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  <c r="AB628" s="164" t="n"/>
      <c r="AC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20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  <c r="AB629" s="164" t="n"/>
      <c r="AC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20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  <c r="AB630" s="164" t="n"/>
      <c r="AC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20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  <c r="AB631" s="164" t="n"/>
      <c r="AC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20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  <c r="AB632" s="164" t="n"/>
      <c r="AC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20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  <c r="AB633" s="164" t="n"/>
      <c r="AC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20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  <c r="AB634" s="164" t="n"/>
      <c r="AC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20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  <c r="AB635" s="164" t="n"/>
      <c r="AC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20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  <c r="AB636" s="164" t="n"/>
      <c r="AC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20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  <c r="AB637" s="164" t="n"/>
      <c r="AC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20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  <c r="AB638" s="164" t="n"/>
      <c r="AC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20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  <c r="AB639" s="164" t="n"/>
      <c r="AC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20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  <c r="AB640" s="164" t="n"/>
      <c r="AC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20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  <c r="AB641" s="164" t="n"/>
      <c r="AC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20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  <c r="AB642" s="164" t="n"/>
      <c r="AC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20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  <c r="AB643" s="164" t="n"/>
      <c r="AC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20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  <c r="AB644" s="164" t="n"/>
      <c r="AC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20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  <c r="AB645" s="164" t="n"/>
      <c r="AC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20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  <c r="AB646" s="164" t="n"/>
      <c r="AC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20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  <c r="AB647" s="164" t="n"/>
      <c r="AC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20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  <c r="AB648" s="164" t="n"/>
      <c r="AC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20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  <c r="AB649" s="164" t="n"/>
      <c r="AC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20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  <c r="AB650" s="164" t="n"/>
      <c r="AC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20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  <c r="AB651" s="164" t="n"/>
      <c r="AC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20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  <c r="AB652" s="164" t="n"/>
      <c r="AC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20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  <c r="AB653" s="164" t="n"/>
      <c r="AC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20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  <c r="AB654" s="164" t="n"/>
      <c r="AC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20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  <c r="AB655" s="164" t="n"/>
      <c r="AC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20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  <c r="AB656" s="164" t="n"/>
      <c r="AC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20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  <c r="AB657" s="164" t="n"/>
      <c r="AC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20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  <c r="AB658" s="164" t="n"/>
      <c r="AC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20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  <c r="AB659" s="164" t="n"/>
      <c r="AC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20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  <c r="AB660" s="164" t="n"/>
      <c r="AC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20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  <c r="AB661" s="164" t="n"/>
      <c r="AC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20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  <c r="AB662" s="164" t="n"/>
      <c r="AC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20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  <c r="AB663" s="164" t="n"/>
      <c r="AC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20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  <c r="AB664" s="164" t="n"/>
      <c r="AC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20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  <c r="AB665" s="164" t="n"/>
      <c r="AC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20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  <c r="AB666" s="164" t="n"/>
      <c r="AC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20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  <c r="AB667" s="164" t="n"/>
      <c r="AC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20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  <c r="AB668" s="164" t="n"/>
      <c r="AC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20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  <c r="AB669" s="164" t="n"/>
      <c r="AC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20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  <c r="AB670" s="164" t="n"/>
      <c r="AC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20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  <c r="AB671" s="164" t="n"/>
      <c r="AC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20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  <c r="AB672" s="164" t="n"/>
      <c r="AC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20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  <c r="AB673" s="164" t="n"/>
      <c r="AC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20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  <c r="AB674" s="164" t="n"/>
      <c r="AC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20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  <c r="AB675" s="164" t="n"/>
      <c r="AC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20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  <c r="AB676" s="164" t="n"/>
      <c r="AC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20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  <c r="AB677" s="164" t="n"/>
      <c r="AC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20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  <c r="AB678" s="164" t="n"/>
      <c r="AC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20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  <c r="AB679" s="164" t="n"/>
      <c r="AC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20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  <c r="AB680" s="164" t="n"/>
      <c r="AC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20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  <c r="AB681" s="164" t="n"/>
      <c r="AC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20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  <c r="AB682" s="164" t="n"/>
      <c r="AC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20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  <c r="AB683" s="164" t="n"/>
      <c r="AC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20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  <c r="AB684" s="164" t="n"/>
      <c r="AC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20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  <c r="AB685" s="164" t="n"/>
      <c r="AC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20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  <c r="AB686" s="164" t="n"/>
      <c r="AC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20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  <c r="AB687" s="164" t="n"/>
      <c r="AC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20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  <c r="AB688" s="164" t="n"/>
      <c r="AC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20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  <c r="AB689" s="164" t="n"/>
      <c r="AC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20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  <c r="AB690" s="164" t="n"/>
      <c r="AC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20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  <c r="AB691" s="164" t="n"/>
      <c r="AC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20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  <c r="AB692" s="164" t="n"/>
      <c r="AC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20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  <c r="AB693" s="164" t="n"/>
      <c r="AC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20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  <c r="AB694" s="164" t="n"/>
      <c r="AC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20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  <c r="AB695" s="164" t="n"/>
      <c r="AC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20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  <c r="AB696" s="164" t="n"/>
      <c r="AC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20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  <c r="AB697" s="164" t="n"/>
      <c r="AC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20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  <c r="AB698" s="164" t="n"/>
      <c r="AC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20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  <c r="AB699" s="164" t="n"/>
      <c r="AC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20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  <c r="AB700" s="164" t="n"/>
      <c r="AC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20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  <c r="AB701" s="164" t="n"/>
      <c r="AC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20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  <c r="AB702" s="164" t="n"/>
      <c r="AC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20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  <c r="AB703" s="164" t="n"/>
      <c r="AC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20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  <c r="AB704" s="164" t="n"/>
      <c r="AC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20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  <c r="AB705" s="164" t="n"/>
      <c r="AC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20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  <c r="AB706" s="164" t="n"/>
      <c r="AC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20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  <c r="AB707" s="164" t="n"/>
      <c r="AC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20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  <c r="AB708" s="164" t="n"/>
      <c r="AC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20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  <c r="AB709" s="164" t="n"/>
      <c r="AC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20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  <c r="AB710" s="164" t="n"/>
      <c r="AC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20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  <c r="AB711" s="164" t="n"/>
      <c r="AC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20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  <c r="AB712" s="164" t="n"/>
      <c r="AC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20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  <c r="AB713" s="164" t="n"/>
      <c r="AC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20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  <c r="AB714" s="164" t="n"/>
      <c r="AC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20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  <c r="AB715" s="164" t="n"/>
      <c r="AC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20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  <c r="AB716" s="164" t="n"/>
      <c r="AC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20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  <c r="AB717" s="164" t="n"/>
      <c r="AC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20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  <c r="AB718" s="164" t="n"/>
      <c r="AC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20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  <c r="AB719" s="164" t="n"/>
      <c r="AC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20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  <c r="AB720" s="164" t="n"/>
      <c r="AC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20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  <c r="AB721" s="164" t="n"/>
      <c r="AC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20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  <c r="AB722" s="164" t="n"/>
      <c r="AC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20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  <c r="AB723" s="164" t="n"/>
      <c r="AC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20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  <c r="AB724" s="164" t="n"/>
      <c r="AC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20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  <c r="AB725" s="164" t="n"/>
      <c r="AC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20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  <c r="AB726" s="164" t="n"/>
      <c r="AC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20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  <c r="AB727" s="164" t="n"/>
      <c r="AC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20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  <c r="AB728" s="164" t="n"/>
      <c r="AC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20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  <c r="AB729" s="164" t="n"/>
      <c r="AC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20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  <c r="AB730" s="164" t="n"/>
      <c r="AC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20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  <c r="AB731" s="164" t="n"/>
      <c r="AC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20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  <c r="AB732" s="164" t="n"/>
      <c r="AC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20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  <c r="AB733" s="164" t="n"/>
      <c r="AC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20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  <c r="AB734" s="164" t="n"/>
      <c r="AC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20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  <c r="AB735" s="164" t="n"/>
      <c r="AC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20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  <c r="AB736" s="164" t="n"/>
      <c r="AC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20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  <c r="AB737" s="164" t="n"/>
      <c r="AC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20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  <c r="AB738" s="164" t="n"/>
      <c r="AC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20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  <c r="AB739" s="164" t="n"/>
      <c r="AC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20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  <c r="AB740" s="164" t="n"/>
      <c r="AC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20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  <c r="AB741" s="164" t="n"/>
      <c r="AC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20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  <c r="AB742" s="164" t="n"/>
      <c r="AC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20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  <c r="AB743" s="164" t="n"/>
      <c r="AC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20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  <c r="AB744" s="164" t="n"/>
      <c r="AC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20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  <c r="AB745" s="164" t="n"/>
      <c r="AC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20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  <c r="AB746" s="164" t="n"/>
      <c r="AC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20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  <c r="AB747" s="164" t="n"/>
      <c r="AC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20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  <c r="AB748" s="164" t="n"/>
      <c r="AC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20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  <c r="AB749" s="164" t="n"/>
      <c r="AC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20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  <c r="AB750" s="164" t="n"/>
      <c r="AC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20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  <c r="AB751" s="164" t="n"/>
      <c r="AC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20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  <c r="AB752" s="164" t="n"/>
      <c r="AC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20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  <c r="AB753" s="164" t="n"/>
      <c r="AC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20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  <c r="AB754" s="164" t="n"/>
      <c r="AC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20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  <c r="AB755" s="164" t="n"/>
      <c r="AC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20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  <c r="AB756" s="164" t="n"/>
      <c r="AC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20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  <c r="AB757" s="164" t="n"/>
      <c r="AC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20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  <c r="AB758" s="164" t="n"/>
      <c r="AC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20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  <c r="AB759" s="164" t="n"/>
      <c r="AC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20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  <c r="AB760" s="164" t="n"/>
      <c r="AC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20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  <c r="AB761" s="164" t="n"/>
      <c r="AC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20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  <c r="AB762" s="164" t="n"/>
      <c r="AC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20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  <c r="AB763" s="164" t="n"/>
      <c r="AC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20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  <c r="AB764" s="164" t="n"/>
      <c r="AC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20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  <c r="AB765" s="164" t="n"/>
      <c r="AC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20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  <c r="AB766" s="164" t="n"/>
      <c r="AC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20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  <c r="AB767" s="164" t="n"/>
      <c r="AC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20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  <c r="AB768" s="164" t="n"/>
      <c r="AC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20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  <c r="AB769" s="164" t="n"/>
      <c r="AC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20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  <c r="AB770" s="164" t="n"/>
      <c r="AC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20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  <c r="AB771" s="164" t="n"/>
      <c r="AC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20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  <c r="AB772" s="164" t="n"/>
      <c r="AC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20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  <c r="AB773" s="164" t="n"/>
      <c r="AC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20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  <c r="AB774" s="164" t="n"/>
      <c r="AC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20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  <c r="AB775" s="164" t="n"/>
      <c r="AC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20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  <c r="AB776" s="164" t="n"/>
      <c r="AC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20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  <c r="AB777" s="164" t="n"/>
      <c r="AC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20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  <c r="AB778" s="164" t="n"/>
      <c r="AC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20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  <c r="AB779" s="164" t="n"/>
      <c r="AC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20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  <c r="AB780" s="164" t="n"/>
      <c r="AC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20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  <c r="AB781" s="164" t="n"/>
      <c r="AC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20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  <c r="AB782" s="164" t="n"/>
      <c r="AC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20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  <c r="AB783" s="164" t="n"/>
      <c r="AC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20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  <c r="AB784" s="164" t="n"/>
      <c r="AC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20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  <c r="AB785" s="164" t="n"/>
      <c r="AC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20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  <c r="AB786" s="164" t="n"/>
      <c r="AC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20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  <c r="AB787" s="164" t="n"/>
      <c r="AC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20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  <c r="AB788" s="164" t="n"/>
      <c r="AC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20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  <c r="AB789" s="164" t="n"/>
      <c r="AC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20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  <c r="AB790" s="164" t="n"/>
      <c r="AC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20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  <c r="AB791" s="164" t="n"/>
      <c r="AC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20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  <c r="AB792" s="164" t="n"/>
      <c r="AC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20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  <c r="AB793" s="164" t="n"/>
      <c r="AC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20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  <c r="AB794" s="164" t="n"/>
      <c r="AC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20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  <c r="AB795" s="164" t="n"/>
      <c r="AC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20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  <c r="AB796" s="164" t="n"/>
      <c r="AC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20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  <c r="AB797" s="164" t="n"/>
      <c r="AC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20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  <c r="AB798" s="164" t="n"/>
      <c r="AC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20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  <c r="AB799" s="164" t="n"/>
      <c r="AC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20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  <c r="AB800" s="164" t="n"/>
      <c r="AC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20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  <c r="AB801" s="164" t="n"/>
      <c r="AC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20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  <c r="AB802" s="164" t="n"/>
      <c r="AC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20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  <c r="AB803" s="164" t="n"/>
      <c r="AC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20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  <c r="AB804" s="164" t="n"/>
      <c r="AC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20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  <c r="AB805" s="164" t="n"/>
      <c r="AC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20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  <c r="AB806" s="164" t="n"/>
      <c r="AC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20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  <c r="AB807" s="164" t="n"/>
      <c r="AC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20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  <c r="AB808" s="164" t="n"/>
      <c r="AC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20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  <c r="AB809" s="164" t="n"/>
      <c r="AC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20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  <c r="AB810" s="164" t="n"/>
      <c r="AC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20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  <c r="AB811" s="164" t="n"/>
      <c r="AC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20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  <c r="AB812" s="164" t="n"/>
      <c r="AC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20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  <c r="AB813" s="164" t="n"/>
      <c r="AC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20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  <c r="AB814" s="164" t="n"/>
      <c r="AC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20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  <c r="AB815" s="164" t="n"/>
      <c r="AC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20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  <c r="AB816" s="164" t="n"/>
      <c r="AC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20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  <c r="AB817" s="164" t="n"/>
      <c r="AC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20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  <c r="AB818" s="164" t="n"/>
      <c r="AC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20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  <c r="AB819" s="164" t="n"/>
      <c r="AC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20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  <c r="AB820" s="164" t="n"/>
      <c r="AC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20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  <c r="AB821" s="164" t="n"/>
      <c r="AC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20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  <c r="AB822" s="164" t="n"/>
      <c r="AC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20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  <c r="AB823" s="164" t="n"/>
      <c r="AC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20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  <c r="AB824" s="164" t="n"/>
      <c r="AC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20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  <c r="AB825" s="164" t="n"/>
      <c r="AC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20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  <c r="AB826" s="164" t="n"/>
      <c r="AC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20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  <c r="AB827" s="164" t="n"/>
      <c r="AC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20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  <c r="AB828" s="164" t="n"/>
      <c r="AC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20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  <c r="AB829" s="164" t="n"/>
      <c r="AC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20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  <c r="AB830" s="164" t="n"/>
      <c r="AC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20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  <c r="AB831" s="164" t="n"/>
      <c r="AC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20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  <c r="AB832" s="164" t="n"/>
      <c r="AC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20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  <c r="AB833" s="164" t="n"/>
      <c r="AC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20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  <c r="AB834" s="164" t="n"/>
      <c r="AC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20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  <c r="AB835" s="164" t="n"/>
      <c r="AC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20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  <c r="AB836" s="164" t="n"/>
      <c r="AC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20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  <c r="AB837" s="164" t="n"/>
      <c r="AC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20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  <c r="AB838" s="164" t="n"/>
      <c r="AC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20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  <c r="AB839" s="164" t="n"/>
      <c r="AC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20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  <c r="AB840" s="164" t="n"/>
      <c r="AC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20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  <c r="AB841" s="164" t="n"/>
      <c r="AC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20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  <c r="AB842" s="164" t="n"/>
      <c r="AC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20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  <c r="AB843" s="164" t="n"/>
      <c r="AC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20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  <c r="AB844" s="164" t="n"/>
      <c r="AC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20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  <c r="AB845" s="164" t="n"/>
      <c r="AC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20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  <c r="AB846" s="164" t="n"/>
      <c r="AC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20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  <c r="AB847" s="164" t="n"/>
      <c r="AC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20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  <c r="AB848" s="164" t="n"/>
      <c r="AC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20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  <c r="AB849" s="164" t="n"/>
      <c r="AC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20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  <c r="AB850" s="164" t="n"/>
      <c r="AC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20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  <c r="AB851" s="164" t="n"/>
      <c r="AC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20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  <c r="AB852" s="164" t="n"/>
      <c r="AC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20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  <c r="AB853" s="164" t="n"/>
      <c r="AC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20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  <c r="AB854" s="164" t="n"/>
      <c r="AC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20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  <c r="AB855" s="164" t="n"/>
      <c r="AC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20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  <c r="AB856" s="164" t="n"/>
      <c r="AC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20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  <c r="AB857" s="164" t="n"/>
      <c r="AC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20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  <c r="AB858" s="164" t="n"/>
      <c r="AC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20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  <c r="AB859" s="164" t="n"/>
      <c r="AC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20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  <c r="AB860" s="164" t="n"/>
      <c r="AC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20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  <c r="AB861" s="164" t="n"/>
      <c r="AC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20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  <c r="AB862" s="164" t="n"/>
      <c r="AC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20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  <c r="AB863" s="164" t="n"/>
      <c r="AC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20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  <c r="AB864" s="164" t="n"/>
      <c r="AC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20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  <c r="AB865" s="164" t="n"/>
      <c r="AC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20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  <c r="AB866" s="164" t="n"/>
      <c r="AC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20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  <c r="AB867" s="164" t="n"/>
      <c r="AC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20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  <c r="AB868" s="164" t="n"/>
      <c r="AC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20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  <c r="AB869" s="164" t="n"/>
      <c r="AC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20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  <c r="AB870" s="164" t="n"/>
      <c r="AC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20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  <c r="AB871" s="164" t="n"/>
      <c r="AC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20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  <c r="AB872" s="164" t="n"/>
      <c r="AC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20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  <c r="AB873" s="164" t="n"/>
      <c r="AC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20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  <c r="AB874" s="164" t="n"/>
      <c r="AC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20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  <c r="AB875" s="164" t="n"/>
      <c r="AC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20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  <c r="AB876" s="164" t="n"/>
      <c r="AC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20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  <c r="AB877" s="164" t="n"/>
      <c r="AC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20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  <c r="AB878" s="164" t="n"/>
      <c r="AC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20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  <c r="AB879" s="164" t="n"/>
      <c r="AC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20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  <c r="AB880" s="164" t="n"/>
      <c r="AC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20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  <c r="AB881" s="164" t="n"/>
      <c r="AC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20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  <c r="AB882" s="164" t="n"/>
      <c r="AC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20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  <c r="AB883" s="164" t="n"/>
      <c r="AC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20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  <c r="AB884" s="164" t="n"/>
      <c r="AC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20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  <c r="AB885" s="164" t="n"/>
      <c r="AC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20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  <c r="AB886" s="164" t="n"/>
      <c r="AC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20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  <c r="AB887" s="164" t="n"/>
      <c r="AC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20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  <c r="AB888" s="164" t="n"/>
      <c r="AC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20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  <c r="AB889" s="164" t="n"/>
      <c r="AC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20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  <c r="AB890" s="164" t="n"/>
      <c r="AC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20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  <c r="AB891" s="164" t="n"/>
      <c r="AC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20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  <c r="AB892" s="164" t="n"/>
      <c r="AC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20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  <c r="AB893" s="164" t="n"/>
      <c r="AC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20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  <c r="AB894" s="164" t="n"/>
      <c r="AC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20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  <c r="AB895" s="164" t="n"/>
      <c r="AC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20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  <c r="AB896" s="164" t="n"/>
      <c r="AC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20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  <c r="AB897" s="164" t="n"/>
      <c r="AC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20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  <c r="AB898" s="164" t="n"/>
      <c r="AC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20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  <c r="AB899" s="164" t="n"/>
      <c r="AC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20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  <c r="AB900" s="164" t="n"/>
      <c r="AC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20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  <c r="AB901" s="164" t="n"/>
      <c r="AC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20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  <c r="AB902" s="164" t="n"/>
      <c r="AC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20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  <c r="AB903" s="164" t="n"/>
      <c r="AC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20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  <c r="AB904" s="164" t="n"/>
      <c r="AC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20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  <c r="AB905" s="164" t="n"/>
      <c r="AC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20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  <c r="AB906" s="164" t="n"/>
      <c r="AC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20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  <c r="AB907" s="164" t="n"/>
      <c r="AC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20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  <c r="AB908" s="164" t="n"/>
      <c r="AC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20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  <c r="AB909" s="164" t="n"/>
      <c r="AC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20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  <c r="AB910" s="164" t="n"/>
      <c r="AC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20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  <c r="AB911" s="164" t="n"/>
      <c r="AC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20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  <c r="AB912" s="164" t="n"/>
      <c r="AC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20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  <c r="AB913" s="164" t="n"/>
      <c r="AC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20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  <c r="AB914" s="164" t="n"/>
      <c r="AC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20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  <c r="AB915" s="164" t="n"/>
      <c r="AC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20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  <c r="AB916" s="164" t="n"/>
      <c r="AC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20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  <c r="AB917" s="164" t="n"/>
      <c r="AC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20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  <c r="AB918" s="164" t="n"/>
      <c r="AC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20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  <c r="AB919" s="164" t="n"/>
      <c r="AC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20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  <c r="AB920" s="164" t="n"/>
      <c r="AC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20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  <c r="AB921" s="164" t="n"/>
      <c r="AC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20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  <c r="AB922" s="164" t="n"/>
      <c r="AC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20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  <c r="AB923" s="164" t="n"/>
      <c r="AC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20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  <c r="AB924" s="164" t="n"/>
      <c r="AC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20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  <c r="AB925" s="164" t="n"/>
      <c r="AC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20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  <c r="AB926" s="164" t="n"/>
      <c r="AC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20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  <c r="AB927" s="164" t="n"/>
      <c r="AC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20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  <c r="AB928" s="164" t="n"/>
      <c r="AC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20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  <c r="AB929" s="164" t="n"/>
      <c r="AC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20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  <c r="AB930" s="164" t="n"/>
      <c r="AC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20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  <c r="AB931" s="164" t="n"/>
      <c r="AC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20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  <c r="AB932" s="164" t="n"/>
      <c r="AC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20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  <c r="AB933" s="164" t="n"/>
      <c r="AC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20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  <c r="AB934" s="164" t="n"/>
      <c r="AC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20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  <c r="AB935" s="164" t="n"/>
      <c r="AC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20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  <c r="AB936" s="164" t="n"/>
      <c r="AC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20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  <c r="AB937" s="164" t="n"/>
      <c r="AC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20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  <c r="AB938" s="164" t="n"/>
      <c r="AC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20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  <c r="AB939" s="164" t="n"/>
      <c r="AC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20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  <c r="AB940" s="164" t="n"/>
      <c r="AC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20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  <c r="AB941" s="164" t="n"/>
      <c r="AC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20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  <c r="AB942" s="164" t="n"/>
      <c r="AC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20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  <c r="AB943" s="164" t="n"/>
      <c r="AC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20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  <c r="AB944" s="164" t="n"/>
      <c r="AC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20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  <c r="AB945" s="164" t="n"/>
      <c r="AC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20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  <c r="AB946" s="164" t="n"/>
      <c r="AC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20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  <c r="AB947" s="164" t="n"/>
      <c r="AC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20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  <c r="AB948" s="164" t="n"/>
      <c r="AC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20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  <c r="AB949" s="164" t="n"/>
      <c r="AC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20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  <c r="AB950" s="164" t="n"/>
      <c r="AC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20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  <c r="AB951" s="164" t="n"/>
      <c r="AC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20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  <c r="AB952" s="164" t="n"/>
      <c r="AC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20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  <c r="AB953" s="164" t="n"/>
      <c r="AC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20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  <c r="AB954" s="164" t="n"/>
      <c r="AC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20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  <c r="AB955" s="164" t="n"/>
      <c r="AC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20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  <c r="AB956" s="164" t="n"/>
      <c r="AC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20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  <c r="AB957" s="164" t="n"/>
      <c r="AC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20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  <c r="AB958" s="164" t="n"/>
      <c r="AC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20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  <c r="AB959" s="164" t="n"/>
      <c r="AC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20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  <c r="AB960" s="164" t="n"/>
      <c r="AC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20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  <c r="AB961" s="164" t="n"/>
      <c r="AC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20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  <c r="AB962" s="164" t="n"/>
      <c r="AC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20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  <c r="AB963" s="164" t="n"/>
      <c r="AC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20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  <c r="AB964" s="164" t="n"/>
      <c r="AC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20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  <c r="AB965" s="164" t="n"/>
      <c r="AC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20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  <c r="AB966" s="164" t="n"/>
      <c r="AC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20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  <c r="AB967" s="164" t="n"/>
      <c r="AC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20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  <c r="AB968" s="164" t="n"/>
      <c r="AC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20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  <c r="AB969" s="164" t="n"/>
      <c r="AC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20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  <c r="AB970" s="164" t="n"/>
      <c r="AC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20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  <c r="AB971" s="164" t="n"/>
      <c r="AC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20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  <c r="AB972" s="164" t="n"/>
      <c r="AC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20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  <c r="AB973" s="164" t="n"/>
      <c r="AC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20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  <c r="AB974" s="164" t="n"/>
      <c r="AC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20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  <c r="AB975" s="164" t="n"/>
      <c r="AC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20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  <c r="AB976" s="164" t="n"/>
      <c r="AC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20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  <c r="AB977" s="164" t="n"/>
      <c r="AC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20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  <c r="AB978" s="164" t="n"/>
      <c r="AC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20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  <c r="AB979" s="164" t="n"/>
      <c r="AC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20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  <c r="AB980" s="164" t="n"/>
      <c r="AC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20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  <c r="AB981" s="164" t="n"/>
      <c r="AC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20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  <c r="AB982" s="164" t="n"/>
      <c r="AC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20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  <c r="AB983" s="164" t="n"/>
      <c r="AC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20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  <c r="AB984" s="164" t="n"/>
      <c r="AC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20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  <c r="AB985" s="164" t="n"/>
      <c r="AC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20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  <c r="AB986" s="164" t="n"/>
      <c r="AC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20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  <c r="AB987" s="164" t="n"/>
      <c r="AC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20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  <c r="AB988" s="164" t="n"/>
      <c r="AC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20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  <c r="AB989" s="164" t="n"/>
      <c r="AC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20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  <c r="AB990" s="164" t="n"/>
      <c r="AC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20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  <c r="AB991" s="164" t="n"/>
      <c r="AC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20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  <c r="AB992" s="164" t="n"/>
      <c r="AC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20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  <c r="AB993" s="164" t="n"/>
      <c r="AC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20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  <c r="AB994" s="164" t="n"/>
      <c r="AC994" s="164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39" min="1" max="1"/>
    <col width="24.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26547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9636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8448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4306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1797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369958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9127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4101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2875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3540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185009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2191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18762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3645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772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42272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4965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8480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841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476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1140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2078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5725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53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240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50229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15366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22999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2010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1000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41782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65445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13905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2933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2246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41215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43117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2603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347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324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3037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89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69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25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16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28588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4886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1013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137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92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27159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5396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1062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209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237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7875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981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695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49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36498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3772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2179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494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238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14073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1704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1095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514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53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34643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3677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289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159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145</v>
      </c>
      <c r="J77" s="210" t="n"/>
    </row>
    <row r="78">
      <c r="A78" s="209" t="inlineStr">
        <is>
          <t>Download</t>
        </is>
      </c>
      <c r="B78" s="209" t="inlineStr">
        <is>
          <t>Download</t>
        </is>
      </c>
      <c r="C78" s="210" t="inlineStr">
        <is>
          <t>Direct</t>
        </is>
      </c>
      <c r="D78" s="210" t="n"/>
      <c r="E78" s="210" t="n"/>
      <c r="F78" s="210" t="n"/>
      <c r="G78" s="210" t="n"/>
      <c r="H78" s="210" t="n"/>
      <c r="I78" s="210" t="n">
        <v>166143</v>
      </c>
      <c r="J78" s="210" t="n"/>
    </row>
    <row r="79">
      <c r="A79" s="209" t="inlineStr">
        <is>
          <t>Download</t>
        </is>
      </c>
      <c r="B79" s="209" t="inlineStr">
        <is>
          <t>Download</t>
        </is>
      </c>
      <c r="C79" s="210" t="inlineStr">
        <is>
          <t>Referral</t>
        </is>
      </c>
      <c r="D79" s="210" t="n"/>
      <c r="E79" s="210" t="n"/>
      <c r="F79" s="210" t="n"/>
      <c r="G79" s="210" t="n"/>
      <c r="H79" s="210" t="n"/>
      <c r="I79" s="210" t="n">
        <v>24794</v>
      </c>
      <c r="J79" s="210" t="n"/>
    </row>
    <row r="80">
      <c r="A80" s="209" t="inlineStr">
        <is>
          <t>Download</t>
        </is>
      </c>
      <c r="B80" s="209" t="inlineStr">
        <is>
          <t>Download</t>
        </is>
      </c>
      <c r="C80" s="210" t="inlineStr">
        <is>
          <t>Organic</t>
        </is>
      </c>
      <c r="D80" s="210" t="n"/>
      <c r="E80" s="210" t="n"/>
      <c r="F80" s="210" t="n"/>
      <c r="G80" s="210" t="n"/>
      <c r="H80" s="210" t="n"/>
      <c r="I80" s="210" t="n">
        <v>2063</v>
      </c>
      <c r="J80" s="210" t="n"/>
    </row>
    <row r="81">
      <c r="A81" s="209" t="inlineStr">
        <is>
          <t>Download</t>
        </is>
      </c>
      <c r="B81" s="209" t="inlineStr">
        <is>
          <t>Download</t>
        </is>
      </c>
      <c r="C81" s="210" t="inlineStr">
        <is>
          <t>Others</t>
        </is>
      </c>
      <c r="D81" s="210" t="n"/>
      <c r="E81" s="210" t="n"/>
      <c r="F81" s="210" t="n"/>
      <c r="G81" s="210" t="n"/>
      <c r="H81" s="210" t="n"/>
      <c r="I81" s="210" t="n">
        <v>1763</v>
      </c>
      <c r="J81" s="210" t="n"/>
    </row>
    <row r="82">
      <c r="A82" s="209" t="inlineStr">
        <is>
          <t>Download</t>
        </is>
      </c>
      <c r="B82" s="209" t="inlineStr">
        <is>
          <t>Download</t>
        </is>
      </c>
      <c r="C82" s="210" t="inlineStr">
        <is>
          <t>Paid</t>
        </is>
      </c>
      <c r="D82" s="210" t="n"/>
      <c r="E82" s="210" t="n"/>
      <c r="F82" s="210" t="n"/>
      <c r="G82" s="210" t="n"/>
      <c r="H82" s="210" t="n"/>
      <c r="I82" s="210" t="n">
        <v>256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Organic</t>
        </is>
      </c>
      <c r="D83" s="210" t="n">
        <v>27516</v>
      </c>
      <c r="E83" s="210" t="n">
        <v>29603</v>
      </c>
      <c r="F83" s="210" t="n">
        <v>32885</v>
      </c>
      <c r="G83" s="210" t="n">
        <v>27509</v>
      </c>
      <c r="H83" s="210" t="n">
        <v>23622</v>
      </c>
      <c r="I83" s="210" t="n">
        <v>15888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Direct</t>
        </is>
      </c>
      <c r="D84" s="210" t="n">
        <v>3531</v>
      </c>
      <c r="E84" s="210" t="n">
        <v>3726</v>
      </c>
      <c r="F84" s="210" t="n">
        <v>4467</v>
      </c>
      <c r="G84" s="210" t="n">
        <v>4512</v>
      </c>
      <c r="H84" s="210" t="n">
        <v>3582</v>
      </c>
      <c r="I84" s="210" t="n">
        <v>2395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Referral</t>
        </is>
      </c>
      <c r="D85" s="210" t="n">
        <v>1061</v>
      </c>
      <c r="E85" s="210" t="n">
        <v>1180</v>
      </c>
      <c r="F85" s="210" t="n">
        <v>1002</v>
      </c>
      <c r="G85" s="210" t="n">
        <v>1022</v>
      </c>
      <c r="H85" s="210" t="n">
        <v>908</v>
      </c>
      <c r="I85" s="210" t="n">
        <v>468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89</v>
      </c>
      <c r="E86" s="210" t="n">
        <v>177</v>
      </c>
      <c r="F86" s="210" t="n">
        <v>368</v>
      </c>
      <c r="G86" s="210" t="n">
        <v>1708</v>
      </c>
      <c r="H86" s="210" t="n">
        <v>754</v>
      </c>
      <c r="I86" s="210" t="n">
        <v>220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Others</t>
        </is>
      </c>
      <c r="D87" s="210" t="n">
        <v>1453</v>
      </c>
      <c r="E87" s="210" t="n">
        <v>841</v>
      </c>
      <c r="F87" s="210" t="n">
        <v>272</v>
      </c>
      <c r="G87" s="210" t="n">
        <v>246</v>
      </c>
      <c r="H87" s="210" t="n">
        <v>200</v>
      </c>
      <c r="I87" s="210" t="n">
        <v>102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Organic</t>
        </is>
      </c>
      <c r="D88" s="210" t="n">
        <v>6736</v>
      </c>
      <c r="E88" s="210" t="n">
        <v>6770</v>
      </c>
      <c r="F88" s="210" t="n">
        <v>8317</v>
      </c>
      <c r="G88" s="210" t="n">
        <v>7836</v>
      </c>
      <c r="H88" s="210" t="n">
        <v>18523</v>
      </c>
      <c r="I88" s="210" t="n">
        <v>19338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Paid</t>
        </is>
      </c>
      <c r="D89" s="210" t="n">
        <v>784</v>
      </c>
      <c r="E89" s="210" t="n">
        <v>27894</v>
      </c>
      <c r="F89" s="210" t="n">
        <v>10754</v>
      </c>
      <c r="G89" s="210" t="n">
        <v>8395</v>
      </c>
      <c r="H89" s="210" t="n">
        <v>18306</v>
      </c>
      <c r="I89" s="210" t="n">
        <v>773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717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2349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119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9470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4396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Organic</t>
        </is>
      </c>
      <c r="D95" s="210" t="n">
        <v>13358</v>
      </c>
      <c r="E95" s="210" t="n">
        <v>14674</v>
      </c>
      <c r="F95" s="210" t="n">
        <v>13859</v>
      </c>
      <c r="G95" s="210" t="n">
        <v>12932</v>
      </c>
      <c r="H95" s="210" t="n">
        <v>12113</v>
      </c>
      <c r="I95" s="210" t="n">
        <v>5424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Paid</t>
        </is>
      </c>
      <c r="D96" s="210" t="n">
        <v>1462</v>
      </c>
      <c r="E96" s="210" t="n">
        <v>2758</v>
      </c>
      <c r="F96" s="210" t="n">
        <v>12438</v>
      </c>
      <c r="G96" s="210" t="n">
        <v>20900</v>
      </c>
      <c r="H96" s="210" t="n">
        <v>21069</v>
      </c>
      <c r="I96" s="210" t="n">
        <v>802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Direct</t>
        </is>
      </c>
      <c r="D97" s="210" t="n">
        <v>906</v>
      </c>
      <c r="E97" s="210" t="n">
        <v>979</v>
      </c>
      <c r="F97" s="210" t="n">
        <v>933</v>
      </c>
      <c r="G97" s="210" t="n">
        <v>1110</v>
      </c>
      <c r="H97" s="210" t="n">
        <v>826</v>
      </c>
      <c r="I97" s="210" t="n">
        <v>365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Referral</t>
        </is>
      </c>
      <c r="D98" s="210" t="n">
        <v>790</v>
      </c>
      <c r="E98" s="210" t="n">
        <v>659</v>
      </c>
      <c r="F98" s="210" t="n">
        <v>807</v>
      </c>
      <c r="G98" s="210" t="n">
        <v>461</v>
      </c>
      <c r="H98" s="210" t="n">
        <v>541</v>
      </c>
      <c r="I98" s="210" t="n">
        <v>111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Others</t>
        </is>
      </c>
      <c r="D99" s="210" t="n">
        <v>140</v>
      </c>
      <c r="E99" s="210" t="n">
        <v>116</v>
      </c>
      <c r="F99" s="210" t="n">
        <v>124</v>
      </c>
      <c r="G99" s="210" t="n">
        <v>41</v>
      </c>
      <c r="H99" s="210" t="n">
        <v>133</v>
      </c>
      <c r="I99" s="210" t="n">
        <v>28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Direct</t>
        </is>
      </c>
      <c r="D100" s="210" t="n">
        <v>9619</v>
      </c>
      <c r="E100" s="210" t="n">
        <v>9665</v>
      </c>
      <c r="F100" s="210" t="n">
        <v>10651</v>
      </c>
      <c r="G100" s="210" t="n">
        <v>10565</v>
      </c>
      <c r="H100" s="210" t="n">
        <v>9604</v>
      </c>
      <c r="I100" s="210" t="n">
        <v>11558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Organic</t>
        </is>
      </c>
      <c r="D101" s="210" t="n">
        <v>9705</v>
      </c>
      <c r="E101" s="210" t="n">
        <v>8604</v>
      </c>
      <c r="F101" s="210" t="n">
        <v>10092</v>
      </c>
      <c r="G101" s="210" t="n">
        <v>9317</v>
      </c>
      <c r="H101" s="210" t="n">
        <v>9921</v>
      </c>
      <c r="I101" s="210" t="n">
        <v>8238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Referral</t>
        </is>
      </c>
      <c r="D102" s="210" t="n">
        <v>755</v>
      </c>
      <c r="E102" s="210" t="n">
        <v>668</v>
      </c>
      <c r="F102" s="210" t="n">
        <v>1101</v>
      </c>
      <c r="G102" s="210" t="n">
        <v>1497</v>
      </c>
      <c r="H102" s="210" t="n">
        <v>1364</v>
      </c>
      <c r="I102" s="210" t="n">
        <v>684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Paid</t>
        </is>
      </c>
      <c r="D103" s="210" t="n">
        <v>423</v>
      </c>
      <c r="E103" s="210" t="n">
        <v>393</v>
      </c>
      <c r="F103" s="210" t="n">
        <v>301</v>
      </c>
      <c r="G103" s="210" t="n">
        <v>476</v>
      </c>
      <c r="H103" s="210" t="n">
        <v>959</v>
      </c>
      <c r="I103" s="210" t="n">
        <v>673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Others</t>
        </is>
      </c>
      <c r="D104" s="210" t="n">
        <v>267</v>
      </c>
      <c r="E104" s="210" t="n">
        <v>153</v>
      </c>
      <c r="F104" s="210" t="n">
        <v>121</v>
      </c>
      <c r="G104" s="210" t="n">
        <v>159</v>
      </c>
      <c r="H104" s="210" t="n">
        <v>135</v>
      </c>
      <c r="I104" s="210" t="n">
        <v>151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Paid</t>
        </is>
      </c>
      <c r="D105" s="210" t="n">
        <v>14933</v>
      </c>
      <c r="E105" s="210" t="n">
        <v>19164</v>
      </c>
      <c r="F105" s="210" t="n">
        <v>20665</v>
      </c>
      <c r="G105" s="210" t="n">
        <v>762</v>
      </c>
      <c r="H105" s="210" t="n">
        <v>9049</v>
      </c>
      <c r="I105" s="210" t="n">
        <v>209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Direct</t>
        </is>
      </c>
      <c r="D106" s="210" t="n">
        <v>696</v>
      </c>
      <c r="E106" s="210" t="n">
        <v>4408</v>
      </c>
      <c r="F106" s="210" t="n">
        <v>8995</v>
      </c>
      <c r="G106" s="210" t="n">
        <v>15153</v>
      </c>
      <c r="H106" s="210" t="n">
        <v>10305</v>
      </c>
      <c r="I106" s="210" t="n">
        <v>2759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Organic</t>
        </is>
      </c>
      <c r="D107" s="210" t="n">
        <v>1348</v>
      </c>
      <c r="E107" s="210" t="n">
        <v>2147</v>
      </c>
      <c r="F107" s="210" t="n">
        <v>2127</v>
      </c>
      <c r="G107" s="210" t="n">
        <v>1447</v>
      </c>
      <c r="H107" s="210" t="n">
        <v>1694</v>
      </c>
      <c r="I107" s="210" t="n">
        <v>1213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Referral</t>
        </is>
      </c>
      <c r="D108" s="210" t="n">
        <v>74</v>
      </c>
      <c r="E108" s="210" t="n">
        <v>149</v>
      </c>
      <c r="F108" s="210" t="n">
        <v>228</v>
      </c>
      <c r="G108" s="210" t="n">
        <v>348</v>
      </c>
      <c r="H108" s="210" t="n">
        <v>292</v>
      </c>
      <c r="I108" s="210" t="n">
        <v>205</v>
      </c>
      <c r="J108" s="210" t="n"/>
    </row>
    <row r="109">
      <c r="A109" s="209" t="inlineStr">
        <is>
          <t>Trust</t>
        </is>
      </c>
      <c r="B109" s="209" t="inlineStr">
        <is>
          <t>Trust</t>
        </is>
      </c>
      <c r="C109" s="210" t="inlineStr">
        <is>
          <t>Others</t>
        </is>
      </c>
      <c r="D109" s="210" t="n">
        <v>118</v>
      </c>
      <c r="E109" s="210" t="n">
        <v>93</v>
      </c>
      <c r="F109" s="210" t="n">
        <v>119</v>
      </c>
      <c r="G109" s="210" t="n">
        <v>372</v>
      </c>
      <c r="H109" s="210" t="n">
        <v>279</v>
      </c>
      <c r="I109" s="210" t="n">
        <v>45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5938</v>
      </c>
      <c r="E110" s="210" t="n">
        <v>5864</v>
      </c>
      <c r="F110" s="210" t="n">
        <v>6544</v>
      </c>
      <c r="G110" s="210" t="n">
        <v>5942</v>
      </c>
      <c r="H110" s="210" t="n">
        <v>9255</v>
      </c>
      <c r="I110" s="210" t="n">
        <v>3745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Direct</t>
        </is>
      </c>
      <c r="D111" s="210" t="n">
        <v>3211</v>
      </c>
      <c r="E111" s="210" t="n">
        <v>4033</v>
      </c>
      <c r="F111" s="210" t="n">
        <v>4534</v>
      </c>
      <c r="G111" s="210" t="n">
        <v>6551</v>
      </c>
      <c r="H111" s="210" t="n">
        <v>5941</v>
      </c>
      <c r="I111" s="210" t="n">
        <v>3726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Referral</t>
        </is>
      </c>
      <c r="D112" s="210" t="n">
        <v>1638</v>
      </c>
      <c r="E112" s="210" t="n">
        <v>3707</v>
      </c>
      <c r="F112" s="210" t="n">
        <v>5279</v>
      </c>
      <c r="G112" s="210" t="n">
        <v>7955</v>
      </c>
      <c r="H112" s="210" t="n">
        <v>5300</v>
      </c>
      <c r="I112" s="210" t="n">
        <v>3266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1928</v>
      </c>
      <c r="E113" s="210" t="n">
        <v>2158</v>
      </c>
      <c r="F113" s="210" t="n">
        <v>494</v>
      </c>
      <c r="G113" s="210" t="n">
        <v>2209</v>
      </c>
      <c r="H113" s="210" t="n">
        <v>1192</v>
      </c>
      <c r="I113" s="210" t="n">
        <v>213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Others</t>
        </is>
      </c>
      <c r="D114" s="210" t="n">
        <v>635</v>
      </c>
      <c r="E114" s="210" t="n">
        <v>599</v>
      </c>
      <c r="F114" s="210" t="n">
        <v>435</v>
      </c>
      <c r="G114" s="210" t="n">
        <v>439</v>
      </c>
      <c r="H114" s="210" t="n">
        <v>462</v>
      </c>
      <c r="I114" s="210" t="n">
        <v>284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Organic</t>
        </is>
      </c>
      <c r="D115" s="210" t="n">
        <v>9843</v>
      </c>
      <c r="E115" s="210" t="n">
        <v>8784</v>
      </c>
      <c r="F115" s="210" t="n">
        <v>8730</v>
      </c>
      <c r="G115" s="210" t="n">
        <v>8836</v>
      </c>
      <c r="H115" s="210" t="n">
        <v>7193</v>
      </c>
      <c r="I115" s="210" t="n">
        <v>2754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Paid</t>
        </is>
      </c>
      <c r="D116" s="210" t="n">
        <v>22581</v>
      </c>
      <c r="E116" s="210" t="n">
        <v>152</v>
      </c>
      <c r="F116" s="210" t="n">
        <v>904</v>
      </c>
      <c r="G116" s="210" t="n">
        <v>4644</v>
      </c>
      <c r="H116" s="210" t="n">
        <v>4382</v>
      </c>
      <c r="I116" s="210" t="n">
        <v>620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Direct</t>
        </is>
      </c>
      <c r="D117" s="210" t="n">
        <v>1385</v>
      </c>
      <c r="E117" s="210" t="n">
        <v>1194</v>
      </c>
      <c r="F117" s="210" t="n">
        <v>1128</v>
      </c>
      <c r="G117" s="210" t="n">
        <v>1370</v>
      </c>
      <c r="H117" s="210" t="n">
        <v>916</v>
      </c>
      <c r="I117" s="210" t="n">
        <v>421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Referral</t>
        </is>
      </c>
      <c r="D118" s="210" t="n">
        <v>567</v>
      </c>
      <c r="E118" s="210" t="n">
        <v>654</v>
      </c>
      <c r="F118" s="210" t="n">
        <v>602</v>
      </c>
      <c r="G118" s="210" t="n">
        <v>732</v>
      </c>
      <c r="H118" s="210" t="n">
        <v>584</v>
      </c>
      <c r="I118" s="210" t="n">
        <v>347</v>
      </c>
      <c r="J118" s="210" t="n"/>
    </row>
    <row r="119">
      <c r="A119" s="209" t="inlineStr">
        <is>
          <t>Data</t>
        </is>
      </c>
      <c r="B119" s="209" t="inlineStr">
        <is>
          <t>Data</t>
        </is>
      </c>
      <c r="C119" s="210" t="inlineStr">
        <is>
          <t>Others</t>
        </is>
      </c>
      <c r="D119" s="210" t="n">
        <v>341</v>
      </c>
      <c r="E119" s="210" t="n">
        <v>82</v>
      </c>
      <c r="F119" s="210" t="n">
        <v>40</v>
      </c>
      <c r="G119" s="210" t="n">
        <v>30</v>
      </c>
      <c r="H119" s="210" t="n">
        <v>79</v>
      </c>
      <c r="I119" s="210" t="n">
        <v>31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5134</v>
      </c>
      <c r="E120" s="210" t="n">
        <v>6910</v>
      </c>
      <c r="F120" s="210" t="n">
        <v>5550</v>
      </c>
      <c r="G120" s="210" t="n">
        <v>7268</v>
      </c>
      <c r="H120" s="210" t="n">
        <v>8937</v>
      </c>
      <c r="I120" s="210" t="n">
        <v>13873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Paid</t>
        </is>
      </c>
      <c r="D121" s="210" t="n">
        <v>10</v>
      </c>
      <c r="E121" s="210" t="n">
        <v>6214</v>
      </c>
      <c r="F121" s="210" t="n">
        <v>23298</v>
      </c>
      <c r="G121" s="210" t="n">
        <v>1608</v>
      </c>
      <c r="H121" s="210" t="n">
        <v>2020</v>
      </c>
      <c r="I121" s="210" t="n">
        <v>872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Direct</t>
        </is>
      </c>
      <c r="D122" s="210" t="n">
        <v>327</v>
      </c>
      <c r="E122" s="210" t="n">
        <v>486</v>
      </c>
      <c r="F122" s="210" t="n">
        <v>611</v>
      </c>
      <c r="G122" s="210" t="n">
        <v>612</v>
      </c>
      <c r="H122" s="210" t="n">
        <v>889</v>
      </c>
      <c r="I122" s="210" t="n">
        <v>564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534</v>
      </c>
      <c r="E123" s="210" t="n">
        <v>309</v>
      </c>
      <c r="F123" s="210" t="n">
        <v>386</v>
      </c>
      <c r="G123" s="210" t="n">
        <v>239</v>
      </c>
      <c r="H123" s="210" t="n">
        <v>265</v>
      </c>
      <c r="I123" s="210" t="n">
        <v>430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Others</t>
        </is>
      </c>
      <c r="D124" s="210" t="n">
        <v>47</v>
      </c>
      <c r="E124" s="210" t="n">
        <v>140</v>
      </c>
      <c r="F124" s="210" t="n">
        <v>406</v>
      </c>
      <c r="G124" s="210" t="n">
        <v>188</v>
      </c>
      <c r="H124" s="210" t="n">
        <v>319</v>
      </c>
      <c r="I124" s="210" t="n">
        <v>104</v>
      </c>
      <c r="J124" s="210" t="n"/>
    </row>
    <row r="125">
      <c r="A125" s="209" t="inlineStr">
        <is>
          <t>Esim</t>
        </is>
      </c>
      <c r="B125" s="209" t="inlineStr">
        <is>
          <t>Sim</t>
        </is>
      </c>
      <c r="C125" s="210" t="inlineStr">
        <is>
          <t>Paid</t>
        </is>
      </c>
      <c r="D125" s="210" t="n">
        <v>11313</v>
      </c>
      <c r="E125" s="210" t="n">
        <v>14987</v>
      </c>
      <c r="F125" s="210" t="n">
        <v>7234</v>
      </c>
      <c r="G125" s="210" t="n">
        <v>14381</v>
      </c>
      <c r="H125" s="210" t="n">
        <v>13850</v>
      </c>
      <c r="I125" s="210" t="n">
        <v>355</v>
      </c>
      <c r="J125" s="210" t="n"/>
    </row>
    <row r="126">
      <c r="A126" s="209" t="inlineStr">
        <is>
          <t>Esim</t>
        </is>
      </c>
      <c r="B126" s="209" t="inlineStr">
        <is>
          <t>Sim</t>
        </is>
      </c>
      <c r="C126" s="210" t="inlineStr">
        <is>
          <t>Organic</t>
        </is>
      </c>
      <c r="D126" s="210" t="n">
        <v>1622</v>
      </c>
      <c r="E126" s="210" t="n">
        <v>1741</v>
      </c>
      <c r="F126" s="210" t="n">
        <v>2131</v>
      </c>
      <c r="G126" s="210" t="n">
        <v>2270</v>
      </c>
      <c r="H126" s="210" t="n">
        <v>2187</v>
      </c>
      <c r="I126" s="210" t="n">
        <v>982</v>
      </c>
      <c r="J126" s="210" t="n"/>
    </row>
    <row r="127">
      <c r="A127" s="209" t="inlineStr">
        <is>
          <t>Esim</t>
        </is>
      </c>
      <c r="B127" s="209" t="inlineStr">
        <is>
          <t>Sim</t>
        </is>
      </c>
      <c r="C127" s="210" t="inlineStr">
        <is>
          <t>Direct</t>
        </is>
      </c>
      <c r="D127" s="210" t="n">
        <v>785</v>
      </c>
      <c r="E127" s="210" t="n">
        <v>420</v>
      </c>
      <c r="F127" s="210" t="n">
        <v>840</v>
      </c>
      <c r="G127" s="210" t="n">
        <v>2371</v>
      </c>
      <c r="H127" s="210" t="n">
        <v>1904</v>
      </c>
      <c r="I127" s="210" t="n">
        <v>885</v>
      </c>
      <c r="J127" s="210" t="n"/>
    </row>
    <row r="128">
      <c r="A128" s="209" t="inlineStr">
        <is>
          <t>Esim</t>
        </is>
      </c>
      <c r="B128" s="209" t="inlineStr">
        <is>
          <t>Sim</t>
        </is>
      </c>
      <c r="C128" s="210" t="inlineStr">
        <is>
          <t>Referral</t>
        </is>
      </c>
      <c r="D128" s="210" t="n">
        <v>156</v>
      </c>
      <c r="E128" s="210" t="n">
        <v>173</v>
      </c>
      <c r="F128" s="210" t="n">
        <v>161</v>
      </c>
      <c r="G128" s="210" t="n">
        <v>228</v>
      </c>
      <c r="H128" s="210" t="n">
        <v>261</v>
      </c>
      <c r="I128" s="210" t="n">
        <v>148</v>
      </c>
      <c r="J128" s="210" t="n"/>
    </row>
    <row r="129">
      <c r="A129" s="209" t="inlineStr">
        <is>
          <t>Esim</t>
        </is>
      </c>
      <c r="B129" s="209" t="inlineStr">
        <is>
          <t>Sim</t>
        </is>
      </c>
      <c r="C129" s="210" t="inlineStr">
        <is>
          <t>Others</t>
        </is>
      </c>
      <c r="D129" s="210" t="n">
        <v>324</v>
      </c>
      <c r="E129" s="210" t="n">
        <v>103</v>
      </c>
      <c r="F129" s="210" t="n">
        <v>157</v>
      </c>
      <c r="G129" s="210" t="n">
        <v>75</v>
      </c>
      <c r="H129" s="210" t="n">
        <v>82</v>
      </c>
      <c r="I129" s="210" t="n">
        <v>23</v>
      </c>
      <c r="J129" s="210" t="n"/>
    </row>
    <row r="130">
      <c r="A130" s="209" t="inlineStr">
        <is>
          <t>Application Store</t>
        </is>
      </c>
      <c r="B130" s="209" t="inlineStr">
        <is>
          <t>Application Store</t>
        </is>
      </c>
      <c r="C130" s="210" t="inlineStr">
        <is>
          <t>Paid</t>
        </is>
      </c>
      <c r="D130" s="210" t="n">
        <v>198</v>
      </c>
      <c r="E130" s="210" t="n">
        <v>268</v>
      </c>
      <c r="F130" s="210" t="n">
        <v>6366</v>
      </c>
      <c r="G130" s="210" t="n">
        <v>29724</v>
      </c>
      <c r="H130" s="210" t="n">
        <v>17934</v>
      </c>
      <c r="I130" s="210" t="n">
        <v>3071</v>
      </c>
      <c r="J130" s="210" t="n"/>
    </row>
    <row r="131">
      <c r="A131" s="209" t="inlineStr">
        <is>
          <t>Application Store</t>
        </is>
      </c>
      <c r="B131" s="209" t="inlineStr">
        <is>
          <t>Application Store</t>
        </is>
      </c>
      <c r="C131" s="210" t="inlineStr">
        <is>
          <t>Organic</t>
        </is>
      </c>
      <c r="D131" s="210" t="n">
        <v>1878</v>
      </c>
      <c r="E131" s="210" t="n">
        <v>1820</v>
      </c>
      <c r="F131" s="210" t="n">
        <v>2177</v>
      </c>
      <c r="G131" s="210" t="n">
        <v>2089</v>
      </c>
      <c r="H131" s="210" t="n">
        <v>1845</v>
      </c>
      <c r="I131" s="210" t="n">
        <v>1351</v>
      </c>
      <c r="J131" s="210" t="n"/>
    </row>
    <row r="132">
      <c r="A132" s="209" t="inlineStr">
        <is>
          <t>Application Store</t>
        </is>
      </c>
      <c r="B132" s="209" t="inlineStr">
        <is>
          <t>Application Store</t>
        </is>
      </c>
      <c r="C132" s="210" t="inlineStr">
        <is>
          <t>Direct</t>
        </is>
      </c>
      <c r="D132" s="210" t="n">
        <v>485</v>
      </c>
      <c r="E132" s="210" t="n">
        <v>383</v>
      </c>
      <c r="F132" s="210" t="n">
        <v>421</v>
      </c>
      <c r="G132" s="210" t="n">
        <v>816</v>
      </c>
      <c r="H132" s="210" t="n">
        <v>970</v>
      </c>
      <c r="I132" s="210" t="n">
        <v>4311</v>
      </c>
      <c r="J132" s="210" t="n"/>
    </row>
    <row r="133">
      <c r="A133" s="209" t="inlineStr">
        <is>
          <t>Application Store</t>
        </is>
      </c>
      <c r="B133" s="209" t="inlineStr">
        <is>
          <t>Application Store</t>
        </is>
      </c>
      <c r="C133" s="210" t="inlineStr">
        <is>
          <t>Referral</t>
        </is>
      </c>
      <c r="D133" s="210" t="n">
        <v>612</v>
      </c>
      <c r="E133" s="210" t="n">
        <v>658</v>
      </c>
      <c r="F133" s="210" t="n">
        <v>798</v>
      </c>
      <c r="G133" s="210" t="n">
        <v>1094</v>
      </c>
      <c r="H133" s="210" t="n">
        <v>782</v>
      </c>
      <c r="I133" s="210" t="n">
        <v>400</v>
      </c>
      <c r="J133" s="210" t="n"/>
    </row>
    <row r="134">
      <c r="A134" s="209" t="inlineStr">
        <is>
          <t>Application Store</t>
        </is>
      </c>
      <c r="B134" s="209" t="inlineStr">
        <is>
          <t>Application Store</t>
        </is>
      </c>
      <c r="C134" s="210" t="inlineStr">
        <is>
          <t>Others</t>
        </is>
      </c>
      <c r="D134" s="210" t="n">
        <v>77</v>
      </c>
      <c r="E134" s="210" t="n">
        <v>79</v>
      </c>
      <c r="F134" s="210" t="n">
        <v>94</v>
      </c>
      <c r="G134" s="210" t="n">
        <v>231</v>
      </c>
      <c r="H134" s="210" t="n">
        <v>199</v>
      </c>
      <c r="I134" s="210" t="n">
        <v>79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Referral</t>
        </is>
      </c>
      <c r="D135" s="210" t="n">
        <v>5727</v>
      </c>
      <c r="E135" s="210" t="n">
        <v>3257</v>
      </c>
      <c r="F135" s="210" t="n">
        <v>7033</v>
      </c>
      <c r="G135" s="210" t="n">
        <v>7565</v>
      </c>
      <c r="H135" s="210" t="n">
        <v>5267</v>
      </c>
      <c r="I135" s="210" t="n">
        <v>946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Organic</t>
        </is>
      </c>
      <c r="D136" s="210" t="n">
        <v>10106</v>
      </c>
      <c r="E136" s="210" t="n">
        <v>2838</v>
      </c>
      <c r="F136" s="210" t="n">
        <v>3227</v>
      </c>
      <c r="G136" s="210" t="n">
        <v>2343</v>
      </c>
      <c r="H136" s="210" t="n">
        <v>2215</v>
      </c>
      <c r="I136" s="210" t="n">
        <v>1780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Direct</t>
        </is>
      </c>
      <c r="D137" s="210" t="n">
        <v>7072</v>
      </c>
      <c r="E137" s="210" t="n">
        <v>1810</v>
      </c>
      <c r="F137" s="210" t="n">
        <v>1405</v>
      </c>
      <c r="G137" s="210" t="n">
        <v>1592</v>
      </c>
      <c r="H137" s="210" t="n">
        <v>4265</v>
      </c>
      <c r="I137" s="210" t="n">
        <v>3870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Paid</t>
        </is>
      </c>
      <c r="D138" s="210" t="n">
        <v>2853</v>
      </c>
      <c r="E138" s="210" t="n">
        <v>318</v>
      </c>
      <c r="F138" s="210" t="n">
        <v>61</v>
      </c>
      <c r="G138" s="210" t="n">
        <v>124</v>
      </c>
      <c r="H138" s="210" t="n">
        <v>166</v>
      </c>
      <c r="I138" s="210" t="n">
        <v>88</v>
      </c>
      <c r="J138" s="210" t="n"/>
    </row>
    <row r="139">
      <c r="A139" s="209" t="inlineStr">
        <is>
          <t>Campaign</t>
        </is>
      </c>
      <c r="B139" s="209" t="inlineStr">
        <is>
          <t>Campaign</t>
        </is>
      </c>
      <c r="C139" s="210" t="inlineStr">
        <is>
          <t>Others</t>
        </is>
      </c>
      <c r="D139" s="210" t="n">
        <v>568</v>
      </c>
      <c r="E139" s="210" t="n">
        <v>191</v>
      </c>
      <c r="F139" s="210" t="n">
        <v>208</v>
      </c>
      <c r="G139" s="210" t="n">
        <v>247</v>
      </c>
      <c r="H139" s="210" t="n">
        <v>159</v>
      </c>
      <c r="I139" s="210" t="n">
        <v>123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Organic</t>
        </is>
      </c>
      <c r="D140" s="210" t="n">
        <v>10614</v>
      </c>
      <c r="E140" s="210" t="n">
        <v>9363</v>
      </c>
      <c r="F140" s="210" t="n">
        <v>10518</v>
      </c>
      <c r="G140" s="210" t="n">
        <v>10730</v>
      </c>
      <c r="H140" s="210" t="n">
        <v>10492</v>
      </c>
      <c r="I140" s="210" t="n">
        <v>3651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Paid</t>
        </is>
      </c>
      <c r="D141" s="210" t="n">
        <v>20</v>
      </c>
      <c r="E141" s="210" t="n">
        <v>24</v>
      </c>
      <c r="F141" s="210" t="n">
        <v>303</v>
      </c>
      <c r="G141" s="210" t="n">
        <v>907</v>
      </c>
      <c r="H141" s="210" t="n">
        <v>6401</v>
      </c>
      <c r="I141" s="210" t="n">
        <v>4034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Direct</t>
        </is>
      </c>
      <c r="D142" s="210" t="n">
        <v>795</v>
      </c>
      <c r="E142" s="210" t="n">
        <v>954</v>
      </c>
      <c r="F142" s="210" t="n">
        <v>918</v>
      </c>
      <c r="G142" s="210" t="n">
        <v>1002</v>
      </c>
      <c r="H142" s="210" t="n">
        <v>1559</v>
      </c>
      <c r="I142" s="210" t="n">
        <v>894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Referral</t>
        </is>
      </c>
      <c r="D143" s="210" t="n">
        <v>444</v>
      </c>
      <c r="E143" s="210" t="n">
        <v>457</v>
      </c>
      <c r="F143" s="210" t="n">
        <v>479</v>
      </c>
      <c r="G143" s="210" t="n">
        <v>377</v>
      </c>
      <c r="H143" s="210" t="n">
        <v>379</v>
      </c>
      <c r="I143" s="210" t="n">
        <v>155</v>
      </c>
      <c r="J143" s="210" t="n"/>
    </row>
    <row r="144">
      <c r="A144" s="209" t="inlineStr">
        <is>
          <t>Bảo Hiểm Ô Tô</t>
        </is>
      </c>
      <c r="B144" s="209" t="inlineStr">
        <is>
          <t>Bảo Hiểm Ô Tô</t>
        </is>
      </c>
      <c r="C144" s="210" t="inlineStr">
        <is>
          <t>Others</t>
        </is>
      </c>
      <c r="D144" s="210" t="n">
        <v>141</v>
      </c>
      <c r="E144" s="210" t="n">
        <v>145</v>
      </c>
      <c r="F144" s="210" t="n">
        <v>199</v>
      </c>
      <c r="G144" s="210" t="n">
        <v>250</v>
      </c>
      <c r="H144" s="210" t="n">
        <v>191</v>
      </c>
      <c r="I144" s="210" t="n">
        <v>102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Organic</t>
        </is>
      </c>
      <c r="D145" s="210" t="n">
        <v>10612</v>
      </c>
      <c r="E145" s="210" t="n">
        <v>11392</v>
      </c>
      <c r="F145" s="210" t="n">
        <v>12271</v>
      </c>
      <c r="G145" s="210" t="n">
        <v>12380</v>
      </c>
      <c r="H145" s="210" t="n">
        <v>10447</v>
      </c>
      <c r="I145" s="210" t="n">
        <v>6589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Direct</t>
        </is>
      </c>
      <c r="D146" s="210" t="n">
        <v>645</v>
      </c>
      <c r="E146" s="210" t="n">
        <v>648</v>
      </c>
      <c r="F146" s="210" t="n">
        <v>735</v>
      </c>
      <c r="G146" s="210" t="n">
        <v>660</v>
      </c>
      <c r="H146" s="210" t="n">
        <v>494</v>
      </c>
      <c r="I146" s="210" t="n">
        <v>1155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Referral</t>
        </is>
      </c>
      <c r="D147" s="210" t="n">
        <v>346</v>
      </c>
      <c r="E147" s="210" t="n">
        <v>321</v>
      </c>
      <c r="F147" s="210" t="n">
        <v>302</v>
      </c>
      <c r="G147" s="210" t="n">
        <v>294</v>
      </c>
      <c r="H147" s="210" t="n">
        <v>248</v>
      </c>
      <c r="I147" s="210" t="n">
        <v>273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Paid</t>
        </is>
      </c>
      <c r="D148" s="210" t="n">
        <v>5</v>
      </c>
      <c r="E148" s="210" t="n">
        <v>2</v>
      </c>
      <c r="F148" s="210" t="n">
        <v>244</v>
      </c>
      <c r="G148" s="210" t="n">
        <v>576</v>
      </c>
      <c r="H148" s="210" t="n">
        <v>549</v>
      </c>
      <c r="I148" s="210" t="n">
        <v>237</v>
      </c>
      <c r="J148" s="210" t="n"/>
    </row>
    <row r="149">
      <c r="A149" s="209" t="inlineStr">
        <is>
          <t>Blog</t>
        </is>
      </c>
      <c r="B149" s="209" t="inlineStr">
        <is>
          <t>Blog</t>
        </is>
      </c>
      <c r="C149" s="210" t="inlineStr">
        <is>
          <t>Others</t>
        </is>
      </c>
      <c r="D149" s="210" t="n">
        <v>74</v>
      </c>
      <c r="E149" s="210" t="n">
        <v>16</v>
      </c>
      <c r="F149" s="210" t="n">
        <v>13</v>
      </c>
      <c r="G149" s="210" t="n">
        <v>9</v>
      </c>
      <c r="H149" s="210" t="n">
        <v>33</v>
      </c>
      <c r="I149" s="210" t="n">
        <v>67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Paid</t>
        </is>
      </c>
      <c r="D150" s="210" t="n"/>
      <c r="E150" s="210" t="n">
        <v>5</v>
      </c>
      <c r="F150" s="210" t="n">
        <v>15640</v>
      </c>
      <c r="G150" s="210" t="n">
        <v>10098</v>
      </c>
      <c r="H150" s="210" t="n">
        <v>14001</v>
      </c>
      <c r="I150" s="210" t="n">
        <v>2836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Organic</t>
        </is>
      </c>
      <c r="D151" s="210" t="n">
        <v>3197</v>
      </c>
      <c r="E151" s="210" t="n">
        <v>3762</v>
      </c>
      <c r="F151" s="210" t="n">
        <v>4553</v>
      </c>
      <c r="G151" s="210" t="n">
        <v>5735</v>
      </c>
      <c r="H151" s="210" t="n">
        <v>3676</v>
      </c>
      <c r="I151" s="210" t="n">
        <v>3020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Direct</t>
        </is>
      </c>
      <c r="D152" s="210" t="n">
        <v>190</v>
      </c>
      <c r="E152" s="210" t="n">
        <v>191</v>
      </c>
      <c r="F152" s="210" t="n">
        <v>318</v>
      </c>
      <c r="G152" s="210" t="n">
        <v>329</v>
      </c>
      <c r="H152" s="210" t="n">
        <v>162</v>
      </c>
      <c r="I152" s="210" t="n">
        <v>159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Referral</t>
        </is>
      </c>
      <c r="D153" s="210" t="n">
        <v>50</v>
      </c>
      <c r="E153" s="210" t="n">
        <v>63</v>
      </c>
      <c r="F153" s="210" t="n">
        <v>81</v>
      </c>
      <c r="G153" s="210" t="n">
        <v>90</v>
      </c>
      <c r="H153" s="210" t="n">
        <v>78</v>
      </c>
      <c r="I153" s="210" t="n">
        <v>45</v>
      </c>
      <c r="J153" s="210" t="n"/>
    </row>
    <row r="154">
      <c r="A154" s="209" t="inlineStr">
        <is>
          <t>Vé số</t>
        </is>
      </c>
      <c r="B154" s="209" t="inlineStr">
        <is>
          <t>Vé số</t>
        </is>
      </c>
      <c r="C154" s="210" t="inlineStr">
        <is>
          <t>Others</t>
        </is>
      </c>
      <c r="D154" s="210" t="n">
        <v>19</v>
      </c>
      <c r="E154" s="210" t="n">
        <v>10</v>
      </c>
      <c r="F154" s="210" t="n">
        <v>13</v>
      </c>
      <c r="G154" s="210" t="n">
        <v>43</v>
      </c>
      <c r="H154" s="210" t="n">
        <v>93</v>
      </c>
      <c r="I154" s="210" t="n">
        <v>16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4642</v>
      </c>
      <c r="E155" s="210" t="n">
        <v>4202</v>
      </c>
      <c r="F155" s="210" t="n">
        <v>6827</v>
      </c>
      <c r="G155" s="210" t="n">
        <v>6696</v>
      </c>
      <c r="H155" s="210" t="n">
        <v>5190</v>
      </c>
      <c r="I155" s="210" t="n">
        <v>1924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Direct</t>
        </is>
      </c>
      <c r="D156" s="210" t="n">
        <v>1446</v>
      </c>
      <c r="E156" s="210" t="n">
        <v>2736</v>
      </c>
      <c r="F156" s="210" t="n">
        <v>1483</v>
      </c>
      <c r="G156" s="210" t="n">
        <v>1177</v>
      </c>
      <c r="H156" s="210" t="n">
        <v>1071</v>
      </c>
      <c r="I156" s="210" t="n">
        <v>616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Paid</t>
        </is>
      </c>
      <c r="D157" s="210" t="n">
        <v>79</v>
      </c>
      <c r="E157" s="210" t="n">
        <v>88</v>
      </c>
      <c r="F157" s="210" t="n">
        <v>128</v>
      </c>
      <c r="G157" s="210" t="n">
        <v>851</v>
      </c>
      <c r="H157" s="210" t="n">
        <v>4391</v>
      </c>
      <c r="I157" s="210" t="n">
        <v>2887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196</v>
      </c>
      <c r="E158" s="210" t="n">
        <v>190</v>
      </c>
      <c r="F158" s="210" t="n">
        <v>404</v>
      </c>
      <c r="G158" s="210" t="n">
        <v>540</v>
      </c>
      <c r="H158" s="210" t="n">
        <v>499</v>
      </c>
      <c r="I158" s="210" t="n">
        <v>238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Others</t>
        </is>
      </c>
      <c r="D159" s="210" t="n">
        <v>125</v>
      </c>
      <c r="E159" s="210" t="n">
        <v>100</v>
      </c>
      <c r="F159" s="210" t="n">
        <v>70</v>
      </c>
      <c r="G159" s="210" t="n">
        <v>113</v>
      </c>
      <c r="H159" s="210" t="n">
        <v>144</v>
      </c>
      <c r="I159" s="210" t="n">
        <v>67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Direct</t>
        </is>
      </c>
      <c r="D160" s="210" t="n">
        <v>3431</v>
      </c>
      <c r="E160" s="210" t="n">
        <v>15348</v>
      </c>
      <c r="F160" s="210" t="n">
        <v>589</v>
      </c>
      <c r="G160" s="210" t="n">
        <v>4980</v>
      </c>
      <c r="H160" s="210" t="n">
        <v>346</v>
      </c>
      <c r="I160" s="210" t="n">
        <v>338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Organic</t>
        </is>
      </c>
      <c r="D161" s="210" t="n">
        <v>2170</v>
      </c>
      <c r="E161" s="210" t="n">
        <v>2442</v>
      </c>
      <c r="F161" s="210" t="n">
        <v>2908</v>
      </c>
      <c r="G161" s="210" t="n">
        <v>2740</v>
      </c>
      <c r="H161" s="210" t="n">
        <v>3209</v>
      </c>
      <c r="I161" s="210" t="n">
        <v>2374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Referral</t>
        </is>
      </c>
      <c r="D162" s="210" t="n">
        <v>202</v>
      </c>
      <c r="E162" s="210" t="n">
        <v>873</v>
      </c>
      <c r="F162" s="210" t="n">
        <v>124</v>
      </c>
      <c r="G162" s="210" t="n">
        <v>336</v>
      </c>
      <c r="H162" s="210" t="n">
        <v>205</v>
      </c>
      <c r="I162" s="210" t="n">
        <v>162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Paid</t>
        </is>
      </c>
      <c r="D163" s="210" t="n">
        <v>29</v>
      </c>
      <c r="E163" s="210" t="n">
        <v>102</v>
      </c>
      <c r="F163" s="210" t="n">
        <v>111</v>
      </c>
      <c r="G163" s="210" t="n">
        <v>425</v>
      </c>
      <c r="H163" s="210" t="n">
        <v>566</v>
      </c>
      <c r="I163" s="210" t="n">
        <v>91</v>
      </c>
      <c r="J163" s="210" t="n"/>
    </row>
    <row r="164">
      <c r="A164" s="209" t="inlineStr">
        <is>
          <t>Dịch vụ liên kết</t>
        </is>
      </c>
      <c r="B164" s="209" t="inlineStr">
        <is>
          <t>Dịch vụ liên kết</t>
        </is>
      </c>
      <c r="C164" s="210" t="inlineStr">
        <is>
          <t>Others</t>
        </is>
      </c>
      <c r="D164" s="210" t="n">
        <v>46</v>
      </c>
      <c r="E164" s="210" t="n">
        <v>173</v>
      </c>
      <c r="F164" s="210" t="n">
        <v>4</v>
      </c>
      <c r="G164" s="210" t="n">
        <v>35</v>
      </c>
      <c r="H164" s="210" t="n">
        <v>33</v>
      </c>
      <c r="I164" s="210" t="n">
        <v>21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764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Direct</t>
        </is>
      </c>
      <c r="D166" s="210" t="n"/>
      <c r="E166" s="210" t="n"/>
      <c r="F166" s="210" t="n"/>
      <c r="G166" s="210" t="n"/>
      <c r="H166" s="210" t="n"/>
      <c r="I166" s="210" t="n">
        <v>42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39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27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Direct</t>
        </is>
      </c>
      <c r="D169" s="210" t="n">
        <v>7942</v>
      </c>
      <c r="E169" s="210" t="n">
        <v>5822</v>
      </c>
      <c r="F169" s="210" t="n">
        <v>4253</v>
      </c>
      <c r="G169" s="210" t="n">
        <v>7361</v>
      </c>
      <c r="H169" s="210" t="n">
        <v>5117</v>
      </c>
      <c r="I169" s="210" t="n">
        <v>2422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Organic</t>
        </is>
      </c>
      <c r="D170" s="210" t="n">
        <v>629</v>
      </c>
      <c r="E170" s="210" t="n">
        <v>751</v>
      </c>
      <c r="F170" s="210" t="n">
        <v>818</v>
      </c>
      <c r="G170" s="210" t="n">
        <v>798</v>
      </c>
      <c r="H170" s="210" t="n">
        <v>589</v>
      </c>
      <c r="I170" s="210" t="n">
        <v>1039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Referral</t>
        </is>
      </c>
      <c r="D171" s="210" t="n">
        <v>321</v>
      </c>
      <c r="E171" s="210" t="n">
        <v>175</v>
      </c>
      <c r="F171" s="210" t="n">
        <v>131</v>
      </c>
      <c r="G171" s="210" t="n">
        <v>83</v>
      </c>
      <c r="H171" s="210" t="n">
        <v>67</v>
      </c>
      <c r="I171" s="210" t="n">
        <v>95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Others</t>
        </is>
      </c>
      <c r="D172" s="210" t="n">
        <v>64</v>
      </c>
      <c r="E172" s="210" t="n">
        <v>55</v>
      </c>
      <c r="F172" s="210" t="n">
        <v>17</v>
      </c>
      <c r="G172" s="210" t="n">
        <v>13</v>
      </c>
      <c r="H172" s="210" t="n">
        <v>26</v>
      </c>
      <c r="I172" s="210" t="n">
        <v>19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Paid</t>
        </is>
      </c>
      <c r="D173" s="210" t="n">
        <v>28</v>
      </c>
      <c r="E173" s="210" t="n">
        <v>28</v>
      </c>
      <c r="F173" s="210" t="n">
        <v>10</v>
      </c>
      <c r="G173" s="210" t="n">
        <v>28</v>
      </c>
      <c r="H173" s="210" t="n">
        <v>42</v>
      </c>
      <c r="I173" s="210" t="n">
        <v>57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Organic</t>
        </is>
      </c>
      <c r="D174" s="210" t="n">
        <v>5660</v>
      </c>
      <c r="E174" s="210" t="n">
        <v>5083</v>
      </c>
      <c r="F174" s="210" t="n">
        <v>5796</v>
      </c>
      <c r="G174" s="210" t="n">
        <v>5349</v>
      </c>
      <c r="H174" s="210" t="n">
        <v>4483</v>
      </c>
      <c r="I174" s="210" t="n">
        <v>2654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Direct</t>
        </is>
      </c>
      <c r="D175" s="210" t="n">
        <v>848</v>
      </c>
      <c r="E175" s="210" t="n">
        <v>640</v>
      </c>
      <c r="F175" s="210" t="n">
        <v>684</v>
      </c>
      <c r="G175" s="210" t="n">
        <v>1308</v>
      </c>
      <c r="H175" s="210" t="n">
        <v>799</v>
      </c>
      <c r="I175" s="210" t="n">
        <v>563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Referral</t>
        </is>
      </c>
      <c r="D176" s="210" t="n">
        <v>550</v>
      </c>
      <c r="E176" s="210" t="n">
        <v>347</v>
      </c>
      <c r="F176" s="210" t="n">
        <v>400</v>
      </c>
      <c r="G176" s="210" t="n">
        <v>440</v>
      </c>
      <c r="H176" s="210" t="n">
        <v>459</v>
      </c>
      <c r="I176" s="210" t="n">
        <v>289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Paid</t>
        </is>
      </c>
      <c r="D177" s="210" t="n">
        <v>83</v>
      </c>
      <c r="E177" s="210" t="n">
        <v>90</v>
      </c>
      <c r="F177" s="210" t="n">
        <v>97</v>
      </c>
      <c r="G177" s="210" t="n">
        <v>209</v>
      </c>
      <c r="H177" s="210" t="n">
        <v>213</v>
      </c>
      <c r="I177" s="210" t="n">
        <v>101</v>
      </c>
      <c r="J177" s="210" t="n"/>
    </row>
    <row r="178">
      <c r="A178" s="209" t="inlineStr">
        <is>
          <t>P2P</t>
        </is>
      </c>
      <c r="B178" s="209" t="inlineStr">
        <is>
          <t>P2P</t>
        </is>
      </c>
      <c r="C178" s="210" t="inlineStr">
        <is>
          <t>Others</t>
        </is>
      </c>
      <c r="D178" s="210" t="n">
        <v>66</v>
      </c>
      <c r="E178" s="210" t="n">
        <v>54</v>
      </c>
      <c r="F178" s="210" t="n">
        <v>60</v>
      </c>
      <c r="G178" s="210" t="n">
        <v>58</v>
      </c>
      <c r="H178" s="210" t="n">
        <v>33</v>
      </c>
      <c r="I178" s="210" t="n">
        <v>34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Organic</t>
        </is>
      </c>
      <c r="D179" s="210" t="n">
        <v>4269</v>
      </c>
      <c r="E179" s="210" t="n">
        <v>2931</v>
      </c>
      <c r="F179" s="210" t="n">
        <v>4285</v>
      </c>
      <c r="G179" s="210" t="n">
        <v>4426</v>
      </c>
      <c r="H179" s="210" t="n">
        <v>3905</v>
      </c>
      <c r="I179" s="210" t="n">
        <v>1264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Paid</t>
        </is>
      </c>
      <c r="D180" s="210" t="n">
        <v>14</v>
      </c>
      <c r="E180" s="210" t="n">
        <v>537</v>
      </c>
      <c r="F180" s="210" t="n">
        <v>404</v>
      </c>
      <c r="G180" s="210" t="n">
        <v>1267</v>
      </c>
      <c r="H180" s="210" t="n">
        <v>1600</v>
      </c>
      <c r="I180" s="210" t="n">
        <v>394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Direct</t>
        </is>
      </c>
      <c r="D181" s="210" t="n">
        <v>277</v>
      </c>
      <c r="E181" s="210" t="n">
        <v>236</v>
      </c>
      <c r="F181" s="210" t="n">
        <v>286</v>
      </c>
      <c r="G181" s="210" t="n">
        <v>1224</v>
      </c>
      <c r="H181" s="210" t="n">
        <v>416</v>
      </c>
      <c r="I181" s="210" t="n">
        <v>187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Referral</t>
        </is>
      </c>
      <c r="D182" s="210" t="n">
        <v>248</v>
      </c>
      <c r="E182" s="210" t="n">
        <v>157</v>
      </c>
      <c r="F182" s="210" t="n">
        <v>245</v>
      </c>
      <c r="G182" s="210" t="n">
        <v>226</v>
      </c>
      <c r="H182" s="210" t="n">
        <v>145</v>
      </c>
      <c r="I182" s="210" t="n">
        <v>92</v>
      </c>
      <c r="J182" s="210" t="n"/>
    </row>
    <row r="183">
      <c r="A183" s="209" t="inlineStr">
        <is>
          <t>Bảo Hiểm Xe Máy</t>
        </is>
      </c>
      <c r="B183" s="209" t="inlineStr">
        <is>
          <t>Bảo Hiểm Xe Máy</t>
        </is>
      </c>
      <c r="C183" s="210" t="inlineStr">
        <is>
          <t>Others</t>
        </is>
      </c>
      <c r="D183" s="210" t="n">
        <v>102</v>
      </c>
      <c r="E183" s="210" t="n">
        <v>44</v>
      </c>
      <c r="F183" s="210" t="n">
        <v>60</v>
      </c>
      <c r="G183" s="210" t="n">
        <v>124</v>
      </c>
      <c r="H183" s="210" t="n">
        <v>112</v>
      </c>
      <c r="I183" s="210" t="n">
        <v>22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Organic</t>
        </is>
      </c>
      <c r="D184" s="210" t="n">
        <v>3512</v>
      </c>
      <c r="E184" s="210" t="n">
        <v>3508</v>
      </c>
      <c r="F184" s="210" t="n">
        <v>3910</v>
      </c>
      <c r="G184" s="210" t="n">
        <v>3197</v>
      </c>
      <c r="H184" s="210" t="n">
        <v>2967</v>
      </c>
      <c r="I184" s="210" t="n">
        <v>2214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Paid</t>
        </is>
      </c>
      <c r="D185" s="210" t="n">
        <v>3</v>
      </c>
      <c r="E185" s="210" t="n">
        <v>5</v>
      </c>
      <c r="F185" s="210" t="n">
        <v>123</v>
      </c>
      <c r="G185" s="210" t="n">
        <v>2298</v>
      </c>
      <c r="H185" s="210" t="n">
        <v>121</v>
      </c>
      <c r="I185" s="210" t="n">
        <v>51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Direct</t>
        </is>
      </c>
      <c r="D186" s="210" t="n">
        <v>506</v>
      </c>
      <c r="E186" s="210" t="n">
        <v>491</v>
      </c>
      <c r="F186" s="210" t="n">
        <v>360</v>
      </c>
      <c r="G186" s="210" t="n">
        <v>483</v>
      </c>
      <c r="H186" s="210" t="n">
        <v>355</v>
      </c>
      <c r="I186" s="210" t="n">
        <v>196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Referral</t>
        </is>
      </c>
      <c r="D187" s="210" t="n">
        <v>115</v>
      </c>
      <c r="E187" s="210" t="n">
        <v>112</v>
      </c>
      <c r="F187" s="210" t="n">
        <v>112</v>
      </c>
      <c r="G187" s="210" t="n">
        <v>94</v>
      </c>
      <c r="H187" s="210" t="n">
        <v>76</v>
      </c>
      <c r="I187" s="210" t="n">
        <v>47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Others</t>
        </is>
      </c>
      <c r="D188" s="210" t="n">
        <v>28</v>
      </c>
      <c r="E188" s="210" t="n">
        <v>13</v>
      </c>
      <c r="F188" s="210" t="n">
        <v>8</v>
      </c>
      <c r="G188" s="210" t="n">
        <v>4</v>
      </c>
      <c r="H188" s="210" t="n">
        <v>19</v>
      </c>
      <c r="I188" s="210" t="n">
        <v>16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Direct</t>
        </is>
      </c>
      <c r="D189" s="210" t="n">
        <v>24</v>
      </c>
      <c r="E189" s="210" t="n">
        <v>24</v>
      </c>
      <c r="F189" s="210" t="n">
        <v>16</v>
      </c>
      <c r="G189" s="210" t="n">
        <v>6592</v>
      </c>
      <c r="H189" s="210" t="n">
        <v>1299</v>
      </c>
      <c r="I189" s="210" t="n">
        <v>297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Organic</t>
        </is>
      </c>
      <c r="D190" s="210" t="n">
        <v>268</v>
      </c>
      <c r="E190" s="210" t="n">
        <v>183</v>
      </c>
      <c r="F190" s="210" t="n">
        <v>391</v>
      </c>
      <c r="G190" s="210" t="n">
        <v>4471</v>
      </c>
      <c r="H190" s="210" t="n">
        <v>2341</v>
      </c>
      <c r="I190" s="210" t="n">
        <v>491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Paid</t>
        </is>
      </c>
      <c r="D191" s="210" t="n"/>
      <c r="E191" s="210" t="n">
        <v>1</v>
      </c>
      <c r="F191" s="210" t="n"/>
      <c r="G191" s="210" t="n">
        <v>1942</v>
      </c>
      <c r="H191" s="210" t="n">
        <v>2924</v>
      </c>
      <c r="I191" s="210" t="n">
        <v>12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Referral</t>
        </is>
      </c>
      <c r="D192" s="210" t="n">
        <v>10</v>
      </c>
      <c r="E192" s="210" t="n">
        <v>13</v>
      </c>
      <c r="F192" s="210" t="n">
        <v>22</v>
      </c>
      <c r="G192" s="210" t="n">
        <v>408</v>
      </c>
      <c r="H192" s="210" t="n">
        <v>98</v>
      </c>
      <c r="I192" s="210" t="n">
        <v>21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Others</t>
        </is>
      </c>
      <c r="D193" s="210" t="n">
        <v>1</v>
      </c>
      <c r="E193" s="210" t="n">
        <v>2</v>
      </c>
      <c r="F193" s="210" t="n">
        <v>9</v>
      </c>
      <c r="G193" s="210" t="n">
        <v>114</v>
      </c>
      <c r="H193" s="210" t="n">
        <v>37</v>
      </c>
      <c r="I193" s="210" t="n">
        <v>6</v>
      </c>
      <c r="J193" s="210" t="n"/>
    </row>
    <row r="194">
      <c r="A194" s="209" t="inlineStr">
        <is>
          <t>Nước</t>
        </is>
      </c>
      <c r="B194" s="209" t="inlineStr">
        <is>
          <t>Nước</t>
        </is>
      </c>
      <c r="C194" s="210" t="inlineStr">
        <is>
          <t>Direct</t>
        </is>
      </c>
      <c r="D194" s="210" t="n"/>
      <c r="E194" s="210" t="n"/>
      <c r="F194" s="210" t="n"/>
      <c r="G194" s="210" t="n"/>
      <c r="H194" s="210" t="n"/>
      <c r="I194" s="210" t="n">
        <v>18159</v>
      </c>
      <c r="J194" s="210" t="n"/>
    </row>
    <row r="195">
      <c r="A195" s="209" t="inlineStr">
        <is>
          <t>Nước</t>
        </is>
      </c>
      <c r="B195" s="209" t="inlineStr">
        <is>
          <t>Nước</t>
        </is>
      </c>
      <c r="C195" s="210" t="inlineStr">
        <is>
          <t>Organic</t>
        </is>
      </c>
      <c r="D195" s="210" t="n"/>
      <c r="E195" s="210" t="n"/>
      <c r="F195" s="210" t="n"/>
      <c r="G195" s="210" t="n"/>
      <c r="H195" s="210" t="n"/>
      <c r="I195" s="210" t="n">
        <v>1191</v>
      </c>
      <c r="J195" s="210" t="n"/>
    </row>
    <row r="196">
      <c r="A196" s="209" t="inlineStr">
        <is>
          <t>Nước</t>
        </is>
      </c>
      <c r="B196" s="209" t="inlineStr">
        <is>
          <t>Nước</t>
        </is>
      </c>
      <c r="C196" s="210" t="inlineStr">
        <is>
          <t>Others</t>
        </is>
      </c>
      <c r="D196" s="210" t="n"/>
      <c r="E196" s="210" t="n"/>
      <c r="F196" s="210" t="n"/>
      <c r="G196" s="210" t="n"/>
      <c r="H196" s="210" t="n"/>
      <c r="I196" s="210" t="n">
        <v>103</v>
      </c>
      <c r="J196" s="210" t="n"/>
    </row>
    <row r="197">
      <c r="A197" s="209" t="inlineStr">
        <is>
          <t>Nước</t>
        </is>
      </c>
      <c r="B197" s="209" t="inlineStr">
        <is>
          <t>Nước</t>
        </is>
      </c>
      <c r="C197" s="210" t="inlineStr">
        <is>
          <t>Referral</t>
        </is>
      </c>
      <c r="D197" s="210" t="n"/>
      <c r="E197" s="210" t="n"/>
      <c r="F197" s="210" t="n"/>
      <c r="G197" s="210" t="n"/>
      <c r="H197" s="210" t="n"/>
      <c r="I197" s="210" t="n">
        <v>72</v>
      </c>
      <c r="J197" s="210" t="n"/>
    </row>
    <row r="198">
      <c r="A198" s="209" t="inlineStr">
        <is>
          <t>Nước</t>
        </is>
      </c>
      <c r="B198" s="209" t="inlineStr">
        <is>
          <t>Nước</t>
        </is>
      </c>
      <c r="C198" s="210" t="inlineStr">
        <is>
          <t>Paid</t>
        </is>
      </c>
      <c r="D198" s="210" t="n"/>
      <c r="E198" s="210" t="n"/>
      <c r="F198" s="210" t="n"/>
      <c r="G198" s="210" t="n"/>
      <c r="H198" s="210" t="n"/>
      <c r="I198" s="210" t="n">
        <v>25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2242</v>
      </c>
      <c r="E199" s="210" t="n">
        <v>2081</v>
      </c>
      <c r="F199" s="210" t="n">
        <v>2099</v>
      </c>
      <c r="G199" s="210" t="n">
        <v>2380</v>
      </c>
      <c r="H199" s="210" t="n">
        <v>2279</v>
      </c>
      <c r="I199" s="210" t="n">
        <v>1275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Referral</t>
        </is>
      </c>
      <c r="D200" s="210" t="n">
        <v>2338</v>
      </c>
      <c r="E200" s="210" t="n">
        <v>1099</v>
      </c>
      <c r="F200" s="210" t="n">
        <v>571</v>
      </c>
      <c r="G200" s="210" t="n">
        <v>149</v>
      </c>
      <c r="H200" s="210" t="n">
        <v>137</v>
      </c>
      <c r="I200" s="210" t="n">
        <v>91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Direct</t>
        </is>
      </c>
      <c r="D201" s="210" t="n">
        <v>245</v>
      </c>
      <c r="E201" s="210" t="n">
        <v>351</v>
      </c>
      <c r="F201" s="210" t="n">
        <v>209</v>
      </c>
      <c r="G201" s="210" t="n">
        <v>139</v>
      </c>
      <c r="H201" s="210" t="n">
        <v>134</v>
      </c>
      <c r="I201" s="210" t="n">
        <v>128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13</v>
      </c>
      <c r="E202" s="210" t="n">
        <v>14</v>
      </c>
      <c r="F202" s="210" t="n">
        <v>11</v>
      </c>
      <c r="G202" s="210" t="n">
        <v>29</v>
      </c>
      <c r="H202" s="210" t="n">
        <v>69</v>
      </c>
      <c r="I202" s="210" t="n">
        <v>9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Others</t>
        </is>
      </c>
      <c r="D203" s="210" t="n">
        <v>62</v>
      </c>
      <c r="E203" s="210" t="n">
        <v>29</v>
      </c>
      <c r="F203" s="210" t="n">
        <v>12</v>
      </c>
      <c r="G203" s="210" t="n">
        <v>15</v>
      </c>
      <c r="H203" s="210" t="n">
        <v>18</v>
      </c>
      <c r="I203" s="210" t="n">
        <v>9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1969</v>
      </c>
      <c r="E204" s="210" t="n">
        <v>2670</v>
      </c>
      <c r="F204" s="210" t="n">
        <v>3941</v>
      </c>
      <c r="G204" s="210" t="n">
        <v>2798</v>
      </c>
      <c r="H204" s="210" t="n">
        <v>1953</v>
      </c>
      <c r="I204" s="210" t="n">
        <v>1295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Direct</t>
        </is>
      </c>
      <c r="D205" s="210" t="n">
        <v>175</v>
      </c>
      <c r="E205" s="210" t="n">
        <v>261</v>
      </c>
      <c r="F205" s="210" t="n">
        <v>285</v>
      </c>
      <c r="G205" s="210" t="n">
        <v>178</v>
      </c>
      <c r="H205" s="210" t="n">
        <v>129</v>
      </c>
      <c r="I205" s="210" t="n">
        <v>103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Referral</t>
        </is>
      </c>
      <c r="D206" s="210" t="n">
        <v>232</v>
      </c>
      <c r="E206" s="210" t="n">
        <v>167</v>
      </c>
      <c r="F206" s="210" t="n">
        <v>239</v>
      </c>
      <c r="G206" s="210" t="n">
        <v>106</v>
      </c>
      <c r="H206" s="210" t="n">
        <v>73</v>
      </c>
      <c r="I206" s="210" t="n">
        <v>75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2</v>
      </c>
      <c r="F207" s="210" t="n">
        <v>17</v>
      </c>
      <c r="G207" s="210" t="n">
        <v>32</v>
      </c>
      <c r="H207" s="210" t="n">
        <v>29</v>
      </c>
      <c r="I207" s="210" t="n">
        <v>16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Others</t>
        </is>
      </c>
      <c r="D208" s="210" t="n">
        <v>19</v>
      </c>
      <c r="E208" s="210" t="n">
        <v>21</v>
      </c>
      <c r="F208" s="210" t="n">
        <v>3</v>
      </c>
      <c r="G208" s="210" t="n">
        <v>22</v>
      </c>
      <c r="H208" s="210" t="n">
        <v>7</v>
      </c>
      <c r="I208" s="210" t="n">
        <v>10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1076</v>
      </c>
      <c r="E209" s="210" t="n">
        <v>1507</v>
      </c>
      <c r="F209" s="210" t="n">
        <v>2182</v>
      </c>
      <c r="G209" s="210" t="n">
        <v>1781</v>
      </c>
      <c r="H209" s="210" t="n">
        <v>1458</v>
      </c>
      <c r="I209" s="210" t="n">
        <v>1309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Direct</t>
        </is>
      </c>
      <c r="D210" s="210" t="n">
        <v>597</v>
      </c>
      <c r="E210" s="210" t="n">
        <v>337</v>
      </c>
      <c r="F210" s="210" t="n">
        <v>592</v>
      </c>
      <c r="G210" s="210" t="n">
        <v>341</v>
      </c>
      <c r="H210" s="210" t="n">
        <v>717</v>
      </c>
      <c r="I210" s="210" t="n">
        <v>596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Referral</t>
        </is>
      </c>
      <c r="D211" s="210" t="n">
        <v>84</v>
      </c>
      <c r="E211" s="210" t="n">
        <v>40</v>
      </c>
      <c r="F211" s="210" t="n">
        <v>69</v>
      </c>
      <c r="G211" s="210" t="n">
        <v>86</v>
      </c>
      <c r="H211" s="210" t="n">
        <v>58</v>
      </c>
      <c r="I211" s="210" t="n">
        <v>37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Others</t>
        </is>
      </c>
      <c r="D212" s="210" t="n">
        <v>9</v>
      </c>
      <c r="E212" s="210" t="n">
        <v>9</v>
      </c>
      <c r="F212" s="210" t="n">
        <v>8</v>
      </c>
      <c r="G212" s="210" t="n">
        <v>2</v>
      </c>
      <c r="H212" s="210" t="n">
        <v>26</v>
      </c>
      <c r="I212" s="210" t="n">
        <v>64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Paid</t>
        </is>
      </c>
      <c r="D213" s="210" t="n">
        <v>4</v>
      </c>
      <c r="E213" s="210" t="n">
        <v>9</v>
      </c>
      <c r="F213" s="210" t="n">
        <v>2</v>
      </c>
      <c r="G213" s="210" t="n">
        <v>2</v>
      </c>
      <c r="H213" s="210" t="n">
        <v>6</v>
      </c>
      <c r="I213" s="210" t="n">
        <v>13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1846</v>
      </c>
      <c r="E214" s="210" t="n">
        <v>1698</v>
      </c>
      <c r="F214" s="210" t="n">
        <v>1754</v>
      </c>
      <c r="G214" s="210" t="n">
        <v>1540</v>
      </c>
      <c r="H214" s="210" t="n">
        <v>1237</v>
      </c>
      <c r="I214" s="210" t="n">
        <v>577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Paid</t>
        </is>
      </c>
      <c r="D215" s="210" t="n">
        <v>23</v>
      </c>
      <c r="E215" s="210" t="n">
        <v>39</v>
      </c>
      <c r="F215" s="210" t="n">
        <v>67</v>
      </c>
      <c r="G215" s="210" t="n">
        <v>354</v>
      </c>
      <c r="H215" s="210" t="n">
        <v>480</v>
      </c>
      <c r="I215" s="210" t="n">
        <v>73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Direct</t>
        </is>
      </c>
      <c r="D216" s="210" t="n">
        <v>109</v>
      </c>
      <c r="E216" s="210" t="n">
        <v>111</v>
      </c>
      <c r="F216" s="210" t="n">
        <v>127</v>
      </c>
      <c r="G216" s="210" t="n">
        <v>117</v>
      </c>
      <c r="H216" s="210" t="n">
        <v>115</v>
      </c>
      <c r="I216" s="210" t="n">
        <v>322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57</v>
      </c>
      <c r="E217" s="210" t="n">
        <v>59</v>
      </c>
      <c r="F217" s="210" t="n">
        <v>86</v>
      </c>
      <c r="G217" s="210" t="n">
        <v>79</v>
      </c>
      <c r="H217" s="210" t="n">
        <v>62</v>
      </c>
      <c r="I217" s="210" t="n">
        <v>72</v>
      </c>
      <c r="J217" s="210" t="n"/>
    </row>
    <row r="218">
      <c r="A218" s="209" t="inlineStr">
        <is>
          <t>Mở tài khoản ngân hàng</t>
        </is>
      </c>
      <c r="B218" s="209" t="inlineStr">
        <is>
          <t>Mở tài khoản ngân hàng</t>
        </is>
      </c>
      <c r="C218" s="210" t="inlineStr">
        <is>
          <t>Others</t>
        </is>
      </c>
      <c r="D218" s="210" t="n">
        <v>7</v>
      </c>
      <c r="E218" s="210" t="n">
        <v>6</v>
      </c>
      <c r="F218" s="210" t="n">
        <v>5</v>
      </c>
      <c r="G218" s="210" t="n">
        <v>2</v>
      </c>
      <c r="H218" s="210" t="n">
        <v>14</v>
      </c>
      <c r="I218" s="210" t="n">
        <v>4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Organic</t>
        </is>
      </c>
      <c r="D219" s="210" t="n">
        <v>958</v>
      </c>
      <c r="E219" s="210" t="n">
        <v>864</v>
      </c>
      <c r="F219" s="210" t="n">
        <v>2022</v>
      </c>
      <c r="G219" s="210" t="n">
        <v>1972</v>
      </c>
      <c r="H219" s="210" t="n">
        <v>1811</v>
      </c>
      <c r="I219" s="210" t="n">
        <v>871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Referral</t>
        </is>
      </c>
      <c r="D220" s="210" t="n">
        <v>98</v>
      </c>
      <c r="E220" s="210" t="n">
        <v>74</v>
      </c>
      <c r="F220" s="210" t="n">
        <v>170</v>
      </c>
      <c r="G220" s="210" t="n">
        <v>212</v>
      </c>
      <c r="H220" s="210" t="n">
        <v>153</v>
      </c>
      <c r="I220" s="210" t="n">
        <v>75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Direct</t>
        </is>
      </c>
      <c r="D221" s="210" t="n">
        <v>68</v>
      </c>
      <c r="E221" s="210" t="n">
        <v>76</v>
      </c>
      <c r="F221" s="210" t="n">
        <v>139</v>
      </c>
      <c r="G221" s="210" t="n">
        <v>137</v>
      </c>
      <c r="H221" s="210" t="n">
        <v>96</v>
      </c>
      <c r="I221" s="210" t="n">
        <v>88</v>
      </c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Others</t>
        </is>
      </c>
      <c r="D222" s="210" t="n">
        <v>7</v>
      </c>
      <c r="E222" s="210" t="n">
        <v>15</v>
      </c>
      <c r="F222" s="210" t="n">
        <v>8</v>
      </c>
      <c r="G222" s="210" t="n">
        <v>11</v>
      </c>
      <c r="H222" s="210" t="n">
        <v>9</v>
      </c>
      <c r="I222" s="210" t="n"/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Paid</t>
        </is>
      </c>
      <c r="D223" s="210" t="n">
        <v>6</v>
      </c>
      <c r="E223" s="210" t="n">
        <v>5</v>
      </c>
      <c r="F223" s="210" t="n">
        <v>1</v>
      </c>
      <c r="G223" s="210" t="n">
        <v>2</v>
      </c>
      <c r="H223" s="210" t="n">
        <v>8</v>
      </c>
      <c r="I223" s="210" t="n">
        <v>5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1493</v>
      </c>
      <c r="E224" s="210" t="n">
        <v>1273</v>
      </c>
      <c r="F224" s="210" t="n">
        <v>1467</v>
      </c>
      <c r="G224" s="210" t="n">
        <v>1234</v>
      </c>
      <c r="H224" s="210" t="n">
        <v>1206</v>
      </c>
      <c r="I224" s="210" t="n">
        <v>1284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Paid</t>
        </is>
      </c>
      <c r="D225" s="210" t="n">
        <v>4</v>
      </c>
      <c r="E225" s="210" t="n">
        <v>52</v>
      </c>
      <c r="F225" s="210" t="n">
        <v>36</v>
      </c>
      <c r="G225" s="210" t="n">
        <v>72</v>
      </c>
      <c r="H225" s="210" t="n">
        <v>118</v>
      </c>
      <c r="I225" s="210" t="n">
        <v>200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Referral</t>
        </is>
      </c>
      <c r="D226" s="210" t="n">
        <v>85</v>
      </c>
      <c r="E226" s="210" t="n">
        <v>44</v>
      </c>
      <c r="F226" s="210" t="n">
        <v>72</v>
      </c>
      <c r="G226" s="210" t="n">
        <v>58</v>
      </c>
      <c r="H226" s="210" t="n">
        <v>65</v>
      </c>
      <c r="I226" s="210" t="n">
        <v>69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Direct</t>
        </is>
      </c>
      <c r="D227" s="210" t="n">
        <v>52</v>
      </c>
      <c r="E227" s="210" t="n">
        <v>53</v>
      </c>
      <c r="F227" s="210" t="n">
        <v>54</v>
      </c>
      <c r="G227" s="210" t="n">
        <v>65</v>
      </c>
      <c r="H227" s="210" t="n">
        <v>66</v>
      </c>
      <c r="I227" s="210" t="n">
        <v>73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Others</t>
        </is>
      </c>
      <c r="D228" s="210" t="n">
        <v>3</v>
      </c>
      <c r="E228" s="210" t="n">
        <v>7</v>
      </c>
      <c r="F228" s="210" t="n">
        <v>17</v>
      </c>
      <c r="G228" s="210" t="n">
        <v>3</v>
      </c>
      <c r="H228" s="210" t="n">
        <v>9</v>
      </c>
      <c r="I228" s="210" t="n">
        <v>7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Organic</t>
        </is>
      </c>
      <c r="D229" s="210" t="n"/>
      <c r="E229" s="210" t="n"/>
      <c r="F229" s="210" t="n"/>
      <c r="G229" s="210" t="n"/>
      <c r="H229" s="210" t="n"/>
      <c r="I229" s="210" t="n">
        <v>19</v>
      </c>
      <c r="J229" s="210" t="n"/>
    </row>
    <row r="230">
      <c r="A230" s="209" t="inlineStr">
        <is>
          <t>Quản lý chi tiêu</t>
        </is>
      </c>
      <c r="B230" s="209" t="inlineStr">
        <is>
          <t>Quản lý chi tiêu</t>
        </is>
      </c>
      <c r="C230" s="210" t="inlineStr">
        <is>
          <t>Direct</t>
        </is>
      </c>
      <c r="D230" s="210" t="n"/>
      <c r="E230" s="210" t="n"/>
      <c r="F230" s="210" t="n"/>
      <c r="G230" s="210" t="n"/>
      <c r="H230" s="210" t="n"/>
      <c r="I230" s="210" t="n">
        <v>1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Organic</t>
        </is>
      </c>
      <c r="D231" s="210" t="n"/>
      <c r="E231" s="210" t="n"/>
      <c r="F231" s="210" t="n"/>
      <c r="G231" s="210" t="n"/>
      <c r="H231" s="210" t="n"/>
      <c r="I231" s="210" t="n">
        <v>3433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Direct</t>
        </is>
      </c>
      <c r="D232" s="210" t="n"/>
      <c r="E232" s="210" t="n"/>
      <c r="F232" s="210" t="n"/>
      <c r="G232" s="210" t="n"/>
      <c r="H232" s="210" t="n"/>
      <c r="I232" s="210" t="n">
        <v>1406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Referral</t>
        </is>
      </c>
      <c r="D233" s="210" t="n"/>
      <c r="E233" s="210" t="n"/>
      <c r="F233" s="210" t="n"/>
      <c r="G233" s="210" t="n"/>
      <c r="H233" s="210" t="n"/>
      <c r="I233" s="210" t="n">
        <v>845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Paid</t>
        </is>
      </c>
      <c r="D234" s="210" t="n"/>
      <c r="E234" s="210" t="n"/>
      <c r="F234" s="210" t="n"/>
      <c r="G234" s="210" t="n"/>
      <c r="H234" s="210" t="n"/>
      <c r="I234" s="210" t="n">
        <v>360</v>
      </c>
      <c r="J234" s="210" t="n"/>
    </row>
    <row r="235">
      <c r="A235" s="209" t="inlineStr">
        <is>
          <t>Tìm Kiếm</t>
        </is>
      </c>
      <c r="B235" s="209" t="inlineStr">
        <is>
          <t>Tìm Kiếm</t>
        </is>
      </c>
      <c r="C235" s="210" t="inlineStr">
        <is>
          <t>Others</t>
        </is>
      </c>
      <c r="D235" s="210" t="n"/>
      <c r="E235" s="210" t="n"/>
      <c r="F235" s="210" t="n"/>
      <c r="G235" s="210" t="n"/>
      <c r="H235" s="210" t="n"/>
      <c r="I235" s="210" t="n">
        <v>125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741</v>
      </c>
      <c r="E236" s="210" t="n">
        <v>656</v>
      </c>
      <c r="F236" s="210" t="n">
        <v>1063</v>
      </c>
      <c r="G236" s="210" t="n">
        <v>862</v>
      </c>
      <c r="H236" s="210" t="n">
        <v>978</v>
      </c>
      <c r="I236" s="210" t="n">
        <v>210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Direct</t>
        </is>
      </c>
      <c r="D237" s="210" t="n">
        <v>44</v>
      </c>
      <c r="E237" s="210" t="n">
        <v>43</v>
      </c>
      <c r="F237" s="210" t="n">
        <v>56</v>
      </c>
      <c r="G237" s="210" t="n">
        <v>88</v>
      </c>
      <c r="H237" s="210" t="n">
        <v>117</v>
      </c>
      <c r="I237" s="210" t="n">
        <v>34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Referral</t>
        </is>
      </c>
      <c r="D238" s="210" t="n">
        <v>20</v>
      </c>
      <c r="E238" s="210" t="n">
        <v>32</v>
      </c>
      <c r="F238" s="210" t="n">
        <v>46</v>
      </c>
      <c r="G238" s="210" t="n">
        <v>56</v>
      </c>
      <c r="H238" s="210" t="n">
        <v>59</v>
      </c>
      <c r="I238" s="210" t="n">
        <v>20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>
        <v>2</v>
      </c>
      <c r="E239" s="210" t="n">
        <v>40</v>
      </c>
      <c r="F239" s="210" t="n">
        <v>2</v>
      </c>
      <c r="G239" s="210" t="n">
        <v>8</v>
      </c>
      <c r="H239" s="210" t="n">
        <v>44</v>
      </c>
      <c r="I239" s="210" t="n">
        <v>6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Others</t>
        </is>
      </c>
      <c r="D240" s="210" t="n">
        <v>12</v>
      </c>
      <c r="E240" s="210" t="n">
        <v>1</v>
      </c>
      <c r="F240" s="210" t="n">
        <v>16</v>
      </c>
      <c r="G240" s="210" t="n">
        <v>6</v>
      </c>
      <c r="H240" s="210" t="n">
        <v>8</v>
      </c>
      <c r="I240" s="210" t="n"/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Organic</t>
        </is>
      </c>
      <c r="D241" s="210" t="n">
        <v>724</v>
      </c>
      <c r="E241" s="210" t="n">
        <v>737</v>
      </c>
      <c r="F241" s="210" t="n">
        <v>877</v>
      </c>
      <c r="G241" s="210" t="n">
        <v>623</v>
      </c>
      <c r="H241" s="210" t="n">
        <v>541</v>
      </c>
      <c r="I241" s="210" t="n">
        <v>222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Referral</t>
        </is>
      </c>
      <c r="D242" s="210" t="n">
        <v>52</v>
      </c>
      <c r="E242" s="210" t="n">
        <v>43</v>
      </c>
      <c r="F242" s="210" t="n">
        <v>52</v>
      </c>
      <c r="G242" s="210" t="n">
        <v>59</v>
      </c>
      <c r="H242" s="210" t="n">
        <v>25</v>
      </c>
      <c r="I242" s="210" t="n">
        <v>6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Direct</t>
        </is>
      </c>
      <c r="D243" s="210" t="n">
        <v>40</v>
      </c>
      <c r="E243" s="210" t="n">
        <v>26</v>
      </c>
      <c r="F243" s="210" t="n">
        <v>31</v>
      </c>
      <c r="G243" s="210" t="n">
        <v>49</v>
      </c>
      <c r="H243" s="210" t="n">
        <v>40</v>
      </c>
      <c r="I243" s="210" t="n">
        <v>31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Paid</t>
        </is>
      </c>
      <c r="D244" s="210" t="n">
        <v>38</v>
      </c>
      <c r="E244" s="210" t="n">
        <v>22</v>
      </c>
      <c r="F244" s="210" t="n">
        <v>7</v>
      </c>
      <c r="G244" s="210" t="n">
        <v>10</v>
      </c>
      <c r="H244" s="210" t="n">
        <v>3</v>
      </c>
      <c r="I244" s="210" t="n">
        <v>3</v>
      </c>
      <c r="J244" s="210" t="n"/>
    </row>
    <row r="245">
      <c r="A245" s="209" t="inlineStr">
        <is>
          <t>Thanh Toán Khoản Vay</t>
        </is>
      </c>
      <c r="B245" s="209" t="inlineStr">
        <is>
          <t>Financial Hub</t>
        </is>
      </c>
      <c r="C245" s="210" t="inlineStr">
        <is>
          <t>Others</t>
        </is>
      </c>
      <c r="D245" s="210" t="n">
        <v>10</v>
      </c>
      <c r="E245" s="210" t="n">
        <v>4</v>
      </c>
      <c r="F245" s="210" t="n">
        <v>2</v>
      </c>
      <c r="G245" s="210" t="n">
        <v>3</v>
      </c>
      <c r="H245" s="210" t="n">
        <v>1</v>
      </c>
      <c r="I245" s="210" t="n">
        <v>12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606</v>
      </c>
      <c r="E246" s="210" t="n">
        <v>553</v>
      </c>
      <c r="F246" s="210" t="n">
        <v>590</v>
      </c>
      <c r="G246" s="210" t="n">
        <v>507</v>
      </c>
      <c r="H246" s="210" t="n">
        <v>355</v>
      </c>
      <c r="I246" s="210" t="n">
        <v>718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Referral</t>
        </is>
      </c>
      <c r="D247" s="210" t="n">
        <v>38</v>
      </c>
      <c r="E247" s="210" t="n">
        <v>57</v>
      </c>
      <c r="F247" s="210" t="n">
        <v>67</v>
      </c>
      <c r="G247" s="210" t="n">
        <v>66</v>
      </c>
      <c r="H247" s="210" t="n">
        <v>57</v>
      </c>
      <c r="I247" s="210" t="n">
        <v>47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Direct</t>
        </is>
      </c>
      <c r="D248" s="210" t="n">
        <v>39</v>
      </c>
      <c r="E248" s="210" t="n">
        <v>51</v>
      </c>
      <c r="F248" s="210" t="n">
        <v>41</v>
      </c>
      <c r="G248" s="210" t="n">
        <v>36</v>
      </c>
      <c r="H248" s="210" t="n">
        <v>35</v>
      </c>
      <c r="I248" s="210" t="n">
        <v>67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4</v>
      </c>
      <c r="E249" s="210" t="n">
        <v>6</v>
      </c>
      <c r="F249" s="210" t="n">
        <v>3</v>
      </c>
      <c r="G249" s="210" t="n">
        <v>9</v>
      </c>
      <c r="H249" s="210" t="n">
        <v>17</v>
      </c>
      <c r="I249" s="210" t="n">
        <v>91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Others</t>
        </is>
      </c>
      <c r="D250" s="210" t="n">
        <v>6</v>
      </c>
      <c r="E250" s="210" t="n">
        <v>5</v>
      </c>
      <c r="F250" s="210" t="n">
        <v>4</v>
      </c>
      <c r="G250" s="210" t="n">
        <v>4</v>
      </c>
      <c r="H250" s="210" t="n">
        <v>6</v>
      </c>
      <c r="I250" s="210" t="n">
        <v>9</v>
      </c>
      <c r="J250" s="210" t="n"/>
    </row>
    <row r="251">
      <c r="A251" s="209" t="inlineStr">
        <is>
          <t>Tiết Kiệm Online</t>
        </is>
      </c>
      <c r="B251" s="209" t="inlineStr">
        <is>
          <t>Financial Hub</t>
        </is>
      </c>
      <c r="C251" s="210" t="inlineStr">
        <is>
          <t>Organic</t>
        </is>
      </c>
      <c r="D251" s="210" t="n">
        <v>382</v>
      </c>
      <c r="E251" s="210" t="n">
        <v>359</v>
      </c>
      <c r="F251" s="210" t="n">
        <v>485</v>
      </c>
      <c r="G251" s="210" t="n">
        <v>462</v>
      </c>
      <c r="H251" s="210" t="n">
        <v>412</v>
      </c>
      <c r="I251" s="210" t="n">
        <v>623</v>
      </c>
      <c r="J251" s="210" t="n"/>
    </row>
    <row r="252">
      <c r="A252" s="209" t="inlineStr">
        <is>
          <t>Tiết Kiệm Online</t>
        </is>
      </c>
      <c r="B252" s="209" t="inlineStr">
        <is>
          <t>Financial Hub</t>
        </is>
      </c>
      <c r="C252" s="210" t="inlineStr">
        <is>
          <t>Direct</t>
        </is>
      </c>
      <c r="D252" s="210" t="n">
        <v>14</v>
      </c>
      <c r="E252" s="210" t="n">
        <v>18</v>
      </c>
      <c r="F252" s="210" t="n">
        <v>23</v>
      </c>
      <c r="G252" s="210" t="n">
        <v>16</v>
      </c>
      <c r="H252" s="210" t="n">
        <v>22</v>
      </c>
      <c r="I252" s="210" t="n">
        <v>123</v>
      </c>
      <c r="J252" s="210" t="n"/>
    </row>
    <row r="253">
      <c r="A253" s="209" t="inlineStr">
        <is>
          <t>Tiết Kiệm Online</t>
        </is>
      </c>
      <c r="B253" s="209" t="inlineStr">
        <is>
          <t>Financial Hub</t>
        </is>
      </c>
      <c r="C253" s="210" t="inlineStr">
        <is>
          <t>Referral</t>
        </is>
      </c>
      <c r="D253" s="210" t="n">
        <v>28</v>
      </c>
      <c r="E253" s="210" t="n">
        <v>30</v>
      </c>
      <c r="F253" s="210" t="n">
        <v>39</v>
      </c>
      <c r="G253" s="210" t="n">
        <v>32</v>
      </c>
      <c r="H253" s="210" t="n">
        <v>36</v>
      </c>
      <c r="I253" s="210" t="n">
        <v>34</v>
      </c>
      <c r="J253" s="210" t="n"/>
    </row>
    <row r="254">
      <c r="A254" s="209" t="inlineStr">
        <is>
          <t>Tiết Kiệm Online</t>
        </is>
      </c>
      <c r="B254" s="209" t="inlineStr">
        <is>
          <t>Financial Hub</t>
        </is>
      </c>
      <c r="C254" s="210" t="inlineStr">
        <is>
          <t>Paid</t>
        </is>
      </c>
      <c r="D254" s="210" t="n">
        <v>1</v>
      </c>
      <c r="E254" s="210" t="n"/>
      <c r="F254" s="210" t="n"/>
      <c r="G254" s="210" t="n">
        <v>5</v>
      </c>
      <c r="H254" s="210" t="n">
        <v>8</v>
      </c>
      <c r="I254" s="210" t="n">
        <v>110</v>
      </c>
      <c r="J254" s="210" t="n"/>
    </row>
    <row r="255">
      <c r="A255" s="209" t="inlineStr">
        <is>
          <t>Tiết Kiệm Online</t>
        </is>
      </c>
      <c r="B255" s="209" t="inlineStr">
        <is>
          <t>Financial Hub</t>
        </is>
      </c>
      <c r="C255" s="210" t="inlineStr">
        <is>
          <t>Others</t>
        </is>
      </c>
      <c r="D255" s="210" t="n">
        <v>6</v>
      </c>
      <c r="E255" s="210" t="n">
        <v>1</v>
      </c>
      <c r="F255" s="210" t="n">
        <v>3</v>
      </c>
      <c r="G255" s="210" t="n">
        <v>5</v>
      </c>
      <c r="H255" s="210" t="n">
        <v>3</v>
      </c>
      <c r="I255" s="210" t="n">
        <v>4</v>
      </c>
      <c r="J255" s="210" t="n"/>
    </row>
    <row r="256">
      <c r="A256" s="209" t="inlineStr">
        <is>
          <t>Tin Tức</t>
        </is>
      </c>
      <c r="B256" s="209" t="inlineStr">
        <is>
          <t>Tin Tức</t>
        </is>
      </c>
      <c r="C256" s="210" t="inlineStr">
        <is>
          <t>Organic</t>
        </is>
      </c>
      <c r="D256" s="210" t="n"/>
      <c r="E256" s="210" t="n"/>
      <c r="F256" s="210" t="n"/>
      <c r="G256" s="210" t="n"/>
      <c r="H256" s="210" t="n"/>
      <c r="I256" s="210" t="n">
        <v>1103</v>
      </c>
      <c r="J256" s="210" t="n"/>
    </row>
    <row r="257">
      <c r="A257" s="209" t="inlineStr">
        <is>
          <t>Tin Tức</t>
        </is>
      </c>
      <c r="B257" s="209" t="inlineStr">
        <is>
          <t>Tin Tức</t>
        </is>
      </c>
      <c r="C257" s="210" t="inlineStr">
        <is>
          <t>Direct</t>
        </is>
      </c>
      <c r="D257" s="210" t="n"/>
      <c r="E257" s="210" t="n"/>
      <c r="F257" s="210" t="n"/>
      <c r="G257" s="210" t="n"/>
      <c r="H257" s="210" t="n"/>
      <c r="I257" s="210" t="n">
        <v>870</v>
      </c>
      <c r="J257" s="210" t="n"/>
    </row>
    <row r="258">
      <c r="A258" s="209" t="inlineStr">
        <is>
          <t>Tin Tức</t>
        </is>
      </c>
      <c r="B258" s="209" t="inlineStr">
        <is>
          <t>Tin Tức</t>
        </is>
      </c>
      <c r="C258" s="210" t="inlineStr">
        <is>
          <t>Referral</t>
        </is>
      </c>
      <c r="D258" s="210" t="n"/>
      <c r="E258" s="210" t="n"/>
      <c r="F258" s="210" t="n"/>
      <c r="G258" s="210" t="n"/>
      <c r="H258" s="210" t="n"/>
      <c r="I258" s="210" t="n">
        <v>486</v>
      </c>
      <c r="J258" s="210" t="n"/>
    </row>
    <row r="259">
      <c r="A259" s="209" t="inlineStr">
        <is>
          <t>Tin Tức</t>
        </is>
      </c>
      <c r="B259" s="209" t="inlineStr">
        <is>
          <t>Tin Tức</t>
        </is>
      </c>
      <c r="C259" s="210" t="inlineStr">
        <is>
          <t>Others</t>
        </is>
      </c>
      <c r="D259" s="210" t="n"/>
      <c r="E259" s="210" t="n"/>
      <c r="F259" s="210" t="n"/>
      <c r="G259" s="210" t="n"/>
      <c r="H259" s="210" t="n"/>
      <c r="I259" s="210" t="n">
        <v>146</v>
      </c>
      <c r="J259" s="210" t="n"/>
    </row>
    <row r="260">
      <c r="A260" s="209" t="inlineStr">
        <is>
          <t>Tin Tức</t>
        </is>
      </c>
      <c r="B260" s="209" t="inlineStr">
        <is>
          <t>Tin Tức</t>
        </is>
      </c>
      <c r="C260" s="210" t="inlineStr">
        <is>
          <t>Paid</t>
        </is>
      </c>
      <c r="D260" s="210" t="n"/>
      <c r="E260" s="210" t="n"/>
      <c r="F260" s="210" t="n"/>
      <c r="G260" s="210" t="n"/>
      <c r="H260" s="210" t="n"/>
      <c r="I260" s="210" t="n">
        <v>25</v>
      </c>
      <c r="J260" s="210" t="n"/>
    </row>
    <row r="261">
      <c r="A261" s="209" t="inlineStr">
        <is>
          <t>Cinema_Landing Page</t>
        </is>
      </c>
      <c r="B261" s="209" t="inlineStr">
        <is>
          <t>Cinema Hub</t>
        </is>
      </c>
      <c r="C261" s="210" t="inlineStr">
        <is>
          <t>Organic</t>
        </is>
      </c>
      <c r="D261" s="210" t="n">
        <v>133</v>
      </c>
      <c r="E261" s="210" t="n">
        <v>200</v>
      </c>
      <c r="F261" s="210" t="n">
        <v>75</v>
      </c>
      <c r="G261" s="210" t="n">
        <v>88</v>
      </c>
      <c r="H261" s="210" t="n">
        <v>71</v>
      </c>
      <c r="I261" s="210" t="n">
        <v>1460</v>
      </c>
      <c r="J261" s="210" t="n"/>
    </row>
    <row r="262">
      <c r="A262" s="209" t="inlineStr">
        <is>
          <t>Cinema_Landing Page</t>
        </is>
      </c>
      <c r="B262" s="209" t="inlineStr">
        <is>
          <t>Cinema Hub</t>
        </is>
      </c>
      <c r="C262" s="210" t="inlineStr">
        <is>
          <t>Paid</t>
        </is>
      </c>
      <c r="D262" s="210" t="n"/>
      <c r="E262" s="210" t="n"/>
      <c r="F262" s="210" t="n"/>
      <c r="G262" s="210" t="n"/>
      <c r="H262" s="210" t="n"/>
      <c r="I262" s="210" t="n">
        <v>141</v>
      </c>
      <c r="J262" s="210" t="n"/>
    </row>
    <row r="263">
      <c r="A263" s="209" t="inlineStr">
        <is>
          <t>Cinema_Landing Page</t>
        </is>
      </c>
      <c r="B263" s="209" t="inlineStr">
        <is>
          <t>Cinema Hub</t>
        </is>
      </c>
      <c r="C263" s="210" t="inlineStr">
        <is>
          <t>Direct</t>
        </is>
      </c>
      <c r="D263" s="210" t="n">
        <v>7</v>
      </c>
      <c r="E263" s="210" t="n">
        <v>15</v>
      </c>
      <c r="F263" s="210" t="n">
        <v>8</v>
      </c>
      <c r="G263" s="210" t="n">
        <v>5</v>
      </c>
      <c r="H263" s="210" t="n">
        <v>9</v>
      </c>
      <c r="I263" s="210" t="n">
        <v>60</v>
      </c>
      <c r="J263" s="210" t="n"/>
    </row>
    <row r="264">
      <c r="A264" s="209" t="inlineStr">
        <is>
          <t>Cinema_Landing Page</t>
        </is>
      </c>
      <c r="B264" s="209" t="inlineStr">
        <is>
          <t>Cinema Hub</t>
        </is>
      </c>
      <c r="C264" s="210" t="inlineStr">
        <is>
          <t>Referral</t>
        </is>
      </c>
      <c r="D264" s="210" t="n">
        <v>3</v>
      </c>
      <c r="E264" s="210" t="n">
        <v>2</v>
      </c>
      <c r="F264" s="210" t="n">
        <v>2</v>
      </c>
      <c r="G264" s="210" t="n">
        <v>4</v>
      </c>
      <c r="H264" s="210" t="n"/>
      <c r="I264" s="210" t="n">
        <v>38</v>
      </c>
      <c r="J264" s="210" t="n"/>
    </row>
    <row r="265">
      <c r="A265" s="209" t="inlineStr">
        <is>
          <t>Cinema_Landing Page</t>
        </is>
      </c>
      <c r="B265" s="209" t="inlineStr">
        <is>
          <t>Cinema Hub</t>
        </is>
      </c>
      <c r="C265" s="210" t="inlineStr">
        <is>
          <t>Others</t>
        </is>
      </c>
      <c r="D265" s="210" t="n">
        <v>2</v>
      </c>
      <c r="E265" s="210" t="n">
        <v>5</v>
      </c>
      <c r="F265" s="210" t="n"/>
      <c r="G265" s="210" t="n">
        <v>7</v>
      </c>
      <c r="H265" s="210" t="n"/>
      <c r="I265" s="210" t="n">
        <v>6</v>
      </c>
      <c r="J265" s="210" t="n"/>
    </row>
    <row r="266">
      <c r="A266" s="209" t="inlineStr">
        <is>
          <t>Tiện Ích Giao Thông</t>
        </is>
      </c>
      <c r="B266" s="209" t="inlineStr">
        <is>
          <t>Tiện Ích Giao Thông</t>
        </is>
      </c>
      <c r="C266" s="210" t="inlineStr">
        <is>
          <t>Organic</t>
        </is>
      </c>
      <c r="D266" s="210" t="n"/>
      <c r="E266" s="210" t="n"/>
      <c r="F266" s="210" t="n"/>
      <c r="G266" s="210" t="n"/>
      <c r="H266" s="210" t="n">
        <v>997</v>
      </c>
      <c r="I266" s="210" t="n">
        <v>658</v>
      </c>
      <c r="J266" s="210" t="n"/>
    </row>
    <row r="267">
      <c r="A267" s="209" t="inlineStr">
        <is>
          <t>Tiện Ích Giao Thông</t>
        </is>
      </c>
      <c r="B267" s="209" t="inlineStr">
        <is>
          <t>Tiện Ích Giao Thông</t>
        </is>
      </c>
      <c r="C267" s="210" t="inlineStr">
        <is>
          <t>Direct</t>
        </is>
      </c>
      <c r="D267" s="210" t="n"/>
      <c r="E267" s="210" t="n"/>
      <c r="F267" s="210" t="n"/>
      <c r="G267" s="210" t="n"/>
      <c r="H267" s="210" t="n">
        <v>75</v>
      </c>
      <c r="I267" s="210" t="n">
        <v>337</v>
      </c>
      <c r="J267" s="210" t="n"/>
    </row>
    <row r="268">
      <c r="A268" s="209" t="inlineStr">
        <is>
          <t>Tiện Ích Giao Thông</t>
        </is>
      </c>
      <c r="B268" s="209" t="inlineStr">
        <is>
          <t>Tiện Ích Giao Thông</t>
        </is>
      </c>
      <c r="C268" s="210" t="inlineStr">
        <is>
          <t>Others</t>
        </is>
      </c>
      <c r="D268" s="210" t="n"/>
      <c r="E268" s="210" t="n"/>
      <c r="F268" s="210" t="n"/>
      <c r="G268" s="210" t="n"/>
      <c r="H268" s="210" t="n">
        <v>73</v>
      </c>
      <c r="I268" s="210" t="n">
        <v>40</v>
      </c>
      <c r="J268" s="210" t="n"/>
    </row>
    <row r="269">
      <c r="A269" s="209" t="inlineStr">
        <is>
          <t>Tiện Ích Giao Thông</t>
        </is>
      </c>
      <c r="B269" s="209" t="inlineStr">
        <is>
          <t>Tiện Ích Giao Thông</t>
        </is>
      </c>
      <c r="C269" s="210" t="inlineStr">
        <is>
          <t>Referral</t>
        </is>
      </c>
      <c r="D269" s="210" t="n"/>
      <c r="E269" s="210" t="n"/>
      <c r="F269" s="210" t="n"/>
      <c r="G269" s="210" t="n"/>
      <c r="H269" s="210" t="n">
        <v>23</v>
      </c>
      <c r="I269" s="210" t="n">
        <v>34</v>
      </c>
      <c r="J269" s="210" t="n"/>
    </row>
    <row r="270">
      <c r="A270" s="209" t="inlineStr">
        <is>
          <t>Tiện Ích Giao Thông</t>
        </is>
      </c>
      <c r="B270" s="209" t="inlineStr">
        <is>
          <t>Tiện Ích Giao Thông</t>
        </is>
      </c>
      <c r="C270" s="210" t="inlineStr">
        <is>
          <t>Paid</t>
        </is>
      </c>
      <c r="D270" s="210" t="n"/>
      <c r="E270" s="210" t="n"/>
      <c r="F270" s="210" t="n"/>
      <c r="G270" s="210" t="n"/>
      <c r="H270" s="210" t="n">
        <v>11</v>
      </c>
      <c r="I270" s="210" t="n">
        <v>23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Organic</t>
        </is>
      </c>
      <c r="D271" s="210" t="n">
        <v>396</v>
      </c>
      <c r="E271" s="210" t="n">
        <v>359</v>
      </c>
      <c r="F271" s="210" t="n">
        <v>387</v>
      </c>
      <c r="G271" s="210" t="n">
        <v>297</v>
      </c>
      <c r="H271" s="210" t="n">
        <v>184</v>
      </c>
      <c r="I271" s="210" t="n">
        <v>179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Direct</t>
        </is>
      </c>
      <c r="D272" s="210" t="n">
        <v>60</v>
      </c>
      <c r="E272" s="210" t="n">
        <v>34</v>
      </c>
      <c r="F272" s="210" t="n">
        <v>50</v>
      </c>
      <c r="G272" s="210" t="n">
        <v>40</v>
      </c>
      <c r="H272" s="210" t="n">
        <v>17</v>
      </c>
      <c r="I272" s="210" t="n">
        <v>8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Referral</t>
        </is>
      </c>
      <c r="D273" s="210" t="n">
        <v>23</v>
      </c>
      <c r="E273" s="210" t="n">
        <v>27</v>
      </c>
      <c r="F273" s="210" t="n">
        <v>30</v>
      </c>
      <c r="G273" s="210" t="n">
        <v>15</v>
      </c>
      <c r="H273" s="210" t="n">
        <v>8</v>
      </c>
      <c r="I273" s="210" t="n">
        <v>11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3</v>
      </c>
      <c r="E274" s="210" t="n">
        <v>7</v>
      </c>
      <c r="F274" s="210" t="n">
        <v>1</v>
      </c>
      <c r="G274" s="210" t="n">
        <v>5</v>
      </c>
      <c r="H274" s="210" t="n">
        <v>3</v>
      </c>
      <c r="I274" s="210" t="n">
        <v>9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Others</t>
        </is>
      </c>
      <c r="D275" s="210" t="n">
        <v>4</v>
      </c>
      <c r="E275" s="210" t="n">
        <v>5</v>
      </c>
      <c r="F275" s="210" t="n"/>
      <c r="G275" s="210" t="n">
        <v>5</v>
      </c>
      <c r="H275" s="210" t="n"/>
      <c r="I275" s="210" t="n">
        <v>9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823</v>
      </c>
      <c r="I276" s="210" t="n">
        <v>410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Paid</t>
        </is>
      </c>
      <c r="D277" s="210" t="n"/>
      <c r="E277" s="210" t="n"/>
      <c r="F277" s="210" t="n"/>
      <c r="G277" s="210" t="n"/>
      <c r="H277" s="210" t="n">
        <v>112</v>
      </c>
      <c r="I277" s="210" t="n">
        <v>13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Direct</t>
        </is>
      </c>
      <c r="D278" s="210" t="n"/>
      <c r="E278" s="210" t="n"/>
      <c r="F278" s="210" t="n"/>
      <c r="G278" s="210" t="n"/>
      <c r="H278" s="210" t="n">
        <v>71</v>
      </c>
      <c r="I278" s="210" t="n">
        <v>32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30</v>
      </c>
      <c r="I279" s="210" t="n">
        <v>15</v>
      </c>
      <c r="J279" s="210" t="n"/>
    </row>
    <row r="280">
      <c r="A280" s="209" t="inlineStr">
        <is>
          <t>Phí Không Dừng</t>
        </is>
      </c>
      <c r="B280" s="209" t="inlineStr">
        <is>
          <t>Phí Không Dừng</t>
        </is>
      </c>
      <c r="C280" s="210" t="inlineStr">
        <is>
          <t>Others</t>
        </is>
      </c>
      <c r="D280" s="210" t="n"/>
      <c r="E280" s="210" t="n"/>
      <c r="F280" s="210" t="n"/>
      <c r="G280" s="210" t="n"/>
      <c r="H280" s="210" t="n">
        <v>11</v>
      </c>
      <c r="I280" s="210" t="n">
        <v>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837</v>
      </c>
      <c r="I281" s="210" t="n">
        <v>362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Referral</t>
        </is>
      </c>
      <c r="D282" s="210" t="n"/>
      <c r="E282" s="210" t="n"/>
      <c r="F282" s="210" t="n"/>
      <c r="G282" s="210" t="n"/>
      <c r="H282" s="210" t="n">
        <v>53</v>
      </c>
      <c r="I282" s="210" t="n">
        <v>15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Direct</t>
        </is>
      </c>
      <c r="D283" s="210" t="n"/>
      <c r="E283" s="210" t="n"/>
      <c r="F283" s="210" t="n"/>
      <c r="G283" s="210" t="n"/>
      <c r="H283" s="210" t="n">
        <v>29</v>
      </c>
      <c r="I283" s="210" t="n">
        <v>28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16</v>
      </c>
      <c r="I284" s="210" t="n">
        <v>2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Others</t>
        </is>
      </c>
      <c r="D285" s="210" t="n"/>
      <c r="E285" s="210" t="n"/>
      <c r="F285" s="210" t="n"/>
      <c r="G285" s="210" t="n"/>
      <c r="H285" s="210" t="n">
        <v>1</v>
      </c>
      <c r="I285" s="210" t="n">
        <v>1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Organic</t>
        </is>
      </c>
      <c r="D286" s="210" t="n">
        <v>223</v>
      </c>
      <c r="E286" s="210" t="n">
        <v>158</v>
      </c>
      <c r="F286" s="210" t="n">
        <v>190</v>
      </c>
      <c r="G286" s="210" t="n">
        <v>161</v>
      </c>
      <c r="H286" s="210" t="n">
        <v>152</v>
      </c>
      <c r="I286" s="210" t="n">
        <v>163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Direct</t>
        </is>
      </c>
      <c r="D287" s="210" t="n">
        <v>16</v>
      </c>
      <c r="E287" s="210" t="n">
        <v>33</v>
      </c>
      <c r="F287" s="210" t="n">
        <v>18</v>
      </c>
      <c r="G287" s="210" t="n">
        <v>4</v>
      </c>
      <c r="H287" s="210" t="n">
        <v>11</v>
      </c>
      <c r="I287" s="210" t="n">
        <v>12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Referral</t>
        </is>
      </c>
      <c r="D288" s="210" t="n">
        <v>11</v>
      </c>
      <c r="E288" s="210" t="n">
        <v>8</v>
      </c>
      <c r="F288" s="210" t="n">
        <v>21</v>
      </c>
      <c r="G288" s="210" t="n">
        <v>14</v>
      </c>
      <c r="H288" s="210" t="n">
        <v>9</v>
      </c>
      <c r="I288" s="210" t="n">
        <v>11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Paid</t>
        </is>
      </c>
      <c r="D289" s="210" t="n"/>
      <c r="E289" s="210" t="n">
        <v>1</v>
      </c>
      <c r="F289" s="210" t="n"/>
      <c r="G289" s="210" t="n">
        <v>3</v>
      </c>
      <c r="H289" s="210" t="n">
        <v>4</v>
      </c>
      <c r="I289" s="210" t="n">
        <v>36</v>
      </c>
      <c r="J289" s="210" t="n"/>
    </row>
    <row r="290">
      <c r="A290" s="209" t="inlineStr">
        <is>
          <t>Chứng Chỉ Quỹ</t>
        </is>
      </c>
      <c r="B290" s="209" t="inlineStr">
        <is>
          <t>Financial Hub</t>
        </is>
      </c>
      <c r="C290" s="210" t="inlineStr">
        <is>
          <t>Others</t>
        </is>
      </c>
      <c r="D290" s="210" t="n">
        <v>6</v>
      </c>
      <c r="E290" s="210" t="n">
        <v>7</v>
      </c>
      <c r="F290" s="210" t="n">
        <v>8</v>
      </c>
      <c r="G290" s="210" t="n">
        <v>3</v>
      </c>
      <c r="H290" s="210" t="n">
        <v>4</v>
      </c>
      <c r="I290" s="210" t="n">
        <v>5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738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Direct</t>
        </is>
      </c>
      <c r="D292" s="210" t="n"/>
      <c r="E292" s="210" t="n"/>
      <c r="F292" s="210" t="n"/>
      <c r="G292" s="210" t="n"/>
      <c r="H292" s="210" t="n"/>
      <c r="I292" s="210" t="n">
        <v>239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Referral</t>
        </is>
      </c>
      <c r="D293" s="210" t="n"/>
      <c r="E293" s="210" t="n"/>
      <c r="F293" s="210" t="n"/>
      <c r="G293" s="210" t="n"/>
      <c r="H293" s="210" t="n"/>
      <c r="I293" s="210" t="n">
        <v>132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Others</t>
        </is>
      </c>
      <c r="D294" s="210" t="n"/>
      <c r="E294" s="210" t="n"/>
      <c r="F294" s="210" t="n"/>
      <c r="G294" s="210" t="n"/>
      <c r="H294" s="210" t="n"/>
      <c r="I294" s="210" t="n">
        <v>36</v>
      </c>
      <c r="J294" s="210" t="n"/>
    </row>
    <row r="295">
      <c r="A295" s="209" t="inlineStr">
        <is>
          <t>Donation</t>
        </is>
      </c>
      <c r="B295" s="209" t="inlineStr">
        <is>
          <t>Donation</t>
        </is>
      </c>
      <c r="C295" s="210" t="inlineStr">
        <is>
          <t>Paid</t>
        </is>
      </c>
      <c r="D295" s="210" t="n"/>
      <c r="E295" s="210" t="n"/>
      <c r="F295" s="210" t="n"/>
      <c r="G295" s="210" t="n"/>
      <c r="H295" s="210" t="n"/>
      <c r="I295" s="210" t="n">
        <v>2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Organic</t>
        </is>
      </c>
      <c r="D296" s="210" t="n"/>
      <c r="E296" s="210" t="n"/>
      <c r="F296" s="210" t="n"/>
      <c r="G296" s="210" t="n">
        <v>199</v>
      </c>
      <c r="H296" s="210" t="n">
        <v>441</v>
      </c>
      <c r="I296" s="210" t="n">
        <v>107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Direct</t>
        </is>
      </c>
      <c r="D297" s="210" t="n"/>
      <c r="E297" s="210" t="n"/>
      <c r="F297" s="210" t="n"/>
      <c r="G297" s="210" t="n">
        <v>13</v>
      </c>
      <c r="H297" s="210" t="n">
        <v>61</v>
      </c>
      <c r="I297" s="210" t="n">
        <v>15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Others</t>
        </is>
      </c>
      <c r="D298" s="210" t="n"/>
      <c r="E298" s="210" t="n"/>
      <c r="F298" s="210" t="n"/>
      <c r="G298" s="210" t="n">
        <v>44</v>
      </c>
      <c r="H298" s="210" t="n">
        <v>18</v>
      </c>
      <c r="I298" s="210" t="n">
        <v>3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Referral</t>
        </is>
      </c>
      <c r="D299" s="210" t="n"/>
      <c r="E299" s="210" t="n"/>
      <c r="F299" s="210" t="n"/>
      <c r="G299" s="210" t="n">
        <v>6</v>
      </c>
      <c r="H299" s="210" t="n">
        <v>25</v>
      </c>
      <c r="I299" s="210" t="n">
        <v>5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Paid</t>
        </is>
      </c>
      <c r="D300" s="210" t="n"/>
      <c r="E300" s="210" t="n"/>
      <c r="F300" s="210" t="n"/>
      <c r="G300" s="210" t="n"/>
      <c r="H300" s="210" t="n">
        <v>4</v>
      </c>
      <c r="I300" s="210" t="n">
        <v>2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/>
      <c r="I301" s="210" t="n">
        <v>682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Direct</t>
        </is>
      </c>
      <c r="D302" s="210" t="n"/>
      <c r="E302" s="210" t="n"/>
      <c r="F302" s="210" t="n"/>
      <c r="G302" s="210" t="n"/>
      <c r="H302" s="210" t="n"/>
      <c r="I302" s="210" t="n">
        <v>53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Referral</t>
        </is>
      </c>
      <c r="D303" s="210" t="n"/>
      <c r="E303" s="210" t="n"/>
      <c r="F303" s="210" t="n"/>
      <c r="G303" s="210" t="n"/>
      <c r="H303" s="210" t="n"/>
      <c r="I303" s="210" t="n">
        <v>45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15</v>
      </c>
      <c r="J304" s="210" t="n"/>
    </row>
    <row r="305">
      <c r="A305" s="209" t="inlineStr">
        <is>
          <t>Bảo Hiểm</t>
        </is>
      </c>
      <c r="B305" s="209" t="inlineStr">
        <is>
          <t>Bảo Hiểm</t>
        </is>
      </c>
      <c r="C305" s="210" t="inlineStr">
        <is>
          <t>Others</t>
        </is>
      </c>
      <c r="D305" s="210" t="n"/>
      <c r="E305" s="210" t="n"/>
      <c r="F305" s="210" t="n"/>
      <c r="G305" s="210" t="n"/>
      <c r="H305" s="210" t="n"/>
      <c r="I305" s="210" t="n">
        <v>2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174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69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Referral</t>
        </is>
      </c>
      <c r="D308" s="210" t="n"/>
      <c r="E308" s="210" t="n"/>
      <c r="F308" s="210" t="n"/>
      <c r="G308" s="210" t="n"/>
      <c r="H308" s="210" t="n"/>
      <c r="I308" s="210" t="n">
        <v>7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Others</t>
        </is>
      </c>
      <c r="D309" s="210" t="n"/>
      <c r="E309" s="210" t="n"/>
      <c r="F309" s="210" t="n"/>
      <c r="G309" s="210" t="n"/>
      <c r="H309" s="210" t="n"/>
      <c r="I309" s="210" t="n">
        <v>6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Paid</t>
        </is>
      </c>
      <c r="D310" s="210" t="n"/>
      <c r="E310" s="210" t="n"/>
      <c r="F310" s="210" t="n"/>
      <c r="G310" s="210" t="n"/>
      <c r="H310" s="210" t="n"/>
      <c r="I310" s="210" t="n">
        <v>4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Organic</t>
        </is>
      </c>
      <c r="D311" s="210" t="n">
        <v>26</v>
      </c>
      <c r="E311" s="210" t="n">
        <v>19</v>
      </c>
      <c r="F311" s="210" t="n">
        <v>22</v>
      </c>
      <c r="G311" s="210" t="n">
        <v>18</v>
      </c>
      <c r="H311" s="210" t="n">
        <v>20</v>
      </c>
      <c r="I311" s="210" t="n">
        <v>9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Referral</t>
        </is>
      </c>
      <c r="D312" s="210" t="n"/>
      <c r="E312" s="210" t="n"/>
      <c r="F312" s="210" t="n">
        <v>3</v>
      </c>
      <c r="G312" s="210" t="n">
        <v>7</v>
      </c>
      <c r="H312" s="210" t="n">
        <v>8</v>
      </c>
      <c r="I312" s="210" t="n">
        <v>4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Direct</t>
        </is>
      </c>
      <c r="D313" s="210" t="n">
        <v>1</v>
      </c>
      <c r="E313" s="210" t="n">
        <v>3</v>
      </c>
      <c r="F313" s="210" t="n">
        <v>3</v>
      </c>
      <c r="G313" s="210" t="n">
        <v>4</v>
      </c>
      <c r="H313" s="210" t="n">
        <v>5</v>
      </c>
      <c r="I313" s="210" t="n">
        <v>1</v>
      </c>
      <c r="J313" s="210" t="n"/>
    </row>
    <row r="314">
      <c r="A314" s="209" t="inlineStr">
        <is>
          <t>Sàn Đầu Tư</t>
        </is>
      </c>
      <c r="B314" s="209" t="inlineStr">
        <is>
          <t>Financial Hub</t>
        </is>
      </c>
      <c r="C314" s="210" t="inlineStr">
        <is>
          <t>Others</t>
        </is>
      </c>
      <c r="D314" s="210" t="n">
        <v>1</v>
      </c>
      <c r="E314" s="210" t="n"/>
      <c r="F314" s="210" t="n"/>
      <c r="G314" s="210" t="n"/>
      <c r="H314" s="210" t="n"/>
      <c r="I314" s="210" t="n">
        <v>1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Organic</t>
        </is>
      </c>
      <c r="D315" s="210" t="n"/>
      <c r="E315" s="210" t="n"/>
      <c r="F315" s="210" t="n"/>
      <c r="G315" s="210" t="n"/>
      <c r="H315" s="210" t="n"/>
      <c r="I315" s="210" t="n">
        <v>105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7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Direct</t>
        </is>
      </c>
      <c r="D317" s="210" t="n"/>
      <c r="E317" s="210" t="n"/>
      <c r="F317" s="210" t="n"/>
      <c r="G317" s="210" t="n"/>
      <c r="H317" s="210" t="n"/>
      <c r="I317" s="210" t="n">
        <v>6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2</v>
      </c>
      <c r="J318" s="210" t="n"/>
    </row>
    <row r="319">
      <c r="A319" s="209" t="inlineStr">
        <is>
          <t>XU</t>
        </is>
      </c>
      <c r="B319" s="209" t="inlineStr">
        <is>
          <t>XU</t>
        </is>
      </c>
      <c r="C319" s="210" t="inlineStr">
        <is>
          <t>Others</t>
        </is>
      </c>
      <c r="D319" s="210" t="n"/>
      <c r="E319" s="210" t="n"/>
      <c r="F319" s="210" t="n"/>
      <c r="G319" s="210" t="n"/>
      <c r="H319" s="210" t="n"/>
      <c r="I319" s="210" t="n">
        <v>2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Organic</t>
        </is>
      </c>
      <c r="D320" s="210" t="n"/>
      <c r="E320" s="210" t="n"/>
      <c r="F320" s="210" t="n"/>
      <c r="G320" s="210" t="n"/>
      <c r="H320" s="210" t="n"/>
      <c r="I320" s="210" t="n">
        <v>93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10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Direct</t>
        </is>
      </c>
      <c r="D322" s="210" t="n"/>
      <c r="E322" s="210" t="n"/>
      <c r="F322" s="210" t="n"/>
      <c r="G322" s="210" t="n"/>
      <c r="H322" s="210" t="n"/>
      <c r="I322" s="210" t="n">
        <v>10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Referral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Bảo Hiểm Xã Hội</t>
        </is>
      </c>
      <c r="B324" s="209" t="inlineStr">
        <is>
          <t>Bảo Hiểm Xã Hội</t>
        </is>
      </c>
      <c r="C324" s="210" t="inlineStr">
        <is>
          <t>Others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Nạp thẻ Game</t>
        </is>
      </c>
      <c r="B325" s="209" t="inlineStr">
        <is>
          <t>Nạp thẻ Game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29</v>
      </c>
      <c r="J325" s="210" t="n"/>
    </row>
    <row r="326">
      <c r="A326" s="209" t="inlineStr">
        <is>
          <t>Nạp thẻ Game</t>
        </is>
      </c>
      <c r="B326" s="209" t="inlineStr">
        <is>
          <t>Nạp thẻ Game</t>
        </is>
      </c>
      <c r="C326" s="210" t="inlineStr">
        <is>
          <t>Referral</t>
        </is>
      </c>
      <c r="D326" s="210" t="n"/>
      <c r="E326" s="210" t="n"/>
      <c r="F326" s="210" t="n"/>
      <c r="G326" s="210" t="n"/>
      <c r="H326" s="210" t="n"/>
      <c r="I326" s="210" t="n">
        <v>5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Others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Direct</t>
        </is>
      </c>
      <c r="D328" s="210" t="n"/>
      <c r="E328" s="210" t="n"/>
      <c r="F328" s="210" t="n"/>
      <c r="G328" s="210" t="n"/>
      <c r="H328" s="210" t="n"/>
      <c r="I328" s="210" t="n">
        <v>1</v>
      </c>
      <c r="J328" s="210" t="n"/>
    </row>
    <row r="329">
      <c r="A329" s="209" t="inlineStr">
        <is>
          <t>Tỷ Giá</t>
        </is>
      </c>
      <c r="B329" s="209" t="inlineStr">
        <is>
          <t>Tỷ Giá</t>
        </is>
      </c>
      <c r="C329" s="210" t="inlineStr">
        <is>
          <t>Organic</t>
        </is>
      </c>
      <c r="D329" s="210" t="n"/>
      <c r="E329" s="210" t="n"/>
      <c r="F329" s="210" t="n"/>
      <c r="G329" s="210" t="n"/>
      <c r="H329" s="210" t="n"/>
      <c r="I329" s="210" t="n">
        <v>33</v>
      </c>
      <c r="J329" s="210" t="n"/>
    </row>
    <row r="330">
      <c r="A330" s="209" t="inlineStr">
        <is>
          <t>Tỷ Giá</t>
        </is>
      </c>
      <c r="B330" s="209" t="inlineStr">
        <is>
          <t>Tỷ Giá</t>
        </is>
      </c>
      <c r="C330" s="210" t="inlineStr">
        <is>
          <t>Direct</t>
        </is>
      </c>
      <c r="D330" s="210" t="n"/>
      <c r="E330" s="210" t="n"/>
      <c r="F330" s="210" t="n"/>
      <c r="G330" s="210" t="n"/>
      <c r="H330" s="210" t="n"/>
      <c r="I330" s="210" t="n">
        <v>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Organic</t>
        </is>
      </c>
      <c r="D331" s="210" t="n">
        <v>28291</v>
      </c>
      <c r="E331" s="210" t="n">
        <v>27672</v>
      </c>
      <c r="F331" s="210" t="n">
        <v>42141</v>
      </c>
      <c r="G331" s="210" t="n">
        <v>40353</v>
      </c>
      <c r="H331" s="210" t="n">
        <v>38758</v>
      </c>
      <c r="I331" s="210" t="n">
        <v>20884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3718</v>
      </c>
      <c r="E332" s="210" t="n">
        <v>3715</v>
      </c>
      <c r="F332" s="210" t="n">
        <v>19282</v>
      </c>
      <c r="G332" s="210" t="n">
        <v>64542</v>
      </c>
      <c r="H332" s="210" t="n">
        <v>63951</v>
      </c>
      <c r="I332" s="210" t="n">
        <v>4167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Paid</t>
        </is>
      </c>
      <c r="D333" s="210" t="n">
        <v>91929</v>
      </c>
      <c r="E333" s="210" t="n">
        <v>42166</v>
      </c>
      <c r="F333" s="210" t="n">
        <v>910</v>
      </c>
      <c r="G333" s="210" t="n">
        <v>1386</v>
      </c>
      <c r="H333" s="210" t="n">
        <v>1229</v>
      </c>
      <c r="I333" s="210" t="n">
        <v>476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Direct</t>
        </is>
      </c>
      <c r="D334" s="210" t="n">
        <v>2177</v>
      </c>
      <c r="E334" s="210" t="n">
        <v>2224</v>
      </c>
      <c r="F334" s="210" t="n">
        <v>2646</v>
      </c>
      <c r="G334" s="210" t="n">
        <v>4084</v>
      </c>
      <c r="H334" s="210" t="n">
        <v>4188</v>
      </c>
      <c r="I334" s="210" t="n">
        <v>1501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1169</v>
      </c>
      <c r="E335" s="210" t="n">
        <v>451</v>
      </c>
      <c r="F335" s="210" t="n">
        <v>920</v>
      </c>
      <c r="G335" s="210" t="n">
        <v>1988</v>
      </c>
      <c r="H335" s="210" t="n">
        <v>1829</v>
      </c>
      <c r="I335" s="210" t="n">
        <v>476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Organic</t>
        </is>
      </c>
      <c r="D336" s="210" t="n">
        <v>5116</v>
      </c>
      <c r="E336" s="210" t="n">
        <v>5273</v>
      </c>
      <c r="F336" s="210" t="n">
        <v>6077</v>
      </c>
      <c r="G336" s="210" t="n">
        <v>7362</v>
      </c>
      <c r="H336" s="210" t="n">
        <v>5554</v>
      </c>
      <c r="I336" s="210" t="n">
        <v>3313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Paid</t>
        </is>
      </c>
      <c r="D337" s="210" t="n">
        <v>4</v>
      </c>
      <c r="E337" s="210" t="n">
        <v>5</v>
      </c>
      <c r="F337" s="210" t="n">
        <v>230</v>
      </c>
      <c r="G337" s="210" t="n">
        <v>845</v>
      </c>
      <c r="H337" s="210" t="n">
        <v>1146</v>
      </c>
      <c r="I337" s="210" t="n">
        <v>374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Referral</t>
        </is>
      </c>
      <c r="D338" s="210" t="n">
        <v>133</v>
      </c>
      <c r="E338" s="210" t="n">
        <v>145</v>
      </c>
      <c r="F338" s="210" t="n">
        <v>196</v>
      </c>
      <c r="G338" s="210" t="n">
        <v>412</v>
      </c>
      <c r="H338" s="210" t="n">
        <v>723</v>
      </c>
      <c r="I338" s="210" t="n">
        <v>279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Direct</t>
        </is>
      </c>
      <c r="D339" s="210" t="n">
        <v>150</v>
      </c>
      <c r="E339" s="210" t="n">
        <v>138</v>
      </c>
      <c r="F339" s="210" t="n">
        <v>189</v>
      </c>
      <c r="G339" s="210" t="n">
        <v>276</v>
      </c>
      <c r="H339" s="210" t="n">
        <v>470</v>
      </c>
      <c r="I339" s="210" t="n">
        <v>437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Others</t>
        </is>
      </c>
      <c r="D340" s="210" t="n">
        <v>27</v>
      </c>
      <c r="E340" s="210" t="n">
        <v>7</v>
      </c>
      <c r="F340" s="210" t="n">
        <v>9</v>
      </c>
      <c r="G340" s="210" t="n">
        <v>212</v>
      </c>
      <c r="H340" s="210" t="n">
        <v>132</v>
      </c>
      <c r="I340" s="210" t="n">
        <v>78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Referral</t>
        </is>
      </c>
      <c r="D341" s="210" t="n">
        <v>476</v>
      </c>
      <c r="E341" s="210" t="n">
        <v>611</v>
      </c>
      <c r="F341" s="210" t="n">
        <v>689</v>
      </c>
      <c r="G341" s="210" t="n">
        <v>848</v>
      </c>
      <c r="H341" s="210" t="n">
        <v>781</v>
      </c>
      <c r="I341" s="210" t="n">
        <v>366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Paid</t>
        </is>
      </c>
      <c r="D342" s="210" t="n">
        <v>242</v>
      </c>
      <c r="E342" s="210" t="n">
        <v>327</v>
      </c>
      <c r="F342" s="210" t="n">
        <v>283</v>
      </c>
      <c r="G342" s="210" t="n">
        <v>398</v>
      </c>
      <c r="H342" s="210" t="n">
        <v>261</v>
      </c>
      <c r="I342" s="210" t="n">
        <v>89</v>
      </c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241</v>
      </c>
      <c r="E343" s="210" t="n">
        <v>196</v>
      </c>
      <c r="F343" s="210" t="n">
        <v>134</v>
      </c>
      <c r="G343" s="210" t="n">
        <v>132</v>
      </c>
      <c r="H343" s="210" t="n">
        <v>175</v>
      </c>
      <c r="I343" s="210" t="n">
        <v>96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Organic</t>
        </is>
      </c>
      <c r="D344" s="210" t="n">
        <v>5085</v>
      </c>
      <c r="E344" s="210" t="n">
        <v>5601</v>
      </c>
      <c r="F344" s="210" t="n">
        <v>6766</v>
      </c>
      <c r="G344" s="210" t="n">
        <v>6673</v>
      </c>
      <c r="H344" s="210" t="n">
        <v>9355</v>
      </c>
      <c r="I344" s="210" t="n"/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Direct</t>
        </is>
      </c>
      <c r="D345" s="210" t="n">
        <v>16676</v>
      </c>
      <c r="E345" s="210" t="n">
        <v>19060</v>
      </c>
      <c r="F345" s="210" t="n">
        <v>22716</v>
      </c>
      <c r="G345" s="210" t="n">
        <v>22233</v>
      </c>
      <c r="H345" s="210" t="n">
        <v>18908</v>
      </c>
      <c r="I345" s="210" t="n"/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Organic</t>
        </is>
      </c>
      <c r="D346" s="210" t="n">
        <v>864</v>
      </c>
      <c r="E346" s="210" t="n">
        <v>862</v>
      </c>
      <c r="F346" s="210" t="n">
        <v>749</v>
      </c>
      <c r="G346" s="210" t="n">
        <v>709</v>
      </c>
      <c r="H346" s="210" t="n">
        <v>706</v>
      </c>
      <c r="I346" s="210" t="n">
        <v>2399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Direct</t>
        </is>
      </c>
      <c r="D347" s="210" t="n">
        <v>104</v>
      </c>
      <c r="E347" s="210" t="n">
        <v>103</v>
      </c>
      <c r="F347" s="210" t="n">
        <v>95</v>
      </c>
      <c r="G347" s="210" t="n">
        <v>110</v>
      </c>
      <c r="H347" s="210" t="n">
        <v>179</v>
      </c>
      <c r="I347" s="210" t="n">
        <v>225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Referral</t>
        </is>
      </c>
      <c r="D348" s="210" t="n">
        <v>57</v>
      </c>
      <c r="E348" s="210" t="n">
        <v>63</v>
      </c>
      <c r="F348" s="210" t="n">
        <v>51</v>
      </c>
      <c r="G348" s="210" t="n">
        <v>117</v>
      </c>
      <c r="H348" s="210" t="n">
        <v>98</v>
      </c>
      <c r="I348" s="210" t="n">
        <v>136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5</v>
      </c>
      <c r="E349" s="210" t="n">
        <v>2</v>
      </c>
      <c r="F349" s="210" t="n">
        <v>7</v>
      </c>
      <c r="G349" s="210" t="n">
        <v>14</v>
      </c>
      <c r="H349" s="210" t="n">
        <v>12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Others</t>
        </is>
      </c>
      <c r="D350" s="210" t="n">
        <v>23</v>
      </c>
      <c r="E350" s="210" t="n">
        <v>7</v>
      </c>
      <c r="F350" s="210" t="n">
        <v>3</v>
      </c>
      <c r="G350" s="210" t="n">
        <v>8</v>
      </c>
      <c r="H350" s="210" t="n">
        <v>5</v>
      </c>
      <c r="I350" s="210" t="n">
        <v>12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Referral</t>
        </is>
      </c>
      <c r="D351" s="210" t="n">
        <v>383</v>
      </c>
      <c r="E351" s="210" t="n">
        <v>375</v>
      </c>
      <c r="F351" s="210" t="n">
        <v>450</v>
      </c>
      <c r="G351" s="210" t="n">
        <v>862</v>
      </c>
      <c r="H351" s="210" t="n">
        <v>595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Paid</t>
        </is>
      </c>
      <c r="D352" s="210" t="n">
        <v>278869</v>
      </c>
      <c r="E352" s="210" t="n">
        <v>504852</v>
      </c>
      <c r="F352" s="210" t="n">
        <v>55564</v>
      </c>
      <c r="G352" s="210" t="n">
        <v>123171</v>
      </c>
      <c r="H352" s="210" t="n">
        <v>9795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757</v>
      </c>
      <c r="E353" s="210" t="n">
        <v>2976</v>
      </c>
      <c r="F353" s="210" t="n">
        <v>1210</v>
      </c>
      <c r="G353" s="210" t="n">
        <v>976</v>
      </c>
      <c r="H353" s="210" t="n">
        <v>225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Organic</t>
        </is>
      </c>
      <c r="D354" s="210" t="n">
        <v>6842</v>
      </c>
      <c r="E354" s="210" t="n">
        <v>28426</v>
      </c>
      <c r="F354" s="210" t="n">
        <v>44530</v>
      </c>
      <c r="G354" s="210" t="n">
        <v>39949</v>
      </c>
      <c r="H354" s="210" t="n">
        <v>16113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Direct</t>
        </is>
      </c>
      <c r="D355" s="210" t="n">
        <v>7817</v>
      </c>
      <c r="E355" s="210" t="n">
        <v>36982</v>
      </c>
      <c r="F355" s="210" t="n">
        <v>53135</v>
      </c>
      <c r="G355" s="210" t="n">
        <v>48868</v>
      </c>
      <c r="H355" s="210" t="n">
        <v>12654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3273623</v>
      </c>
      <c r="E356" s="210" t="n">
        <v>3408182</v>
      </c>
      <c r="F356" s="210" t="n">
        <v>3167821</v>
      </c>
      <c r="G356" s="210" t="n">
        <v>3465363</v>
      </c>
      <c r="H356" s="210" t="n">
        <v>3952859</v>
      </c>
      <c r="I356" s="210" t="n">
        <v>1664082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39" min="1" max="1"/>
    <col width="32.7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73732</v>
      </c>
      <c r="E3" s="210" t="n">
        <v>20819</v>
      </c>
      <c r="F3" s="210" t="n">
        <v>21371</v>
      </c>
      <c r="G3" s="210" t="n">
        <v>14646</v>
      </c>
      <c r="H3" s="210" t="n">
        <v>11571</v>
      </c>
      <c r="I3" s="210" t="n">
        <v>18762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145622</v>
      </c>
      <c r="E4" s="210" t="n">
        <v>135177</v>
      </c>
      <c r="F4" s="210" t="n">
        <v>122748</v>
      </c>
      <c r="G4" s="210" t="n">
        <v>112652</v>
      </c>
      <c r="H4" s="210" t="n">
        <v>132934</v>
      </c>
      <c r="I4" s="210" t="n">
        <v>185009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5154</v>
      </c>
      <c r="E5" s="210" t="n">
        <v>1930</v>
      </c>
      <c r="F5" s="210" t="n">
        <v>519</v>
      </c>
      <c r="G5" s="210" t="n">
        <v>285</v>
      </c>
      <c r="H5" s="210" t="n">
        <v>1211</v>
      </c>
      <c r="I5" s="210" t="n">
        <v>772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720</v>
      </c>
      <c r="E6" s="210" t="n">
        <v>24082</v>
      </c>
      <c r="F6" s="210" t="n">
        <v>2033</v>
      </c>
      <c r="G6" s="210" t="n">
        <v>2403</v>
      </c>
      <c r="H6" s="210" t="n">
        <v>325492</v>
      </c>
      <c r="I6" s="210" t="n">
        <v>2191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4430</v>
      </c>
      <c r="E7" s="210" t="n">
        <v>7510</v>
      </c>
      <c r="F7" s="210" t="n">
        <v>5735</v>
      </c>
      <c r="G7" s="210" t="n">
        <v>3029</v>
      </c>
      <c r="H7" s="210" t="n">
        <v>2664</v>
      </c>
      <c r="I7" s="210" t="n">
        <v>3645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5835</v>
      </c>
      <c r="E8" s="210" t="n">
        <v>7178</v>
      </c>
      <c r="F8" s="210" t="n">
        <v>7039</v>
      </c>
      <c r="G8" s="210" t="n">
        <v>6915</v>
      </c>
      <c r="H8" s="210" t="n">
        <v>9491</v>
      </c>
      <c r="I8" s="210" t="n">
        <v>9127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154120</v>
      </c>
      <c r="E9" s="210" t="n">
        <v>201257</v>
      </c>
      <c r="F9" s="210" t="n">
        <v>177716</v>
      </c>
      <c r="G9" s="210" t="n">
        <v>170811</v>
      </c>
      <c r="H9" s="210" t="n">
        <v>171164</v>
      </c>
      <c r="I9" s="210" t="n">
        <v>369958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3348</v>
      </c>
      <c r="E10" s="210" t="n">
        <v>1471</v>
      </c>
      <c r="F10" s="210" t="n">
        <v>298</v>
      </c>
      <c r="G10" s="210" t="n">
        <v>167</v>
      </c>
      <c r="H10" s="210" t="n">
        <v>1364</v>
      </c>
      <c r="I10" s="210" t="n">
        <v>3540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48</v>
      </c>
      <c r="E11" s="210" t="n">
        <v>82</v>
      </c>
      <c r="F11" s="210" t="n">
        <v>20</v>
      </c>
      <c r="G11" s="210" t="n">
        <v>4517</v>
      </c>
      <c r="H11" s="210" t="n">
        <v>8887</v>
      </c>
      <c r="I11" s="210" t="n">
        <v>4101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1571</v>
      </c>
      <c r="E12" s="210" t="n">
        <v>2288</v>
      </c>
      <c r="F12" s="210" t="n">
        <v>1781</v>
      </c>
      <c r="G12" s="210" t="n">
        <v>1996</v>
      </c>
      <c r="H12" s="210" t="n">
        <v>1570</v>
      </c>
      <c r="I12" s="210" t="n">
        <v>2875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34555</v>
      </c>
      <c r="E13" s="210" t="n">
        <v>82840</v>
      </c>
      <c r="F13" s="210" t="n">
        <v>59093</v>
      </c>
      <c r="G13" s="210" t="n">
        <v>57447</v>
      </c>
      <c r="H13" s="210" t="n">
        <v>44754</v>
      </c>
      <c r="I13" s="210" t="n">
        <v>8448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144156</v>
      </c>
      <c r="E14" s="210" t="n">
        <v>147184</v>
      </c>
      <c r="F14" s="210" t="n">
        <v>148919</v>
      </c>
      <c r="G14" s="210" t="n">
        <v>109992</v>
      </c>
      <c r="H14" s="210" t="n">
        <v>82300</v>
      </c>
      <c r="I14" s="210" t="n">
        <v>26547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3701</v>
      </c>
      <c r="E15" s="210" t="n">
        <v>2390</v>
      </c>
      <c r="F15" s="210" t="n">
        <v>1937</v>
      </c>
      <c r="G15" s="210" t="n">
        <v>1890</v>
      </c>
      <c r="H15" s="210" t="n">
        <v>4154</v>
      </c>
      <c r="I15" s="210" t="n">
        <v>1797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12127</v>
      </c>
      <c r="E16" s="210" t="n">
        <v>65616</v>
      </c>
      <c r="F16" s="210" t="n">
        <v>4374</v>
      </c>
      <c r="G16" s="210" t="n">
        <v>18596</v>
      </c>
      <c r="H16" s="210" t="n">
        <v>182258</v>
      </c>
      <c r="I16" s="210" t="n">
        <v>9636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10262</v>
      </c>
      <c r="E17" s="210" t="n">
        <v>9752</v>
      </c>
      <c r="F17" s="210" t="n">
        <v>12818</v>
      </c>
      <c r="G17" s="210" t="n">
        <v>8448</v>
      </c>
      <c r="H17" s="210" t="n">
        <v>7971</v>
      </c>
      <c r="I17" s="210" t="n">
        <v>4306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66077</v>
      </c>
      <c r="E18" s="210" t="n">
        <v>30278</v>
      </c>
      <c r="F18" s="210" t="n">
        <v>27546</v>
      </c>
      <c r="G18" s="210" t="n">
        <v>141488</v>
      </c>
      <c r="H18" s="210" t="n">
        <v>91984</v>
      </c>
      <c r="I18" s="210" t="n">
        <v>42272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7931</v>
      </c>
      <c r="E19" s="210" t="n">
        <v>7257</v>
      </c>
      <c r="F19" s="210" t="n">
        <v>11046</v>
      </c>
      <c r="G19" s="210" t="n">
        <v>11809</v>
      </c>
      <c r="H19" s="210" t="n">
        <v>11025</v>
      </c>
      <c r="I19" s="210" t="n">
        <v>8480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2565</v>
      </c>
      <c r="E20" s="210" t="n">
        <v>1670</v>
      </c>
      <c r="F20" s="210" t="n">
        <v>1615</v>
      </c>
      <c r="G20" s="210" t="n">
        <v>2245</v>
      </c>
      <c r="H20" s="210" t="n">
        <v>2583</v>
      </c>
      <c r="I20" s="210" t="n">
        <v>841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321</v>
      </c>
      <c r="E21" s="210" t="n">
        <v>539</v>
      </c>
      <c r="F21" s="210" t="n">
        <v>147</v>
      </c>
      <c r="G21" s="210" t="n">
        <v>1179</v>
      </c>
      <c r="H21" s="210" t="n">
        <v>1306</v>
      </c>
      <c r="I21" s="210" t="n">
        <v>476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48002</v>
      </c>
      <c r="E22" s="210" t="n">
        <v>40251</v>
      </c>
      <c r="F22" s="210" t="n">
        <v>46158</v>
      </c>
      <c r="G22" s="210" t="n">
        <v>32476</v>
      </c>
      <c r="H22" s="210" t="n">
        <v>35701</v>
      </c>
      <c r="I22" s="210" t="n">
        <v>4965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36076</v>
      </c>
      <c r="E23" s="210" t="n">
        <v>24338</v>
      </c>
      <c r="F23" s="210" t="n">
        <v>26532</v>
      </c>
      <c r="G23" s="210" t="n">
        <v>27662</v>
      </c>
      <c r="H23" s="210" t="n">
        <v>56099</v>
      </c>
      <c r="I23" s="210" t="n">
        <v>65445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63301</v>
      </c>
      <c r="E24" s="210" t="n">
        <v>52907</v>
      </c>
      <c r="F24" s="210" t="n">
        <v>50892</v>
      </c>
      <c r="G24" s="210" t="n">
        <v>50643</v>
      </c>
      <c r="H24" s="210" t="n">
        <v>42779</v>
      </c>
      <c r="I24" s="210" t="n">
        <v>41782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4380</v>
      </c>
      <c r="E25" s="210" t="n">
        <v>4203</v>
      </c>
      <c r="F25" s="210" t="n">
        <v>3045</v>
      </c>
      <c r="G25" s="210" t="n">
        <v>2856</v>
      </c>
      <c r="H25" s="210" t="n">
        <v>3078</v>
      </c>
      <c r="I25" s="210" t="n">
        <v>2933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3133</v>
      </c>
      <c r="E26" s="210" t="n">
        <v>4695</v>
      </c>
      <c r="F26" s="210" t="n">
        <v>756</v>
      </c>
      <c r="G26" s="210" t="n">
        <v>2334</v>
      </c>
      <c r="H26" s="210" t="n">
        <v>3409</v>
      </c>
      <c r="I26" s="210" t="n">
        <v>2246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10028</v>
      </c>
      <c r="E27" s="210" t="n">
        <v>10579</v>
      </c>
      <c r="F27" s="210" t="n">
        <v>12034</v>
      </c>
      <c r="G27" s="210" t="n">
        <v>12643</v>
      </c>
      <c r="H27" s="210" t="n">
        <v>12114</v>
      </c>
      <c r="I27" s="210" t="n">
        <v>13905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2823</v>
      </c>
      <c r="E28" s="210" t="n">
        <v>2251</v>
      </c>
      <c r="F28" s="210" t="n">
        <v>3206</v>
      </c>
      <c r="G28" s="210" t="n">
        <v>3416</v>
      </c>
      <c r="H28" s="210" t="n">
        <v>3033</v>
      </c>
      <c r="I28" s="210" t="n">
        <v>2603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24524</v>
      </c>
      <c r="E29" s="210" t="n">
        <v>20073</v>
      </c>
      <c r="F29" s="210" t="n">
        <v>87490</v>
      </c>
      <c r="G29" s="210" t="n">
        <v>76017</v>
      </c>
      <c r="H29" s="210" t="n">
        <v>32751</v>
      </c>
      <c r="I29" s="210" t="n">
        <v>43117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871</v>
      </c>
      <c r="E30" s="210" t="n">
        <v>285</v>
      </c>
      <c r="F30" s="210" t="n">
        <v>83</v>
      </c>
      <c r="G30" s="210" t="n">
        <v>59</v>
      </c>
      <c r="H30" s="210" t="n">
        <v>781</v>
      </c>
      <c r="I30" s="210" t="n">
        <v>324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71043</v>
      </c>
      <c r="E31" s="210" t="n">
        <v>85801</v>
      </c>
      <c r="F31" s="210" t="n">
        <v>7447</v>
      </c>
      <c r="G31" s="210" t="n">
        <v>8863</v>
      </c>
      <c r="H31" s="210" t="n">
        <v>72434</v>
      </c>
      <c r="I31" s="210" t="n">
        <v>41215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422</v>
      </c>
      <c r="E32" s="210" t="n">
        <v>357</v>
      </c>
      <c r="F32" s="210" t="n">
        <v>571</v>
      </c>
      <c r="G32" s="210" t="n">
        <v>494</v>
      </c>
      <c r="H32" s="210" t="n">
        <v>473</v>
      </c>
      <c r="I32" s="210" t="n">
        <v>347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1316</v>
      </c>
      <c r="E33" s="210" t="n">
        <v>1459</v>
      </c>
      <c r="F33" s="210" t="n">
        <v>1519</v>
      </c>
      <c r="G33" s="210" t="n">
        <v>1858</v>
      </c>
      <c r="H33" s="210" t="n">
        <v>1766</v>
      </c>
      <c r="I33" s="210" t="n">
        <v>2010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32091</v>
      </c>
      <c r="E34" s="210" t="n">
        <v>28556</v>
      </c>
      <c r="F34" s="210" t="n">
        <v>39218</v>
      </c>
      <c r="G34" s="210" t="n">
        <v>29523</v>
      </c>
      <c r="H34" s="210" t="n">
        <v>19916</v>
      </c>
      <c r="I34" s="210" t="n">
        <v>22999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546</v>
      </c>
      <c r="E35" s="210" t="n">
        <v>660</v>
      </c>
      <c r="F35" s="210" t="n">
        <v>109</v>
      </c>
      <c r="G35" s="210" t="n">
        <v>452</v>
      </c>
      <c r="H35" s="210" t="n">
        <v>2068</v>
      </c>
      <c r="I35" s="210" t="n">
        <v>1000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1393</v>
      </c>
      <c r="E36" s="210" t="n">
        <v>4403</v>
      </c>
      <c r="F36" s="210" t="n">
        <v>130</v>
      </c>
      <c r="G36" s="210" t="n">
        <v>80219</v>
      </c>
      <c r="H36" s="210" t="n">
        <v>51148</v>
      </c>
      <c r="I36" s="210" t="n">
        <v>15366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16806</v>
      </c>
      <c r="E37" s="210" t="n">
        <v>40029</v>
      </c>
      <c r="F37" s="210" t="n">
        <v>9596</v>
      </c>
      <c r="G37" s="210" t="n">
        <v>27132</v>
      </c>
      <c r="H37" s="210" t="n">
        <v>70159</v>
      </c>
      <c r="I37" s="210" t="n">
        <v>50229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2078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5725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53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1140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240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89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3037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16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25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69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6477</v>
      </c>
      <c r="E48" s="210" t="n">
        <v>2892</v>
      </c>
      <c r="F48" s="210" t="n">
        <v>5228</v>
      </c>
      <c r="G48" s="210" t="n">
        <v>7399</v>
      </c>
      <c r="H48" s="210" t="n">
        <v>5385</v>
      </c>
      <c r="I48" s="210" t="n">
        <v>4886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35693</v>
      </c>
      <c r="E49" s="210" t="n">
        <v>23988</v>
      </c>
      <c r="F49" s="210" t="n">
        <v>37338</v>
      </c>
      <c r="G49" s="210" t="n">
        <v>39663</v>
      </c>
      <c r="H49" s="210" t="n">
        <v>34824</v>
      </c>
      <c r="I49" s="210" t="n">
        <v>28588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484</v>
      </c>
      <c r="E50" s="210" t="n">
        <v>173</v>
      </c>
      <c r="F50" s="210" t="n">
        <v>50</v>
      </c>
      <c r="G50" s="210" t="n">
        <v>57</v>
      </c>
      <c r="H50" s="210" t="n">
        <v>271</v>
      </c>
      <c r="I50" s="210" t="n">
        <v>137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54</v>
      </c>
      <c r="F51" s="210" t="n">
        <v>11</v>
      </c>
      <c r="G51" s="210" t="n">
        <v>112</v>
      </c>
      <c r="H51" s="210" t="n">
        <v>162</v>
      </c>
      <c r="I51" s="210" t="n">
        <v>92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1044</v>
      </c>
      <c r="E52" s="210" t="n">
        <v>1116</v>
      </c>
      <c r="F52" s="210" t="n">
        <v>1470</v>
      </c>
      <c r="G52" s="210" t="n">
        <v>1704</v>
      </c>
      <c r="H52" s="210" t="n">
        <v>1418</v>
      </c>
      <c r="I52" s="210" t="n">
        <v>1013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4165</v>
      </c>
      <c r="E53" s="210" t="n">
        <v>5842</v>
      </c>
      <c r="F53" s="210" t="n">
        <v>4741</v>
      </c>
      <c r="G53" s="210" t="n">
        <v>6695</v>
      </c>
      <c r="H53" s="210" t="n">
        <v>5911</v>
      </c>
      <c r="I53" s="210" t="n">
        <v>5396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23719</v>
      </c>
      <c r="E54" s="210" t="n">
        <v>27898</v>
      </c>
      <c r="F54" s="210" t="n">
        <v>28807</v>
      </c>
      <c r="G54" s="210" t="n">
        <v>28535</v>
      </c>
      <c r="H54" s="210" t="n">
        <v>26521</v>
      </c>
      <c r="I54" s="210" t="n">
        <v>27159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485</v>
      </c>
      <c r="E55" s="210" t="n">
        <v>287</v>
      </c>
      <c r="F55" s="210" t="n">
        <v>87</v>
      </c>
      <c r="G55" s="210" t="n">
        <v>171</v>
      </c>
      <c r="H55" s="210" t="n">
        <v>348</v>
      </c>
      <c r="I55" s="210" t="n">
        <v>209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72</v>
      </c>
      <c r="E56" s="210" t="n">
        <v>259</v>
      </c>
      <c r="F56" s="210" t="n">
        <v>47</v>
      </c>
      <c r="G56" s="210" t="n">
        <v>183</v>
      </c>
      <c r="H56" s="210" t="n">
        <v>355</v>
      </c>
      <c r="I56" s="210" t="n">
        <v>237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610</v>
      </c>
      <c r="E57" s="210" t="n">
        <v>680</v>
      </c>
      <c r="F57" s="210" t="n">
        <v>812</v>
      </c>
      <c r="G57" s="210" t="n">
        <v>862</v>
      </c>
      <c r="H57" s="210" t="n">
        <v>846</v>
      </c>
      <c r="I57" s="210" t="n">
        <v>1062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166143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2063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1763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256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24794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1361</v>
      </c>
      <c r="E63" s="210" t="n">
        <v>1517</v>
      </c>
      <c r="F63" s="210" t="n">
        <v>1705</v>
      </c>
      <c r="G63" s="210" t="n">
        <v>1906</v>
      </c>
      <c r="H63" s="210" t="n">
        <v>3141</v>
      </c>
      <c r="I63" s="210" t="n">
        <v>3772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14060</v>
      </c>
      <c r="E64" s="210" t="n">
        <v>15455</v>
      </c>
      <c r="F64" s="210" t="n">
        <v>16149</v>
      </c>
      <c r="G64" s="210" t="n">
        <v>15564</v>
      </c>
      <c r="H64" s="210" t="n">
        <v>42801</v>
      </c>
      <c r="I64" s="210" t="n">
        <v>36498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230</v>
      </c>
      <c r="E65" s="210" t="n">
        <v>150</v>
      </c>
      <c r="F65" s="210" t="n">
        <v>107</v>
      </c>
      <c r="G65" s="210" t="n">
        <v>76</v>
      </c>
      <c r="H65" s="210" t="n">
        <v>361</v>
      </c>
      <c r="I65" s="210" t="n">
        <v>238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100</v>
      </c>
      <c r="E66" s="210" t="n">
        <v>127</v>
      </c>
      <c r="F66" s="210" t="n">
        <v>31</v>
      </c>
      <c r="G66" s="210" t="n">
        <v>426</v>
      </c>
      <c r="H66" s="210" t="n">
        <v>1500</v>
      </c>
      <c r="I66" s="210" t="n">
        <v>494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1042</v>
      </c>
      <c r="E67" s="210" t="n">
        <v>1025</v>
      </c>
      <c r="F67" s="210" t="n">
        <v>1273</v>
      </c>
      <c r="G67" s="210" t="n">
        <v>1281</v>
      </c>
      <c r="H67" s="210" t="n">
        <v>2086</v>
      </c>
      <c r="I67" s="210" t="n">
        <v>2179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1544</v>
      </c>
      <c r="E68" s="210" t="n">
        <v>1400</v>
      </c>
      <c r="F68" s="210" t="n">
        <v>1356</v>
      </c>
      <c r="G68" s="210" t="n">
        <v>1835</v>
      </c>
      <c r="H68" s="210" t="n">
        <v>1577</v>
      </c>
      <c r="I68" s="210" t="n">
        <v>695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29422</v>
      </c>
      <c r="E69" s="210" t="n">
        <v>28958</v>
      </c>
      <c r="F69" s="210" t="n">
        <v>24622</v>
      </c>
      <c r="G69" s="210" t="n">
        <v>21690</v>
      </c>
      <c r="H69" s="210" t="n">
        <v>19189</v>
      </c>
      <c r="I69" s="210" t="n">
        <v>7875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315</v>
      </c>
      <c r="E70" s="210" t="n">
        <v>93</v>
      </c>
      <c r="F70" s="210" t="n">
        <v>22</v>
      </c>
      <c r="G70" s="210" t="n">
        <v>39</v>
      </c>
      <c r="H70" s="210" t="n">
        <v>147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8</v>
      </c>
      <c r="E71" s="210" t="n">
        <v>3</v>
      </c>
      <c r="F71" s="210" t="n">
        <v>2</v>
      </c>
      <c r="G71" s="210" t="n">
        <v>43</v>
      </c>
      <c r="H71" s="210" t="n">
        <v>123</v>
      </c>
      <c r="I71" s="210" t="n">
        <v>49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1962</v>
      </c>
      <c r="E72" s="210" t="n">
        <v>1912</v>
      </c>
      <c r="F72" s="210" t="n">
        <v>1876</v>
      </c>
      <c r="G72" s="210" t="n">
        <v>1699</v>
      </c>
      <c r="H72" s="210" t="n">
        <v>1325</v>
      </c>
      <c r="I72" s="210" t="n">
        <v>981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2138</v>
      </c>
      <c r="E73" s="210" t="n">
        <v>2223</v>
      </c>
      <c r="F73" s="210" t="n">
        <v>2842</v>
      </c>
      <c r="G73" s="210" t="n">
        <v>3287</v>
      </c>
      <c r="H73" s="210" t="n">
        <v>2326</v>
      </c>
      <c r="I73" s="210" t="n">
        <v>1704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20390</v>
      </c>
      <c r="E74" s="210" t="n">
        <v>26232</v>
      </c>
      <c r="F74" s="210" t="n">
        <v>25638</v>
      </c>
      <c r="G74" s="210" t="n">
        <v>20736</v>
      </c>
      <c r="H74" s="210" t="n">
        <v>13006</v>
      </c>
      <c r="I74" s="210" t="n">
        <v>14073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342</v>
      </c>
      <c r="E75" s="210" t="n">
        <v>150</v>
      </c>
      <c r="F75" s="210" t="n">
        <v>75</v>
      </c>
      <c r="G75" s="210" t="n">
        <v>98</v>
      </c>
      <c r="H75" s="210" t="n">
        <v>115</v>
      </c>
      <c r="I75" s="210" t="n">
        <v>53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25</v>
      </c>
      <c r="E76" s="210" t="n">
        <v>119</v>
      </c>
      <c r="F76" s="210" t="n">
        <v>929</v>
      </c>
      <c r="G76" s="210" t="n">
        <v>1490</v>
      </c>
      <c r="H76" s="210" t="n">
        <v>1369</v>
      </c>
      <c r="I76" s="210" t="n">
        <v>514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1083</v>
      </c>
      <c r="E77" s="210" t="n">
        <v>3107</v>
      </c>
      <c r="F77" s="210" t="n">
        <v>1222</v>
      </c>
      <c r="G77" s="210" t="n">
        <v>1000</v>
      </c>
      <c r="H77" s="210" t="n">
        <v>574</v>
      </c>
      <c r="I77" s="210" t="n">
        <v>1095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140</v>
      </c>
      <c r="E78" s="210" t="n">
        <v>160</v>
      </c>
      <c r="F78" s="210" t="n">
        <v>197</v>
      </c>
      <c r="G78" s="210" t="n">
        <v>244</v>
      </c>
      <c r="H78" s="210" t="n">
        <v>237</v>
      </c>
      <c r="I78" s="210" t="n">
        <v>289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5849</v>
      </c>
      <c r="E79" s="210" t="n">
        <v>5653</v>
      </c>
      <c r="F79" s="210" t="n">
        <v>6811</v>
      </c>
      <c r="G79" s="210" t="n">
        <v>3433</v>
      </c>
      <c r="H79" s="210" t="n">
        <v>2643</v>
      </c>
      <c r="I79" s="210" t="n">
        <v>3677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96</v>
      </c>
      <c r="E80" s="210" t="n">
        <v>46</v>
      </c>
      <c r="F80" s="210" t="n">
        <v>81</v>
      </c>
      <c r="G80" s="210" t="n">
        <v>37</v>
      </c>
      <c r="H80" s="210" t="n">
        <v>212</v>
      </c>
      <c r="I80" s="210" t="n">
        <v>145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17</v>
      </c>
      <c r="E81" s="210" t="n">
        <v>26</v>
      </c>
      <c r="F81" s="210" t="n">
        <v>3</v>
      </c>
      <c r="G81" s="210" t="n">
        <v>39022</v>
      </c>
      <c r="H81" s="210" t="n">
        <v>40048</v>
      </c>
      <c r="I81" s="210" t="n">
        <v>34643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96</v>
      </c>
      <c r="E82" s="210" t="n">
        <v>107</v>
      </c>
      <c r="F82" s="210" t="n">
        <v>123</v>
      </c>
      <c r="G82" s="210" t="n">
        <v>141</v>
      </c>
      <c r="H82" s="210" t="n">
        <v>155</v>
      </c>
      <c r="I82" s="210" t="n">
        <v>159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1687</v>
      </c>
      <c r="E83" s="210" t="n">
        <v>1864</v>
      </c>
      <c r="F83" s="210" t="n">
        <v>2126</v>
      </c>
      <c r="G83" s="210" t="n">
        <v>2538</v>
      </c>
      <c r="H83" s="210" t="n">
        <v>1673</v>
      </c>
      <c r="I83" s="210" t="n">
        <v>2395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12327</v>
      </c>
      <c r="E84" s="210" t="n">
        <v>14967</v>
      </c>
      <c r="F84" s="210" t="n">
        <v>15954</v>
      </c>
      <c r="G84" s="210" t="n">
        <v>13002</v>
      </c>
      <c r="H84" s="210" t="n">
        <v>10802</v>
      </c>
      <c r="I84" s="210" t="n">
        <v>15888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815</v>
      </c>
      <c r="E85" s="210" t="n">
        <v>427</v>
      </c>
      <c r="F85" s="210" t="n">
        <v>132</v>
      </c>
      <c r="G85" s="210" t="n">
        <v>132</v>
      </c>
      <c r="H85" s="210" t="n">
        <v>140</v>
      </c>
      <c r="I85" s="210" t="n">
        <v>102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27</v>
      </c>
      <c r="E86" s="210" t="n">
        <v>89</v>
      </c>
      <c r="F86" s="210" t="n">
        <v>17</v>
      </c>
      <c r="G86" s="210" t="n">
        <v>353</v>
      </c>
      <c r="H86" s="210" t="n">
        <v>510</v>
      </c>
      <c r="I86" s="210" t="n">
        <v>220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432</v>
      </c>
      <c r="E87" s="210" t="n">
        <v>692</v>
      </c>
      <c r="F87" s="210" t="n">
        <v>511</v>
      </c>
      <c r="G87" s="210" t="n">
        <v>442</v>
      </c>
      <c r="H87" s="210" t="n">
        <v>413</v>
      </c>
      <c r="I87" s="210" t="n">
        <v>468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516</v>
      </c>
      <c r="E88" s="210" t="n">
        <v>590</v>
      </c>
      <c r="F88" s="210" t="n">
        <v>626</v>
      </c>
      <c r="G88" s="210" t="n">
        <v>643</v>
      </c>
      <c r="H88" s="210" t="n">
        <v>1359</v>
      </c>
      <c r="I88" s="210" t="n">
        <v>2349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2860</v>
      </c>
      <c r="E89" s="210" t="n">
        <v>3307</v>
      </c>
      <c r="F89" s="210" t="n">
        <v>4068</v>
      </c>
      <c r="G89" s="210" t="n">
        <v>4046</v>
      </c>
      <c r="H89" s="210" t="n">
        <v>9937</v>
      </c>
      <c r="I89" s="210" t="n">
        <v>19338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131</v>
      </c>
      <c r="E90" s="210" t="n">
        <v>153</v>
      </c>
      <c r="F90" s="210" t="n">
        <v>99</v>
      </c>
      <c r="G90" s="210" t="n">
        <v>165</v>
      </c>
      <c r="H90" s="210" t="n">
        <v>264</v>
      </c>
      <c r="I90" s="210" t="n">
        <v>119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462</v>
      </c>
      <c r="E91" s="210" t="n">
        <v>13167</v>
      </c>
      <c r="F91" s="210" t="n">
        <v>5828</v>
      </c>
      <c r="G91" s="210" t="n">
        <v>2926</v>
      </c>
      <c r="H91" s="210" t="n">
        <v>8437</v>
      </c>
      <c r="I91" s="210" t="n">
        <v>773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614</v>
      </c>
      <c r="E92" s="210" t="n">
        <v>926</v>
      </c>
      <c r="F92" s="210" t="n">
        <v>1323</v>
      </c>
      <c r="G92" s="210" t="n">
        <v>1395</v>
      </c>
      <c r="H92" s="210" t="n">
        <v>1133</v>
      </c>
      <c r="I92" s="210" t="n">
        <v>717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9470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4396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Direct</t>
        </is>
      </c>
      <c r="D95" s="210" t="n">
        <v>5184</v>
      </c>
      <c r="E95" s="210" t="n">
        <v>4818</v>
      </c>
      <c r="F95" s="210" t="n">
        <v>5631</v>
      </c>
      <c r="G95" s="210" t="n">
        <v>5683</v>
      </c>
      <c r="H95" s="210" t="n">
        <v>5088</v>
      </c>
      <c r="I95" s="210" t="n">
        <v>11558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Organic</t>
        </is>
      </c>
      <c r="D96" s="210" t="n">
        <v>4994</v>
      </c>
      <c r="E96" s="210" t="n">
        <v>4409</v>
      </c>
      <c r="F96" s="210" t="n">
        <v>5111</v>
      </c>
      <c r="G96" s="210" t="n">
        <v>4697</v>
      </c>
      <c r="H96" s="210" t="n">
        <v>5077</v>
      </c>
      <c r="I96" s="210" t="n">
        <v>8238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Others</t>
        </is>
      </c>
      <c r="D97" s="210" t="n">
        <v>189</v>
      </c>
      <c r="E97" s="210" t="n">
        <v>80</v>
      </c>
      <c r="F97" s="210" t="n">
        <v>68</v>
      </c>
      <c r="G97" s="210" t="n">
        <v>89</v>
      </c>
      <c r="H97" s="210" t="n">
        <v>98</v>
      </c>
      <c r="I97" s="210" t="n">
        <v>151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Paid</t>
        </is>
      </c>
      <c r="D98" s="210" t="n">
        <v>120</v>
      </c>
      <c r="E98" s="210" t="n">
        <v>205</v>
      </c>
      <c r="F98" s="210" t="n">
        <v>60</v>
      </c>
      <c r="G98" s="210" t="n">
        <v>313</v>
      </c>
      <c r="H98" s="210" t="n">
        <v>531</v>
      </c>
      <c r="I98" s="210" t="n">
        <v>673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Referral</t>
        </is>
      </c>
      <c r="D99" s="210" t="n">
        <v>366</v>
      </c>
      <c r="E99" s="210" t="n">
        <v>315</v>
      </c>
      <c r="F99" s="210" t="n">
        <v>442</v>
      </c>
      <c r="G99" s="210" t="n">
        <v>687</v>
      </c>
      <c r="H99" s="210" t="n">
        <v>678</v>
      </c>
      <c r="I99" s="210" t="n">
        <v>684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Direct</t>
        </is>
      </c>
      <c r="D100" s="210" t="n">
        <v>451</v>
      </c>
      <c r="E100" s="210" t="n">
        <v>440</v>
      </c>
      <c r="F100" s="210" t="n">
        <v>468</v>
      </c>
      <c r="G100" s="210" t="n">
        <v>558</v>
      </c>
      <c r="H100" s="210" t="n">
        <v>468</v>
      </c>
      <c r="I100" s="210" t="n">
        <v>365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Organic</t>
        </is>
      </c>
      <c r="D101" s="210" t="n">
        <v>7057</v>
      </c>
      <c r="E101" s="210" t="n">
        <v>6587</v>
      </c>
      <c r="F101" s="210" t="n">
        <v>7387</v>
      </c>
      <c r="G101" s="210" t="n">
        <v>6634</v>
      </c>
      <c r="H101" s="210" t="n">
        <v>6118</v>
      </c>
      <c r="I101" s="210" t="n">
        <v>5424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Others</t>
        </is>
      </c>
      <c r="D102" s="210" t="n">
        <v>104</v>
      </c>
      <c r="E102" s="210" t="n">
        <v>59</v>
      </c>
      <c r="F102" s="210" t="n">
        <v>40</v>
      </c>
      <c r="G102" s="210" t="n">
        <v>24</v>
      </c>
      <c r="H102" s="210" t="n">
        <v>121</v>
      </c>
      <c r="I102" s="210" t="n">
        <v>28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Paid</t>
        </is>
      </c>
      <c r="D103" s="210" t="n">
        <v>116</v>
      </c>
      <c r="E103" s="210" t="n">
        <v>283</v>
      </c>
      <c r="F103" s="210" t="n">
        <v>3121</v>
      </c>
      <c r="G103" s="210" t="n">
        <v>13501</v>
      </c>
      <c r="H103" s="210" t="n">
        <v>9693</v>
      </c>
      <c r="I103" s="210" t="n">
        <v>802</v>
      </c>
      <c r="J103" s="210" t="n"/>
    </row>
    <row r="104">
      <c r="A104" s="209" t="inlineStr">
        <is>
          <t>Sim</t>
        </is>
      </c>
      <c r="B104" s="209" t="inlineStr">
        <is>
          <t>Sim</t>
        </is>
      </c>
      <c r="C104" s="210" t="inlineStr">
        <is>
          <t>Referral</t>
        </is>
      </c>
      <c r="D104" s="210" t="n">
        <v>395</v>
      </c>
      <c r="E104" s="210" t="n">
        <v>330</v>
      </c>
      <c r="F104" s="210" t="n">
        <v>364</v>
      </c>
      <c r="G104" s="210" t="n">
        <v>202</v>
      </c>
      <c r="H104" s="210" t="n">
        <v>304</v>
      </c>
      <c r="I104" s="210" t="n">
        <v>111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Direct</t>
        </is>
      </c>
      <c r="D105" s="210" t="n">
        <v>752</v>
      </c>
      <c r="E105" s="210" t="n">
        <v>566</v>
      </c>
      <c r="F105" s="210" t="n">
        <v>528</v>
      </c>
      <c r="G105" s="210" t="n">
        <v>661</v>
      </c>
      <c r="H105" s="210" t="n">
        <v>541</v>
      </c>
      <c r="I105" s="210" t="n">
        <v>421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Organic</t>
        </is>
      </c>
      <c r="D106" s="210" t="n">
        <v>4899</v>
      </c>
      <c r="E106" s="210" t="n">
        <v>4273</v>
      </c>
      <c r="F106" s="210" t="n">
        <v>4476</v>
      </c>
      <c r="G106" s="210" t="n">
        <v>4558</v>
      </c>
      <c r="H106" s="210" t="n">
        <v>3990</v>
      </c>
      <c r="I106" s="210" t="n">
        <v>2754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Others</t>
        </is>
      </c>
      <c r="D107" s="210" t="n">
        <v>319</v>
      </c>
      <c r="E107" s="210" t="n">
        <v>36</v>
      </c>
      <c r="F107" s="210" t="n">
        <v>20</v>
      </c>
      <c r="G107" s="210" t="n">
        <v>12</v>
      </c>
      <c r="H107" s="210" t="n">
        <v>64</v>
      </c>
      <c r="I107" s="210" t="n">
        <v>31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Paid</t>
        </is>
      </c>
      <c r="D108" s="210" t="n">
        <v>22298</v>
      </c>
      <c r="E108" s="210" t="n">
        <v>99</v>
      </c>
      <c r="F108" s="210" t="n">
        <v>15</v>
      </c>
      <c r="G108" s="210" t="n">
        <v>971</v>
      </c>
      <c r="H108" s="210" t="n">
        <v>3467</v>
      </c>
      <c r="I108" s="210" t="n">
        <v>620</v>
      </c>
      <c r="J108" s="210" t="n"/>
    </row>
    <row r="109">
      <c r="A109" s="209" t="inlineStr">
        <is>
          <t>Data</t>
        </is>
      </c>
      <c r="B109" s="209" t="inlineStr">
        <is>
          <t>Data</t>
        </is>
      </c>
      <c r="C109" s="210" t="inlineStr">
        <is>
          <t>Referral</t>
        </is>
      </c>
      <c r="D109" s="210" t="n">
        <v>282</v>
      </c>
      <c r="E109" s="210" t="n">
        <v>330</v>
      </c>
      <c r="F109" s="210" t="n">
        <v>245</v>
      </c>
      <c r="G109" s="210" t="n">
        <v>277</v>
      </c>
      <c r="H109" s="210" t="n">
        <v>332</v>
      </c>
      <c r="I109" s="210" t="n">
        <v>347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1429</v>
      </c>
      <c r="E110" s="210" t="n">
        <v>1654</v>
      </c>
      <c r="F110" s="210" t="n">
        <v>1916</v>
      </c>
      <c r="G110" s="210" t="n">
        <v>3030</v>
      </c>
      <c r="H110" s="210" t="n">
        <v>3030</v>
      </c>
      <c r="I110" s="210" t="n">
        <v>3726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Organic</t>
        </is>
      </c>
      <c r="D111" s="210" t="n">
        <v>2871</v>
      </c>
      <c r="E111" s="210" t="n">
        <v>3035</v>
      </c>
      <c r="F111" s="210" t="n">
        <v>3226</v>
      </c>
      <c r="G111" s="210" t="n">
        <v>3027</v>
      </c>
      <c r="H111" s="210" t="n">
        <v>4813</v>
      </c>
      <c r="I111" s="210" t="n">
        <v>3745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Others</t>
        </is>
      </c>
      <c r="D112" s="210" t="n">
        <v>365</v>
      </c>
      <c r="E112" s="210" t="n">
        <v>268</v>
      </c>
      <c r="F112" s="210" t="n">
        <v>211</v>
      </c>
      <c r="G112" s="210" t="n">
        <v>200</v>
      </c>
      <c r="H112" s="210" t="n">
        <v>271</v>
      </c>
      <c r="I112" s="210" t="n">
        <v>284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224</v>
      </c>
      <c r="E113" s="210" t="n">
        <v>1045</v>
      </c>
      <c r="F113" s="210" t="n">
        <v>90</v>
      </c>
      <c r="G113" s="210" t="n">
        <v>908</v>
      </c>
      <c r="H113" s="210" t="n">
        <v>605</v>
      </c>
      <c r="I113" s="210" t="n">
        <v>213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Referral</t>
        </is>
      </c>
      <c r="D114" s="210" t="n">
        <v>1104</v>
      </c>
      <c r="E114" s="210" t="n">
        <v>1977</v>
      </c>
      <c r="F114" s="210" t="n">
        <v>834</v>
      </c>
      <c r="G114" s="210" t="n">
        <v>1427</v>
      </c>
      <c r="H114" s="210" t="n">
        <v>3115</v>
      </c>
      <c r="I114" s="210" t="n">
        <v>3266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Direct</t>
        </is>
      </c>
      <c r="D115" s="210" t="n">
        <v>296</v>
      </c>
      <c r="E115" s="210" t="n">
        <v>939</v>
      </c>
      <c r="F115" s="210" t="n">
        <v>4412</v>
      </c>
      <c r="G115" s="210" t="n">
        <v>5521</v>
      </c>
      <c r="H115" s="210" t="n">
        <v>5304</v>
      </c>
      <c r="I115" s="210" t="n">
        <v>2759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Organic</t>
        </is>
      </c>
      <c r="D116" s="210" t="n">
        <v>538</v>
      </c>
      <c r="E116" s="210" t="n">
        <v>738</v>
      </c>
      <c r="F116" s="210" t="n">
        <v>1249</v>
      </c>
      <c r="G116" s="210" t="n">
        <v>653</v>
      </c>
      <c r="H116" s="210" t="n">
        <v>657</v>
      </c>
      <c r="I116" s="210" t="n">
        <v>1213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Others</t>
        </is>
      </c>
      <c r="D117" s="210" t="n">
        <v>91</v>
      </c>
      <c r="E117" s="210" t="n">
        <v>43</v>
      </c>
      <c r="F117" s="210" t="n">
        <v>42</v>
      </c>
      <c r="G117" s="210" t="n">
        <v>167</v>
      </c>
      <c r="H117" s="210" t="n">
        <v>201</v>
      </c>
      <c r="I117" s="210" t="n">
        <v>45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Paid</t>
        </is>
      </c>
      <c r="D118" s="210" t="n">
        <v>2221</v>
      </c>
      <c r="E118" s="210" t="n">
        <v>8441</v>
      </c>
      <c r="F118" s="210" t="n">
        <v>8457</v>
      </c>
      <c r="G118" s="210" t="n">
        <v>493</v>
      </c>
      <c r="H118" s="210" t="n">
        <v>2740</v>
      </c>
      <c r="I118" s="210" t="n">
        <v>209</v>
      </c>
      <c r="J118" s="210" t="n"/>
    </row>
    <row r="119">
      <c r="A119" s="209" t="inlineStr">
        <is>
          <t>Trust</t>
        </is>
      </c>
      <c r="B119" s="209" t="inlineStr">
        <is>
          <t>Trust</t>
        </is>
      </c>
      <c r="C119" s="210" t="inlineStr">
        <is>
          <t>Referral</t>
        </is>
      </c>
      <c r="D119" s="210" t="n">
        <v>28</v>
      </c>
      <c r="E119" s="210" t="n">
        <v>52</v>
      </c>
      <c r="F119" s="210" t="n">
        <v>121</v>
      </c>
      <c r="G119" s="210" t="n">
        <v>90</v>
      </c>
      <c r="H119" s="210" t="n">
        <v>106</v>
      </c>
      <c r="I119" s="210" t="n">
        <v>205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Direct</t>
        </is>
      </c>
      <c r="D120" s="210" t="n">
        <v>162</v>
      </c>
      <c r="E120" s="210" t="n">
        <v>215</v>
      </c>
      <c r="F120" s="210" t="n">
        <v>257</v>
      </c>
      <c r="G120" s="210" t="n">
        <v>280</v>
      </c>
      <c r="H120" s="210" t="n">
        <v>493</v>
      </c>
      <c r="I120" s="210" t="n">
        <v>564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Organic</t>
        </is>
      </c>
      <c r="D121" s="210" t="n">
        <v>2317</v>
      </c>
      <c r="E121" s="210" t="n">
        <v>3579</v>
      </c>
      <c r="F121" s="210" t="n">
        <v>2967</v>
      </c>
      <c r="G121" s="210" t="n">
        <v>3623</v>
      </c>
      <c r="H121" s="210" t="n">
        <v>4238</v>
      </c>
      <c r="I121" s="210" t="n">
        <v>13873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Others</t>
        </is>
      </c>
      <c r="D122" s="210" t="n">
        <v>23</v>
      </c>
      <c r="E122" s="210" t="n">
        <v>37</v>
      </c>
      <c r="F122" s="210" t="n">
        <v>120</v>
      </c>
      <c r="G122" s="210" t="n">
        <v>132</v>
      </c>
      <c r="H122" s="210" t="n">
        <v>186</v>
      </c>
      <c r="I122" s="210" t="n">
        <v>104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Paid</t>
        </is>
      </c>
      <c r="D123" s="210" t="n">
        <v>4</v>
      </c>
      <c r="E123" s="210" t="n">
        <v>3</v>
      </c>
      <c r="F123" s="210" t="n">
        <v>6049</v>
      </c>
      <c r="G123" s="210" t="n">
        <v>684</v>
      </c>
      <c r="H123" s="210" t="n">
        <v>1396</v>
      </c>
      <c r="I123" s="210" t="n">
        <v>872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Referral</t>
        </is>
      </c>
      <c r="D124" s="210" t="n">
        <v>229</v>
      </c>
      <c r="E124" s="210" t="n">
        <v>107</v>
      </c>
      <c r="F124" s="210" t="n">
        <v>204</v>
      </c>
      <c r="G124" s="210" t="n">
        <v>125</v>
      </c>
      <c r="H124" s="210" t="n">
        <v>106</v>
      </c>
      <c r="I124" s="210" t="n">
        <v>430</v>
      </c>
      <c r="J124" s="210" t="n"/>
    </row>
    <row r="125">
      <c r="A125" s="209" t="inlineStr">
        <is>
          <t>Blog</t>
        </is>
      </c>
      <c r="B125" s="209" t="inlineStr">
        <is>
          <t>Blog</t>
        </is>
      </c>
      <c r="C125" s="210" t="inlineStr">
        <is>
          <t>Direct</t>
        </is>
      </c>
      <c r="D125" s="210" t="n">
        <v>323</v>
      </c>
      <c r="E125" s="210" t="n">
        <v>308</v>
      </c>
      <c r="F125" s="210" t="n">
        <v>361</v>
      </c>
      <c r="G125" s="210" t="n">
        <v>367</v>
      </c>
      <c r="H125" s="210" t="n">
        <v>255</v>
      </c>
      <c r="I125" s="210" t="n">
        <v>1155</v>
      </c>
      <c r="J125" s="210" t="n"/>
    </row>
    <row r="126">
      <c r="A126" s="209" t="inlineStr">
        <is>
          <t>Blog</t>
        </is>
      </c>
      <c r="B126" s="209" t="inlineStr">
        <is>
          <t>Blog</t>
        </is>
      </c>
      <c r="C126" s="210" t="inlineStr">
        <is>
          <t>Organic</t>
        </is>
      </c>
      <c r="D126" s="210" t="n">
        <v>5047</v>
      </c>
      <c r="E126" s="210" t="n">
        <v>5568</v>
      </c>
      <c r="F126" s="210" t="n">
        <v>5839</v>
      </c>
      <c r="G126" s="210" t="n">
        <v>6178</v>
      </c>
      <c r="H126" s="210" t="n">
        <v>5494</v>
      </c>
      <c r="I126" s="210" t="n">
        <v>6589</v>
      </c>
      <c r="J126" s="210" t="n"/>
    </row>
    <row r="127">
      <c r="A127" s="209" t="inlineStr">
        <is>
          <t>Blog</t>
        </is>
      </c>
      <c r="B127" s="209" t="inlineStr">
        <is>
          <t>Blog</t>
        </is>
      </c>
      <c r="C127" s="210" t="inlineStr">
        <is>
          <t>Others</t>
        </is>
      </c>
      <c r="D127" s="210" t="n">
        <v>62</v>
      </c>
      <c r="E127" s="210" t="n">
        <v>8</v>
      </c>
      <c r="F127" s="210" t="n"/>
      <c r="G127" s="210" t="n">
        <v>4</v>
      </c>
      <c r="H127" s="210" t="n">
        <v>29</v>
      </c>
      <c r="I127" s="210" t="n">
        <v>67</v>
      </c>
      <c r="J127" s="210" t="n"/>
    </row>
    <row r="128">
      <c r="A128" s="209" t="inlineStr">
        <is>
          <t>Blog</t>
        </is>
      </c>
      <c r="B128" s="209" t="inlineStr">
        <is>
          <t>Blog</t>
        </is>
      </c>
      <c r="C128" s="210" t="inlineStr">
        <is>
          <t>Paid</t>
        </is>
      </c>
      <c r="D128" s="210" t="n">
        <v>1</v>
      </c>
      <c r="E128" s="210" t="n">
        <v>1</v>
      </c>
      <c r="F128" s="210" t="n">
        <v>1</v>
      </c>
      <c r="G128" s="210" t="n">
        <v>269</v>
      </c>
      <c r="H128" s="210" t="n">
        <v>379</v>
      </c>
      <c r="I128" s="210" t="n">
        <v>237</v>
      </c>
      <c r="J128" s="210" t="n"/>
    </row>
    <row r="129">
      <c r="A129" s="209" t="inlineStr">
        <is>
          <t>Blog</t>
        </is>
      </c>
      <c r="B129" s="209" t="inlineStr">
        <is>
          <t>Blog</t>
        </is>
      </c>
      <c r="C129" s="210" t="inlineStr">
        <is>
          <t>Referral</t>
        </is>
      </c>
      <c r="D129" s="210" t="n">
        <v>151</v>
      </c>
      <c r="E129" s="210" t="n">
        <v>164</v>
      </c>
      <c r="F129" s="210" t="n">
        <v>149</v>
      </c>
      <c r="G129" s="210" t="n">
        <v>167</v>
      </c>
      <c r="H129" s="210" t="n">
        <v>112</v>
      </c>
      <c r="I129" s="210" t="n">
        <v>273</v>
      </c>
      <c r="J129" s="210" t="n"/>
    </row>
    <row r="130">
      <c r="A130" s="209" t="inlineStr">
        <is>
          <t>Bảo Hiểm Ô Tô</t>
        </is>
      </c>
      <c r="B130" s="209" t="inlineStr">
        <is>
          <t>Bảo Hiểm Ô Tô</t>
        </is>
      </c>
      <c r="C130" s="210" t="inlineStr">
        <is>
          <t>Direct</t>
        </is>
      </c>
      <c r="D130" s="210" t="n">
        <v>367</v>
      </c>
      <c r="E130" s="210" t="n">
        <v>352</v>
      </c>
      <c r="F130" s="210" t="n">
        <v>399</v>
      </c>
      <c r="G130" s="210" t="n">
        <v>489</v>
      </c>
      <c r="H130" s="210" t="n">
        <v>568</v>
      </c>
      <c r="I130" s="210" t="n">
        <v>894</v>
      </c>
      <c r="J130" s="210" t="n"/>
    </row>
    <row r="131">
      <c r="A131" s="209" t="inlineStr">
        <is>
          <t>Bảo Hiểm Ô Tô</t>
        </is>
      </c>
      <c r="B131" s="209" t="inlineStr">
        <is>
          <t>Bảo Hiểm Ô Tô</t>
        </is>
      </c>
      <c r="C131" s="210" t="inlineStr">
        <is>
          <t>Organic</t>
        </is>
      </c>
      <c r="D131" s="210" t="n">
        <v>5204</v>
      </c>
      <c r="E131" s="210" t="n">
        <v>4667</v>
      </c>
      <c r="F131" s="210" t="n">
        <v>4653</v>
      </c>
      <c r="G131" s="210" t="n">
        <v>5518</v>
      </c>
      <c r="H131" s="210" t="n">
        <v>5400</v>
      </c>
      <c r="I131" s="210" t="n">
        <v>3651</v>
      </c>
      <c r="J131" s="210" t="n"/>
    </row>
    <row r="132">
      <c r="A132" s="209" t="inlineStr">
        <is>
          <t>Bảo Hiểm Ô Tô</t>
        </is>
      </c>
      <c r="B132" s="209" t="inlineStr">
        <is>
          <t>Bảo Hiểm Ô Tô</t>
        </is>
      </c>
      <c r="C132" s="210" t="inlineStr">
        <is>
          <t>Others</t>
        </is>
      </c>
      <c r="D132" s="210" t="n">
        <v>76</v>
      </c>
      <c r="E132" s="210" t="n">
        <v>88</v>
      </c>
      <c r="F132" s="210" t="n">
        <v>84</v>
      </c>
      <c r="G132" s="210" t="n">
        <v>169</v>
      </c>
      <c r="H132" s="210" t="n">
        <v>109</v>
      </c>
      <c r="I132" s="210" t="n">
        <v>102</v>
      </c>
      <c r="J132" s="210" t="n"/>
    </row>
    <row r="133">
      <c r="A133" s="209" t="inlineStr">
        <is>
          <t>Bảo Hiểm Ô Tô</t>
        </is>
      </c>
      <c r="B133" s="209" t="inlineStr">
        <is>
          <t>Bảo Hiểm Ô Tô</t>
        </is>
      </c>
      <c r="C133" s="210" t="inlineStr">
        <is>
          <t>Paid</t>
        </is>
      </c>
      <c r="D133" s="210" t="n">
        <v>3</v>
      </c>
      <c r="E133" s="210" t="n">
        <v>14</v>
      </c>
      <c r="F133" s="210" t="n">
        <v>13</v>
      </c>
      <c r="G133" s="210" t="n">
        <v>486</v>
      </c>
      <c r="H133" s="210" t="n">
        <v>704</v>
      </c>
      <c r="I133" s="210" t="n">
        <v>4034</v>
      </c>
      <c r="J133" s="210" t="n"/>
    </row>
    <row r="134">
      <c r="A134" s="209" t="inlineStr">
        <is>
          <t>Bảo Hiểm Ô Tô</t>
        </is>
      </c>
      <c r="B134" s="209" t="inlineStr">
        <is>
          <t>Bảo Hiểm Ô Tô</t>
        </is>
      </c>
      <c r="C134" s="210" t="inlineStr">
        <is>
          <t>Referral</t>
        </is>
      </c>
      <c r="D134" s="210" t="n">
        <v>217</v>
      </c>
      <c r="E134" s="210" t="n">
        <v>221</v>
      </c>
      <c r="F134" s="210" t="n">
        <v>234</v>
      </c>
      <c r="G134" s="210" t="n">
        <v>199</v>
      </c>
      <c r="H134" s="210" t="n">
        <v>207</v>
      </c>
      <c r="I134" s="210" t="n">
        <v>155</v>
      </c>
      <c r="J134" s="210" t="n"/>
    </row>
    <row r="135">
      <c r="A135" s="209" t="inlineStr">
        <is>
          <t>Esim</t>
        </is>
      </c>
      <c r="B135" s="209" t="inlineStr">
        <is>
          <t>Sim</t>
        </is>
      </c>
      <c r="C135" s="210" t="inlineStr">
        <is>
          <t>Direct</t>
        </is>
      </c>
      <c r="D135" s="210" t="n">
        <v>428</v>
      </c>
      <c r="E135" s="210" t="n">
        <v>229</v>
      </c>
      <c r="F135" s="210" t="n">
        <v>293</v>
      </c>
      <c r="G135" s="210" t="n">
        <v>893</v>
      </c>
      <c r="H135" s="210" t="n">
        <v>1056</v>
      </c>
      <c r="I135" s="210" t="n">
        <v>885</v>
      </c>
      <c r="J135" s="210" t="n"/>
    </row>
    <row r="136">
      <c r="A136" s="209" t="inlineStr">
        <is>
          <t>Esim</t>
        </is>
      </c>
      <c r="B136" s="209" t="inlineStr">
        <is>
          <t>Sim</t>
        </is>
      </c>
      <c r="C136" s="210" t="inlineStr">
        <is>
          <t>Organic</t>
        </is>
      </c>
      <c r="D136" s="210" t="n">
        <v>718</v>
      </c>
      <c r="E136" s="210" t="n">
        <v>824</v>
      </c>
      <c r="F136" s="210" t="n">
        <v>1193</v>
      </c>
      <c r="G136" s="210" t="n">
        <v>968</v>
      </c>
      <c r="H136" s="210" t="n">
        <v>979</v>
      </c>
      <c r="I136" s="210" t="n">
        <v>982</v>
      </c>
      <c r="J136" s="210" t="n"/>
    </row>
    <row r="137">
      <c r="A137" s="209" t="inlineStr">
        <is>
          <t>Esim</t>
        </is>
      </c>
      <c r="B137" s="209" t="inlineStr">
        <is>
          <t>Sim</t>
        </is>
      </c>
      <c r="C137" s="210" t="inlineStr">
        <is>
          <t>Others</t>
        </is>
      </c>
      <c r="D137" s="210" t="n">
        <v>83</v>
      </c>
      <c r="E137" s="210" t="n">
        <v>44</v>
      </c>
      <c r="F137" s="210" t="n">
        <v>51</v>
      </c>
      <c r="G137" s="210" t="n">
        <v>59</v>
      </c>
      <c r="H137" s="210" t="n">
        <v>73</v>
      </c>
      <c r="I137" s="210" t="n">
        <v>23</v>
      </c>
      <c r="J137" s="210" t="n"/>
    </row>
    <row r="138">
      <c r="A138" s="209" t="inlineStr">
        <is>
          <t>Esim</t>
        </is>
      </c>
      <c r="B138" s="209" t="inlineStr">
        <is>
          <t>Sim</t>
        </is>
      </c>
      <c r="C138" s="210" t="inlineStr">
        <is>
          <t>Paid</t>
        </is>
      </c>
      <c r="D138" s="210" t="n">
        <v>5283</v>
      </c>
      <c r="E138" s="210" t="n">
        <v>7344</v>
      </c>
      <c r="F138" s="210" t="n">
        <v>886</v>
      </c>
      <c r="G138" s="210" t="n">
        <v>6020</v>
      </c>
      <c r="H138" s="210" t="n">
        <v>6807</v>
      </c>
      <c r="I138" s="210" t="n">
        <v>355</v>
      </c>
      <c r="J138" s="210" t="n"/>
    </row>
    <row r="139">
      <c r="A139" s="209" t="inlineStr">
        <is>
          <t>Esim</t>
        </is>
      </c>
      <c r="B139" s="209" t="inlineStr">
        <is>
          <t>Sim</t>
        </is>
      </c>
      <c r="C139" s="210" t="inlineStr">
        <is>
          <t>Referral</t>
        </is>
      </c>
      <c r="D139" s="210" t="n">
        <v>70</v>
      </c>
      <c r="E139" s="210" t="n">
        <v>96</v>
      </c>
      <c r="F139" s="210" t="n">
        <v>69</v>
      </c>
      <c r="G139" s="210" t="n">
        <v>82</v>
      </c>
      <c r="H139" s="210" t="n">
        <v>143</v>
      </c>
      <c r="I139" s="210" t="n">
        <v>148</v>
      </c>
      <c r="J139" s="210" t="n"/>
    </row>
    <row r="140">
      <c r="A140" s="209" t="inlineStr">
        <is>
          <t>Application Store</t>
        </is>
      </c>
      <c r="B140" s="209" t="inlineStr">
        <is>
          <t>Application Store</t>
        </is>
      </c>
      <c r="C140" s="210" t="inlineStr">
        <is>
          <t>Direct</t>
        </is>
      </c>
      <c r="D140" s="210" t="n">
        <v>254</v>
      </c>
      <c r="E140" s="210" t="n">
        <v>179</v>
      </c>
      <c r="F140" s="210" t="n">
        <v>201</v>
      </c>
      <c r="G140" s="210" t="n">
        <v>324</v>
      </c>
      <c r="H140" s="210" t="n">
        <v>456</v>
      </c>
      <c r="I140" s="210" t="n">
        <v>4311</v>
      </c>
      <c r="J140" s="210" t="n"/>
    </row>
    <row r="141">
      <c r="A141" s="209" t="inlineStr">
        <is>
          <t>Application Store</t>
        </is>
      </c>
      <c r="B141" s="209" t="inlineStr">
        <is>
          <t>Application Store</t>
        </is>
      </c>
      <c r="C141" s="210" t="inlineStr">
        <is>
          <t>Organic</t>
        </is>
      </c>
      <c r="D141" s="210" t="n">
        <v>964</v>
      </c>
      <c r="E141" s="210" t="n">
        <v>900</v>
      </c>
      <c r="F141" s="210" t="n">
        <v>1105</v>
      </c>
      <c r="G141" s="210" t="n">
        <v>1002</v>
      </c>
      <c r="H141" s="210" t="n">
        <v>919</v>
      </c>
      <c r="I141" s="210" t="n">
        <v>1351</v>
      </c>
      <c r="J141" s="210" t="n"/>
    </row>
    <row r="142">
      <c r="A142" s="209" t="inlineStr">
        <is>
          <t>Application Store</t>
        </is>
      </c>
      <c r="B142" s="209" t="inlineStr">
        <is>
          <t>Application Store</t>
        </is>
      </c>
      <c r="C142" s="210" t="inlineStr">
        <is>
          <t>Others</t>
        </is>
      </c>
      <c r="D142" s="210" t="n">
        <v>35</v>
      </c>
      <c r="E142" s="210" t="n">
        <v>35</v>
      </c>
      <c r="F142" s="210" t="n">
        <v>33</v>
      </c>
      <c r="G142" s="210" t="n">
        <v>56</v>
      </c>
      <c r="H142" s="210" t="n">
        <v>93</v>
      </c>
      <c r="I142" s="210" t="n">
        <v>79</v>
      </c>
      <c r="J142" s="210" t="n"/>
    </row>
    <row r="143">
      <c r="A143" s="209" t="inlineStr">
        <is>
          <t>Application Store</t>
        </is>
      </c>
      <c r="B143" s="209" t="inlineStr">
        <is>
          <t>Application Store</t>
        </is>
      </c>
      <c r="C143" s="210" t="inlineStr">
        <is>
          <t>Paid</t>
        </is>
      </c>
      <c r="D143" s="210" t="n">
        <v>75</v>
      </c>
      <c r="E143" s="210" t="n">
        <v>129</v>
      </c>
      <c r="F143" s="210" t="n">
        <v>29</v>
      </c>
      <c r="G143" s="210" t="n">
        <v>9654</v>
      </c>
      <c r="H143" s="210" t="n">
        <v>7872</v>
      </c>
      <c r="I143" s="210" t="n">
        <v>3071</v>
      </c>
      <c r="J143" s="210" t="n"/>
    </row>
    <row r="144">
      <c r="A144" s="209" t="inlineStr">
        <is>
          <t>Application Store</t>
        </is>
      </c>
      <c r="B144" s="209" t="inlineStr">
        <is>
          <t>Application Store</t>
        </is>
      </c>
      <c r="C144" s="210" t="inlineStr">
        <is>
          <t>Referral</t>
        </is>
      </c>
      <c r="D144" s="210" t="n">
        <v>276</v>
      </c>
      <c r="E144" s="210" t="n">
        <v>312</v>
      </c>
      <c r="F144" s="210" t="n">
        <v>294</v>
      </c>
      <c r="G144" s="210" t="n">
        <v>448</v>
      </c>
      <c r="H144" s="210" t="n">
        <v>385</v>
      </c>
      <c r="I144" s="210" t="n">
        <v>400</v>
      </c>
      <c r="J144" s="210" t="n"/>
    </row>
    <row r="145">
      <c r="A145" s="209" t="inlineStr">
        <is>
          <t>Campaign</t>
        </is>
      </c>
      <c r="B145" s="209" t="inlineStr">
        <is>
          <t>Campaign</t>
        </is>
      </c>
      <c r="C145" s="210" t="inlineStr">
        <is>
          <t>Direct</t>
        </is>
      </c>
      <c r="D145" s="210" t="n">
        <v>3375</v>
      </c>
      <c r="E145" s="210" t="n">
        <v>1057</v>
      </c>
      <c r="F145" s="210" t="n">
        <v>769</v>
      </c>
      <c r="G145" s="210" t="n">
        <v>618</v>
      </c>
      <c r="H145" s="210" t="n">
        <v>593</v>
      </c>
      <c r="I145" s="210" t="n">
        <v>3870</v>
      </c>
      <c r="J145" s="210" t="n"/>
    </row>
    <row r="146">
      <c r="A146" s="209" t="inlineStr">
        <is>
          <t>Campaign</t>
        </is>
      </c>
      <c r="B146" s="209" t="inlineStr">
        <is>
          <t>Campaign</t>
        </is>
      </c>
      <c r="C146" s="210" t="inlineStr">
        <is>
          <t>Organic</t>
        </is>
      </c>
      <c r="D146" s="210" t="n">
        <v>4896</v>
      </c>
      <c r="E146" s="210" t="n">
        <v>1663</v>
      </c>
      <c r="F146" s="210" t="n">
        <v>1772</v>
      </c>
      <c r="G146" s="210" t="n">
        <v>974</v>
      </c>
      <c r="H146" s="210" t="n">
        <v>768</v>
      </c>
      <c r="I146" s="210" t="n">
        <v>1780</v>
      </c>
      <c r="J146" s="210" t="n"/>
    </row>
    <row r="147">
      <c r="A147" s="209" t="inlineStr">
        <is>
          <t>Campaign</t>
        </is>
      </c>
      <c r="B147" s="209" t="inlineStr">
        <is>
          <t>Campaign</t>
        </is>
      </c>
      <c r="C147" s="210" t="inlineStr">
        <is>
          <t>Others</t>
        </is>
      </c>
      <c r="D147" s="210" t="n">
        <v>308</v>
      </c>
      <c r="E147" s="210" t="n">
        <v>87</v>
      </c>
      <c r="F147" s="210" t="n">
        <v>62</v>
      </c>
      <c r="G147" s="210" t="n">
        <v>55</v>
      </c>
      <c r="H147" s="210" t="n">
        <v>41</v>
      </c>
      <c r="I147" s="210" t="n">
        <v>123</v>
      </c>
      <c r="J147" s="210" t="n"/>
    </row>
    <row r="148">
      <c r="A148" s="209" t="inlineStr">
        <is>
          <t>Campaign</t>
        </is>
      </c>
      <c r="B148" s="209" t="inlineStr">
        <is>
          <t>Campaign</t>
        </is>
      </c>
      <c r="C148" s="210" t="inlineStr">
        <is>
          <t>Paid</t>
        </is>
      </c>
      <c r="D148" s="210" t="n">
        <v>466</v>
      </c>
      <c r="E148" s="210" t="n">
        <v>252</v>
      </c>
      <c r="F148" s="210" t="n">
        <v>21</v>
      </c>
      <c r="G148" s="210" t="n">
        <v>52</v>
      </c>
      <c r="H148" s="210" t="n">
        <v>63</v>
      </c>
      <c r="I148" s="210" t="n">
        <v>88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Referral</t>
        </is>
      </c>
      <c r="D149" s="210" t="n">
        <v>1077</v>
      </c>
      <c r="E149" s="210" t="n">
        <v>391</v>
      </c>
      <c r="F149" s="210" t="n">
        <v>442</v>
      </c>
      <c r="G149" s="210" t="n">
        <v>625</v>
      </c>
      <c r="H149" s="210" t="n">
        <v>658</v>
      </c>
      <c r="I149" s="210" t="n">
        <v>946</v>
      </c>
      <c r="J149" s="210" t="n"/>
    </row>
    <row r="150">
      <c r="A150" s="209" t="inlineStr">
        <is>
          <t>Dịch vụ liên kết</t>
        </is>
      </c>
      <c r="B150" s="209" t="inlineStr">
        <is>
          <t>Dịch vụ liên kết</t>
        </is>
      </c>
      <c r="C150" s="210" t="inlineStr">
        <is>
          <t>Direct</t>
        </is>
      </c>
      <c r="D150" s="210" t="n">
        <v>969</v>
      </c>
      <c r="E150" s="210" t="n">
        <v>10367</v>
      </c>
      <c r="F150" s="210" t="n">
        <v>321</v>
      </c>
      <c r="G150" s="210" t="n">
        <v>4145</v>
      </c>
      <c r="H150" s="210" t="n">
        <v>151</v>
      </c>
      <c r="I150" s="210" t="n">
        <v>338</v>
      </c>
      <c r="J150" s="210" t="n"/>
    </row>
    <row r="151">
      <c r="A151" s="209" t="inlineStr">
        <is>
          <t>Dịch vụ liên kết</t>
        </is>
      </c>
      <c r="B151" s="209" t="inlineStr">
        <is>
          <t>Dịch vụ liên kết</t>
        </is>
      </c>
      <c r="C151" s="210" t="inlineStr">
        <is>
          <t>Organic</t>
        </is>
      </c>
      <c r="D151" s="210" t="n">
        <v>1014</v>
      </c>
      <c r="E151" s="210" t="n">
        <v>1303</v>
      </c>
      <c r="F151" s="210" t="n">
        <v>1497</v>
      </c>
      <c r="G151" s="210" t="n">
        <v>1386</v>
      </c>
      <c r="H151" s="210" t="n">
        <v>1633</v>
      </c>
      <c r="I151" s="210" t="n">
        <v>2374</v>
      </c>
      <c r="J151" s="210" t="n"/>
    </row>
    <row r="152">
      <c r="A152" s="209" t="inlineStr">
        <is>
          <t>Dịch vụ liên kết</t>
        </is>
      </c>
      <c r="B152" s="209" t="inlineStr">
        <is>
          <t>Dịch vụ liên kết</t>
        </is>
      </c>
      <c r="C152" s="210" t="inlineStr">
        <is>
          <t>Others</t>
        </is>
      </c>
      <c r="D152" s="210" t="n">
        <v>24</v>
      </c>
      <c r="E152" s="210" t="n">
        <v>130</v>
      </c>
      <c r="F152" s="210" t="n"/>
      <c r="G152" s="210" t="n">
        <v>23</v>
      </c>
      <c r="H152" s="210" t="n">
        <v>27</v>
      </c>
      <c r="I152" s="210" t="n">
        <v>21</v>
      </c>
      <c r="J152" s="210" t="n"/>
    </row>
    <row r="153">
      <c r="A153" s="209" t="inlineStr">
        <is>
          <t>Dịch vụ liên kết</t>
        </is>
      </c>
      <c r="B153" s="209" t="inlineStr">
        <is>
          <t>Dịch vụ liên kết</t>
        </is>
      </c>
      <c r="C153" s="210" t="inlineStr">
        <is>
          <t>Paid</t>
        </is>
      </c>
      <c r="D153" s="210" t="n">
        <v>7</v>
      </c>
      <c r="E153" s="210" t="n">
        <v>68</v>
      </c>
      <c r="F153" s="210" t="n">
        <v>14</v>
      </c>
      <c r="G153" s="210" t="n">
        <v>117</v>
      </c>
      <c r="H153" s="210" t="n">
        <v>394</v>
      </c>
      <c r="I153" s="210" t="n">
        <v>91</v>
      </c>
      <c r="J153" s="210" t="n"/>
    </row>
    <row r="154">
      <c r="A154" s="209" t="inlineStr">
        <is>
          <t>Dịch vụ liên kết</t>
        </is>
      </c>
      <c r="B154" s="209" t="inlineStr">
        <is>
          <t>Dịch vụ liên kết</t>
        </is>
      </c>
      <c r="C154" s="210" t="inlineStr">
        <is>
          <t>Referral</t>
        </is>
      </c>
      <c r="D154" s="210" t="n">
        <v>93</v>
      </c>
      <c r="E154" s="210" t="n">
        <v>577</v>
      </c>
      <c r="F154" s="210" t="n">
        <v>63</v>
      </c>
      <c r="G154" s="210" t="n">
        <v>193</v>
      </c>
      <c r="H154" s="210" t="n">
        <v>111</v>
      </c>
      <c r="I154" s="210" t="n">
        <v>162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726</v>
      </c>
      <c r="E155" s="210" t="n">
        <v>1328</v>
      </c>
      <c r="F155" s="210" t="n">
        <v>719</v>
      </c>
      <c r="G155" s="210" t="n">
        <v>543</v>
      </c>
      <c r="H155" s="210" t="n">
        <v>545</v>
      </c>
      <c r="I155" s="210" t="n">
        <v>616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Organic</t>
        </is>
      </c>
      <c r="D156" s="210" t="n">
        <v>2191</v>
      </c>
      <c r="E156" s="210" t="n">
        <v>1984</v>
      </c>
      <c r="F156" s="210" t="n">
        <v>3120</v>
      </c>
      <c r="G156" s="210" t="n">
        <v>3207</v>
      </c>
      <c r="H156" s="210" t="n">
        <v>2975</v>
      </c>
      <c r="I156" s="210" t="n">
        <v>1924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Others</t>
        </is>
      </c>
      <c r="D157" s="210" t="n">
        <v>81</v>
      </c>
      <c r="E157" s="210" t="n">
        <v>48</v>
      </c>
      <c r="F157" s="210" t="n">
        <v>24</v>
      </c>
      <c r="G157" s="210" t="n">
        <v>71</v>
      </c>
      <c r="H157" s="210" t="n">
        <v>84</v>
      </c>
      <c r="I157" s="210" t="n">
        <v>67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Paid</t>
        </is>
      </c>
      <c r="D158" s="210" t="n">
        <v>24</v>
      </c>
      <c r="E158" s="210" t="n">
        <v>47</v>
      </c>
      <c r="F158" s="210" t="n">
        <v>25</v>
      </c>
      <c r="G158" s="210" t="n">
        <v>225</v>
      </c>
      <c r="H158" s="210" t="n">
        <v>761</v>
      </c>
      <c r="I158" s="210" t="n">
        <v>2887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Referral</t>
        </is>
      </c>
      <c r="D159" s="210" t="n">
        <v>102</v>
      </c>
      <c r="E159" s="210" t="n">
        <v>104</v>
      </c>
      <c r="F159" s="210" t="n">
        <v>162</v>
      </c>
      <c r="G159" s="210" t="n">
        <v>288</v>
      </c>
      <c r="H159" s="210" t="n">
        <v>295</v>
      </c>
      <c r="I159" s="210" t="n">
        <v>238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Direct</t>
        </is>
      </c>
      <c r="D160" s="210" t="n">
        <v>98</v>
      </c>
      <c r="E160" s="210" t="n">
        <v>87</v>
      </c>
      <c r="F160" s="210" t="n">
        <v>166</v>
      </c>
      <c r="G160" s="210" t="n">
        <v>168</v>
      </c>
      <c r="H160" s="210" t="n">
        <v>74</v>
      </c>
      <c r="I160" s="210" t="n">
        <v>159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Organic</t>
        </is>
      </c>
      <c r="D161" s="210" t="n">
        <v>1689</v>
      </c>
      <c r="E161" s="210" t="n">
        <v>2055</v>
      </c>
      <c r="F161" s="210" t="n">
        <v>2076</v>
      </c>
      <c r="G161" s="210" t="n">
        <v>2818</v>
      </c>
      <c r="H161" s="210" t="n">
        <v>1785</v>
      </c>
      <c r="I161" s="210" t="n">
        <v>3020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Others</t>
        </is>
      </c>
      <c r="D162" s="210" t="n">
        <v>16</v>
      </c>
      <c r="E162" s="210" t="n">
        <v>3</v>
      </c>
      <c r="F162" s="210" t="n"/>
      <c r="G162" s="210" t="n">
        <v>18</v>
      </c>
      <c r="H162" s="210" t="n">
        <v>57</v>
      </c>
      <c r="I162" s="210" t="n">
        <v>16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Paid</t>
        </is>
      </c>
      <c r="D163" s="210" t="n"/>
      <c r="E163" s="210" t="n">
        <v>2</v>
      </c>
      <c r="F163" s="210" t="n"/>
      <c r="G163" s="210" t="n">
        <v>4211</v>
      </c>
      <c r="H163" s="210" t="n">
        <v>1661</v>
      </c>
      <c r="I163" s="210" t="n">
        <v>2836</v>
      </c>
      <c r="J163" s="210" t="n"/>
    </row>
    <row r="164">
      <c r="A164" s="209" t="inlineStr">
        <is>
          <t>Vé số</t>
        </is>
      </c>
      <c r="B164" s="209" t="inlineStr">
        <is>
          <t>Vé số</t>
        </is>
      </c>
      <c r="C164" s="210" t="inlineStr">
        <is>
          <t>Referral</t>
        </is>
      </c>
      <c r="D164" s="210" t="n">
        <v>37</v>
      </c>
      <c r="E164" s="210" t="n">
        <v>30</v>
      </c>
      <c r="F164" s="210" t="n">
        <v>33</v>
      </c>
      <c r="G164" s="210" t="n">
        <v>44</v>
      </c>
      <c r="H164" s="210" t="n">
        <v>31</v>
      </c>
      <c r="I164" s="210" t="n">
        <v>45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42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Organic</t>
        </is>
      </c>
      <c r="D166" s="210" t="n"/>
      <c r="E166" s="210" t="n"/>
      <c r="F166" s="210" t="n"/>
      <c r="G166" s="210" t="n"/>
      <c r="H166" s="210" t="n"/>
      <c r="I166" s="210" t="n">
        <v>764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39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27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Direct</t>
        </is>
      </c>
      <c r="D169" s="210" t="n">
        <v>455</v>
      </c>
      <c r="E169" s="210" t="n">
        <v>293</v>
      </c>
      <c r="F169" s="210" t="n">
        <v>375</v>
      </c>
      <c r="G169" s="210" t="n">
        <v>609</v>
      </c>
      <c r="H169" s="210" t="n">
        <v>370</v>
      </c>
      <c r="I169" s="210" t="n">
        <v>563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Organic</t>
        </is>
      </c>
      <c r="D170" s="210" t="n">
        <v>2908</v>
      </c>
      <c r="E170" s="210" t="n">
        <v>2383</v>
      </c>
      <c r="F170" s="210" t="n">
        <v>3011</v>
      </c>
      <c r="G170" s="210" t="n">
        <v>2693</v>
      </c>
      <c r="H170" s="210" t="n">
        <v>2293</v>
      </c>
      <c r="I170" s="210" t="n">
        <v>2654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Others</t>
        </is>
      </c>
      <c r="D171" s="210" t="n">
        <v>52</v>
      </c>
      <c r="E171" s="210" t="n">
        <v>22</v>
      </c>
      <c r="F171" s="210" t="n">
        <v>40</v>
      </c>
      <c r="G171" s="210" t="n">
        <v>31</v>
      </c>
      <c r="H171" s="210" t="n">
        <v>21</v>
      </c>
      <c r="I171" s="210" t="n">
        <v>34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Paid</t>
        </is>
      </c>
      <c r="D172" s="210" t="n">
        <v>34</v>
      </c>
      <c r="E172" s="210" t="n">
        <v>50</v>
      </c>
      <c r="F172" s="210" t="n">
        <v>19</v>
      </c>
      <c r="G172" s="210" t="n">
        <v>102</v>
      </c>
      <c r="H172" s="210" t="n">
        <v>128</v>
      </c>
      <c r="I172" s="210" t="n">
        <v>101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Referral</t>
        </is>
      </c>
      <c r="D173" s="210" t="n">
        <v>326</v>
      </c>
      <c r="E173" s="210" t="n">
        <v>157</v>
      </c>
      <c r="F173" s="210" t="n">
        <v>181</v>
      </c>
      <c r="G173" s="210" t="n">
        <v>219</v>
      </c>
      <c r="H173" s="210" t="n">
        <v>217</v>
      </c>
      <c r="I173" s="210" t="n">
        <v>289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Direct</t>
        </is>
      </c>
      <c r="D174" s="210" t="n">
        <v>876</v>
      </c>
      <c r="E174" s="210" t="n">
        <v>3701</v>
      </c>
      <c r="F174" s="210" t="n">
        <v>2510</v>
      </c>
      <c r="G174" s="210" t="n">
        <v>4162</v>
      </c>
      <c r="H174" s="210" t="n">
        <v>3084</v>
      </c>
      <c r="I174" s="210" t="n">
        <v>2422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Organic</t>
        </is>
      </c>
      <c r="D175" s="210" t="n">
        <v>281</v>
      </c>
      <c r="E175" s="210" t="n">
        <v>395</v>
      </c>
      <c r="F175" s="210" t="n">
        <v>449</v>
      </c>
      <c r="G175" s="210" t="n">
        <v>501</v>
      </c>
      <c r="H175" s="210" t="n">
        <v>341</v>
      </c>
      <c r="I175" s="210" t="n">
        <v>1039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Others</t>
        </is>
      </c>
      <c r="D176" s="210" t="n">
        <v>25</v>
      </c>
      <c r="E176" s="210" t="n">
        <v>36</v>
      </c>
      <c r="F176" s="210" t="n">
        <v>13</v>
      </c>
      <c r="G176" s="210" t="n">
        <v>6</v>
      </c>
      <c r="H176" s="210" t="n">
        <v>24</v>
      </c>
      <c r="I176" s="210" t="n">
        <v>19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Paid</t>
        </is>
      </c>
      <c r="D177" s="210" t="n">
        <v>6</v>
      </c>
      <c r="E177" s="210" t="n">
        <v>20</v>
      </c>
      <c r="F177" s="210" t="n">
        <v>5</v>
      </c>
      <c r="G177" s="210" t="n">
        <v>18</v>
      </c>
      <c r="H177" s="210" t="n">
        <v>20</v>
      </c>
      <c r="I177" s="210" t="n">
        <v>57</v>
      </c>
      <c r="J177" s="210" t="n"/>
    </row>
    <row r="178">
      <c r="A178" s="209" t="inlineStr">
        <is>
          <t>Billpay</t>
        </is>
      </c>
      <c r="B178" s="209" t="inlineStr">
        <is>
          <t>Billpay</t>
        </is>
      </c>
      <c r="C178" s="210" t="inlineStr">
        <is>
          <t>Referral</t>
        </is>
      </c>
      <c r="D178" s="210" t="n">
        <v>123</v>
      </c>
      <c r="E178" s="210" t="n">
        <v>95</v>
      </c>
      <c r="F178" s="210" t="n">
        <v>84</v>
      </c>
      <c r="G178" s="210" t="n">
        <v>36</v>
      </c>
      <c r="H178" s="210" t="n">
        <v>37</v>
      </c>
      <c r="I178" s="210" t="n">
        <v>95</v>
      </c>
      <c r="J178" s="210" t="n"/>
    </row>
    <row r="179">
      <c r="A179" s="209" t="inlineStr">
        <is>
          <t>Nước</t>
        </is>
      </c>
      <c r="B179" s="209" t="inlineStr">
        <is>
          <t>Nước</t>
        </is>
      </c>
      <c r="C179" s="210" t="inlineStr">
        <is>
          <t>Direct</t>
        </is>
      </c>
      <c r="D179" s="210" t="n"/>
      <c r="E179" s="210" t="n"/>
      <c r="F179" s="210" t="n"/>
      <c r="G179" s="210" t="n"/>
      <c r="H179" s="210" t="n"/>
      <c r="I179" s="210" t="n">
        <v>18159</v>
      </c>
      <c r="J179" s="210" t="n"/>
    </row>
    <row r="180">
      <c r="A180" s="209" t="inlineStr">
        <is>
          <t>Nước</t>
        </is>
      </c>
      <c r="B180" s="209" t="inlineStr">
        <is>
          <t>Nước</t>
        </is>
      </c>
      <c r="C180" s="210" t="inlineStr">
        <is>
          <t>Organic</t>
        </is>
      </c>
      <c r="D180" s="210" t="n"/>
      <c r="E180" s="210" t="n"/>
      <c r="F180" s="210" t="n"/>
      <c r="G180" s="210" t="n"/>
      <c r="H180" s="210" t="n"/>
      <c r="I180" s="210" t="n">
        <v>1191</v>
      </c>
      <c r="J180" s="210" t="n"/>
    </row>
    <row r="181">
      <c r="A181" s="209" t="inlineStr">
        <is>
          <t>Nước</t>
        </is>
      </c>
      <c r="B181" s="209" t="inlineStr">
        <is>
          <t>Nước</t>
        </is>
      </c>
      <c r="C181" s="210" t="inlineStr">
        <is>
          <t>Others</t>
        </is>
      </c>
      <c r="D181" s="210" t="n"/>
      <c r="E181" s="210" t="n"/>
      <c r="F181" s="210" t="n"/>
      <c r="G181" s="210" t="n"/>
      <c r="H181" s="210" t="n"/>
      <c r="I181" s="210" t="n">
        <v>103</v>
      </c>
      <c r="J181" s="210" t="n"/>
    </row>
    <row r="182">
      <c r="A182" s="209" t="inlineStr">
        <is>
          <t>Nước</t>
        </is>
      </c>
      <c r="B182" s="209" t="inlineStr">
        <is>
          <t>Nước</t>
        </is>
      </c>
      <c r="C182" s="210" t="inlineStr">
        <is>
          <t>Paid</t>
        </is>
      </c>
      <c r="D182" s="210" t="n"/>
      <c r="E182" s="210" t="n"/>
      <c r="F182" s="210" t="n"/>
      <c r="G182" s="210" t="n"/>
      <c r="H182" s="210" t="n"/>
      <c r="I182" s="210" t="n">
        <v>25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Referral</t>
        </is>
      </c>
      <c r="D183" s="210" t="n"/>
      <c r="E183" s="210" t="n"/>
      <c r="F183" s="210" t="n"/>
      <c r="G183" s="210" t="n"/>
      <c r="H183" s="210" t="n"/>
      <c r="I183" s="210" t="n">
        <v>72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Direct</t>
        </is>
      </c>
      <c r="D184" s="210" t="n">
        <v>165</v>
      </c>
      <c r="E184" s="210" t="n">
        <v>287</v>
      </c>
      <c r="F184" s="210" t="n">
        <v>215</v>
      </c>
      <c r="G184" s="210" t="n">
        <v>300</v>
      </c>
      <c r="H184" s="210" t="n">
        <v>235</v>
      </c>
      <c r="I184" s="210" t="n">
        <v>196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Organic</t>
        </is>
      </c>
      <c r="D185" s="210" t="n">
        <v>2628</v>
      </c>
      <c r="E185" s="210" t="n">
        <v>2445</v>
      </c>
      <c r="F185" s="210" t="n">
        <v>2710</v>
      </c>
      <c r="G185" s="210" t="n">
        <v>2329</v>
      </c>
      <c r="H185" s="210" t="n">
        <v>2111</v>
      </c>
      <c r="I185" s="210" t="n">
        <v>2214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Others</t>
        </is>
      </c>
      <c r="D186" s="210" t="n">
        <v>22</v>
      </c>
      <c r="E186" s="210" t="n">
        <v>4</v>
      </c>
      <c r="F186" s="210" t="n">
        <v>5</v>
      </c>
      <c r="G186" s="210" t="n">
        <v>3</v>
      </c>
      <c r="H186" s="210" t="n">
        <v>19</v>
      </c>
      <c r="I186" s="210" t="n">
        <v>16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Paid</t>
        </is>
      </c>
      <c r="D187" s="210" t="n">
        <v>1</v>
      </c>
      <c r="E187" s="210" t="n">
        <v>2</v>
      </c>
      <c r="F187" s="210" t="n">
        <v>1</v>
      </c>
      <c r="G187" s="210" t="n">
        <v>2232</v>
      </c>
      <c r="H187" s="210" t="n">
        <v>97</v>
      </c>
      <c r="I187" s="210" t="n">
        <v>51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Referral</t>
        </is>
      </c>
      <c r="D188" s="210" t="n">
        <v>77</v>
      </c>
      <c r="E188" s="210" t="n">
        <v>71</v>
      </c>
      <c r="F188" s="210" t="n">
        <v>64</v>
      </c>
      <c r="G188" s="210" t="n">
        <v>53</v>
      </c>
      <c r="H188" s="210" t="n">
        <v>48</v>
      </c>
      <c r="I188" s="210" t="n">
        <v>47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Direct</t>
        </is>
      </c>
      <c r="D189" s="210" t="n">
        <v>165</v>
      </c>
      <c r="E189" s="210" t="n">
        <v>89</v>
      </c>
      <c r="F189" s="210" t="n">
        <v>121</v>
      </c>
      <c r="G189" s="210" t="n">
        <v>724</v>
      </c>
      <c r="H189" s="210" t="n">
        <v>236</v>
      </c>
      <c r="I189" s="210" t="n">
        <v>187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Organic</t>
        </is>
      </c>
      <c r="D190" s="210" t="n">
        <v>2317</v>
      </c>
      <c r="E190" s="210" t="n">
        <v>1371</v>
      </c>
      <c r="F190" s="210" t="n">
        <v>2058</v>
      </c>
      <c r="G190" s="210" t="n">
        <v>2251</v>
      </c>
      <c r="H190" s="210" t="n">
        <v>2184</v>
      </c>
      <c r="I190" s="210" t="n">
        <v>1264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Others</t>
        </is>
      </c>
      <c r="D191" s="210" t="n">
        <v>47</v>
      </c>
      <c r="E191" s="210" t="n">
        <v>26</v>
      </c>
      <c r="F191" s="210" t="n">
        <v>33</v>
      </c>
      <c r="G191" s="210" t="n">
        <v>54</v>
      </c>
      <c r="H191" s="210" t="n">
        <v>62</v>
      </c>
      <c r="I191" s="210" t="n">
        <v>22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Paid</t>
        </is>
      </c>
      <c r="D192" s="210" t="n">
        <v>7</v>
      </c>
      <c r="E192" s="210" t="n">
        <v>15</v>
      </c>
      <c r="F192" s="210" t="n">
        <v>21</v>
      </c>
      <c r="G192" s="210" t="n">
        <v>493</v>
      </c>
      <c r="H192" s="210" t="n">
        <v>1097</v>
      </c>
      <c r="I192" s="210" t="n">
        <v>394</v>
      </c>
      <c r="J192" s="210" t="n"/>
    </row>
    <row r="193">
      <c r="A193" s="209" t="inlineStr">
        <is>
          <t>Bảo Hiểm Xe Máy</t>
        </is>
      </c>
      <c r="B193" s="209" t="inlineStr">
        <is>
          <t>Bảo Hiểm Xe Máy</t>
        </is>
      </c>
      <c r="C193" s="210" t="inlineStr">
        <is>
          <t>Referral</t>
        </is>
      </c>
      <c r="D193" s="210" t="n">
        <v>144</v>
      </c>
      <c r="E193" s="210" t="n">
        <v>74</v>
      </c>
      <c r="F193" s="210" t="n">
        <v>75</v>
      </c>
      <c r="G193" s="210" t="n">
        <v>112</v>
      </c>
      <c r="H193" s="210" t="n">
        <v>83</v>
      </c>
      <c r="I193" s="210" t="n">
        <v>92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Direct</t>
        </is>
      </c>
      <c r="D194" s="210" t="n">
        <v>7</v>
      </c>
      <c r="E194" s="210" t="n">
        <v>12</v>
      </c>
      <c r="F194" s="210" t="n">
        <v>6</v>
      </c>
      <c r="G194" s="210" t="n">
        <v>5698</v>
      </c>
      <c r="H194" s="210" t="n">
        <v>520</v>
      </c>
      <c r="I194" s="210" t="n">
        <v>297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Organic</t>
        </is>
      </c>
      <c r="D195" s="210" t="n">
        <v>149</v>
      </c>
      <c r="E195" s="210" t="n">
        <v>90</v>
      </c>
      <c r="F195" s="210" t="n">
        <v>126</v>
      </c>
      <c r="G195" s="210" t="n">
        <v>1746</v>
      </c>
      <c r="H195" s="210" t="n">
        <v>1800</v>
      </c>
      <c r="I195" s="210" t="n">
        <v>491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Others</t>
        </is>
      </c>
      <c r="D196" s="210" t="n">
        <v>1</v>
      </c>
      <c r="E196" s="210" t="n"/>
      <c r="F196" s="210" t="n">
        <v>8</v>
      </c>
      <c r="G196" s="210" t="n">
        <v>57</v>
      </c>
      <c r="H196" s="210" t="n">
        <v>26</v>
      </c>
      <c r="I196" s="210" t="n">
        <v>6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Paid</t>
        </is>
      </c>
      <c r="D197" s="210" t="n"/>
      <c r="E197" s="210" t="n"/>
      <c r="F197" s="210" t="n"/>
      <c r="G197" s="210" t="n">
        <v>49</v>
      </c>
      <c r="H197" s="210" t="n">
        <v>2821</v>
      </c>
      <c r="I197" s="210" t="n">
        <v>12</v>
      </c>
      <c r="J197" s="210" t="n"/>
    </row>
    <row r="198">
      <c r="A198" s="209" t="inlineStr">
        <is>
          <t>Student Pass</t>
        </is>
      </c>
      <c r="B198" s="209" t="inlineStr">
        <is>
          <t>Student Hub</t>
        </is>
      </c>
      <c r="C198" s="210" t="inlineStr">
        <is>
          <t>Referral</t>
        </is>
      </c>
      <c r="D198" s="210" t="n">
        <v>7</v>
      </c>
      <c r="E198" s="210" t="n">
        <v>3</v>
      </c>
      <c r="F198" s="210" t="n">
        <v>11</v>
      </c>
      <c r="G198" s="210" t="n">
        <v>283</v>
      </c>
      <c r="H198" s="210" t="n">
        <v>75</v>
      </c>
      <c r="I198" s="210" t="n">
        <v>21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Direct</t>
        </is>
      </c>
      <c r="D199" s="210" t="n">
        <v>117</v>
      </c>
      <c r="E199" s="210" t="n">
        <v>192</v>
      </c>
      <c r="F199" s="210" t="n">
        <v>136</v>
      </c>
      <c r="G199" s="210" t="n">
        <v>48</v>
      </c>
      <c r="H199" s="210" t="n">
        <v>74</v>
      </c>
      <c r="I199" s="210" t="n">
        <v>128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Organic</t>
        </is>
      </c>
      <c r="D200" s="210" t="n">
        <v>1084</v>
      </c>
      <c r="E200" s="210" t="n">
        <v>1018</v>
      </c>
      <c r="F200" s="210" t="n">
        <v>1138</v>
      </c>
      <c r="G200" s="210" t="n">
        <v>998</v>
      </c>
      <c r="H200" s="210" t="n">
        <v>1153</v>
      </c>
      <c r="I200" s="210" t="n">
        <v>1275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Others</t>
        </is>
      </c>
      <c r="D201" s="210" t="n">
        <v>46</v>
      </c>
      <c r="E201" s="210" t="n">
        <v>17</v>
      </c>
      <c r="F201" s="210" t="n">
        <v>8</v>
      </c>
      <c r="G201" s="210" t="n">
        <v>10</v>
      </c>
      <c r="H201" s="210" t="n">
        <v>12</v>
      </c>
      <c r="I201" s="210" t="n">
        <v>9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4</v>
      </c>
      <c r="E202" s="210" t="n">
        <v>7</v>
      </c>
      <c r="F202" s="210" t="n">
        <v>1</v>
      </c>
      <c r="G202" s="210" t="n">
        <v>14</v>
      </c>
      <c r="H202" s="210" t="n">
        <v>31</v>
      </c>
      <c r="I202" s="210" t="n">
        <v>9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Referral</t>
        </is>
      </c>
      <c r="D203" s="210" t="n">
        <v>1522</v>
      </c>
      <c r="E203" s="210" t="n">
        <v>505</v>
      </c>
      <c r="F203" s="210" t="n">
        <v>498</v>
      </c>
      <c r="G203" s="210" t="n">
        <v>62</v>
      </c>
      <c r="H203" s="210" t="n">
        <v>71</v>
      </c>
      <c r="I203" s="210" t="n">
        <v>91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Direct</t>
        </is>
      </c>
      <c r="D204" s="210" t="n">
        <v>101</v>
      </c>
      <c r="E204" s="210" t="n">
        <v>110</v>
      </c>
      <c r="F204" s="210" t="n">
        <v>135</v>
      </c>
      <c r="G204" s="210" t="n">
        <v>97</v>
      </c>
      <c r="H204" s="210" t="n">
        <v>56</v>
      </c>
      <c r="I204" s="210" t="n">
        <v>103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Organic</t>
        </is>
      </c>
      <c r="D205" s="210" t="n">
        <v>898</v>
      </c>
      <c r="E205" s="210" t="n">
        <v>1394</v>
      </c>
      <c r="F205" s="210" t="n">
        <v>1612</v>
      </c>
      <c r="G205" s="210" t="n">
        <v>1373</v>
      </c>
      <c r="H205" s="210" t="n">
        <v>792</v>
      </c>
      <c r="I205" s="210" t="n">
        <v>1295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Others</t>
        </is>
      </c>
      <c r="D206" s="210" t="n">
        <v>14</v>
      </c>
      <c r="E206" s="210" t="n">
        <v>12</v>
      </c>
      <c r="F206" s="210" t="n">
        <v>2</v>
      </c>
      <c r="G206" s="210" t="n">
        <v>11</v>
      </c>
      <c r="H206" s="210" t="n">
        <v>4</v>
      </c>
      <c r="I206" s="210" t="n">
        <v>10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/>
      <c r="F207" s="210" t="n"/>
      <c r="G207" s="210" t="n">
        <v>14</v>
      </c>
      <c r="H207" s="210" t="n">
        <v>17</v>
      </c>
      <c r="I207" s="210" t="n">
        <v>16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Referral</t>
        </is>
      </c>
      <c r="D208" s="210" t="n">
        <v>151</v>
      </c>
      <c r="E208" s="210" t="n">
        <v>59</v>
      </c>
      <c r="F208" s="210" t="n">
        <v>82</v>
      </c>
      <c r="G208" s="210" t="n">
        <v>60</v>
      </c>
      <c r="H208" s="210" t="n">
        <v>28</v>
      </c>
      <c r="I208" s="210" t="n">
        <v>75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163</v>
      </c>
      <c r="E209" s="210" t="n">
        <v>182</v>
      </c>
      <c r="F209" s="210" t="n">
        <v>205</v>
      </c>
      <c r="G209" s="210" t="n">
        <v>203</v>
      </c>
      <c r="H209" s="210" t="n">
        <v>271</v>
      </c>
      <c r="I209" s="210" t="n">
        <v>596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Organic</t>
        </is>
      </c>
      <c r="D210" s="210" t="n">
        <v>489</v>
      </c>
      <c r="E210" s="210" t="n">
        <v>845</v>
      </c>
      <c r="F210" s="210" t="n">
        <v>1036</v>
      </c>
      <c r="G210" s="210" t="n">
        <v>982</v>
      </c>
      <c r="H210" s="210" t="n">
        <v>806</v>
      </c>
      <c r="I210" s="210" t="n">
        <v>1309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3</v>
      </c>
      <c r="E211" s="210" t="n">
        <v>4</v>
      </c>
      <c r="F211" s="210" t="n"/>
      <c r="G211" s="210" t="n"/>
      <c r="H211" s="210" t="n">
        <v>17</v>
      </c>
      <c r="I211" s="210" t="n">
        <v>64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2</v>
      </c>
      <c r="E212" s="210" t="n">
        <v>2</v>
      </c>
      <c r="F212" s="210" t="n">
        <v>2</v>
      </c>
      <c r="G212" s="210" t="n">
        <v>1</v>
      </c>
      <c r="H212" s="210" t="n">
        <v>4</v>
      </c>
      <c r="I212" s="210" t="n">
        <v>13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Referral</t>
        </is>
      </c>
      <c r="D213" s="210" t="n">
        <v>27</v>
      </c>
      <c r="E213" s="210" t="n">
        <v>31</v>
      </c>
      <c r="F213" s="210" t="n">
        <v>24</v>
      </c>
      <c r="G213" s="210" t="n">
        <v>36</v>
      </c>
      <c r="H213" s="210" t="n">
        <v>34</v>
      </c>
      <c r="I213" s="210" t="n">
        <v>37</v>
      </c>
      <c r="J213" s="210" t="n"/>
    </row>
    <row r="214">
      <c r="A214" s="209" t="inlineStr">
        <is>
          <t>Tìm Kiếm</t>
        </is>
      </c>
      <c r="B214" s="209" t="inlineStr">
        <is>
          <t>Tìm Kiếm</t>
        </is>
      </c>
      <c r="C214" s="210" t="inlineStr">
        <is>
          <t>Direct</t>
        </is>
      </c>
      <c r="D214" s="210" t="n"/>
      <c r="E214" s="210" t="n"/>
      <c r="F214" s="210" t="n"/>
      <c r="G214" s="210" t="n"/>
      <c r="H214" s="210" t="n"/>
      <c r="I214" s="210" t="n">
        <v>1406</v>
      </c>
      <c r="J214" s="210" t="n"/>
    </row>
    <row r="215">
      <c r="A215" s="209" t="inlineStr">
        <is>
          <t>Tìm Kiếm</t>
        </is>
      </c>
      <c r="B215" s="209" t="inlineStr">
        <is>
          <t>Tìm Kiếm</t>
        </is>
      </c>
      <c r="C215" s="210" t="inlineStr">
        <is>
          <t>Organic</t>
        </is>
      </c>
      <c r="D215" s="210" t="n"/>
      <c r="E215" s="210" t="n"/>
      <c r="F215" s="210" t="n"/>
      <c r="G215" s="210" t="n"/>
      <c r="H215" s="210" t="n"/>
      <c r="I215" s="210" t="n">
        <v>3433</v>
      </c>
      <c r="J215" s="210" t="n"/>
    </row>
    <row r="216">
      <c r="A216" s="209" t="inlineStr">
        <is>
          <t>Tìm Kiếm</t>
        </is>
      </c>
      <c r="B216" s="209" t="inlineStr">
        <is>
          <t>Tìm Kiếm</t>
        </is>
      </c>
      <c r="C216" s="210" t="inlineStr">
        <is>
          <t>Others</t>
        </is>
      </c>
      <c r="D216" s="210" t="n"/>
      <c r="E216" s="210" t="n"/>
      <c r="F216" s="210" t="n"/>
      <c r="G216" s="210" t="n"/>
      <c r="H216" s="210" t="n"/>
      <c r="I216" s="210" t="n">
        <v>125</v>
      </c>
      <c r="J216" s="210" t="n"/>
    </row>
    <row r="217">
      <c r="A217" s="209" t="inlineStr">
        <is>
          <t>Tìm Kiếm</t>
        </is>
      </c>
      <c r="B217" s="209" t="inlineStr">
        <is>
          <t>Tìm Kiếm</t>
        </is>
      </c>
      <c r="C217" s="210" t="inlineStr">
        <is>
          <t>Paid</t>
        </is>
      </c>
      <c r="D217" s="210" t="n"/>
      <c r="E217" s="210" t="n"/>
      <c r="F217" s="210" t="n"/>
      <c r="G217" s="210" t="n"/>
      <c r="H217" s="210" t="n"/>
      <c r="I217" s="210" t="n">
        <v>360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Referral</t>
        </is>
      </c>
      <c r="D218" s="210" t="n"/>
      <c r="E218" s="210" t="n"/>
      <c r="F218" s="210" t="n"/>
      <c r="G218" s="210" t="n"/>
      <c r="H218" s="210" t="n"/>
      <c r="I218" s="210" t="n">
        <v>845</v>
      </c>
      <c r="J218" s="210" t="n"/>
    </row>
    <row r="219">
      <c r="A219" s="209" t="inlineStr">
        <is>
          <t>Mở tài khoản ngân hàng</t>
        </is>
      </c>
      <c r="B219" s="209" t="inlineStr">
        <is>
          <t>Mở tài khoản ngân hàng</t>
        </is>
      </c>
      <c r="C219" s="210" t="inlineStr">
        <is>
          <t>Direct</t>
        </is>
      </c>
      <c r="D219" s="210" t="n">
        <v>53</v>
      </c>
      <c r="E219" s="210" t="n">
        <v>47</v>
      </c>
      <c r="F219" s="210" t="n">
        <v>59</v>
      </c>
      <c r="G219" s="210" t="n">
        <v>65</v>
      </c>
      <c r="H219" s="210" t="n">
        <v>75</v>
      </c>
      <c r="I219" s="210" t="n">
        <v>322</v>
      </c>
      <c r="J219" s="210" t="n"/>
    </row>
    <row r="220">
      <c r="A220" s="209" t="inlineStr">
        <is>
          <t>Mở tài khoản ngân hàng</t>
        </is>
      </c>
      <c r="B220" s="209" t="inlineStr">
        <is>
          <t>Mở tài khoản ngân hàng</t>
        </is>
      </c>
      <c r="C220" s="210" t="inlineStr">
        <is>
          <t>Organic</t>
        </is>
      </c>
      <c r="D220" s="210" t="n">
        <v>863</v>
      </c>
      <c r="E220" s="210" t="n">
        <v>852</v>
      </c>
      <c r="F220" s="210" t="n">
        <v>891</v>
      </c>
      <c r="G220" s="210" t="n">
        <v>764</v>
      </c>
      <c r="H220" s="210" t="n">
        <v>659</v>
      </c>
      <c r="I220" s="210" t="n">
        <v>577</v>
      </c>
      <c r="J220" s="210" t="n"/>
    </row>
    <row r="221">
      <c r="A221" s="209" t="inlineStr">
        <is>
          <t>Mở tài khoản ngân hàng</t>
        </is>
      </c>
      <c r="B221" s="209" t="inlineStr">
        <is>
          <t>Mở tài khoản ngân hàng</t>
        </is>
      </c>
      <c r="C221" s="210" t="inlineStr">
        <is>
          <t>Others</t>
        </is>
      </c>
      <c r="D221" s="210" t="n">
        <v>6</v>
      </c>
      <c r="E221" s="210" t="n">
        <v>2</v>
      </c>
      <c r="F221" s="210" t="n">
        <v>3</v>
      </c>
      <c r="G221" s="210" t="n">
        <v>1</v>
      </c>
      <c r="H221" s="210" t="n">
        <v>12</v>
      </c>
      <c r="I221" s="210" t="n">
        <v>4</v>
      </c>
      <c r="J221" s="210" t="n"/>
    </row>
    <row r="222">
      <c r="A222" s="209" t="inlineStr">
        <is>
          <t>Mở tài khoản ngân hàng</t>
        </is>
      </c>
      <c r="B222" s="209" t="inlineStr">
        <is>
          <t>Mở tài khoản ngân hàng</t>
        </is>
      </c>
      <c r="C222" s="210" t="inlineStr">
        <is>
          <t>Paid</t>
        </is>
      </c>
      <c r="D222" s="210" t="n">
        <v>9</v>
      </c>
      <c r="E222" s="210" t="n">
        <v>20</v>
      </c>
      <c r="F222" s="210" t="n">
        <v>5</v>
      </c>
      <c r="G222" s="210" t="n">
        <v>168</v>
      </c>
      <c r="H222" s="210" t="n">
        <v>348</v>
      </c>
      <c r="I222" s="210" t="n">
        <v>73</v>
      </c>
      <c r="J222" s="210" t="n"/>
    </row>
    <row r="223">
      <c r="A223" s="209" t="inlineStr">
        <is>
          <t>Mở tài khoản ngân hàng</t>
        </is>
      </c>
      <c r="B223" s="209" t="inlineStr">
        <is>
          <t>Mở tài khoản ngân hàng</t>
        </is>
      </c>
      <c r="C223" s="210" t="inlineStr">
        <is>
          <t>Referral</t>
        </is>
      </c>
      <c r="D223" s="210" t="n">
        <v>31</v>
      </c>
      <c r="E223" s="210" t="n">
        <v>27</v>
      </c>
      <c r="F223" s="210" t="n">
        <v>51</v>
      </c>
      <c r="G223" s="210" t="n">
        <v>30</v>
      </c>
      <c r="H223" s="210" t="n">
        <v>30</v>
      </c>
      <c r="I223" s="210" t="n">
        <v>72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Direct</t>
        </is>
      </c>
      <c r="D224" s="210" t="n">
        <v>37</v>
      </c>
      <c r="E224" s="210" t="n">
        <v>30</v>
      </c>
      <c r="F224" s="210" t="n">
        <v>65</v>
      </c>
      <c r="G224" s="210" t="n">
        <v>70</v>
      </c>
      <c r="H224" s="210" t="n">
        <v>57</v>
      </c>
      <c r="I224" s="210" t="n">
        <v>88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Organic</t>
        </is>
      </c>
      <c r="D225" s="210" t="n">
        <v>475</v>
      </c>
      <c r="E225" s="210" t="n">
        <v>440</v>
      </c>
      <c r="F225" s="210" t="n">
        <v>1001</v>
      </c>
      <c r="G225" s="210" t="n">
        <v>1009</v>
      </c>
      <c r="H225" s="210" t="n">
        <v>953</v>
      </c>
      <c r="I225" s="210" t="n">
        <v>871</v>
      </c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Others</t>
        </is>
      </c>
      <c r="D226" s="210" t="n">
        <v>6</v>
      </c>
      <c r="E226" s="210" t="n">
        <v>1</v>
      </c>
      <c r="F226" s="210" t="n"/>
      <c r="G226" s="210" t="n">
        <v>5</v>
      </c>
      <c r="H226" s="210" t="n">
        <v>6</v>
      </c>
      <c r="I226" s="210" t="n"/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Paid</t>
        </is>
      </c>
      <c r="D227" s="210" t="n">
        <v>6</v>
      </c>
      <c r="E227" s="210" t="n">
        <v>3</v>
      </c>
      <c r="F227" s="210" t="n">
        <v>1</v>
      </c>
      <c r="G227" s="210" t="n">
        <v>1</v>
      </c>
      <c r="H227" s="210" t="n">
        <v>7</v>
      </c>
      <c r="I227" s="210" t="n">
        <v>5</v>
      </c>
      <c r="J227" s="210" t="n"/>
    </row>
    <row r="228">
      <c r="A228" s="209" t="inlineStr">
        <is>
          <t>Túi Thần Tài</t>
        </is>
      </c>
      <c r="B228" s="209" t="inlineStr">
        <is>
          <t>Financial Hub</t>
        </is>
      </c>
      <c r="C228" s="210" t="inlineStr">
        <is>
          <t>Referral</t>
        </is>
      </c>
      <c r="D228" s="210" t="n">
        <v>44</v>
      </c>
      <c r="E228" s="210" t="n">
        <v>43</v>
      </c>
      <c r="F228" s="210" t="n">
        <v>92</v>
      </c>
      <c r="G228" s="210" t="n">
        <v>112</v>
      </c>
      <c r="H228" s="210" t="n">
        <v>75</v>
      </c>
      <c r="I228" s="210" t="n">
        <v>75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Direct</t>
        </is>
      </c>
      <c r="D229" s="210" t="n">
        <v>33</v>
      </c>
      <c r="E229" s="210" t="n">
        <v>28</v>
      </c>
      <c r="F229" s="210" t="n">
        <v>21</v>
      </c>
      <c r="G229" s="210" t="n">
        <v>30</v>
      </c>
      <c r="H229" s="210" t="n">
        <v>20</v>
      </c>
      <c r="I229" s="210" t="n">
        <v>73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Organic</t>
        </is>
      </c>
      <c r="D230" s="210" t="n">
        <v>737</v>
      </c>
      <c r="E230" s="210" t="n">
        <v>601</v>
      </c>
      <c r="F230" s="210" t="n">
        <v>755</v>
      </c>
      <c r="G230" s="210" t="n">
        <v>613</v>
      </c>
      <c r="H230" s="210" t="n">
        <v>561</v>
      </c>
      <c r="I230" s="210" t="n">
        <v>1284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Others</t>
        </is>
      </c>
      <c r="D231" s="210" t="n">
        <v>3</v>
      </c>
      <c r="E231" s="210" t="n">
        <v>3</v>
      </c>
      <c r="F231" s="210" t="n">
        <v>11</v>
      </c>
      <c r="G231" s="210" t="n">
        <v>2</v>
      </c>
      <c r="H231" s="210" t="n">
        <v>8</v>
      </c>
      <c r="I231" s="210" t="n">
        <v>7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Paid</t>
        </is>
      </c>
      <c r="D232" s="210" t="n">
        <v>1</v>
      </c>
      <c r="E232" s="210" t="n">
        <v>18</v>
      </c>
      <c r="F232" s="210" t="n">
        <v>13</v>
      </c>
      <c r="G232" s="210" t="n">
        <v>32</v>
      </c>
      <c r="H232" s="210" t="n">
        <v>84</v>
      </c>
      <c r="I232" s="210" t="n">
        <v>200</v>
      </c>
      <c r="J232" s="210" t="n"/>
    </row>
    <row r="233">
      <c r="A233" s="209" t="inlineStr">
        <is>
          <t>Mở Thẻ Tín Dụng</t>
        </is>
      </c>
      <c r="B233" s="209" t="inlineStr">
        <is>
          <t>Financial Hub</t>
        </is>
      </c>
      <c r="C233" s="210" t="inlineStr">
        <is>
          <t>Referral</t>
        </is>
      </c>
      <c r="D233" s="210" t="n">
        <v>36</v>
      </c>
      <c r="E233" s="210" t="n">
        <v>19</v>
      </c>
      <c r="F233" s="210" t="n">
        <v>39</v>
      </c>
      <c r="G233" s="210" t="n">
        <v>22</v>
      </c>
      <c r="H233" s="210" t="n">
        <v>35</v>
      </c>
      <c r="I233" s="210" t="n">
        <v>69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Direct</t>
        </is>
      </c>
      <c r="D234" s="210" t="n"/>
      <c r="E234" s="210" t="n"/>
      <c r="F234" s="210" t="n"/>
      <c r="G234" s="210" t="n"/>
      <c r="H234" s="210" t="n"/>
      <c r="I234" s="210" t="n">
        <v>1</v>
      </c>
      <c r="J234" s="210" t="n"/>
    </row>
    <row r="235">
      <c r="A235" s="209" t="inlineStr">
        <is>
          <t>Quản lý chi tiêu</t>
        </is>
      </c>
      <c r="B235" s="209" t="inlineStr">
        <is>
          <t>Quản lý chi tiêu</t>
        </is>
      </c>
      <c r="C235" s="210" t="inlineStr">
        <is>
          <t>Organic</t>
        </is>
      </c>
      <c r="D235" s="210" t="n"/>
      <c r="E235" s="210" t="n"/>
      <c r="F235" s="210" t="n"/>
      <c r="G235" s="210" t="n"/>
      <c r="H235" s="210" t="n"/>
      <c r="I235" s="210" t="n">
        <v>19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10</v>
      </c>
      <c r="E236" s="210" t="n">
        <v>28</v>
      </c>
      <c r="F236" s="210" t="n">
        <v>25</v>
      </c>
      <c r="G236" s="210" t="n">
        <v>58</v>
      </c>
      <c r="H236" s="210" t="n">
        <v>74</v>
      </c>
      <c r="I236" s="210" t="n">
        <v>34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Organic</t>
        </is>
      </c>
      <c r="D237" s="210" t="n">
        <v>404</v>
      </c>
      <c r="E237" s="210" t="n">
        <v>321</v>
      </c>
      <c r="F237" s="210" t="n">
        <v>370</v>
      </c>
      <c r="G237" s="210" t="n">
        <v>470</v>
      </c>
      <c r="H237" s="210" t="n">
        <v>521</v>
      </c>
      <c r="I237" s="210" t="n">
        <v>210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Others</t>
        </is>
      </c>
      <c r="D238" s="210" t="n">
        <v>6</v>
      </c>
      <c r="E238" s="210" t="n">
        <v>1</v>
      </c>
      <c r="F238" s="210" t="n">
        <v>13</v>
      </c>
      <c r="G238" s="210" t="n">
        <v>5</v>
      </c>
      <c r="H238" s="210" t="n">
        <v>5</v>
      </c>
      <c r="I238" s="210" t="n"/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/>
      <c r="E239" s="210" t="n">
        <v>21</v>
      </c>
      <c r="F239" s="210" t="n">
        <v>1</v>
      </c>
      <c r="G239" s="210" t="n">
        <v>5</v>
      </c>
      <c r="H239" s="210" t="n">
        <v>24</v>
      </c>
      <c r="I239" s="210" t="n">
        <v>6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Referral</t>
        </is>
      </c>
      <c r="D240" s="210" t="n">
        <v>12</v>
      </c>
      <c r="E240" s="210" t="n">
        <v>18</v>
      </c>
      <c r="F240" s="210" t="n">
        <v>29</v>
      </c>
      <c r="G240" s="210" t="n">
        <v>46</v>
      </c>
      <c r="H240" s="210" t="n">
        <v>40</v>
      </c>
      <c r="I240" s="210" t="n">
        <v>20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Direct</t>
        </is>
      </c>
      <c r="D241" s="210" t="n"/>
      <c r="E241" s="210" t="n"/>
      <c r="F241" s="210" t="n"/>
      <c r="G241" s="210" t="n"/>
      <c r="H241" s="210" t="n"/>
      <c r="I241" s="210" t="n">
        <v>870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Organic</t>
        </is>
      </c>
      <c r="D242" s="210" t="n"/>
      <c r="E242" s="210" t="n"/>
      <c r="F242" s="210" t="n"/>
      <c r="G242" s="210" t="n"/>
      <c r="H242" s="210" t="n"/>
      <c r="I242" s="210" t="n">
        <v>1103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Others</t>
        </is>
      </c>
      <c r="D243" s="210" t="n"/>
      <c r="E243" s="210" t="n"/>
      <c r="F243" s="210" t="n"/>
      <c r="G243" s="210" t="n"/>
      <c r="H243" s="210" t="n"/>
      <c r="I243" s="210" t="n">
        <v>146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Paid</t>
        </is>
      </c>
      <c r="D244" s="210" t="n"/>
      <c r="E244" s="210" t="n"/>
      <c r="F244" s="210" t="n"/>
      <c r="G244" s="210" t="n"/>
      <c r="H244" s="210" t="n"/>
      <c r="I244" s="210" t="n">
        <v>25</v>
      </c>
      <c r="J244" s="210" t="n"/>
    </row>
    <row r="245">
      <c r="A245" s="209" t="inlineStr">
        <is>
          <t>Tin Tức</t>
        </is>
      </c>
      <c r="B245" s="209" t="inlineStr">
        <is>
          <t>Tin Tức</t>
        </is>
      </c>
      <c r="C245" s="210" t="inlineStr">
        <is>
          <t>Referral</t>
        </is>
      </c>
      <c r="D245" s="210" t="n"/>
      <c r="E245" s="210" t="n"/>
      <c r="F245" s="210" t="n"/>
      <c r="G245" s="210" t="n"/>
      <c r="H245" s="210" t="n"/>
      <c r="I245" s="210" t="n">
        <v>486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Direct</t>
        </is>
      </c>
      <c r="D246" s="210" t="n">
        <v>17</v>
      </c>
      <c r="E246" s="210" t="n">
        <v>23</v>
      </c>
      <c r="F246" s="210" t="n">
        <v>27</v>
      </c>
      <c r="G246" s="210" t="n">
        <v>13</v>
      </c>
      <c r="H246" s="210" t="n">
        <v>16</v>
      </c>
      <c r="I246" s="210" t="n">
        <v>67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Organic</t>
        </is>
      </c>
      <c r="D247" s="210" t="n">
        <v>298</v>
      </c>
      <c r="E247" s="210" t="n">
        <v>272</v>
      </c>
      <c r="F247" s="210" t="n">
        <v>276</v>
      </c>
      <c r="G247" s="210" t="n">
        <v>258</v>
      </c>
      <c r="H247" s="210" t="n">
        <v>170</v>
      </c>
      <c r="I247" s="210" t="n">
        <v>718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Others</t>
        </is>
      </c>
      <c r="D248" s="210" t="n">
        <v>5</v>
      </c>
      <c r="E248" s="210" t="n">
        <v>4</v>
      </c>
      <c r="F248" s="210" t="n">
        <v>2</v>
      </c>
      <c r="G248" s="210" t="n">
        <v>3</v>
      </c>
      <c r="H248" s="210" t="n">
        <v>3</v>
      </c>
      <c r="I248" s="210" t="n">
        <v>9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2</v>
      </c>
      <c r="E249" s="210" t="n">
        <v>2</v>
      </c>
      <c r="F249" s="210" t="n"/>
      <c r="G249" s="210" t="n">
        <v>2</v>
      </c>
      <c r="H249" s="210" t="n">
        <v>12</v>
      </c>
      <c r="I249" s="210" t="n">
        <v>91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Referral</t>
        </is>
      </c>
      <c r="D250" s="210" t="n">
        <v>10</v>
      </c>
      <c r="E250" s="210" t="n">
        <v>20</v>
      </c>
      <c r="F250" s="210" t="n">
        <v>32</v>
      </c>
      <c r="G250" s="210" t="n">
        <v>32</v>
      </c>
      <c r="H250" s="210" t="n">
        <v>32</v>
      </c>
      <c r="I250" s="210" t="n">
        <v>47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13</v>
      </c>
      <c r="E251" s="210" t="n">
        <v>13</v>
      </c>
      <c r="F251" s="210" t="n">
        <v>19</v>
      </c>
      <c r="G251" s="210" t="n">
        <v>20</v>
      </c>
      <c r="H251" s="210" t="n">
        <v>22</v>
      </c>
      <c r="I251" s="210" t="n">
        <v>31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Organic</t>
        </is>
      </c>
      <c r="D252" s="210" t="n">
        <v>354</v>
      </c>
      <c r="E252" s="210" t="n">
        <v>389</v>
      </c>
      <c r="F252" s="210" t="n">
        <v>489</v>
      </c>
      <c r="G252" s="210" t="n">
        <v>356</v>
      </c>
      <c r="H252" s="210" t="n">
        <v>276</v>
      </c>
      <c r="I252" s="210" t="n">
        <v>222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Others</t>
        </is>
      </c>
      <c r="D253" s="210" t="n">
        <v>5</v>
      </c>
      <c r="E253" s="210" t="n">
        <v>1</v>
      </c>
      <c r="F253" s="210" t="n">
        <v>1</v>
      </c>
      <c r="G253" s="210" t="n">
        <v>1</v>
      </c>
      <c r="H253" s="210" t="n"/>
      <c r="I253" s="210" t="n">
        <v>12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Paid</t>
        </is>
      </c>
      <c r="D254" s="210" t="n">
        <v>10</v>
      </c>
      <c r="E254" s="210" t="n">
        <v>10</v>
      </c>
      <c r="F254" s="210" t="n">
        <v>1</v>
      </c>
      <c r="G254" s="210" t="n">
        <v>6</v>
      </c>
      <c r="H254" s="210" t="n">
        <v>1</v>
      </c>
      <c r="I254" s="210" t="n">
        <v>3</v>
      </c>
      <c r="J254" s="210" t="n"/>
    </row>
    <row r="255">
      <c r="A255" s="209" t="inlineStr">
        <is>
          <t>Thanh Toán Khoản Vay</t>
        </is>
      </c>
      <c r="B255" s="209" t="inlineStr">
        <is>
          <t>Financial Hub</t>
        </is>
      </c>
      <c r="C255" s="210" t="inlineStr">
        <is>
          <t>Referral</t>
        </is>
      </c>
      <c r="D255" s="210" t="n">
        <v>19</v>
      </c>
      <c r="E255" s="210" t="n">
        <v>17</v>
      </c>
      <c r="F255" s="210" t="n">
        <v>32</v>
      </c>
      <c r="G255" s="210" t="n">
        <v>28</v>
      </c>
      <c r="H255" s="210" t="n">
        <v>15</v>
      </c>
      <c r="I255" s="210" t="n">
        <v>6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Direct</t>
        </is>
      </c>
      <c r="D256" s="210" t="n">
        <v>8</v>
      </c>
      <c r="E256" s="210" t="n">
        <v>7</v>
      </c>
      <c r="F256" s="210" t="n">
        <v>14</v>
      </c>
      <c r="G256" s="210" t="n">
        <v>10</v>
      </c>
      <c r="H256" s="210" t="n">
        <v>13</v>
      </c>
      <c r="I256" s="210" t="n">
        <v>123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Organic</t>
        </is>
      </c>
      <c r="D257" s="210" t="n">
        <v>196</v>
      </c>
      <c r="E257" s="210" t="n">
        <v>205</v>
      </c>
      <c r="F257" s="210" t="n">
        <v>270</v>
      </c>
      <c r="G257" s="210" t="n">
        <v>238</v>
      </c>
      <c r="H257" s="210" t="n">
        <v>233</v>
      </c>
      <c r="I257" s="210" t="n">
        <v>623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Others</t>
        </is>
      </c>
      <c r="D258" s="210" t="n">
        <v>4</v>
      </c>
      <c r="E258" s="210" t="n"/>
      <c r="F258" s="210" t="n">
        <v>1</v>
      </c>
      <c r="G258" s="210" t="n"/>
      <c r="H258" s="210" t="n">
        <v>1</v>
      </c>
      <c r="I258" s="210" t="n">
        <v>4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Paid</t>
        </is>
      </c>
      <c r="D259" s="210" t="n"/>
      <c r="E259" s="210" t="n"/>
      <c r="F259" s="210" t="n"/>
      <c r="G259" s="210" t="n">
        <v>2</v>
      </c>
      <c r="H259" s="210" t="n">
        <v>5</v>
      </c>
      <c r="I259" s="210" t="n">
        <v>110</v>
      </c>
      <c r="J259" s="210" t="n"/>
    </row>
    <row r="260">
      <c r="A260" s="209" t="inlineStr">
        <is>
          <t>Tiết Kiệm Online</t>
        </is>
      </c>
      <c r="B260" s="209" t="inlineStr">
        <is>
          <t>Financial Hub</t>
        </is>
      </c>
      <c r="C260" s="210" t="inlineStr">
        <is>
          <t>Referral</t>
        </is>
      </c>
      <c r="D260" s="210" t="n">
        <v>16</v>
      </c>
      <c r="E260" s="210" t="n">
        <v>21</v>
      </c>
      <c r="F260" s="210" t="n">
        <v>21</v>
      </c>
      <c r="G260" s="210" t="n">
        <v>15</v>
      </c>
      <c r="H260" s="210" t="n">
        <v>16</v>
      </c>
      <c r="I260" s="210" t="n">
        <v>34</v>
      </c>
      <c r="J260" s="210" t="n"/>
    </row>
    <row r="261">
      <c r="A261" s="209" t="inlineStr">
        <is>
          <t>Cinema_Landing Page</t>
        </is>
      </c>
      <c r="B261" s="209" t="inlineStr">
        <is>
          <t>Cinema Hub</t>
        </is>
      </c>
      <c r="C261" s="210" t="inlineStr">
        <is>
          <t>Direct</t>
        </is>
      </c>
      <c r="D261" s="210" t="n">
        <v>4</v>
      </c>
      <c r="E261" s="210" t="n">
        <v>14</v>
      </c>
      <c r="F261" s="210" t="n">
        <v>5</v>
      </c>
      <c r="G261" s="210" t="n">
        <v>1</v>
      </c>
      <c r="H261" s="210" t="n">
        <v>6</v>
      </c>
      <c r="I261" s="210" t="n">
        <v>60</v>
      </c>
      <c r="J261" s="210" t="n"/>
    </row>
    <row r="262">
      <c r="A262" s="209" t="inlineStr">
        <is>
          <t>Cinema_Landing Page</t>
        </is>
      </c>
      <c r="B262" s="209" t="inlineStr">
        <is>
          <t>Cinema Hub</t>
        </is>
      </c>
      <c r="C262" s="210" t="inlineStr">
        <is>
          <t>Organic</t>
        </is>
      </c>
      <c r="D262" s="210" t="n">
        <v>45</v>
      </c>
      <c r="E262" s="210" t="n">
        <v>112</v>
      </c>
      <c r="F262" s="210" t="n">
        <v>34</v>
      </c>
      <c r="G262" s="210" t="n">
        <v>33</v>
      </c>
      <c r="H262" s="210" t="n">
        <v>43</v>
      </c>
      <c r="I262" s="210" t="n">
        <v>1460</v>
      </c>
      <c r="J262" s="210" t="n"/>
    </row>
    <row r="263">
      <c r="A263" s="209" t="inlineStr">
        <is>
          <t>Cinema_Landing Page</t>
        </is>
      </c>
      <c r="B263" s="209" t="inlineStr">
        <is>
          <t>Cinema Hub</t>
        </is>
      </c>
      <c r="C263" s="210" t="inlineStr">
        <is>
          <t>Others</t>
        </is>
      </c>
      <c r="D263" s="210" t="n">
        <v>2</v>
      </c>
      <c r="E263" s="210" t="n">
        <v>3</v>
      </c>
      <c r="F263" s="210" t="n"/>
      <c r="G263" s="210" t="n">
        <v>7</v>
      </c>
      <c r="H263" s="210" t="n"/>
      <c r="I263" s="210" t="n">
        <v>6</v>
      </c>
      <c r="J263" s="210" t="n"/>
    </row>
    <row r="264">
      <c r="A264" s="209" t="inlineStr">
        <is>
          <t>Cinema_Landing Page</t>
        </is>
      </c>
      <c r="B264" s="209" t="inlineStr">
        <is>
          <t>Cinema Hub</t>
        </is>
      </c>
      <c r="C264" s="210" t="inlineStr">
        <is>
          <t>Paid</t>
        </is>
      </c>
      <c r="D264" s="210" t="n"/>
      <c r="E264" s="210" t="n"/>
      <c r="F264" s="210" t="n"/>
      <c r="G264" s="210" t="n"/>
      <c r="H264" s="210" t="n"/>
      <c r="I264" s="210" t="n">
        <v>141</v>
      </c>
      <c r="J264" s="210" t="n"/>
    </row>
    <row r="265">
      <c r="A265" s="209" t="inlineStr">
        <is>
          <t>Cinema_Landing Page</t>
        </is>
      </c>
      <c r="B265" s="209" t="inlineStr">
        <is>
          <t>Cinema Hub</t>
        </is>
      </c>
      <c r="C265" s="210" t="inlineStr">
        <is>
          <t>Referral</t>
        </is>
      </c>
      <c r="D265" s="210" t="n"/>
      <c r="E265" s="210" t="n">
        <v>1</v>
      </c>
      <c r="F265" s="210" t="n"/>
      <c r="G265" s="210" t="n"/>
      <c r="H265" s="210" t="n"/>
      <c r="I265" s="210" t="n">
        <v>38</v>
      </c>
      <c r="J265" s="210" t="n"/>
    </row>
    <row r="266">
      <c r="A266" s="209" t="inlineStr">
        <is>
          <t>Tiện Ích Giao Thông</t>
        </is>
      </c>
      <c r="B266" s="209" t="inlineStr">
        <is>
          <t>Tiện Ích Giao Thông</t>
        </is>
      </c>
      <c r="C266" s="210" t="inlineStr">
        <is>
          <t>Direct</t>
        </is>
      </c>
      <c r="D266" s="210" t="n"/>
      <c r="E266" s="210" t="n"/>
      <c r="F266" s="210" t="n"/>
      <c r="G266" s="210" t="n"/>
      <c r="H266" s="210" t="n">
        <v>37</v>
      </c>
      <c r="I266" s="210" t="n">
        <v>337</v>
      </c>
      <c r="J266" s="210" t="n"/>
    </row>
    <row r="267">
      <c r="A267" s="209" t="inlineStr">
        <is>
          <t>Tiện Ích Giao Thông</t>
        </is>
      </c>
      <c r="B267" s="209" t="inlineStr">
        <is>
          <t>Tiện Ích Giao Thông</t>
        </is>
      </c>
      <c r="C267" s="210" t="inlineStr">
        <is>
          <t>Organic</t>
        </is>
      </c>
      <c r="D267" s="210" t="n"/>
      <c r="E267" s="210" t="n"/>
      <c r="F267" s="210" t="n"/>
      <c r="G267" s="210" t="n"/>
      <c r="H267" s="210" t="n">
        <v>197</v>
      </c>
      <c r="I267" s="210" t="n">
        <v>658</v>
      </c>
      <c r="J267" s="210" t="n"/>
    </row>
    <row r="268">
      <c r="A268" s="209" t="inlineStr">
        <is>
          <t>Tiện Ích Giao Thông</t>
        </is>
      </c>
      <c r="B268" s="209" t="inlineStr">
        <is>
          <t>Tiện Ích Giao Thông</t>
        </is>
      </c>
      <c r="C268" s="210" t="inlineStr">
        <is>
          <t>Others</t>
        </is>
      </c>
      <c r="D268" s="210" t="n"/>
      <c r="E268" s="210" t="n"/>
      <c r="F268" s="210" t="n"/>
      <c r="G268" s="210" t="n"/>
      <c r="H268" s="210" t="n">
        <v>5</v>
      </c>
      <c r="I268" s="210" t="n">
        <v>40</v>
      </c>
      <c r="J268" s="210" t="n"/>
    </row>
    <row r="269">
      <c r="A269" s="209" t="inlineStr">
        <is>
          <t>Tiện Ích Giao Thông</t>
        </is>
      </c>
      <c r="B269" s="209" t="inlineStr">
        <is>
          <t>Tiện Ích Giao Thông</t>
        </is>
      </c>
      <c r="C269" s="210" t="inlineStr">
        <is>
          <t>Paid</t>
        </is>
      </c>
      <c r="D269" s="210" t="n"/>
      <c r="E269" s="210" t="n"/>
      <c r="F269" s="210" t="n"/>
      <c r="G269" s="210" t="n"/>
      <c r="H269" s="210" t="n">
        <v>7</v>
      </c>
      <c r="I269" s="210" t="n">
        <v>23</v>
      </c>
      <c r="J269" s="210" t="n"/>
    </row>
    <row r="270">
      <c r="A270" s="209" t="inlineStr">
        <is>
          <t>Tiện Ích Giao Thông</t>
        </is>
      </c>
      <c r="B270" s="209" t="inlineStr">
        <is>
          <t>Tiện Ích Giao Thông</t>
        </is>
      </c>
      <c r="C270" s="210" t="inlineStr">
        <is>
          <t>Referral</t>
        </is>
      </c>
      <c r="D270" s="210" t="n"/>
      <c r="E270" s="210" t="n"/>
      <c r="F270" s="210" t="n"/>
      <c r="G270" s="210" t="n"/>
      <c r="H270" s="210" t="n">
        <v>1</v>
      </c>
      <c r="I270" s="210" t="n">
        <v>34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Direct</t>
        </is>
      </c>
      <c r="D271" s="210" t="n">
        <v>31</v>
      </c>
      <c r="E271" s="210" t="n">
        <v>14</v>
      </c>
      <c r="F271" s="210" t="n">
        <v>26</v>
      </c>
      <c r="G271" s="210" t="n">
        <v>30</v>
      </c>
      <c r="H271" s="210" t="n">
        <v>6</v>
      </c>
      <c r="I271" s="210" t="n">
        <v>8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Organic</t>
        </is>
      </c>
      <c r="D272" s="210" t="n">
        <v>236</v>
      </c>
      <c r="E272" s="210" t="n">
        <v>178</v>
      </c>
      <c r="F272" s="210" t="n">
        <v>201</v>
      </c>
      <c r="G272" s="210" t="n">
        <v>174</v>
      </c>
      <c r="H272" s="210" t="n">
        <v>107</v>
      </c>
      <c r="I272" s="210" t="n">
        <v>179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Others</t>
        </is>
      </c>
      <c r="D273" s="210" t="n">
        <v>3</v>
      </c>
      <c r="E273" s="210" t="n">
        <v>1</v>
      </c>
      <c r="F273" s="210" t="n"/>
      <c r="G273" s="210" t="n"/>
      <c r="H273" s="210" t="n"/>
      <c r="I273" s="210" t="n">
        <v>9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2</v>
      </c>
      <c r="E274" s="210" t="n">
        <v>3</v>
      </c>
      <c r="F274" s="210" t="n">
        <v>1</v>
      </c>
      <c r="G274" s="210" t="n">
        <v>1</v>
      </c>
      <c r="H274" s="210" t="n">
        <v>3</v>
      </c>
      <c r="I274" s="210" t="n">
        <v>9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Referral</t>
        </is>
      </c>
      <c r="D275" s="210" t="n">
        <v>11</v>
      </c>
      <c r="E275" s="210" t="n">
        <v>11</v>
      </c>
      <c r="F275" s="210" t="n">
        <v>20</v>
      </c>
      <c r="G275" s="210" t="n">
        <v>8</v>
      </c>
      <c r="H275" s="210" t="n">
        <v>2</v>
      </c>
      <c r="I275" s="210" t="n">
        <v>11</v>
      </c>
      <c r="J275" s="210" t="n"/>
    </row>
    <row r="276">
      <c r="A276" s="209" t="inlineStr">
        <is>
          <t>Donation</t>
        </is>
      </c>
      <c r="B276" s="209" t="inlineStr">
        <is>
          <t>Donation</t>
        </is>
      </c>
      <c r="C276" s="210" t="inlineStr">
        <is>
          <t>Direct</t>
        </is>
      </c>
      <c r="D276" s="210" t="n"/>
      <c r="E276" s="210" t="n"/>
      <c r="F276" s="210" t="n"/>
      <c r="G276" s="210" t="n"/>
      <c r="H276" s="210" t="n"/>
      <c r="I276" s="210" t="n">
        <v>239</v>
      </c>
      <c r="J276" s="210" t="n"/>
    </row>
    <row r="277">
      <c r="A277" s="209" t="inlineStr">
        <is>
          <t>Donation</t>
        </is>
      </c>
      <c r="B277" s="209" t="inlineStr">
        <is>
          <t>Donation</t>
        </is>
      </c>
      <c r="C277" s="210" t="inlineStr">
        <is>
          <t>Organic</t>
        </is>
      </c>
      <c r="D277" s="210" t="n"/>
      <c r="E277" s="210" t="n"/>
      <c r="F277" s="210" t="n"/>
      <c r="G277" s="210" t="n"/>
      <c r="H277" s="210" t="n"/>
      <c r="I277" s="210" t="n">
        <v>738</v>
      </c>
      <c r="J277" s="210" t="n"/>
    </row>
    <row r="278">
      <c r="A278" s="209" t="inlineStr">
        <is>
          <t>Donation</t>
        </is>
      </c>
      <c r="B278" s="209" t="inlineStr">
        <is>
          <t>Donation</t>
        </is>
      </c>
      <c r="C278" s="210" t="inlineStr">
        <is>
          <t>Others</t>
        </is>
      </c>
      <c r="D278" s="210" t="n"/>
      <c r="E278" s="210" t="n"/>
      <c r="F278" s="210" t="n"/>
      <c r="G278" s="210" t="n"/>
      <c r="H278" s="210" t="n"/>
      <c r="I278" s="210" t="n">
        <v>36</v>
      </c>
      <c r="J278" s="210" t="n"/>
    </row>
    <row r="279">
      <c r="A279" s="209" t="inlineStr">
        <is>
          <t>Donation</t>
        </is>
      </c>
      <c r="B279" s="209" t="inlineStr">
        <is>
          <t>Donation</t>
        </is>
      </c>
      <c r="C279" s="210" t="inlineStr">
        <is>
          <t>Paid</t>
        </is>
      </c>
      <c r="D279" s="210" t="n"/>
      <c r="E279" s="210" t="n"/>
      <c r="F279" s="210" t="n"/>
      <c r="G279" s="210" t="n"/>
      <c r="H279" s="210" t="n"/>
      <c r="I279" s="210" t="n">
        <v>2</v>
      </c>
      <c r="J279" s="210" t="n"/>
    </row>
    <row r="280">
      <c r="A280" s="209" t="inlineStr">
        <is>
          <t>Donation</t>
        </is>
      </c>
      <c r="B280" s="209" t="inlineStr">
        <is>
          <t>Donation</t>
        </is>
      </c>
      <c r="C280" s="210" t="inlineStr">
        <is>
          <t>Referral</t>
        </is>
      </c>
      <c r="D280" s="210" t="n"/>
      <c r="E280" s="210" t="n"/>
      <c r="F280" s="210" t="n"/>
      <c r="G280" s="210" t="n"/>
      <c r="H280" s="210" t="n"/>
      <c r="I280" s="210" t="n">
        <v>132</v>
      </c>
      <c r="J280" s="210" t="n"/>
    </row>
    <row r="281">
      <c r="A281" s="209" t="inlineStr">
        <is>
          <t>Phí Không Dừng</t>
        </is>
      </c>
      <c r="B281" s="209" t="inlineStr">
        <is>
          <t>Phí Không Dừng</t>
        </is>
      </c>
      <c r="C281" s="210" t="inlineStr">
        <is>
          <t>Direct</t>
        </is>
      </c>
      <c r="D281" s="210" t="n"/>
      <c r="E281" s="210" t="n"/>
      <c r="F281" s="210" t="n"/>
      <c r="G281" s="210" t="n"/>
      <c r="H281" s="210" t="n">
        <v>42</v>
      </c>
      <c r="I281" s="210" t="n">
        <v>32</v>
      </c>
      <c r="J281" s="210" t="n"/>
    </row>
    <row r="282">
      <c r="A282" s="209" t="inlineStr">
        <is>
          <t>Phí Không Dừng</t>
        </is>
      </c>
      <c r="B282" s="209" t="inlineStr">
        <is>
          <t>Phí Không Dừng</t>
        </is>
      </c>
      <c r="C282" s="210" t="inlineStr">
        <is>
          <t>Organic</t>
        </is>
      </c>
      <c r="D282" s="210" t="n"/>
      <c r="E282" s="210" t="n"/>
      <c r="F282" s="210" t="n"/>
      <c r="G282" s="210" t="n"/>
      <c r="H282" s="210" t="n">
        <v>414</v>
      </c>
      <c r="I282" s="210" t="n">
        <v>410</v>
      </c>
      <c r="J282" s="210" t="n"/>
    </row>
    <row r="283">
      <c r="A283" s="209" t="inlineStr">
        <is>
          <t>Phí Không Dừng</t>
        </is>
      </c>
      <c r="B283" s="209" t="inlineStr">
        <is>
          <t>Phí Không Dừng</t>
        </is>
      </c>
      <c r="C283" s="210" t="inlineStr">
        <is>
          <t>Others</t>
        </is>
      </c>
      <c r="D283" s="210" t="n"/>
      <c r="E283" s="210" t="n"/>
      <c r="F283" s="210" t="n"/>
      <c r="G283" s="210" t="n"/>
      <c r="H283" s="210" t="n">
        <v>5</v>
      </c>
      <c r="I283" s="210" t="n">
        <v>1</v>
      </c>
      <c r="J283" s="210" t="n"/>
    </row>
    <row r="284">
      <c r="A284" s="209" t="inlineStr">
        <is>
          <t>Phí Không Dừng</t>
        </is>
      </c>
      <c r="B284" s="209" t="inlineStr">
        <is>
          <t>Phí Không Dừng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90</v>
      </c>
      <c r="I284" s="210" t="n">
        <v>13</v>
      </c>
      <c r="J284" s="210" t="n"/>
    </row>
    <row r="285">
      <c r="A285" s="209" t="inlineStr">
        <is>
          <t>Phí Không Dừng</t>
        </is>
      </c>
      <c r="B285" s="209" t="inlineStr">
        <is>
          <t>Phí Không Dừng</t>
        </is>
      </c>
      <c r="C285" s="210" t="inlineStr">
        <is>
          <t>Referral</t>
        </is>
      </c>
      <c r="D285" s="210" t="n"/>
      <c r="E285" s="210" t="n"/>
      <c r="F285" s="210" t="n"/>
      <c r="G285" s="210" t="n"/>
      <c r="H285" s="210" t="n">
        <v>16</v>
      </c>
      <c r="I285" s="210" t="n">
        <v>15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Direct</t>
        </is>
      </c>
      <c r="D286" s="210" t="n"/>
      <c r="E286" s="210" t="n"/>
      <c r="F286" s="210" t="n"/>
      <c r="G286" s="210" t="n"/>
      <c r="H286" s="210" t="n">
        <v>17</v>
      </c>
      <c r="I286" s="210" t="n">
        <v>28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Organic</t>
        </is>
      </c>
      <c r="D287" s="210" t="n"/>
      <c r="E287" s="210" t="n"/>
      <c r="F287" s="210" t="n"/>
      <c r="G287" s="210" t="n"/>
      <c r="H287" s="210" t="n">
        <v>413</v>
      </c>
      <c r="I287" s="210" t="n">
        <v>362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Others</t>
        </is>
      </c>
      <c r="D288" s="210" t="n"/>
      <c r="E288" s="210" t="n"/>
      <c r="F288" s="210" t="n"/>
      <c r="G288" s="210" t="n"/>
      <c r="H288" s="210" t="n">
        <v>1</v>
      </c>
      <c r="I288" s="210" t="n">
        <v>1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Paid</t>
        </is>
      </c>
      <c r="D289" s="210" t="n"/>
      <c r="E289" s="210" t="n"/>
      <c r="F289" s="210" t="n"/>
      <c r="G289" s="210" t="n"/>
      <c r="H289" s="210" t="n">
        <v>12</v>
      </c>
      <c r="I289" s="210" t="n">
        <v>2</v>
      </c>
      <c r="J289" s="210" t="n"/>
    </row>
    <row r="290">
      <c r="A290" s="209" t="inlineStr">
        <is>
          <t>Tiệm Vàng Online</t>
        </is>
      </c>
      <c r="B290" s="209" t="inlineStr">
        <is>
          <t>Tiệm Vàng Online</t>
        </is>
      </c>
      <c r="C290" s="210" t="inlineStr">
        <is>
          <t>Referral</t>
        </is>
      </c>
      <c r="D290" s="210" t="n"/>
      <c r="E290" s="210" t="n"/>
      <c r="F290" s="210" t="n"/>
      <c r="G290" s="210" t="n"/>
      <c r="H290" s="210" t="n">
        <v>23</v>
      </c>
      <c r="I290" s="210" t="n">
        <v>15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53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Organic</t>
        </is>
      </c>
      <c r="D292" s="210" t="n"/>
      <c r="E292" s="210" t="n"/>
      <c r="F292" s="210" t="n"/>
      <c r="G292" s="210" t="n"/>
      <c r="H292" s="210" t="n"/>
      <c r="I292" s="210" t="n">
        <v>682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15</v>
      </c>
      <c r="J294" s="210" t="n"/>
    </row>
    <row r="295">
      <c r="A295" s="209" t="inlineStr">
        <is>
          <t>Bảo Hiểm</t>
        </is>
      </c>
      <c r="B295" s="209" t="inlineStr">
        <is>
          <t>Bảo Hiểm</t>
        </is>
      </c>
      <c r="C295" s="210" t="inlineStr">
        <is>
          <t>Referral</t>
        </is>
      </c>
      <c r="D295" s="210" t="n"/>
      <c r="E295" s="210" t="n"/>
      <c r="F295" s="210" t="n"/>
      <c r="G295" s="210" t="n"/>
      <c r="H295" s="210" t="n"/>
      <c r="I295" s="210" t="n">
        <v>45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Direct</t>
        </is>
      </c>
      <c r="D296" s="210" t="n">
        <v>9</v>
      </c>
      <c r="E296" s="210" t="n">
        <v>18</v>
      </c>
      <c r="F296" s="210" t="n">
        <v>9</v>
      </c>
      <c r="G296" s="210" t="n">
        <v>2</v>
      </c>
      <c r="H296" s="210" t="n">
        <v>2</v>
      </c>
      <c r="I296" s="210" t="n">
        <v>12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Organic</t>
        </is>
      </c>
      <c r="D297" s="210" t="n">
        <v>131</v>
      </c>
      <c r="E297" s="210" t="n">
        <v>61</v>
      </c>
      <c r="F297" s="210" t="n">
        <v>105</v>
      </c>
      <c r="G297" s="210" t="n">
        <v>85</v>
      </c>
      <c r="H297" s="210" t="n">
        <v>73</v>
      </c>
      <c r="I297" s="210" t="n">
        <v>163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Others</t>
        </is>
      </c>
      <c r="D298" s="210" t="n">
        <v>1</v>
      </c>
      <c r="E298" s="210" t="n">
        <v>6</v>
      </c>
      <c r="F298" s="210" t="n">
        <v>1</v>
      </c>
      <c r="G298" s="210" t="n">
        <v>3</v>
      </c>
      <c r="H298" s="210" t="n">
        <v>1</v>
      </c>
      <c r="I298" s="210" t="n">
        <v>5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Paid</t>
        </is>
      </c>
      <c r="D299" s="210" t="n"/>
      <c r="E299" s="210" t="n"/>
      <c r="F299" s="210" t="n"/>
      <c r="G299" s="210" t="n">
        <v>2</v>
      </c>
      <c r="H299" s="210" t="n">
        <v>4</v>
      </c>
      <c r="I299" s="210" t="n">
        <v>36</v>
      </c>
      <c r="J299" s="210" t="n"/>
    </row>
    <row r="300">
      <c r="A300" s="209" t="inlineStr">
        <is>
          <t>Chứng Chỉ Quỹ</t>
        </is>
      </c>
      <c r="B300" s="209" t="inlineStr">
        <is>
          <t>Financial Hub</t>
        </is>
      </c>
      <c r="C300" s="210" t="inlineStr">
        <is>
          <t>Referral</t>
        </is>
      </c>
      <c r="D300" s="210" t="n">
        <v>5</v>
      </c>
      <c r="E300" s="210" t="n">
        <v>1</v>
      </c>
      <c r="F300" s="210" t="n">
        <v>6</v>
      </c>
      <c r="G300" s="210" t="n">
        <v>10</v>
      </c>
      <c r="H300" s="210" t="n">
        <v>5</v>
      </c>
      <c r="I300" s="210" t="n">
        <v>11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>
        <v>18</v>
      </c>
      <c r="I301" s="210" t="n">
        <v>15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Organic</t>
        </is>
      </c>
      <c r="D302" s="210" t="n"/>
      <c r="E302" s="210" t="n"/>
      <c r="F302" s="210" t="n"/>
      <c r="G302" s="210" t="n"/>
      <c r="H302" s="210" t="n">
        <v>180</v>
      </c>
      <c r="I302" s="210" t="n">
        <v>107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Others</t>
        </is>
      </c>
      <c r="D303" s="210" t="n"/>
      <c r="E303" s="210" t="n"/>
      <c r="F303" s="210" t="n"/>
      <c r="G303" s="210" t="n">
        <v>1</v>
      </c>
      <c r="H303" s="210" t="n">
        <v>14</v>
      </c>
      <c r="I303" s="210" t="n">
        <v>3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Student Hub</t>
        </is>
      </c>
      <c r="B305" s="209" t="inlineStr">
        <is>
          <t>Student Hub</t>
        </is>
      </c>
      <c r="C305" s="210" t="inlineStr">
        <is>
          <t>Referral</t>
        </is>
      </c>
      <c r="D305" s="210" t="n"/>
      <c r="E305" s="210" t="n"/>
      <c r="F305" s="210" t="n"/>
      <c r="G305" s="210" t="n"/>
      <c r="H305" s="210" t="n">
        <v>14</v>
      </c>
      <c r="I305" s="210" t="n">
        <v>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174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69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6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Referral</t>
        </is>
      </c>
      <c r="D310" s="210" t="n"/>
      <c r="E310" s="210" t="n"/>
      <c r="F310" s="210" t="n"/>
      <c r="G310" s="210" t="n"/>
      <c r="H310" s="210" t="n"/>
      <c r="I310" s="210" t="n">
        <v>7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Direct</t>
        </is>
      </c>
      <c r="D311" s="210" t="n"/>
      <c r="E311" s="210" t="n"/>
      <c r="F311" s="210" t="n"/>
      <c r="G311" s="210" t="n"/>
      <c r="H311" s="210" t="n"/>
      <c r="I311" s="210" t="n">
        <v>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Organic</t>
        </is>
      </c>
      <c r="D312" s="210" t="n"/>
      <c r="E312" s="210" t="n"/>
      <c r="F312" s="210" t="n"/>
      <c r="G312" s="210" t="n"/>
      <c r="H312" s="210" t="n"/>
      <c r="I312" s="210" t="n">
        <v>105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Others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Paid</t>
        </is>
      </c>
      <c r="D314" s="210" t="n"/>
      <c r="E314" s="210" t="n"/>
      <c r="F314" s="210" t="n"/>
      <c r="G314" s="210" t="n"/>
      <c r="H314" s="210" t="n"/>
      <c r="I314" s="210" t="n">
        <v>2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Referral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Direct</t>
        </is>
      </c>
      <c r="D316" s="210" t="n"/>
      <c r="E316" s="210" t="n"/>
      <c r="F316" s="210" t="n"/>
      <c r="G316" s="210" t="n"/>
      <c r="H316" s="210" t="n"/>
      <c r="I316" s="210" t="n">
        <v>10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Organic</t>
        </is>
      </c>
      <c r="D317" s="210" t="n"/>
      <c r="E317" s="210" t="n"/>
      <c r="F317" s="210" t="n"/>
      <c r="G317" s="210" t="n"/>
      <c r="H317" s="210" t="n"/>
      <c r="I317" s="210" t="n">
        <v>93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Paid</t>
        </is>
      </c>
      <c r="D319" s="210" t="n"/>
      <c r="E319" s="210" t="n"/>
      <c r="F319" s="210" t="n"/>
      <c r="G319" s="210" t="n"/>
      <c r="H319" s="210" t="n"/>
      <c r="I319" s="210" t="n">
        <v>10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Referral</t>
        </is>
      </c>
      <c r="D320" s="210" t="n"/>
      <c r="E320" s="210" t="n"/>
      <c r="F320" s="210" t="n"/>
      <c r="G320" s="210" t="n"/>
      <c r="H320" s="210" t="n"/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Direct</t>
        </is>
      </c>
      <c r="D321" s="210" t="n"/>
      <c r="E321" s="210" t="n">
        <v>3</v>
      </c>
      <c r="F321" s="210" t="n"/>
      <c r="G321" s="210" t="n">
        <v>4</v>
      </c>
      <c r="H321" s="210" t="n">
        <v>5</v>
      </c>
      <c r="I321" s="210" t="n">
        <v>1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Organic</t>
        </is>
      </c>
      <c r="D322" s="210" t="n">
        <v>11</v>
      </c>
      <c r="E322" s="210" t="n">
        <v>16</v>
      </c>
      <c r="F322" s="210" t="n">
        <v>6</v>
      </c>
      <c r="G322" s="210" t="n">
        <v>6</v>
      </c>
      <c r="H322" s="210" t="n">
        <v>10</v>
      </c>
      <c r="I322" s="210" t="n">
        <v>9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Others</t>
        </is>
      </c>
      <c r="D323" s="210" t="n">
        <v>1</v>
      </c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Sàn Đầu Tư</t>
        </is>
      </c>
      <c r="B324" s="209" t="inlineStr">
        <is>
          <t>Financial Hub</t>
        </is>
      </c>
      <c r="C324" s="210" t="inlineStr">
        <is>
          <t>Referral</t>
        </is>
      </c>
      <c r="D324" s="210" t="n"/>
      <c r="E324" s="210" t="n"/>
      <c r="F324" s="210" t="n"/>
      <c r="G324" s="210" t="n">
        <v>1</v>
      </c>
      <c r="H324" s="210" t="n">
        <v>5</v>
      </c>
      <c r="I324" s="210" t="n">
        <v>4</v>
      </c>
      <c r="J324" s="210" t="n"/>
    </row>
    <row r="325">
      <c r="A325" s="209" t="inlineStr">
        <is>
          <t>Nạp thẻ Game</t>
        </is>
      </c>
      <c r="B325" s="209" t="inlineStr">
        <is>
          <t>Nạp thẻ Game</t>
        </is>
      </c>
      <c r="C325" s="210" t="inlineStr">
        <is>
          <t>Direct</t>
        </is>
      </c>
      <c r="D325" s="210" t="n"/>
      <c r="E325" s="210" t="n"/>
      <c r="F325" s="210" t="n"/>
      <c r="G325" s="210" t="n"/>
      <c r="H325" s="210" t="n"/>
      <c r="I325" s="210" t="n">
        <v>1</v>
      </c>
      <c r="J325" s="210" t="n"/>
    </row>
    <row r="326">
      <c r="A326" s="209" t="inlineStr">
        <is>
          <t>Nạp thẻ Game</t>
        </is>
      </c>
      <c r="B326" s="209" t="inlineStr">
        <is>
          <t>Nạp thẻ Game</t>
        </is>
      </c>
      <c r="C326" s="210" t="inlineStr">
        <is>
          <t>Organic</t>
        </is>
      </c>
      <c r="D326" s="210" t="n"/>
      <c r="E326" s="210" t="n"/>
      <c r="F326" s="210" t="n"/>
      <c r="G326" s="210" t="n"/>
      <c r="H326" s="210" t="n"/>
      <c r="I326" s="210" t="n">
        <v>29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Others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Referral</t>
        </is>
      </c>
      <c r="D328" s="210" t="n"/>
      <c r="E328" s="210" t="n"/>
      <c r="F328" s="210" t="n"/>
      <c r="G328" s="210" t="n"/>
      <c r="H328" s="210" t="n"/>
      <c r="I328" s="210" t="n">
        <v>5</v>
      </c>
      <c r="J328" s="210" t="n"/>
    </row>
    <row r="329">
      <c r="A329" s="209" t="inlineStr">
        <is>
          <t>Tỷ Giá</t>
        </is>
      </c>
      <c r="B329" s="209" t="inlineStr">
        <is>
          <t>Tỷ Giá</t>
        </is>
      </c>
      <c r="C329" s="210" t="inlineStr">
        <is>
          <t>Direct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Tỷ Giá</t>
        </is>
      </c>
      <c r="B330" s="209" t="inlineStr">
        <is>
          <t>Tỷ Giá</t>
        </is>
      </c>
      <c r="C330" s="210" t="inlineStr">
        <is>
          <t>Organic</t>
        </is>
      </c>
      <c r="D330" s="210" t="n"/>
      <c r="E330" s="210" t="n"/>
      <c r="F330" s="210" t="n"/>
      <c r="G330" s="210" t="n"/>
      <c r="H330" s="210" t="n"/>
      <c r="I330" s="210" t="n">
        <v>33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1114</v>
      </c>
      <c r="E331" s="210" t="n">
        <v>994</v>
      </c>
      <c r="F331" s="210" t="n">
        <v>1110</v>
      </c>
      <c r="G331" s="210" t="n">
        <v>1940</v>
      </c>
      <c r="H331" s="210" t="n">
        <v>2134</v>
      </c>
      <c r="I331" s="210" t="n">
        <v>1501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Organic</t>
        </is>
      </c>
      <c r="D332" s="210" t="n">
        <v>14101</v>
      </c>
      <c r="E332" s="210" t="n">
        <v>12765</v>
      </c>
      <c r="F332" s="210" t="n">
        <v>21581</v>
      </c>
      <c r="G332" s="210" t="n">
        <v>19824</v>
      </c>
      <c r="H332" s="210" t="n">
        <v>19735</v>
      </c>
      <c r="I332" s="210" t="n">
        <v>20884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Others</t>
        </is>
      </c>
      <c r="D333" s="210" t="n">
        <v>889</v>
      </c>
      <c r="E333" s="210" t="n">
        <v>212</v>
      </c>
      <c r="F333" s="210" t="n">
        <v>300</v>
      </c>
      <c r="G333" s="210" t="n">
        <v>891</v>
      </c>
      <c r="H333" s="210" t="n">
        <v>1054</v>
      </c>
      <c r="I333" s="210" t="n">
        <v>476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42328</v>
      </c>
      <c r="E334" s="210" t="n">
        <v>17789</v>
      </c>
      <c r="F334" s="210" t="n">
        <v>406</v>
      </c>
      <c r="G334" s="210" t="n">
        <v>912</v>
      </c>
      <c r="H334" s="210" t="n">
        <v>797</v>
      </c>
      <c r="I334" s="210" t="n">
        <v>476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1892</v>
      </c>
      <c r="E335" s="210" t="n">
        <v>1786</v>
      </c>
      <c r="F335" s="210" t="n">
        <v>2226</v>
      </c>
      <c r="G335" s="210" t="n">
        <v>30023</v>
      </c>
      <c r="H335" s="210" t="n">
        <v>32348</v>
      </c>
      <c r="I335" s="210" t="n">
        <v>4167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66</v>
      </c>
      <c r="E336" s="210" t="n">
        <v>70</v>
      </c>
      <c r="F336" s="210" t="n">
        <v>84</v>
      </c>
      <c r="G336" s="210" t="n">
        <v>88</v>
      </c>
      <c r="H336" s="210" t="n">
        <v>208</v>
      </c>
      <c r="I336" s="210" t="n">
        <v>437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Organic</t>
        </is>
      </c>
      <c r="D337" s="210" t="n">
        <v>2494</v>
      </c>
      <c r="E337" s="210" t="n">
        <v>2591</v>
      </c>
      <c r="F337" s="210" t="n">
        <v>2923</v>
      </c>
      <c r="G337" s="210" t="n">
        <v>3764</v>
      </c>
      <c r="H337" s="210" t="n">
        <v>2670</v>
      </c>
      <c r="I337" s="210" t="n">
        <v>3313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Others</t>
        </is>
      </c>
      <c r="D338" s="210" t="n">
        <v>24</v>
      </c>
      <c r="E338" s="210" t="n">
        <v>6</v>
      </c>
      <c r="F338" s="210" t="n">
        <v>2</v>
      </c>
      <c r="G338" s="210" t="n">
        <v>6</v>
      </c>
      <c r="H338" s="210" t="n">
        <v>98</v>
      </c>
      <c r="I338" s="210" t="n">
        <v>78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Paid</t>
        </is>
      </c>
      <c r="D339" s="210" t="n">
        <v>3</v>
      </c>
      <c r="E339" s="210" t="n">
        <v>2</v>
      </c>
      <c r="F339" s="210" t="n">
        <v>2</v>
      </c>
      <c r="G339" s="210" t="n">
        <v>505</v>
      </c>
      <c r="H339" s="210" t="n">
        <v>765</v>
      </c>
      <c r="I339" s="210" t="n">
        <v>374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Referral</t>
        </is>
      </c>
      <c r="D340" s="210" t="n">
        <v>70</v>
      </c>
      <c r="E340" s="210" t="n">
        <v>62</v>
      </c>
      <c r="F340" s="210" t="n">
        <v>96</v>
      </c>
      <c r="G340" s="210" t="n">
        <v>139</v>
      </c>
      <c r="H340" s="210" t="n">
        <v>337</v>
      </c>
      <c r="I340" s="210" t="n">
        <v>279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Direct</t>
        </is>
      </c>
      <c r="D341" s="210" t="n">
        <v>7838</v>
      </c>
      <c r="E341" s="210" t="n">
        <v>9573</v>
      </c>
      <c r="F341" s="210" t="n">
        <v>11717</v>
      </c>
      <c r="G341" s="210" t="n">
        <v>12222</v>
      </c>
      <c r="H341" s="210" t="n">
        <v>9404</v>
      </c>
      <c r="I341" s="210" t="n"/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Organic</t>
        </is>
      </c>
      <c r="D342" s="210" t="n">
        <v>2569</v>
      </c>
      <c r="E342" s="210" t="n">
        <v>2912</v>
      </c>
      <c r="F342" s="210" t="n">
        <v>3280</v>
      </c>
      <c r="G342" s="210" t="n">
        <v>3302</v>
      </c>
      <c r="H342" s="210" t="n">
        <v>4712</v>
      </c>
      <c r="I342" s="210" t="n"/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172</v>
      </c>
      <c r="E343" s="210" t="n">
        <v>115</v>
      </c>
      <c r="F343" s="210" t="n">
        <v>62</v>
      </c>
      <c r="G343" s="210" t="n">
        <v>83</v>
      </c>
      <c r="H343" s="210" t="n">
        <v>121</v>
      </c>
      <c r="I343" s="210" t="n">
        <v>96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Paid</t>
        </is>
      </c>
      <c r="D344" s="210" t="n">
        <v>57</v>
      </c>
      <c r="E344" s="210" t="n">
        <v>174</v>
      </c>
      <c r="F344" s="210" t="n">
        <v>55</v>
      </c>
      <c r="G344" s="210" t="n">
        <v>302</v>
      </c>
      <c r="H344" s="210" t="n">
        <v>113</v>
      </c>
      <c r="I344" s="210" t="n">
        <v>89</v>
      </c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Referral</t>
        </is>
      </c>
      <c r="D345" s="210" t="n">
        <v>243</v>
      </c>
      <c r="E345" s="210" t="n">
        <v>298</v>
      </c>
      <c r="F345" s="210" t="n">
        <v>297</v>
      </c>
      <c r="G345" s="210" t="n">
        <v>349</v>
      </c>
      <c r="H345" s="210" t="n">
        <v>405</v>
      </c>
      <c r="I345" s="210" t="n">
        <v>366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Direct</t>
        </is>
      </c>
      <c r="D346" s="210" t="n">
        <v>53</v>
      </c>
      <c r="E346" s="210" t="n">
        <v>51</v>
      </c>
      <c r="F346" s="210" t="n">
        <v>56</v>
      </c>
      <c r="G346" s="210" t="n">
        <v>47</v>
      </c>
      <c r="H346" s="210" t="n">
        <v>110</v>
      </c>
      <c r="I346" s="210" t="n">
        <v>225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Organic</t>
        </is>
      </c>
      <c r="D347" s="210" t="n">
        <v>417</v>
      </c>
      <c r="E347" s="210" t="n">
        <v>373</v>
      </c>
      <c r="F347" s="210" t="n">
        <v>391</v>
      </c>
      <c r="G347" s="210" t="n">
        <v>374</v>
      </c>
      <c r="H347" s="210" t="n">
        <v>405</v>
      </c>
      <c r="I347" s="210" t="n">
        <v>2399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Others</t>
        </is>
      </c>
      <c r="D348" s="210" t="n">
        <v>20</v>
      </c>
      <c r="E348" s="210" t="n">
        <v>4</v>
      </c>
      <c r="F348" s="210" t="n">
        <v>3</v>
      </c>
      <c r="G348" s="210" t="n">
        <v>7</v>
      </c>
      <c r="H348" s="210" t="n">
        <v>3</v>
      </c>
      <c r="I348" s="210" t="n">
        <v>12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/>
      <c r="E349" s="210" t="n">
        <v>1</v>
      </c>
      <c r="F349" s="210" t="n">
        <v>2</v>
      </c>
      <c r="G349" s="210" t="n">
        <v>12</v>
      </c>
      <c r="H349" s="210" t="n">
        <v>5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Referral</t>
        </is>
      </c>
      <c r="D350" s="210" t="n">
        <v>29</v>
      </c>
      <c r="E350" s="210" t="n">
        <v>17</v>
      </c>
      <c r="F350" s="210" t="n">
        <v>26</v>
      </c>
      <c r="G350" s="210" t="n">
        <v>69</v>
      </c>
      <c r="H350" s="210" t="n">
        <v>52</v>
      </c>
      <c r="I350" s="210" t="n">
        <v>136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Direct</t>
        </is>
      </c>
      <c r="D351" s="210" t="n">
        <v>531</v>
      </c>
      <c r="E351" s="210" t="n">
        <v>11749</v>
      </c>
      <c r="F351" s="210" t="n">
        <v>28171</v>
      </c>
      <c r="G351" s="210" t="n">
        <v>25012</v>
      </c>
      <c r="H351" s="210" t="n">
        <v>8049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Organic</t>
        </is>
      </c>
      <c r="D352" s="210" t="n">
        <v>2102</v>
      </c>
      <c r="E352" s="210" t="n">
        <v>10292</v>
      </c>
      <c r="F352" s="210" t="n">
        <v>23402</v>
      </c>
      <c r="G352" s="210" t="n">
        <v>20980</v>
      </c>
      <c r="H352" s="210" t="n">
        <v>9206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230</v>
      </c>
      <c r="E353" s="210" t="n">
        <v>844</v>
      </c>
      <c r="F353" s="210" t="n">
        <v>1102</v>
      </c>
      <c r="G353" s="210" t="n">
        <v>868</v>
      </c>
      <c r="H353" s="210" t="n">
        <v>191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Paid</t>
        </is>
      </c>
      <c r="D354" s="210" t="n">
        <v>12699</v>
      </c>
      <c r="E354" s="210" t="n">
        <v>278903</v>
      </c>
      <c r="F354" s="210" t="n">
        <v>20458</v>
      </c>
      <c r="G354" s="210" t="n">
        <v>76881</v>
      </c>
      <c r="H354" s="210" t="n">
        <v>7883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Referral</t>
        </is>
      </c>
      <c r="D355" s="210" t="n">
        <v>144</v>
      </c>
      <c r="E355" s="210" t="n">
        <v>171</v>
      </c>
      <c r="F355" s="210" t="n">
        <v>204</v>
      </c>
      <c r="G355" s="210" t="n">
        <v>348</v>
      </c>
      <c r="H355" s="210" t="n">
        <v>346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1371882</v>
      </c>
      <c r="E356" s="210" t="n">
        <v>1717752</v>
      </c>
      <c r="F356" s="210" t="n">
        <v>1315204</v>
      </c>
      <c r="G356" s="210" t="n">
        <v>1597070</v>
      </c>
      <c r="H356" s="210" t="n">
        <v>1983271</v>
      </c>
      <c r="I356" s="210" t="n">
        <v>1664082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9.38" customWidth="1" style="239" min="1" max="1"/>
    <col width="15.13" customWidth="1" style="239" min="2" max="2"/>
    <col width="22.25" customWidth="1" style="239" min="3" max="3"/>
    <col width="15.13" customWidth="1" style="239" min="4" max="4"/>
    <col width="18.7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14, 2026 3:21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2" t="n">
        <v>46296</v>
      </c>
      <c r="B3" s="233" t="inlineStr">
        <is>
          <t>Organic</t>
        </is>
      </c>
      <c r="C3" s="233" t="inlineStr">
        <is>
          <t>Ví Trả Sau</t>
        </is>
      </c>
      <c r="D3" s="234" t="n">
        <v>16938</v>
      </c>
      <c r="E3" s="233" t="inlineStr">
        <is>
          <t>Financial Hub</t>
        </is>
      </c>
    </row>
    <row r="4">
      <c r="A4" s="235" t="n">
        <v>46296</v>
      </c>
      <c r="B4" s="236" t="inlineStr">
        <is>
          <t>Paid</t>
        </is>
      </c>
      <c r="C4" s="236" t="inlineStr">
        <is>
          <t>Ví Trả Sau</t>
        </is>
      </c>
      <c r="D4" s="237" t="n">
        <v>653</v>
      </c>
      <c r="E4" s="236" t="inlineStr">
        <is>
          <t>Financial Hub</t>
        </is>
      </c>
    </row>
    <row r="5">
      <c r="A5" s="232" t="n">
        <v>46296</v>
      </c>
      <c r="B5" s="233" t="inlineStr">
        <is>
          <t>Direct</t>
        </is>
      </c>
      <c r="C5" s="233" t="inlineStr">
        <is>
          <t>Bảo Hiểm Ô Tô</t>
        </is>
      </c>
      <c r="D5" s="234" t="n">
        <v>707</v>
      </c>
      <c r="E5" s="233" t="inlineStr">
        <is>
          <t>Bảo Hiểm Ô Tô</t>
        </is>
      </c>
    </row>
    <row r="6">
      <c r="A6" s="235" t="n">
        <v>46296</v>
      </c>
      <c r="B6" s="236" t="inlineStr">
        <is>
          <t>Organic</t>
        </is>
      </c>
      <c r="C6" s="236" t="inlineStr">
        <is>
          <t>Bảo Hiểm Y Tế</t>
        </is>
      </c>
      <c r="D6" s="237" t="n">
        <v>12289</v>
      </c>
      <c r="E6" s="236" t="inlineStr">
        <is>
          <t>Bảo Hiểm Y Tế</t>
        </is>
      </c>
    </row>
    <row r="7">
      <c r="A7" s="232" t="n">
        <v>46296</v>
      </c>
      <c r="B7" s="233" t="inlineStr">
        <is>
          <t>Referral</t>
        </is>
      </c>
      <c r="C7" s="233" t="inlineStr">
        <is>
          <t>Campaign</t>
        </is>
      </c>
      <c r="D7" s="234" t="n">
        <v>851</v>
      </c>
      <c r="E7" s="233" t="inlineStr">
        <is>
          <t>Campaign</t>
        </is>
      </c>
    </row>
    <row r="8">
      <c r="A8" s="235" t="n">
        <v>46296</v>
      </c>
      <c r="B8" s="236" t="inlineStr">
        <is>
          <t>Organic</t>
        </is>
      </c>
      <c r="C8" s="236" t="inlineStr">
        <is>
          <t>Campaign</t>
        </is>
      </c>
      <c r="D8" s="237" t="n">
        <v>1550</v>
      </c>
      <c r="E8" s="236" t="inlineStr">
        <is>
          <t>Campaign</t>
        </is>
      </c>
    </row>
    <row r="9">
      <c r="A9" s="232" t="n">
        <v>46296</v>
      </c>
      <c r="B9" s="233" t="inlineStr">
        <is>
          <t>Organic</t>
        </is>
      </c>
      <c r="C9" s="233" t="inlineStr">
        <is>
          <t>Application Store</t>
        </is>
      </c>
      <c r="D9" s="234" t="n">
        <v>1167</v>
      </c>
      <c r="E9" s="233" t="inlineStr">
        <is>
          <t>Application Store</t>
        </is>
      </c>
    </row>
    <row r="10">
      <c r="A10" s="235" t="n">
        <v>46296</v>
      </c>
      <c r="B10" s="236" t="inlineStr">
        <is>
          <t>Referral</t>
        </is>
      </c>
      <c r="C10" s="236" t="inlineStr">
        <is>
          <t>Bảo Hiểm Xe Máy</t>
        </is>
      </c>
      <c r="D10" s="237" t="n">
        <v>85</v>
      </c>
      <c r="E10" s="236" t="inlineStr">
        <is>
          <t>Bảo Hiểm Xe Máy</t>
        </is>
      </c>
    </row>
    <row r="11">
      <c r="A11" s="232" t="n">
        <v>46296</v>
      </c>
      <c r="B11" s="233" t="inlineStr">
        <is>
          <t>Paid</t>
        </is>
      </c>
      <c r="C11" s="233" t="inlineStr">
        <is>
          <t>Chứng Khoán</t>
        </is>
      </c>
      <c r="D11" s="234" t="n">
        <v>62</v>
      </c>
      <c r="E11" s="233" t="inlineStr">
        <is>
          <t>Financial Hub</t>
        </is>
      </c>
    </row>
    <row r="12">
      <c r="A12" s="235" t="n">
        <v>46296</v>
      </c>
      <c r="B12" s="236" t="inlineStr">
        <is>
          <t>Referral</t>
        </is>
      </c>
      <c r="C12" s="236" t="inlineStr">
        <is>
          <t>Hỏi đáp</t>
        </is>
      </c>
      <c r="D12" s="237" t="n">
        <v>1855</v>
      </c>
      <c r="E12" s="236" t="inlineStr">
        <is>
          <t>Hỏi đáp</t>
        </is>
      </c>
    </row>
    <row r="13">
      <c r="A13" s="232" t="n">
        <v>46296</v>
      </c>
      <c r="B13" s="233" t="inlineStr">
        <is>
          <t>Organic</t>
        </is>
      </c>
      <c r="C13" s="233" t="inlineStr">
        <is>
          <t>Trung Tâm Tài Chính</t>
        </is>
      </c>
      <c r="D13" s="234" t="n">
        <v>2727</v>
      </c>
      <c r="E13" s="233" t="inlineStr">
        <is>
          <t>Financial Hub</t>
        </is>
      </c>
    </row>
    <row r="14">
      <c r="A14" s="235" t="n">
        <v>46296</v>
      </c>
      <c r="B14" s="236" t="inlineStr">
        <is>
          <t>Organic</t>
        </is>
      </c>
      <c r="C14" s="236" t="inlineStr">
        <is>
          <t>Trung tâm tài chính</t>
        </is>
      </c>
      <c r="D14" s="237" t="n">
        <v>659</v>
      </c>
      <c r="E14" s="236" t="inlineStr">
        <is>
          <t>Trung tâm tài chính</t>
        </is>
      </c>
    </row>
    <row r="15">
      <c r="A15" s="232" t="n">
        <v>46296</v>
      </c>
      <c r="B15" s="233" t="inlineStr">
        <is>
          <t>Organic</t>
        </is>
      </c>
      <c r="C15" s="233" t="inlineStr">
        <is>
          <t>Vay Nhanh</t>
        </is>
      </c>
      <c r="D15" s="234" t="n">
        <v>17963</v>
      </c>
      <c r="E15" s="233" t="inlineStr">
        <is>
          <t>Financial Hub</t>
        </is>
      </c>
    </row>
    <row r="16">
      <c r="A16" s="235" t="n">
        <v>46296</v>
      </c>
      <c r="B16" s="236" t="inlineStr">
        <is>
          <t>Organic</t>
        </is>
      </c>
      <c r="C16" s="236" t="inlineStr">
        <is>
          <t>TnC</t>
        </is>
      </c>
      <c r="D16" s="237" t="n">
        <v>3789</v>
      </c>
      <c r="E16" s="236" t="inlineStr">
        <is>
          <t>TnC</t>
        </is>
      </c>
    </row>
    <row r="17">
      <c r="A17" s="232" t="n">
        <v>46296</v>
      </c>
      <c r="B17" s="233" t="inlineStr">
        <is>
          <t>Paid</t>
        </is>
      </c>
      <c r="C17" s="233" t="inlineStr">
        <is>
          <t>Soundbox</t>
        </is>
      </c>
      <c r="D17" s="234" t="n">
        <v>2491</v>
      </c>
      <c r="E17" s="233" t="inlineStr">
        <is>
          <t>Soundbox</t>
        </is>
      </c>
    </row>
    <row r="18">
      <c r="A18" s="235" t="n">
        <v>46296</v>
      </c>
      <c r="B18" s="236" t="inlineStr">
        <is>
          <t>Referral</t>
        </is>
      </c>
      <c r="C18" s="236" t="inlineStr">
        <is>
          <t>New User</t>
        </is>
      </c>
      <c r="D18" s="237" t="n">
        <v>4401</v>
      </c>
      <c r="E18" s="236" t="inlineStr">
        <is>
          <t>New User</t>
        </is>
      </c>
    </row>
    <row r="19">
      <c r="A19" s="232" t="n">
        <v>46296</v>
      </c>
      <c r="B19" s="233" t="inlineStr">
        <is>
          <t>Paid</t>
        </is>
      </c>
      <c r="C19" s="233" t="inlineStr">
        <is>
          <t>Trust</t>
        </is>
      </c>
      <c r="D19" s="234" t="n">
        <v>202</v>
      </c>
      <c r="E19" s="233" t="inlineStr">
        <is>
          <t>Trust</t>
        </is>
      </c>
    </row>
    <row r="20">
      <c r="A20" s="235" t="n">
        <v>46296</v>
      </c>
      <c r="B20" s="236" t="inlineStr">
        <is>
          <t>Organic</t>
        </is>
      </c>
      <c r="C20" s="236" t="inlineStr">
        <is>
          <t>Student Pass</t>
        </is>
      </c>
      <c r="D20" s="237" t="n">
        <v>426</v>
      </c>
      <c r="E20" s="236" t="inlineStr">
        <is>
          <t>Student Hub</t>
        </is>
      </c>
    </row>
    <row r="21">
      <c r="A21" s="232" t="n">
        <v>46296</v>
      </c>
      <c r="B21" s="233" t="inlineStr">
        <is>
          <t>Referral</t>
        </is>
      </c>
      <c r="C21" s="233" t="inlineStr">
        <is>
          <t>Vay Nhanh</t>
        </is>
      </c>
      <c r="D21" s="234" t="n">
        <v>3566</v>
      </c>
      <c r="E21" s="233" t="inlineStr">
        <is>
          <t>Financial Hub</t>
        </is>
      </c>
    </row>
    <row r="22">
      <c r="A22" s="235" t="n">
        <v>46296</v>
      </c>
      <c r="B22" s="236" t="inlineStr">
        <is>
          <t>Direct</t>
        </is>
      </c>
      <c r="C22" s="236" t="inlineStr">
        <is>
          <t>Vé Xe</t>
        </is>
      </c>
      <c r="D22" s="237" t="n">
        <v>4137</v>
      </c>
      <c r="E22" s="236" t="inlineStr">
        <is>
          <t>Vé Xe</t>
        </is>
      </c>
    </row>
    <row r="23">
      <c r="A23" s="232" t="n">
        <v>46296</v>
      </c>
      <c r="B23" s="233" t="inlineStr">
        <is>
          <t>Organic</t>
        </is>
      </c>
      <c r="C23" s="233" t="inlineStr">
        <is>
          <t>P2P</t>
        </is>
      </c>
      <c r="D23" s="234" t="n">
        <v>2235</v>
      </c>
      <c r="E23" s="233" t="inlineStr">
        <is>
          <t>P2P</t>
        </is>
      </c>
    </row>
    <row r="24">
      <c r="A24" s="235" t="n">
        <v>46296</v>
      </c>
      <c r="B24" s="236" t="inlineStr">
        <is>
          <t>Direct</t>
        </is>
      </c>
      <c r="C24" s="236" t="inlineStr">
        <is>
          <t>OTA</t>
        </is>
      </c>
      <c r="D24" s="237" t="n">
        <v>1458</v>
      </c>
      <c r="E24" s="236" t="inlineStr">
        <is>
          <t>OTA</t>
        </is>
      </c>
    </row>
    <row r="25">
      <c r="A25" s="232" t="n">
        <v>46296</v>
      </c>
      <c r="B25" s="233" t="inlineStr">
        <is>
          <t>Organic</t>
        </is>
      </c>
      <c r="C25" s="233" t="inlineStr">
        <is>
          <t>New User</t>
        </is>
      </c>
      <c r="D25" s="234" t="n">
        <v>7393</v>
      </c>
      <c r="E25" s="233" t="inlineStr">
        <is>
          <t>New User</t>
        </is>
      </c>
    </row>
    <row r="26">
      <c r="A26" s="235" t="n">
        <v>46296</v>
      </c>
      <c r="B26" s="236" t="inlineStr">
        <is>
          <t>Organic</t>
        </is>
      </c>
      <c r="C26" s="236" t="inlineStr">
        <is>
          <t>Sim</t>
        </is>
      </c>
      <c r="D26" s="237" t="n">
        <v>4693</v>
      </c>
      <c r="E26" s="236" t="inlineStr">
        <is>
          <t>Sim</t>
        </is>
      </c>
    </row>
    <row r="27">
      <c r="A27" s="232" t="n">
        <v>46296</v>
      </c>
      <c r="B27" s="233" t="inlineStr">
        <is>
          <t>Organic</t>
        </is>
      </c>
      <c r="C27" s="233" t="inlineStr">
        <is>
          <t>Túi Thần Tài</t>
        </is>
      </c>
      <c r="D27" s="234" t="n">
        <v>748</v>
      </c>
      <c r="E27" s="233" t="inlineStr">
        <is>
          <t>Financial Hub</t>
        </is>
      </c>
    </row>
    <row r="28">
      <c r="A28" s="235" t="n">
        <v>46296</v>
      </c>
      <c r="B28" s="236" t="inlineStr">
        <is>
          <t>Others</t>
        </is>
      </c>
      <c r="C28" s="236" t="inlineStr">
        <is>
          <t>Home MoMo</t>
        </is>
      </c>
      <c r="D28" s="237" t="n">
        <v>2540</v>
      </c>
      <c r="E28" s="236" t="inlineStr">
        <is>
          <t>Home MoMo</t>
        </is>
      </c>
    </row>
    <row r="29">
      <c r="A29" s="232" t="n">
        <v>46296</v>
      </c>
      <c r="B29" s="233" t="inlineStr">
        <is>
          <t>Referral</t>
        </is>
      </c>
      <c r="C29" s="233" t="inlineStr">
        <is>
          <t>Túi Thần Tài</t>
        </is>
      </c>
      <c r="D29" s="234" t="n">
        <v>68</v>
      </c>
      <c r="E29" s="233" t="inlineStr">
        <is>
          <t>Financial Hub</t>
        </is>
      </c>
    </row>
    <row r="30">
      <c r="A30" s="235" t="n">
        <v>46296</v>
      </c>
      <c r="B30" s="236" t="inlineStr">
        <is>
          <t>Direct</t>
        </is>
      </c>
      <c r="C30" s="236" t="inlineStr">
        <is>
          <t>Sim</t>
        </is>
      </c>
      <c r="D30" s="237" t="n">
        <v>290</v>
      </c>
      <c r="E30" s="236" t="inlineStr">
        <is>
          <t>Sim</t>
        </is>
      </c>
    </row>
    <row r="31">
      <c r="A31" s="232" t="n">
        <v>46296</v>
      </c>
      <c r="B31" s="233" t="inlineStr">
        <is>
          <t>Direct</t>
        </is>
      </c>
      <c r="C31" s="233" t="inlineStr">
        <is>
          <t>Tìm Kiếm</t>
        </is>
      </c>
      <c r="D31" s="234" t="n">
        <v>1213</v>
      </c>
      <c r="E31" s="233" t="inlineStr">
        <is>
          <t>Tìm Kiếm</t>
        </is>
      </c>
    </row>
    <row r="32">
      <c r="A32" s="235" t="n">
        <v>46296</v>
      </c>
      <c r="B32" s="236" t="inlineStr">
        <is>
          <t>Organic</t>
        </is>
      </c>
      <c r="C32" s="236" t="inlineStr">
        <is>
          <t>Trust</t>
        </is>
      </c>
      <c r="D32" s="237" t="n">
        <v>1015</v>
      </c>
      <c r="E32" s="236" t="inlineStr">
        <is>
          <t>Trust</t>
        </is>
      </c>
    </row>
    <row r="33">
      <c r="A33" s="232" t="n">
        <v>46296</v>
      </c>
      <c r="B33" s="233" t="inlineStr">
        <is>
          <t>Referral</t>
        </is>
      </c>
      <c r="C33" s="233" t="inlineStr">
        <is>
          <t>Vé Xe</t>
        </is>
      </c>
      <c r="D33" s="234" t="n">
        <v>890</v>
      </c>
      <c r="E33" s="233" t="inlineStr">
        <is>
          <t>Vé Xe</t>
        </is>
      </c>
    </row>
    <row r="34">
      <c r="A34" s="235" t="n">
        <v>46296</v>
      </c>
      <c r="B34" s="236" t="inlineStr">
        <is>
          <t>Direct</t>
        </is>
      </c>
      <c r="C34" s="236" t="inlineStr">
        <is>
          <t>Cinema_Home Page</t>
        </is>
      </c>
      <c r="D34" s="237" t="n">
        <v>1919</v>
      </c>
      <c r="E34" s="236" t="inlineStr">
        <is>
          <t>Cinema Hub</t>
        </is>
      </c>
    </row>
    <row r="35">
      <c r="A35" s="232" t="n">
        <v>46296</v>
      </c>
      <c r="B35" s="233" t="inlineStr">
        <is>
          <t>Paid</t>
        </is>
      </c>
      <c r="C35" s="233" t="inlineStr">
        <is>
          <t>TnC</t>
        </is>
      </c>
      <c r="D35" s="234" t="n">
        <v>78</v>
      </c>
      <c r="E35" s="233" t="inlineStr">
        <is>
          <t>TnC</t>
        </is>
      </c>
    </row>
    <row r="36">
      <c r="A36" s="235" t="n">
        <v>46296</v>
      </c>
      <c r="B36" s="236" t="inlineStr">
        <is>
          <t>Others</t>
        </is>
      </c>
      <c r="C36" s="236" t="inlineStr">
        <is>
          <t>TnC</t>
        </is>
      </c>
      <c r="D36" s="237" t="n">
        <v>89</v>
      </c>
      <c r="E36" s="236" t="inlineStr">
        <is>
          <t>TnC</t>
        </is>
      </c>
    </row>
    <row r="37">
      <c r="A37" s="232" t="n">
        <v>46296</v>
      </c>
      <c r="B37" s="233" t="inlineStr">
        <is>
          <t>Referral</t>
        </is>
      </c>
      <c r="C37" s="233" t="inlineStr">
        <is>
          <t>Trung Tâm Tài Chính</t>
        </is>
      </c>
      <c r="D37" s="234" t="n">
        <v>236</v>
      </c>
      <c r="E37" s="233" t="inlineStr">
        <is>
          <t>Financial Hub</t>
        </is>
      </c>
    </row>
    <row r="38">
      <c r="A38" s="235" t="n">
        <v>46296</v>
      </c>
      <c r="B38" s="236" t="inlineStr">
        <is>
          <t>Referral</t>
        </is>
      </c>
      <c r="C38" s="236" t="inlineStr">
        <is>
          <t>Soundbox</t>
        </is>
      </c>
      <c r="D38" s="237" t="n">
        <v>223</v>
      </c>
      <c r="E38" s="236" t="inlineStr">
        <is>
          <t>Soundbox</t>
        </is>
      </c>
    </row>
    <row r="39">
      <c r="A39" s="232" t="n">
        <v>46296</v>
      </c>
      <c r="B39" s="233" t="inlineStr">
        <is>
          <t>Organic</t>
        </is>
      </c>
      <c r="C39" s="233" t="inlineStr">
        <is>
          <t>Student Hub</t>
        </is>
      </c>
      <c r="D39" s="234" t="n">
        <v>95</v>
      </c>
      <c r="E39" s="233" t="inlineStr">
        <is>
          <t>Student Hub</t>
        </is>
      </c>
    </row>
    <row r="40">
      <c r="A40" s="235" t="n">
        <v>46296</v>
      </c>
      <c r="B40" s="236" t="inlineStr">
        <is>
          <t>Organic</t>
        </is>
      </c>
      <c r="C40" s="236" t="inlineStr">
        <is>
          <t>Cinema_News</t>
        </is>
      </c>
      <c r="D40" s="237" t="n">
        <v>1188</v>
      </c>
      <c r="E40" s="236" t="inlineStr">
        <is>
          <t>Cinema Hub</t>
        </is>
      </c>
    </row>
    <row r="41">
      <c r="A41" s="232" t="n">
        <v>46296</v>
      </c>
      <c r="B41" s="233" t="inlineStr">
        <is>
          <t>Organic</t>
        </is>
      </c>
      <c r="C41" s="233" t="inlineStr">
        <is>
          <t>Thanh Toán Thẻ Tín Dụng</t>
        </is>
      </c>
      <c r="D41" s="234" t="n">
        <v>160</v>
      </c>
      <c r="E41" s="233" t="inlineStr">
        <is>
          <t>Financial Hub</t>
        </is>
      </c>
    </row>
    <row r="42">
      <c r="A42" s="235" t="n">
        <v>46296</v>
      </c>
      <c r="B42" s="236" t="inlineStr">
        <is>
          <t>Direct</t>
        </is>
      </c>
      <c r="C42" s="236" t="inlineStr">
        <is>
          <t>Tiết Kiệm Online</t>
        </is>
      </c>
      <c r="D42" s="237" t="n">
        <v>106</v>
      </c>
      <c r="E42" s="236" t="inlineStr">
        <is>
          <t>Financial Hub</t>
        </is>
      </c>
    </row>
    <row r="43">
      <c r="A43" s="232" t="n">
        <v>46296</v>
      </c>
      <c r="B43" s="233" t="inlineStr">
        <is>
          <t>Direct</t>
        </is>
      </c>
      <c r="C43" s="233" t="inlineStr">
        <is>
          <t>Cinema_Landing Page</t>
        </is>
      </c>
      <c r="D43" s="234" t="n">
        <v>47</v>
      </c>
      <c r="E43" s="233" t="inlineStr">
        <is>
          <t>Cinema Hub</t>
        </is>
      </c>
    </row>
    <row r="44">
      <c r="A44" s="235" t="n">
        <v>46296</v>
      </c>
      <c r="B44" s="236" t="inlineStr">
        <is>
          <t>Direct</t>
        </is>
      </c>
      <c r="C44" s="236" t="inlineStr">
        <is>
          <t>Thanh Toán Khoản Vay</t>
        </is>
      </c>
      <c r="D44" s="237" t="n">
        <v>16</v>
      </c>
      <c r="E44" s="236" t="inlineStr">
        <is>
          <t>Financial Hub</t>
        </is>
      </c>
    </row>
    <row r="45">
      <c r="A45" s="232" t="n">
        <v>46296</v>
      </c>
      <c r="B45" s="233" t="inlineStr">
        <is>
          <t>Others</t>
        </is>
      </c>
      <c r="C45" s="233" t="inlineStr">
        <is>
          <t>Cinema_Home Page</t>
        </is>
      </c>
      <c r="D45" s="234" t="n">
        <v>95</v>
      </c>
      <c r="E45" s="233" t="inlineStr">
        <is>
          <t>Cinema Hub</t>
        </is>
      </c>
    </row>
    <row r="46">
      <c r="A46" s="235" t="n">
        <v>46296</v>
      </c>
      <c r="B46" s="236" t="inlineStr">
        <is>
          <t>Paid</t>
        </is>
      </c>
      <c r="C46" s="236" t="inlineStr">
        <is>
          <t>Bảo Hiểm</t>
        </is>
      </c>
      <c r="D46" s="237" t="n">
        <v>9</v>
      </c>
      <c r="E46" s="236" t="inlineStr">
        <is>
          <t>Bảo Hiểm</t>
        </is>
      </c>
    </row>
    <row r="47">
      <c r="A47" s="232" t="n">
        <v>46296</v>
      </c>
      <c r="B47" s="233" t="inlineStr">
        <is>
          <t>Others</t>
        </is>
      </c>
      <c r="C47" s="233" t="inlineStr">
        <is>
          <t>Blog</t>
        </is>
      </c>
      <c r="D47" s="234" t="n">
        <v>63</v>
      </c>
      <c r="E47" s="233" t="inlineStr">
        <is>
          <t>Blog</t>
        </is>
      </c>
    </row>
    <row r="48">
      <c r="A48" s="235" t="n">
        <v>46296</v>
      </c>
      <c r="B48" s="236" t="inlineStr">
        <is>
          <t>Others</t>
        </is>
      </c>
      <c r="C48" s="236" t="inlineStr">
        <is>
          <t>Vé số</t>
        </is>
      </c>
      <c r="D48" s="237" t="n">
        <v>14</v>
      </c>
      <c r="E48" s="236" t="inlineStr">
        <is>
          <t>Vé số</t>
        </is>
      </c>
    </row>
    <row r="49">
      <c r="A49" s="232" t="n">
        <v>46296</v>
      </c>
      <c r="B49" s="233" t="inlineStr">
        <is>
          <t>Direct</t>
        </is>
      </c>
      <c r="C49" s="233" t="inlineStr">
        <is>
          <t>Tiện Ích Giao Thông</t>
        </is>
      </c>
      <c r="D49" s="234" t="n">
        <v>72</v>
      </c>
      <c r="E49" s="233" t="inlineStr">
        <is>
          <t>Tiện Ích Giao Thông</t>
        </is>
      </c>
    </row>
    <row r="50">
      <c r="A50" s="235" t="n">
        <v>46296</v>
      </c>
      <c r="B50" s="236" t="inlineStr">
        <is>
          <t>Paid</t>
        </is>
      </c>
      <c r="C50" s="236" t="inlineStr">
        <is>
          <t>OTA</t>
        </is>
      </c>
      <c r="D50" s="237" t="n">
        <v>370</v>
      </c>
      <c r="E50" s="236" t="inlineStr">
        <is>
          <t>OTA</t>
        </is>
      </c>
    </row>
    <row r="51">
      <c r="A51" s="232" t="n">
        <v>46143</v>
      </c>
      <c r="B51" s="233" t="inlineStr">
        <is>
          <t>Referral</t>
        </is>
      </c>
      <c r="C51" s="233" t="inlineStr">
        <is>
          <t>Cinema_Cineplex Page</t>
        </is>
      </c>
      <c r="D51" s="234" t="n">
        <v>3765</v>
      </c>
      <c r="E51" s="233" t="inlineStr">
        <is>
          <t>Cinema Hub</t>
        </is>
      </c>
    </row>
    <row r="52">
      <c r="A52" s="235" t="n">
        <v>46143</v>
      </c>
      <c r="B52" s="236" t="inlineStr">
        <is>
          <t>Paid</t>
        </is>
      </c>
      <c r="C52" s="236" t="inlineStr">
        <is>
          <t>Home MoMo</t>
        </is>
      </c>
      <c r="D52" s="237" t="n">
        <v>12296</v>
      </c>
      <c r="E52" s="236" t="inlineStr">
        <is>
          <t>Home MoMo</t>
        </is>
      </c>
    </row>
    <row r="53">
      <c r="A53" s="232" t="n">
        <v>46143</v>
      </c>
      <c r="B53" s="233" t="inlineStr">
        <is>
          <t>Organic</t>
        </is>
      </c>
      <c r="C53" s="233" t="inlineStr">
        <is>
          <t>Cinema_Page</t>
        </is>
      </c>
      <c r="D53" s="234" t="n">
        <v>293345</v>
      </c>
      <c r="E53" s="233" t="inlineStr">
        <is>
          <t>Cinema Hub</t>
        </is>
      </c>
    </row>
    <row r="54">
      <c r="A54" s="235" t="n">
        <v>46143</v>
      </c>
      <c r="B54" s="236" t="inlineStr">
        <is>
          <t>Referral</t>
        </is>
      </c>
      <c r="C54" s="236" t="inlineStr">
        <is>
          <t>Cinema_Blog</t>
        </is>
      </c>
      <c r="D54" s="237" t="n">
        <v>4091</v>
      </c>
      <c r="E54" s="236" t="inlineStr">
        <is>
          <t>Cinema Hub</t>
        </is>
      </c>
    </row>
    <row r="55">
      <c r="A55" s="232" t="n">
        <v>46143</v>
      </c>
      <c r="B55" s="233" t="inlineStr">
        <is>
          <t>Direct</t>
        </is>
      </c>
      <c r="C55" s="233" t="inlineStr">
        <is>
          <t>Dịch vụ liên kết</t>
        </is>
      </c>
      <c r="D55" s="234" t="n">
        <v>3431</v>
      </c>
      <c r="E55" s="233" t="inlineStr">
        <is>
          <t>Dịch vụ liên kết</t>
        </is>
      </c>
    </row>
    <row r="56">
      <c r="A56" s="235" t="n">
        <v>46143</v>
      </c>
      <c r="B56" s="236" t="inlineStr">
        <is>
          <t>Organic</t>
        </is>
      </c>
      <c r="C56" s="236" t="inlineStr">
        <is>
          <t>Bảo Hiểm Ô Tô</t>
        </is>
      </c>
      <c r="D56" s="237" t="n">
        <v>10614</v>
      </c>
      <c r="E56" s="236" t="inlineStr">
        <is>
          <t>Bảo Hiểm Ô Tô</t>
        </is>
      </c>
    </row>
    <row r="57">
      <c r="A57" s="232" t="n">
        <v>46143</v>
      </c>
      <c r="B57" s="233" t="inlineStr">
        <is>
          <t>Direct</t>
        </is>
      </c>
      <c r="C57" s="233" t="inlineStr">
        <is>
          <t>Cinema_Page</t>
        </is>
      </c>
      <c r="D57" s="234" t="n">
        <v>195502</v>
      </c>
      <c r="E57" s="233" t="inlineStr">
        <is>
          <t>Cinema Hub</t>
        </is>
      </c>
    </row>
    <row r="58">
      <c r="A58" s="235" t="n">
        <v>46143</v>
      </c>
      <c r="B58" s="236" t="inlineStr">
        <is>
          <t>Direct</t>
        </is>
      </c>
      <c r="C58" s="236" t="inlineStr">
        <is>
          <t>Merchant</t>
        </is>
      </c>
      <c r="D58" s="237" t="n">
        <v>9155</v>
      </c>
      <c r="E58" s="236" t="inlineStr">
        <is>
          <t>Merchant</t>
        </is>
      </c>
    </row>
    <row r="59">
      <c r="A59" s="232" t="n">
        <v>46143</v>
      </c>
      <c r="B59" s="233" t="inlineStr">
        <is>
          <t>Direct</t>
        </is>
      </c>
      <c r="C59" s="233" t="inlineStr">
        <is>
          <t>Data</t>
        </is>
      </c>
      <c r="D59" s="234" t="n">
        <v>1385</v>
      </c>
      <c r="E59" s="233" t="inlineStr">
        <is>
          <t>Data</t>
        </is>
      </c>
    </row>
    <row r="60">
      <c r="A60" s="235" t="n">
        <v>46143</v>
      </c>
      <c r="B60" s="236" t="inlineStr">
        <is>
          <t>Referral</t>
        </is>
      </c>
      <c r="C60" s="236" t="inlineStr">
        <is>
          <t>Cross Border</t>
        </is>
      </c>
      <c r="D60" s="237" t="n">
        <v>2338</v>
      </c>
      <c r="E60" s="236" t="inlineStr">
        <is>
          <t>Cross Border</t>
        </is>
      </c>
    </row>
    <row r="61">
      <c r="A61" s="232" t="n">
        <v>46204</v>
      </c>
      <c r="B61" s="233" t="inlineStr">
        <is>
          <t>Organic</t>
        </is>
      </c>
      <c r="C61" s="233" t="inlineStr">
        <is>
          <t>Vé Xe</t>
        </is>
      </c>
      <c r="D61" s="234" t="n">
        <v>76065</v>
      </c>
      <c r="E61" s="233" t="inlineStr">
        <is>
          <t>Vé Xe</t>
        </is>
      </c>
    </row>
    <row r="62">
      <c r="A62" s="235" t="n">
        <v>46143</v>
      </c>
      <c r="B62" s="236" t="inlineStr">
        <is>
          <t>Paid</t>
        </is>
      </c>
      <c r="C62" s="236" t="inlineStr">
        <is>
          <t>Vay Nhanh</t>
        </is>
      </c>
      <c r="D62" s="237" t="n">
        <v>91929</v>
      </c>
      <c r="E62" s="236" t="inlineStr">
        <is>
          <t>Financial Hub</t>
        </is>
      </c>
    </row>
    <row r="63">
      <c r="A63" s="232" t="n">
        <v>46143</v>
      </c>
      <c r="B63" s="233" t="inlineStr">
        <is>
          <t>Organic</t>
        </is>
      </c>
      <c r="C63" s="233" t="inlineStr">
        <is>
          <t>Tiktok</t>
        </is>
      </c>
      <c r="D63" s="234" t="n">
        <v>47005</v>
      </c>
      <c r="E63" s="233" t="inlineStr">
        <is>
          <t>Tiktok</t>
        </is>
      </c>
    </row>
    <row r="64">
      <c r="A64" s="235" t="n">
        <v>46143</v>
      </c>
      <c r="B64" s="236" t="inlineStr">
        <is>
          <t>Direct</t>
        </is>
      </c>
      <c r="C64" s="236" t="inlineStr">
        <is>
          <t>TnC</t>
        </is>
      </c>
      <c r="D64" s="237" t="n">
        <v>16676</v>
      </c>
      <c r="E64" s="236" t="inlineStr">
        <is>
          <t>TnC</t>
        </is>
      </c>
    </row>
    <row r="65">
      <c r="A65" s="232" t="n">
        <v>46143</v>
      </c>
      <c r="B65" s="233" t="inlineStr">
        <is>
          <t>Organic</t>
        </is>
      </c>
      <c r="C65" s="233" t="inlineStr">
        <is>
          <t>Sim</t>
        </is>
      </c>
      <c r="D65" s="234" t="n">
        <v>13358</v>
      </c>
      <c r="E65" s="233" t="inlineStr">
        <is>
          <t>Sim</t>
        </is>
      </c>
    </row>
    <row r="66">
      <c r="A66" s="235" t="n">
        <v>46143</v>
      </c>
      <c r="B66" s="236" t="inlineStr">
        <is>
          <t>Direct</t>
        </is>
      </c>
      <c r="C66" s="236" t="inlineStr">
        <is>
          <t>Vé Xe</t>
        </is>
      </c>
      <c r="D66" s="237" t="n">
        <v>12642</v>
      </c>
      <c r="E66" s="236" t="inlineStr">
        <is>
          <t>Vé Xe</t>
        </is>
      </c>
    </row>
    <row r="67">
      <c r="A67" s="232" t="n">
        <v>46143</v>
      </c>
      <c r="B67" s="233" t="inlineStr">
        <is>
          <t>Referral</t>
        </is>
      </c>
      <c r="C67" s="233" t="inlineStr">
        <is>
          <t>Vé Xe</t>
        </is>
      </c>
      <c r="D67" s="234" t="n">
        <v>2225</v>
      </c>
      <c r="E67" s="233" t="inlineStr">
        <is>
          <t>Vé Xe</t>
        </is>
      </c>
    </row>
    <row r="68">
      <c r="A68" s="235" t="n">
        <v>46143</v>
      </c>
      <c r="B68" s="236" t="inlineStr">
        <is>
          <t>Organic</t>
        </is>
      </c>
      <c r="C68" s="236" t="inlineStr">
        <is>
          <t>Ví Trả Sau</t>
        </is>
      </c>
      <c r="D68" s="237" t="n">
        <v>6736</v>
      </c>
      <c r="E68" s="236" t="inlineStr">
        <is>
          <t>Financial Hub</t>
        </is>
      </c>
    </row>
    <row r="69">
      <c r="A69" s="232" t="n">
        <v>46143</v>
      </c>
      <c r="B69" s="233" t="inlineStr">
        <is>
          <t>Direct</t>
        </is>
      </c>
      <c r="C69" s="233" t="inlineStr">
        <is>
          <t>Soundbox</t>
        </is>
      </c>
      <c r="D69" s="234" t="n">
        <v>1446</v>
      </c>
      <c r="E69" s="233" t="inlineStr">
        <is>
          <t>Soundbox</t>
        </is>
      </c>
    </row>
    <row r="70">
      <c r="A70" s="235" t="n">
        <v>46143</v>
      </c>
      <c r="B70" s="236" t="inlineStr">
        <is>
          <t>Organic</t>
        </is>
      </c>
      <c r="C70" s="236" t="inlineStr">
        <is>
          <t>TnC</t>
        </is>
      </c>
      <c r="D70" s="237" t="n">
        <v>5085</v>
      </c>
      <c r="E70" s="236" t="inlineStr">
        <is>
          <t>TnC</t>
        </is>
      </c>
    </row>
    <row r="71">
      <c r="A71" s="232" t="n">
        <v>46143</v>
      </c>
      <c r="B71" s="233" t="inlineStr">
        <is>
          <t>Direct</t>
        </is>
      </c>
      <c r="C71" s="233" t="inlineStr">
        <is>
          <t>Tiktok</t>
        </is>
      </c>
      <c r="D71" s="234" t="n">
        <v>5447</v>
      </c>
      <c r="E71" s="233" t="inlineStr">
        <is>
          <t>Tiktok</t>
        </is>
      </c>
    </row>
    <row r="72">
      <c r="A72" s="235" t="n">
        <v>46266</v>
      </c>
      <c r="B72" s="236" t="inlineStr">
        <is>
          <t>Paid</t>
        </is>
      </c>
      <c r="C72" s="236" t="inlineStr">
        <is>
          <t>Trust</t>
        </is>
      </c>
      <c r="D72" s="237" t="n">
        <v>9049</v>
      </c>
      <c r="E72" s="236" t="inlineStr">
        <is>
          <t>Trust</t>
        </is>
      </c>
    </row>
    <row r="73">
      <c r="A73" s="232" t="n">
        <v>46266</v>
      </c>
      <c r="B73" s="233" t="inlineStr">
        <is>
          <t>Organic</t>
        </is>
      </c>
      <c r="C73" s="233" t="inlineStr">
        <is>
          <t>Trung Tâm Tài Chính</t>
        </is>
      </c>
      <c r="D73" s="234" t="n">
        <v>5554</v>
      </c>
      <c r="E73" s="233" t="inlineStr">
        <is>
          <t>Financial Hub</t>
        </is>
      </c>
    </row>
    <row r="74">
      <c r="A74" s="235" t="n">
        <v>46266</v>
      </c>
      <c r="B74" s="236" t="inlineStr">
        <is>
          <t>Referral</t>
        </is>
      </c>
      <c r="C74" s="236" t="inlineStr">
        <is>
          <t>TnC</t>
        </is>
      </c>
      <c r="D74" s="237" t="n">
        <v>781</v>
      </c>
      <c r="E74" s="236" t="inlineStr">
        <is>
          <t>TnC</t>
        </is>
      </c>
    </row>
    <row r="75">
      <c r="A75" s="232" t="n">
        <v>46266</v>
      </c>
      <c r="B75" s="233" t="inlineStr">
        <is>
          <t>Organic</t>
        </is>
      </c>
      <c r="C75" s="233" t="inlineStr">
        <is>
          <t>Phạt Nguội</t>
        </is>
      </c>
      <c r="D75" s="234" t="n">
        <v>16113</v>
      </c>
      <c r="E75" s="233" t="inlineStr">
        <is>
          <t>Phạt Nguội</t>
        </is>
      </c>
    </row>
    <row r="76">
      <c r="A76" s="235" t="n">
        <v>46266</v>
      </c>
      <c r="B76" s="236" t="inlineStr">
        <is>
          <t>Organic</t>
        </is>
      </c>
      <c r="C76" s="236" t="inlineStr">
        <is>
          <t>Tiết Kiệm Online</t>
        </is>
      </c>
      <c r="D76" s="237" t="n">
        <v>412</v>
      </c>
      <c r="E76" s="236" t="inlineStr">
        <is>
          <t>Financial Hub</t>
        </is>
      </c>
    </row>
    <row r="77">
      <c r="A77" s="232" t="n">
        <v>46266</v>
      </c>
      <c r="B77" s="233" t="inlineStr">
        <is>
          <t>Organic</t>
        </is>
      </c>
      <c r="C77" s="233" t="inlineStr">
        <is>
          <t>Vé Xe</t>
        </is>
      </c>
      <c r="D77" s="234" t="n">
        <v>66408</v>
      </c>
      <c r="E77" s="233" t="inlineStr">
        <is>
          <t>Vé Xe</t>
        </is>
      </c>
    </row>
    <row r="78">
      <c r="A78" s="235" t="n">
        <v>46266</v>
      </c>
      <c r="B78" s="236" t="inlineStr">
        <is>
          <t>Direct</t>
        </is>
      </c>
      <c r="C78" s="236" t="inlineStr">
        <is>
          <t>Trust</t>
        </is>
      </c>
      <c r="D78" s="237" t="n">
        <v>10305</v>
      </c>
      <c r="E78" s="236" t="inlineStr">
        <is>
          <t>Trust</t>
        </is>
      </c>
    </row>
    <row r="79">
      <c r="A79" s="232" t="n">
        <v>46266</v>
      </c>
      <c r="B79" s="233" t="inlineStr">
        <is>
          <t>Organic</t>
        </is>
      </c>
      <c r="C79" s="233" t="inlineStr">
        <is>
          <t>Vé số</t>
        </is>
      </c>
      <c r="D79" s="234" t="n">
        <v>3676</v>
      </c>
      <c r="E79" s="233" t="inlineStr">
        <is>
          <t>Vé số</t>
        </is>
      </c>
    </row>
    <row r="80">
      <c r="A80" s="235" t="n">
        <v>46266</v>
      </c>
      <c r="B80" s="236" t="inlineStr">
        <is>
          <t>Paid</t>
        </is>
      </c>
      <c r="C80" s="236" t="inlineStr">
        <is>
          <t>OTA</t>
        </is>
      </c>
      <c r="D80" s="237" t="n">
        <v>2137</v>
      </c>
      <c r="E80" s="236" t="inlineStr">
        <is>
          <t>OTA</t>
        </is>
      </c>
    </row>
    <row r="81">
      <c r="A81" s="232" t="n">
        <v>46266</v>
      </c>
      <c r="B81" s="233" t="inlineStr">
        <is>
          <t>Paid</t>
        </is>
      </c>
      <c r="C81" s="233" t="inlineStr">
        <is>
          <t>Phạt Nguội</t>
        </is>
      </c>
      <c r="D81" s="234" t="n">
        <v>9795</v>
      </c>
      <c r="E81" s="233" t="inlineStr">
        <is>
          <t>Phạt Nguội</t>
        </is>
      </c>
    </row>
    <row r="82">
      <c r="A82" s="235" t="n">
        <v>46266</v>
      </c>
      <c r="B82" s="236" t="inlineStr">
        <is>
          <t>Organic</t>
        </is>
      </c>
      <c r="C82" s="236" t="inlineStr">
        <is>
          <t>Quản Lý Chi Tiêu</t>
        </is>
      </c>
      <c r="D82" s="237" t="n">
        <v>706</v>
      </c>
      <c r="E82" s="236" t="inlineStr">
        <is>
          <t>Financial Hub</t>
        </is>
      </c>
    </row>
    <row r="83">
      <c r="A83" s="232" t="n">
        <v>46266</v>
      </c>
      <c r="B83" s="233" t="inlineStr">
        <is>
          <t>Referral</t>
        </is>
      </c>
      <c r="C83" s="233" t="inlineStr">
        <is>
          <t>Vé Xe</t>
        </is>
      </c>
      <c r="D83" s="234" t="n">
        <v>2684</v>
      </c>
      <c r="E83" s="233" t="inlineStr">
        <is>
          <t>Vé Xe</t>
        </is>
      </c>
    </row>
    <row r="84">
      <c r="A84" s="235" t="n">
        <v>46266</v>
      </c>
      <c r="B84" s="236" t="inlineStr">
        <is>
          <t>Referral</t>
        </is>
      </c>
      <c r="C84" s="236" t="inlineStr">
        <is>
          <t>OTA</t>
        </is>
      </c>
      <c r="D84" s="237" t="n">
        <v>1200</v>
      </c>
      <c r="E84" s="236" t="inlineStr">
        <is>
          <t>OTA</t>
        </is>
      </c>
    </row>
    <row r="85">
      <c r="A85" s="232" t="n">
        <v>46266</v>
      </c>
      <c r="B85" s="233" t="inlineStr">
        <is>
          <t>Others</t>
        </is>
      </c>
      <c r="C85" s="233" t="inlineStr">
        <is>
          <t>Vay Nhanh</t>
        </is>
      </c>
      <c r="D85" s="234" t="n">
        <v>1829</v>
      </c>
      <c r="E85" s="233" t="inlineStr">
        <is>
          <t>Financial Hub</t>
        </is>
      </c>
    </row>
    <row r="86">
      <c r="A86" s="235" t="n">
        <v>46266</v>
      </c>
      <c r="B86" s="236" t="inlineStr">
        <is>
          <t>Direct</t>
        </is>
      </c>
      <c r="C86" s="236" t="inlineStr">
        <is>
          <t>Tiktok</t>
        </is>
      </c>
      <c r="D86" s="237" t="n">
        <v>5710</v>
      </c>
      <c r="E86" s="236" t="inlineStr">
        <is>
          <t>Tiktok</t>
        </is>
      </c>
    </row>
    <row r="87">
      <c r="A87" s="232" t="n">
        <v>46204</v>
      </c>
      <c r="B87" s="233" t="inlineStr">
        <is>
          <t>Paid</t>
        </is>
      </c>
      <c r="C87" s="233" t="inlineStr">
        <is>
          <t>Bảo Hiểm Y Tế</t>
        </is>
      </c>
      <c r="D87" s="234" t="n">
        <v>23298</v>
      </c>
      <c r="E87" s="233" t="inlineStr">
        <is>
          <t>Bảo Hiểm Y Tế</t>
        </is>
      </c>
    </row>
    <row r="88">
      <c r="A88" s="235" t="n">
        <v>46204</v>
      </c>
      <c r="B88" s="236" t="inlineStr">
        <is>
          <t>Organic</t>
        </is>
      </c>
      <c r="C88" s="236" t="inlineStr">
        <is>
          <t>Blog</t>
        </is>
      </c>
      <c r="D88" s="237" t="n">
        <v>12271</v>
      </c>
      <c r="E88" s="236" t="inlineStr">
        <is>
          <t>Blog</t>
        </is>
      </c>
    </row>
    <row r="89">
      <c r="A89" s="232" t="n">
        <v>46204</v>
      </c>
      <c r="B89" s="233" t="inlineStr">
        <is>
          <t>Referral</t>
        </is>
      </c>
      <c r="C89" s="233" t="inlineStr">
        <is>
          <t>Blog</t>
        </is>
      </c>
      <c r="D89" s="234" t="n">
        <v>302</v>
      </c>
      <c r="E89" s="233" t="inlineStr">
        <is>
          <t>Blog</t>
        </is>
      </c>
    </row>
    <row r="90">
      <c r="A90" s="235" t="n">
        <v>46204</v>
      </c>
      <c r="B90" s="236" t="inlineStr">
        <is>
          <t>Direct</t>
        </is>
      </c>
      <c r="C90" s="236" t="inlineStr">
        <is>
          <t>Cinema_Cineplex Page</t>
        </is>
      </c>
      <c r="D90" s="237" t="n">
        <v>15061</v>
      </c>
      <c r="E90" s="236" t="inlineStr">
        <is>
          <t>Cinema Hub</t>
        </is>
      </c>
    </row>
    <row r="91">
      <c r="A91" s="232" t="n">
        <v>46204</v>
      </c>
      <c r="B91" s="233" t="inlineStr">
        <is>
          <t>Direct</t>
        </is>
      </c>
      <c r="C91" s="233" t="inlineStr">
        <is>
          <t>Billpay</t>
        </is>
      </c>
      <c r="D91" s="234" t="n">
        <v>4253</v>
      </c>
      <c r="E91" s="233" t="inlineStr">
        <is>
          <t>Billpay</t>
        </is>
      </c>
    </row>
    <row r="92">
      <c r="A92" s="235" t="n">
        <v>46204</v>
      </c>
      <c r="B92" s="236" t="inlineStr">
        <is>
          <t>Referral</t>
        </is>
      </c>
      <c r="C92" s="236" t="inlineStr">
        <is>
          <t>Cinema_Blog</t>
        </is>
      </c>
      <c r="D92" s="237" t="n">
        <v>3866</v>
      </c>
      <c r="E92" s="236" t="inlineStr">
        <is>
          <t>Cinema Hub</t>
        </is>
      </c>
    </row>
    <row r="93">
      <c r="A93" s="232" t="n">
        <v>46174</v>
      </c>
      <c r="B93" s="233" t="inlineStr">
        <is>
          <t>Direct</t>
        </is>
      </c>
      <c r="C93" s="233" t="inlineStr">
        <is>
          <t>Billpay</t>
        </is>
      </c>
      <c r="D93" s="234" t="n">
        <v>5822</v>
      </c>
      <c r="E93" s="233" t="inlineStr">
        <is>
          <t>Billpay</t>
        </is>
      </c>
    </row>
    <row r="94">
      <c r="A94" s="235" t="n">
        <v>46174</v>
      </c>
      <c r="B94" s="236" t="inlineStr">
        <is>
          <t>Organic</t>
        </is>
      </c>
      <c r="C94" s="236" t="inlineStr">
        <is>
          <t>Billpay</t>
        </is>
      </c>
      <c r="D94" s="237" t="n">
        <v>751</v>
      </c>
      <c r="E94" s="236" t="inlineStr">
        <is>
          <t>Billpay</t>
        </is>
      </c>
    </row>
    <row r="95">
      <c r="A95" s="232" t="n">
        <v>46204</v>
      </c>
      <c r="B95" s="233" t="inlineStr">
        <is>
          <t>Organic</t>
        </is>
      </c>
      <c r="C95" s="233" t="inlineStr">
        <is>
          <t>Tiktok</t>
        </is>
      </c>
      <c r="D95" s="234" t="n">
        <v>204632</v>
      </c>
      <c r="E95" s="233" t="inlineStr">
        <is>
          <t>Tiktok</t>
        </is>
      </c>
    </row>
    <row r="96">
      <c r="A96" s="235" t="n">
        <v>46204</v>
      </c>
      <c r="B96" s="236" t="inlineStr">
        <is>
          <t>Direct</t>
        </is>
      </c>
      <c r="C96" s="236" t="inlineStr">
        <is>
          <t>Trust</t>
        </is>
      </c>
      <c r="D96" s="237" t="n">
        <v>8995</v>
      </c>
      <c r="E96" s="236" t="inlineStr">
        <is>
          <t>Trust</t>
        </is>
      </c>
    </row>
    <row r="97">
      <c r="A97" s="232" t="n">
        <v>46204</v>
      </c>
      <c r="B97" s="233" t="inlineStr">
        <is>
          <t>Paid</t>
        </is>
      </c>
      <c r="C97" s="233" t="inlineStr">
        <is>
          <t>Tiktok</t>
        </is>
      </c>
      <c r="D97" s="234" t="n">
        <v>15351</v>
      </c>
      <c r="E97" s="233" t="inlineStr">
        <is>
          <t>Tiktok</t>
        </is>
      </c>
    </row>
    <row r="98">
      <c r="A98" s="235" t="n">
        <v>46204</v>
      </c>
      <c r="B98" s="236" t="inlineStr">
        <is>
          <t>Direct</t>
        </is>
      </c>
      <c r="C98" s="236" t="inlineStr">
        <is>
          <t>Tiktok</t>
        </is>
      </c>
      <c r="D98" s="237" t="n">
        <v>8078</v>
      </c>
      <c r="E98" s="236" t="inlineStr">
        <is>
          <t>Tiktok</t>
        </is>
      </c>
    </row>
    <row r="99">
      <c r="A99" s="232" t="n">
        <v>46204</v>
      </c>
      <c r="B99" s="233" t="inlineStr">
        <is>
          <t>Organic</t>
        </is>
      </c>
      <c r="C99" s="233" t="inlineStr">
        <is>
          <t>Soundbox</t>
        </is>
      </c>
      <c r="D99" s="234" t="n">
        <v>6827</v>
      </c>
      <c r="E99" s="233" t="inlineStr">
        <is>
          <t>Soundbox</t>
        </is>
      </c>
    </row>
    <row r="100">
      <c r="A100" s="235" t="n">
        <v>46204</v>
      </c>
      <c r="B100" s="236" t="inlineStr">
        <is>
          <t>Direct</t>
        </is>
      </c>
      <c r="C100" s="236" t="inlineStr">
        <is>
          <t>Sim</t>
        </is>
      </c>
      <c r="D100" s="237" t="n">
        <v>933</v>
      </c>
      <c r="E100" s="236" t="inlineStr">
        <is>
          <t>Sim</t>
        </is>
      </c>
    </row>
    <row r="101">
      <c r="A101" s="232" t="n">
        <v>46204</v>
      </c>
      <c r="B101" s="233" t="inlineStr">
        <is>
          <t>Organic</t>
        </is>
      </c>
      <c r="C101" s="233" t="inlineStr">
        <is>
          <t>P2P</t>
        </is>
      </c>
      <c r="D101" s="234" t="n">
        <v>5796</v>
      </c>
      <c r="E101" s="233" t="inlineStr">
        <is>
          <t>P2P</t>
        </is>
      </c>
    </row>
    <row r="102">
      <c r="A102" s="235" t="n">
        <v>46204</v>
      </c>
      <c r="B102" s="236" t="inlineStr">
        <is>
          <t>Organic</t>
        </is>
      </c>
      <c r="C102" s="236" t="inlineStr">
        <is>
          <t>Trung Tâm Tài Chính</t>
        </is>
      </c>
      <c r="D102" s="237" t="n">
        <v>6077</v>
      </c>
      <c r="E102" s="236" t="inlineStr">
        <is>
          <t>Financial Hub</t>
        </is>
      </c>
    </row>
    <row r="103">
      <c r="A103" s="232" t="n">
        <v>46204</v>
      </c>
      <c r="B103" s="233" t="inlineStr">
        <is>
          <t>Referral</t>
        </is>
      </c>
      <c r="C103" s="233" t="inlineStr">
        <is>
          <t>Phạt Nguội</t>
        </is>
      </c>
      <c r="D103" s="234" t="n">
        <v>450</v>
      </c>
      <c r="E103" s="233" t="inlineStr">
        <is>
          <t>Phạt Nguội</t>
        </is>
      </c>
    </row>
    <row r="104">
      <c r="A104" s="235" t="n">
        <v>46266</v>
      </c>
      <c r="B104" s="236" t="inlineStr">
        <is>
          <t>Organic</t>
        </is>
      </c>
      <c r="C104" s="236" t="inlineStr">
        <is>
          <t>Data</t>
        </is>
      </c>
      <c r="D104" s="237" t="n">
        <v>7193</v>
      </c>
      <c r="E104" s="236" t="inlineStr">
        <is>
          <t>Data</t>
        </is>
      </c>
    </row>
    <row r="105">
      <c r="A105" s="232" t="n">
        <v>46266</v>
      </c>
      <c r="B105" s="233" t="inlineStr">
        <is>
          <t>Referral</t>
        </is>
      </c>
      <c r="C105" s="233" t="inlineStr">
        <is>
          <t>Home MoMo</t>
        </is>
      </c>
      <c r="D105" s="234" t="n">
        <v>25221</v>
      </c>
      <c r="E105" s="233" t="inlineStr">
        <is>
          <t>Home MoMo</t>
        </is>
      </c>
    </row>
    <row r="106">
      <c r="A106" s="235" t="n">
        <v>46266</v>
      </c>
      <c r="B106" s="236" t="inlineStr">
        <is>
          <t>Paid</t>
        </is>
      </c>
      <c r="C106" s="236" t="inlineStr">
        <is>
          <t>Application Store</t>
        </is>
      </c>
      <c r="D106" s="237" t="n">
        <v>17934</v>
      </c>
      <c r="E106" s="236" t="inlineStr">
        <is>
          <t>Application Store</t>
        </is>
      </c>
    </row>
    <row r="107">
      <c r="A107" s="232" t="n">
        <v>46266</v>
      </c>
      <c r="B107" s="233" t="inlineStr">
        <is>
          <t>Direct</t>
        </is>
      </c>
      <c r="C107" s="233" t="inlineStr">
        <is>
          <t>Hỏi đáp</t>
        </is>
      </c>
      <c r="D107" s="234" t="n">
        <v>6264</v>
      </c>
      <c r="E107" s="233" t="inlineStr">
        <is>
          <t>Hỏi đáp</t>
        </is>
      </c>
    </row>
    <row r="108">
      <c r="A108" s="235" t="n">
        <v>46266</v>
      </c>
      <c r="B108" s="236" t="inlineStr">
        <is>
          <t>Organic</t>
        </is>
      </c>
      <c r="C108" s="236" t="inlineStr">
        <is>
          <t>Hỏi đáp</t>
        </is>
      </c>
      <c r="D108" s="237" t="n">
        <v>84371</v>
      </c>
      <c r="E108" s="236" t="inlineStr">
        <is>
          <t>Hỏi đáp</t>
        </is>
      </c>
    </row>
    <row r="109">
      <c r="A109" s="232" t="n">
        <v>46266</v>
      </c>
      <c r="B109" s="233" t="inlineStr">
        <is>
          <t>Organic</t>
        </is>
      </c>
      <c r="C109" s="233" t="inlineStr">
        <is>
          <t>Merchant</t>
        </is>
      </c>
      <c r="D109" s="234" t="n">
        <v>54668</v>
      </c>
      <c r="E109" s="233" t="inlineStr">
        <is>
          <t>Merchant</t>
        </is>
      </c>
    </row>
    <row r="110">
      <c r="A110" s="235" t="n">
        <v>46266</v>
      </c>
      <c r="B110" s="236" t="inlineStr">
        <is>
          <t>Organic</t>
        </is>
      </c>
      <c r="C110" s="236" t="inlineStr">
        <is>
          <t>Home MoMo</t>
        </is>
      </c>
      <c r="D110" s="237" t="n">
        <v>84981</v>
      </c>
      <c r="E110" s="236" t="inlineStr">
        <is>
          <t>Home MoMo</t>
        </is>
      </c>
    </row>
    <row r="111">
      <c r="A111" s="232" t="n">
        <v>46266</v>
      </c>
      <c r="B111" s="233" t="inlineStr">
        <is>
          <t>Organic</t>
        </is>
      </c>
      <c r="C111" s="233" t="inlineStr">
        <is>
          <t>Cinema_Home Page</t>
        </is>
      </c>
      <c r="D111" s="234" t="n">
        <v>23622</v>
      </c>
      <c r="E111" s="233" t="inlineStr">
        <is>
          <t>Cinema Hub</t>
        </is>
      </c>
    </row>
    <row r="112">
      <c r="A112" s="235" t="n">
        <v>46266</v>
      </c>
      <c r="B112" s="236" t="inlineStr">
        <is>
          <t>Paid</t>
        </is>
      </c>
      <c r="C112" s="236" t="inlineStr">
        <is>
          <t>Cinema_Page</t>
        </is>
      </c>
      <c r="D112" s="237" t="n">
        <v>332738</v>
      </c>
      <c r="E112" s="236" t="inlineStr">
        <is>
          <t>Cinema Hub</t>
        </is>
      </c>
    </row>
    <row r="113">
      <c r="A113" s="232" t="n">
        <v>46266</v>
      </c>
      <c r="B113" s="233" t="inlineStr">
        <is>
          <t>Direct</t>
        </is>
      </c>
      <c r="C113" s="233" t="inlineStr">
        <is>
          <t>Cinema_Page</t>
        </is>
      </c>
      <c r="D113" s="234" t="n">
        <v>25947</v>
      </c>
      <c r="E113" s="233" t="inlineStr">
        <is>
          <t>Cinema Hub</t>
        </is>
      </c>
    </row>
    <row r="114">
      <c r="A114" s="235" t="n">
        <v>46266</v>
      </c>
      <c r="B114" s="236" t="inlineStr">
        <is>
          <t>Paid</t>
        </is>
      </c>
      <c r="C114" s="236" t="inlineStr">
        <is>
          <t>Guide</t>
        </is>
      </c>
      <c r="D114" s="237" t="n">
        <v>959</v>
      </c>
      <c r="E114" s="236" t="inlineStr">
        <is>
          <t>Guide</t>
        </is>
      </c>
    </row>
    <row r="115">
      <c r="A115" s="232" t="n">
        <v>46266</v>
      </c>
      <c r="B115" s="233" t="inlineStr">
        <is>
          <t>Paid</t>
        </is>
      </c>
      <c r="C115" s="233" t="inlineStr">
        <is>
          <t>Mở tài khoản ngân hàng</t>
        </is>
      </c>
      <c r="D115" s="234" t="n">
        <v>480</v>
      </c>
      <c r="E115" s="233" t="inlineStr">
        <is>
          <t>Mở tài khoản ngân hàng</t>
        </is>
      </c>
    </row>
    <row r="116">
      <c r="A116" s="235" t="n">
        <v>46266</v>
      </c>
      <c r="B116" s="236" t="inlineStr">
        <is>
          <t>Referral</t>
        </is>
      </c>
      <c r="C116" s="236" t="inlineStr">
        <is>
          <t>Khuyến mãi</t>
        </is>
      </c>
      <c r="D116" s="237" t="n">
        <v>5300</v>
      </c>
      <c r="E116" s="236" t="inlineStr">
        <is>
          <t>Khuyến mãi</t>
        </is>
      </c>
    </row>
    <row r="117">
      <c r="A117" s="232" t="n">
        <v>46266</v>
      </c>
      <c r="B117" s="233" t="inlineStr">
        <is>
          <t>Organic</t>
        </is>
      </c>
      <c r="C117" s="233" t="inlineStr">
        <is>
          <t>Campaign</t>
        </is>
      </c>
      <c r="D117" s="234" t="n">
        <v>2215</v>
      </c>
      <c r="E117" s="233" t="inlineStr">
        <is>
          <t>Campaign</t>
        </is>
      </c>
    </row>
    <row r="118">
      <c r="A118" s="235" t="n">
        <v>46266</v>
      </c>
      <c r="B118" s="236" t="inlineStr">
        <is>
          <t>Others</t>
        </is>
      </c>
      <c r="C118" s="236" t="inlineStr">
        <is>
          <t>Home MoMo</t>
        </is>
      </c>
      <c r="D118" s="237" t="n">
        <v>6078</v>
      </c>
      <c r="E118" s="236" t="inlineStr">
        <is>
          <t>Home MoMo</t>
        </is>
      </c>
    </row>
    <row r="119">
      <c r="A119" s="232" t="n">
        <v>46266</v>
      </c>
      <c r="B119" s="233" t="inlineStr">
        <is>
          <t>Direct</t>
        </is>
      </c>
      <c r="C119" s="233" t="inlineStr">
        <is>
          <t>Merchant</t>
        </is>
      </c>
      <c r="D119" s="234" t="n">
        <v>11957</v>
      </c>
      <c r="E119" s="233" t="inlineStr">
        <is>
          <t>Merchant</t>
        </is>
      </c>
    </row>
    <row r="120">
      <c r="A120" s="235" t="n">
        <v>46266</v>
      </c>
      <c r="B120" s="236" t="inlineStr">
        <is>
          <t>Referral</t>
        </is>
      </c>
      <c r="C120" s="236" t="inlineStr">
        <is>
          <t>Cinema_Home Page</t>
        </is>
      </c>
      <c r="D120" s="237" t="n">
        <v>908</v>
      </c>
      <c r="E120" s="236" t="inlineStr">
        <is>
          <t>Cinema Hub</t>
        </is>
      </c>
    </row>
    <row r="121">
      <c r="A121" s="232" t="n">
        <v>46266</v>
      </c>
      <c r="B121" s="233" t="inlineStr">
        <is>
          <t>Direct</t>
        </is>
      </c>
      <c r="C121" s="233" t="inlineStr">
        <is>
          <t>Dịch vụ liên kết</t>
        </is>
      </c>
      <c r="D121" s="234" t="n">
        <v>346</v>
      </c>
      <c r="E121" s="233" t="inlineStr">
        <is>
          <t>Dịch vụ liên kết</t>
        </is>
      </c>
    </row>
    <row r="122">
      <c r="A122" s="235" t="n">
        <v>46266</v>
      </c>
      <c r="B122" s="236" t="inlineStr">
        <is>
          <t>Organic</t>
        </is>
      </c>
      <c r="C122" s="236" t="inlineStr">
        <is>
          <t>Blog</t>
        </is>
      </c>
      <c r="D122" s="237" t="n">
        <v>10447</v>
      </c>
      <c r="E122" s="236" t="inlineStr">
        <is>
          <t>Blog</t>
        </is>
      </c>
    </row>
    <row r="123">
      <c r="A123" s="232" t="n">
        <v>46266</v>
      </c>
      <c r="B123" s="233" t="inlineStr">
        <is>
          <t>Referral</t>
        </is>
      </c>
      <c r="C123" s="233" t="inlineStr">
        <is>
          <t>Hỏi đáp</t>
        </is>
      </c>
      <c r="D123" s="234" t="n">
        <v>4219</v>
      </c>
      <c r="E123" s="233" t="inlineStr">
        <is>
          <t>Hỏi đáp</t>
        </is>
      </c>
    </row>
    <row r="124">
      <c r="A124" s="235" t="n">
        <v>46266</v>
      </c>
      <c r="B124" s="236" t="inlineStr">
        <is>
          <t>Direct</t>
        </is>
      </c>
      <c r="C124" s="236" t="inlineStr">
        <is>
          <t>Esim</t>
        </is>
      </c>
      <c r="D124" s="237" t="n">
        <v>1904</v>
      </c>
      <c r="E124" s="236" t="inlineStr">
        <is>
          <t>Sim</t>
        </is>
      </c>
    </row>
    <row r="125">
      <c r="A125" s="232" t="n">
        <v>46143</v>
      </c>
      <c r="B125" s="233" t="inlineStr">
        <is>
          <t>Others</t>
        </is>
      </c>
      <c r="C125" s="233" t="inlineStr">
        <is>
          <t>Cinema_Blog</t>
        </is>
      </c>
      <c r="D125" s="234" t="n">
        <v>389</v>
      </c>
      <c r="E125" s="233" t="inlineStr">
        <is>
          <t>Cinema Hub</t>
        </is>
      </c>
    </row>
    <row r="126">
      <c r="A126" s="235" t="n">
        <v>46143</v>
      </c>
      <c r="B126" s="236" t="inlineStr">
        <is>
          <t>Direct</t>
        </is>
      </c>
      <c r="C126" s="236" t="inlineStr">
        <is>
          <t>Others</t>
        </is>
      </c>
      <c r="D126" s="237" t="n">
        <v>145116</v>
      </c>
      <c r="E126" s="236" t="inlineStr">
        <is>
          <t>Others</t>
        </is>
      </c>
    </row>
    <row r="127">
      <c r="A127" s="232" t="n">
        <v>46143</v>
      </c>
      <c r="B127" s="233" t="inlineStr">
        <is>
          <t>Referral</t>
        </is>
      </c>
      <c r="C127" s="233" t="inlineStr">
        <is>
          <t>New User</t>
        </is>
      </c>
      <c r="D127" s="234" t="n">
        <v>90539</v>
      </c>
      <c r="E127" s="233" t="inlineStr">
        <is>
          <t>New User</t>
        </is>
      </c>
    </row>
    <row r="128">
      <c r="A128" s="235" t="n">
        <v>46143</v>
      </c>
      <c r="B128" s="236" t="inlineStr">
        <is>
          <t>Referral</t>
        </is>
      </c>
      <c r="C128" s="236" t="inlineStr">
        <is>
          <t>Others</t>
        </is>
      </c>
      <c r="D128" s="237" t="n">
        <v>20774</v>
      </c>
      <c r="E128" s="236" t="inlineStr">
        <is>
          <t>Others</t>
        </is>
      </c>
    </row>
    <row r="129">
      <c r="A129" s="232" t="n">
        <v>46143</v>
      </c>
      <c r="B129" s="233" t="inlineStr">
        <is>
          <t>Others</t>
        </is>
      </c>
      <c r="C129" s="233" t="inlineStr">
        <is>
          <t>New User</t>
        </is>
      </c>
      <c r="D129" s="234" t="n">
        <v>4086</v>
      </c>
      <c r="E129" s="233" t="inlineStr">
        <is>
          <t>New User</t>
        </is>
      </c>
    </row>
    <row r="130">
      <c r="A130" s="235" t="n">
        <v>46143</v>
      </c>
      <c r="B130" s="236" t="inlineStr">
        <is>
          <t>Organic</t>
        </is>
      </c>
      <c r="C130" s="236" t="inlineStr">
        <is>
          <t>Quản Lý Chi Tiêu</t>
        </is>
      </c>
      <c r="D130" s="237" t="n">
        <v>864</v>
      </c>
      <c r="E130" s="236" t="inlineStr">
        <is>
          <t>Financial Hub</t>
        </is>
      </c>
    </row>
    <row r="131">
      <c r="A131" s="232" t="n">
        <v>46266</v>
      </c>
      <c r="B131" s="233" t="inlineStr">
        <is>
          <t>Direct</t>
        </is>
      </c>
      <c r="C131" s="233" t="inlineStr">
        <is>
          <t>Hoàn Tiền Mua Sắm</t>
        </is>
      </c>
      <c r="D131" s="234" t="n">
        <v>717</v>
      </c>
      <c r="E131" s="233" t="inlineStr">
        <is>
          <t>Hoàn Tiền Mua Sắm</t>
        </is>
      </c>
    </row>
    <row r="132">
      <c r="A132" s="235" t="n">
        <v>46266</v>
      </c>
      <c r="B132" s="236" t="inlineStr">
        <is>
          <t>Referral</t>
        </is>
      </c>
      <c r="C132" s="236" t="inlineStr">
        <is>
          <t>Data</t>
        </is>
      </c>
      <c r="D132" s="237" t="n">
        <v>584</v>
      </c>
      <c r="E132" s="236" t="inlineStr">
        <is>
          <t>Data</t>
        </is>
      </c>
    </row>
    <row r="133">
      <c r="A133" s="232" t="n">
        <v>46266</v>
      </c>
      <c r="B133" s="233" t="inlineStr">
        <is>
          <t>Referral</t>
        </is>
      </c>
      <c r="C133" s="233" t="inlineStr">
        <is>
          <t>Guide</t>
        </is>
      </c>
      <c r="D133" s="234" t="n">
        <v>1364</v>
      </c>
      <c r="E133" s="233" t="inlineStr">
        <is>
          <t>Guide</t>
        </is>
      </c>
    </row>
    <row r="134">
      <c r="A134" s="235" t="n">
        <v>46235</v>
      </c>
      <c r="B134" s="236" t="inlineStr">
        <is>
          <t>Organic</t>
        </is>
      </c>
      <c r="C134" s="236" t="inlineStr">
        <is>
          <t>Cinema_Home Page</t>
        </is>
      </c>
      <c r="D134" s="237" t="n">
        <v>27509</v>
      </c>
      <c r="E134" s="236" t="inlineStr">
        <is>
          <t>Cinema Hub</t>
        </is>
      </c>
    </row>
    <row r="135">
      <c r="A135" s="232" t="n">
        <v>46235</v>
      </c>
      <c r="B135" s="233" t="inlineStr">
        <is>
          <t>Organic</t>
        </is>
      </c>
      <c r="C135" s="233" t="inlineStr">
        <is>
          <t>Cinema_Blog</t>
        </is>
      </c>
      <c r="D135" s="234" t="n">
        <v>44104</v>
      </c>
      <c r="E135" s="233" t="inlineStr">
        <is>
          <t>Cinema Hub</t>
        </is>
      </c>
    </row>
    <row r="136">
      <c r="A136" s="235" t="n">
        <v>46235</v>
      </c>
      <c r="B136" s="236" t="inlineStr">
        <is>
          <t>Organic</t>
        </is>
      </c>
      <c r="C136" s="236" t="inlineStr">
        <is>
          <t>Cinema_Cineplex Page</t>
        </is>
      </c>
      <c r="D136" s="237" t="n">
        <v>384126</v>
      </c>
      <c r="E136" s="236" t="inlineStr">
        <is>
          <t>Cinema Hub</t>
        </is>
      </c>
    </row>
    <row r="137">
      <c r="A137" s="232" t="n">
        <v>46235</v>
      </c>
      <c r="B137" s="233" t="inlineStr">
        <is>
          <t>Organic</t>
        </is>
      </c>
      <c r="C137" s="233" t="inlineStr">
        <is>
          <t>Game</t>
        </is>
      </c>
      <c r="D137" s="234" t="n">
        <v>50740</v>
      </c>
      <c r="E137" s="233" t="inlineStr">
        <is>
          <t>Game</t>
        </is>
      </c>
    </row>
    <row r="138">
      <c r="A138" s="235" t="n">
        <v>46235</v>
      </c>
      <c r="B138" s="236" t="inlineStr">
        <is>
          <t>Direct</t>
        </is>
      </c>
      <c r="C138" s="236" t="inlineStr">
        <is>
          <t>Campaign</t>
        </is>
      </c>
      <c r="D138" s="237" t="n">
        <v>1592</v>
      </c>
      <c r="E138" s="236" t="inlineStr">
        <is>
          <t>Campaign</t>
        </is>
      </c>
    </row>
    <row r="139">
      <c r="A139" s="232" t="n">
        <v>46235</v>
      </c>
      <c r="B139" s="233" t="inlineStr">
        <is>
          <t>Paid</t>
        </is>
      </c>
      <c r="C139" s="233" t="inlineStr">
        <is>
          <t>Cinema_Page</t>
        </is>
      </c>
      <c r="D139" s="234" t="n">
        <v>19946</v>
      </c>
      <c r="E139" s="233" t="inlineStr">
        <is>
          <t>Cinema Hub</t>
        </is>
      </c>
    </row>
    <row r="140">
      <c r="A140" s="235" t="n">
        <v>46235</v>
      </c>
      <c r="B140" s="236" t="inlineStr">
        <is>
          <t>Paid</t>
        </is>
      </c>
      <c r="C140" s="236" t="inlineStr">
        <is>
          <t>Game</t>
        </is>
      </c>
      <c r="D140" s="237" t="n">
        <v>214646</v>
      </c>
      <c r="E140" s="236" t="inlineStr">
        <is>
          <t>Game</t>
        </is>
      </c>
    </row>
    <row r="141">
      <c r="A141" s="232" t="n">
        <v>46235</v>
      </c>
      <c r="B141" s="233" t="inlineStr">
        <is>
          <t>Referral</t>
        </is>
      </c>
      <c r="C141" s="233" t="inlineStr">
        <is>
          <t>Cinema_Blog</t>
        </is>
      </c>
      <c r="D141" s="234" t="n">
        <v>3356</v>
      </c>
      <c r="E141" s="233" t="inlineStr">
        <is>
          <t>Cinema Hub</t>
        </is>
      </c>
    </row>
    <row r="142">
      <c r="A142" s="235" t="n">
        <v>46235</v>
      </c>
      <c r="B142" s="236" t="inlineStr">
        <is>
          <t>Organic</t>
        </is>
      </c>
      <c r="C142" s="236" t="inlineStr">
        <is>
          <t>Esim</t>
        </is>
      </c>
      <c r="D142" s="237" t="n">
        <v>2270</v>
      </c>
      <c r="E142" s="236" t="inlineStr">
        <is>
          <t>Sim</t>
        </is>
      </c>
    </row>
    <row r="143">
      <c r="A143" s="232" t="n">
        <v>46235</v>
      </c>
      <c r="B143" s="233" t="inlineStr">
        <is>
          <t>Direct</t>
        </is>
      </c>
      <c r="C143" s="233" t="inlineStr">
        <is>
          <t>Esim</t>
        </is>
      </c>
      <c r="D143" s="234" t="n">
        <v>2371</v>
      </c>
      <c r="E143" s="233" t="inlineStr">
        <is>
          <t>Sim</t>
        </is>
      </c>
    </row>
    <row r="144">
      <c r="A144" s="235" t="n">
        <v>46296</v>
      </c>
      <c r="B144" s="236" t="inlineStr">
        <is>
          <t>Referral</t>
        </is>
      </c>
      <c r="C144" s="236" t="inlineStr">
        <is>
          <t>Bảo Hiểm</t>
        </is>
      </c>
      <c r="D144" s="237" t="n">
        <v>38</v>
      </c>
      <c r="E144" s="236" t="inlineStr">
        <is>
          <t>Bảo Hiểm</t>
        </is>
      </c>
    </row>
    <row r="145">
      <c r="A145" s="232" t="n">
        <v>46266</v>
      </c>
      <c r="B145" s="233" t="inlineStr">
        <is>
          <t>Direct</t>
        </is>
      </c>
      <c r="C145" s="233" t="inlineStr">
        <is>
          <t>Student Hub</t>
        </is>
      </c>
      <c r="D145" s="234" t="n">
        <v>61</v>
      </c>
      <c r="E145" s="233" t="inlineStr">
        <is>
          <t>Student Hub</t>
        </is>
      </c>
    </row>
    <row r="146">
      <c r="A146" s="235" t="n">
        <v>46174</v>
      </c>
      <c r="B146" s="236" t="inlineStr">
        <is>
          <t>Paid</t>
        </is>
      </c>
      <c r="C146" s="236" t="inlineStr">
        <is>
          <t>Phạt Nguội</t>
        </is>
      </c>
      <c r="D146" s="237" t="n">
        <v>504852</v>
      </c>
      <c r="E146" s="236" t="inlineStr">
        <is>
          <t>Phạt Nguội</t>
        </is>
      </c>
    </row>
    <row r="147">
      <c r="A147" s="232" t="n">
        <v>46174</v>
      </c>
      <c r="B147" s="233" t="inlineStr">
        <is>
          <t>Organic</t>
        </is>
      </c>
      <c r="C147" s="233" t="inlineStr">
        <is>
          <t>Vé Xe</t>
        </is>
      </c>
      <c r="D147" s="234" t="n">
        <v>61347</v>
      </c>
      <c r="E147" s="233" t="inlineStr">
        <is>
          <t>Vé Xe</t>
        </is>
      </c>
    </row>
    <row r="148">
      <c r="A148" s="235" t="n">
        <v>46174</v>
      </c>
      <c r="B148" s="236" t="inlineStr">
        <is>
          <t>Organic</t>
        </is>
      </c>
      <c r="C148" s="236" t="inlineStr">
        <is>
          <t>Trung Tâm Tài Chính</t>
        </is>
      </c>
      <c r="D148" s="237" t="n">
        <v>5273</v>
      </c>
      <c r="E148" s="236" t="inlineStr">
        <is>
          <t>Financial Hub</t>
        </is>
      </c>
    </row>
    <row r="149">
      <c r="A149" s="232" t="n">
        <v>46174</v>
      </c>
      <c r="B149" s="233" t="inlineStr">
        <is>
          <t>Organic</t>
        </is>
      </c>
      <c r="C149" s="233" t="inlineStr">
        <is>
          <t>Soundbox</t>
        </is>
      </c>
      <c r="D149" s="234" t="n">
        <v>4202</v>
      </c>
      <c r="E149" s="233" t="inlineStr">
        <is>
          <t>Soundbox</t>
        </is>
      </c>
    </row>
    <row r="150">
      <c r="A150" s="235" t="n">
        <v>46174</v>
      </c>
      <c r="B150" s="236" t="inlineStr">
        <is>
          <t>Direct</t>
        </is>
      </c>
      <c r="C150" s="236" t="inlineStr">
        <is>
          <t>Phạt Nguội</t>
        </is>
      </c>
      <c r="D150" s="237" t="n">
        <v>36982</v>
      </c>
      <c r="E150" s="236" t="inlineStr">
        <is>
          <t>Phạt Nguội</t>
        </is>
      </c>
    </row>
    <row r="151">
      <c r="A151" s="232" t="n">
        <v>46174</v>
      </c>
      <c r="B151" s="233" t="inlineStr">
        <is>
          <t>Organic</t>
        </is>
      </c>
      <c r="C151" s="233" t="inlineStr">
        <is>
          <t>Điểm Tín Dụng</t>
        </is>
      </c>
      <c r="D151" s="234" t="n">
        <v>11536</v>
      </c>
      <c r="E151" s="233" t="inlineStr">
        <is>
          <t>Financial Hub</t>
        </is>
      </c>
    </row>
    <row r="152">
      <c r="A152" s="235" t="n">
        <v>46266</v>
      </c>
      <c r="B152" s="236" t="inlineStr">
        <is>
          <t>Referral</t>
        </is>
      </c>
      <c r="C152" s="236" t="inlineStr">
        <is>
          <t>Trust</t>
        </is>
      </c>
      <c r="D152" s="237" t="n">
        <v>292</v>
      </c>
      <c r="E152" s="236" t="inlineStr">
        <is>
          <t>Trust</t>
        </is>
      </c>
    </row>
    <row r="153">
      <c r="A153" s="232" t="n">
        <v>46266</v>
      </c>
      <c r="B153" s="233" t="inlineStr">
        <is>
          <t>Others</t>
        </is>
      </c>
      <c r="C153" s="233" t="inlineStr">
        <is>
          <t>TnC</t>
        </is>
      </c>
      <c r="D153" s="234" t="n">
        <v>175</v>
      </c>
      <c r="E153" s="233" t="inlineStr">
        <is>
          <t>TnC</t>
        </is>
      </c>
    </row>
    <row r="154">
      <c r="A154" s="235" t="n">
        <v>46143</v>
      </c>
      <c r="B154" s="236" t="inlineStr">
        <is>
          <t>Referral</t>
        </is>
      </c>
      <c r="C154" s="236" t="inlineStr">
        <is>
          <t>Blog</t>
        </is>
      </c>
      <c r="D154" s="237" t="n">
        <v>346</v>
      </c>
      <c r="E154" s="236" t="inlineStr">
        <is>
          <t>Blog</t>
        </is>
      </c>
    </row>
    <row r="155">
      <c r="A155" s="232" t="n">
        <v>46174</v>
      </c>
      <c r="B155" s="233" t="inlineStr">
        <is>
          <t>Referral</t>
        </is>
      </c>
      <c r="C155" s="233" t="inlineStr">
        <is>
          <t>Others</t>
        </is>
      </c>
      <c r="D155" s="234" t="n">
        <v>23331</v>
      </c>
      <c r="E155" s="233" t="inlineStr">
        <is>
          <t>Others</t>
        </is>
      </c>
    </row>
    <row r="156">
      <c r="A156" s="235" t="n">
        <v>46174</v>
      </c>
      <c r="B156" s="236" t="inlineStr">
        <is>
          <t>Direct</t>
        </is>
      </c>
      <c r="C156" s="236" t="inlineStr">
        <is>
          <t>Vay Nhanh</t>
        </is>
      </c>
      <c r="D156" s="237" t="n">
        <v>2224</v>
      </c>
      <c r="E156" s="236" t="inlineStr">
        <is>
          <t>Financial Hub</t>
        </is>
      </c>
    </row>
    <row r="157">
      <c r="A157" s="232" t="n">
        <v>46204</v>
      </c>
      <c r="B157" s="233" t="inlineStr">
        <is>
          <t>Referral</t>
        </is>
      </c>
      <c r="C157" s="233" t="inlineStr">
        <is>
          <t>Game</t>
        </is>
      </c>
      <c r="D157" s="234" t="n">
        <v>104727</v>
      </c>
      <c r="E157" s="233" t="inlineStr">
        <is>
          <t>Game</t>
        </is>
      </c>
    </row>
    <row r="158">
      <c r="A158" s="235" t="n">
        <v>46204</v>
      </c>
      <c r="B158" s="236" t="inlineStr">
        <is>
          <t>Referral</t>
        </is>
      </c>
      <c r="C158" s="236" t="inlineStr">
        <is>
          <t>Ví Trả Sau</t>
        </is>
      </c>
      <c r="D158" s="237" t="n">
        <v>3012</v>
      </c>
      <c r="E158" s="236" t="inlineStr">
        <is>
          <t>Financial Hub</t>
        </is>
      </c>
    </row>
    <row r="159">
      <c r="A159" s="232" t="n">
        <v>46204</v>
      </c>
      <c r="B159" s="233" t="inlineStr">
        <is>
          <t>Organic</t>
        </is>
      </c>
      <c r="C159" s="233" t="inlineStr">
        <is>
          <t>Others</t>
        </is>
      </c>
      <c r="D159" s="234" t="n">
        <v>280791</v>
      </c>
      <c r="E159" s="233" t="inlineStr">
        <is>
          <t>Others</t>
        </is>
      </c>
    </row>
    <row r="160">
      <c r="A160" s="235" t="n">
        <v>46204</v>
      </c>
      <c r="B160" s="236" t="inlineStr">
        <is>
          <t>Organic</t>
        </is>
      </c>
      <c r="C160" s="236" t="inlineStr">
        <is>
          <t>Cinema_Page</t>
        </is>
      </c>
      <c r="D160" s="237" t="n">
        <v>256968</v>
      </c>
      <c r="E160" s="236" t="inlineStr">
        <is>
          <t>Cinema Hub</t>
        </is>
      </c>
    </row>
    <row r="161">
      <c r="A161" s="232" t="n">
        <v>46204</v>
      </c>
      <c r="B161" s="233" t="inlineStr">
        <is>
          <t>Organic</t>
        </is>
      </c>
      <c r="C161" s="233" t="inlineStr">
        <is>
          <t>Game</t>
        </is>
      </c>
      <c r="D161" s="234" t="n">
        <v>69008</v>
      </c>
      <c r="E161" s="233" t="inlineStr">
        <is>
          <t>Game</t>
        </is>
      </c>
    </row>
    <row r="162">
      <c r="A162" s="235" t="n">
        <v>46204</v>
      </c>
      <c r="B162" s="236" t="inlineStr">
        <is>
          <t>Referral</t>
        </is>
      </c>
      <c r="C162" s="236" t="inlineStr">
        <is>
          <t>Home MoMo</t>
        </is>
      </c>
      <c r="D162" s="237" t="n">
        <v>27443</v>
      </c>
      <c r="E162" s="236" t="inlineStr">
        <is>
          <t>Home MoMo</t>
        </is>
      </c>
    </row>
    <row r="163">
      <c r="A163" s="232" t="n">
        <v>46204</v>
      </c>
      <c r="B163" s="233" t="inlineStr">
        <is>
          <t>Direct</t>
        </is>
      </c>
      <c r="C163" s="233" t="inlineStr">
        <is>
          <t>Cinema_Home Page</t>
        </is>
      </c>
      <c r="D163" s="234" t="n">
        <v>4467</v>
      </c>
      <c r="E163" s="233" t="inlineStr">
        <is>
          <t>Cinema Hub</t>
        </is>
      </c>
    </row>
    <row r="164">
      <c r="A164" s="235" t="n">
        <v>46204</v>
      </c>
      <c r="B164" s="236" t="inlineStr">
        <is>
          <t>Organic</t>
        </is>
      </c>
      <c r="C164" s="236" t="inlineStr">
        <is>
          <t>Hoàn Tiền Mua Sắm</t>
        </is>
      </c>
      <c r="D164" s="237" t="n">
        <v>2182</v>
      </c>
      <c r="E164" s="236" t="inlineStr">
        <is>
          <t>Hoàn Tiền Mua Sắm</t>
        </is>
      </c>
    </row>
    <row r="165">
      <c r="A165" s="232" t="n">
        <v>46204</v>
      </c>
      <c r="B165" s="233" t="inlineStr">
        <is>
          <t>Referral</t>
        </is>
      </c>
      <c r="C165" s="233" t="inlineStr">
        <is>
          <t>Merchant</t>
        </is>
      </c>
      <c r="D165" s="234" t="n">
        <v>1842</v>
      </c>
      <c r="E165" s="233" t="inlineStr">
        <is>
          <t>Merchant</t>
        </is>
      </c>
    </row>
    <row r="166">
      <c r="A166" s="235" t="n">
        <v>46204</v>
      </c>
      <c r="B166" s="236" t="inlineStr">
        <is>
          <t>Direct</t>
        </is>
      </c>
      <c r="C166" s="236" t="inlineStr">
        <is>
          <t>Soundbox</t>
        </is>
      </c>
      <c r="D166" s="237" t="n">
        <v>1483</v>
      </c>
      <c r="E166" s="236" t="inlineStr">
        <is>
          <t>Soundbox</t>
        </is>
      </c>
    </row>
    <row r="167">
      <c r="A167" s="232" t="n">
        <v>46204</v>
      </c>
      <c r="B167" s="233" t="inlineStr">
        <is>
          <t>Paid</t>
        </is>
      </c>
      <c r="C167" s="233" t="inlineStr">
        <is>
          <t>Vay Nhanh</t>
        </is>
      </c>
      <c r="D167" s="234" t="n">
        <v>910</v>
      </c>
      <c r="E167" s="233" t="inlineStr">
        <is>
          <t>Financial Hub</t>
        </is>
      </c>
    </row>
    <row r="168">
      <c r="A168" s="235" t="n">
        <v>46204</v>
      </c>
      <c r="B168" s="236" t="inlineStr">
        <is>
          <t>Others</t>
        </is>
      </c>
      <c r="C168" s="236" t="inlineStr">
        <is>
          <t>New User</t>
        </is>
      </c>
      <c r="D168" s="237" t="n">
        <v>3939</v>
      </c>
      <c r="E168" s="236" t="inlineStr">
        <is>
          <t>New User</t>
        </is>
      </c>
    </row>
    <row r="169">
      <c r="A169" s="232" t="n">
        <v>46204</v>
      </c>
      <c r="B169" s="233" t="inlineStr">
        <is>
          <t>Others</t>
        </is>
      </c>
      <c r="C169" s="233" t="inlineStr">
        <is>
          <t>Phạt Nguội</t>
        </is>
      </c>
      <c r="D169" s="234" t="n">
        <v>1210</v>
      </c>
      <c r="E169" s="233" t="inlineStr">
        <is>
          <t>Phạt Nguội</t>
        </is>
      </c>
    </row>
    <row r="170">
      <c r="A170" s="235" t="n">
        <v>46204</v>
      </c>
      <c r="B170" s="236" t="inlineStr">
        <is>
          <t>Others</t>
        </is>
      </c>
      <c r="C170" s="236" t="inlineStr">
        <is>
          <t>Tiktok</t>
        </is>
      </c>
      <c r="D170" s="237" t="n">
        <v>362</v>
      </c>
      <c r="E170" s="236" t="inlineStr">
        <is>
          <t>Tiktok</t>
        </is>
      </c>
    </row>
    <row r="171">
      <c r="A171" s="232" t="n">
        <v>46204</v>
      </c>
      <c r="B171" s="233" t="inlineStr">
        <is>
          <t>Organic</t>
        </is>
      </c>
      <c r="C171" s="233" t="inlineStr">
        <is>
          <t>Khuyến mãi</t>
        </is>
      </c>
      <c r="D171" s="234" t="n">
        <v>6544</v>
      </c>
      <c r="E171" s="233" t="inlineStr">
        <is>
          <t>Khuyến mãi</t>
        </is>
      </c>
    </row>
    <row r="172">
      <c r="A172" s="235" t="n">
        <v>46174</v>
      </c>
      <c r="B172" s="236" t="inlineStr">
        <is>
          <t>Organic</t>
        </is>
      </c>
      <c r="C172" s="236" t="inlineStr">
        <is>
          <t>Blog</t>
        </is>
      </c>
      <c r="D172" s="237" t="n">
        <v>11392</v>
      </c>
      <c r="E172" s="236" t="inlineStr">
        <is>
          <t>Blog</t>
        </is>
      </c>
    </row>
    <row r="173">
      <c r="A173" s="232" t="n">
        <v>46174</v>
      </c>
      <c r="B173" s="233" t="inlineStr">
        <is>
          <t>Direct</t>
        </is>
      </c>
      <c r="C173" s="233" t="inlineStr">
        <is>
          <t>Cinema_Cineplex Page</t>
        </is>
      </c>
      <c r="D173" s="234" t="n">
        <v>13805</v>
      </c>
      <c r="E173" s="233" t="inlineStr">
        <is>
          <t>Cinema Hub</t>
        </is>
      </c>
    </row>
    <row r="174">
      <c r="A174" s="235" t="n">
        <v>46174</v>
      </c>
      <c r="B174" s="236" t="inlineStr">
        <is>
          <t>Referral</t>
        </is>
      </c>
      <c r="C174" s="236" t="inlineStr">
        <is>
          <t>Billpay</t>
        </is>
      </c>
      <c r="D174" s="237" t="n">
        <v>175</v>
      </c>
      <c r="E174" s="236" t="inlineStr">
        <is>
          <t>Billpay</t>
        </is>
      </c>
    </row>
    <row r="175">
      <c r="A175" s="232" t="n">
        <v>46174</v>
      </c>
      <c r="B175" s="233" t="inlineStr">
        <is>
          <t>Organic</t>
        </is>
      </c>
      <c r="C175" s="233" t="inlineStr">
        <is>
          <t>Chứng Khoán</t>
        </is>
      </c>
      <c r="D175" s="234" t="n">
        <v>553</v>
      </c>
      <c r="E175" s="233" t="inlineStr">
        <is>
          <t>Financial Hub</t>
        </is>
      </c>
    </row>
    <row r="176">
      <c r="A176" s="235" t="n">
        <v>46143</v>
      </c>
      <c r="B176" s="236" t="inlineStr">
        <is>
          <t>Direct</t>
        </is>
      </c>
      <c r="C176" s="236" t="inlineStr">
        <is>
          <t>Mở tài khoản ngân hàng</t>
        </is>
      </c>
      <c r="D176" s="237" t="n">
        <v>109</v>
      </c>
      <c r="E176" s="236" t="inlineStr">
        <is>
          <t>Mở tài khoản ngân hàng</t>
        </is>
      </c>
    </row>
    <row r="177">
      <c r="A177" s="232" t="n">
        <v>46143</v>
      </c>
      <c r="B177" s="233" t="inlineStr">
        <is>
          <t>Others</t>
        </is>
      </c>
      <c r="C177" s="233" t="inlineStr">
        <is>
          <t>Data</t>
        </is>
      </c>
      <c r="D177" s="234" t="n">
        <v>341</v>
      </c>
      <c r="E177" s="233" t="inlineStr">
        <is>
          <t>Data</t>
        </is>
      </c>
    </row>
    <row r="178">
      <c r="A178" s="235" t="n">
        <v>46143</v>
      </c>
      <c r="B178" s="236" t="inlineStr">
        <is>
          <t>Referral</t>
        </is>
      </c>
      <c r="C178" s="236" t="inlineStr">
        <is>
          <t>Khuyến mãi</t>
        </is>
      </c>
      <c r="D178" s="237" t="n">
        <v>1638</v>
      </c>
      <c r="E178" s="236" t="inlineStr">
        <is>
          <t>Khuyến mãi</t>
        </is>
      </c>
    </row>
    <row r="179">
      <c r="A179" s="232" t="n">
        <v>46143</v>
      </c>
      <c r="B179" s="233" t="inlineStr">
        <is>
          <t>Direct</t>
        </is>
      </c>
      <c r="C179" s="233" t="inlineStr">
        <is>
          <t>Hoàn Tiền Mua Sắm</t>
        </is>
      </c>
      <c r="D179" s="234" t="n">
        <v>597</v>
      </c>
      <c r="E179" s="233" t="inlineStr">
        <is>
          <t>Hoàn Tiền Mua Sắm</t>
        </is>
      </c>
    </row>
    <row r="180">
      <c r="A180" s="235" t="n">
        <v>46143</v>
      </c>
      <c r="B180" s="236" t="inlineStr">
        <is>
          <t>Others</t>
        </is>
      </c>
      <c r="C180" s="236" t="inlineStr">
        <is>
          <t>Merchant</t>
        </is>
      </c>
      <c r="D180" s="237" t="n">
        <v>774</v>
      </c>
      <c r="E180" s="236" t="inlineStr">
        <is>
          <t>Merchant</t>
        </is>
      </c>
    </row>
    <row r="181">
      <c r="A181" s="232" t="n">
        <v>46143</v>
      </c>
      <c r="B181" s="233" t="inlineStr">
        <is>
          <t>Others</t>
        </is>
      </c>
      <c r="C181" s="233" t="inlineStr">
        <is>
          <t>Bảo Hiểm Ô Tô</t>
        </is>
      </c>
      <c r="D181" s="234" t="n">
        <v>141</v>
      </c>
      <c r="E181" s="233" t="inlineStr">
        <is>
          <t>Bảo Hiểm Ô Tô</t>
        </is>
      </c>
    </row>
    <row r="182">
      <c r="A182" s="235" t="n">
        <v>46235</v>
      </c>
      <c r="B182" s="236" t="inlineStr">
        <is>
          <t>Referral</t>
        </is>
      </c>
      <c r="C182" s="236" t="inlineStr">
        <is>
          <t>Home MoMo</t>
        </is>
      </c>
      <c r="D182" s="237" t="n">
        <v>27826</v>
      </c>
      <c r="E182" s="236" t="inlineStr">
        <is>
          <t>Home MoMo</t>
        </is>
      </c>
    </row>
    <row r="183">
      <c r="A183" s="232" t="n">
        <v>46235</v>
      </c>
      <c r="B183" s="233" t="inlineStr">
        <is>
          <t>Paid</t>
        </is>
      </c>
      <c r="C183" s="233" t="inlineStr">
        <is>
          <t>Others</t>
        </is>
      </c>
      <c r="D183" s="234" t="n">
        <v>51815</v>
      </c>
      <c r="E183" s="233" t="inlineStr">
        <is>
          <t>Others</t>
        </is>
      </c>
    </row>
    <row r="184">
      <c r="A184" s="235" t="n">
        <v>46235</v>
      </c>
      <c r="B184" s="236" t="inlineStr">
        <is>
          <t>Referral</t>
        </is>
      </c>
      <c r="C184" s="236" t="inlineStr">
        <is>
          <t>Others</t>
        </is>
      </c>
      <c r="D184" s="237" t="n">
        <v>19151</v>
      </c>
      <c r="E184" s="236" t="inlineStr">
        <is>
          <t>Others</t>
        </is>
      </c>
    </row>
    <row r="185">
      <c r="A185" s="232" t="n">
        <v>46235</v>
      </c>
      <c r="B185" s="233" t="inlineStr">
        <is>
          <t>Referral</t>
        </is>
      </c>
      <c r="C185" s="233" t="inlineStr">
        <is>
          <t>Hỏi đáp</t>
        </is>
      </c>
      <c r="D185" s="234" t="n">
        <v>2501</v>
      </c>
      <c r="E185" s="233" t="inlineStr">
        <is>
          <t>Hỏi đáp</t>
        </is>
      </c>
    </row>
    <row r="186">
      <c r="A186" s="235" t="n">
        <v>46235</v>
      </c>
      <c r="B186" s="236" t="inlineStr">
        <is>
          <t>Organic</t>
        </is>
      </c>
      <c r="C186" s="236" t="inlineStr">
        <is>
          <t>Guide</t>
        </is>
      </c>
      <c r="D186" s="237" t="n">
        <v>9317</v>
      </c>
      <c r="E186" s="236" t="inlineStr">
        <is>
          <t>Guide</t>
        </is>
      </c>
    </row>
    <row r="187">
      <c r="A187" s="232" t="n">
        <v>46235</v>
      </c>
      <c r="B187" s="233" t="inlineStr">
        <is>
          <t>Organic</t>
        </is>
      </c>
      <c r="C187" s="233" t="inlineStr">
        <is>
          <t>P2P</t>
        </is>
      </c>
      <c r="D187" s="234" t="n">
        <v>5349</v>
      </c>
      <c r="E187" s="233" t="inlineStr">
        <is>
          <t>P2P</t>
        </is>
      </c>
    </row>
    <row r="188">
      <c r="A188" s="235" t="n">
        <v>46235</v>
      </c>
      <c r="B188" s="236" t="inlineStr">
        <is>
          <t>Organic</t>
        </is>
      </c>
      <c r="C188" s="236" t="inlineStr">
        <is>
          <t>Phạt Nguội</t>
        </is>
      </c>
      <c r="D188" s="237" t="n">
        <v>39949</v>
      </c>
      <c r="E188" s="236" t="inlineStr">
        <is>
          <t>Phạt Nguội</t>
        </is>
      </c>
    </row>
    <row r="189">
      <c r="A189" s="232" t="n">
        <v>46235</v>
      </c>
      <c r="B189" s="233" t="inlineStr">
        <is>
          <t>Direct</t>
        </is>
      </c>
      <c r="C189" s="233" t="inlineStr">
        <is>
          <t>Phạt Nguội</t>
        </is>
      </c>
      <c r="D189" s="234" t="n">
        <v>48868</v>
      </c>
      <c r="E189" s="233" t="inlineStr">
        <is>
          <t>Phạt Nguội</t>
        </is>
      </c>
    </row>
    <row r="190">
      <c r="A190" s="235" t="n">
        <v>46235</v>
      </c>
      <c r="B190" s="236" t="inlineStr">
        <is>
          <t>Organic</t>
        </is>
      </c>
      <c r="C190" s="236" t="inlineStr">
        <is>
          <t>Student Hub</t>
        </is>
      </c>
      <c r="D190" s="237" t="n">
        <v>199</v>
      </c>
      <c r="E190" s="236" t="inlineStr">
        <is>
          <t>Student Hub</t>
        </is>
      </c>
    </row>
    <row r="191">
      <c r="A191" s="232" t="n">
        <v>46235</v>
      </c>
      <c r="B191" s="233" t="inlineStr">
        <is>
          <t>Paid</t>
        </is>
      </c>
      <c r="C191" s="233" t="inlineStr">
        <is>
          <t>Khuyến mãi</t>
        </is>
      </c>
      <c r="D191" s="234" t="n">
        <v>2209</v>
      </c>
      <c r="E191" s="233" t="inlineStr">
        <is>
          <t>Khuyến mãi</t>
        </is>
      </c>
    </row>
    <row r="192">
      <c r="A192" s="235" t="n">
        <v>46235</v>
      </c>
      <c r="B192" s="236" t="inlineStr">
        <is>
          <t>Organic</t>
        </is>
      </c>
      <c r="C192" s="236" t="inlineStr">
        <is>
          <t>Trả Góp Apple</t>
        </is>
      </c>
      <c r="D192" s="237" t="n">
        <v>862</v>
      </c>
      <c r="E192" s="236" t="inlineStr">
        <is>
          <t>Financial Hub</t>
        </is>
      </c>
    </row>
    <row r="193">
      <c r="A193" s="232" t="n">
        <v>46235</v>
      </c>
      <c r="B193" s="233" t="inlineStr">
        <is>
          <t>Referral</t>
        </is>
      </c>
      <c r="C193" s="233" t="inlineStr">
        <is>
          <t>Vay Nhanh</t>
        </is>
      </c>
      <c r="D193" s="234" t="n">
        <v>64542</v>
      </c>
      <c r="E193" s="233" t="inlineStr">
        <is>
          <t>Financial Hub</t>
        </is>
      </c>
    </row>
    <row r="194">
      <c r="A194" s="235" t="n">
        <v>46235</v>
      </c>
      <c r="B194" s="236" t="inlineStr">
        <is>
          <t>Direct</t>
        </is>
      </c>
      <c r="C194" s="236" t="inlineStr">
        <is>
          <t>Trust</t>
        </is>
      </c>
      <c r="D194" s="237" t="n">
        <v>15153</v>
      </c>
      <c r="E194" s="236" t="inlineStr">
        <is>
          <t>Trust</t>
        </is>
      </c>
    </row>
    <row r="195">
      <c r="A195" s="232" t="n">
        <v>46235</v>
      </c>
      <c r="B195" s="233" t="inlineStr">
        <is>
          <t>Direct</t>
        </is>
      </c>
      <c r="C195" s="233" t="inlineStr">
        <is>
          <t>Guide</t>
        </is>
      </c>
      <c r="D195" s="234" t="n">
        <v>10565</v>
      </c>
      <c r="E195" s="233" t="inlineStr">
        <is>
          <t>Guide</t>
        </is>
      </c>
    </row>
    <row r="196">
      <c r="A196" s="235" t="n">
        <v>46235</v>
      </c>
      <c r="B196" s="236" t="inlineStr">
        <is>
          <t>Organic</t>
        </is>
      </c>
      <c r="C196" s="236" t="inlineStr">
        <is>
          <t>Trung Tâm Tài Chính</t>
        </is>
      </c>
      <c r="D196" s="237" t="n">
        <v>7362</v>
      </c>
      <c r="E196" s="236" t="inlineStr">
        <is>
          <t>Financial Hub</t>
        </is>
      </c>
    </row>
    <row r="197">
      <c r="A197" s="232" t="n">
        <v>46235</v>
      </c>
      <c r="B197" s="233" t="inlineStr">
        <is>
          <t>Referral</t>
        </is>
      </c>
      <c r="C197" s="233" t="inlineStr">
        <is>
          <t>P2P</t>
        </is>
      </c>
      <c r="D197" s="234" t="n">
        <v>440</v>
      </c>
      <c r="E197" s="233" t="inlineStr">
        <is>
          <t>P2P</t>
        </is>
      </c>
    </row>
    <row r="198">
      <c r="A198" s="235" t="n">
        <v>46235</v>
      </c>
      <c r="B198" s="236" t="inlineStr">
        <is>
          <t>Direct</t>
        </is>
      </c>
      <c r="C198" s="236" t="inlineStr">
        <is>
          <t>P2P</t>
        </is>
      </c>
      <c r="D198" s="237" t="n">
        <v>1308</v>
      </c>
      <c r="E198" s="236" t="inlineStr">
        <is>
          <t>P2P</t>
        </is>
      </c>
    </row>
    <row r="199">
      <c r="A199" s="232" t="n">
        <v>46235</v>
      </c>
      <c r="B199" s="233" t="inlineStr">
        <is>
          <t>Referral</t>
        </is>
      </c>
      <c r="C199" s="233" t="inlineStr">
        <is>
          <t>Student Pass</t>
        </is>
      </c>
      <c r="D199" s="234" t="n">
        <v>408</v>
      </c>
      <c r="E199" s="233" t="inlineStr">
        <is>
          <t>Student Hub</t>
        </is>
      </c>
    </row>
    <row r="200">
      <c r="A200" s="235" t="n">
        <v>46235</v>
      </c>
      <c r="B200" s="236" t="inlineStr">
        <is>
          <t>Direct</t>
        </is>
      </c>
      <c r="C200" s="236" t="inlineStr">
        <is>
          <t>Trung Tâm Tài Chính</t>
        </is>
      </c>
      <c r="D200" s="237" t="n">
        <v>276</v>
      </c>
      <c r="E200" s="236" t="inlineStr">
        <is>
          <t>Financial Hub</t>
        </is>
      </c>
    </row>
    <row r="201">
      <c r="A201" s="232" t="n">
        <v>46235</v>
      </c>
      <c r="B201" s="233" t="inlineStr">
        <is>
          <t>Others</t>
        </is>
      </c>
      <c r="C201" s="233" t="inlineStr">
        <is>
          <t>Game</t>
        </is>
      </c>
      <c r="D201" s="234" t="n">
        <v>1514</v>
      </c>
      <c r="E201" s="233" t="inlineStr">
        <is>
          <t>Game</t>
        </is>
      </c>
    </row>
    <row r="202">
      <c r="A202" s="235" t="n">
        <v>46296</v>
      </c>
      <c r="B202" s="236" t="inlineStr">
        <is>
          <t>Referral</t>
        </is>
      </c>
      <c r="C202" s="236" t="inlineStr">
        <is>
          <t>Trả Góp Apple</t>
        </is>
      </c>
      <c r="D202" s="237" t="n">
        <v>16</v>
      </c>
      <c r="E202" s="236" t="inlineStr">
        <is>
          <t>Financial Hub</t>
        </is>
      </c>
    </row>
    <row r="203">
      <c r="A203" s="232" t="n">
        <v>46204</v>
      </c>
      <c r="B203" s="233" t="inlineStr">
        <is>
          <t>Organic</t>
        </is>
      </c>
      <c r="C203" s="233" t="inlineStr">
        <is>
          <t>Mở tài khoản ngân hàng</t>
        </is>
      </c>
      <c r="D203" s="234" t="n">
        <v>1754</v>
      </c>
      <c r="E203" s="233" t="inlineStr">
        <is>
          <t>Mở tài khoản ngân hàng</t>
        </is>
      </c>
    </row>
    <row r="204">
      <c r="A204" s="235" t="n">
        <v>46204</v>
      </c>
      <c r="B204" s="236" t="inlineStr">
        <is>
          <t>Organic</t>
        </is>
      </c>
      <c r="C204" s="236" t="inlineStr">
        <is>
          <t>Billpay</t>
        </is>
      </c>
      <c r="D204" s="237" t="n">
        <v>818</v>
      </c>
      <c r="E204" s="236" t="inlineStr">
        <is>
          <t>Billpay</t>
        </is>
      </c>
    </row>
    <row r="205">
      <c r="A205" s="232" t="n">
        <v>46204</v>
      </c>
      <c r="B205" s="233" t="inlineStr">
        <is>
          <t>Others</t>
        </is>
      </c>
      <c r="C205" s="233" t="inlineStr">
        <is>
          <t>Game</t>
        </is>
      </c>
      <c r="D205" s="234" t="n">
        <v>594</v>
      </c>
      <c r="E205" s="233" t="inlineStr">
        <is>
          <t>Game</t>
        </is>
      </c>
    </row>
    <row r="206">
      <c r="A206" s="235" t="n">
        <v>46204</v>
      </c>
      <c r="B206" s="236" t="inlineStr">
        <is>
          <t>Direct</t>
        </is>
      </c>
      <c r="C206" s="236" t="inlineStr">
        <is>
          <t>Application Store</t>
        </is>
      </c>
      <c r="D206" s="237" t="n">
        <v>421</v>
      </c>
      <c r="E206" s="236" t="inlineStr">
        <is>
          <t>Application Store</t>
        </is>
      </c>
    </row>
    <row r="207">
      <c r="A207" s="232" t="n">
        <v>46174</v>
      </c>
      <c r="B207" s="233" t="inlineStr">
        <is>
          <t>Organic</t>
        </is>
      </c>
      <c r="C207" s="233" t="inlineStr">
        <is>
          <t>Home MoMo</t>
        </is>
      </c>
      <c r="D207" s="234" t="n">
        <v>104232</v>
      </c>
      <c r="E207" s="233" t="inlineStr">
        <is>
          <t>Home MoMo</t>
        </is>
      </c>
    </row>
    <row r="208">
      <c r="A208" s="235" t="n">
        <v>46174</v>
      </c>
      <c r="B208" s="236" t="inlineStr">
        <is>
          <t>Direct</t>
        </is>
      </c>
      <c r="C208" s="236" t="inlineStr">
        <is>
          <t>New User</t>
        </is>
      </c>
      <c r="D208" s="237" t="n">
        <v>55091</v>
      </c>
      <c r="E208" s="236" t="inlineStr">
        <is>
          <t>New User</t>
        </is>
      </c>
    </row>
    <row r="209">
      <c r="A209" s="232" t="n">
        <v>46174</v>
      </c>
      <c r="B209" s="233" t="inlineStr">
        <is>
          <t>Organic</t>
        </is>
      </c>
      <c r="C209" s="233" t="inlineStr">
        <is>
          <t>Cinema_Cineplex Page</t>
        </is>
      </c>
      <c r="D209" s="234" t="n">
        <v>379527</v>
      </c>
      <c r="E209" s="233" t="inlineStr">
        <is>
          <t>Cinema Hub</t>
        </is>
      </c>
    </row>
    <row r="210">
      <c r="A210" s="235" t="n">
        <v>46174</v>
      </c>
      <c r="B210" s="236" t="inlineStr">
        <is>
          <t>Organic</t>
        </is>
      </c>
      <c r="C210" s="236" t="inlineStr">
        <is>
          <t>Esim</t>
        </is>
      </c>
      <c r="D210" s="237" t="n">
        <v>1741</v>
      </c>
      <c r="E210" s="236" t="inlineStr">
        <is>
          <t>Sim</t>
        </is>
      </c>
    </row>
    <row r="211">
      <c r="A211" s="232" t="n">
        <v>46174</v>
      </c>
      <c r="B211" s="233" t="inlineStr">
        <is>
          <t>Organic</t>
        </is>
      </c>
      <c r="C211" s="233" t="inlineStr">
        <is>
          <t>Mở tài khoản ngân hàng</t>
        </is>
      </c>
      <c r="D211" s="234" t="n">
        <v>1698</v>
      </c>
      <c r="E211" s="233" t="inlineStr">
        <is>
          <t>Mở tài khoản ngân hàng</t>
        </is>
      </c>
    </row>
    <row r="212">
      <c r="A212" s="235" t="n">
        <v>46174</v>
      </c>
      <c r="B212" s="236" t="inlineStr">
        <is>
          <t>Direct</t>
        </is>
      </c>
      <c r="C212" s="236" t="inlineStr">
        <is>
          <t>Khuyến mãi</t>
        </is>
      </c>
      <c r="D212" s="237" t="n">
        <v>4033</v>
      </c>
      <c r="E212" s="236" t="inlineStr">
        <is>
          <t>Khuyến mãi</t>
        </is>
      </c>
    </row>
    <row r="213">
      <c r="A213" s="232" t="n">
        <v>46174</v>
      </c>
      <c r="B213" s="233" t="inlineStr">
        <is>
          <t>Direct</t>
        </is>
      </c>
      <c r="C213" s="233" t="inlineStr">
        <is>
          <t>Cinema_Home Page</t>
        </is>
      </c>
      <c r="D213" s="234" t="n">
        <v>3726</v>
      </c>
      <c r="E213" s="233" t="inlineStr">
        <is>
          <t>Cinema Hub</t>
        </is>
      </c>
    </row>
    <row r="214">
      <c r="A214" s="235" t="n">
        <v>46174</v>
      </c>
      <c r="B214" s="236" t="inlineStr">
        <is>
          <t>Direct</t>
        </is>
      </c>
      <c r="C214" s="236" t="inlineStr">
        <is>
          <t>Campaign</t>
        </is>
      </c>
      <c r="D214" s="237" t="n">
        <v>1810</v>
      </c>
      <c r="E214" s="236" t="inlineStr">
        <is>
          <t>Campaign</t>
        </is>
      </c>
    </row>
    <row r="215">
      <c r="A215" s="232" t="n">
        <v>46174</v>
      </c>
      <c r="B215" s="233" t="inlineStr">
        <is>
          <t>Paid</t>
        </is>
      </c>
      <c r="C215" s="233" t="inlineStr">
        <is>
          <t>Khuyến mãi</t>
        </is>
      </c>
      <c r="D215" s="234" t="n">
        <v>2158</v>
      </c>
      <c r="E215" s="233" t="inlineStr">
        <is>
          <t>Khuyến mãi</t>
        </is>
      </c>
    </row>
    <row r="216">
      <c r="A216" s="235" t="n">
        <v>46143</v>
      </c>
      <c r="B216" s="236" t="inlineStr">
        <is>
          <t>Organic</t>
        </is>
      </c>
      <c r="C216" s="236" t="inlineStr">
        <is>
          <t>Thanh Toán Khoản Vay</t>
        </is>
      </c>
      <c r="D216" s="237" t="n">
        <v>724</v>
      </c>
      <c r="E216" s="236" t="inlineStr">
        <is>
          <t>Financial Hub</t>
        </is>
      </c>
    </row>
    <row r="217">
      <c r="A217" s="232" t="n">
        <v>46266</v>
      </c>
      <c r="B217" s="233" t="inlineStr">
        <is>
          <t>Direct</t>
        </is>
      </c>
      <c r="C217" s="233" t="inlineStr">
        <is>
          <t>Sim</t>
        </is>
      </c>
      <c r="D217" s="234" t="n">
        <v>826</v>
      </c>
      <c r="E217" s="233" t="inlineStr">
        <is>
          <t>Sim</t>
        </is>
      </c>
    </row>
    <row r="218">
      <c r="A218" s="235" t="n">
        <v>46266</v>
      </c>
      <c r="B218" s="236" t="inlineStr">
        <is>
          <t>Paid</t>
        </is>
      </c>
      <c r="C218" s="236" t="inlineStr">
        <is>
          <t>P2P</t>
        </is>
      </c>
      <c r="D218" s="237" t="n">
        <v>213</v>
      </c>
      <c r="E218" s="236" t="inlineStr">
        <is>
          <t>P2P</t>
        </is>
      </c>
    </row>
    <row r="219">
      <c r="A219" s="232" t="n">
        <v>46266</v>
      </c>
      <c r="B219" s="233" t="inlineStr">
        <is>
          <t>Paid</t>
        </is>
      </c>
      <c r="C219" s="233" t="inlineStr">
        <is>
          <t>Student Pass</t>
        </is>
      </c>
      <c r="D219" s="234" t="n">
        <v>2924</v>
      </c>
      <c r="E219" s="233" t="inlineStr">
        <is>
          <t>Student Hub</t>
        </is>
      </c>
    </row>
    <row r="220">
      <c r="A220" s="235" t="n">
        <v>46266</v>
      </c>
      <c r="B220" s="236" t="inlineStr">
        <is>
          <t>Others</t>
        </is>
      </c>
      <c r="C220" s="236" t="inlineStr">
        <is>
          <t>Trust</t>
        </is>
      </c>
      <c r="D220" s="237" t="n">
        <v>279</v>
      </c>
      <c r="E220" s="236" t="inlineStr">
        <is>
          <t>Trust</t>
        </is>
      </c>
    </row>
    <row r="221">
      <c r="A221" s="232" t="n">
        <v>46266</v>
      </c>
      <c r="B221" s="233" t="inlineStr">
        <is>
          <t>Organic</t>
        </is>
      </c>
      <c r="C221" s="233" t="inlineStr">
        <is>
          <t>Tiệm Vàng Online</t>
        </is>
      </c>
      <c r="D221" s="234" t="n">
        <v>837</v>
      </c>
      <c r="E221" s="233" t="inlineStr">
        <is>
          <t>Tiệm Vàng Online</t>
        </is>
      </c>
    </row>
    <row r="222">
      <c r="A222" s="235" t="n">
        <v>46266</v>
      </c>
      <c r="B222" s="236" t="inlineStr">
        <is>
          <t>Direct</t>
        </is>
      </c>
      <c r="C222" s="236" t="inlineStr">
        <is>
          <t>Bảo Hiểm Xe Máy</t>
        </is>
      </c>
      <c r="D222" s="237" t="n">
        <v>416</v>
      </c>
      <c r="E222" s="236" t="inlineStr">
        <is>
          <t>Bảo Hiểm Xe Máy</t>
        </is>
      </c>
    </row>
    <row r="223">
      <c r="A223" s="232" t="n">
        <v>46174</v>
      </c>
      <c r="B223" s="233" t="inlineStr">
        <is>
          <t>Referral</t>
        </is>
      </c>
      <c r="C223" s="233" t="inlineStr">
        <is>
          <t>Blog</t>
        </is>
      </c>
      <c r="D223" s="234" t="n">
        <v>321</v>
      </c>
      <c r="E223" s="233" t="inlineStr">
        <is>
          <t>Blog</t>
        </is>
      </c>
    </row>
    <row r="224">
      <c r="A224" s="235" t="n">
        <v>46143</v>
      </c>
      <c r="B224" s="236" t="inlineStr">
        <is>
          <t>Direct</t>
        </is>
      </c>
      <c r="C224" s="236" t="inlineStr">
        <is>
          <t>Sim</t>
        </is>
      </c>
      <c r="D224" s="237" t="n">
        <v>906</v>
      </c>
      <c r="E224" s="236" t="inlineStr">
        <is>
          <t>Sim</t>
        </is>
      </c>
    </row>
    <row r="225">
      <c r="A225" s="232" t="n">
        <v>46143</v>
      </c>
      <c r="B225" s="233" t="inlineStr">
        <is>
          <t>Referral</t>
        </is>
      </c>
      <c r="C225" s="233" t="inlineStr">
        <is>
          <t>Sim</t>
        </is>
      </c>
      <c r="D225" s="234" t="n">
        <v>790</v>
      </c>
      <c r="E225" s="233" t="inlineStr">
        <is>
          <t>Sim</t>
        </is>
      </c>
    </row>
    <row r="226">
      <c r="A226" s="235" t="n">
        <v>46143</v>
      </c>
      <c r="B226" s="236" t="inlineStr">
        <is>
          <t>Direct</t>
        </is>
      </c>
      <c r="C226" s="236" t="inlineStr">
        <is>
          <t>Esim</t>
        </is>
      </c>
      <c r="D226" s="237" t="n">
        <v>785</v>
      </c>
      <c r="E226" s="236" t="inlineStr">
        <is>
          <t>Sim</t>
        </is>
      </c>
    </row>
    <row r="227">
      <c r="A227" s="232" t="n">
        <v>46204</v>
      </c>
      <c r="B227" s="233" t="inlineStr">
        <is>
          <t>Organic</t>
        </is>
      </c>
      <c r="C227" s="233" t="inlineStr">
        <is>
          <t>Chứng Chỉ Quỹ</t>
        </is>
      </c>
      <c r="D227" s="234" t="n">
        <v>190</v>
      </c>
      <c r="E227" s="233" t="inlineStr">
        <is>
          <t>Financial Hub</t>
        </is>
      </c>
    </row>
    <row r="228">
      <c r="A228" s="235" t="n">
        <v>46143</v>
      </c>
      <c r="B228" s="236" t="inlineStr">
        <is>
          <t>Referral</t>
        </is>
      </c>
      <c r="C228" s="236" t="inlineStr">
        <is>
          <t>Bảo Hiểm Y Tế</t>
        </is>
      </c>
      <c r="D228" s="237" t="n">
        <v>534</v>
      </c>
      <c r="E228" s="236" t="inlineStr">
        <is>
          <t>Bảo Hiểm Y Tế</t>
        </is>
      </c>
    </row>
    <row r="229">
      <c r="A229" s="232" t="n">
        <v>46266</v>
      </c>
      <c r="B229" s="233" t="inlineStr">
        <is>
          <t>Organic</t>
        </is>
      </c>
      <c r="C229" s="233" t="inlineStr">
        <is>
          <t>Mở Thẻ Tín Dụng</t>
        </is>
      </c>
      <c r="D229" s="234" t="n">
        <v>1206</v>
      </c>
      <c r="E229" s="233" t="inlineStr">
        <is>
          <t>Financial Hub</t>
        </is>
      </c>
    </row>
    <row r="230">
      <c r="A230" s="235" t="n">
        <v>46174</v>
      </c>
      <c r="B230" s="236" t="inlineStr">
        <is>
          <t>Others</t>
        </is>
      </c>
      <c r="C230" s="236" t="inlineStr">
        <is>
          <t>Vay Nhanh</t>
        </is>
      </c>
      <c r="D230" s="237" t="n">
        <v>451</v>
      </c>
      <c r="E230" s="236" t="inlineStr">
        <is>
          <t>Financial Hub</t>
        </is>
      </c>
    </row>
    <row r="231">
      <c r="A231" s="232" t="n">
        <v>46174</v>
      </c>
      <c r="B231" s="233" t="inlineStr">
        <is>
          <t>Others</t>
        </is>
      </c>
      <c r="C231" s="233" t="inlineStr">
        <is>
          <t>Vé Xe</t>
        </is>
      </c>
      <c r="D231" s="234" t="n">
        <v>352</v>
      </c>
      <c r="E231" s="233" t="inlineStr">
        <is>
          <t>Vé Xe</t>
        </is>
      </c>
    </row>
    <row r="232">
      <c r="A232" s="235" t="n">
        <v>46235</v>
      </c>
      <c r="B232" s="236" t="inlineStr">
        <is>
          <t>Others</t>
        </is>
      </c>
      <c r="C232" s="236" t="inlineStr">
        <is>
          <t>Ví Trả Sau</t>
        </is>
      </c>
      <c r="D232" s="237" t="n">
        <v>343</v>
      </c>
      <c r="E232" s="236" t="inlineStr">
        <is>
          <t>Financial Hub</t>
        </is>
      </c>
    </row>
    <row r="233">
      <c r="A233" s="232" t="n">
        <v>46143</v>
      </c>
      <c r="B233" s="233" t="inlineStr">
        <is>
          <t>Paid</t>
        </is>
      </c>
      <c r="C233" s="233" t="inlineStr">
        <is>
          <t>P2P</t>
        </is>
      </c>
      <c r="D233" s="234" t="n">
        <v>83</v>
      </c>
      <c r="E233" s="233" t="inlineStr">
        <is>
          <t>P2P</t>
        </is>
      </c>
    </row>
    <row r="234">
      <c r="A234" s="235" t="n">
        <v>46143</v>
      </c>
      <c r="B234" s="236" t="inlineStr">
        <is>
          <t>Referral</t>
        </is>
      </c>
      <c r="C234" s="236" t="inlineStr">
        <is>
          <t>Trung Tâm Tài Chính</t>
        </is>
      </c>
      <c r="D234" s="237" t="n">
        <v>133</v>
      </c>
      <c r="E234" s="236" t="inlineStr">
        <is>
          <t>Financial Hub</t>
        </is>
      </c>
    </row>
    <row r="235">
      <c r="A235" s="232" t="n">
        <v>46143</v>
      </c>
      <c r="B235" s="233" t="inlineStr">
        <is>
          <t>Direct</t>
        </is>
      </c>
      <c r="C235" s="233" t="inlineStr">
        <is>
          <t>Điện</t>
        </is>
      </c>
      <c r="D235" s="234" t="n">
        <v>506</v>
      </c>
      <c r="E235" s="233" t="inlineStr">
        <is>
          <t>Điện</t>
        </is>
      </c>
    </row>
    <row r="236">
      <c r="A236" s="235" t="n">
        <v>46143</v>
      </c>
      <c r="B236" s="236" t="inlineStr">
        <is>
          <t>Others</t>
        </is>
      </c>
      <c r="C236" s="236" t="inlineStr">
        <is>
          <t>Sim</t>
        </is>
      </c>
      <c r="D236" s="237" t="n">
        <v>140</v>
      </c>
      <c r="E236" s="236" t="inlineStr">
        <is>
          <t>Sim</t>
        </is>
      </c>
    </row>
    <row r="237">
      <c r="A237" s="232" t="n">
        <v>46174</v>
      </c>
      <c r="B237" s="233" t="inlineStr">
        <is>
          <t>Others</t>
        </is>
      </c>
      <c r="C237" s="233" t="inlineStr">
        <is>
          <t>Khuyến mãi</t>
        </is>
      </c>
      <c r="D237" s="234" t="n">
        <v>599</v>
      </c>
      <c r="E237" s="233" t="inlineStr">
        <is>
          <t>Khuyến mãi</t>
        </is>
      </c>
    </row>
    <row r="238">
      <c r="A238" s="235" t="n">
        <v>46174</v>
      </c>
      <c r="B238" s="236" t="inlineStr">
        <is>
          <t>Others</t>
        </is>
      </c>
      <c r="C238" s="236" t="inlineStr">
        <is>
          <t>Game</t>
        </is>
      </c>
      <c r="D238" s="237" t="n">
        <v>1138</v>
      </c>
      <c r="E238" s="236" t="inlineStr">
        <is>
          <t>Game</t>
        </is>
      </c>
    </row>
    <row r="239">
      <c r="A239" s="232" t="n">
        <v>46143</v>
      </c>
      <c r="B239" s="233" t="inlineStr">
        <is>
          <t>Direct</t>
        </is>
      </c>
      <c r="C239" s="233" t="inlineStr">
        <is>
          <t>Cinema_News</t>
        </is>
      </c>
      <c r="D239" s="234" t="n">
        <v>175</v>
      </c>
      <c r="E239" s="233" t="inlineStr">
        <is>
          <t>Cinema Hub</t>
        </is>
      </c>
    </row>
    <row r="240">
      <c r="A240" s="235" t="n">
        <v>46204</v>
      </c>
      <c r="B240" s="236" t="inlineStr">
        <is>
          <t>Organic</t>
        </is>
      </c>
      <c r="C240" s="236" t="inlineStr">
        <is>
          <t>Quản Lý Chi Tiêu</t>
        </is>
      </c>
      <c r="D240" s="237" t="n">
        <v>749</v>
      </c>
      <c r="E240" s="236" t="inlineStr">
        <is>
          <t>Financial Hub</t>
        </is>
      </c>
    </row>
    <row r="241">
      <c r="A241" s="232" t="n">
        <v>46204</v>
      </c>
      <c r="B241" s="233" t="inlineStr">
        <is>
          <t>Organic</t>
        </is>
      </c>
      <c r="C241" s="233" t="inlineStr">
        <is>
          <t>Trả Góp Apple</t>
        </is>
      </c>
      <c r="D241" s="234" t="n">
        <v>1063</v>
      </c>
      <c r="E241" s="233" t="inlineStr">
        <is>
          <t>Financial Hub</t>
        </is>
      </c>
    </row>
    <row r="242">
      <c r="A242" s="235" t="n">
        <v>46204</v>
      </c>
      <c r="B242" s="236" t="inlineStr">
        <is>
          <t>Paid</t>
        </is>
      </c>
      <c r="C242" s="236" t="inlineStr">
        <is>
          <t>Trung Tâm Tài Chính</t>
        </is>
      </c>
      <c r="D242" s="237" t="n">
        <v>230</v>
      </c>
      <c r="E242" s="236" t="inlineStr">
        <is>
          <t>Financial Hub</t>
        </is>
      </c>
    </row>
    <row r="243">
      <c r="A243" s="232" t="n">
        <v>46204</v>
      </c>
      <c r="B243" s="233" t="inlineStr">
        <is>
          <t>Paid</t>
        </is>
      </c>
      <c r="C243" s="233" t="inlineStr">
        <is>
          <t>Bảo Hiểm Ô Tô</t>
        </is>
      </c>
      <c r="D243" s="234" t="n">
        <v>303</v>
      </c>
      <c r="E243" s="233" t="inlineStr">
        <is>
          <t>Bảo Hiểm Ô Tô</t>
        </is>
      </c>
    </row>
    <row r="244">
      <c r="A244" s="235" t="n">
        <v>46204</v>
      </c>
      <c r="B244" s="236" t="inlineStr">
        <is>
          <t>Paid</t>
        </is>
      </c>
      <c r="C244" s="236" t="inlineStr">
        <is>
          <t>Khuyến mãi</t>
        </is>
      </c>
      <c r="D244" s="237" t="n">
        <v>494</v>
      </c>
      <c r="E244" s="236" t="inlineStr">
        <is>
          <t>Khuyến mãi</t>
        </is>
      </c>
    </row>
    <row r="245">
      <c r="A245" s="232" t="n">
        <v>46204</v>
      </c>
      <c r="B245" s="233" t="inlineStr">
        <is>
          <t>Direct</t>
        </is>
      </c>
      <c r="C245" s="233" t="inlineStr">
        <is>
          <t>Data</t>
        </is>
      </c>
      <c r="D245" s="234" t="n">
        <v>1128</v>
      </c>
      <c r="E245" s="233" t="inlineStr">
        <is>
          <t>Data</t>
        </is>
      </c>
    </row>
    <row r="246">
      <c r="A246" s="235" t="n">
        <v>46204</v>
      </c>
      <c r="B246" s="236" t="inlineStr">
        <is>
          <t>Paid</t>
        </is>
      </c>
      <c r="C246" s="236" t="inlineStr">
        <is>
          <t>Cinema_Home Page</t>
        </is>
      </c>
      <c r="D246" s="237" t="n">
        <v>368</v>
      </c>
      <c r="E246" s="236" t="inlineStr">
        <is>
          <t>Cinema Hub</t>
        </is>
      </c>
    </row>
    <row r="247">
      <c r="A247" s="232" t="n">
        <v>46204</v>
      </c>
      <c r="B247" s="233" t="inlineStr">
        <is>
          <t>Paid</t>
        </is>
      </c>
      <c r="C247" s="233" t="inlineStr">
        <is>
          <t>Merchant</t>
        </is>
      </c>
      <c r="D247" s="234" t="n">
        <v>266</v>
      </c>
      <c r="E247" s="233" t="inlineStr">
        <is>
          <t>Merchant</t>
        </is>
      </c>
    </row>
    <row r="248">
      <c r="A248" s="235" t="n">
        <v>46204</v>
      </c>
      <c r="B248" s="236" t="inlineStr">
        <is>
          <t>Paid</t>
        </is>
      </c>
      <c r="C248" s="236" t="inlineStr">
        <is>
          <t>Dịch vụ liên kết</t>
        </is>
      </c>
      <c r="D248" s="237" t="n">
        <v>111</v>
      </c>
      <c r="E248" s="236" t="inlineStr">
        <is>
          <t>Dịch vụ liên kết</t>
        </is>
      </c>
    </row>
    <row r="249">
      <c r="A249" s="232" t="n">
        <v>46266</v>
      </c>
      <c r="B249" s="233" t="inlineStr">
        <is>
          <t>Referral</t>
        </is>
      </c>
      <c r="C249" s="233" t="inlineStr">
        <is>
          <t>Tiktok</t>
        </is>
      </c>
      <c r="D249" s="234" t="n">
        <v>819</v>
      </c>
      <c r="E249" s="233" t="inlineStr">
        <is>
          <t>Tiktok</t>
        </is>
      </c>
    </row>
    <row r="250">
      <c r="A250" s="235" t="n">
        <v>46235</v>
      </c>
      <c r="B250" s="236" t="inlineStr">
        <is>
          <t>Organic</t>
        </is>
      </c>
      <c r="C250" s="236" t="inlineStr">
        <is>
          <t>Billpay</t>
        </is>
      </c>
      <c r="D250" s="237" t="n">
        <v>798</v>
      </c>
      <c r="E250" s="236" t="inlineStr">
        <is>
          <t>Billpay</t>
        </is>
      </c>
    </row>
    <row r="251">
      <c r="A251" s="232" t="n">
        <v>46235</v>
      </c>
      <c r="B251" s="233" t="inlineStr">
        <is>
          <t>Direct</t>
        </is>
      </c>
      <c r="C251" s="233" t="inlineStr">
        <is>
          <t>Bảo Hiểm Xe Máy</t>
        </is>
      </c>
      <c r="D251" s="234" t="n">
        <v>1224</v>
      </c>
      <c r="E251" s="233" t="inlineStr">
        <is>
          <t>Bảo Hiểm Xe Máy</t>
        </is>
      </c>
    </row>
    <row r="252">
      <c r="A252" s="235" t="n">
        <v>46174</v>
      </c>
      <c r="B252" s="236" t="inlineStr">
        <is>
          <t>Referral</t>
        </is>
      </c>
      <c r="C252" s="236" t="inlineStr">
        <is>
          <t>Cinema_Home Page</t>
        </is>
      </c>
      <c r="D252" s="237" t="n">
        <v>1180</v>
      </c>
      <c r="E252" s="236" t="inlineStr">
        <is>
          <t>Cinema Hub</t>
        </is>
      </c>
    </row>
    <row r="253">
      <c r="A253" s="232" t="n">
        <v>46174</v>
      </c>
      <c r="B253" s="233" t="inlineStr">
        <is>
          <t>Referral</t>
        </is>
      </c>
      <c r="C253" s="233" t="inlineStr">
        <is>
          <t>Data</t>
        </is>
      </c>
      <c r="D253" s="234" t="n">
        <v>654</v>
      </c>
      <c r="E253" s="233" t="inlineStr">
        <is>
          <t>Data</t>
        </is>
      </c>
    </row>
    <row r="254">
      <c r="A254" s="235" t="n">
        <v>46174</v>
      </c>
      <c r="B254" s="236" t="inlineStr">
        <is>
          <t>Paid</t>
        </is>
      </c>
      <c r="C254" s="236" t="inlineStr">
        <is>
          <t>Campaign</t>
        </is>
      </c>
      <c r="D254" s="237" t="n">
        <v>318</v>
      </c>
      <c r="E254" s="236" t="inlineStr">
        <is>
          <t>Campaign</t>
        </is>
      </c>
    </row>
    <row r="255">
      <c r="A255" s="232" t="n">
        <v>46174</v>
      </c>
      <c r="B255" s="233" t="inlineStr">
        <is>
          <t>Referral</t>
        </is>
      </c>
      <c r="C255" s="233" t="inlineStr">
        <is>
          <t>Esim</t>
        </is>
      </c>
      <c r="D255" s="234" t="n">
        <v>173</v>
      </c>
      <c r="E255" s="233" t="inlineStr">
        <is>
          <t>Sim</t>
        </is>
      </c>
    </row>
    <row r="256">
      <c r="A256" s="235" t="n">
        <v>46143</v>
      </c>
      <c r="B256" s="236" t="inlineStr">
        <is>
          <t>Others</t>
        </is>
      </c>
      <c r="C256" s="236" t="inlineStr">
        <is>
          <t>Guide</t>
        </is>
      </c>
      <c r="D256" s="237" t="n">
        <v>267</v>
      </c>
      <c r="E256" s="236" t="inlineStr">
        <is>
          <t>Guide</t>
        </is>
      </c>
    </row>
    <row r="257">
      <c r="A257" s="232" t="n">
        <v>46235</v>
      </c>
      <c r="B257" s="233" t="inlineStr">
        <is>
          <t>Referral</t>
        </is>
      </c>
      <c r="C257" s="233" t="inlineStr">
        <is>
          <t>Guide</t>
        </is>
      </c>
      <c r="D257" s="234" t="n">
        <v>1497</v>
      </c>
      <c r="E257" s="233" t="inlineStr">
        <is>
          <t>Guide</t>
        </is>
      </c>
    </row>
    <row r="258">
      <c r="A258" s="235" t="n">
        <v>46235</v>
      </c>
      <c r="B258" s="236" t="inlineStr">
        <is>
          <t>Direct</t>
        </is>
      </c>
      <c r="C258" s="236" t="inlineStr">
        <is>
          <t>Hoàn Tiền Mua Sắm</t>
        </is>
      </c>
      <c r="D258" s="237" t="n">
        <v>341</v>
      </c>
      <c r="E258" s="236" t="inlineStr">
        <is>
          <t>Hoàn Tiền Mua Sắm</t>
        </is>
      </c>
    </row>
    <row r="259">
      <c r="A259" s="232" t="n">
        <v>46235</v>
      </c>
      <c r="B259" s="233" t="inlineStr">
        <is>
          <t>Referral</t>
        </is>
      </c>
      <c r="C259" s="233" t="inlineStr">
        <is>
          <t>Cinema_News</t>
        </is>
      </c>
      <c r="D259" s="234" t="n">
        <v>106</v>
      </c>
      <c r="E259" s="233" t="inlineStr">
        <is>
          <t>Cinema Hub</t>
        </is>
      </c>
    </row>
    <row r="260">
      <c r="A260" s="235" t="n">
        <v>46235</v>
      </c>
      <c r="B260" s="236" t="inlineStr">
        <is>
          <t>Referral</t>
        </is>
      </c>
      <c r="C260" s="236" t="inlineStr">
        <is>
          <t>Soundbox</t>
        </is>
      </c>
      <c r="D260" s="237" t="n">
        <v>540</v>
      </c>
      <c r="E260" s="236" t="inlineStr">
        <is>
          <t>Soundbox</t>
        </is>
      </c>
    </row>
    <row r="261">
      <c r="A261" s="232" t="n">
        <v>46235</v>
      </c>
      <c r="B261" s="233" t="inlineStr">
        <is>
          <t>Paid</t>
        </is>
      </c>
      <c r="C261" s="233" t="inlineStr">
        <is>
          <t>Mở Thẻ Tín Dụng</t>
        </is>
      </c>
      <c r="D261" s="234" t="n">
        <v>72</v>
      </c>
      <c r="E261" s="233" t="inlineStr">
        <is>
          <t>Financial Hub</t>
        </is>
      </c>
    </row>
    <row r="262">
      <c r="A262" s="235" t="n">
        <v>46235</v>
      </c>
      <c r="B262" s="236" t="inlineStr">
        <is>
          <t>Direct</t>
        </is>
      </c>
      <c r="C262" s="236" t="inlineStr">
        <is>
          <t>Sim</t>
        </is>
      </c>
      <c r="D262" s="237" t="n">
        <v>1110</v>
      </c>
      <c r="E262" s="236" t="inlineStr">
        <is>
          <t>Sim</t>
        </is>
      </c>
    </row>
    <row r="263">
      <c r="A263" s="232" t="n">
        <v>46235</v>
      </c>
      <c r="B263" s="233" t="inlineStr">
        <is>
          <t>Direct</t>
        </is>
      </c>
      <c r="C263" s="233" t="inlineStr">
        <is>
          <t>Student Pass</t>
        </is>
      </c>
      <c r="D263" s="234" t="n">
        <v>6592</v>
      </c>
      <c r="E263" s="233" t="inlineStr">
        <is>
          <t>Student Hub</t>
        </is>
      </c>
    </row>
    <row r="264">
      <c r="A264" s="235" t="n">
        <v>46235</v>
      </c>
      <c r="B264" s="236" t="inlineStr">
        <is>
          <t>Others</t>
        </is>
      </c>
      <c r="C264" s="236" t="inlineStr">
        <is>
          <t>Student Pass</t>
        </is>
      </c>
      <c r="D264" s="237" t="n">
        <v>114</v>
      </c>
      <c r="E264" s="236" t="inlineStr">
        <is>
          <t>Student Hub</t>
        </is>
      </c>
    </row>
    <row r="265">
      <c r="A265" s="232" t="n">
        <v>46143</v>
      </c>
      <c r="B265" s="233" t="inlineStr">
        <is>
          <t>Referral</t>
        </is>
      </c>
      <c r="C265" s="233" t="inlineStr">
        <is>
          <t>Dịch vụ liên kết</t>
        </is>
      </c>
      <c r="D265" s="234" t="n">
        <v>202</v>
      </c>
      <c r="E265" s="233" t="inlineStr">
        <is>
          <t>Dịch vụ liên kết</t>
        </is>
      </c>
    </row>
    <row r="266">
      <c r="A266" s="235" t="n">
        <v>46143</v>
      </c>
      <c r="B266" s="236" t="inlineStr">
        <is>
          <t>Referral</t>
        </is>
      </c>
      <c r="C266" s="236" t="inlineStr">
        <is>
          <t>Mở Thẻ Tín Dụng</t>
        </is>
      </c>
      <c r="D266" s="237" t="n">
        <v>85</v>
      </c>
      <c r="E266" s="236" t="inlineStr">
        <is>
          <t>Financial Hub</t>
        </is>
      </c>
    </row>
    <row r="267">
      <c r="A267" s="232" t="n">
        <v>46143</v>
      </c>
      <c r="B267" s="233" t="inlineStr">
        <is>
          <t>Others</t>
        </is>
      </c>
      <c r="C267" s="233" t="inlineStr">
        <is>
          <t>Esim</t>
        </is>
      </c>
      <c r="D267" s="234" t="n">
        <v>324</v>
      </c>
      <c r="E267" s="233" t="inlineStr">
        <is>
          <t>Sim</t>
        </is>
      </c>
    </row>
    <row r="268">
      <c r="A268" s="235" t="n">
        <v>46174</v>
      </c>
      <c r="B268" s="236" t="inlineStr">
        <is>
          <t>Direct</t>
        </is>
      </c>
      <c r="C268" s="236" t="inlineStr">
        <is>
          <t>Trung Tâm Tài Chính</t>
        </is>
      </c>
      <c r="D268" s="237" t="n">
        <v>138</v>
      </c>
      <c r="E268" s="236" t="inlineStr">
        <is>
          <t>Financial Hub</t>
        </is>
      </c>
    </row>
    <row r="269">
      <c r="A269" s="232" t="n">
        <v>46174</v>
      </c>
      <c r="B269" s="233" t="inlineStr">
        <is>
          <t>Organic</t>
        </is>
      </c>
      <c r="C269" s="233" t="inlineStr">
        <is>
          <t>Tiết Kiệm Online</t>
        </is>
      </c>
      <c r="D269" s="234" t="n">
        <v>359</v>
      </c>
      <c r="E269" s="233" t="inlineStr">
        <is>
          <t>Financial Hub</t>
        </is>
      </c>
    </row>
    <row r="270">
      <c r="A270" s="235" t="n">
        <v>46204</v>
      </c>
      <c r="B270" s="236" t="inlineStr">
        <is>
          <t>Referral</t>
        </is>
      </c>
      <c r="C270" s="236" t="inlineStr">
        <is>
          <t>Mở Thẻ Tín Dụng</t>
        </is>
      </c>
      <c r="D270" s="237" t="n">
        <v>72</v>
      </c>
      <c r="E270" s="236" t="inlineStr">
        <is>
          <t>Financial Hub</t>
        </is>
      </c>
    </row>
    <row r="271">
      <c r="A271" s="232" t="n">
        <v>46174</v>
      </c>
      <c r="B271" s="233" t="inlineStr">
        <is>
          <t>Referral</t>
        </is>
      </c>
      <c r="C271" s="233" t="inlineStr">
        <is>
          <t>Chứng Khoán</t>
        </is>
      </c>
      <c r="D271" s="234" t="n">
        <v>57</v>
      </c>
      <c r="E271" s="233" t="inlineStr">
        <is>
          <t>Financial Hub</t>
        </is>
      </c>
    </row>
    <row r="272">
      <c r="A272" s="235" t="n">
        <v>46204</v>
      </c>
      <c r="B272" s="236" t="inlineStr">
        <is>
          <t>Referral</t>
        </is>
      </c>
      <c r="C272" s="236" t="inlineStr">
        <is>
          <t>Bảo Hiểm Y Tế</t>
        </is>
      </c>
      <c r="D272" s="237" t="n">
        <v>386</v>
      </c>
      <c r="E272" s="236" t="inlineStr">
        <is>
          <t>Bảo Hiểm Y Tế</t>
        </is>
      </c>
    </row>
    <row r="273">
      <c r="A273" s="232" t="n">
        <v>46266</v>
      </c>
      <c r="B273" s="233" t="inlineStr">
        <is>
          <t>Direct</t>
        </is>
      </c>
      <c r="C273" s="233" t="inlineStr">
        <is>
          <t>Application Store</t>
        </is>
      </c>
      <c r="D273" s="234" t="n">
        <v>970</v>
      </c>
      <c r="E273" s="233" t="inlineStr">
        <is>
          <t>Application Store</t>
        </is>
      </c>
    </row>
    <row r="274">
      <c r="A274" s="235" t="n">
        <v>46143</v>
      </c>
      <c r="B274" s="236" t="inlineStr">
        <is>
          <t>Referral</t>
        </is>
      </c>
      <c r="C274" s="236" t="inlineStr">
        <is>
          <t>Điểm Tín Dụng</t>
        </is>
      </c>
      <c r="D274" s="237" t="n">
        <v>206</v>
      </c>
      <c r="E274" s="236" t="inlineStr">
        <is>
          <t>Financial Hub</t>
        </is>
      </c>
    </row>
    <row r="275">
      <c r="A275" s="232" t="n">
        <v>46204</v>
      </c>
      <c r="B275" s="233" t="inlineStr">
        <is>
          <t>Others</t>
        </is>
      </c>
      <c r="C275" s="233" t="inlineStr">
        <is>
          <t>Sim</t>
        </is>
      </c>
      <c r="D275" s="234" t="n">
        <v>124</v>
      </c>
      <c r="E275" s="233" t="inlineStr">
        <is>
          <t>Sim</t>
        </is>
      </c>
    </row>
    <row r="276">
      <c r="A276" s="235" t="n">
        <v>46266</v>
      </c>
      <c r="B276" s="236" t="inlineStr">
        <is>
          <t>Referral</t>
        </is>
      </c>
      <c r="C276" s="236" t="inlineStr">
        <is>
          <t>Điểm Tín Dụng</t>
        </is>
      </c>
      <c r="D276" s="237" t="n">
        <v>335</v>
      </c>
      <c r="E276" s="236" t="inlineStr">
        <is>
          <t>Financial Hub</t>
        </is>
      </c>
    </row>
    <row r="277">
      <c r="A277" s="232" t="n">
        <v>46235</v>
      </c>
      <c r="B277" s="233" t="inlineStr">
        <is>
          <t>Direct</t>
        </is>
      </c>
      <c r="C277" s="233" t="inlineStr">
        <is>
          <t>Điểm Tín Dụng</t>
        </is>
      </c>
      <c r="D277" s="234" t="n">
        <v>523</v>
      </c>
      <c r="E277" s="233" t="inlineStr">
        <is>
          <t>Financial Hub</t>
        </is>
      </c>
    </row>
    <row r="278">
      <c r="A278" s="235" t="n">
        <v>46235</v>
      </c>
      <c r="B278" s="236" t="inlineStr">
        <is>
          <t>Paid</t>
        </is>
      </c>
      <c r="C278" s="236" t="inlineStr">
        <is>
          <t>Blog</t>
        </is>
      </c>
      <c r="D278" s="237" t="n">
        <v>576</v>
      </c>
      <c r="E278" s="236" t="inlineStr">
        <is>
          <t>Blog</t>
        </is>
      </c>
    </row>
    <row r="279">
      <c r="A279" s="232" t="n">
        <v>46235</v>
      </c>
      <c r="B279" s="233" t="inlineStr">
        <is>
          <t>Organic</t>
        </is>
      </c>
      <c r="C279" s="233" t="inlineStr">
        <is>
          <t>Cinema_Landing Page</t>
        </is>
      </c>
      <c r="D279" s="234" t="n">
        <v>88</v>
      </c>
      <c r="E279" s="233" t="inlineStr">
        <is>
          <t>Cinema Hub</t>
        </is>
      </c>
    </row>
    <row r="280">
      <c r="A280" s="235" t="n">
        <v>46266</v>
      </c>
      <c r="B280" s="236" t="inlineStr">
        <is>
          <t>Others</t>
        </is>
      </c>
      <c r="C280" s="236" t="inlineStr">
        <is>
          <t>Điểm Tín Dụng</t>
        </is>
      </c>
      <c r="D280" s="237" t="n">
        <v>249</v>
      </c>
      <c r="E280" s="236" t="inlineStr">
        <is>
          <t>Financial Hub</t>
        </is>
      </c>
    </row>
    <row r="281">
      <c r="A281" s="232" t="n">
        <v>46235</v>
      </c>
      <c r="B281" s="233" t="inlineStr">
        <is>
          <t>Organic</t>
        </is>
      </c>
      <c r="C281" s="233" t="inlineStr">
        <is>
          <t>Thanh Toán Thẻ Tín Dụng</t>
        </is>
      </c>
      <c r="D281" s="234" t="n">
        <v>297</v>
      </c>
      <c r="E281" s="233" t="inlineStr">
        <is>
          <t>Financial Hub</t>
        </is>
      </c>
    </row>
    <row r="282">
      <c r="A282" s="235" t="n">
        <v>46235</v>
      </c>
      <c r="B282" s="236" t="inlineStr">
        <is>
          <t>Referral</t>
        </is>
      </c>
      <c r="C282" s="236" t="inlineStr">
        <is>
          <t>Mở tài khoản ngân hàng</t>
        </is>
      </c>
      <c r="D282" s="237" t="n">
        <v>79</v>
      </c>
      <c r="E282" s="236" t="inlineStr">
        <is>
          <t>Mở tài khoản ngân hàng</t>
        </is>
      </c>
    </row>
    <row r="283">
      <c r="A283" s="232" t="n">
        <v>46235</v>
      </c>
      <c r="B283" s="233" t="inlineStr">
        <is>
          <t>Direct</t>
        </is>
      </c>
      <c r="C283" s="233" t="inlineStr">
        <is>
          <t>Túi Thần Tài</t>
        </is>
      </c>
      <c r="D283" s="234" t="n">
        <v>137</v>
      </c>
      <c r="E283" s="233" t="inlineStr">
        <is>
          <t>Financial Hub</t>
        </is>
      </c>
    </row>
    <row r="284">
      <c r="A284" s="235" t="n">
        <v>46235</v>
      </c>
      <c r="B284" s="236" t="inlineStr">
        <is>
          <t>Referral</t>
        </is>
      </c>
      <c r="C284" s="236" t="inlineStr">
        <is>
          <t>Điện</t>
        </is>
      </c>
      <c r="D284" s="237" t="n">
        <v>94</v>
      </c>
      <c r="E284" s="236" t="inlineStr">
        <is>
          <t>Điện</t>
        </is>
      </c>
    </row>
    <row r="285">
      <c r="A285" s="232" t="n">
        <v>46143</v>
      </c>
      <c r="B285" s="233" t="inlineStr">
        <is>
          <t>Referral</t>
        </is>
      </c>
      <c r="C285" s="233" t="inlineStr">
        <is>
          <t>Hoàn Tiền Mua Sắm</t>
        </is>
      </c>
      <c r="D285" s="234" t="n">
        <v>84</v>
      </c>
      <c r="E285" s="233" t="inlineStr">
        <is>
          <t>Hoàn Tiền Mua Sắm</t>
        </is>
      </c>
    </row>
    <row r="286">
      <c r="A286" s="235" t="n">
        <v>46266</v>
      </c>
      <c r="B286" s="236" t="inlineStr">
        <is>
          <t>Others</t>
        </is>
      </c>
      <c r="C286" s="236" t="inlineStr">
        <is>
          <t>Student Pass</t>
        </is>
      </c>
      <c r="D286" s="237" t="n">
        <v>37</v>
      </c>
      <c r="E286" s="236" t="inlineStr">
        <is>
          <t>Student Hub</t>
        </is>
      </c>
    </row>
    <row r="287">
      <c r="A287" s="232" t="n">
        <v>46204</v>
      </c>
      <c r="B287" s="233" t="inlineStr">
        <is>
          <t>Others</t>
        </is>
      </c>
      <c r="C287" s="233" t="inlineStr">
        <is>
          <t>Merchant</t>
        </is>
      </c>
      <c r="D287" s="234" t="n">
        <v>201</v>
      </c>
      <c r="E287" s="233" t="inlineStr">
        <is>
          <t>Merchant</t>
        </is>
      </c>
    </row>
    <row r="288">
      <c r="A288" s="235" t="n">
        <v>46174</v>
      </c>
      <c r="B288" s="236" t="inlineStr">
        <is>
          <t>Others</t>
        </is>
      </c>
      <c r="C288" s="236" t="inlineStr">
        <is>
          <t>Merchant</t>
        </is>
      </c>
      <c r="D288" s="237" t="n">
        <v>501</v>
      </c>
      <c r="E288" s="236" t="inlineStr">
        <is>
          <t>Merchant</t>
        </is>
      </c>
    </row>
    <row r="289">
      <c r="A289" s="232" t="n">
        <v>46174</v>
      </c>
      <c r="B289" s="233" t="inlineStr">
        <is>
          <t>Paid</t>
        </is>
      </c>
      <c r="C289" s="233" t="inlineStr">
        <is>
          <t>Dịch vụ liên kết</t>
        </is>
      </c>
      <c r="D289" s="234" t="n">
        <v>102</v>
      </c>
      <c r="E289" s="233" t="inlineStr">
        <is>
          <t>Dịch vụ liên kết</t>
        </is>
      </c>
    </row>
    <row r="290">
      <c r="A290" s="235" t="n">
        <v>46174</v>
      </c>
      <c r="B290" s="236" t="inlineStr">
        <is>
          <t>Others</t>
        </is>
      </c>
      <c r="C290" s="236" t="inlineStr">
        <is>
          <t>Cinema_Home Page</t>
        </is>
      </c>
      <c r="D290" s="237" t="n">
        <v>841</v>
      </c>
      <c r="E290" s="236" t="inlineStr">
        <is>
          <t>Cinema Hub</t>
        </is>
      </c>
    </row>
    <row r="291">
      <c r="A291" s="232" t="n">
        <v>46204</v>
      </c>
      <c r="B291" s="233" t="inlineStr">
        <is>
          <t>Referral</t>
        </is>
      </c>
      <c r="C291" s="233" t="inlineStr">
        <is>
          <t>Trả Góp Apple</t>
        </is>
      </c>
      <c r="D291" s="234" t="n">
        <v>46</v>
      </c>
      <c r="E291" s="233" t="inlineStr">
        <is>
          <t>Financial Hub</t>
        </is>
      </c>
    </row>
    <row r="292">
      <c r="A292" s="235" t="n">
        <v>46204</v>
      </c>
      <c r="B292" s="236" t="inlineStr">
        <is>
          <t>Referral</t>
        </is>
      </c>
      <c r="C292" s="236" t="inlineStr">
        <is>
          <t>Điểm Tín Dụng</t>
        </is>
      </c>
      <c r="D292" s="237" t="n">
        <v>296</v>
      </c>
      <c r="E292" s="236" t="inlineStr">
        <is>
          <t>Financial Hub</t>
        </is>
      </c>
    </row>
    <row r="293">
      <c r="A293" s="232" t="n">
        <v>46266</v>
      </c>
      <c r="B293" s="233" t="inlineStr">
        <is>
          <t>Direct</t>
        </is>
      </c>
      <c r="C293" s="233" t="inlineStr">
        <is>
          <t>Mở Thẻ Tín Dụng</t>
        </is>
      </c>
      <c r="D293" s="234" t="n">
        <v>66</v>
      </c>
      <c r="E293" s="233" t="inlineStr">
        <is>
          <t>Financial Hub</t>
        </is>
      </c>
    </row>
    <row r="294">
      <c r="A294" s="235" t="n">
        <v>46174</v>
      </c>
      <c r="B294" s="236" t="inlineStr">
        <is>
          <t>Referral</t>
        </is>
      </c>
      <c r="C294" s="236" t="inlineStr">
        <is>
          <t>Trust</t>
        </is>
      </c>
      <c r="D294" s="237" t="n">
        <v>149</v>
      </c>
      <c r="E294" s="236" t="inlineStr">
        <is>
          <t>Trust</t>
        </is>
      </c>
    </row>
    <row r="295">
      <c r="A295" s="232" t="n">
        <v>46266</v>
      </c>
      <c r="B295" s="233" t="inlineStr">
        <is>
          <t>Others</t>
        </is>
      </c>
      <c r="C295" s="233" t="inlineStr">
        <is>
          <t>Esim</t>
        </is>
      </c>
      <c r="D295" s="234" t="n">
        <v>82</v>
      </c>
      <c r="E295" s="233" t="inlineStr">
        <is>
          <t>Sim</t>
        </is>
      </c>
    </row>
    <row r="296">
      <c r="A296" s="235" t="n">
        <v>46174</v>
      </c>
      <c r="B296" s="236" t="inlineStr">
        <is>
          <t>Paid</t>
        </is>
      </c>
      <c r="C296" s="236" t="inlineStr">
        <is>
          <t>Bảo Hiểm Xe Máy</t>
        </is>
      </c>
      <c r="D296" s="237" t="n">
        <v>537</v>
      </c>
      <c r="E296" s="236" t="inlineStr">
        <is>
          <t>Bảo Hiểm Xe Máy</t>
        </is>
      </c>
    </row>
    <row r="297">
      <c r="A297" s="232" t="n">
        <v>46174</v>
      </c>
      <c r="B297" s="233" t="inlineStr">
        <is>
          <t>Organic</t>
        </is>
      </c>
      <c r="C297" s="233" t="inlineStr">
        <is>
          <t>Cinema_Landing Page</t>
        </is>
      </c>
      <c r="D297" s="234" t="n">
        <v>200</v>
      </c>
      <c r="E297" s="233" t="inlineStr">
        <is>
          <t>Cinema Hub</t>
        </is>
      </c>
    </row>
    <row r="298">
      <c r="A298" s="235" t="n">
        <v>46266</v>
      </c>
      <c r="B298" s="236" t="inlineStr">
        <is>
          <t>Paid</t>
        </is>
      </c>
      <c r="C298" s="236" t="inlineStr">
        <is>
          <t>Dịch vụ liên kết</t>
        </is>
      </c>
      <c r="D298" s="237" t="n">
        <v>566</v>
      </c>
      <c r="E298" s="236" t="inlineStr">
        <is>
          <t>Dịch vụ liên kết</t>
        </is>
      </c>
    </row>
    <row r="299">
      <c r="A299" s="232" t="n">
        <v>46174</v>
      </c>
      <c r="B299" s="233" t="inlineStr">
        <is>
          <t>Others</t>
        </is>
      </c>
      <c r="C299" s="233" t="inlineStr">
        <is>
          <t>Hỏi đáp</t>
        </is>
      </c>
      <c r="D299" s="234" t="n">
        <v>269</v>
      </c>
      <c r="E299" s="233" t="inlineStr">
        <is>
          <t>Hỏi đáp</t>
        </is>
      </c>
    </row>
    <row r="300">
      <c r="A300" s="235" t="n">
        <v>46235</v>
      </c>
      <c r="B300" s="236" t="inlineStr">
        <is>
          <t>Others</t>
        </is>
      </c>
      <c r="C300" s="236" t="inlineStr">
        <is>
          <t>Cinema_Blog</t>
        </is>
      </c>
      <c r="D300" s="237" t="n">
        <v>71</v>
      </c>
      <c r="E300" s="236" t="inlineStr">
        <is>
          <t>Cinema Hub</t>
        </is>
      </c>
    </row>
    <row r="301">
      <c r="A301" s="232" t="n">
        <v>46235</v>
      </c>
      <c r="B301" s="233" t="inlineStr">
        <is>
          <t>Direct</t>
        </is>
      </c>
      <c r="C301" s="233" t="inlineStr">
        <is>
          <t>Tiết Kiệm Online</t>
        </is>
      </c>
      <c r="D301" s="234" t="n">
        <v>16</v>
      </c>
      <c r="E301" s="233" t="inlineStr">
        <is>
          <t>Financial Hub</t>
        </is>
      </c>
    </row>
    <row r="302">
      <c r="A302" s="235" t="n">
        <v>46266</v>
      </c>
      <c r="B302" s="236" t="inlineStr">
        <is>
          <t>Organic</t>
        </is>
      </c>
      <c r="C302" s="236" t="inlineStr">
        <is>
          <t>Tiện Ích Giao Thông</t>
        </is>
      </c>
      <c r="D302" s="237" t="n">
        <v>997</v>
      </c>
      <c r="E302" s="236" t="inlineStr">
        <is>
          <t>Tiện Ích Giao Thông</t>
        </is>
      </c>
    </row>
    <row r="303">
      <c r="A303" s="232" t="n">
        <v>46204</v>
      </c>
      <c r="B303" s="233" t="inlineStr">
        <is>
          <t>Paid</t>
        </is>
      </c>
      <c r="C303" s="233" t="inlineStr">
        <is>
          <t>Vé Xe</t>
        </is>
      </c>
      <c r="D303" s="234" t="n">
        <v>140</v>
      </c>
      <c r="E303" s="233" t="inlineStr">
        <is>
          <t>Vé Xe</t>
        </is>
      </c>
    </row>
    <row r="304">
      <c r="A304" s="235" t="n">
        <v>46143</v>
      </c>
      <c r="B304" s="236" t="inlineStr">
        <is>
          <t>Others</t>
        </is>
      </c>
      <c r="C304" s="236" t="inlineStr">
        <is>
          <t>Quản Lý Chi Tiêu</t>
        </is>
      </c>
      <c r="D304" s="237" t="n">
        <v>23</v>
      </c>
      <c r="E304" s="236" t="inlineStr">
        <is>
          <t>Financial Hub</t>
        </is>
      </c>
    </row>
    <row r="305">
      <c r="A305" s="232" t="n">
        <v>46204</v>
      </c>
      <c r="B305" s="233" t="inlineStr">
        <is>
          <t>Others</t>
        </is>
      </c>
      <c r="C305" s="233" t="inlineStr">
        <is>
          <t>Bảo Hiểm Ô Tô</t>
        </is>
      </c>
      <c r="D305" s="234" t="n">
        <v>199</v>
      </c>
      <c r="E305" s="233" t="inlineStr">
        <is>
          <t>Bảo Hiểm Ô Tô</t>
        </is>
      </c>
    </row>
    <row r="306">
      <c r="A306" s="235" t="n">
        <v>46266</v>
      </c>
      <c r="B306" s="236" t="inlineStr">
        <is>
          <t>Paid</t>
        </is>
      </c>
      <c r="C306" s="236" t="inlineStr">
        <is>
          <t>Cinema_Blog</t>
        </is>
      </c>
      <c r="D306" s="237" t="n">
        <v>165</v>
      </c>
      <c r="E306" s="236" t="inlineStr">
        <is>
          <t>Cinema Hub</t>
        </is>
      </c>
    </row>
    <row r="307">
      <c r="A307" s="232" t="n">
        <v>46266</v>
      </c>
      <c r="B307" s="233" t="inlineStr">
        <is>
          <t>Others</t>
        </is>
      </c>
      <c r="C307" s="233" t="inlineStr">
        <is>
          <t>Blog</t>
        </is>
      </c>
      <c r="D307" s="234" t="n">
        <v>33</v>
      </c>
      <c r="E307" s="233" t="inlineStr">
        <is>
          <t>Blog</t>
        </is>
      </c>
    </row>
    <row r="308">
      <c r="A308" s="235" t="n">
        <v>46174</v>
      </c>
      <c r="B308" s="236" t="inlineStr">
        <is>
          <t>Referral</t>
        </is>
      </c>
      <c r="C308" s="236" t="inlineStr">
        <is>
          <t>Soundbox</t>
        </is>
      </c>
      <c r="D308" s="237" t="n">
        <v>190</v>
      </c>
      <c r="E308" s="236" t="inlineStr">
        <is>
          <t>Soundbox</t>
        </is>
      </c>
    </row>
    <row r="309">
      <c r="A309" s="232" t="n">
        <v>46204</v>
      </c>
      <c r="B309" s="233" t="inlineStr">
        <is>
          <t>Paid</t>
        </is>
      </c>
      <c r="C309" s="233" t="inlineStr">
        <is>
          <t>Cinema_News</t>
        </is>
      </c>
      <c r="D309" s="234" t="n">
        <v>17</v>
      </c>
      <c r="E309" s="233" t="inlineStr">
        <is>
          <t>Cinema Hub</t>
        </is>
      </c>
    </row>
    <row r="310">
      <c r="A310" s="235" t="n">
        <v>46204</v>
      </c>
      <c r="B310" s="236" t="inlineStr">
        <is>
          <t>Paid</t>
        </is>
      </c>
      <c r="C310" s="236" t="inlineStr">
        <is>
          <t>Mở tài khoản ngân hàng</t>
        </is>
      </c>
      <c r="D310" s="237" t="n">
        <v>67</v>
      </c>
      <c r="E310" s="236" t="inlineStr">
        <is>
          <t>Mở tài khoản ngân hàng</t>
        </is>
      </c>
    </row>
    <row r="311">
      <c r="A311" s="232" t="n">
        <v>46174</v>
      </c>
      <c r="B311" s="233" t="inlineStr">
        <is>
          <t>Direct</t>
        </is>
      </c>
      <c r="C311" s="233" t="inlineStr">
        <is>
          <t>Application Store</t>
        </is>
      </c>
      <c r="D311" s="234" t="n">
        <v>383</v>
      </c>
      <c r="E311" s="233" t="inlineStr">
        <is>
          <t>Application Store</t>
        </is>
      </c>
    </row>
    <row r="312">
      <c r="A312" s="235" t="n">
        <v>46174</v>
      </c>
      <c r="B312" s="236" t="inlineStr">
        <is>
          <t>Direct</t>
        </is>
      </c>
      <c r="C312" s="236" t="inlineStr">
        <is>
          <t>Student Pass</t>
        </is>
      </c>
      <c r="D312" s="237" t="n">
        <v>24</v>
      </c>
      <c r="E312" s="236" t="inlineStr">
        <is>
          <t>Student Hub</t>
        </is>
      </c>
    </row>
    <row r="313">
      <c r="A313" s="232" t="n">
        <v>46143</v>
      </c>
      <c r="B313" s="233" t="inlineStr">
        <is>
          <t>Referral</t>
        </is>
      </c>
      <c r="C313" s="233" t="inlineStr">
        <is>
          <t>Điện</t>
        </is>
      </c>
      <c r="D313" s="234" t="n">
        <v>115</v>
      </c>
      <c r="E313" s="233" t="inlineStr">
        <is>
          <t>Điện</t>
        </is>
      </c>
    </row>
    <row r="314">
      <c r="A314" s="235" t="n">
        <v>46174</v>
      </c>
      <c r="B314" s="236" t="inlineStr">
        <is>
          <t>Others</t>
        </is>
      </c>
      <c r="C314" s="236" t="inlineStr">
        <is>
          <t>OTA</t>
        </is>
      </c>
      <c r="D314" s="237" t="n">
        <v>345</v>
      </c>
      <c r="E314" s="236" t="inlineStr">
        <is>
          <t>OTA</t>
        </is>
      </c>
    </row>
    <row r="315">
      <c r="A315" s="232" t="n">
        <v>46143</v>
      </c>
      <c r="B315" s="233" t="inlineStr">
        <is>
          <t>Referral</t>
        </is>
      </c>
      <c r="C315" s="233" t="inlineStr">
        <is>
          <t>Chứng Chỉ Quỹ</t>
        </is>
      </c>
      <c r="D315" s="234" t="n">
        <v>11</v>
      </c>
      <c r="E315" s="233" t="inlineStr">
        <is>
          <t>Financial Hub</t>
        </is>
      </c>
    </row>
    <row r="316">
      <c r="A316" s="235" t="n">
        <v>46204</v>
      </c>
      <c r="B316" s="236" t="inlineStr">
        <is>
          <t>Others</t>
        </is>
      </c>
      <c r="C316" s="236" t="inlineStr">
        <is>
          <t>Hỏi đáp</t>
        </is>
      </c>
      <c r="D316" s="237" t="n">
        <v>201</v>
      </c>
      <c r="E316" s="236" t="inlineStr">
        <is>
          <t>Hỏi đáp</t>
        </is>
      </c>
    </row>
    <row r="317">
      <c r="A317" s="232" t="n">
        <v>46204</v>
      </c>
      <c r="B317" s="233" t="inlineStr">
        <is>
          <t>Direct</t>
        </is>
      </c>
      <c r="C317" s="233" t="inlineStr">
        <is>
          <t>Cross Border</t>
        </is>
      </c>
      <c r="D317" s="234" t="n">
        <v>209</v>
      </c>
      <c r="E317" s="233" t="inlineStr">
        <is>
          <t>Cross Border</t>
        </is>
      </c>
    </row>
    <row r="318">
      <c r="A318" s="235" t="n">
        <v>46143</v>
      </c>
      <c r="B318" s="236" t="inlineStr">
        <is>
          <t>Others</t>
        </is>
      </c>
      <c r="C318" s="236" t="inlineStr">
        <is>
          <t>Bảo Hiểm Y Tế</t>
        </is>
      </c>
      <c r="D318" s="237" t="n">
        <v>47</v>
      </c>
      <c r="E318" s="236" t="inlineStr">
        <is>
          <t>Bảo Hiểm Y Tế</t>
        </is>
      </c>
    </row>
    <row r="319">
      <c r="A319" s="232" t="n">
        <v>46143</v>
      </c>
      <c r="B319" s="233" t="inlineStr">
        <is>
          <t>Paid</t>
        </is>
      </c>
      <c r="C319" s="233" t="inlineStr">
        <is>
          <t>Blog</t>
        </is>
      </c>
      <c r="D319" s="234" t="n">
        <v>5</v>
      </c>
      <c r="E319" s="233" t="inlineStr">
        <is>
          <t>Blog</t>
        </is>
      </c>
    </row>
    <row r="320">
      <c r="A320" s="235" t="n">
        <v>46235</v>
      </c>
      <c r="B320" s="236" t="inlineStr">
        <is>
          <t>Organic</t>
        </is>
      </c>
      <c r="C320" s="236" t="inlineStr">
        <is>
          <t>Tiết Kiệm Online</t>
        </is>
      </c>
      <c r="D320" s="237" t="n">
        <v>462</v>
      </c>
      <c r="E320" s="236" t="inlineStr">
        <is>
          <t>Financial Hub</t>
        </is>
      </c>
    </row>
    <row r="321">
      <c r="A321" s="232" t="n">
        <v>46174</v>
      </c>
      <c r="B321" s="233" t="inlineStr">
        <is>
          <t>Paid</t>
        </is>
      </c>
      <c r="C321" s="233" t="inlineStr">
        <is>
          <t>Data</t>
        </is>
      </c>
      <c r="D321" s="234" t="n">
        <v>152</v>
      </c>
      <c r="E321" s="233" t="inlineStr">
        <is>
          <t>Data</t>
        </is>
      </c>
    </row>
    <row r="322">
      <c r="A322" s="235" t="n">
        <v>46174</v>
      </c>
      <c r="B322" s="236" t="inlineStr">
        <is>
          <t>Direct</t>
        </is>
      </c>
      <c r="C322" s="236" t="inlineStr">
        <is>
          <t>Hoàn Tiền Mua Sắm</t>
        </is>
      </c>
      <c r="D322" s="237" t="n">
        <v>337</v>
      </c>
      <c r="E322" s="236" t="inlineStr">
        <is>
          <t>Hoàn Tiền Mua Sắm</t>
        </is>
      </c>
    </row>
    <row r="323">
      <c r="A323" s="232" t="n">
        <v>46174</v>
      </c>
      <c r="B323" s="233" t="inlineStr">
        <is>
          <t>Others</t>
        </is>
      </c>
      <c r="C323" s="233" t="inlineStr">
        <is>
          <t>Guide</t>
        </is>
      </c>
      <c r="D323" s="234" t="n">
        <v>153</v>
      </c>
      <c r="E323" s="233" t="inlineStr">
        <is>
          <t>Guide</t>
        </is>
      </c>
    </row>
    <row r="324">
      <c r="A324" s="235" t="n">
        <v>46174</v>
      </c>
      <c r="B324" s="236" t="inlineStr">
        <is>
          <t>Others</t>
        </is>
      </c>
      <c r="C324" s="236" t="inlineStr">
        <is>
          <t>Blog</t>
        </is>
      </c>
      <c r="D324" s="237" t="n">
        <v>16</v>
      </c>
      <c r="E324" s="236" t="inlineStr">
        <is>
          <t>Blog</t>
        </is>
      </c>
    </row>
    <row r="325">
      <c r="A325" s="232" t="n">
        <v>46266</v>
      </c>
      <c r="B325" s="233" t="inlineStr">
        <is>
          <t>Others</t>
        </is>
      </c>
      <c r="C325" s="233" t="inlineStr">
        <is>
          <t>Application Store</t>
        </is>
      </c>
      <c r="D325" s="234" t="n">
        <v>199</v>
      </c>
      <c r="E325" s="233" t="inlineStr">
        <is>
          <t>Application Store</t>
        </is>
      </c>
    </row>
    <row r="326">
      <c r="A326" s="235" t="n">
        <v>46143</v>
      </c>
      <c r="B326" s="236" t="inlineStr">
        <is>
          <t>Paid</t>
        </is>
      </c>
      <c r="C326" s="236" t="inlineStr">
        <is>
          <t>Cinema_Home Page</t>
        </is>
      </c>
      <c r="D326" s="237" t="n">
        <v>89</v>
      </c>
      <c r="E326" s="236" t="inlineStr">
        <is>
          <t>Cinema Hub</t>
        </is>
      </c>
    </row>
    <row r="327">
      <c r="A327" s="232" t="n">
        <v>46143</v>
      </c>
      <c r="B327" s="233" t="inlineStr">
        <is>
          <t>Paid</t>
        </is>
      </c>
      <c r="C327" s="233" t="inlineStr">
        <is>
          <t>OTA</t>
        </is>
      </c>
      <c r="D327" s="234" t="n">
        <v>144</v>
      </c>
      <c r="E327" s="233" t="inlineStr">
        <is>
          <t>OTA</t>
        </is>
      </c>
    </row>
    <row r="328">
      <c r="A328" s="235" t="n">
        <v>46204</v>
      </c>
      <c r="B328" s="236" t="inlineStr">
        <is>
          <t>Direct</t>
        </is>
      </c>
      <c r="C328" s="236" t="inlineStr">
        <is>
          <t>Túi Thần Tài</t>
        </is>
      </c>
      <c r="D328" s="237" t="n">
        <v>139</v>
      </c>
      <c r="E328" s="236" t="inlineStr">
        <is>
          <t>Financial Hub</t>
        </is>
      </c>
    </row>
    <row r="329">
      <c r="A329" s="232" t="n">
        <v>46266</v>
      </c>
      <c r="B329" s="233" t="inlineStr">
        <is>
          <t>Referral</t>
        </is>
      </c>
      <c r="C329" s="233" t="inlineStr">
        <is>
          <t>Tiện Ích Giao Thông</t>
        </is>
      </c>
      <c r="D329" s="234" t="n">
        <v>23</v>
      </c>
      <c r="E329" s="233" t="inlineStr">
        <is>
          <t>Tiện Ích Giao Thông</t>
        </is>
      </c>
    </row>
    <row r="330">
      <c r="A330" s="235" t="n">
        <v>46235</v>
      </c>
      <c r="B330" s="236" t="inlineStr">
        <is>
          <t>Others</t>
        </is>
      </c>
      <c r="C330" s="236" t="inlineStr">
        <is>
          <t>Sim</t>
        </is>
      </c>
      <c r="D330" s="237" t="n">
        <v>41</v>
      </c>
      <c r="E330" s="236" t="inlineStr">
        <is>
          <t>Sim</t>
        </is>
      </c>
    </row>
    <row r="331">
      <c r="A331" s="232" t="n">
        <v>46296</v>
      </c>
      <c r="B331" s="233" t="inlineStr">
        <is>
          <t>Organic</t>
        </is>
      </c>
      <c r="C331" s="233" t="inlineStr">
        <is>
          <t>Bảo Hiểm Sức Khỏe</t>
        </is>
      </c>
      <c r="D331" s="234" t="n">
        <v>63</v>
      </c>
      <c r="E331" s="233" t="inlineStr">
        <is>
          <t>Bảo Hiểm Sức Khỏe</t>
        </is>
      </c>
    </row>
    <row r="332">
      <c r="A332" s="235" t="n">
        <v>46296</v>
      </c>
      <c r="B332" s="236" t="inlineStr">
        <is>
          <t>Direct</t>
        </is>
      </c>
      <c r="C332" s="236" t="inlineStr">
        <is>
          <t>Túi Thần Tài</t>
        </is>
      </c>
      <c r="D332" s="237" t="n">
        <v>74</v>
      </c>
      <c r="E332" s="236" t="inlineStr">
        <is>
          <t>Financial Hub</t>
        </is>
      </c>
    </row>
    <row r="333">
      <c r="A333" s="232" t="n">
        <v>46296</v>
      </c>
      <c r="B333" s="233" t="inlineStr">
        <is>
          <t>Paid</t>
        </is>
      </c>
      <c r="C333" s="233" t="inlineStr">
        <is>
          <t>Tin Tức</t>
        </is>
      </c>
      <c r="D333" s="234" t="n">
        <v>19</v>
      </c>
      <c r="E333" s="233" t="inlineStr">
        <is>
          <t>Tin Tức</t>
        </is>
      </c>
    </row>
    <row r="334">
      <c r="A334" s="235" t="n">
        <v>46296</v>
      </c>
      <c r="B334" s="236" t="inlineStr">
        <is>
          <t>Paid</t>
        </is>
      </c>
      <c r="C334" s="236" t="inlineStr">
        <is>
          <t>Mở tài khoản ngân hàng</t>
        </is>
      </c>
      <c r="D334" s="237" t="n">
        <v>55</v>
      </c>
      <c r="E334" s="236" t="inlineStr">
        <is>
          <t>Mở tài khoản ngân hàng</t>
        </is>
      </c>
    </row>
    <row r="335">
      <c r="A335" s="232" t="n">
        <v>46296</v>
      </c>
      <c r="B335" s="233" t="inlineStr">
        <is>
          <t>Others</t>
        </is>
      </c>
      <c r="C335" s="233" t="inlineStr">
        <is>
          <t>Mở Thẻ Tín Dụng</t>
        </is>
      </c>
      <c r="D335" s="234" t="n">
        <v>7</v>
      </c>
      <c r="E335" s="233" t="inlineStr">
        <is>
          <t>Financial Hub</t>
        </is>
      </c>
    </row>
    <row r="336">
      <c r="A336" s="235" t="n">
        <v>46296</v>
      </c>
      <c r="B336" s="236" t="inlineStr">
        <is>
          <t>Paid</t>
        </is>
      </c>
      <c r="C336" s="236" t="inlineStr">
        <is>
          <t>Cross Border</t>
        </is>
      </c>
      <c r="D336" s="237" t="n">
        <v>6</v>
      </c>
      <c r="E336" s="236" t="inlineStr">
        <is>
          <t>Cross Border</t>
        </is>
      </c>
    </row>
    <row r="337">
      <c r="A337" s="232" t="n">
        <v>46296</v>
      </c>
      <c r="B337" s="233" t="inlineStr">
        <is>
          <t>Others</t>
        </is>
      </c>
      <c r="C337" s="233" t="inlineStr">
        <is>
          <t>Application Store</t>
        </is>
      </c>
      <c r="D337" s="234" t="n">
        <v>69</v>
      </c>
      <c r="E337" s="233" t="inlineStr">
        <is>
          <t>Application Store</t>
        </is>
      </c>
    </row>
    <row r="338">
      <c r="A338" s="235" t="n">
        <v>46296</v>
      </c>
      <c r="B338" s="236" t="inlineStr">
        <is>
          <t>Others</t>
        </is>
      </c>
      <c r="C338" s="236" t="inlineStr">
        <is>
          <t>Hoàn Tiền Mua Sắm</t>
        </is>
      </c>
      <c r="D338" s="237" t="n">
        <v>61</v>
      </c>
      <c r="E338" s="236" t="inlineStr">
        <is>
          <t>Hoàn Tiền Mua Sắm</t>
        </is>
      </c>
    </row>
    <row r="339">
      <c r="A339" s="232" t="n">
        <v>46266</v>
      </c>
      <c r="B339" s="233" t="inlineStr">
        <is>
          <t>Paid</t>
        </is>
      </c>
      <c r="C339" s="233" t="inlineStr">
        <is>
          <t>Túi Thần Tài</t>
        </is>
      </c>
      <c r="D339" s="234" t="n">
        <v>8</v>
      </c>
      <c r="E339" s="233" t="inlineStr">
        <is>
          <t>Financial Hub</t>
        </is>
      </c>
    </row>
    <row r="340">
      <c r="A340" s="235" t="n">
        <v>46204</v>
      </c>
      <c r="B340" s="236" t="inlineStr">
        <is>
          <t>Referral</t>
        </is>
      </c>
      <c r="C340" s="236" t="inlineStr">
        <is>
          <t>Hoàn Tiền Mua Sắm</t>
        </is>
      </c>
      <c r="D340" s="237" t="n">
        <v>69</v>
      </c>
      <c r="E340" s="236" t="inlineStr">
        <is>
          <t>Hoàn Tiền Mua Sắm</t>
        </is>
      </c>
    </row>
    <row r="341">
      <c r="A341" s="232" t="n">
        <v>46143</v>
      </c>
      <c r="B341" s="233" t="inlineStr">
        <is>
          <t>Others</t>
        </is>
      </c>
      <c r="C341" s="233" t="inlineStr">
        <is>
          <t>P2P</t>
        </is>
      </c>
      <c r="D341" s="234" t="n">
        <v>66</v>
      </c>
      <c r="E341" s="233" t="inlineStr">
        <is>
          <t>P2P</t>
        </is>
      </c>
    </row>
    <row r="342">
      <c r="A342" s="235" t="n">
        <v>46174</v>
      </c>
      <c r="B342" s="236" t="inlineStr">
        <is>
          <t>Referral</t>
        </is>
      </c>
      <c r="C342" s="236" t="inlineStr">
        <is>
          <t>Student Pass</t>
        </is>
      </c>
      <c r="D342" s="237" t="n">
        <v>13</v>
      </c>
      <c r="E342" s="236" t="inlineStr">
        <is>
          <t>Student Hub</t>
        </is>
      </c>
    </row>
    <row r="343">
      <c r="A343" s="232" t="n">
        <v>46266</v>
      </c>
      <c r="B343" s="233" t="inlineStr">
        <is>
          <t>Others</t>
        </is>
      </c>
      <c r="C343" s="233" t="inlineStr">
        <is>
          <t>P2P</t>
        </is>
      </c>
      <c r="D343" s="234" t="n">
        <v>33</v>
      </c>
      <c r="E343" s="233" t="inlineStr">
        <is>
          <t>P2P</t>
        </is>
      </c>
    </row>
    <row r="344">
      <c r="A344" s="235" t="n">
        <v>46174</v>
      </c>
      <c r="B344" s="236" t="inlineStr">
        <is>
          <t>Direct</t>
        </is>
      </c>
      <c r="C344" s="236" t="inlineStr">
        <is>
          <t>Tiết Kiệm Online</t>
        </is>
      </c>
      <c r="D344" s="237" t="n">
        <v>18</v>
      </c>
      <c r="E344" s="236" t="inlineStr">
        <is>
          <t>Financial Hub</t>
        </is>
      </c>
    </row>
    <row r="345">
      <c r="A345" s="232" t="n">
        <v>46143</v>
      </c>
      <c r="B345" s="233" t="inlineStr">
        <is>
          <t>Paid</t>
        </is>
      </c>
      <c r="C345" s="233" t="inlineStr">
        <is>
          <t>Dịch vụ liên kết</t>
        </is>
      </c>
      <c r="D345" s="234" t="n">
        <v>29</v>
      </c>
      <c r="E345" s="233" t="inlineStr">
        <is>
          <t>Dịch vụ liên kết</t>
        </is>
      </c>
    </row>
    <row r="346">
      <c r="A346" s="235" t="n">
        <v>46235</v>
      </c>
      <c r="B346" s="236" t="inlineStr">
        <is>
          <t>Referral</t>
        </is>
      </c>
      <c r="C346" s="236" t="inlineStr">
        <is>
          <t>Student Hub</t>
        </is>
      </c>
      <c r="D346" s="237" t="n">
        <v>6</v>
      </c>
      <c r="E346" s="236" t="inlineStr">
        <is>
          <t>Student Hub</t>
        </is>
      </c>
    </row>
    <row r="347">
      <c r="A347" s="232" t="n">
        <v>46143</v>
      </c>
      <c r="B347" s="233" t="inlineStr">
        <is>
          <t>Direct</t>
        </is>
      </c>
      <c r="C347" s="233" t="inlineStr">
        <is>
          <t>Chứng Khoán</t>
        </is>
      </c>
      <c r="D347" s="234" t="n">
        <v>39</v>
      </c>
      <c r="E347" s="233" t="inlineStr">
        <is>
          <t>Financial Hub</t>
        </is>
      </c>
    </row>
    <row r="348">
      <c r="A348" s="235" t="n">
        <v>46235</v>
      </c>
      <c r="B348" s="236" t="inlineStr">
        <is>
          <t>Others</t>
        </is>
      </c>
      <c r="C348" s="236" t="inlineStr">
        <is>
          <t>Trả Góp Apple</t>
        </is>
      </c>
      <c r="D348" s="237" t="n">
        <v>6</v>
      </c>
      <c r="E348" s="236" t="inlineStr">
        <is>
          <t>Financial Hub</t>
        </is>
      </c>
    </row>
    <row r="349">
      <c r="A349" s="232" t="n">
        <v>46174</v>
      </c>
      <c r="B349" s="233" t="inlineStr">
        <is>
          <t>Paid</t>
        </is>
      </c>
      <c r="C349" s="233" t="inlineStr">
        <is>
          <t>Trả Góp Apple</t>
        </is>
      </c>
      <c r="D349" s="234" t="n">
        <v>40</v>
      </c>
      <c r="E349" s="233" t="inlineStr">
        <is>
          <t>Financial Hub</t>
        </is>
      </c>
    </row>
    <row r="350">
      <c r="A350" s="235" t="n">
        <v>46235</v>
      </c>
      <c r="B350" s="236" t="inlineStr">
        <is>
          <t>Paid</t>
        </is>
      </c>
      <c r="C350" s="236" t="inlineStr">
        <is>
          <t>Cinema_News</t>
        </is>
      </c>
      <c r="D350" s="237" t="n">
        <v>32</v>
      </c>
      <c r="E350" s="236" t="inlineStr">
        <is>
          <t>Cinema Hub</t>
        </is>
      </c>
    </row>
    <row r="351">
      <c r="A351" s="232" t="n">
        <v>46296</v>
      </c>
      <c r="B351" s="233" t="inlineStr">
        <is>
          <t>Others</t>
        </is>
      </c>
      <c r="C351" s="233" t="inlineStr">
        <is>
          <t>Tiệm Vàng Online</t>
        </is>
      </c>
      <c r="D351" s="234" t="n">
        <v>1</v>
      </c>
      <c r="E351" s="233" t="inlineStr">
        <is>
          <t>Tiệm Vàng Online</t>
        </is>
      </c>
    </row>
    <row r="352">
      <c r="A352" s="235" t="n">
        <v>46296</v>
      </c>
      <c r="B352" s="236" t="inlineStr">
        <is>
          <t>Others</t>
        </is>
      </c>
      <c r="C352" s="236" t="inlineStr">
        <is>
          <t>Billpay</t>
        </is>
      </c>
      <c r="D352" s="237" t="n">
        <v>17</v>
      </c>
      <c r="E352" s="236" t="inlineStr">
        <is>
          <t>Billpay</t>
        </is>
      </c>
    </row>
    <row r="353">
      <c r="A353" s="232" t="n">
        <v>46296</v>
      </c>
      <c r="B353" s="233" t="inlineStr">
        <is>
          <t>Others</t>
        </is>
      </c>
      <c r="C353" s="233" t="inlineStr">
        <is>
          <t>Cinema_Blog</t>
        </is>
      </c>
      <c r="D353" s="234" t="n">
        <v>39</v>
      </c>
      <c r="E353" s="233" t="inlineStr">
        <is>
          <t>Cinema Hub</t>
        </is>
      </c>
    </row>
    <row r="354">
      <c r="A354" s="235" t="n">
        <v>46143</v>
      </c>
      <c r="B354" s="236" t="inlineStr">
        <is>
          <t>Others</t>
        </is>
      </c>
      <c r="C354" s="236" t="inlineStr">
        <is>
          <t>Trả Góp Apple</t>
        </is>
      </c>
      <c r="D354" s="237" t="n">
        <v>12</v>
      </c>
      <c r="E354" s="236" t="inlineStr">
        <is>
          <t>Financial Hub</t>
        </is>
      </c>
    </row>
    <row r="355">
      <c r="A355" s="232" t="n">
        <v>46174</v>
      </c>
      <c r="B355" s="233" t="inlineStr">
        <is>
          <t>Others</t>
        </is>
      </c>
      <c r="C355" s="233" t="inlineStr">
        <is>
          <t>Điện</t>
        </is>
      </c>
      <c r="D355" s="234" t="n">
        <v>13</v>
      </c>
      <c r="E355" s="233" t="inlineStr">
        <is>
          <t>Điện</t>
        </is>
      </c>
    </row>
    <row r="356">
      <c r="A356" s="235" t="n">
        <v>46266</v>
      </c>
      <c r="B356" s="236" t="inlineStr">
        <is>
          <t>Others</t>
        </is>
      </c>
      <c r="C356" s="236" t="inlineStr">
        <is>
          <t>Hoàn Tiền Mua Sắm</t>
        </is>
      </c>
      <c r="D356" s="237" t="n">
        <v>26</v>
      </c>
      <c r="E356" s="236" t="inlineStr">
        <is>
          <t>Hoàn Tiền Mua Sắm</t>
        </is>
      </c>
    </row>
    <row r="357">
      <c r="A357" s="232" t="n">
        <v>46143</v>
      </c>
      <c r="B357" s="233" t="inlineStr">
        <is>
          <t>Paid</t>
        </is>
      </c>
      <c r="C357" s="233" t="inlineStr">
        <is>
          <t>Thanh Toán Khoản Vay</t>
        </is>
      </c>
      <c r="D357" s="234" t="n">
        <v>38</v>
      </c>
      <c r="E357" s="233" t="inlineStr">
        <is>
          <t>Financial Hub</t>
        </is>
      </c>
    </row>
    <row r="358">
      <c r="A358" s="235" t="n">
        <v>46143</v>
      </c>
      <c r="B358" s="236" t="inlineStr">
        <is>
          <t>Paid</t>
        </is>
      </c>
      <c r="C358" s="236" t="inlineStr">
        <is>
          <t>Mở Thẻ Tín Dụng</t>
        </is>
      </c>
      <c r="D358" s="237" t="n">
        <v>4</v>
      </c>
      <c r="E358" s="236" t="inlineStr">
        <is>
          <t>Financial Hub</t>
        </is>
      </c>
    </row>
    <row r="359">
      <c r="A359" s="232" t="n">
        <v>46296</v>
      </c>
      <c r="B359" s="233" t="inlineStr">
        <is>
          <t>Referral</t>
        </is>
      </c>
      <c r="C359" s="233" t="inlineStr">
        <is>
          <t>Thanh Toán Thẻ Tín Dụng</t>
        </is>
      </c>
      <c r="D359" s="234" t="n">
        <v>9</v>
      </c>
      <c r="E359" s="233" t="inlineStr">
        <is>
          <t>Financial Hub</t>
        </is>
      </c>
    </row>
    <row r="360">
      <c r="A360" s="235" t="n">
        <v>46204</v>
      </c>
      <c r="B360" s="236" t="inlineStr">
        <is>
          <t>Others</t>
        </is>
      </c>
      <c r="C360" s="236" t="inlineStr">
        <is>
          <t>Blog</t>
        </is>
      </c>
      <c r="D360" s="237" t="n">
        <v>13</v>
      </c>
      <c r="E360" s="236" t="inlineStr">
        <is>
          <t>Blog</t>
        </is>
      </c>
    </row>
    <row r="361">
      <c r="A361" s="232" t="n">
        <v>46143</v>
      </c>
      <c r="B361" s="233" t="inlineStr">
        <is>
          <t>Paid</t>
        </is>
      </c>
      <c r="C361" s="233" t="inlineStr">
        <is>
          <t>Bảo Hiểm Y Tế</t>
        </is>
      </c>
      <c r="D361" s="234" t="n">
        <v>10</v>
      </c>
      <c r="E361" s="233" t="inlineStr">
        <is>
          <t>Bảo Hiểm Y Tế</t>
        </is>
      </c>
    </row>
    <row r="362">
      <c r="A362" s="235" t="n">
        <v>46143</v>
      </c>
      <c r="B362" s="236" t="inlineStr">
        <is>
          <t>Paid</t>
        </is>
      </c>
      <c r="C362" s="236" t="inlineStr">
        <is>
          <t>Điểm Tín Dụng</t>
        </is>
      </c>
      <c r="D362" s="237" t="n">
        <v>34</v>
      </c>
      <c r="E362" s="236" t="inlineStr">
        <is>
          <t>Financial Hub</t>
        </is>
      </c>
    </row>
    <row r="363">
      <c r="A363" s="232" t="n">
        <v>46204</v>
      </c>
      <c r="B363" s="233" t="inlineStr">
        <is>
          <t>Paid</t>
        </is>
      </c>
      <c r="C363" s="233" t="inlineStr">
        <is>
          <t>Cross Border</t>
        </is>
      </c>
      <c r="D363" s="234" t="n">
        <v>11</v>
      </c>
      <c r="E363" s="233" t="inlineStr">
        <is>
          <t>Cross Border</t>
        </is>
      </c>
    </row>
    <row r="364">
      <c r="A364" s="235" t="n">
        <v>46174</v>
      </c>
      <c r="B364" s="236" t="inlineStr">
        <is>
          <t>Direct</t>
        </is>
      </c>
      <c r="C364" s="236" t="inlineStr">
        <is>
          <t>Chứng Khoán</t>
        </is>
      </c>
      <c r="D364" s="237" t="n">
        <v>51</v>
      </c>
      <c r="E364" s="236" t="inlineStr">
        <is>
          <t>Financial Hub</t>
        </is>
      </c>
    </row>
    <row r="365">
      <c r="A365" s="232" t="n">
        <v>46266</v>
      </c>
      <c r="B365" s="233" t="inlineStr">
        <is>
          <t>Others</t>
        </is>
      </c>
      <c r="C365" s="233" t="inlineStr">
        <is>
          <t>Phí Không Dừng</t>
        </is>
      </c>
      <c r="D365" s="234" t="n">
        <v>11</v>
      </c>
      <c r="E365" s="233" t="inlineStr">
        <is>
          <t>Phí Không Dừng</t>
        </is>
      </c>
    </row>
    <row r="366">
      <c r="A366" s="235" t="n">
        <v>46204</v>
      </c>
      <c r="B366" s="236" t="inlineStr">
        <is>
          <t>Others</t>
        </is>
      </c>
      <c r="C366" s="236" t="inlineStr">
        <is>
          <t>Tiết Kiệm Online</t>
        </is>
      </c>
      <c r="D366" s="237" t="n">
        <v>3</v>
      </c>
      <c r="E366" s="236" t="inlineStr">
        <is>
          <t>Financial Hub</t>
        </is>
      </c>
    </row>
    <row r="367">
      <c r="A367" s="232" t="n">
        <v>46204</v>
      </c>
      <c r="B367" s="233" t="inlineStr">
        <is>
          <t>Paid</t>
        </is>
      </c>
      <c r="C367" s="233" t="inlineStr">
        <is>
          <t>Thanh Toán Khoản Vay</t>
        </is>
      </c>
      <c r="D367" s="234" t="n">
        <v>7</v>
      </c>
      <c r="E367" s="233" t="inlineStr">
        <is>
          <t>Financial Hub</t>
        </is>
      </c>
    </row>
    <row r="368">
      <c r="A368" s="235" t="n">
        <v>46174</v>
      </c>
      <c r="B368" s="236" t="inlineStr">
        <is>
          <t>Referral</t>
        </is>
      </c>
      <c r="C368" s="236" t="inlineStr">
        <is>
          <t>Hoàn Tiền Mua Sắm</t>
        </is>
      </c>
      <c r="D368" s="237" t="n">
        <v>40</v>
      </c>
      <c r="E368" s="236" t="inlineStr">
        <is>
          <t>Hoàn Tiền Mua Sắm</t>
        </is>
      </c>
    </row>
    <row r="369">
      <c r="A369" s="232" t="n">
        <v>46143</v>
      </c>
      <c r="B369" s="233" t="inlineStr">
        <is>
          <t>Others</t>
        </is>
      </c>
      <c r="C369" s="233" t="inlineStr">
        <is>
          <t>Thanh Toán Khoản Vay</t>
        </is>
      </c>
      <c r="D369" s="234" t="n">
        <v>10</v>
      </c>
      <c r="E369" s="233" t="inlineStr">
        <is>
          <t>Financial Hub</t>
        </is>
      </c>
    </row>
    <row r="370">
      <c r="A370" s="235" t="n">
        <v>46204</v>
      </c>
      <c r="B370" s="236" t="inlineStr">
        <is>
          <t>Direct</t>
        </is>
      </c>
      <c r="C370" s="236" t="inlineStr">
        <is>
          <t>Sàn Đầu Tư</t>
        </is>
      </c>
      <c r="D370" s="237" t="n">
        <v>3</v>
      </c>
      <c r="E370" s="236" t="inlineStr">
        <is>
          <t>Financial Hub</t>
        </is>
      </c>
    </row>
    <row r="371">
      <c r="A371" s="232" t="n">
        <v>46174</v>
      </c>
      <c r="B371" s="233" t="inlineStr">
        <is>
          <t>Referral</t>
        </is>
      </c>
      <c r="C371" s="233" t="inlineStr">
        <is>
          <t>Mở Thẻ Tín Dụng</t>
        </is>
      </c>
      <c r="D371" s="234" t="n">
        <v>44</v>
      </c>
      <c r="E371" s="233" t="inlineStr">
        <is>
          <t>Financial Hub</t>
        </is>
      </c>
    </row>
    <row r="372">
      <c r="A372" s="235" t="n">
        <v>46143</v>
      </c>
      <c r="B372" s="236" t="inlineStr">
        <is>
          <t>Paid</t>
        </is>
      </c>
      <c r="C372" s="236" t="inlineStr">
        <is>
          <t>Hoàn Tiền Mua Sắm</t>
        </is>
      </c>
      <c r="D372" s="237" t="n">
        <v>4</v>
      </c>
      <c r="E372" s="236" t="inlineStr">
        <is>
          <t>Hoàn Tiền Mua Sắm</t>
        </is>
      </c>
    </row>
    <row r="373">
      <c r="A373" s="232" t="n">
        <v>46296</v>
      </c>
      <c r="B373" s="233" t="inlineStr">
        <is>
          <t>Referral</t>
        </is>
      </c>
      <c r="C373" s="233" t="inlineStr">
        <is>
          <t>Trung tâm tài chính</t>
        </is>
      </c>
      <c r="D373" s="234" t="n">
        <v>21</v>
      </c>
      <c r="E373" s="233" t="inlineStr">
        <is>
          <t>Trung tâm tài chính</t>
        </is>
      </c>
    </row>
    <row r="374">
      <c r="A374" s="235" t="n">
        <v>46296</v>
      </c>
      <c r="B374" s="236" t="inlineStr">
        <is>
          <t>Paid</t>
        </is>
      </c>
      <c r="C374" s="236" t="inlineStr">
        <is>
          <t>Tiệm Vàng Online</t>
        </is>
      </c>
      <c r="D374" s="237" t="n">
        <v>2</v>
      </c>
      <c r="E374" s="236" t="inlineStr">
        <is>
          <t>Tiệm Vàng Online</t>
        </is>
      </c>
    </row>
    <row r="375">
      <c r="A375" s="232" t="n">
        <v>46296</v>
      </c>
      <c r="B375" s="233" t="inlineStr">
        <is>
          <t>Referral</t>
        </is>
      </c>
      <c r="C375" s="233" t="inlineStr">
        <is>
          <t>Student Hub</t>
        </is>
      </c>
      <c r="D375" s="234" t="n">
        <v>5</v>
      </c>
      <c r="E375" s="233" t="inlineStr">
        <is>
          <t>Student Hub</t>
        </is>
      </c>
    </row>
    <row r="376">
      <c r="A376" s="235" t="n">
        <v>46143</v>
      </c>
      <c r="B376" s="236" t="inlineStr">
        <is>
          <t>Others</t>
        </is>
      </c>
      <c r="C376" s="236" t="inlineStr">
        <is>
          <t>Điện</t>
        </is>
      </c>
      <c r="D376" s="237" t="n">
        <v>28</v>
      </c>
      <c r="E376" s="236" t="inlineStr">
        <is>
          <t>Điện</t>
        </is>
      </c>
    </row>
    <row r="377">
      <c r="A377" s="232" t="n">
        <v>46204</v>
      </c>
      <c r="B377" s="233" t="inlineStr">
        <is>
          <t>Others</t>
        </is>
      </c>
      <c r="C377" s="233" t="inlineStr">
        <is>
          <t>Mở Thẻ Tín Dụng</t>
        </is>
      </c>
      <c r="D377" s="234" t="n">
        <v>17</v>
      </c>
      <c r="E377" s="233" t="inlineStr">
        <is>
          <t>Financial Hub</t>
        </is>
      </c>
    </row>
    <row r="378">
      <c r="A378" s="235" t="n">
        <v>46143</v>
      </c>
      <c r="B378" s="236" t="inlineStr">
        <is>
          <t>Referral</t>
        </is>
      </c>
      <c r="C378" s="236" t="inlineStr">
        <is>
          <t>Thanh Toán Thẻ Tín Dụng</t>
        </is>
      </c>
      <c r="D378" s="237" t="n">
        <v>23</v>
      </c>
      <c r="E378" s="236" t="inlineStr">
        <is>
          <t>Financial Hub</t>
        </is>
      </c>
    </row>
    <row r="379">
      <c r="A379" s="232" t="n">
        <v>46266</v>
      </c>
      <c r="B379" s="233" t="inlineStr">
        <is>
          <t>Paid</t>
        </is>
      </c>
      <c r="C379" s="233" t="inlineStr">
        <is>
          <t>Tiệm Vàng Online</t>
        </is>
      </c>
      <c r="D379" s="234" t="n">
        <v>16</v>
      </c>
      <c r="E379" s="233" t="inlineStr">
        <is>
          <t>Tiệm Vàng Online</t>
        </is>
      </c>
    </row>
    <row r="380">
      <c r="A380" s="235" t="n">
        <v>46235</v>
      </c>
      <c r="B380" s="236" t="inlineStr">
        <is>
          <t>Others</t>
        </is>
      </c>
      <c r="C380" s="236" t="inlineStr">
        <is>
          <t>Mở Thẻ Tín Dụng</t>
        </is>
      </c>
      <c r="D380" s="237" t="n">
        <v>3</v>
      </c>
      <c r="E380" s="236" t="inlineStr">
        <is>
          <t>Financial Hub</t>
        </is>
      </c>
    </row>
    <row r="381">
      <c r="A381" s="232" t="n">
        <v>46174</v>
      </c>
      <c r="B381" s="233" t="inlineStr">
        <is>
          <t>Paid</t>
        </is>
      </c>
      <c r="C381" s="233" t="inlineStr">
        <is>
          <t>Thanh Toán Thẻ Tín Dụng</t>
        </is>
      </c>
      <c r="D381" s="234" t="n">
        <v>7</v>
      </c>
      <c r="E381" s="233" t="inlineStr">
        <is>
          <t>Financial Hub</t>
        </is>
      </c>
    </row>
    <row r="382">
      <c r="A382" s="235" t="n">
        <v>46235</v>
      </c>
      <c r="B382" s="236" t="inlineStr">
        <is>
          <t>Others</t>
        </is>
      </c>
      <c r="C382" s="236" t="inlineStr">
        <is>
          <t>Cinema_Landing Page</t>
        </is>
      </c>
      <c r="D382" s="237" t="n">
        <v>7</v>
      </c>
      <c r="E382" s="236" t="inlineStr">
        <is>
          <t>Cinema Hub</t>
        </is>
      </c>
    </row>
    <row r="383">
      <c r="A383" s="232" t="n">
        <v>46143</v>
      </c>
      <c r="B383" s="233" t="inlineStr">
        <is>
          <t>Paid</t>
        </is>
      </c>
      <c r="C383" s="233" t="inlineStr">
        <is>
          <t>Trung Tâm Tài Chính</t>
        </is>
      </c>
      <c r="D383" s="234" t="n">
        <v>4</v>
      </c>
      <c r="E383" s="233" t="inlineStr">
        <is>
          <t>Financial Hub</t>
        </is>
      </c>
    </row>
    <row r="384">
      <c r="A384" s="235" t="n">
        <v>46266</v>
      </c>
      <c r="B384" s="236" t="inlineStr">
        <is>
          <t>Others</t>
        </is>
      </c>
      <c r="C384" s="236" t="inlineStr">
        <is>
          <t>Cinema_News</t>
        </is>
      </c>
      <c r="D384" s="237" t="n">
        <v>7</v>
      </c>
      <c r="E384" s="236" t="inlineStr">
        <is>
          <t>Cinema Hub</t>
        </is>
      </c>
    </row>
    <row r="385">
      <c r="A385" s="232" t="n">
        <v>46266</v>
      </c>
      <c r="B385" s="233" t="inlineStr">
        <is>
          <t>Paid</t>
        </is>
      </c>
      <c r="C385" s="233" t="inlineStr">
        <is>
          <t>Student Hub</t>
        </is>
      </c>
      <c r="D385" s="234" t="n">
        <v>4</v>
      </c>
      <c r="E385" s="233" t="inlineStr">
        <is>
          <t>Student Hub</t>
        </is>
      </c>
    </row>
    <row r="386">
      <c r="A386" s="235" t="n">
        <v>46266</v>
      </c>
      <c r="B386" s="236" t="inlineStr">
        <is>
          <t>Referral</t>
        </is>
      </c>
      <c r="C386" s="236" t="inlineStr">
        <is>
          <t>Chứng Chỉ Quỹ</t>
        </is>
      </c>
      <c r="D386" s="237" t="n">
        <v>9</v>
      </c>
      <c r="E386" s="236" t="inlineStr">
        <is>
          <t>Financial Hub</t>
        </is>
      </c>
    </row>
    <row r="387">
      <c r="A387" s="232" t="n">
        <v>46296</v>
      </c>
      <c r="B387" s="233" t="inlineStr">
        <is>
          <t>Direct</t>
        </is>
      </c>
      <c r="C387" s="233" t="inlineStr">
        <is>
          <t>Bảo Hiểm Xã Hội</t>
        </is>
      </c>
      <c r="D387" s="234" t="n">
        <v>7</v>
      </c>
      <c r="E387" s="233" t="inlineStr">
        <is>
          <t>Bảo Hiểm Xã Hội</t>
        </is>
      </c>
    </row>
    <row r="388">
      <c r="A388" s="235" t="n">
        <v>46296</v>
      </c>
      <c r="B388" s="236" t="inlineStr">
        <is>
          <t>Others</t>
        </is>
      </c>
      <c r="C388" s="236" t="inlineStr">
        <is>
          <t>Bảo Hiểm</t>
        </is>
      </c>
      <c r="D388" s="237" t="n">
        <v>2</v>
      </c>
      <c r="E388" s="236" t="inlineStr">
        <is>
          <t>Bảo Hiểm</t>
        </is>
      </c>
    </row>
    <row r="389">
      <c r="A389" s="232" t="n">
        <v>46143</v>
      </c>
      <c r="B389" s="233" t="inlineStr">
        <is>
          <t>Paid</t>
        </is>
      </c>
      <c r="C389" s="233" t="inlineStr">
        <is>
          <t>Bảo Hiểm Xe Máy</t>
        </is>
      </c>
      <c r="D389" s="234" t="n">
        <v>14</v>
      </c>
      <c r="E389" s="233" t="inlineStr">
        <is>
          <t>Bảo Hiểm Xe Máy</t>
        </is>
      </c>
    </row>
    <row r="390">
      <c r="A390" s="235" t="n">
        <v>46143</v>
      </c>
      <c r="B390" s="236" t="inlineStr">
        <is>
          <t>Others</t>
        </is>
      </c>
      <c r="C390" s="236" t="inlineStr">
        <is>
          <t>Chứng Khoán</t>
        </is>
      </c>
      <c r="D390" s="237" t="n">
        <v>6</v>
      </c>
      <c r="E390" s="236" t="inlineStr">
        <is>
          <t>Financial Hub</t>
        </is>
      </c>
    </row>
    <row r="391">
      <c r="A391" s="232" t="n">
        <v>46204</v>
      </c>
      <c r="B391" s="233" t="inlineStr">
        <is>
          <t>Others</t>
        </is>
      </c>
      <c r="C391" s="233" t="inlineStr">
        <is>
          <t>Hoàn Tiền Mua Sắm</t>
        </is>
      </c>
      <c r="D391" s="234" t="n">
        <v>8</v>
      </c>
      <c r="E391" s="233" t="inlineStr">
        <is>
          <t>Hoàn Tiền Mua Sắm</t>
        </is>
      </c>
    </row>
    <row r="392">
      <c r="A392" s="235" t="n">
        <v>46174</v>
      </c>
      <c r="B392" s="236" t="inlineStr">
        <is>
          <t>Others</t>
        </is>
      </c>
      <c r="C392" s="236" t="inlineStr">
        <is>
          <t>Quản Lý Chi Tiêu</t>
        </is>
      </c>
      <c r="D392" s="237" t="n">
        <v>7</v>
      </c>
      <c r="E392" s="236" t="inlineStr">
        <is>
          <t>Financial Hub</t>
        </is>
      </c>
    </row>
    <row r="393">
      <c r="A393" s="232" t="n">
        <v>46296</v>
      </c>
      <c r="B393" s="233" t="inlineStr">
        <is>
          <t>Others</t>
        </is>
      </c>
      <c r="C393" s="233" t="inlineStr">
        <is>
          <t>Cinema_Landing Page</t>
        </is>
      </c>
      <c r="D393" s="234" t="n">
        <v>6</v>
      </c>
      <c r="E393" s="233" t="inlineStr">
        <is>
          <t>Cinema Hub</t>
        </is>
      </c>
    </row>
    <row r="394">
      <c r="A394" s="235" t="n">
        <v>46296</v>
      </c>
      <c r="B394" s="236" t="inlineStr">
        <is>
          <t>Paid</t>
        </is>
      </c>
      <c r="C394" s="236" t="inlineStr">
        <is>
          <t>Bảo Hiểm Sức Khỏe</t>
        </is>
      </c>
      <c r="D394" s="237" t="n">
        <v>4</v>
      </c>
      <c r="E394" s="236" t="inlineStr">
        <is>
          <t>Bảo Hiểm Sức Khỏe</t>
        </is>
      </c>
    </row>
    <row r="395">
      <c r="A395" s="232" t="n">
        <v>46143</v>
      </c>
      <c r="B395" s="233" t="inlineStr">
        <is>
          <t>Paid</t>
        </is>
      </c>
      <c r="C395" s="233" t="inlineStr">
        <is>
          <t>Thanh Toán Thẻ Tín Dụng</t>
        </is>
      </c>
      <c r="D395" s="234" t="n">
        <v>3</v>
      </c>
      <c r="E395" s="233" t="inlineStr">
        <is>
          <t>Financial Hub</t>
        </is>
      </c>
    </row>
    <row r="396">
      <c r="A396" s="235" t="n">
        <v>46235</v>
      </c>
      <c r="B396" s="236" t="inlineStr">
        <is>
          <t>Others</t>
        </is>
      </c>
      <c r="C396" s="236" t="inlineStr">
        <is>
          <t>Thanh Toán Khoản Vay</t>
        </is>
      </c>
      <c r="D396" s="237" t="n">
        <v>3</v>
      </c>
      <c r="E396" s="236" t="inlineStr">
        <is>
          <t>Financial Hub</t>
        </is>
      </c>
    </row>
    <row r="397">
      <c r="A397" s="232" t="n">
        <v>46235</v>
      </c>
      <c r="B397" s="233" t="inlineStr">
        <is>
          <t>Direct</t>
        </is>
      </c>
      <c r="C397" s="233" t="inlineStr">
        <is>
          <t>Cinema_Landing Page</t>
        </is>
      </c>
      <c r="D397" s="234" t="n">
        <v>5</v>
      </c>
      <c r="E397" s="233" t="inlineStr">
        <is>
          <t>Cinema Hub</t>
        </is>
      </c>
    </row>
    <row r="398">
      <c r="A398" s="235" t="n">
        <v>46235</v>
      </c>
      <c r="B398" s="236" t="inlineStr">
        <is>
          <t>Others</t>
        </is>
      </c>
      <c r="C398" s="236" t="inlineStr">
        <is>
          <t>Hoàn Tiền Mua Sắm</t>
        </is>
      </c>
      <c r="D398" s="237" t="n">
        <v>2</v>
      </c>
      <c r="E398" s="236" t="inlineStr">
        <is>
          <t>Hoàn Tiền Mua Sắm</t>
        </is>
      </c>
    </row>
    <row r="399">
      <c r="A399" s="232" t="n">
        <v>46204</v>
      </c>
      <c r="B399" s="233" t="inlineStr">
        <is>
          <t>Others</t>
        </is>
      </c>
      <c r="C399" s="233" t="inlineStr">
        <is>
          <t>Cinema_News</t>
        </is>
      </c>
      <c r="D399" s="234" t="n">
        <v>3</v>
      </c>
      <c r="E399" s="233" t="inlineStr">
        <is>
          <t>Cinema Hub</t>
        </is>
      </c>
    </row>
    <row r="400">
      <c r="A400" s="235" t="n">
        <v>46266</v>
      </c>
      <c r="B400" s="236" t="inlineStr">
        <is>
          <t>Others</t>
        </is>
      </c>
      <c r="C400" s="236" t="inlineStr">
        <is>
          <t>Thanh Toán Khoản Vay</t>
        </is>
      </c>
      <c r="D400" s="237" t="n">
        <v>1</v>
      </c>
      <c r="E400" s="236" t="inlineStr">
        <is>
          <t>Financial Hub</t>
        </is>
      </c>
    </row>
    <row r="401">
      <c r="A401" s="232" t="n">
        <v>46235</v>
      </c>
      <c r="B401" s="233" t="inlineStr">
        <is>
          <t>Paid</t>
        </is>
      </c>
      <c r="C401" s="233" t="inlineStr">
        <is>
          <t>Tiết Kiệm Online</t>
        </is>
      </c>
      <c r="D401" s="234" t="n">
        <v>5</v>
      </c>
      <c r="E401" s="233" t="inlineStr">
        <is>
          <t>Financial Hub</t>
        </is>
      </c>
    </row>
    <row r="402">
      <c r="A402" s="235" t="n">
        <v>46204</v>
      </c>
      <c r="B402" s="236" t="inlineStr">
        <is>
          <t>Others</t>
        </is>
      </c>
      <c r="C402" s="236" t="inlineStr">
        <is>
          <t>Mở tài khoản ngân hàng</t>
        </is>
      </c>
      <c r="D402" s="237" t="n">
        <v>5</v>
      </c>
      <c r="E402" s="236" t="inlineStr">
        <is>
          <t>Mở tài khoản ngân hàng</t>
        </is>
      </c>
    </row>
    <row r="403">
      <c r="A403" s="232" t="n">
        <v>46204</v>
      </c>
      <c r="B403" s="233" t="inlineStr">
        <is>
          <t>Others</t>
        </is>
      </c>
      <c r="C403" s="233" t="inlineStr">
        <is>
          <t>Thanh Toán Khoản Vay</t>
        </is>
      </c>
      <c r="D403" s="234" t="n">
        <v>2</v>
      </c>
      <c r="E403" s="233" t="inlineStr">
        <is>
          <t>Financial Hub</t>
        </is>
      </c>
    </row>
    <row r="404">
      <c r="A404" s="235" t="n">
        <v>46204</v>
      </c>
      <c r="B404" s="236" t="inlineStr">
        <is>
          <t>Others</t>
        </is>
      </c>
      <c r="C404" s="236" t="inlineStr">
        <is>
          <t>Quản Lý Chi Tiêu</t>
        </is>
      </c>
      <c r="D404" s="237" t="n">
        <v>3</v>
      </c>
      <c r="E404" s="236" t="inlineStr">
        <is>
          <t>Financial Hub</t>
        </is>
      </c>
    </row>
    <row r="405">
      <c r="A405" s="232" t="n">
        <v>46296</v>
      </c>
      <c r="B405" s="233" t="inlineStr">
        <is>
          <t>Paid</t>
        </is>
      </c>
      <c r="C405" s="233" t="inlineStr">
        <is>
          <t>XU</t>
        </is>
      </c>
      <c r="D405" s="234" t="n">
        <v>2</v>
      </c>
      <c r="E405" s="233" t="inlineStr">
        <is>
          <t>XU</t>
        </is>
      </c>
    </row>
    <row r="406">
      <c r="A406" s="235" t="n">
        <v>46296</v>
      </c>
      <c r="B406" s="236" t="inlineStr">
        <is>
          <t>Paid</t>
        </is>
      </c>
      <c r="C406" s="236" t="inlineStr">
        <is>
          <t>Student Hub</t>
        </is>
      </c>
      <c r="D406" s="237" t="n">
        <v>2</v>
      </c>
      <c r="E406" s="236" t="inlineStr">
        <is>
          <t>Student Hub</t>
        </is>
      </c>
    </row>
    <row r="407">
      <c r="A407" s="232" t="n">
        <v>46204</v>
      </c>
      <c r="B407" s="233" t="inlineStr">
        <is>
          <t>Paid</t>
        </is>
      </c>
      <c r="C407" s="233" t="inlineStr">
        <is>
          <t>Hoàn Tiền Mua Sắm</t>
        </is>
      </c>
      <c r="D407" s="234" t="n">
        <v>2</v>
      </c>
      <c r="E407" s="233" t="inlineStr">
        <is>
          <t>Hoàn Tiền Mua Sắm</t>
        </is>
      </c>
    </row>
    <row r="408">
      <c r="A408" s="235" t="n">
        <v>46143</v>
      </c>
      <c r="B408" s="236" t="inlineStr">
        <is>
          <t>Paid</t>
        </is>
      </c>
      <c r="C408" s="236" t="inlineStr">
        <is>
          <t>Trả Góp Apple</t>
        </is>
      </c>
      <c r="D408" s="237" t="n">
        <v>2</v>
      </c>
      <c r="E408" s="236" t="inlineStr">
        <is>
          <t>Financial Hub</t>
        </is>
      </c>
    </row>
    <row r="409">
      <c r="A409" s="232" t="n">
        <v>46296</v>
      </c>
      <c r="B409" s="233" t="inlineStr">
        <is>
          <t>Direct</t>
        </is>
      </c>
      <c r="C409" s="233" t="inlineStr">
        <is>
          <t>Quản lý chi tiêu</t>
        </is>
      </c>
      <c r="D409" s="234" t="n">
        <v>1</v>
      </c>
      <c r="E409" s="233" t="inlineStr">
        <is>
          <t>Quản lý chi tiêu</t>
        </is>
      </c>
    </row>
    <row r="410">
      <c r="A410" s="235" t="n">
        <v>46174</v>
      </c>
      <c r="B410" s="236" t="inlineStr">
        <is>
          <t>Others</t>
        </is>
      </c>
      <c r="C410" s="236" t="inlineStr">
        <is>
          <t>Tiết Kiệm Online</t>
        </is>
      </c>
      <c r="D410" s="237" t="n">
        <v>1</v>
      </c>
      <c r="E410" s="236" t="inlineStr">
        <is>
          <t>Financial Hub</t>
        </is>
      </c>
    </row>
    <row r="411">
      <c r="A411" s="232" t="n">
        <v>46296</v>
      </c>
      <c r="B411" s="233" t="inlineStr">
        <is>
          <t>Organic</t>
        </is>
      </c>
      <c r="C411" s="233" t="inlineStr">
        <is>
          <t>Điện</t>
        </is>
      </c>
      <c r="D411" s="234" t="n">
        <v>1953</v>
      </c>
      <c r="E411" s="233" t="inlineStr">
        <is>
          <t>Điện</t>
        </is>
      </c>
    </row>
    <row r="412">
      <c r="A412" s="235" t="n">
        <v>46296</v>
      </c>
      <c r="B412" s="236" t="inlineStr">
        <is>
          <t>Organic</t>
        </is>
      </c>
      <c r="C412" s="236" t="inlineStr">
        <is>
          <t>Điểm Tín Dụng</t>
        </is>
      </c>
      <c r="D412" s="237" t="n">
        <v>3195</v>
      </c>
      <c r="E412" s="236" t="inlineStr">
        <is>
          <t>Financial Hub</t>
        </is>
      </c>
    </row>
    <row r="413">
      <c r="A413" s="232" t="n">
        <v>46296</v>
      </c>
      <c r="B413" s="233" t="inlineStr">
        <is>
          <t>Referral</t>
        </is>
      </c>
      <c r="C413" s="233" t="inlineStr">
        <is>
          <t>Điện</t>
        </is>
      </c>
      <c r="D413" s="234" t="n">
        <v>35</v>
      </c>
      <c r="E413" s="233" t="inlineStr">
        <is>
          <t>Điện</t>
        </is>
      </c>
    </row>
    <row r="414">
      <c r="A414" s="235" t="n">
        <v>46296</v>
      </c>
      <c r="B414" s="236" t="inlineStr">
        <is>
          <t>Paid</t>
        </is>
      </c>
      <c r="C414" s="236" t="inlineStr">
        <is>
          <t>Bảo Hiểm Ô Tô</t>
        </is>
      </c>
      <c r="D414" s="237" t="n">
        <v>3370</v>
      </c>
      <c r="E414" s="236" t="inlineStr">
        <is>
          <t>Bảo Hiểm Ô Tô</t>
        </is>
      </c>
    </row>
    <row r="415">
      <c r="A415" s="232" t="n">
        <v>46296</v>
      </c>
      <c r="B415" s="233" t="inlineStr">
        <is>
          <t>Direct</t>
        </is>
      </c>
      <c r="C415" s="233" t="inlineStr">
        <is>
          <t>Cinema_Blog</t>
        </is>
      </c>
      <c r="D415" s="234" t="n">
        <v>612</v>
      </c>
      <c r="E415" s="233" t="inlineStr">
        <is>
          <t>Cinema Hub</t>
        </is>
      </c>
    </row>
    <row r="416">
      <c r="A416" s="235" t="n">
        <v>46296</v>
      </c>
      <c r="B416" s="236" t="inlineStr">
        <is>
          <t>Paid</t>
        </is>
      </c>
      <c r="C416" s="236" t="inlineStr">
        <is>
          <t>Application Store</t>
        </is>
      </c>
      <c r="D416" s="237" t="n">
        <v>1870</v>
      </c>
      <c r="E416" s="236" t="inlineStr">
        <is>
          <t>Application Store</t>
        </is>
      </c>
    </row>
    <row r="417">
      <c r="A417" s="232" t="n">
        <v>46296</v>
      </c>
      <c r="B417" s="233" t="inlineStr">
        <is>
          <t>Referral</t>
        </is>
      </c>
      <c r="C417" s="233" t="inlineStr">
        <is>
          <t>Bảo Hiểm Ô Tô</t>
        </is>
      </c>
      <c r="D417" s="234" t="n">
        <v>135</v>
      </c>
      <c r="E417" s="233" t="inlineStr">
        <is>
          <t>Bảo Hiểm Ô Tô</t>
        </is>
      </c>
    </row>
    <row r="418">
      <c r="A418" s="235" t="n">
        <v>46296</v>
      </c>
      <c r="B418" s="236" t="inlineStr">
        <is>
          <t>Direct</t>
        </is>
      </c>
      <c r="C418" s="236" t="inlineStr">
        <is>
          <t>Bảo Hiểm</t>
        </is>
      </c>
      <c r="D418" s="237" t="n">
        <v>46</v>
      </c>
      <c r="E418" s="236" t="inlineStr">
        <is>
          <t>Bảo Hiểm</t>
        </is>
      </c>
    </row>
    <row r="419">
      <c r="A419" s="232" t="n">
        <v>46296</v>
      </c>
      <c r="B419" s="233" t="inlineStr">
        <is>
          <t>Organic</t>
        </is>
      </c>
      <c r="C419" s="233" t="inlineStr">
        <is>
          <t>Chứng Chỉ Quỹ</t>
        </is>
      </c>
      <c r="D419" s="234" t="n">
        <v>144</v>
      </c>
      <c r="E419" s="233" t="inlineStr">
        <is>
          <t>Financial Hub</t>
        </is>
      </c>
    </row>
    <row r="420">
      <c r="A420" s="235" t="n">
        <v>46296</v>
      </c>
      <c r="B420" s="236" t="inlineStr">
        <is>
          <t>Organic</t>
        </is>
      </c>
      <c r="C420" s="236" t="inlineStr">
        <is>
          <t>Billpay</t>
        </is>
      </c>
      <c r="D420" s="237" t="n">
        <v>903</v>
      </c>
      <c r="E420" s="236" t="inlineStr">
        <is>
          <t>Billpay</t>
        </is>
      </c>
    </row>
    <row r="421">
      <c r="A421" s="232" t="n">
        <v>46296</v>
      </c>
      <c r="B421" s="233" t="inlineStr">
        <is>
          <t>Paid</t>
        </is>
      </c>
      <c r="C421" s="233" t="inlineStr">
        <is>
          <t>Cinema_Blog</t>
        </is>
      </c>
      <c r="D421" s="234" t="n">
        <v>31</v>
      </c>
      <c r="E421" s="233" t="inlineStr">
        <is>
          <t>Cinema Hub</t>
        </is>
      </c>
    </row>
    <row r="422">
      <c r="A422" s="235" t="n">
        <v>46296</v>
      </c>
      <c r="B422" s="236" t="inlineStr">
        <is>
          <t>Paid</t>
        </is>
      </c>
      <c r="C422" s="236" t="inlineStr">
        <is>
          <t>Blog</t>
        </is>
      </c>
      <c r="D422" s="237" t="n">
        <v>176</v>
      </c>
      <c r="E422" s="236" t="inlineStr">
        <is>
          <t>Blog</t>
        </is>
      </c>
    </row>
    <row r="423">
      <c r="A423" s="232" t="n">
        <v>46296</v>
      </c>
      <c r="B423" s="233" t="inlineStr">
        <is>
          <t>Direct</t>
        </is>
      </c>
      <c r="C423" s="233" t="inlineStr">
        <is>
          <t>Application Store</t>
        </is>
      </c>
      <c r="D423" s="234" t="n">
        <v>3126</v>
      </c>
      <c r="E423" s="233" t="inlineStr">
        <is>
          <t>Application Store</t>
        </is>
      </c>
    </row>
    <row r="424">
      <c r="A424" s="235" t="n">
        <v>46296</v>
      </c>
      <c r="B424" s="236" t="inlineStr">
        <is>
          <t>Direct</t>
        </is>
      </c>
      <c r="C424" s="236" t="inlineStr">
        <is>
          <t>Bảo Hiểm Y Tế</t>
        </is>
      </c>
      <c r="D424" s="237" t="n">
        <v>481</v>
      </c>
      <c r="E424" s="236" t="inlineStr">
        <is>
          <t>Bảo Hiểm Y Tế</t>
        </is>
      </c>
    </row>
    <row r="425">
      <c r="A425" s="232" t="n">
        <v>46296</v>
      </c>
      <c r="B425" s="233" t="inlineStr">
        <is>
          <t>Organic</t>
        </is>
      </c>
      <c r="C425" s="233" t="inlineStr">
        <is>
          <t>Merchant</t>
        </is>
      </c>
      <c r="D425" s="234" t="n">
        <v>23630</v>
      </c>
      <c r="E425" s="233" t="inlineStr">
        <is>
          <t>Merchant</t>
        </is>
      </c>
    </row>
    <row r="426">
      <c r="A426" s="235" t="n">
        <v>46296</v>
      </c>
      <c r="B426" s="236" t="inlineStr">
        <is>
          <t>Direct</t>
        </is>
      </c>
      <c r="C426" s="236" t="inlineStr">
        <is>
          <t>New User</t>
        </is>
      </c>
      <c r="D426" s="237" t="n">
        <v>34685</v>
      </c>
      <c r="E426" s="236" t="inlineStr">
        <is>
          <t>New User</t>
        </is>
      </c>
    </row>
    <row r="427">
      <c r="A427" s="232" t="n">
        <v>46296</v>
      </c>
      <c r="B427" s="233" t="inlineStr">
        <is>
          <t>Organic</t>
        </is>
      </c>
      <c r="C427" s="233" t="inlineStr">
        <is>
          <t>Others</t>
        </is>
      </c>
      <c r="D427" s="234" t="n">
        <v>22707</v>
      </c>
      <c r="E427" s="233" t="inlineStr">
        <is>
          <t>Others</t>
        </is>
      </c>
    </row>
    <row r="428">
      <c r="A428" s="235" t="n">
        <v>46296</v>
      </c>
      <c r="B428" s="236" t="inlineStr">
        <is>
          <t>Others</t>
        </is>
      </c>
      <c r="C428" s="236" t="inlineStr">
        <is>
          <t>Vé Xe</t>
        </is>
      </c>
      <c r="D428" s="237" t="n">
        <v>130</v>
      </c>
      <c r="E428" s="236" t="inlineStr">
        <is>
          <t>Vé Xe</t>
        </is>
      </c>
    </row>
    <row r="429">
      <c r="A429" s="232" t="n">
        <v>46296</v>
      </c>
      <c r="B429" s="233" t="inlineStr">
        <is>
          <t>Organic</t>
        </is>
      </c>
      <c r="C429" s="233" t="inlineStr">
        <is>
          <t>Quản Lý Chi Tiêu</t>
        </is>
      </c>
      <c r="D429" s="234" t="n">
        <v>2128</v>
      </c>
      <c r="E429" s="233" t="inlineStr">
        <is>
          <t>Financial Hub</t>
        </is>
      </c>
    </row>
    <row r="430">
      <c r="A430" s="235" t="n">
        <v>46296</v>
      </c>
      <c r="B430" s="236" t="inlineStr">
        <is>
          <t>Organic</t>
        </is>
      </c>
      <c r="C430" s="236" t="inlineStr">
        <is>
          <t>Tiktok</t>
        </is>
      </c>
      <c r="D430" s="237" t="n">
        <v>38749</v>
      </c>
      <c r="E430" s="236" t="inlineStr">
        <is>
          <t>Tiktok</t>
        </is>
      </c>
    </row>
    <row r="431">
      <c r="A431" s="232" t="n">
        <v>46296</v>
      </c>
      <c r="B431" s="233" t="inlineStr">
        <is>
          <t>Direct</t>
        </is>
      </c>
      <c r="C431" s="233" t="inlineStr">
        <is>
          <t>Nước</t>
        </is>
      </c>
      <c r="D431" s="234" t="n">
        <v>13765</v>
      </c>
      <c r="E431" s="233" t="inlineStr">
        <is>
          <t>Nước</t>
        </is>
      </c>
    </row>
    <row r="432">
      <c r="A432" s="235" t="n">
        <v>46296</v>
      </c>
      <c r="B432" s="236" t="inlineStr">
        <is>
          <t>Referral</t>
        </is>
      </c>
      <c r="C432" s="236" t="inlineStr">
        <is>
          <t>Tìm Kiếm</t>
        </is>
      </c>
      <c r="D432" s="237" t="n">
        <v>737</v>
      </c>
      <c r="E432" s="236" t="inlineStr">
        <is>
          <t>Tìm Kiếm</t>
        </is>
      </c>
    </row>
    <row r="433">
      <c r="A433" s="232" t="n">
        <v>46296</v>
      </c>
      <c r="B433" s="233" t="inlineStr">
        <is>
          <t>Paid</t>
        </is>
      </c>
      <c r="C433" s="233" t="inlineStr">
        <is>
          <t>Vé Xe</t>
        </is>
      </c>
      <c r="D433" s="234" t="n">
        <v>80</v>
      </c>
      <c r="E433" s="233" t="inlineStr">
        <is>
          <t>Vé Xe</t>
        </is>
      </c>
    </row>
    <row r="434">
      <c r="A434" s="235" t="n">
        <v>46296</v>
      </c>
      <c r="B434" s="236" t="inlineStr">
        <is>
          <t>Organic</t>
        </is>
      </c>
      <c r="C434" s="236" t="inlineStr">
        <is>
          <t>Nước</t>
        </is>
      </c>
      <c r="D434" s="237" t="n">
        <v>1038</v>
      </c>
      <c r="E434" s="236" t="inlineStr">
        <is>
          <t>Nước</t>
        </is>
      </c>
    </row>
    <row r="435">
      <c r="A435" s="232" t="n">
        <v>46296</v>
      </c>
      <c r="B435" s="233" t="inlineStr">
        <is>
          <t>Others</t>
        </is>
      </c>
      <c r="C435" s="233" t="inlineStr">
        <is>
          <t>Tìm Kiếm</t>
        </is>
      </c>
      <c r="D435" s="234" t="n">
        <v>107</v>
      </c>
      <c r="E435" s="233" t="inlineStr">
        <is>
          <t>Tìm Kiếm</t>
        </is>
      </c>
    </row>
    <row r="436">
      <c r="A436" s="235" t="n">
        <v>46296</v>
      </c>
      <c r="B436" s="236" t="inlineStr">
        <is>
          <t>Direct</t>
        </is>
      </c>
      <c r="C436" s="236" t="inlineStr">
        <is>
          <t>Merchant</t>
        </is>
      </c>
      <c r="D436" s="237" t="n">
        <v>4542</v>
      </c>
      <c r="E436" s="236" t="inlineStr">
        <is>
          <t>Merchant</t>
        </is>
      </c>
    </row>
    <row r="437">
      <c r="A437" s="232" t="n">
        <v>46296</v>
      </c>
      <c r="B437" s="233" t="inlineStr">
        <is>
          <t>Others</t>
        </is>
      </c>
      <c r="C437" s="233" t="inlineStr">
        <is>
          <t>Guide</t>
        </is>
      </c>
      <c r="D437" s="234" t="n">
        <v>140</v>
      </c>
      <c r="E437" s="233" t="inlineStr">
        <is>
          <t>Guide</t>
        </is>
      </c>
    </row>
    <row r="438">
      <c r="A438" s="235" t="n">
        <v>46296</v>
      </c>
      <c r="B438" s="236" t="inlineStr">
        <is>
          <t>Referral</t>
        </is>
      </c>
      <c r="C438" s="236" t="inlineStr">
        <is>
          <t>P2P</t>
        </is>
      </c>
      <c r="D438" s="237" t="n">
        <v>223</v>
      </c>
      <c r="E438" s="236" t="inlineStr">
        <is>
          <t>P2P</t>
        </is>
      </c>
    </row>
    <row r="439">
      <c r="A439" s="232" t="n">
        <v>46296</v>
      </c>
      <c r="B439" s="233" t="inlineStr">
        <is>
          <t>Referral</t>
        </is>
      </c>
      <c r="C439" s="233" t="inlineStr">
        <is>
          <t>Merchant</t>
        </is>
      </c>
      <c r="D439" s="234" t="n">
        <v>947</v>
      </c>
      <c r="E439" s="233" t="inlineStr">
        <is>
          <t>Merchant</t>
        </is>
      </c>
    </row>
    <row r="440">
      <c r="A440" s="235" t="n">
        <v>46296</v>
      </c>
      <c r="B440" s="236" t="inlineStr">
        <is>
          <t>Direct</t>
        </is>
      </c>
      <c r="C440" s="236" t="inlineStr">
        <is>
          <t>Soundbox</t>
        </is>
      </c>
      <c r="D440" s="237" t="n">
        <v>527</v>
      </c>
      <c r="E440" s="236" t="inlineStr">
        <is>
          <t>Soundbox</t>
        </is>
      </c>
    </row>
    <row r="441">
      <c r="A441" s="232" t="n">
        <v>46296</v>
      </c>
      <c r="B441" s="233" t="inlineStr">
        <is>
          <t>Organic</t>
        </is>
      </c>
      <c r="C441" s="233" t="inlineStr">
        <is>
          <t>Cinema_Home Page</t>
        </is>
      </c>
      <c r="D441" s="234" t="n">
        <v>14564</v>
      </c>
      <c r="E441" s="233" t="inlineStr">
        <is>
          <t>Cinema Hub</t>
        </is>
      </c>
    </row>
    <row r="442">
      <c r="A442" s="235" t="n">
        <v>46296</v>
      </c>
      <c r="B442" s="236" t="inlineStr">
        <is>
          <t>Referral</t>
        </is>
      </c>
      <c r="C442" s="236" t="inlineStr">
        <is>
          <t>Cinema_Blog</t>
        </is>
      </c>
      <c r="D442" s="237" t="n">
        <v>865</v>
      </c>
      <c r="E442" s="236" t="inlineStr">
        <is>
          <t>Cinema Hub</t>
        </is>
      </c>
    </row>
    <row r="443">
      <c r="A443" s="232" t="n">
        <v>46296</v>
      </c>
      <c r="B443" s="233" t="inlineStr">
        <is>
          <t>Direct</t>
        </is>
      </c>
      <c r="C443" s="233" t="inlineStr">
        <is>
          <t>Chứng Khoán</t>
        </is>
      </c>
      <c r="D443" s="234" t="n">
        <v>55</v>
      </c>
      <c r="E443" s="233" t="inlineStr">
        <is>
          <t>Financial Hub</t>
        </is>
      </c>
    </row>
    <row r="444">
      <c r="A444" s="235" t="n">
        <v>46296</v>
      </c>
      <c r="B444" s="236" t="inlineStr">
        <is>
          <t>Organic</t>
        </is>
      </c>
      <c r="C444" s="236" t="inlineStr">
        <is>
          <t>Cinema_Landing Page</t>
        </is>
      </c>
      <c r="D444" s="237" t="n">
        <v>1282</v>
      </c>
      <c r="E444" s="236" t="inlineStr">
        <is>
          <t>Cinema Hub</t>
        </is>
      </c>
    </row>
    <row r="445">
      <c r="A445" s="232" t="n">
        <v>46296</v>
      </c>
      <c r="B445" s="233" t="inlineStr">
        <is>
          <t>Referral</t>
        </is>
      </c>
      <c r="C445" s="233" t="inlineStr">
        <is>
          <t>Tiện Ích Giao Thông</t>
        </is>
      </c>
      <c r="D445" s="234" t="n">
        <v>29</v>
      </c>
      <c r="E445" s="233" t="inlineStr">
        <is>
          <t>Tiện Ích Giao Thông</t>
        </is>
      </c>
    </row>
    <row r="446">
      <c r="A446" s="235" t="n">
        <v>46296</v>
      </c>
      <c r="B446" s="236" t="inlineStr">
        <is>
          <t>Direct</t>
        </is>
      </c>
      <c r="C446" s="236" t="inlineStr">
        <is>
          <t>Vé số</t>
        </is>
      </c>
      <c r="D446" s="237" t="n">
        <v>128</v>
      </c>
      <c r="E446" s="236" t="inlineStr">
        <is>
          <t>Vé số</t>
        </is>
      </c>
    </row>
    <row r="447">
      <c r="A447" s="232" t="n">
        <v>46296</v>
      </c>
      <c r="B447" s="233" t="inlineStr">
        <is>
          <t>Direct</t>
        </is>
      </c>
      <c r="C447" s="233" t="inlineStr">
        <is>
          <t>Phạt nguội</t>
        </is>
      </c>
      <c r="D447" s="234" t="n">
        <v>550</v>
      </c>
      <c r="E447" s="233" t="inlineStr">
        <is>
          <t>Phạt nguội</t>
        </is>
      </c>
    </row>
    <row r="448">
      <c r="A448" s="235" t="n">
        <v>46296</v>
      </c>
      <c r="B448" s="236" t="inlineStr">
        <is>
          <t>Organic</t>
        </is>
      </c>
      <c r="C448" s="236" t="inlineStr">
        <is>
          <t>Tiết Kiệm Online</t>
        </is>
      </c>
      <c r="D448" s="237" t="n">
        <v>546</v>
      </c>
      <c r="E448" s="236" t="inlineStr">
        <is>
          <t>Financial Hub</t>
        </is>
      </c>
    </row>
    <row r="449">
      <c r="A449" s="232" t="n">
        <v>46296</v>
      </c>
      <c r="B449" s="233" t="inlineStr">
        <is>
          <t>Referral</t>
        </is>
      </c>
      <c r="C449" s="233" t="inlineStr">
        <is>
          <t>Tin Tức</t>
        </is>
      </c>
      <c r="D449" s="234" t="n">
        <v>459</v>
      </c>
      <c r="E449" s="233" t="inlineStr">
        <is>
          <t>Tin Tức</t>
        </is>
      </c>
    </row>
    <row r="450">
      <c r="A450" s="235" t="n">
        <v>46296</v>
      </c>
      <c r="B450" s="236" t="inlineStr">
        <is>
          <t>Paid</t>
        </is>
      </c>
      <c r="C450" s="236" t="inlineStr">
        <is>
          <t>Khuyến mãi</t>
        </is>
      </c>
      <c r="D450" s="237" t="n">
        <v>157</v>
      </c>
      <c r="E450" s="236" t="inlineStr">
        <is>
          <t>Khuyến mãi</t>
        </is>
      </c>
    </row>
    <row r="451">
      <c r="A451" s="232" t="n">
        <v>46296</v>
      </c>
      <c r="B451" s="233" t="inlineStr">
        <is>
          <t>Referral</t>
        </is>
      </c>
      <c r="C451" s="233" t="inlineStr">
        <is>
          <t>Phạt Nguội</t>
        </is>
      </c>
      <c r="D451" s="234" t="n">
        <v>208</v>
      </c>
      <c r="E451" s="233" t="inlineStr">
        <is>
          <t>Phạt Nguội</t>
        </is>
      </c>
    </row>
    <row r="452">
      <c r="A452" s="235" t="n">
        <v>46296</v>
      </c>
      <c r="B452" s="236" t="inlineStr">
        <is>
          <t>Organic</t>
        </is>
      </c>
      <c r="C452" s="236" t="inlineStr">
        <is>
          <t>Cinema_Page</t>
        </is>
      </c>
      <c r="D452" s="237" t="n">
        <v>168683</v>
      </c>
      <c r="E452" s="236" t="inlineStr">
        <is>
          <t>Cinema Hub</t>
        </is>
      </c>
    </row>
    <row r="453">
      <c r="A453" s="232" t="n">
        <v>46296</v>
      </c>
      <c r="B453" s="233" t="inlineStr">
        <is>
          <t>Referral</t>
        </is>
      </c>
      <c r="C453" s="233" t="inlineStr">
        <is>
          <t>Cinema_Page</t>
        </is>
      </c>
      <c r="D453" s="234" t="n">
        <v>3315</v>
      </c>
      <c r="E453" s="233" t="inlineStr">
        <is>
          <t>Cinema Hub</t>
        </is>
      </c>
    </row>
    <row r="454">
      <c r="A454" s="235" t="n">
        <v>46296</v>
      </c>
      <c r="B454" s="236" t="inlineStr">
        <is>
          <t>Paid</t>
        </is>
      </c>
      <c r="C454" s="236" t="inlineStr">
        <is>
          <t>Dịch vụ liên kết</t>
        </is>
      </c>
      <c r="D454" s="237" t="n">
        <v>62</v>
      </c>
      <c r="E454" s="236" t="inlineStr">
        <is>
          <t>Dịch vụ liên kết</t>
        </is>
      </c>
    </row>
    <row r="455">
      <c r="A455" s="232" t="n">
        <v>46296</v>
      </c>
      <c r="B455" s="233" t="inlineStr">
        <is>
          <t>Organic</t>
        </is>
      </c>
      <c r="C455" s="233" t="inlineStr">
        <is>
          <t>Data</t>
        </is>
      </c>
      <c r="D455" s="234" t="n">
        <v>2435</v>
      </c>
      <c r="E455" s="233" t="inlineStr">
        <is>
          <t>Data</t>
        </is>
      </c>
    </row>
    <row r="456">
      <c r="A456" s="235" t="n">
        <v>46296</v>
      </c>
      <c r="B456" s="236" t="inlineStr">
        <is>
          <t>Paid</t>
        </is>
      </c>
      <c r="C456" s="236" t="inlineStr">
        <is>
          <t>Vay nhanh</t>
        </is>
      </c>
      <c r="D456" s="237" t="n">
        <v>22</v>
      </c>
      <c r="E456" s="236" t="inlineStr">
        <is>
          <t>Vay nhanh</t>
        </is>
      </c>
    </row>
    <row r="457">
      <c r="A457" s="232" t="n">
        <v>46296</v>
      </c>
      <c r="B457" s="233" t="inlineStr">
        <is>
          <t>Others</t>
        </is>
      </c>
      <c r="C457" s="233" t="inlineStr">
        <is>
          <t>Tiện Ích Giao Thông</t>
        </is>
      </c>
      <c r="D457" s="234" t="n">
        <v>21</v>
      </c>
      <c r="E457" s="233" t="inlineStr">
        <is>
          <t>Tiện Ích Giao Thông</t>
        </is>
      </c>
    </row>
    <row r="458">
      <c r="A458" s="235" t="n">
        <v>46296</v>
      </c>
      <c r="B458" s="236" t="inlineStr">
        <is>
          <t>Organic</t>
        </is>
      </c>
      <c r="C458" s="236" t="inlineStr">
        <is>
          <t>Dịch vụ liên kết</t>
        </is>
      </c>
      <c r="D458" s="237" t="n">
        <v>1912</v>
      </c>
      <c r="E458" s="236" t="inlineStr">
        <is>
          <t>Dịch vụ liên kết</t>
        </is>
      </c>
    </row>
    <row r="459">
      <c r="A459" s="232" t="n">
        <v>46296</v>
      </c>
      <c r="B459" s="233" t="inlineStr">
        <is>
          <t>Others</t>
        </is>
      </c>
      <c r="C459" s="233" t="inlineStr">
        <is>
          <t>Quản Lý Chi Tiêu</t>
        </is>
      </c>
      <c r="D459" s="234" t="n">
        <v>11</v>
      </c>
      <c r="E459" s="233" t="inlineStr">
        <is>
          <t>Financial Hub</t>
        </is>
      </c>
    </row>
    <row r="460">
      <c r="A460" s="235" t="n">
        <v>46296</v>
      </c>
      <c r="B460" s="236" t="inlineStr">
        <is>
          <t>Direct</t>
        </is>
      </c>
      <c r="C460" s="236" t="inlineStr">
        <is>
          <t>Esim</t>
        </is>
      </c>
      <c r="D460" s="237" t="n">
        <v>697</v>
      </c>
      <c r="E460" s="236" t="inlineStr">
        <is>
          <t>Sim</t>
        </is>
      </c>
    </row>
    <row r="461">
      <c r="A461" s="232" t="n">
        <v>46296</v>
      </c>
      <c r="B461" s="233" t="inlineStr">
        <is>
          <t>Organic</t>
        </is>
      </c>
      <c r="C461" s="233" t="inlineStr">
        <is>
          <t>Download</t>
        </is>
      </c>
      <c r="D461" s="234" t="n">
        <v>1851</v>
      </c>
      <c r="E461" s="233" t="inlineStr">
        <is>
          <t>Download</t>
        </is>
      </c>
    </row>
    <row r="462">
      <c r="A462" s="235" t="n">
        <v>46296</v>
      </c>
      <c r="B462" s="236" t="inlineStr">
        <is>
          <t>Referral</t>
        </is>
      </c>
      <c r="C462" s="236" t="inlineStr">
        <is>
          <t>Tiktok</t>
        </is>
      </c>
      <c r="D462" s="237" t="n">
        <v>270</v>
      </c>
      <c r="E462" s="236" t="inlineStr">
        <is>
          <t>Tiktok</t>
        </is>
      </c>
    </row>
    <row r="463">
      <c r="A463" s="232" t="n">
        <v>46296</v>
      </c>
      <c r="B463" s="233" t="inlineStr">
        <is>
          <t>Organic</t>
        </is>
      </c>
      <c r="C463" s="233" t="inlineStr">
        <is>
          <t>Cross Border</t>
        </is>
      </c>
      <c r="D463" s="234" t="n">
        <v>1073</v>
      </c>
      <c r="E463" s="233" t="inlineStr">
        <is>
          <t>Cross Border</t>
        </is>
      </c>
    </row>
    <row r="464">
      <c r="A464" s="235" t="n">
        <v>46296</v>
      </c>
      <c r="B464" s="236" t="inlineStr">
        <is>
          <t>Organic</t>
        </is>
      </c>
      <c r="C464" s="236" t="inlineStr">
        <is>
          <t>Donation</t>
        </is>
      </c>
      <c r="D464" s="237" t="n">
        <v>648</v>
      </c>
      <c r="E464" s="236" t="inlineStr">
        <is>
          <t>Donation</t>
        </is>
      </c>
    </row>
    <row r="465">
      <c r="A465" s="232" t="n">
        <v>46296</v>
      </c>
      <c r="B465" s="233" t="inlineStr">
        <is>
          <t>Referral</t>
        </is>
      </c>
      <c r="C465" s="233" t="inlineStr">
        <is>
          <t>Donation</t>
        </is>
      </c>
      <c r="D465" s="234" t="n">
        <v>118</v>
      </c>
      <c r="E465" s="233" t="inlineStr">
        <is>
          <t>Donation</t>
        </is>
      </c>
    </row>
    <row r="466">
      <c r="A466" s="235" t="n">
        <v>46296</v>
      </c>
      <c r="B466" s="236" t="inlineStr">
        <is>
          <t>Referral</t>
        </is>
      </c>
      <c r="C466" s="236" t="inlineStr">
        <is>
          <t>Bảo Hiểm Y Tế</t>
        </is>
      </c>
      <c r="D466" s="237" t="n">
        <v>350</v>
      </c>
      <c r="E466" s="236" t="inlineStr">
        <is>
          <t>Bảo Hiểm Y Tế</t>
        </is>
      </c>
    </row>
    <row r="467">
      <c r="A467" s="232" t="n">
        <v>46296</v>
      </c>
      <c r="B467" s="233" t="inlineStr">
        <is>
          <t>Referral</t>
        </is>
      </c>
      <c r="C467" s="233" t="inlineStr">
        <is>
          <t>Guide</t>
        </is>
      </c>
      <c r="D467" s="234" t="n">
        <v>639</v>
      </c>
      <c r="E467" s="233" t="inlineStr">
        <is>
          <t>Guide</t>
        </is>
      </c>
    </row>
    <row r="468">
      <c r="A468" s="235" t="n">
        <v>46296</v>
      </c>
      <c r="B468" s="236" t="inlineStr">
        <is>
          <t>Others</t>
        </is>
      </c>
      <c r="C468" s="236" t="inlineStr">
        <is>
          <t>Nước</t>
        </is>
      </c>
      <c r="D468" s="237" t="n">
        <v>90</v>
      </c>
      <c r="E468" s="236" t="inlineStr">
        <is>
          <t>Nước</t>
        </is>
      </c>
    </row>
    <row r="469">
      <c r="A469" s="232" t="n">
        <v>46296</v>
      </c>
      <c r="B469" s="233" t="inlineStr">
        <is>
          <t>Referral</t>
        </is>
      </c>
      <c r="C469" s="233" t="inlineStr">
        <is>
          <t>Esim</t>
        </is>
      </c>
      <c r="D469" s="234" t="n">
        <v>142</v>
      </c>
      <c r="E469" s="233" t="inlineStr">
        <is>
          <t>Sim</t>
        </is>
      </c>
    </row>
    <row r="470">
      <c r="A470" s="235" t="n">
        <v>46296</v>
      </c>
      <c r="B470" s="236" t="inlineStr">
        <is>
          <t>Others</t>
        </is>
      </c>
      <c r="C470" s="236" t="inlineStr">
        <is>
          <t>Bảo Hiểm Ô Tô</t>
        </is>
      </c>
      <c r="D470" s="237" t="n">
        <v>99</v>
      </c>
      <c r="E470" s="236" t="inlineStr">
        <is>
          <t>Bảo Hiểm Ô Tô</t>
        </is>
      </c>
    </row>
    <row r="471">
      <c r="A471" s="232" t="n">
        <v>46296</v>
      </c>
      <c r="B471" s="233" t="inlineStr">
        <is>
          <t>Referral</t>
        </is>
      </c>
      <c r="C471" s="233" t="inlineStr">
        <is>
          <t>Vé số</t>
        </is>
      </c>
      <c r="D471" s="234" t="n">
        <v>36</v>
      </c>
      <c r="E471" s="233" t="inlineStr">
        <is>
          <t>Vé số</t>
        </is>
      </c>
    </row>
    <row r="472">
      <c r="A472" s="235" t="n">
        <v>46143</v>
      </c>
      <c r="B472" s="236" t="inlineStr">
        <is>
          <t>Referral</t>
        </is>
      </c>
      <c r="C472" s="236" t="inlineStr">
        <is>
          <t>Campaign</t>
        </is>
      </c>
      <c r="D472" s="237" t="n">
        <v>5727</v>
      </c>
      <c r="E472" s="236" t="inlineStr">
        <is>
          <t>Campaign</t>
        </is>
      </c>
    </row>
    <row r="473">
      <c r="A473" s="232" t="n">
        <v>46143</v>
      </c>
      <c r="B473" s="233" t="inlineStr">
        <is>
          <t>Organic</t>
        </is>
      </c>
      <c r="C473" s="233" t="inlineStr">
        <is>
          <t>Cinema_Cineplex Page</t>
        </is>
      </c>
      <c r="D473" s="234" t="n">
        <v>352702</v>
      </c>
      <c r="E473" s="233" t="inlineStr">
        <is>
          <t>Cinema Hub</t>
        </is>
      </c>
    </row>
    <row r="474">
      <c r="A474" s="235" t="n">
        <v>46143</v>
      </c>
      <c r="B474" s="236" t="inlineStr">
        <is>
          <t>Referral</t>
        </is>
      </c>
      <c r="C474" s="236" t="inlineStr">
        <is>
          <t>Home MoMo</t>
        </is>
      </c>
      <c r="D474" s="237" t="n">
        <v>21658</v>
      </c>
      <c r="E474" s="236" t="inlineStr">
        <is>
          <t>Home MoMo</t>
        </is>
      </c>
    </row>
    <row r="475">
      <c r="A475" s="232" t="n">
        <v>46143</v>
      </c>
      <c r="B475" s="233" t="inlineStr">
        <is>
          <t>Referral</t>
        </is>
      </c>
      <c r="C475" s="233" t="inlineStr">
        <is>
          <t>Bảo Hiểm Ô Tô</t>
        </is>
      </c>
      <c r="D475" s="234" t="n">
        <v>444</v>
      </c>
      <c r="E475" s="233" t="inlineStr">
        <is>
          <t>Bảo Hiểm Ô Tô</t>
        </is>
      </c>
    </row>
    <row r="476">
      <c r="A476" s="235" t="n">
        <v>46143</v>
      </c>
      <c r="B476" s="236" t="inlineStr">
        <is>
          <t>Organic</t>
        </is>
      </c>
      <c r="C476" s="236" t="inlineStr">
        <is>
          <t>Merchant</t>
        </is>
      </c>
      <c r="D476" s="237" t="n">
        <v>52856</v>
      </c>
      <c r="E476" s="236" t="inlineStr">
        <is>
          <t>Merchant</t>
        </is>
      </c>
    </row>
    <row r="477">
      <c r="A477" s="232" t="n">
        <v>46143</v>
      </c>
      <c r="B477" s="233" t="inlineStr">
        <is>
          <t>Organic</t>
        </is>
      </c>
      <c r="C477" s="233" t="inlineStr">
        <is>
          <t>Cinema_Home Page</t>
        </is>
      </c>
      <c r="D477" s="234" t="n">
        <v>27516</v>
      </c>
      <c r="E477" s="233" t="inlineStr">
        <is>
          <t>Cinema Hub</t>
        </is>
      </c>
    </row>
    <row r="478">
      <c r="A478" s="235" t="n">
        <v>46143</v>
      </c>
      <c r="B478" s="236" t="inlineStr">
        <is>
          <t>Direct</t>
        </is>
      </c>
      <c r="C478" s="236" t="inlineStr">
        <is>
          <t>Cinema_Cineplex Page</t>
        </is>
      </c>
      <c r="D478" s="237" t="n">
        <v>12886</v>
      </c>
      <c r="E478" s="236" t="inlineStr">
        <is>
          <t>Cinema Hub</t>
        </is>
      </c>
    </row>
    <row r="479">
      <c r="A479" s="232" t="n">
        <v>46143</v>
      </c>
      <c r="B479" s="233" t="inlineStr">
        <is>
          <t>Organic</t>
        </is>
      </c>
      <c r="C479" s="233" t="inlineStr">
        <is>
          <t>Hỏi đáp</t>
        </is>
      </c>
      <c r="D479" s="234" t="n">
        <v>28368</v>
      </c>
      <c r="E479" s="233" t="inlineStr">
        <is>
          <t>Hỏi đáp</t>
        </is>
      </c>
    </row>
    <row r="480">
      <c r="A480" s="235" t="n">
        <v>46143</v>
      </c>
      <c r="B480" s="236" t="inlineStr">
        <is>
          <t>Organic</t>
        </is>
      </c>
      <c r="C480" s="236" t="inlineStr">
        <is>
          <t>Mở Thẻ Tín Dụng</t>
        </is>
      </c>
      <c r="D480" s="237" t="n">
        <v>1493</v>
      </c>
      <c r="E480" s="236" t="inlineStr">
        <is>
          <t>Financial Hub</t>
        </is>
      </c>
    </row>
    <row r="481">
      <c r="A481" s="232" t="n">
        <v>46143</v>
      </c>
      <c r="B481" s="233" t="inlineStr">
        <is>
          <t>Organic</t>
        </is>
      </c>
      <c r="C481" s="233" t="inlineStr">
        <is>
          <t>Khuyến mãi</t>
        </is>
      </c>
      <c r="D481" s="234" t="n">
        <v>5938</v>
      </c>
      <c r="E481" s="233" t="inlineStr">
        <is>
          <t>Khuyến mãi</t>
        </is>
      </c>
    </row>
    <row r="482">
      <c r="A482" s="235" t="n">
        <v>46143</v>
      </c>
      <c r="B482" s="236" t="inlineStr">
        <is>
          <t>Organic</t>
        </is>
      </c>
      <c r="C482" s="236" t="inlineStr">
        <is>
          <t>Bảo Hiểm Xe Máy</t>
        </is>
      </c>
      <c r="D482" s="237" t="n">
        <v>4269</v>
      </c>
      <c r="E482" s="236" t="inlineStr">
        <is>
          <t>Bảo Hiểm Xe Máy</t>
        </is>
      </c>
    </row>
    <row r="483">
      <c r="A483" s="232" t="n">
        <v>46204</v>
      </c>
      <c r="B483" s="233" t="inlineStr">
        <is>
          <t>Others</t>
        </is>
      </c>
      <c r="C483" s="233" t="inlineStr">
        <is>
          <t>Ví Trả Sau</t>
        </is>
      </c>
      <c r="D483" s="234" t="n">
        <v>297</v>
      </c>
      <c r="E483" s="233" t="inlineStr">
        <is>
          <t>Financial Hub</t>
        </is>
      </c>
    </row>
    <row r="484">
      <c r="A484" s="235" t="n">
        <v>46204</v>
      </c>
      <c r="B484" s="236" t="inlineStr">
        <is>
          <t>Organic</t>
        </is>
      </c>
      <c r="C484" s="236" t="inlineStr">
        <is>
          <t>Vé số</t>
        </is>
      </c>
      <c r="D484" s="237" t="n">
        <v>4553</v>
      </c>
      <c r="E484" s="236" t="inlineStr">
        <is>
          <t>Vé số</t>
        </is>
      </c>
    </row>
    <row r="485">
      <c r="A485" s="232" t="n">
        <v>46204</v>
      </c>
      <c r="B485" s="233" t="inlineStr">
        <is>
          <t>Direct</t>
        </is>
      </c>
      <c r="C485" s="233" t="inlineStr">
        <is>
          <t>Điện</t>
        </is>
      </c>
      <c r="D485" s="234" t="n">
        <v>360</v>
      </c>
      <c r="E485" s="233" t="inlineStr">
        <is>
          <t>Điện</t>
        </is>
      </c>
    </row>
    <row r="486">
      <c r="A486" s="235" t="n">
        <v>46204</v>
      </c>
      <c r="B486" s="236" t="inlineStr">
        <is>
          <t>Paid</t>
        </is>
      </c>
      <c r="C486" s="236" t="inlineStr">
        <is>
          <t>Ví Trả Sau</t>
        </is>
      </c>
      <c r="D486" s="237" t="n">
        <v>10754</v>
      </c>
      <c r="E486" s="236" t="inlineStr">
        <is>
          <t>Financial Hub</t>
        </is>
      </c>
    </row>
    <row r="487">
      <c r="A487" s="232" t="n">
        <v>46143</v>
      </c>
      <c r="B487" s="233" t="inlineStr">
        <is>
          <t>Paid</t>
        </is>
      </c>
      <c r="C487" s="233" t="inlineStr">
        <is>
          <t>Others</t>
        </is>
      </c>
      <c r="D487" s="234" t="n">
        <v>115479</v>
      </c>
      <c r="E487" s="233" t="inlineStr">
        <is>
          <t>Others</t>
        </is>
      </c>
    </row>
    <row r="488">
      <c r="A488" s="235" t="n">
        <v>46143</v>
      </c>
      <c r="B488" s="236" t="inlineStr">
        <is>
          <t>Paid</t>
        </is>
      </c>
      <c r="C488" s="236" t="inlineStr">
        <is>
          <t>Phạt Nguội</t>
        </is>
      </c>
      <c r="D488" s="237" t="n">
        <v>278869</v>
      </c>
      <c r="E488" s="236" t="inlineStr">
        <is>
          <t>Phạt Nguội</t>
        </is>
      </c>
    </row>
    <row r="489">
      <c r="A489" s="232" t="n">
        <v>46143</v>
      </c>
      <c r="B489" s="233" t="inlineStr">
        <is>
          <t>Organic</t>
        </is>
      </c>
      <c r="C489" s="233" t="inlineStr">
        <is>
          <t>Phạt Nguội</t>
        </is>
      </c>
      <c r="D489" s="234" t="n">
        <v>6842</v>
      </c>
      <c r="E489" s="233" t="inlineStr">
        <is>
          <t>Phạt Nguội</t>
        </is>
      </c>
    </row>
    <row r="490">
      <c r="A490" s="235" t="n">
        <v>46143</v>
      </c>
      <c r="B490" s="236" t="inlineStr">
        <is>
          <t>Referral</t>
        </is>
      </c>
      <c r="C490" s="236" t="inlineStr">
        <is>
          <t>Phạt Nguội</t>
        </is>
      </c>
      <c r="D490" s="237" t="n">
        <v>383</v>
      </c>
      <c r="E490" s="236" t="inlineStr">
        <is>
          <t>Phạt Nguội</t>
        </is>
      </c>
    </row>
    <row r="491">
      <c r="A491" s="232" t="n">
        <v>46143</v>
      </c>
      <c r="B491" s="233" t="inlineStr">
        <is>
          <t>Direct</t>
        </is>
      </c>
      <c r="C491" s="233" t="inlineStr">
        <is>
          <t>Phạt Nguội</t>
        </is>
      </c>
      <c r="D491" s="234" t="n">
        <v>7817</v>
      </c>
      <c r="E491" s="233" t="inlineStr">
        <is>
          <t>Phạt Nguội</t>
        </is>
      </c>
    </row>
    <row r="492">
      <c r="A492" s="235" t="n">
        <v>46143</v>
      </c>
      <c r="B492" s="236" t="inlineStr">
        <is>
          <t>Paid</t>
        </is>
      </c>
      <c r="C492" s="236" t="inlineStr">
        <is>
          <t>Trust</t>
        </is>
      </c>
      <c r="D492" s="237" t="n">
        <v>14933</v>
      </c>
      <c r="E492" s="236" t="inlineStr">
        <is>
          <t>Trust</t>
        </is>
      </c>
    </row>
    <row r="493">
      <c r="A493" s="232" t="n">
        <v>46143</v>
      </c>
      <c r="B493" s="233" t="inlineStr">
        <is>
          <t>Organic</t>
        </is>
      </c>
      <c r="C493" s="233" t="inlineStr">
        <is>
          <t>Vé Xe</t>
        </is>
      </c>
      <c r="D493" s="234" t="n">
        <v>65066</v>
      </c>
      <c r="E493" s="233" t="inlineStr">
        <is>
          <t>Vé Xe</t>
        </is>
      </c>
    </row>
    <row r="494">
      <c r="A494" s="235" t="n">
        <v>46143</v>
      </c>
      <c r="B494" s="236" t="inlineStr">
        <is>
          <t>Referral</t>
        </is>
      </c>
      <c r="C494" s="236" t="inlineStr">
        <is>
          <t>Ví Trả Sau</t>
        </is>
      </c>
      <c r="D494" s="237" t="n">
        <v>1634</v>
      </c>
      <c r="E494" s="236" t="inlineStr">
        <is>
          <t>Financial Hub</t>
        </is>
      </c>
    </row>
    <row r="495">
      <c r="A495" s="232" t="n">
        <v>46143</v>
      </c>
      <c r="B495" s="233" t="inlineStr">
        <is>
          <t>Direct</t>
        </is>
      </c>
      <c r="C495" s="233" t="inlineStr">
        <is>
          <t>Thanh Toán Khoản Vay</t>
        </is>
      </c>
      <c r="D495" s="234" t="n">
        <v>40</v>
      </c>
      <c r="E495" s="233" t="inlineStr">
        <is>
          <t>Financial Hub</t>
        </is>
      </c>
    </row>
    <row r="496">
      <c r="A496" s="235" t="n">
        <v>46266</v>
      </c>
      <c r="B496" s="236" t="inlineStr">
        <is>
          <t>Organic</t>
        </is>
      </c>
      <c r="C496" s="236" t="inlineStr">
        <is>
          <t>OTA</t>
        </is>
      </c>
      <c r="D496" s="237" t="n">
        <v>24516</v>
      </c>
      <c r="E496" s="236" t="inlineStr">
        <is>
          <t>OTA</t>
        </is>
      </c>
    </row>
    <row r="497">
      <c r="A497" s="232" t="n">
        <v>46266</v>
      </c>
      <c r="B497" s="233" t="inlineStr">
        <is>
          <t>Organic</t>
        </is>
      </c>
      <c r="C497" s="233" t="inlineStr">
        <is>
          <t>Điện</t>
        </is>
      </c>
      <c r="D497" s="234" t="n">
        <v>2967</v>
      </c>
      <c r="E497" s="233" t="inlineStr">
        <is>
          <t>Điện</t>
        </is>
      </c>
    </row>
    <row r="498">
      <c r="A498" s="235" t="n">
        <v>46266</v>
      </c>
      <c r="B498" s="236" t="inlineStr">
        <is>
          <t>Organic</t>
        </is>
      </c>
      <c r="C498" s="236" t="inlineStr">
        <is>
          <t>Sim</t>
        </is>
      </c>
      <c r="D498" s="237" t="n">
        <v>12113</v>
      </c>
      <c r="E498" s="236" t="inlineStr">
        <is>
          <t>Sim</t>
        </is>
      </c>
    </row>
    <row r="499">
      <c r="A499" s="232" t="n">
        <v>46266</v>
      </c>
      <c r="B499" s="233" t="inlineStr">
        <is>
          <t>Organic</t>
        </is>
      </c>
      <c r="C499" s="233" t="inlineStr">
        <is>
          <t>Vay Nhanh</t>
        </is>
      </c>
      <c r="D499" s="234" t="n">
        <v>38758</v>
      </c>
      <c r="E499" s="233" t="inlineStr">
        <is>
          <t>Financial Hub</t>
        </is>
      </c>
    </row>
    <row r="500">
      <c r="A500" s="235" t="n">
        <v>46266</v>
      </c>
      <c r="B500" s="236" t="inlineStr">
        <is>
          <t>Organic</t>
        </is>
      </c>
      <c r="C500" s="236" t="inlineStr">
        <is>
          <t>Tiktok</t>
        </is>
      </c>
      <c r="D500" s="237" t="n">
        <v>56341</v>
      </c>
      <c r="E500" s="236" t="inlineStr">
        <is>
          <t>Tiktok</t>
        </is>
      </c>
    </row>
    <row r="501">
      <c r="A501" s="232" t="n">
        <v>46266</v>
      </c>
      <c r="B501" s="233" t="inlineStr">
        <is>
          <t>Organic</t>
        </is>
      </c>
      <c r="C501" s="233" t="inlineStr">
        <is>
          <t>P2P</t>
        </is>
      </c>
      <c r="D501" s="234" t="n">
        <v>4483</v>
      </c>
      <c r="E501" s="233" t="inlineStr">
        <is>
          <t>P2P</t>
        </is>
      </c>
    </row>
    <row r="502">
      <c r="A502" s="235" t="n">
        <v>46266</v>
      </c>
      <c r="B502" s="236" t="inlineStr">
        <is>
          <t>Paid</t>
        </is>
      </c>
      <c r="C502" s="236" t="inlineStr">
        <is>
          <t>Tiktok</t>
        </is>
      </c>
      <c r="D502" s="237" t="n">
        <v>160637</v>
      </c>
      <c r="E502" s="236" t="inlineStr">
        <is>
          <t>Tiktok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 outlineLevelRow="1"/>
  <cols>
    <col width="5.13" customWidth="1" style="239" min="1" max="1"/>
    <col width="16.88" customWidth="1" style="239" min="2" max="5"/>
    <col width="14.88" customWidth="1" style="239" min="6" max="6"/>
    <col width="22.63" customWidth="1" style="239" min="7" max="7"/>
    <col width="81.63" customWidth="1" style="239" min="8" max="8"/>
    <col width="8.630000000000001" customWidth="1" style="239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9"/>
    <row r="5" ht="12" customHeight="1" s="239">
      <c r="G5" s="216" t="inlineStr">
        <is>
          <t>Key Metrics</t>
        </is>
      </c>
      <c r="H5" s="217" t="inlineStr">
        <is>
          <t>Ý Nghĩa</t>
        </is>
      </c>
    </row>
    <row r="6" ht="28.5" customHeight="1" s="239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9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9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9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9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9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9">
      <c r="G12" s="222" t="n"/>
      <c r="H12" s="222" t="n"/>
    </row>
    <row r="13" ht="20.25" customHeight="1" s="239">
      <c r="A13" s="80" t="n"/>
      <c r="B13" s="80" t="n"/>
      <c r="C13" s="80" t="n"/>
      <c r="D13" s="80" t="n"/>
      <c r="E13" s="80" t="n"/>
      <c r="F13" s="80" t="n"/>
      <c r="G13" s="240" t="inlineStr">
        <is>
          <t>SPLM (Same Period Last Month)</t>
        </is>
      </c>
      <c r="H13" s="241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20.25" customHeight="1" s="239">
      <c r="A14" s="80" t="n"/>
      <c r="B14" s="80" t="n"/>
      <c r="C14" s="80" t="n"/>
      <c r="D14" s="80" t="n"/>
      <c r="E14" s="80" t="n"/>
      <c r="F14" s="80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20.25" customHeight="1" s="239">
      <c r="A15" s="80" t="n"/>
      <c r="B15" s="80" t="n"/>
      <c r="C15" s="80" t="n"/>
      <c r="D15" s="80" t="n"/>
      <c r="E15" s="80" t="n"/>
      <c r="F15" s="80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20.25" customHeight="1" s="239">
      <c r="A16" s="80" t="n"/>
      <c r="B16" s="80" t="n"/>
      <c r="C16" s="80" t="n"/>
      <c r="D16" s="80" t="n"/>
      <c r="E16" s="80" t="n"/>
      <c r="F16" s="80" t="n"/>
      <c r="G16" s="242" t="inlineStr">
        <is>
          <t>FULL MONTH (Toàn bộ tháng)</t>
        </is>
      </c>
      <c r="H16" s="243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20.25" customHeight="1" s="239">
      <c r="A17" s="80" t="n"/>
      <c r="B17" s="80" t="n"/>
      <c r="C17" s="80" t="n"/>
      <c r="D17" s="80" t="n"/>
      <c r="E17" s="80" t="n"/>
      <c r="F17" s="80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27" customHeight="1" s="239">
      <c r="A18" s="80" t="n"/>
      <c r="B18" s="80" t="n"/>
      <c r="C18" s="80" t="n"/>
      <c r="D18" s="80" t="n"/>
      <c r="E18" s="80" t="n"/>
      <c r="F18" s="80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2" customHeight="1" s="239"/>
    <row r="20" ht="12" customHeight="1" s="239"/>
    <row r="21" ht="12" customHeight="1" s="239"/>
    <row r="22" ht="12" customHeight="1" s="239"/>
    <row r="23" ht="12" customHeight="1" s="239"/>
    <row r="24" ht="12" customHeight="1" s="239"/>
    <row r="25" ht="12" customHeight="1" s="239"/>
    <row r="26" ht="12" customHeight="1" s="239"/>
    <row r="27" ht="12" customHeight="1" s="239"/>
    <row r="28" ht="12" customHeight="1" s="239"/>
    <row r="29" ht="12" customHeight="1" s="239"/>
    <row r="30" ht="12" customHeight="1" s="239"/>
    <row r="31" ht="12" customHeight="1" s="239"/>
    <row r="32" ht="12" customHeight="1" s="239"/>
    <row r="33" ht="12" customHeight="1" s="239"/>
    <row r="34" ht="12" customHeight="1" s="239"/>
    <row r="35" ht="12" customHeight="1" s="239"/>
    <row r="36" ht="12" customHeight="1" s="239"/>
    <row r="37" ht="12" customHeight="1" s="239"/>
    <row r="38" ht="12" customHeight="1" s="239"/>
    <row r="39" ht="12" customHeight="1" s="239"/>
    <row r="40" ht="12" customHeight="1" s="239"/>
    <row r="41" ht="12" customHeight="1" s="239"/>
    <row r="42" ht="12" customHeight="1" s="239"/>
    <row r="43" ht="12" customHeight="1" s="239"/>
    <row r="44" ht="12" customHeight="1" s="239"/>
    <row r="45" ht="12" customHeight="1" s="239"/>
    <row r="46" ht="12" customHeight="1" s="239"/>
    <row r="47" ht="12" customHeight="1" s="239"/>
    <row r="48" ht="12" customHeight="1" s="239"/>
    <row r="49" ht="12" customHeight="1" s="239"/>
    <row r="50" ht="12" customHeight="1" s="239"/>
    <row r="51" ht="12" customHeight="1" s="239"/>
    <row r="52" ht="12" customHeight="1" s="239"/>
    <row r="53" ht="12" customHeight="1" s="239"/>
    <row r="54" ht="12" customHeight="1" s="239"/>
    <row r="55" ht="12" customHeight="1" s="239"/>
    <row r="56" ht="12" customHeight="1" s="239"/>
    <row r="57" ht="12" customHeight="1" s="239"/>
    <row r="58" ht="12" customHeight="1" s="239"/>
    <row r="59" ht="12" customHeight="1" s="239"/>
    <row r="60" ht="12" customHeight="1" s="239"/>
    <row r="61" ht="12" customHeight="1" s="239"/>
    <row r="62" ht="12" customHeight="1" s="239"/>
    <row r="63" ht="12" customHeight="1" s="239"/>
    <row r="64" ht="12" customHeight="1" s="239"/>
    <row r="65" ht="12" customHeight="1" s="239"/>
    <row r="66" ht="12" customHeight="1" s="239"/>
    <row r="67" ht="12" customHeight="1" s="239"/>
    <row r="68" ht="12" customHeight="1" s="239"/>
    <row r="69" ht="12" customHeight="1" s="239"/>
    <row r="70" ht="12" customHeight="1" s="239"/>
    <row r="71" ht="12" customHeight="1" s="239"/>
    <row r="72" ht="12" customHeight="1" s="239"/>
    <row r="73" ht="12" customHeight="1" s="239"/>
    <row r="74" ht="12" customHeight="1" s="239"/>
    <row r="75" ht="12" customHeight="1" s="239"/>
    <row r="76" ht="12" customHeight="1" s="239"/>
    <row r="77" ht="12" customHeight="1" s="239"/>
    <row r="78" ht="12" customHeight="1" s="239"/>
    <row r="79" ht="12" customHeight="1" s="239"/>
    <row r="80" ht="12" customHeight="1" s="239"/>
    <row r="81" ht="12" customHeight="1" s="239"/>
    <row r="82" ht="12" customHeight="1" s="239"/>
    <row r="83" ht="12" customHeight="1" s="239"/>
    <row r="84" ht="12" customHeight="1" s="239"/>
    <row r="85" ht="12" customHeight="1" s="239"/>
    <row r="86" ht="12" customHeight="1" s="239"/>
    <row r="87" ht="12" customHeight="1" s="239"/>
    <row r="88" ht="12" customHeight="1" s="239"/>
    <row r="89" ht="12" customHeight="1" s="239"/>
    <row r="90" ht="12" customHeight="1" s="239"/>
    <row r="91" ht="12" customHeight="1" s="239"/>
    <row r="92" ht="12" customHeight="1" s="239"/>
    <row r="93" ht="12" customHeight="1" s="239"/>
    <row r="94" ht="12" customHeight="1" s="239"/>
    <row r="95" ht="12" customHeight="1" s="239"/>
    <row r="96" ht="12" customHeight="1" s="239"/>
    <row r="97" ht="12" customHeight="1" s="239"/>
    <row r="98" ht="12" customHeight="1" s="239"/>
    <row r="99" ht="12" customHeight="1" s="239"/>
    <row r="100" ht="12" customHeight="1" s="239"/>
    <row r="101" ht="12" customHeight="1" s="239"/>
    <row r="102" ht="12" customHeight="1" s="239"/>
    <row r="103" ht="12" customHeight="1" s="239"/>
    <row r="104" ht="12" customHeight="1" s="239"/>
    <row r="105" ht="12" customHeight="1" s="239"/>
    <row r="106" ht="12" customHeight="1" s="239"/>
    <row r="107" ht="12" customHeight="1" s="239"/>
    <row r="108" ht="12" customHeight="1" s="239"/>
    <row r="109" ht="12" customHeight="1" s="239"/>
    <row r="110" ht="12" customHeight="1" s="239"/>
    <row r="111" ht="12" customHeight="1" s="239"/>
    <row r="112" ht="12" customHeight="1" s="239"/>
    <row r="113" ht="12" customHeight="1" s="239"/>
    <row r="114" ht="12" customHeight="1" s="239"/>
    <row r="115" ht="12" customHeight="1" s="239"/>
    <row r="116" ht="12" customHeight="1" s="239"/>
    <row r="117" ht="12" customHeight="1" s="239"/>
    <row r="118" ht="12" customHeight="1" s="239"/>
    <row r="119" ht="12" customHeight="1" s="239"/>
    <row r="120" ht="12" customHeight="1" s="239"/>
    <row r="121" ht="12" customHeight="1" s="239"/>
    <row r="122" ht="12" customHeight="1" s="239"/>
    <row r="123" ht="12" customHeight="1" s="239"/>
    <row r="124" ht="12" customHeight="1" s="239"/>
    <row r="125" ht="12" customHeight="1" s="239"/>
    <row r="126" ht="12" customHeight="1" s="239"/>
    <row r="127" ht="12" customHeight="1" s="239"/>
    <row r="128" ht="12" customHeight="1" s="239"/>
    <row r="129" ht="12" customHeight="1" s="239"/>
    <row r="130" ht="12" customHeight="1" s="239"/>
    <row r="131" ht="12" customHeight="1" s="239"/>
    <row r="132" ht="12" customHeight="1" s="239"/>
    <row r="133" ht="12" customHeight="1" s="239"/>
    <row r="134" ht="12" customHeight="1" s="239"/>
    <row r="135" ht="12" customHeight="1" s="239"/>
    <row r="136" ht="12" customHeight="1" s="239"/>
    <row r="137" ht="12" customHeight="1" s="239"/>
    <row r="138" ht="12" customHeight="1" s="239"/>
    <row r="139" ht="12" customHeight="1" s="239"/>
    <row r="140" ht="12" customHeight="1" s="239"/>
    <row r="141" ht="12" customHeight="1" s="239"/>
    <row r="142" ht="12" customHeight="1" s="239"/>
    <row r="143" ht="12" customHeight="1" s="239"/>
    <row r="144" ht="12" customHeight="1" s="239"/>
    <row r="145" ht="12" customHeight="1" s="239"/>
    <row r="146" ht="12" customHeight="1" s="239"/>
    <row r="147" ht="12" customHeight="1" s="239"/>
    <row r="148" ht="12" customHeight="1" s="239"/>
    <row r="149" ht="12" customHeight="1" s="239"/>
    <row r="150" ht="12" customHeight="1" s="239"/>
    <row r="151" ht="12" customHeight="1" s="239"/>
    <row r="152" ht="12" customHeight="1" s="239"/>
    <row r="153" ht="12" customHeight="1" s="239"/>
    <row r="154" ht="12" customHeight="1" s="239"/>
    <row r="155" ht="12" customHeight="1" s="239"/>
    <row r="156" ht="12" customHeight="1" s="239"/>
    <row r="157" ht="12" customHeight="1" s="239"/>
    <row r="158" ht="12" customHeight="1" s="239"/>
    <row r="159" ht="12" customHeight="1" s="239"/>
    <row r="160" ht="12" customHeight="1" s="239"/>
    <row r="161" ht="12" customHeight="1" s="239"/>
    <row r="162" ht="12" customHeight="1" s="239"/>
    <row r="163" ht="12" customHeight="1" s="239"/>
    <row r="164" ht="12" customHeight="1" s="239"/>
    <row r="165" ht="12" customHeight="1" s="239"/>
    <row r="166" ht="12" customHeight="1" s="239"/>
    <row r="167" ht="12" customHeight="1" s="239"/>
    <row r="168" ht="12" customHeight="1" s="239"/>
    <row r="169" ht="12" customHeight="1" s="239"/>
    <row r="170" ht="12" customHeight="1" s="239"/>
    <row r="171" ht="12" customHeight="1" s="239"/>
    <row r="172" ht="12" customHeight="1" s="239"/>
    <row r="173" ht="12" customHeight="1" s="239"/>
    <row r="174" ht="12" customHeight="1" s="239"/>
    <row r="175" ht="12" customHeight="1" s="239"/>
    <row r="176" ht="12" customHeight="1" s="239"/>
    <row r="177" ht="12" customHeight="1" s="239"/>
    <row r="178" ht="12" customHeight="1" s="239"/>
    <row r="179" ht="12" customHeight="1" s="239"/>
    <row r="180" ht="12" customHeight="1" s="239"/>
    <row r="181" ht="12" customHeight="1" s="239"/>
    <row r="182" ht="12" customHeight="1" s="239"/>
    <row r="183" ht="12" customHeight="1" s="239"/>
    <row r="184" ht="12" customHeight="1" s="239"/>
    <row r="185" ht="12" customHeight="1" s="239"/>
    <row r="186" ht="12" customHeight="1" s="239"/>
    <row r="187" ht="12" customHeight="1" s="239"/>
    <row r="188" ht="12" customHeight="1" s="239"/>
    <row r="189" ht="12" customHeight="1" s="239"/>
    <row r="190" ht="12" customHeight="1" s="239"/>
    <row r="191" ht="12" customHeight="1" s="239"/>
    <row r="192" ht="12" customHeight="1" s="239"/>
    <row r="193" ht="12" customHeight="1" s="239"/>
    <row r="194" ht="12" customHeight="1" s="239"/>
    <row r="195" ht="12" customHeight="1" s="239"/>
    <row r="196" ht="12" customHeight="1" s="239"/>
    <row r="197" ht="12" customHeight="1" s="239"/>
    <row r="198" ht="12" customHeight="1" s="239"/>
    <row r="199" ht="12" customHeight="1" s="239"/>
    <row r="200" ht="12" customHeight="1" s="239"/>
    <row r="201" ht="12" customHeight="1" s="239"/>
    <row r="202" ht="12" customHeight="1" s="239"/>
    <row r="203" ht="12" customHeight="1" s="239"/>
    <row r="204" ht="12" customHeight="1" s="239"/>
    <row r="205" ht="12" customHeight="1" s="239"/>
    <row r="206" ht="12" customHeight="1" s="239"/>
    <row r="207" ht="12" customHeight="1" s="239"/>
    <row r="208" ht="12" customHeight="1" s="239"/>
    <row r="209" ht="12" customHeight="1" s="239"/>
    <row r="210" ht="12" customHeight="1" s="239"/>
    <row r="211" ht="12" customHeight="1" s="239"/>
    <row r="212" ht="12" customHeight="1" s="239"/>
    <row r="213" ht="12" customHeight="1" s="239"/>
    <row r="214" ht="12" customHeight="1" s="239"/>
    <row r="215" ht="12" customHeight="1" s="239"/>
    <row r="216" ht="12" customHeight="1" s="239"/>
    <row r="217" ht="12" customHeight="1" s="239"/>
    <row r="218" ht="12" customHeight="1" s="239"/>
    <row r="219" ht="12" customHeight="1" s="239"/>
    <row r="220" ht="12" customHeight="1" s="239"/>
    <row r="221" ht="12" customHeight="1" s="239"/>
    <row r="222" ht="12" customHeight="1" s="239"/>
    <row r="223" ht="12" customHeight="1" s="239"/>
    <row r="224" ht="12" customHeight="1" s="239"/>
    <row r="225" ht="12" customHeight="1" s="239"/>
    <row r="226" ht="12" customHeight="1" s="239"/>
    <row r="227" ht="12" customHeight="1" s="239"/>
    <row r="228" ht="12" customHeight="1" s="239"/>
    <row r="229" ht="12" customHeight="1" s="239"/>
    <row r="230" ht="12" customHeight="1" s="239"/>
    <row r="231" ht="12" customHeight="1" s="239"/>
    <row r="232" ht="12" customHeight="1" s="239"/>
    <row r="233" ht="12" customHeight="1" s="239"/>
    <row r="234" ht="12" customHeight="1" s="239"/>
    <row r="235" ht="12" customHeight="1" s="239"/>
    <row r="236" ht="12" customHeight="1" s="239"/>
    <row r="237" ht="12" customHeight="1" s="239"/>
    <row r="238" ht="12" customHeight="1" s="239"/>
    <row r="239" ht="12" customHeight="1" s="239"/>
    <row r="240" ht="12" customHeight="1" s="239"/>
    <row r="241" ht="12" customHeight="1" s="239"/>
    <row r="242" ht="12" customHeight="1" s="239"/>
    <row r="243" ht="12" customHeight="1" s="239"/>
    <row r="244" ht="12" customHeight="1" s="239"/>
    <row r="245" ht="12" customHeight="1" s="239"/>
    <row r="246" ht="12" customHeight="1" s="239"/>
    <row r="247" ht="12" customHeight="1" s="239"/>
    <row r="248" ht="12" customHeight="1" s="239"/>
    <row r="249" ht="12" customHeight="1" s="239"/>
    <row r="250" ht="12" customHeight="1" s="239"/>
    <row r="251" ht="12" customHeight="1" s="239"/>
    <row r="252" ht="12" customHeight="1" s="239"/>
    <row r="253" ht="12" customHeight="1" s="239"/>
    <row r="254" ht="12" customHeight="1" s="239"/>
    <row r="255" ht="12" customHeight="1" s="239"/>
    <row r="256" ht="12" customHeight="1" s="239"/>
    <row r="257" ht="12" customHeight="1" s="239"/>
    <row r="258" ht="12" customHeight="1" s="239"/>
    <row r="259" ht="12" customHeight="1" s="239"/>
    <row r="260" ht="12" customHeight="1" s="239"/>
    <row r="261" ht="12" customHeight="1" s="239"/>
    <row r="262" ht="12" customHeight="1" s="239"/>
    <row r="263" ht="12" customHeight="1" s="239"/>
    <row r="264" ht="12" customHeight="1" s="239"/>
    <row r="265" ht="12" customHeight="1" s="239"/>
    <row r="266" ht="12" customHeight="1" s="239"/>
    <row r="267" ht="12" customHeight="1" s="239"/>
    <row r="268" ht="12" customHeight="1" s="239"/>
    <row r="269" ht="12" customHeight="1" s="239"/>
    <row r="270" ht="12" customHeight="1" s="239"/>
    <row r="271" ht="12" customHeight="1" s="239"/>
    <row r="272" ht="12" customHeight="1" s="239"/>
    <row r="273" ht="12" customHeight="1" s="239"/>
    <row r="274" ht="12" customHeight="1" s="239"/>
    <row r="275" ht="12" customHeight="1" s="239"/>
    <row r="276" ht="12" customHeight="1" s="239"/>
    <row r="277" ht="12" customHeight="1" s="239"/>
    <row r="278" ht="12" customHeight="1" s="239"/>
    <row r="279" ht="12" customHeight="1" s="239"/>
    <row r="280" ht="12" customHeight="1" s="239"/>
    <row r="281" ht="12" customHeight="1" s="239"/>
    <row r="282" ht="12" customHeight="1" s="239"/>
    <row r="283" ht="12" customHeight="1" s="239"/>
    <row r="284" ht="12" customHeight="1" s="239"/>
    <row r="285" ht="12" customHeight="1" s="239"/>
    <row r="286" ht="12" customHeight="1" s="239"/>
    <row r="287" ht="12" customHeight="1" s="239"/>
    <row r="288" ht="12" customHeight="1" s="239"/>
    <row r="289" ht="12" customHeight="1" s="239"/>
    <row r="290" ht="12" customHeight="1" s="239"/>
    <row r="291" ht="12" customHeight="1" s="239"/>
    <row r="292" ht="12" customHeight="1" s="239"/>
    <row r="293" ht="12" customHeight="1" s="239"/>
    <row r="294" ht="12" customHeight="1" s="239"/>
    <row r="295" ht="12" customHeight="1" s="239"/>
    <row r="296" ht="12" customHeight="1" s="239"/>
    <row r="297" ht="12" customHeight="1" s="239"/>
    <row r="298" ht="12" customHeight="1" s="239"/>
    <row r="299" ht="12" customHeight="1" s="239"/>
    <row r="300" ht="12" customHeight="1" s="239"/>
    <row r="301" ht="12" customHeight="1" s="239"/>
    <row r="302" ht="12" customHeight="1" s="239"/>
    <row r="303" ht="12" customHeight="1" s="239"/>
    <row r="304" ht="12" customHeight="1" s="239"/>
    <row r="305" ht="12" customHeight="1" s="239"/>
    <row r="306" ht="12" customHeight="1" s="239"/>
    <row r="307" ht="12" customHeight="1" s="239"/>
    <row r="308" ht="12" customHeight="1" s="239"/>
    <row r="309" ht="12" customHeight="1" s="239"/>
    <row r="310" ht="12" customHeight="1" s="239"/>
    <row r="311" ht="12" customHeight="1" s="239"/>
    <row r="312" ht="12" customHeight="1" s="239"/>
    <row r="313" ht="12" customHeight="1" s="239"/>
    <row r="314" ht="12" customHeight="1" s="239"/>
    <row r="315" ht="12" customHeight="1" s="239"/>
    <row r="316" ht="12" customHeight="1" s="239"/>
    <row r="317" ht="12" customHeight="1" s="239"/>
    <row r="318" ht="12" customHeight="1" s="239"/>
    <row r="319" ht="12" customHeight="1" s="239"/>
    <row r="320" ht="12" customHeight="1" s="239"/>
    <row r="321" ht="12" customHeight="1" s="239"/>
    <row r="322" ht="12" customHeight="1" s="239"/>
    <row r="323" ht="12" customHeight="1" s="239"/>
    <row r="324" ht="12" customHeight="1" s="239"/>
    <row r="325" ht="12" customHeight="1" s="239"/>
    <row r="326" ht="12" customHeight="1" s="239"/>
    <row r="327" ht="12" customHeight="1" s="239"/>
    <row r="328" ht="12" customHeight="1" s="239"/>
    <row r="329" ht="12" customHeight="1" s="239"/>
    <row r="330" ht="12" customHeight="1" s="239"/>
    <row r="331" ht="12" customHeight="1" s="239"/>
    <row r="332" ht="12" customHeight="1" s="239"/>
    <row r="333" ht="12" customHeight="1" s="239"/>
    <row r="334" ht="12" customHeight="1" s="239"/>
    <row r="335" ht="12" customHeight="1" s="239"/>
    <row r="336" ht="12" customHeight="1" s="239"/>
    <row r="337" ht="12" customHeight="1" s="239"/>
    <row r="338" ht="12" customHeight="1" s="239"/>
    <row r="339" ht="12" customHeight="1" s="239"/>
    <row r="340" ht="12" customHeight="1" s="239"/>
    <row r="341" ht="12" customHeight="1" s="239"/>
    <row r="342" ht="12" customHeight="1" s="239"/>
    <row r="343" ht="12" customHeight="1" s="239"/>
    <row r="344" ht="12" customHeight="1" s="239"/>
    <row r="345" ht="12" customHeight="1" s="239"/>
    <row r="346" ht="12" customHeight="1" s="239"/>
    <row r="347" ht="12" customHeight="1" s="239"/>
    <row r="348" ht="12" customHeight="1" s="239"/>
    <row r="349" ht="12" customHeight="1" s="239"/>
    <row r="350" ht="12" customHeight="1" s="239"/>
    <row r="351" ht="12" customHeight="1" s="239"/>
    <row r="352" ht="12" customHeight="1" s="239"/>
    <row r="353" ht="12" customHeight="1" s="239"/>
    <row r="354" ht="12" customHeight="1" s="239"/>
    <row r="355" ht="12" customHeight="1" s="239"/>
    <row r="356" ht="12" customHeight="1" s="239"/>
    <row r="357" ht="12" customHeight="1" s="239"/>
    <row r="358" ht="12" customHeight="1" s="239"/>
    <row r="359" ht="12" customHeight="1" s="239"/>
    <row r="360" ht="12" customHeight="1" s="239"/>
    <row r="361" ht="12" customHeight="1" s="239"/>
    <row r="362" ht="12" customHeight="1" s="239"/>
    <row r="363" ht="12" customHeight="1" s="239"/>
    <row r="364" ht="12" customHeight="1" s="239"/>
    <row r="365" ht="12" customHeight="1" s="239"/>
    <row r="366" ht="12" customHeight="1" s="239"/>
    <row r="367" ht="12" customHeight="1" s="239"/>
    <row r="368" ht="12" customHeight="1" s="239"/>
    <row r="369" ht="12" customHeight="1" s="239"/>
    <row r="370" ht="12" customHeight="1" s="239"/>
    <row r="371" ht="12" customHeight="1" s="239"/>
    <row r="372" ht="12" customHeight="1" s="239"/>
    <row r="373" ht="12" customHeight="1" s="239"/>
    <row r="374" ht="12" customHeight="1" s="239"/>
    <row r="375" ht="12" customHeight="1" s="239"/>
    <row r="376" ht="12" customHeight="1" s="239"/>
    <row r="377" ht="12" customHeight="1" s="239"/>
    <row r="378" ht="12" customHeight="1" s="239"/>
    <row r="379" ht="12" customHeight="1" s="239"/>
    <row r="380" ht="12" customHeight="1" s="239"/>
    <row r="381" ht="12" customHeight="1" s="239"/>
    <row r="382" ht="12" customHeight="1" s="239"/>
    <row r="383" ht="12" customHeight="1" s="239"/>
    <row r="384" ht="12" customHeight="1" s="239"/>
    <row r="385" ht="12" customHeight="1" s="239"/>
    <row r="386" ht="12" customHeight="1" s="239"/>
    <row r="387" ht="12" customHeight="1" s="239"/>
    <row r="388" ht="12" customHeight="1" s="239"/>
    <row r="389" ht="12" customHeight="1" s="239"/>
    <row r="390" ht="12" customHeight="1" s="239"/>
    <row r="391" ht="12" customHeight="1" s="239"/>
    <row r="392" ht="12" customHeight="1" s="239"/>
    <row r="393" ht="12" customHeight="1" s="239"/>
    <row r="394" ht="12" customHeight="1" s="239"/>
    <row r="395" ht="12" customHeight="1" s="239"/>
    <row r="396" ht="12" customHeight="1" s="239"/>
    <row r="397" ht="12" customHeight="1" s="239"/>
    <row r="398" ht="12" customHeight="1" s="239"/>
    <row r="399" ht="12" customHeight="1" s="239"/>
    <row r="400" ht="12" customHeight="1" s="239"/>
    <row r="401" ht="12" customHeight="1" s="239"/>
    <row r="402" ht="12" customHeight="1" s="239"/>
    <row r="403" ht="12" customHeight="1" s="239"/>
    <row r="404" ht="12" customHeight="1" s="239"/>
    <row r="405" ht="12" customHeight="1" s="239"/>
    <row r="406" ht="12" customHeight="1" s="239"/>
    <row r="407" ht="12" customHeight="1" s="239"/>
    <row r="408" ht="12" customHeight="1" s="239"/>
    <row r="409" ht="12" customHeight="1" s="239"/>
    <row r="410" ht="12" customHeight="1" s="239"/>
    <row r="411" ht="12" customHeight="1" s="239"/>
    <row r="412" ht="12" customHeight="1" s="239"/>
    <row r="413" ht="12" customHeight="1" s="239"/>
    <row r="414" ht="12" customHeight="1" s="239"/>
    <row r="415" ht="12" customHeight="1" s="239"/>
    <row r="416" ht="12" customHeight="1" s="239"/>
    <row r="417" ht="12" customHeight="1" s="239"/>
    <row r="418" ht="12" customHeight="1" s="239"/>
    <row r="419" ht="12" customHeight="1" s="239"/>
    <row r="420" ht="12" customHeight="1" s="239"/>
    <row r="421" ht="12" customHeight="1" s="239"/>
    <row r="422" ht="12" customHeight="1" s="239"/>
    <row r="423" ht="12" customHeight="1" s="239"/>
    <row r="424" ht="12" customHeight="1" s="239"/>
    <row r="425" ht="12" customHeight="1" s="239"/>
    <row r="426" ht="12" customHeight="1" s="239"/>
    <row r="427" ht="12" customHeight="1" s="239"/>
    <row r="428" ht="12" customHeight="1" s="239"/>
    <row r="429" ht="12" customHeight="1" s="239"/>
    <row r="430" ht="12" customHeight="1" s="239"/>
    <row r="431" ht="12" customHeight="1" s="239"/>
    <row r="432" ht="12" customHeight="1" s="239"/>
    <row r="433" ht="12" customHeight="1" s="239"/>
    <row r="434" ht="12" customHeight="1" s="239"/>
    <row r="435" ht="12" customHeight="1" s="239"/>
    <row r="436" ht="12" customHeight="1" s="239"/>
    <row r="437" ht="12" customHeight="1" s="239"/>
    <row r="438" ht="12" customHeight="1" s="239"/>
    <row r="439" ht="12" customHeight="1" s="239"/>
    <row r="440" ht="12" customHeight="1" s="239"/>
    <row r="441" ht="12" customHeight="1" s="239"/>
    <row r="442" ht="12" customHeight="1" s="239"/>
    <row r="443" ht="12" customHeight="1" s="239"/>
    <row r="444" ht="12" customHeight="1" s="239"/>
    <row r="445" ht="12" customHeight="1" s="239"/>
    <row r="446" ht="12" customHeight="1" s="239"/>
    <row r="447" ht="12" customHeight="1" s="239"/>
    <row r="448" ht="12" customHeight="1" s="239"/>
    <row r="449" ht="12" customHeight="1" s="239"/>
    <row r="450" ht="12" customHeight="1" s="239"/>
    <row r="451" ht="12" customHeight="1" s="239"/>
    <row r="452" ht="12" customHeight="1" s="239"/>
    <row r="453" ht="12" customHeight="1" s="239"/>
    <row r="454" ht="12" customHeight="1" s="239"/>
    <row r="455" ht="12" customHeight="1" s="239"/>
    <row r="456" ht="12" customHeight="1" s="239"/>
    <row r="457" ht="12" customHeight="1" s="239"/>
    <row r="458" ht="12" customHeight="1" s="239"/>
    <row r="459" ht="12" customHeight="1" s="239"/>
    <row r="460" ht="12" customHeight="1" s="239"/>
    <row r="461" ht="12" customHeight="1" s="239"/>
    <row r="462" ht="12" customHeight="1" s="239"/>
    <row r="463" ht="12" customHeight="1" s="239"/>
    <row r="464" ht="12" customHeight="1" s="239"/>
    <row r="465" ht="12" customHeight="1" s="239"/>
    <row r="466" ht="12" customHeight="1" s="239"/>
    <row r="467" ht="12" customHeight="1" s="239"/>
    <row r="468" ht="12" customHeight="1" s="239"/>
    <row r="469" ht="12" customHeight="1" s="239"/>
    <row r="470" ht="12" customHeight="1" s="239"/>
    <row r="471" ht="12" customHeight="1" s="239"/>
    <row r="472" ht="12" customHeight="1" s="239"/>
    <row r="473" ht="12" customHeight="1" s="239"/>
    <row r="474" ht="12" customHeight="1" s="239"/>
    <row r="475" ht="12" customHeight="1" s="239"/>
    <row r="476" ht="12" customHeight="1" s="239"/>
    <row r="477" ht="12" customHeight="1" s="239"/>
    <row r="478" ht="12" customHeight="1" s="239"/>
    <row r="479" ht="12" customHeight="1" s="239"/>
    <row r="480" ht="12" customHeight="1" s="239"/>
    <row r="481" ht="12" customHeight="1" s="239"/>
    <row r="482" ht="12" customHeight="1" s="239"/>
    <row r="483" ht="12" customHeight="1" s="239"/>
    <row r="484" ht="12" customHeight="1" s="239"/>
    <row r="485" ht="12" customHeight="1" s="239"/>
    <row r="486" ht="12" customHeight="1" s="239"/>
    <row r="487" ht="12" customHeight="1" s="239"/>
    <row r="488" ht="12" customHeight="1" s="239"/>
    <row r="489" ht="12" customHeight="1" s="239"/>
    <row r="490" ht="12" customHeight="1" s="239"/>
    <row r="491" ht="12" customHeight="1" s="239"/>
    <row r="492" ht="12" customHeight="1" s="239"/>
    <row r="493" ht="12" customHeight="1" s="239"/>
    <row r="494" ht="12" customHeight="1" s="239"/>
    <row r="495" ht="12" customHeight="1" s="239"/>
    <row r="496" ht="12" customHeight="1" s="239"/>
    <row r="497" ht="12" customHeight="1" s="239"/>
    <row r="498" ht="12" customHeight="1" s="239"/>
    <row r="499" ht="12" customHeight="1" s="239"/>
    <row r="500" ht="12" customHeight="1" s="239"/>
    <row r="501" ht="12" customHeight="1" s="239"/>
    <row r="502" ht="12" customHeight="1" s="239"/>
    <row r="503" ht="12" customHeight="1" s="239"/>
    <row r="504" ht="12" customHeight="1" s="239"/>
    <row r="505" ht="12" customHeight="1" s="239"/>
    <row r="506" ht="12" customHeight="1" s="239"/>
    <row r="507" ht="12" customHeight="1" s="239"/>
    <row r="508" ht="12" customHeight="1" s="239"/>
    <row r="509" ht="12" customHeight="1" s="239"/>
    <row r="510" ht="12" customHeight="1" s="239"/>
    <row r="511" ht="12" customHeight="1" s="239"/>
    <row r="512" ht="12" customHeight="1" s="239"/>
    <row r="513" ht="12" customHeight="1" s="239"/>
    <row r="514" ht="12" customHeight="1" s="239"/>
    <row r="515" ht="12" customHeight="1" s="239"/>
    <row r="516" ht="12" customHeight="1" s="239"/>
    <row r="517" ht="12" customHeight="1" s="239"/>
    <row r="518" ht="12" customHeight="1" s="239"/>
    <row r="519" ht="12" customHeight="1" s="239"/>
    <row r="520" ht="12" customHeight="1" s="239"/>
    <row r="521" ht="12" customHeight="1" s="239"/>
    <row r="522" ht="12" customHeight="1" s="239"/>
    <row r="523" ht="12" customHeight="1" s="239"/>
    <row r="524" ht="12" customHeight="1" s="239"/>
    <row r="525" ht="12" customHeight="1" s="239"/>
    <row r="526" ht="12" customHeight="1" s="239"/>
    <row r="527" ht="12" customHeight="1" s="239"/>
    <row r="528" ht="12" customHeight="1" s="239"/>
    <row r="529" ht="12" customHeight="1" s="239"/>
    <row r="530" ht="12" customHeight="1" s="239"/>
    <row r="531" ht="12" customHeight="1" s="239"/>
    <row r="532" ht="12" customHeight="1" s="239"/>
    <row r="533" ht="12" customHeight="1" s="239"/>
    <row r="534" ht="12" customHeight="1" s="239"/>
    <row r="535" ht="12" customHeight="1" s="239"/>
    <row r="536" ht="12" customHeight="1" s="239"/>
    <row r="537" ht="12" customHeight="1" s="239"/>
    <row r="538" ht="12" customHeight="1" s="239"/>
    <row r="539" ht="12" customHeight="1" s="239"/>
    <row r="540" ht="12" customHeight="1" s="239"/>
    <row r="541" ht="12" customHeight="1" s="239"/>
    <row r="542" ht="12" customHeight="1" s="239"/>
    <row r="543" ht="12" customHeight="1" s="239"/>
    <row r="544" ht="12" customHeight="1" s="239"/>
    <row r="545" ht="12" customHeight="1" s="239"/>
    <row r="546" ht="12" customHeight="1" s="239"/>
    <row r="547" ht="12" customHeight="1" s="239"/>
    <row r="548" ht="12" customHeight="1" s="239"/>
    <row r="549" ht="12" customHeight="1" s="239"/>
    <row r="550" ht="12" customHeight="1" s="239"/>
    <row r="551" ht="12" customHeight="1" s="239"/>
    <row r="552" ht="12" customHeight="1" s="239"/>
    <row r="553" ht="12" customHeight="1" s="239"/>
    <row r="554" ht="12" customHeight="1" s="239"/>
    <row r="555" ht="12" customHeight="1" s="239"/>
    <row r="556" ht="12" customHeight="1" s="239"/>
    <row r="557" ht="12" customHeight="1" s="239"/>
    <row r="558" ht="12" customHeight="1" s="239"/>
    <row r="559" ht="12" customHeight="1" s="239"/>
    <row r="560" ht="12" customHeight="1" s="239"/>
    <row r="561" ht="12" customHeight="1" s="239"/>
    <row r="562" ht="12" customHeight="1" s="239"/>
    <row r="563" ht="12" customHeight="1" s="239"/>
    <row r="564" ht="12" customHeight="1" s="239"/>
    <row r="565" ht="12" customHeight="1" s="239"/>
    <row r="566" ht="12" customHeight="1" s="239"/>
    <row r="567" ht="12" customHeight="1" s="239"/>
    <row r="568" ht="12" customHeight="1" s="239"/>
    <row r="569" ht="12" customHeight="1" s="239"/>
    <row r="570" ht="12" customHeight="1" s="239"/>
    <row r="571" ht="12" customHeight="1" s="239"/>
    <row r="572" ht="12" customHeight="1" s="239"/>
    <row r="573" ht="12" customHeight="1" s="239"/>
    <row r="574" ht="12" customHeight="1" s="239"/>
    <row r="575" ht="12" customHeight="1" s="239"/>
    <row r="576" ht="12" customHeight="1" s="239"/>
    <row r="577" ht="12" customHeight="1" s="239"/>
    <row r="578" ht="12" customHeight="1" s="239"/>
    <row r="579" ht="12" customHeight="1" s="239"/>
    <row r="580" ht="12" customHeight="1" s="239"/>
    <row r="581" ht="12" customHeight="1" s="239"/>
    <row r="582" ht="12" customHeight="1" s="239"/>
    <row r="583" ht="12" customHeight="1" s="239"/>
    <row r="584" ht="12" customHeight="1" s="239"/>
    <row r="585" ht="12" customHeight="1" s="239"/>
    <row r="586" ht="12" customHeight="1" s="239"/>
    <row r="587" ht="12" customHeight="1" s="239"/>
    <row r="588" ht="12" customHeight="1" s="239"/>
    <row r="589" ht="12" customHeight="1" s="239"/>
    <row r="590" ht="12" customHeight="1" s="239"/>
    <row r="591" ht="12" customHeight="1" s="239"/>
    <row r="592" ht="12" customHeight="1" s="239"/>
    <row r="593" ht="12" customHeight="1" s="239"/>
    <row r="594" ht="12" customHeight="1" s="239"/>
    <row r="595" ht="12" customHeight="1" s="239"/>
    <row r="596" ht="12" customHeight="1" s="239"/>
    <row r="597" ht="12" customHeight="1" s="239"/>
    <row r="598" ht="12" customHeight="1" s="239"/>
    <row r="599" ht="12" customHeight="1" s="239"/>
    <row r="600" ht="12" customHeight="1" s="239"/>
    <row r="601" ht="12" customHeight="1" s="239"/>
    <row r="602" ht="12" customHeight="1" s="239"/>
    <row r="603" ht="12" customHeight="1" s="239"/>
    <row r="604" ht="12" customHeight="1" s="239"/>
    <row r="605" ht="12" customHeight="1" s="239"/>
    <row r="606" ht="12" customHeight="1" s="239"/>
    <row r="607" ht="12" customHeight="1" s="239"/>
    <row r="608" ht="12" customHeight="1" s="239"/>
    <row r="609" ht="12" customHeight="1" s="239"/>
    <row r="610" ht="12" customHeight="1" s="239"/>
    <row r="611" ht="12" customHeight="1" s="239"/>
    <row r="612" ht="12" customHeight="1" s="239"/>
    <row r="613" ht="12" customHeight="1" s="239"/>
    <row r="614" ht="12" customHeight="1" s="239"/>
    <row r="615" ht="12" customHeight="1" s="239"/>
    <row r="616" ht="12" customHeight="1" s="239"/>
    <row r="617" ht="12" customHeight="1" s="239"/>
    <row r="618" ht="12" customHeight="1" s="239"/>
    <row r="619" ht="12" customHeight="1" s="239"/>
    <row r="620" ht="12" customHeight="1" s="239"/>
    <row r="621" ht="12" customHeight="1" s="239"/>
    <row r="622" ht="12" customHeight="1" s="239"/>
    <row r="623" ht="12" customHeight="1" s="239"/>
    <row r="624" ht="12" customHeight="1" s="239"/>
    <row r="625" ht="12" customHeight="1" s="239"/>
    <row r="626" ht="12" customHeight="1" s="239"/>
    <row r="627" ht="12" customHeight="1" s="239"/>
    <row r="628" ht="12" customHeight="1" s="239"/>
    <row r="629" ht="12" customHeight="1" s="239"/>
    <row r="630" ht="12" customHeight="1" s="239"/>
    <row r="631" ht="12" customHeight="1" s="239"/>
    <row r="632" ht="12" customHeight="1" s="239"/>
    <row r="633" ht="12" customHeight="1" s="239"/>
    <row r="634" ht="12" customHeight="1" s="239"/>
    <row r="635" ht="12" customHeight="1" s="239"/>
    <row r="636" ht="12" customHeight="1" s="239"/>
    <row r="637" ht="12" customHeight="1" s="239"/>
    <row r="638" ht="12" customHeight="1" s="239"/>
    <row r="639" ht="12" customHeight="1" s="239"/>
    <row r="640" ht="12" customHeight="1" s="239"/>
    <row r="641" ht="12" customHeight="1" s="239"/>
    <row r="642" ht="12" customHeight="1" s="239"/>
    <row r="643" ht="12" customHeight="1" s="239"/>
    <row r="644" ht="12" customHeight="1" s="239"/>
    <row r="645" ht="12" customHeight="1" s="239"/>
    <row r="646" ht="12" customHeight="1" s="239"/>
    <row r="647" ht="12" customHeight="1" s="239"/>
    <row r="648" ht="12" customHeight="1" s="239"/>
    <row r="649" ht="12" customHeight="1" s="239"/>
    <row r="650" ht="12" customHeight="1" s="239"/>
    <row r="651" ht="12" customHeight="1" s="239"/>
    <row r="652" ht="12" customHeight="1" s="239"/>
    <row r="653" ht="12" customHeight="1" s="239"/>
    <row r="654" ht="12" customHeight="1" s="239"/>
    <row r="655" ht="12" customHeight="1" s="239"/>
    <row r="656" ht="12" customHeight="1" s="239"/>
    <row r="657" ht="12" customHeight="1" s="239"/>
    <row r="658" ht="12" customHeight="1" s="239"/>
    <row r="659" ht="12" customHeight="1" s="239"/>
    <row r="660" ht="12" customHeight="1" s="239"/>
    <row r="661" ht="12" customHeight="1" s="239"/>
    <row r="662" ht="12" customHeight="1" s="239"/>
    <row r="663" ht="12" customHeight="1" s="239"/>
    <row r="664" ht="12" customHeight="1" s="239"/>
    <row r="665" ht="12" customHeight="1" s="239"/>
    <row r="666" ht="12" customHeight="1" s="239"/>
    <row r="667" ht="12" customHeight="1" s="239"/>
    <row r="668" ht="12" customHeight="1" s="239"/>
    <row r="669" ht="12" customHeight="1" s="239"/>
    <row r="670" ht="12" customHeight="1" s="239"/>
    <row r="671" ht="12" customHeight="1" s="239"/>
    <row r="672" ht="12" customHeight="1" s="239"/>
    <row r="673" ht="12" customHeight="1" s="239"/>
    <row r="674" ht="12" customHeight="1" s="239"/>
    <row r="675" ht="12" customHeight="1" s="239"/>
    <row r="676" ht="12" customHeight="1" s="239"/>
    <row r="677" ht="12" customHeight="1" s="239"/>
    <row r="678" ht="12" customHeight="1" s="239"/>
    <row r="679" ht="12" customHeight="1" s="239"/>
    <row r="680" ht="12" customHeight="1" s="239"/>
    <row r="681" ht="12" customHeight="1" s="239"/>
    <row r="682" ht="12" customHeight="1" s="239"/>
    <row r="683" ht="12" customHeight="1" s="239"/>
    <row r="684" ht="12" customHeight="1" s="239"/>
    <row r="685" ht="12" customHeight="1" s="239"/>
    <row r="686" ht="12" customHeight="1" s="239"/>
    <row r="687" ht="12" customHeight="1" s="239"/>
    <row r="688" ht="12" customHeight="1" s="239"/>
    <row r="689" ht="12" customHeight="1" s="239"/>
    <row r="690" ht="12" customHeight="1" s="239"/>
    <row r="691" ht="12" customHeight="1" s="239"/>
    <row r="692" ht="12" customHeight="1" s="239"/>
    <row r="693" ht="12" customHeight="1" s="239"/>
    <row r="694" ht="12" customHeight="1" s="239"/>
    <row r="695" ht="12" customHeight="1" s="239"/>
    <row r="696" ht="12" customHeight="1" s="239"/>
    <row r="697" ht="12" customHeight="1" s="239"/>
    <row r="698" ht="12" customHeight="1" s="239"/>
    <row r="699" ht="12" customHeight="1" s="239"/>
    <row r="700" ht="12" customHeight="1" s="239"/>
    <row r="701" ht="12" customHeight="1" s="239"/>
    <row r="702" ht="12" customHeight="1" s="239"/>
    <row r="703" ht="12" customHeight="1" s="239"/>
    <row r="704" ht="12" customHeight="1" s="239"/>
    <row r="705" ht="12" customHeight="1" s="239"/>
    <row r="706" ht="12" customHeight="1" s="239"/>
    <row r="707" ht="12" customHeight="1" s="239"/>
    <row r="708" ht="12" customHeight="1" s="239"/>
    <row r="709" ht="12" customHeight="1" s="239"/>
    <row r="710" ht="12" customHeight="1" s="239"/>
    <row r="711" ht="12" customHeight="1" s="239"/>
    <row r="712" ht="12" customHeight="1" s="239"/>
    <row r="713" ht="12" customHeight="1" s="239"/>
    <row r="714" ht="12" customHeight="1" s="239"/>
    <row r="715" ht="12" customHeight="1" s="239"/>
    <row r="716" ht="12" customHeight="1" s="239"/>
    <row r="717" ht="12" customHeight="1" s="239"/>
    <row r="718" ht="12" customHeight="1" s="239"/>
    <row r="719" ht="12" customHeight="1" s="239"/>
    <row r="720" ht="12" customHeight="1" s="239"/>
    <row r="721" ht="12" customHeight="1" s="239"/>
    <row r="722" ht="12" customHeight="1" s="239"/>
    <row r="723" ht="12" customHeight="1" s="239"/>
    <row r="724" ht="12" customHeight="1" s="239"/>
    <row r="725" ht="12" customHeight="1" s="239"/>
    <row r="726" ht="12" customHeight="1" s="239"/>
    <row r="727" ht="12" customHeight="1" s="239"/>
    <row r="728" ht="12" customHeight="1" s="239"/>
    <row r="729" ht="12" customHeight="1" s="239"/>
    <row r="730" ht="12" customHeight="1" s="239"/>
    <row r="731" ht="12" customHeight="1" s="239"/>
    <row r="732" ht="12" customHeight="1" s="239"/>
    <row r="733" ht="12" customHeight="1" s="239"/>
    <row r="734" ht="12" customHeight="1" s="239"/>
    <row r="735" ht="12" customHeight="1" s="239"/>
    <row r="736" ht="12" customHeight="1" s="239"/>
    <row r="737" ht="12" customHeight="1" s="239"/>
    <row r="738" ht="12" customHeight="1" s="239"/>
    <row r="739" ht="12" customHeight="1" s="239"/>
    <row r="740" ht="12" customHeight="1" s="239"/>
    <row r="741" ht="12" customHeight="1" s="239"/>
    <row r="742" ht="12" customHeight="1" s="239"/>
    <row r="743" ht="12" customHeight="1" s="239"/>
    <row r="744" ht="12" customHeight="1" s="239"/>
    <row r="745" ht="12" customHeight="1" s="239"/>
    <row r="746" ht="12" customHeight="1" s="239"/>
    <row r="747" ht="12" customHeight="1" s="239"/>
    <row r="748" ht="12" customHeight="1" s="239"/>
    <row r="749" ht="12" customHeight="1" s="239"/>
    <row r="750" ht="12" customHeight="1" s="239"/>
    <row r="751" ht="12" customHeight="1" s="239"/>
    <row r="752" ht="12" customHeight="1" s="239"/>
    <row r="753" ht="12" customHeight="1" s="239"/>
    <row r="754" ht="12" customHeight="1" s="239"/>
    <row r="755" ht="12" customHeight="1" s="239"/>
    <row r="756" ht="12" customHeight="1" s="239"/>
    <row r="757" ht="12" customHeight="1" s="239"/>
    <row r="758" ht="12" customHeight="1" s="239"/>
    <row r="759" ht="12" customHeight="1" s="239"/>
    <row r="760" ht="12" customHeight="1" s="239"/>
    <row r="761" ht="12" customHeight="1" s="239"/>
    <row r="762" ht="12" customHeight="1" s="239"/>
    <row r="763" ht="12" customHeight="1" s="239"/>
    <row r="764" ht="12" customHeight="1" s="239"/>
    <row r="765" ht="12" customHeight="1" s="239"/>
    <row r="766" ht="12" customHeight="1" s="239"/>
    <row r="767" ht="12" customHeight="1" s="239"/>
    <row r="768" ht="12" customHeight="1" s="239"/>
    <row r="769" ht="12" customHeight="1" s="239"/>
    <row r="770" ht="12" customHeight="1" s="239"/>
    <row r="771" ht="12" customHeight="1" s="239"/>
    <row r="772" ht="12" customHeight="1" s="239"/>
    <row r="773" ht="12" customHeight="1" s="239"/>
    <row r="774" ht="12" customHeight="1" s="239"/>
    <row r="775" ht="12" customHeight="1" s="239"/>
    <row r="776" ht="12" customHeight="1" s="239"/>
    <row r="777" ht="12" customHeight="1" s="239"/>
    <row r="778" ht="12" customHeight="1" s="239"/>
    <row r="779" ht="12" customHeight="1" s="239"/>
    <row r="780" ht="12" customHeight="1" s="239"/>
    <row r="781" ht="12" customHeight="1" s="239"/>
    <row r="782" ht="12" customHeight="1" s="239"/>
    <row r="783" ht="12" customHeight="1" s="239"/>
    <row r="784" ht="12" customHeight="1" s="239"/>
    <row r="785" ht="12" customHeight="1" s="239"/>
    <row r="786" ht="12" customHeight="1" s="239"/>
    <row r="787" ht="12" customHeight="1" s="239"/>
    <row r="788" ht="12" customHeight="1" s="239"/>
    <row r="789" ht="12" customHeight="1" s="239"/>
    <row r="790" ht="12" customHeight="1" s="239"/>
    <row r="791" ht="12" customHeight="1" s="239"/>
    <row r="792" ht="12" customHeight="1" s="239"/>
    <row r="793" ht="12" customHeight="1" s="239"/>
    <row r="794" ht="12" customHeight="1" s="239"/>
    <row r="795" ht="12" customHeight="1" s="239"/>
    <row r="796" ht="12" customHeight="1" s="239"/>
    <row r="797" ht="12" customHeight="1" s="239"/>
    <row r="798" ht="12" customHeight="1" s="239"/>
    <row r="799" ht="12" customHeight="1" s="239"/>
    <row r="800" ht="12" customHeight="1" s="239"/>
    <row r="801" ht="12" customHeight="1" s="239"/>
    <row r="802" ht="12" customHeight="1" s="239"/>
    <row r="803" ht="12" customHeight="1" s="239"/>
    <row r="804" ht="12" customHeight="1" s="239"/>
    <row r="805" ht="12" customHeight="1" s="239"/>
    <row r="806" ht="12" customHeight="1" s="239"/>
    <row r="807" ht="12" customHeight="1" s="239"/>
    <row r="808" ht="12" customHeight="1" s="239"/>
    <row r="809" ht="12" customHeight="1" s="239"/>
    <row r="810" ht="12" customHeight="1" s="239"/>
    <row r="811" ht="12" customHeight="1" s="239"/>
    <row r="812" ht="12" customHeight="1" s="239"/>
    <row r="813" ht="12" customHeight="1" s="239"/>
    <row r="814" ht="12" customHeight="1" s="239"/>
    <row r="815" ht="12" customHeight="1" s="239"/>
    <row r="816" ht="12" customHeight="1" s="239"/>
    <row r="817" ht="12" customHeight="1" s="239"/>
    <row r="818" ht="12" customHeight="1" s="239"/>
    <row r="819" ht="12" customHeight="1" s="239"/>
    <row r="820" ht="12" customHeight="1" s="239"/>
    <row r="821" ht="12" customHeight="1" s="239"/>
    <row r="822" ht="12" customHeight="1" s="239"/>
    <row r="823" ht="12" customHeight="1" s="239"/>
    <row r="824" ht="12" customHeight="1" s="239"/>
    <row r="825" ht="12" customHeight="1" s="239"/>
    <row r="826" ht="12" customHeight="1" s="239"/>
    <row r="827" ht="12" customHeight="1" s="239"/>
    <row r="828" ht="12" customHeight="1" s="239"/>
    <row r="829" ht="12" customHeight="1" s="239"/>
    <row r="830" ht="12" customHeight="1" s="239"/>
    <row r="831" ht="12" customHeight="1" s="239"/>
    <row r="832" ht="12" customHeight="1" s="239"/>
    <row r="833" ht="12" customHeight="1" s="239"/>
    <row r="834" ht="12" customHeight="1" s="239"/>
    <row r="835" ht="12" customHeight="1" s="239"/>
    <row r="836" ht="12" customHeight="1" s="239"/>
    <row r="837" ht="12" customHeight="1" s="239"/>
    <row r="838" ht="12" customHeight="1" s="239"/>
    <row r="839" ht="12" customHeight="1" s="239"/>
    <row r="840" ht="12" customHeight="1" s="239"/>
    <row r="841" ht="12" customHeight="1" s="239"/>
    <row r="842" ht="12" customHeight="1" s="239"/>
    <row r="843" ht="12" customHeight="1" s="239"/>
    <row r="844" ht="12" customHeight="1" s="239"/>
    <row r="845" ht="12" customHeight="1" s="239"/>
    <row r="846" ht="12" customHeight="1" s="239"/>
    <row r="847" ht="12" customHeight="1" s="239"/>
    <row r="848" ht="12" customHeight="1" s="239"/>
    <row r="849" ht="12" customHeight="1" s="239"/>
    <row r="850" ht="12" customHeight="1" s="239"/>
    <row r="851" ht="12" customHeight="1" s="239"/>
    <row r="852" ht="12" customHeight="1" s="239"/>
    <row r="853" ht="12" customHeight="1" s="239"/>
    <row r="854" ht="12" customHeight="1" s="239"/>
    <row r="855" ht="12" customHeight="1" s="239"/>
    <row r="856" ht="12" customHeight="1" s="239"/>
    <row r="857" ht="12" customHeight="1" s="239"/>
    <row r="858" ht="12" customHeight="1" s="239"/>
    <row r="859" ht="12" customHeight="1" s="239"/>
    <row r="860" ht="12" customHeight="1" s="239"/>
    <row r="861" ht="12" customHeight="1" s="239"/>
    <row r="862" ht="12" customHeight="1" s="239"/>
    <row r="863" ht="12" customHeight="1" s="239"/>
    <row r="864" ht="12" customHeight="1" s="239"/>
    <row r="865" ht="12" customHeight="1" s="239"/>
    <row r="866" ht="12" customHeight="1" s="239"/>
    <row r="867" ht="12" customHeight="1" s="239"/>
    <row r="868" ht="12" customHeight="1" s="239"/>
    <row r="869" ht="12" customHeight="1" s="239"/>
    <row r="870" ht="12" customHeight="1" s="239"/>
    <row r="871" ht="12" customHeight="1" s="239"/>
    <row r="872" ht="12" customHeight="1" s="239"/>
    <row r="873" ht="12" customHeight="1" s="239"/>
    <row r="874" ht="12" customHeight="1" s="239"/>
    <row r="875" ht="12" customHeight="1" s="239"/>
    <row r="876" ht="12" customHeight="1" s="239"/>
    <row r="877" ht="12" customHeight="1" s="239"/>
    <row r="878" ht="12" customHeight="1" s="239"/>
    <row r="879" ht="12" customHeight="1" s="239"/>
    <row r="880" ht="12" customHeight="1" s="239"/>
    <row r="881" ht="12" customHeight="1" s="239"/>
    <row r="882" ht="12" customHeight="1" s="239"/>
    <row r="883" ht="12" customHeight="1" s="239"/>
    <row r="884" ht="12" customHeight="1" s="239"/>
    <row r="885" ht="12" customHeight="1" s="239"/>
    <row r="886" ht="12" customHeight="1" s="239"/>
    <row r="887" ht="12" customHeight="1" s="239"/>
    <row r="888" ht="12" customHeight="1" s="239"/>
    <row r="889" ht="12" customHeight="1" s="239"/>
    <row r="890" ht="12" customHeight="1" s="239"/>
    <row r="891" ht="12" customHeight="1" s="239"/>
    <row r="892" ht="12" customHeight="1" s="239"/>
    <row r="893" ht="12" customHeight="1" s="239"/>
    <row r="894" ht="12" customHeight="1" s="239"/>
    <row r="895" ht="12" customHeight="1" s="239"/>
    <row r="896" ht="12" customHeight="1" s="239"/>
    <row r="897" ht="12" customHeight="1" s="239"/>
    <row r="898" ht="12" customHeight="1" s="239"/>
    <row r="899" ht="12" customHeight="1" s="239"/>
    <row r="900" ht="12" customHeight="1" s="239"/>
    <row r="901" ht="12" customHeight="1" s="239"/>
    <row r="902" ht="12" customHeight="1" s="239"/>
    <row r="903" ht="12" customHeight="1" s="239"/>
    <row r="904" ht="12" customHeight="1" s="239"/>
    <row r="905" ht="12" customHeight="1" s="239"/>
    <row r="906" ht="12" customHeight="1" s="239"/>
    <row r="907" ht="12" customHeight="1" s="239"/>
    <row r="908" ht="12" customHeight="1" s="239"/>
    <row r="909" ht="12" customHeight="1" s="239"/>
    <row r="910" ht="12" customHeight="1" s="239"/>
    <row r="911" ht="12" customHeight="1" s="239"/>
    <row r="912" ht="12" customHeight="1" s="239"/>
    <row r="913" ht="12" customHeight="1" s="239"/>
    <row r="914" ht="12" customHeight="1" s="239"/>
    <row r="915" ht="12" customHeight="1" s="239"/>
    <row r="916" ht="12" customHeight="1" s="239"/>
    <row r="917" ht="12" customHeight="1" s="239"/>
    <row r="918" ht="12" customHeight="1" s="239"/>
    <row r="919" ht="12" customHeight="1" s="239"/>
    <row r="920" ht="12" customHeight="1" s="239"/>
    <row r="921" ht="12" customHeight="1" s="239"/>
    <row r="922" ht="12" customHeight="1" s="239"/>
    <row r="923" ht="12" customHeight="1" s="239"/>
    <row r="924" ht="12" customHeight="1" s="239"/>
    <row r="925" ht="12" customHeight="1" s="239"/>
    <row r="926" ht="12" customHeight="1" s="239"/>
    <row r="927" ht="12" customHeight="1" s="239"/>
    <row r="928" ht="12" customHeight="1" s="239"/>
    <row r="929" ht="12" customHeight="1" s="239"/>
    <row r="930" ht="12" customHeight="1" s="239"/>
    <row r="931" ht="12" customHeight="1" s="239"/>
    <row r="932" ht="12" customHeight="1" s="239"/>
    <row r="933" ht="12" customHeight="1" s="239"/>
    <row r="934" ht="12" customHeight="1" s="239"/>
    <row r="935" ht="12" customHeight="1" s="239"/>
    <row r="936" ht="12" customHeight="1" s="239"/>
    <row r="937" ht="12" customHeight="1" s="239"/>
    <row r="938" ht="12" customHeight="1" s="239"/>
    <row r="939" ht="12" customHeight="1" s="239"/>
    <row r="940" ht="12" customHeight="1" s="239"/>
    <row r="941" ht="12" customHeight="1" s="239"/>
    <row r="942" ht="12" customHeight="1" s="239"/>
    <row r="943" ht="12" customHeight="1" s="239"/>
    <row r="944" ht="12" customHeight="1" s="239"/>
    <row r="945" ht="12" customHeight="1" s="239"/>
    <row r="946" ht="12" customHeight="1" s="239"/>
    <row r="947" ht="12" customHeight="1" s="239"/>
    <row r="948" ht="12" customHeight="1" s="239"/>
    <row r="949" ht="12" customHeight="1" s="239"/>
    <row r="950" ht="12" customHeight="1" s="239"/>
    <row r="951" ht="12" customHeight="1" s="239"/>
    <row r="952" ht="12" customHeight="1" s="239"/>
    <row r="953" ht="12" customHeight="1" s="239"/>
    <row r="954" ht="12" customHeight="1" s="239"/>
    <row r="955" ht="12" customHeight="1" s="239"/>
    <row r="956" ht="12" customHeight="1" s="239"/>
    <row r="957" ht="12" customHeight="1" s="239"/>
    <row r="958" ht="12" customHeight="1" s="239"/>
    <row r="959" ht="12" customHeight="1" s="239"/>
    <row r="960" ht="12" customHeight="1" s="239"/>
    <row r="961" ht="12" customHeight="1" s="239"/>
    <row r="962" ht="12" customHeight="1" s="239"/>
    <row r="963" ht="12" customHeight="1" s="239"/>
    <row r="964" ht="12" customHeight="1" s="239"/>
    <row r="965" ht="12" customHeight="1" s="239"/>
    <row r="966" ht="12" customHeight="1" s="239"/>
    <row r="967" ht="12" customHeight="1" s="239"/>
    <row r="968" ht="12" customHeight="1" s="239"/>
    <row r="969" ht="12" customHeight="1" s="239"/>
    <row r="970" ht="12" customHeight="1" s="239"/>
    <row r="971" ht="12" customHeight="1" s="239"/>
    <row r="972" ht="12" customHeight="1" s="239"/>
    <row r="973" ht="12" customHeight="1" s="239"/>
    <row r="974" ht="12" customHeight="1" s="239"/>
    <row r="975" ht="12" customHeight="1" s="239"/>
    <row r="976" ht="12" customHeight="1" s="239"/>
    <row r="977" ht="12" customHeight="1" s="239"/>
    <row r="978" ht="12" customHeight="1" s="239"/>
    <row r="979" ht="12" customHeight="1" s="239"/>
    <row r="980" ht="12" customHeight="1" s="239"/>
    <row r="981" ht="12" customHeight="1" s="239"/>
    <row r="982" ht="12" customHeight="1" s="239"/>
    <row r="983" ht="12" customHeight="1" s="239"/>
    <row r="984" ht="12" customHeight="1" s="239"/>
    <row r="985" ht="12" customHeight="1" s="239"/>
    <row r="986" ht="12" customHeight="1" s="239"/>
    <row r="987" ht="12" customHeight="1" s="239"/>
    <row r="988" ht="12" customHeight="1" s="239"/>
    <row r="989" ht="12" customHeight="1" s="239"/>
    <row r="990" ht="12" customHeight="1" s="239"/>
    <row r="991" ht="12" customHeight="1" s="239"/>
    <row r="992" ht="12" customHeight="1" s="239"/>
    <row r="993" ht="12" customHeight="1" s="239"/>
    <row r="994" ht="12" customHeight="1" s="239"/>
    <row r="995" ht="12" customHeight="1" s="239"/>
    <row r="996" ht="12" customHeight="1" s="239"/>
    <row r="997" ht="12" customHeight="1" s="239"/>
    <row r="998" ht="12" customHeight="1" s="239"/>
    <row r="999" ht="12" customHeight="1" s="239"/>
    <row r="1000" ht="12" customHeight="1" s="239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5.13" customWidth="1" style="239" min="1" max="4"/>
    <col width="18.2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14, 2026 3:21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2" t="n">
        <v>46296</v>
      </c>
      <c r="B3" s="233" t="inlineStr">
        <is>
          <t>Organic</t>
        </is>
      </c>
      <c r="C3" s="233" t="inlineStr">
        <is>
          <t>Điểm Tín Dụng</t>
        </is>
      </c>
      <c r="D3" s="234" t="n">
        <v>3195</v>
      </c>
      <c r="E3" s="233" t="inlineStr">
        <is>
          <t>Financial Hub</t>
        </is>
      </c>
    </row>
    <row r="4">
      <c r="A4" s="235" t="n">
        <v>46296</v>
      </c>
      <c r="B4" s="236" t="inlineStr">
        <is>
          <t>Paid</t>
        </is>
      </c>
      <c r="C4" s="236" t="inlineStr">
        <is>
          <t>Vé Xe</t>
        </is>
      </c>
      <c r="D4" s="237" t="n">
        <v>80</v>
      </c>
      <c r="E4" s="236" t="inlineStr">
        <is>
          <t>Vé Xe</t>
        </is>
      </c>
    </row>
    <row r="5">
      <c r="A5" s="232" t="n">
        <v>46296</v>
      </c>
      <c r="B5" s="233" t="inlineStr">
        <is>
          <t>Direct</t>
        </is>
      </c>
      <c r="C5" s="233" t="inlineStr">
        <is>
          <t>Vé số</t>
        </is>
      </c>
      <c r="D5" s="234" t="n">
        <v>128</v>
      </c>
      <c r="E5" s="233" t="inlineStr">
        <is>
          <t>Vé số</t>
        </is>
      </c>
    </row>
    <row r="6">
      <c r="A6" s="235" t="n">
        <v>46296</v>
      </c>
      <c r="B6" s="236" t="inlineStr">
        <is>
          <t>Referral</t>
        </is>
      </c>
      <c r="C6" s="236" t="inlineStr">
        <is>
          <t>Điện</t>
        </is>
      </c>
      <c r="D6" s="237" t="n">
        <v>35</v>
      </c>
      <c r="E6" s="236" t="inlineStr">
        <is>
          <t>Điện</t>
        </is>
      </c>
    </row>
    <row r="7">
      <c r="A7" s="232" t="n">
        <v>46296</v>
      </c>
      <c r="B7" s="233" t="inlineStr">
        <is>
          <t>Organic</t>
        </is>
      </c>
      <c r="C7" s="233" t="inlineStr">
        <is>
          <t>Cinema_Home Page</t>
        </is>
      </c>
      <c r="D7" s="234" t="n">
        <v>14564</v>
      </c>
      <c r="E7" s="233" t="inlineStr">
        <is>
          <t>Cinema Hub</t>
        </is>
      </c>
    </row>
    <row r="8">
      <c r="A8" s="235" t="n">
        <v>46296</v>
      </c>
      <c r="B8" s="236" t="inlineStr">
        <is>
          <t>Direct</t>
        </is>
      </c>
      <c r="C8" s="236" t="inlineStr">
        <is>
          <t>Application Store</t>
        </is>
      </c>
      <c r="D8" s="237" t="n">
        <v>3126</v>
      </c>
      <c r="E8" s="236" t="inlineStr">
        <is>
          <t>Application Store</t>
        </is>
      </c>
    </row>
    <row r="9">
      <c r="A9" s="232" t="n">
        <v>46296</v>
      </c>
      <c r="B9" s="233" t="inlineStr">
        <is>
          <t>Referral</t>
        </is>
      </c>
      <c r="C9" s="233" t="inlineStr">
        <is>
          <t>Bảo Hiểm Y Tế</t>
        </is>
      </c>
      <c r="D9" s="234" t="n">
        <v>350</v>
      </c>
      <c r="E9" s="233" t="inlineStr">
        <is>
          <t>Bảo Hiểm Y Tế</t>
        </is>
      </c>
    </row>
    <row r="10">
      <c r="A10" s="235" t="n">
        <v>46296</v>
      </c>
      <c r="B10" s="236" t="inlineStr">
        <is>
          <t>Direct</t>
        </is>
      </c>
      <c r="C10" s="236" t="inlineStr">
        <is>
          <t>Bảo Hiểm Y Tế</t>
        </is>
      </c>
      <c r="D10" s="237" t="n">
        <v>481</v>
      </c>
      <c r="E10" s="236" t="inlineStr">
        <is>
          <t>Bảo Hiểm Y Tế</t>
        </is>
      </c>
    </row>
    <row r="11">
      <c r="A11" s="232" t="n">
        <v>46296</v>
      </c>
      <c r="B11" s="233" t="inlineStr">
        <is>
          <t>Others</t>
        </is>
      </c>
      <c r="C11" s="233" t="inlineStr">
        <is>
          <t>Bảo Hiểm Ô Tô</t>
        </is>
      </c>
      <c r="D11" s="234" t="n">
        <v>99</v>
      </c>
      <c r="E11" s="233" t="inlineStr">
        <is>
          <t>Bảo Hiểm Ô Tô</t>
        </is>
      </c>
    </row>
    <row r="12">
      <c r="A12" s="235" t="n">
        <v>46296</v>
      </c>
      <c r="B12" s="236" t="inlineStr">
        <is>
          <t>Referral</t>
        </is>
      </c>
      <c r="C12" s="236" t="inlineStr">
        <is>
          <t>Cinema_Blog</t>
        </is>
      </c>
      <c r="D12" s="237" t="n">
        <v>865</v>
      </c>
      <c r="E12" s="236" t="inlineStr">
        <is>
          <t>Cinema Hub</t>
        </is>
      </c>
    </row>
    <row r="13">
      <c r="A13" s="232" t="n">
        <v>46296</v>
      </c>
      <c r="B13" s="233" t="inlineStr">
        <is>
          <t>Paid</t>
        </is>
      </c>
      <c r="C13" s="233" t="inlineStr">
        <is>
          <t>Bảo Hiểm Ô Tô</t>
        </is>
      </c>
      <c r="D13" s="234" t="n">
        <v>3370</v>
      </c>
      <c r="E13" s="233" t="inlineStr">
        <is>
          <t>Bảo Hiểm Ô Tô</t>
        </is>
      </c>
    </row>
    <row r="14">
      <c r="A14" s="235" t="n">
        <v>46296</v>
      </c>
      <c r="B14" s="236" t="inlineStr">
        <is>
          <t>Referral</t>
        </is>
      </c>
      <c r="C14" s="236" t="inlineStr">
        <is>
          <t>Cinema_Page</t>
        </is>
      </c>
      <c r="D14" s="237" t="n">
        <v>3315</v>
      </c>
      <c r="E14" s="236" t="inlineStr">
        <is>
          <t>Cinema Hub</t>
        </is>
      </c>
    </row>
    <row r="15">
      <c r="A15" s="232" t="n">
        <v>46296</v>
      </c>
      <c r="B15" s="233" t="inlineStr">
        <is>
          <t>Paid</t>
        </is>
      </c>
      <c r="C15" s="233" t="inlineStr">
        <is>
          <t>Application Store</t>
        </is>
      </c>
      <c r="D15" s="234" t="n">
        <v>1870</v>
      </c>
      <c r="E15" s="233" t="inlineStr">
        <is>
          <t>Application Store</t>
        </is>
      </c>
    </row>
    <row r="16">
      <c r="A16" s="235" t="n">
        <v>46296</v>
      </c>
      <c r="B16" s="236" t="inlineStr">
        <is>
          <t>Direct</t>
        </is>
      </c>
      <c r="C16" s="236" t="inlineStr">
        <is>
          <t>Cinema_Blog</t>
        </is>
      </c>
      <c r="D16" s="237" t="n">
        <v>612</v>
      </c>
      <c r="E16" s="236" t="inlineStr">
        <is>
          <t>Cinema Hub</t>
        </is>
      </c>
    </row>
    <row r="17">
      <c r="A17" s="232" t="n">
        <v>46296</v>
      </c>
      <c r="B17" s="233" t="inlineStr">
        <is>
          <t>Organic</t>
        </is>
      </c>
      <c r="C17" s="233" t="inlineStr">
        <is>
          <t>Cinema_Landing Page</t>
        </is>
      </c>
      <c r="D17" s="234" t="n">
        <v>1282</v>
      </c>
      <c r="E17" s="233" t="inlineStr">
        <is>
          <t>Cinema Hub</t>
        </is>
      </c>
    </row>
    <row r="18">
      <c r="A18" s="235" t="n">
        <v>46296</v>
      </c>
      <c r="B18" s="236" t="inlineStr">
        <is>
          <t>Organic</t>
        </is>
      </c>
      <c r="C18" s="236" t="inlineStr">
        <is>
          <t>Cinema_Page</t>
        </is>
      </c>
      <c r="D18" s="237" t="n">
        <v>168683</v>
      </c>
      <c r="E18" s="236" t="inlineStr">
        <is>
          <t>Cinema Hub</t>
        </is>
      </c>
    </row>
    <row r="19">
      <c r="A19" s="232" t="n">
        <v>46296</v>
      </c>
      <c r="B19" s="233" t="inlineStr">
        <is>
          <t>Direct</t>
        </is>
      </c>
      <c r="C19" s="233" t="inlineStr">
        <is>
          <t>Merchant</t>
        </is>
      </c>
      <c r="D19" s="234" t="n">
        <v>4542</v>
      </c>
      <c r="E19" s="233" t="inlineStr">
        <is>
          <t>Merchant</t>
        </is>
      </c>
    </row>
    <row r="20">
      <c r="A20" s="235" t="n">
        <v>46296</v>
      </c>
      <c r="B20" s="236" t="inlineStr">
        <is>
          <t>Direct</t>
        </is>
      </c>
      <c r="C20" s="236" t="inlineStr">
        <is>
          <t>New User</t>
        </is>
      </c>
      <c r="D20" s="237" t="n">
        <v>34685</v>
      </c>
      <c r="E20" s="236" t="inlineStr">
        <is>
          <t>New User</t>
        </is>
      </c>
    </row>
    <row r="21">
      <c r="A21" s="232" t="n">
        <v>46296</v>
      </c>
      <c r="B21" s="233" t="inlineStr">
        <is>
          <t>Direct</t>
        </is>
      </c>
      <c r="C21" s="233" t="inlineStr">
        <is>
          <t>Nước</t>
        </is>
      </c>
      <c r="D21" s="234" t="n">
        <v>13765</v>
      </c>
      <c r="E21" s="233" t="inlineStr">
        <is>
          <t>Nước</t>
        </is>
      </c>
    </row>
    <row r="22">
      <c r="A22" s="235" t="n">
        <v>46296</v>
      </c>
      <c r="B22" s="236" t="inlineStr">
        <is>
          <t>Organic</t>
        </is>
      </c>
      <c r="C22" s="236" t="inlineStr">
        <is>
          <t>Merchant</t>
        </is>
      </c>
      <c r="D22" s="237" t="n">
        <v>23630</v>
      </c>
      <c r="E22" s="236" t="inlineStr">
        <is>
          <t>Merchant</t>
        </is>
      </c>
    </row>
    <row r="23">
      <c r="A23" s="232" t="n">
        <v>46296</v>
      </c>
      <c r="B23" s="233" t="inlineStr">
        <is>
          <t>Organic</t>
        </is>
      </c>
      <c r="C23" s="233" t="inlineStr">
        <is>
          <t>Quản Lý Chi Tiêu</t>
        </is>
      </c>
      <c r="D23" s="234" t="n">
        <v>2128</v>
      </c>
      <c r="E23" s="233" t="inlineStr">
        <is>
          <t>Financial Hub</t>
        </is>
      </c>
    </row>
    <row r="24">
      <c r="A24" s="235" t="n">
        <v>46296</v>
      </c>
      <c r="B24" s="236" t="inlineStr">
        <is>
          <t>Organic</t>
        </is>
      </c>
      <c r="C24" s="236" t="inlineStr">
        <is>
          <t>Others</t>
        </is>
      </c>
      <c r="D24" s="237" t="n">
        <v>22707</v>
      </c>
      <c r="E24" s="236" t="inlineStr">
        <is>
          <t>Others</t>
        </is>
      </c>
    </row>
    <row r="25">
      <c r="A25" s="232" t="n">
        <v>46296</v>
      </c>
      <c r="B25" s="233" t="inlineStr">
        <is>
          <t>Organic</t>
        </is>
      </c>
      <c r="C25" s="233" t="inlineStr">
        <is>
          <t>Data</t>
        </is>
      </c>
      <c r="D25" s="234" t="n">
        <v>2435</v>
      </c>
      <c r="E25" s="233" t="inlineStr">
        <is>
          <t>Data</t>
        </is>
      </c>
    </row>
    <row r="26">
      <c r="A26" s="235" t="n">
        <v>46296</v>
      </c>
      <c r="B26" s="236" t="inlineStr">
        <is>
          <t>Organic</t>
        </is>
      </c>
      <c r="C26" s="236" t="inlineStr">
        <is>
          <t>Donation</t>
        </is>
      </c>
      <c r="D26" s="237" t="n">
        <v>648</v>
      </c>
      <c r="E26" s="236" t="inlineStr">
        <is>
          <t>Donation</t>
        </is>
      </c>
    </row>
    <row r="27">
      <c r="A27" s="232" t="n">
        <v>46296</v>
      </c>
      <c r="B27" s="233" t="inlineStr">
        <is>
          <t>Organic</t>
        </is>
      </c>
      <c r="C27" s="233" t="inlineStr">
        <is>
          <t>Tiktok</t>
        </is>
      </c>
      <c r="D27" s="234" t="n">
        <v>38749</v>
      </c>
      <c r="E27" s="233" t="inlineStr">
        <is>
          <t>Tiktok</t>
        </is>
      </c>
    </row>
    <row r="28">
      <c r="A28" s="235" t="n">
        <v>46296</v>
      </c>
      <c r="B28" s="236" t="inlineStr">
        <is>
          <t>Organic</t>
        </is>
      </c>
      <c r="C28" s="236" t="inlineStr">
        <is>
          <t>Nước</t>
        </is>
      </c>
      <c r="D28" s="237" t="n">
        <v>1038</v>
      </c>
      <c r="E28" s="236" t="inlineStr">
        <is>
          <t>Nước</t>
        </is>
      </c>
    </row>
    <row r="29">
      <c r="A29" s="232" t="n">
        <v>46296</v>
      </c>
      <c r="B29" s="233" t="inlineStr">
        <is>
          <t>Referral</t>
        </is>
      </c>
      <c r="C29" s="233" t="inlineStr">
        <is>
          <t>Tìm Kiếm</t>
        </is>
      </c>
      <c r="D29" s="234" t="n">
        <v>737</v>
      </c>
      <c r="E29" s="233" t="inlineStr">
        <is>
          <t>Tìm Kiếm</t>
        </is>
      </c>
    </row>
    <row r="30">
      <c r="A30" s="235" t="n">
        <v>46296</v>
      </c>
      <c r="B30" s="236" t="inlineStr">
        <is>
          <t>Direct</t>
        </is>
      </c>
      <c r="C30" s="236" t="inlineStr">
        <is>
          <t>Soundbox</t>
        </is>
      </c>
      <c r="D30" s="237" t="n">
        <v>527</v>
      </c>
      <c r="E30" s="236" t="inlineStr">
        <is>
          <t>Soundbox</t>
        </is>
      </c>
    </row>
    <row r="31">
      <c r="A31" s="232" t="n">
        <v>46296</v>
      </c>
      <c r="B31" s="233" t="inlineStr">
        <is>
          <t>Organic</t>
        </is>
      </c>
      <c r="C31" s="233" t="inlineStr">
        <is>
          <t>Dịch vụ liên kết</t>
        </is>
      </c>
      <c r="D31" s="234" t="n">
        <v>1912</v>
      </c>
      <c r="E31" s="233" t="inlineStr">
        <is>
          <t>Dịch vụ liên kết</t>
        </is>
      </c>
    </row>
    <row r="32">
      <c r="A32" s="235" t="n">
        <v>46296</v>
      </c>
      <c r="B32" s="236" t="inlineStr">
        <is>
          <t>Referral</t>
        </is>
      </c>
      <c r="C32" s="236" t="inlineStr">
        <is>
          <t>Merchant</t>
        </is>
      </c>
      <c r="D32" s="237" t="n">
        <v>947</v>
      </c>
      <c r="E32" s="236" t="inlineStr">
        <is>
          <t>Merchant</t>
        </is>
      </c>
    </row>
    <row r="33">
      <c r="A33" s="232" t="n">
        <v>46296</v>
      </c>
      <c r="B33" s="233" t="inlineStr">
        <is>
          <t>Direct</t>
        </is>
      </c>
      <c r="C33" s="233" t="inlineStr">
        <is>
          <t>Phạt nguội</t>
        </is>
      </c>
      <c r="D33" s="234" t="n">
        <v>550</v>
      </c>
      <c r="E33" s="233" t="inlineStr">
        <is>
          <t>Phạt nguội</t>
        </is>
      </c>
    </row>
    <row r="34">
      <c r="A34" s="235" t="n">
        <v>46296</v>
      </c>
      <c r="B34" s="236" t="inlineStr">
        <is>
          <t>Referral</t>
        </is>
      </c>
      <c r="C34" s="236" t="inlineStr">
        <is>
          <t>Esim</t>
        </is>
      </c>
      <c r="D34" s="237" t="n">
        <v>142</v>
      </c>
      <c r="E34" s="236" t="inlineStr">
        <is>
          <t>Sim</t>
        </is>
      </c>
    </row>
    <row r="35">
      <c r="A35" s="232" t="n">
        <v>46296</v>
      </c>
      <c r="B35" s="233" t="inlineStr">
        <is>
          <t>Referral</t>
        </is>
      </c>
      <c r="C35" s="233" t="inlineStr">
        <is>
          <t>Tin Tức</t>
        </is>
      </c>
      <c r="D35" s="234" t="n">
        <v>459</v>
      </c>
      <c r="E35" s="233" t="inlineStr">
        <is>
          <t>Tin Tức</t>
        </is>
      </c>
    </row>
    <row r="36">
      <c r="A36" s="235" t="n">
        <v>46296</v>
      </c>
      <c r="B36" s="236" t="inlineStr">
        <is>
          <t>Referral</t>
        </is>
      </c>
      <c r="C36" s="236" t="inlineStr">
        <is>
          <t>Tiktok</t>
        </is>
      </c>
      <c r="D36" s="237" t="n">
        <v>270</v>
      </c>
      <c r="E36" s="236" t="inlineStr">
        <is>
          <t>Tiktok</t>
        </is>
      </c>
    </row>
    <row r="37">
      <c r="A37" s="232" t="n">
        <v>46296</v>
      </c>
      <c r="B37" s="233" t="inlineStr">
        <is>
          <t>Referral</t>
        </is>
      </c>
      <c r="C37" s="233" t="inlineStr">
        <is>
          <t>Guide</t>
        </is>
      </c>
      <c r="D37" s="234" t="n">
        <v>639</v>
      </c>
      <c r="E37" s="233" t="inlineStr">
        <is>
          <t>Guide</t>
        </is>
      </c>
    </row>
    <row r="38">
      <c r="A38" s="235" t="n">
        <v>46296</v>
      </c>
      <c r="B38" s="236" t="inlineStr">
        <is>
          <t>Organic</t>
        </is>
      </c>
      <c r="C38" s="236" t="inlineStr">
        <is>
          <t>Cross Border</t>
        </is>
      </c>
      <c r="D38" s="237" t="n">
        <v>1073</v>
      </c>
      <c r="E38" s="236" t="inlineStr">
        <is>
          <t>Cross Border</t>
        </is>
      </c>
    </row>
    <row r="39">
      <c r="A39" s="232" t="n">
        <v>46296</v>
      </c>
      <c r="B39" s="233" t="inlineStr">
        <is>
          <t>Organic</t>
        </is>
      </c>
      <c r="C39" s="233" t="inlineStr">
        <is>
          <t>Tiết Kiệm Online</t>
        </is>
      </c>
      <c r="D39" s="234" t="n">
        <v>546</v>
      </c>
      <c r="E39" s="233" t="inlineStr">
        <is>
          <t>Financial Hub</t>
        </is>
      </c>
    </row>
    <row r="40">
      <c r="A40" s="235" t="n">
        <v>46296</v>
      </c>
      <c r="B40" s="236" t="inlineStr">
        <is>
          <t>Organic</t>
        </is>
      </c>
      <c r="C40" s="236" t="inlineStr">
        <is>
          <t>Download</t>
        </is>
      </c>
      <c r="D40" s="237" t="n">
        <v>1851</v>
      </c>
      <c r="E40" s="236" t="inlineStr">
        <is>
          <t>Download</t>
        </is>
      </c>
    </row>
    <row r="41">
      <c r="A41" s="232" t="n">
        <v>46296</v>
      </c>
      <c r="B41" s="233" t="inlineStr">
        <is>
          <t>Others</t>
        </is>
      </c>
      <c r="C41" s="233" t="inlineStr">
        <is>
          <t>Nước</t>
        </is>
      </c>
      <c r="D41" s="234" t="n">
        <v>90</v>
      </c>
      <c r="E41" s="233" t="inlineStr">
        <is>
          <t>Nước</t>
        </is>
      </c>
    </row>
    <row r="42">
      <c r="A42" s="235" t="n">
        <v>46296</v>
      </c>
      <c r="B42" s="236" t="inlineStr">
        <is>
          <t>Direct</t>
        </is>
      </c>
      <c r="C42" s="236" t="inlineStr">
        <is>
          <t>Esim</t>
        </is>
      </c>
      <c r="D42" s="237" t="n">
        <v>697</v>
      </c>
      <c r="E42" s="236" t="inlineStr">
        <is>
          <t>Sim</t>
        </is>
      </c>
    </row>
    <row r="43">
      <c r="A43" s="232" t="n">
        <v>46296</v>
      </c>
      <c r="B43" s="233" t="inlineStr">
        <is>
          <t>Others</t>
        </is>
      </c>
      <c r="C43" s="233" t="inlineStr">
        <is>
          <t>Guide</t>
        </is>
      </c>
      <c r="D43" s="234" t="n">
        <v>140</v>
      </c>
      <c r="E43" s="233" t="inlineStr">
        <is>
          <t>Guide</t>
        </is>
      </c>
    </row>
    <row r="44">
      <c r="A44" s="235" t="n">
        <v>46296</v>
      </c>
      <c r="B44" s="236" t="inlineStr">
        <is>
          <t>Referral</t>
        </is>
      </c>
      <c r="C44" s="236" t="inlineStr">
        <is>
          <t>Tiện Ích Giao Thông</t>
        </is>
      </c>
      <c r="D44" s="237" t="n">
        <v>29</v>
      </c>
      <c r="E44" s="236" t="inlineStr">
        <is>
          <t>Tiện Ích Giao Thông</t>
        </is>
      </c>
    </row>
    <row r="45">
      <c r="A45" s="232" t="n">
        <v>46296</v>
      </c>
      <c r="B45" s="233" t="inlineStr">
        <is>
          <t>Organic</t>
        </is>
      </c>
      <c r="C45" s="233" t="inlineStr">
        <is>
          <t>Điện</t>
        </is>
      </c>
      <c r="D45" s="234" t="n">
        <v>1953</v>
      </c>
      <c r="E45" s="233" t="inlineStr">
        <is>
          <t>Điện</t>
        </is>
      </c>
    </row>
    <row r="46">
      <c r="A46" s="235" t="n">
        <v>46296</v>
      </c>
      <c r="B46" s="236" t="inlineStr">
        <is>
          <t>Organic</t>
        </is>
      </c>
      <c r="C46" s="236" t="inlineStr">
        <is>
          <t>Billpay</t>
        </is>
      </c>
      <c r="D46" s="237" t="n">
        <v>903</v>
      </c>
      <c r="E46" s="236" t="inlineStr">
        <is>
          <t>Billpay</t>
        </is>
      </c>
    </row>
    <row r="47">
      <c r="A47" s="232" t="n">
        <v>46296</v>
      </c>
      <c r="B47" s="233" t="inlineStr">
        <is>
          <t>Organic</t>
        </is>
      </c>
      <c r="C47" s="233" t="inlineStr">
        <is>
          <t>Chứng Chỉ Quỹ</t>
        </is>
      </c>
      <c r="D47" s="234" t="n">
        <v>144</v>
      </c>
      <c r="E47" s="233" t="inlineStr">
        <is>
          <t>Financial Hub</t>
        </is>
      </c>
    </row>
    <row r="48">
      <c r="A48" s="235" t="n">
        <v>46296</v>
      </c>
      <c r="B48" s="236" t="inlineStr">
        <is>
          <t>Direct</t>
        </is>
      </c>
      <c r="C48" s="236" t="inlineStr">
        <is>
          <t>Chứng Khoán</t>
        </is>
      </c>
      <c r="D48" s="237" t="n">
        <v>55</v>
      </c>
      <c r="E48" s="236" t="inlineStr">
        <is>
          <t>Financial Hub</t>
        </is>
      </c>
    </row>
    <row r="49">
      <c r="A49" s="232" t="n">
        <v>46296</v>
      </c>
      <c r="B49" s="233" t="inlineStr">
        <is>
          <t>Referral</t>
        </is>
      </c>
      <c r="C49" s="233" t="inlineStr">
        <is>
          <t>P2P</t>
        </is>
      </c>
      <c r="D49" s="234" t="n">
        <v>223</v>
      </c>
      <c r="E49" s="233" t="inlineStr">
        <is>
          <t>P2P</t>
        </is>
      </c>
    </row>
    <row r="50">
      <c r="A50" s="235" t="n">
        <v>46296</v>
      </c>
      <c r="B50" s="236" t="inlineStr">
        <is>
          <t>Referral</t>
        </is>
      </c>
      <c r="C50" s="236" t="inlineStr">
        <is>
          <t>Phạt Nguội</t>
        </is>
      </c>
      <c r="D50" s="237" t="n">
        <v>208</v>
      </c>
      <c r="E50" s="236" t="inlineStr">
        <is>
          <t>Phạt Nguội</t>
        </is>
      </c>
    </row>
    <row r="51">
      <c r="A51" s="232" t="n">
        <v>46296</v>
      </c>
      <c r="B51" s="233" t="inlineStr">
        <is>
          <t>Others</t>
        </is>
      </c>
      <c r="C51" s="233" t="inlineStr">
        <is>
          <t>Tìm Kiếm</t>
        </is>
      </c>
      <c r="D51" s="234" t="n">
        <v>107</v>
      </c>
      <c r="E51" s="233" t="inlineStr">
        <is>
          <t>Tìm Kiếm</t>
        </is>
      </c>
    </row>
    <row r="52">
      <c r="A52" s="235" t="n">
        <v>46296</v>
      </c>
      <c r="B52" s="236" t="inlineStr">
        <is>
          <t>Others</t>
        </is>
      </c>
      <c r="C52" s="236" t="inlineStr">
        <is>
          <t>Vé Xe</t>
        </is>
      </c>
      <c r="D52" s="237" t="n">
        <v>130</v>
      </c>
      <c r="E52" s="236" t="inlineStr">
        <is>
          <t>Vé Xe</t>
        </is>
      </c>
    </row>
    <row r="53">
      <c r="A53" s="232" t="n">
        <v>46296</v>
      </c>
      <c r="B53" s="233" t="inlineStr">
        <is>
          <t>Paid</t>
        </is>
      </c>
      <c r="C53" s="233" t="inlineStr">
        <is>
          <t>Cinema_Blog</t>
        </is>
      </c>
      <c r="D53" s="234" t="n">
        <v>31</v>
      </c>
      <c r="E53" s="233" t="inlineStr">
        <is>
          <t>Cinema Hub</t>
        </is>
      </c>
    </row>
    <row r="54">
      <c r="A54" s="235" t="n">
        <v>46296</v>
      </c>
      <c r="B54" s="236" t="inlineStr">
        <is>
          <t>Paid</t>
        </is>
      </c>
      <c r="C54" s="236" t="inlineStr">
        <is>
          <t>Blog</t>
        </is>
      </c>
      <c r="D54" s="237" t="n">
        <v>176</v>
      </c>
      <c r="E54" s="236" t="inlineStr">
        <is>
          <t>Blog</t>
        </is>
      </c>
    </row>
    <row r="55">
      <c r="A55" s="232" t="n">
        <v>46296</v>
      </c>
      <c r="B55" s="233" t="inlineStr">
        <is>
          <t>Paid</t>
        </is>
      </c>
      <c r="C55" s="233" t="inlineStr">
        <is>
          <t>Vay nhanh</t>
        </is>
      </c>
      <c r="D55" s="234" t="n">
        <v>22</v>
      </c>
      <c r="E55" s="233" t="inlineStr">
        <is>
          <t>Vay nhanh</t>
        </is>
      </c>
    </row>
    <row r="56">
      <c r="A56" s="235" t="n">
        <v>46296</v>
      </c>
      <c r="B56" s="236" t="inlineStr">
        <is>
          <t>Referral</t>
        </is>
      </c>
      <c r="C56" s="236" t="inlineStr">
        <is>
          <t>Vé số</t>
        </is>
      </c>
      <c r="D56" s="237" t="n">
        <v>36</v>
      </c>
      <c r="E56" s="236" t="inlineStr">
        <is>
          <t>Vé số</t>
        </is>
      </c>
    </row>
    <row r="57">
      <c r="A57" s="232" t="n">
        <v>46296</v>
      </c>
      <c r="B57" s="233" t="inlineStr">
        <is>
          <t>Paid</t>
        </is>
      </c>
      <c r="C57" s="233" t="inlineStr">
        <is>
          <t>Khuyến mãi</t>
        </is>
      </c>
      <c r="D57" s="234" t="n">
        <v>157</v>
      </c>
      <c r="E57" s="233" t="inlineStr">
        <is>
          <t>Khuyến mãi</t>
        </is>
      </c>
    </row>
    <row r="58">
      <c r="A58" s="235" t="n">
        <v>46296</v>
      </c>
      <c r="B58" s="236" t="inlineStr">
        <is>
          <t>Referral</t>
        </is>
      </c>
      <c r="C58" s="236" t="inlineStr">
        <is>
          <t>Donation</t>
        </is>
      </c>
      <c r="D58" s="237" t="n">
        <v>118</v>
      </c>
      <c r="E58" s="236" t="inlineStr">
        <is>
          <t>Donation</t>
        </is>
      </c>
    </row>
    <row r="59">
      <c r="A59" s="232" t="n">
        <v>46296</v>
      </c>
      <c r="B59" s="233" t="inlineStr">
        <is>
          <t>Direct</t>
        </is>
      </c>
      <c r="C59" s="233" t="inlineStr">
        <is>
          <t>Tiệm Vàng Online</t>
        </is>
      </c>
      <c r="D59" s="234" t="n">
        <v>24</v>
      </c>
      <c r="E59" s="233" t="inlineStr">
        <is>
          <t>Tiệm Vàng Online</t>
        </is>
      </c>
    </row>
    <row r="60">
      <c r="A60" s="235" t="n">
        <v>46296</v>
      </c>
      <c r="B60" s="236" t="inlineStr">
        <is>
          <t>Others</t>
        </is>
      </c>
      <c r="C60" s="236" t="inlineStr">
        <is>
          <t>Quản Lý Chi Tiêu</t>
        </is>
      </c>
      <c r="D60" s="237" t="n">
        <v>11</v>
      </c>
      <c r="E60" s="236" t="inlineStr">
        <is>
          <t>Financial Hub</t>
        </is>
      </c>
    </row>
    <row r="61">
      <c r="A61" s="232" t="n">
        <v>46143</v>
      </c>
      <c r="B61" s="233" t="inlineStr">
        <is>
          <t>Organic</t>
        </is>
      </c>
      <c r="C61" s="233" t="inlineStr">
        <is>
          <t>Vé Xe</t>
        </is>
      </c>
      <c r="D61" s="234" t="n">
        <v>34008</v>
      </c>
      <c r="E61" s="233" t="inlineStr">
        <is>
          <t>Vé Xe</t>
        </is>
      </c>
    </row>
    <row r="62">
      <c r="A62" s="235" t="n">
        <v>46143</v>
      </c>
      <c r="B62" s="236" t="inlineStr">
        <is>
          <t>Direct</t>
        </is>
      </c>
      <c r="C62" s="236" t="inlineStr">
        <is>
          <t>Vay Nhanh</t>
        </is>
      </c>
      <c r="D62" s="237" t="n">
        <v>1037</v>
      </c>
      <c r="E62" s="236" t="inlineStr">
        <is>
          <t>Financial Hub</t>
        </is>
      </c>
    </row>
    <row r="63">
      <c r="A63" s="232" t="n">
        <v>46143</v>
      </c>
      <c r="B63" s="233" t="inlineStr">
        <is>
          <t>Referral</t>
        </is>
      </c>
      <c r="C63" s="233" t="inlineStr">
        <is>
          <t>Ví Trả Sau</t>
        </is>
      </c>
      <c r="D63" s="234" t="n">
        <v>584</v>
      </c>
      <c r="E63" s="233" t="inlineStr">
        <is>
          <t>Financial Hub</t>
        </is>
      </c>
    </row>
    <row r="64">
      <c r="A64" s="235" t="n">
        <v>46143</v>
      </c>
      <c r="B64" s="236" t="inlineStr">
        <is>
          <t>Organic</t>
        </is>
      </c>
      <c r="C64" s="236" t="inlineStr">
        <is>
          <t>Bảo Hiểm Xe Máy</t>
        </is>
      </c>
      <c r="D64" s="237" t="n">
        <v>2147</v>
      </c>
      <c r="E64" s="236" t="inlineStr">
        <is>
          <t>Bảo Hiểm Xe Máy</t>
        </is>
      </c>
    </row>
    <row r="65">
      <c r="A65" s="232" t="n">
        <v>46143</v>
      </c>
      <c r="B65" s="233" t="inlineStr">
        <is>
          <t>Direct</t>
        </is>
      </c>
      <c r="C65" s="233" t="inlineStr">
        <is>
          <t>Cinema_Cineplex Page</t>
        </is>
      </c>
      <c r="D65" s="234" t="n">
        <v>5258</v>
      </c>
      <c r="E65" s="233" t="inlineStr">
        <is>
          <t>Cinema Hub</t>
        </is>
      </c>
    </row>
    <row r="66">
      <c r="A66" s="235" t="n">
        <v>46143</v>
      </c>
      <c r="B66" s="236" t="inlineStr">
        <is>
          <t>Referral</t>
        </is>
      </c>
      <c r="C66" s="236" t="inlineStr">
        <is>
          <t>Campaign</t>
        </is>
      </c>
      <c r="D66" s="237" t="n">
        <v>1023</v>
      </c>
      <c r="E66" s="236" t="inlineStr">
        <is>
          <t>Campaign</t>
        </is>
      </c>
    </row>
    <row r="67">
      <c r="A67" s="232" t="n">
        <v>46143</v>
      </c>
      <c r="B67" s="233" t="inlineStr">
        <is>
          <t>Organic</t>
        </is>
      </c>
      <c r="C67" s="233" t="inlineStr">
        <is>
          <t>Chứng Khoán</t>
        </is>
      </c>
      <c r="D67" s="234" t="n">
        <v>276</v>
      </c>
      <c r="E67" s="233" t="inlineStr">
        <is>
          <t>Financial Hub</t>
        </is>
      </c>
    </row>
    <row r="68">
      <c r="A68" s="235" t="n">
        <v>46143</v>
      </c>
      <c r="B68" s="236" t="inlineStr">
        <is>
          <t>Direct</t>
        </is>
      </c>
      <c r="C68" s="236" t="inlineStr">
        <is>
          <t>Cinema_Blog</t>
        </is>
      </c>
      <c r="D68" s="237" t="n">
        <v>1441</v>
      </c>
      <c r="E68" s="236" t="inlineStr">
        <is>
          <t>Cinema Hub</t>
        </is>
      </c>
    </row>
    <row r="69">
      <c r="A69" s="232" t="n">
        <v>46143</v>
      </c>
      <c r="B69" s="233" t="inlineStr">
        <is>
          <t>Paid</t>
        </is>
      </c>
      <c r="C69" s="233" t="inlineStr">
        <is>
          <t>Trust</t>
        </is>
      </c>
      <c r="D69" s="234" t="n">
        <v>1329</v>
      </c>
      <c r="E69" s="233" t="inlineStr">
        <is>
          <t>Trust</t>
        </is>
      </c>
    </row>
    <row r="70">
      <c r="A70" s="235" t="n">
        <v>46143</v>
      </c>
      <c r="B70" s="236" t="inlineStr">
        <is>
          <t>Direct</t>
        </is>
      </c>
      <c r="C70" s="236" t="inlineStr">
        <is>
          <t>Ví Trả Sau</t>
        </is>
      </c>
      <c r="D70" s="237" t="n">
        <v>477</v>
      </c>
      <c r="E70" s="236" t="inlineStr">
        <is>
          <t>Financial Hub</t>
        </is>
      </c>
    </row>
    <row r="71">
      <c r="A71" s="232" t="n">
        <v>46296</v>
      </c>
      <c r="B71" s="233" t="inlineStr">
        <is>
          <t>Referral</t>
        </is>
      </c>
      <c r="C71" s="233" t="inlineStr">
        <is>
          <t>Bảo Hiểm Ô Tô</t>
        </is>
      </c>
      <c r="D71" s="234" t="n">
        <v>135</v>
      </c>
      <c r="E71" s="233" t="inlineStr">
        <is>
          <t>Bảo Hiểm Ô Tô</t>
        </is>
      </c>
    </row>
    <row r="72">
      <c r="A72" s="235" t="n">
        <v>46296</v>
      </c>
      <c r="B72" s="236" t="inlineStr">
        <is>
          <t>Paid</t>
        </is>
      </c>
      <c r="C72" s="236" t="inlineStr">
        <is>
          <t>Dịch vụ liên kết</t>
        </is>
      </c>
      <c r="D72" s="237" t="n">
        <v>62</v>
      </c>
      <c r="E72" s="236" t="inlineStr">
        <is>
          <t>Dịch vụ liên kết</t>
        </is>
      </c>
    </row>
    <row r="73">
      <c r="A73" s="232" t="n">
        <v>46296</v>
      </c>
      <c r="B73" s="233" t="inlineStr">
        <is>
          <t>Others</t>
        </is>
      </c>
      <c r="C73" s="233" t="inlineStr">
        <is>
          <t>Tiện Ích Giao Thông</t>
        </is>
      </c>
      <c r="D73" s="234" t="n">
        <v>21</v>
      </c>
      <c r="E73" s="233" t="inlineStr">
        <is>
          <t>Tiện Ích Giao Thông</t>
        </is>
      </c>
    </row>
    <row r="74">
      <c r="A74" s="235" t="n">
        <v>46296</v>
      </c>
      <c r="B74" s="236" t="inlineStr">
        <is>
          <t>Others</t>
        </is>
      </c>
      <c r="C74" s="236" t="inlineStr">
        <is>
          <t>Bảo Hiểm Sức Khỏe</t>
        </is>
      </c>
      <c r="D74" s="237" t="n">
        <v>6</v>
      </c>
      <c r="E74" s="236" t="inlineStr">
        <is>
          <t>Bảo Hiểm Sức Khỏe</t>
        </is>
      </c>
    </row>
    <row r="75">
      <c r="A75" s="232" t="n">
        <v>46296</v>
      </c>
      <c r="B75" s="233" t="inlineStr">
        <is>
          <t>Direct</t>
        </is>
      </c>
      <c r="C75" s="233" t="inlineStr">
        <is>
          <t>Bảo Hiểm</t>
        </is>
      </c>
      <c r="D75" s="234" t="n">
        <v>46</v>
      </c>
      <c r="E75" s="233" t="inlineStr">
        <is>
          <t>Bảo Hiểm</t>
        </is>
      </c>
    </row>
    <row r="76">
      <c r="A76" s="235" t="n">
        <v>46266</v>
      </c>
      <c r="B76" s="236" t="inlineStr">
        <is>
          <t>Organic</t>
        </is>
      </c>
      <c r="C76" s="236" t="inlineStr">
        <is>
          <t>Cinema_Cineplex Page</t>
        </is>
      </c>
      <c r="D76" s="237" t="n">
        <v>161392</v>
      </c>
      <c r="E76" s="236" t="inlineStr">
        <is>
          <t>Cinema Hub</t>
        </is>
      </c>
    </row>
    <row r="77">
      <c r="A77" s="232" t="n">
        <v>46266</v>
      </c>
      <c r="B77" s="233" t="inlineStr">
        <is>
          <t>Organic</t>
        </is>
      </c>
      <c r="C77" s="233" t="inlineStr">
        <is>
          <t>Cinema_Page</t>
        </is>
      </c>
      <c r="D77" s="234" t="n">
        <v>125910</v>
      </c>
      <c r="E77" s="233" t="inlineStr">
        <is>
          <t>Cinema Hub</t>
        </is>
      </c>
    </row>
    <row r="78">
      <c r="A78" s="235" t="n">
        <v>46266</v>
      </c>
      <c r="B78" s="236" t="inlineStr">
        <is>
          <t>Paid</t>
        </is>
      </c>
      <c r="C78" s="236" t="inlineStr">
        <is>
          <t>Bảo Hiểm Xe Máy</t>
        </is>
      </c>
      <c r="D78" s="237" t="n">
        <v>952</v>
      </c>
      <c r="E78" s="236" t="inlineStr">
        <is>
          <t>Bảo Hiểm Xe Máy</t>
        </is>
      </c>
    </row>
    <row r="79">
      <c r="A79" s="232" t="n">
        <v>46266</v>
      </c>
      <c r="B79" s="233" t="inlineStr">
        <is>
          <t>Direct</t>
        </is>
      </c>
      <c r="C79" s="233" t="inlineStr">
        <is>
          <t>Billpay</t>
        </is>
      </c>
      <c r="D79" s="234" t="n">
        <v>2801</v>
      </c>
      <c r="E79" s="233" t="inlineStr">
        <is>
          <t>Billpay</t>
        </is>
      </c>
    </row>
    <row r="80">
      <c r="A80" s="235" t="n">
        <v>46266</v>
      </c>
      <c r="B80" s="236" t="inlineStr">
        <is>
          <t>Organic</t>
        </is>
      </c>
      <c r="C80" s="236" t="inlineStr">
        <is>
          <t>Bảo Hiểm Y Tế</t>
        </is>
      </c>
      <c r="D80" s="237" t="n">
        <v>3886</v>
      </c>
      <c r="E80" s="236" t="inlineStr">
        <is>
          <t>Bảo Hiểm Y Tế</t>
        </is>
      </c>
    </row>
    <row r="81">
      <c r="A81" s="232" t="n">
        <v>46266</v>
      </c>
      <c r="B81" s="233" t="inlineStr">
        <is>
          <t>Direct</t>
        </is>
      </c>
      <c r="C81" s="233" t="inlineStr">
        <is>
          <t>Cinema_Blog</t>
        </is>
      </c>
      <c r="D81" s="234" t="n">
        <v>1498</v>
      </c>
      <c r="E81" s="233" t="inlineStr">
        <is>
          <t>Cinema Hub</t>
        </is>
      </c>
    </row>
    <row r="82">
      <c r="A82" s="235" t="n">
        <v>46266</v>
      </c>
      <c r="B82" s="236" t="inlineStr">
        <is>
          <t>Referral</t>
        </is>
      </c>
      <c r="C82" s="236" t="inlineStr">
        <is>
          <t>Cinema_Cineplex Page</t>
        </is>
      </c>
      <c r="D82" s="237" t="n">
        <v>1494</v>
      </c>
      <c r="E82" s="236" t="inlineStr">
        <is>
          <t>Cinema Hub</t>
        </is>
      </c>
    </row>
    <row r="83">
      <c r="A83" s="232" t="n">
        <v>46266</v>
      </c>
      <c r="B83" s="233" t="inlineStr">
        <is>
          <t>Direct</t>
        </is>
      </c>
      <c r="C83" s="233" t="inlineStr">
        <is>
          <t>Campaign</t>
        </is>
      </c>
      <c r="D83" s="234" t="n">
        <v>427</v>
      </c>
      <c r="E83" s="233" t="inlineStr">
        <is>
          <t>Campaign</t>
        </is>
      </c>
    </row>
    <row r="84">
      <c r="A84" s="235" t="n">
        <v>46204</v>
      </c>
      <c r="B84" s="236" t="inlineStr">
        <is>
          <t>Referral</t>
        </is>
      </c>
      <c r="C84" s="236" t="inlineStr">
        <is>
          <t>Bảo Hiểm Ô Tô</t>
        </is>
      </c>
      <c r="D84" s="237" t="n">
        <v>212</v>
      </c>
      <c r="E84" s="236" t="inlineStr">
        <is>
          <t>Bảo Hiểm Ô Tô</t>
        </is>
      </c>
    </row>
    <row r="85">
      <c r="A85" s="232" t="n">
        <v>46204</v>
      </c>
      <c r="B85" s="233" t="inlineStr">
        <is>
          <t>Organic</t>
        </is>
      </c>
      <c r="C85" s="233" t="inlineStr">
        <is>
          <t>Bảo Hiểm Y Tế</t>
        </is>
      </c>
      <c r="D85" s="234" t="n">
        <v>2762</v>
      </c>
      <c r="E85" s="233" t="inlineStr">
        <is>
          <t>Bảo Hiểm Y Tế</t>
        </is>
      </c>
    </row>
    <row r="86">
      <c r="A86" s="235" t="n">
        <v>46204</v>
      </c>
      <c r="B86" s="236" t="inlineStr">
        <is>
          <t>Organic</t>
        </is>
      </c>
      <c r="C86" s="236" t="inlineStr">
        <is>
          <t>Bảo Hiểm Xe Máy</t>
        </is>
      </c>
      <c r="D86" s="237" t="n">
        <v>1914</v>
      </c>
      <c r="E86" s="236" t="inlineStr">
        <is>
          <t>Bảo Hiểm Xe Máy</t>
        </is>
      </c>
    </row>
    <row r="87">
      <c r="A87" s="232" t="n">
        <v>46204</v>
      </c>
      <c r="B87" s="233" t="inlineStr">
        <is>
          <t>Direct</t>
        </is>
      </c>
      <c r="C87" s="233" t="inlineStr">
        <is>
          <t>Bảo Hiểm Y Tế</t>
        </is>
      </c>
      <c r="D87" s="234" t="n">
        <v>243</v>
      </c>
      <c r="E87" s="233" t="inlineStr">
        <is>
          <t>Bảo Hiểm Y Tế</t>
        </is>
      </c>
    </row>
    <row r="88">
      <c r="A88" s="235" t="n">
        <v>46204</v>
      </c>
      <c r="B88" s="236" t="inlineStr">
        <is>
          <t>Direct</t>
        </is>
      </c>
      <c r="C88" s="236" t="inlineStr">
        <is>
          <t>Blog</t>
        </is>
      </c>
      <c r="D88" s="237" t="n">
        <v>340</v>
      </c>
      <c r="E88" s="236" t="inlineStr">
        <is>
          <t>Blog</t>
        </is>
      </c>
    </row>
    <row r="89">
      <c r="A89" s="232" t="n">
        <v>46204</v>
      </c>
      <c r="B89" s="233" t="inlineStr">
        <is>
          <t>Organic</t>
        </is>
      </c>
      <c r="C89" s="233" t="inlineStr">
        <is>
          <t>Campaign</t>
        </is>
      </c>
      <c r="D89" s="234" t="n">
        <v>1704</v>
      </c>
      <c r="E89" s="233" t="inlineStr">
        <is>
          <t>Campaign</t>
        </is>
      </c>
    </row>
    <row r="90">
      <c r="A90" s="235" t="n">
        <v>46204</v>
      </c>
      <c r="B90" s="236" t="inlineStr">
        <is>
          <t>Direct</t>
        </is>
      </c>
      <c r="C90" s="236" t="inlineStr">
        <is>
          <t>Campaign</t>
        </is>
      </c>
      <c r="D90" s="237" t="n">
        <v>725</v>
      </c>
      <c r="E90" s="236" t="inlineStr">
        <is>
          <t>Campaign</t>
        </is>
      </c>
    </row>
    <row r="91">
      <c r="A91" s="232" t="n">
        <v>46204</v>
      </c>
      <c r="B91" s="233" t="inlineStr">
        <is>
          <t>Referral</t>
        </is>
      </c>
      <c r="C91" s="233" t="inlineStr">
        <is>
          <t>Cinema_Cineplex Page</t>
        </is>
      </c>
      <c r="D91" s="234" t="n">
        <v>1666</v>
      </c>
      <c r="E91" s="233" t="inlineStr">
        <is>
          <t>Cinema Hub</t>
        </is>
      </c>
    </row>
    <row r="92">
      <c r="A92" s="235" t="n">
        <v>46143</v>
      </c>
      <c r="B92" s="236" t="inlineStr">
        <is>
          <t>Organic</t>
        </is>
      </c>
      <c r="C92" s="236" t="inlineStr">
        <is>
          <t>Cinema_Cineplex Page</t>
        </is>
      </c>
      <c r="D92" s="237" t="n">
        <v>141774</v>
      </c>
      <c r="E92" s="236" t="inlineStr">
        <is>
          <t>Cinema Hub</t>
        </is>
      </c>
    </row>
    <row r="93">
      <c r="A93" s="232" t="n">
        <v>46143</v>
      </c>
      <c r="B93" s="233" t="inlineStr">
        <is>
          <t>Referral</t>
        </is>
      </c>
      <c r="C93" s="233" t="inlineStr">
        <is>
          <t>Home MoMo</t>
        </is>
      </c>
      <c r="D93" s="234" t="n">
        <v>9405</v>
      </c>
      <c r="E93" s="233" t="inlineStr">
        <is>
          <t>Home MoMo</t>
        </is>
      </c>
    </row>
    <row r="94">
      <c r="A94" s="235" t="n">
        <v>46143</v>
      </c>
      <c r="B94" s="236" t="inlineStr">
        <is>
          <t>Referral</t>
        </is>
      </c>
      <c r="C94" s="236" t="inlineStr">
        <is>
          <t>Cinema_Home Page</t>
        </is>
      </c>
      <c r="D94" s="237" t="n">
        <v>390</v>
      </c>
      <c r="E94" s="236" t="inlineStr">
        <is>
          <t>Cinema Hub</t>
        </is>
      </c>
    </row>
    <row r="95">
      <c r="A95" s="232" t="n">
        <v>46143</v>
      </c>
      <c r="B95" s="233" t="inlineStr">
        <is>
          <t>Organic</t>
        </is>
      </c>
      <c r="C95" s="233" t="inlineStr">
        <is>
          <t>Cinema_Home Page</t>
        </is>
      </c>
      <c r="D95" s="234" t="n">
        <v>11281</v>
      </c>
      <c r="E95" s="233" t="inlineStr">
        <is>
          <t>Cinema Hub</t>
        </is>
      </c>
    </row>
    <row r="96">
      <c r="A96" s="235" t="n">
        <v>46143</v>
      </c>
      <c r="B96" s="236" t="inlineStr">
        <is>
          <t>Organic</t>
        </is>
      </c>
      <c r="C96" s="236" t="inlineStr">
        <is>
          <t>Hỏi đáp</t>
        </is>
      </c>
      <c r="D96" s="237" t="n">
        <v>13145</v>
      </c>
      <c r="E96" s="236" t="inlineStr">
        <is>
          <t>Hỏi đáp</t>
        </is>
      </c>
    </row>
    <row r="97">
      <c r="A97" s="232" t="n">
        <v>46143</v>
      </c>
      <c r="B97" s="233" t="inlineStr">
        <is>
          <t>Organic</t>
        </is>
      </c>
      <c r="C97" s="233" t="inlineStr">
        <is>
          <t>OTA</t>
        </is>
      </c>
      <c r="D97" s="234" t="n">
        <v>19019</v>
      </c>
      <c r="E97" s="233" t="inlineStr">
        <is>
          <t>OTA</t>
        </is>
      </c>
    </row>
    <row r="98">
      <c r="A98" s="235" t="n">
        <v>46143</v>
      </c>
      <c r="B98" s="236" t="inlineStr">
        <is>
          <t>Paid</t>
        </is>
      </c>
      <c r="C98" s="236" t="inlineStr">
        <is>
          <t>Others</t>
        </is>
      </c>
      <c r="D98" s="237" t="n">
        <v>10762</v>
      </c>
      <c r="E98" s="236" t="inlineStr">
        <is>
          <t>Others</t>
        </is>
      </c>
    </row>
    <row r="99">
      <c r="A99" s="232" t="n">
        <v>46143</v>
      </c>
      <c r="B99" s="233" t="inlineStr">
        <is>
          <t>Others</t>
        </is>
      </c>
      <c r="C99" s="233" t="inlineStr">
        <is>
          <t>Hỏi đáp</t>
        </is>
      </c>
      <c r="D99" s="234" t="n">
        <v>226</v>
      </c>
      <c r="E99" s="233" t="inlineStr">
        <is>
          <t>Hỏi đáp</t>
        </is>
      </c>
    </row>
    <row r="100">
      <c r="A100" s="235" t="n">
        <v>46143</v>
      </c>
      <c r="B100" s="236" t="inlineStr">
        <is>
          <t>Organic</t>
        </is>
      </c>
      <c r="C100" s="236" t="inlineStr">
        <is>
          <t>Merchant</t>
        </is>
      </c>
      <c r="D100" s="237" t="n">
        <v>22027</v>
      </c>
      <c r="E100" s="236" t="inlineStr">
        <is>
          <t>Merchant</t>
        </is>
      </c>
    </row>
    <row r="101">
      <c r="A101" s="232" t="n">
        <v>46143</v>
      </c>
      <c r="B101" s="233" t="inlineStr">
        <is>
          <t>Organic</t>
        </is>
      </c>
      <c r="C101" s="233" t="inlineStr">
        <is>
          <t>Phạt Nguội</t>
        </is>
      </c>
      <c r="D101" s="234" t="n">
        <v>1884</v>
      </c>
      <c r="E101" s="233" t="inlineStr">
        <is>
          <t>Phạt Nguội</t>
        </is>
      </c>
    </row>
    <row r="102">
      <c r="A102" s="235" t="n">
        <v>46143</v>
      </c>
      <c r="B102" s="236" t="inlineStr">
        <is>
          <t>Organic</t>
        </is>
      </c>
      <c r="C102" s="236" t="inlineStr">
        <is>
          <t>Khuyến mãi</t>
        </is>
      </c>
      <c r="D102" s="237" t="n">
        <v>2676</v>
      </c>
      <c r="E102" s="236" t="inlineStr">
        <is>
          <t>Khuyến mãi</t>
        </is>
      </c>
    </row>
    <row r="103">
      <c r="A103" s="232" t="n">
        <v>46143</v>
      </c>
      <c r="B103" s="233" t="inlineStr">
        <is>
          <t>Referral</t>
        </is>
      </c>
      <c r="C103" s="233" t="inlineStr">
        <is>
          <t>OTA</t>
        </is>
      </c>
      <c r="D103" s="234" t="n">
        <v>1010</v>
      </c>
      <c r="E103" s="233" t="inlineStr">
        <is>
          <t>OTA</t>
        </is>
      </c>
    </row>
    <row r="104">
      <c r="A104" s="235" t="n">
        <v>46143</v>
      </c>
      <c r="B104" s="236" t="inlineStr">
        <is>
          <t>Referral</t>
        </is>
      </c>
      <c r="C104" s="236" t="inlineStr">
        <is>
          <t>Merchant</t>
        </is>
      </c>
      <c r="D104" s="237" t="n">
        <v>545</v>
      </c>
      <c r="E104" s="236" t="inlineStr">
        <is>
          <t>Merchant</t>
        </is>
      </c>
    </row>
    <row r="105">
      <c r="A105" s="232" t="n">
        <v>46143</v>
      </c>
      <c r="B105" s="233" t="inlineStr">
        <is>
          <t>Organic</t>
        </is>
      </c>
      <c r="C105" s="233" t="inlineStr">
        <is>
          <t>Mở Thẻ Tín Dụng</t>
        </is>
      </c>
      <c r="D105" s="234" t="n">
        <v>699</v>
      </c>
      <c r="E105" s="233" t="inlineStr">
        <is>
          <t>Financial Hub</t>
        </is>
      </c>
    </row>
    <row r="106">
      <c r="A106" s="235" t="n">
        <v>46143</v>
      </c>
      <c r="B106" s="236" t="inlineStr">
        <is>
          <t>Direct</t>
        </is>
      </c>
      <c r="C106" s="236" t="inlineStr">
        <is>
          <t>New User</t>
        </is>
      </c>
      <c r="D106" s="237" t="n">
        <v>63278</v>
      </c>
      <c r="E106" s="236" t="inlineStr">
        <is>
          <t>New User</t>
        </is>
      </c>
    </row>
    <row r="107">
      <c r="A107" s="232" t="n">
        <v>46143</v>
      </c>
      <c r="B107" s="233" t="inlineStr">
        <is>
          <t>Paid</t>
        </is>
      </c>
      <c r="C107" s="233" t="inlineStr">
        <is>
          <t>New User</t>
        </is>
      </c>
      <c r="D107" s="234" t="n">
        <v>277</v>
      </c>
      <c r="E107" s="233" t="inlineStr">
        <is>
          <t>New User</t>
        </is>
      </c>
    </row>
    <row r="108">
      <c r="A108" s="235" t="n">
        <v>46143</v>
      </c>
      <c r="B108" s="236" t="inlineStr">
        <is>
          <t>Referral</t>
        </is>
      </c>
      <c r="C108" s="236" t="inlineStr">
        <is>
          <t>Bảo Hiểm Ô Tô</t>
        </is>
      </c>
      <c r="D108" s="237" t="n">
        <v>206</v>
      </c>
      <c r="E108" s="236" t="inlineStr">
        <is>
          <t>Bảo Hiểm Ô Tô</t>
        </is>
      </c>
    </row>
    <row r="109">
      <c r="A109" s="232" t="n">
        <v>46204</v>
      </c>
      <c r="B109" s="233" t="inlineStr">
        <is>
          <t>Organic</t>
        </is>
      </c>
      <c r="C109" s="233" t="inlineStr">
        <is>
          <t>Vay Nhanh</t>
        </is>
      </c>
      <c r="D109" s="234" t="n">
        <v>20071</v>
      </c>
      <c r="E109" s="233" t="inlineStr">
        <is>
          <t>Financial Hub</t>
        </is>
      </c>
    </row>
    <row r="110">
      <c r="A110" s="235" t="n">
        <v>46204</v>
      </c>
      <c r="B110" s="236" t="inlineStr">
        <is>
          <t>Paid</t>
        </is>
      </c>
      <c r="C110" s="236" t="inlineStr">
        <is>
          <t>Ví Trả Sau</t>
        </is>
      </c>
      <c r="D110" s="237" t="n">
        <v>5344</v>
      </c>
      <c r="E110" s="236" t="inlineStr">
        <is>
          <t>Financial Hub</t>
        </is>
      </c>
    </row>
    <row r="111">
      <c r="A111" s="232" t="n">
        <v>46204</v>
      </c>
      <c r="B111" s="233" t="inlineStr">
        <is>
          <t>Direct</t>
        </is>
      </c>
      <c r="C111" s="233" t="inlineStr">
        <is>
          <t>Điện</t>
        </is>
      </c>
      <c r="D111" s="234" t="n">
        <v>205</v>
      </c>
      <c r="E111" s="233" t="inlineStr">
        <is>
          <t>Điện</t>
        </is>
      </c>
    </row>
    <row r="112">
      <c r="A112" s="235" t="n">
        <v>46204</v>
      </c>
      <c r="B112" s="236" t="inlineStr">
        <is>
          <t>Organic</t>
        </is>
      </c>
      <c r="C112" s="236" t="inlineStr">
        <is>
          <t>Vé số</t>
        </is>
      </c>
      <c r="D112" s="237" t="n">
        <v>1932</v>
      </c>
      <c r="E112" s="236" t="inlineStr">
        <is>
          <t>Vé số</t>
        </is>
      </c>
    </row>
    <row r="113">
      <c r="A113" s="232" t="n">
        <v>46204</v>
      </c>
      <c r="B113" s="233" t="inlineStr">
        <is>
          <t>Referral</t>
        </is>
      </c>
      <c r="C113" s="233" t="inlineStr">
        <is>
          <t>Vay Nhanh</t>
        </is>
      </c>
      <c r="D113" s="234" t="n">
        <v>1978</v>
      </c>
      <c r="E113" s="233" t="inlineStr">
        <is>
          <t>Financial Hub</t>
        </is>
      </c>
    </row>
    <row r="114">
      <c r="A114" s="235" t="n">
        <v>46143</v>
      </c>
      <c r="B114" s="236" t="inlineStr">
        <is>
          <t>Direct</t>
        </is>
      </c>
      <c r="C114" s="236" t="inlineStr">
        <is>
          <t>Application Store</t>
        </is>
      </c>
      <c r="D114" s="237" t="n">
        <v>243</v>
      </c>
      <c r="E114" s="236" t="inlineStr">
        <is>
          <t>Application Store</t>
        </is>
      </c>
    </row>
    <row r="115">
      <c r="A115" s="232" t="n">
        <v>46143</v>
      </c>
      <c r="B115" s="233" t="inlineStr">
        <is>
          <t>Direct</t>
        </is>
      </c>
      <c r="C115" s="233" t="inlineStr">
        <is>
          <t>Chứng Chỉ Quỹ</t>
        </is>
      </c>
      <c r="D115" s="234" t="n">
        <v>7</v>
      </c>
      <c r="E115" s="233" t="inlineStr">
        <is>
          <t>Financial Hub</t>
        </is>
      </c>
    </row>
    <row r="116">
      <c r="A116" s="235" t="n">
        <v>46143</v>
      </c>
      <c r="B116" s="236" t="inlineStr">
        <is>
          <t>Organic</t>
        </is>
      </c>
      <c r="C116" s="236" t="inlineStr">
        <is>
          <t>Tiết Kiệm Online</t>
        </is>
      </c>
      <c r="D116" s="237" t="n">
        <v>176</v>
      </c>
      <c r="E116" s="236" t="inlineStr">
        <is>
          <t>Financial Hub</t>
        </is>
      </c>
    </row>
    <row r="117">
      <c r="A117" s="232" t="n">
        <v>46143</v>
      </c>
      <c r="B117" s="233" t="inlineStr">
        <is>
          <t>Referral</t>
        </is>
      </c>
      <c r="C117" s="233" t="inlineStr">
        <is>
          <t>Tiktok</t>
        </is>
      </c>
      <c r="D117" s="234" t="n">
        <v>393</v>
      </c>
      <c r="E117" s="233" t="inlineStr">
        <is>
          <t>Tiktok</t>
        </is>
      </c>
    </row>
    <row r="118">
      <c r="A118" s="235" t="n">
        <v>46143</v>
      </c>
      <c r="B118" s="236" t="inlineStr">
        <is>
          <t>Direct</t>
        </is>
      </c>
      <c r="C118" s="236" t="inlineStr">
        <is>
          <t>Phạt Nguội</t>
        </is>
      </c>
      <c r="D118" s="237" t="n">
        <v>490</v>
      </c>
      <c r="E118" s="236" t="inlineStr">
        <is>
          <t>Phạt Nguội</t>
        </is>
      </c>
    </row>
    <row r="119">
      <c r="A119" s="232" t="n">
        <v>46143</v>
      </c>
      <c r="B119" s="233" t="inlineStr">
        <is>
          <t>Referral</t>
        </is>
      </c>
      <c r="C119" s="233" t="inlineStr">
        <is>
          <t>Phạt Nguội</t>
        </is>
      </c>
      <c r="D119" s="234" t="n">
        <v>132</v>
      </c>
      <c r="E119" s="233" t="inlineStr">
        <is>
          <t>Phạt Nguội</t>
        </is>
      </c>
    </row>
    <row r="120">
      <c r="A120" s="235" t="n">
        <v>46143</v>
      </c>
      <c r="B120" s="236" t="inlineStr">
        <is>
          <t>Paid</t>
        </is>
      </c>
      <c r="C120" s="236" t="inlineStr">
        <is>
          <t>Phạt Nguội</t>
        </is>
      </c>
      <c r="D120" s="237" t="n">
        <v>6136</v>
      </c>
      <c r="E120" s="236" t="inlineStr">
        <is>
          <t>Phạt Nguội</t>
        </is>
      </c>
    </row>
    <row r="121">
      <c r="A121" s="232" t="n">
        <v>46143</v>
      </c>
      <c r="B121" s="233" t="inlineStr">
        <is>
          <t>Others</t>
        </is>
      </c>
      <c r="C121" s="233" t="inlineStr">
        <is>
          <t>Khuyến mãi</t>
        </is>
      </c>
      <c r="D121" s="234" t="n">
        <v>336</v>
      </c>
      <c r="E121" s="233" t="inlineStr">
        <is>
          <t>Khuyến mãi</t>
        </is>
      </c>
    </row>
    <row r="122">
      <c r="A122" s="235" t="n">
        <v>46143</v>
      </c>
      <c r="B122" s="236" t="inlineStr">
        <is>
          <t>Referral</t>
        </is>
      </c>
      <c r="C122" s="236" t="inlineStr">
        <is>
          <t>TnC</t>
        </is>
      </c>
      <c r="D122" s="237" t="n">
        <v>227</v>
      </c>
      <c r="E122" s="236" t="inlineStr">
        <is>
          <t>TnC</t>
        </is>
      </c>
    </row>
    <row r="123">
      <c r="A123" s="232" t="n">
        <v>46204</v>
      </c>
      <c r="B123" s="233" t="inlineStr">
        <is>
          <t>Referral</t>
        </is>
      </c>
      <c r="C123" s="233" t="inlineStr">
        <is>
          <t>Cinema_News</t>
        </is>
      </c>
      <c r="D123" s="234" t="n">
        <v>76</v>
      </c>
      <c r="E123" s="233" t="inlineStr">
        <is>
          <t>Cinema Hub</t>
        </is>
      </c>
    </row>
    <row r="124">
      <c r="A124" s="235" t="n">
        <v>46204</v>
      </c>
      <c r="B124" s="236" t="inlineStr">
        <is>
          <t>Direct</t>
        </is>
      </c>
      <c r="C124" s="236" t="inlineStr">
        <is>
          <t>Bảo Hiểm Xe Máy</t>
        </is>
      </c>
      <c r="D124" s="237" t="n">
        <v>112</v>
      </c>
      <c r="E124" s="236" t="inlineStr">
        <is>
          <t>Bảo Hiểm Xe Máy</t>
        </is>
      </c>
    </row>
    <row r="125">
      <c r="A125" s="232" t="n">
        <v>46204</v>
      </c>
      <c r="B125" s="233" t="inlineStr">
        <is>
          <t>Direct</t>
        </is>
      </c>
      <c r="C125" s="233" t="inlineStr">
        <is>
          <t>Bảo Hiểm Ô Tô</t>
        </is>
      </c>
      <c r="D125" s="234" t="n">
        <v>367</v>
      </c>
      <c r="E125" s="233" t="inlineStr">
        <is>
          <t>Bảo Hiểm Ô Tô</t>
        </is>
      </c>
    </row>
    <row r="126">
      <c r="A126" s="235" t="n">
        <v>46204</v>
      </c>
      <c r="B126" s="236" t="inlineStr">
        <is>
          <t>Referral</t>
        </is>
      </c>
      <c r="C126" s="236" t="inlineStr">
        <is>
          <t>Chứng Khoán</t>
        </is>
      </c>
      <c r="D126" s="237" t="n">
        <v>28</v>
      </c>
      <c r="E126" s="236" t="inlineStr">
        <is>
          <t>Financial Hub</t>
        </is>
      </c>
    </row>
    <row r="127">
      <c r="A127" s="232" t="n">
        <v>46235</v>
      </c>
      <c r="B127" s="233" t="inlineStr">
        <is>
          <t>Organic</t>
        </is>
      </c>
      <c r="C127" s="233" t="inlineStr">
        <is>
          <t>Bảo Hiểm Ô Tô</t>
        </is>
      </c>
      <c r="D127" s="234" t="n">
        <v>5152</v>
      </c>
      <c r="E127" s="233" t="inlineStr">
        <is>
          <t>Bảo Hiểm Ô Tô</t>
        </is>
      </c>
    </row>
    <row r="128">
      <c r="A128" s="235" t="n">
        <v>46235</v>
      </c>
      <c r="B128" s="236" t="inlineStr">
        <is>
          <t>Organic</t>
        </is>
      </c>
      <c r="C128" s="236" t="inlineStr">
        <is>
          <t>Blog</t>
        </is>
      </c>
      <c r="D128" s="237" t="n">
        <v>5753</v>
      </c>
      <c r="E128" s="236" t="inlineStr">
        <is>
          <t>Blog</t>
        </is>
      </c>
    </row>
    <row r="129">
      <c r="A129" s="232" t="n">
        <v>46235</v>
      </c>
      <c r="B129" s="233" t="inlineStr">
        <is>
          <t>Direct</t>
        </is>
      </c>
      <c r="C129" s="233" t="inlineStr">
        <is>
          <t>Cinema_Cineplex Page</t>
        </is>
      </c>
      <c r="D129" s="234" t="n">
        <v>6315</v>
      </c>
      <c r="E129" s="233" t="inlineStr">
        <is>
          <t>Cinema Hub</t>
        </is>
      </c>
    </row>
    <row r="130">
      <c r="A130" s="235" t="n">
        <v>46235</v>
      </c>
      <c r="B130" s="236" t="inlineStr">
        <is>
          <t>Referral</t>
        </is>
      </c>
      <c r="C130" s="236" t="inlineStr">
        <is>
          <t>Campaign</t>
        </is>
      </c>
      <c r="D130" s="237" t="n">
        <v>585</v>
      </c>
      <c r="E130" s="236" t="inlineStr">
        <is>
          <t>Campaign</t>
        </is>
      </c>
    </row>
    <row r="131">
      <c r="A131" s="232" t="n">
        <v>46235</v>
      </c>
      <c r="B131" s="233" t="inlineStr">
        <is>
          <t>Direct</t>
        </is>
      </c>
      <c r="C131" s="233" t="inlineStr">
        <is>
          <t>Bảo Hiểm Ô Tô</t>
        </is>
      </c>
      <c r="D131" s="234" t="n">
        <v>459</v>
      </c>
      <c r="E131" s="233" t="inlineStr">
        <is>
          <t>Bảo Hiểm Ô Tô</t>
        </is>
      </c>
    </row>
    <row r="132">
      <c r="A132" s="235" t="n">
        <v>46235</v>
      </c>
      <c r="B132" s="236" t="inlineStr">
        <is>
          <t>Organic</t>
        </is>
      </c>
      <c r="C132" s="236" t="inlineStr">
        <is>
          <t>Bảo Hiểm Y Tế</t>
        </is>
      </c>
      <c r="D132" s="237" t="n">
        <v>3400</v>
      </c>
      <c r="E132" s="236" t="inlineStr">
        <is>
          <t>Bảo Hiểm Y Tế</t>
        </is>
      </c>
    </row>
    <row r="133">
      <c r="A133" s="232" t="n">
        <v>46235</v>
      </c>
      <c r="B133" s="233" t="inlineStr">
        <is>
          <t>Direct</t>
        </is>
      </c>
      <c r="C133" s="233" t="inlineStr">
        <is>
          <t>Bảo Hiểm Y Tế</t>
        </is>
      </c>
      <c r="D133" s="234" t="n">
        <v>268</v>
      </c>
      <c r="E133" s="233" t="inlineStr">
        <is>
          <t>Bảo Hiểm Y Tế</t>
        </is>
      </c>
    </row>
    <row r="134">
      <c r="A134" s="235" t="n">
        <v>46266</v>
      </c>
      <c r="B134" s="236" t="inlineStr">
        <is>
          <t>Paid</t>
        </is>
      </c>
      <c r="C134" s="236" t="inlineStr">
        <is>
          <t>Data</t>
        </is>
      </c>
      <c r="D134" s="237" t="n">
        <v>3202</v>
      </c>
      <c r="E134" s="236" t="inlineStr">
        <is>
          <t>Data</t>
        </is>
      </c>
    </row>
    <row r="135">
      <c r="A135" s="232" t="n">
        <v>46266</v>
      </c>
      <c r="B135" s="233" t="inlineStr">
        <is>
          <t>Direct</t>
        </is>
      </c>
      <c r="C135" s="233" t="inlineStr">
        <is>
          <t>Home MoMo</t>
        </is>
      </c>
      <c r="D135" s="234" t="n">
        <v>51568</v>
      </c>
      <c r="E135" s="233" t="inlineStr">
        <is>
          <t>Home MoMo</t>
        </is>
      </c>
    </row>
    <row r="136">
      <c r="A136" s="235" t="n">
        <v>46266</v>
      </c>
      <c r="B136" s="236" t="inlineStr">
        <is>
          <t>Organic</t>
        </is>
      </c>
      <c r="C136" s="236" t="inlineStr">
        <is>
          <t>OTA</t>
        </is>
      </c>
      <c r="D136" s="237" t="n">
        <v>12258</v>
      </c>
      <c r="E136" s="236" t="inlineStr">
        <is>
          <t>OTA</t>
        </is>
      </c>
    </row>
    <row r="137">
      <c r="A137" s="232" t="n">
        <v>46266</v>
      </c>
      <c r="B137" s="233" t="inlineStr">
        <is>
          <t>Direct</t>
        </is>
      </c>
      <c r="C137" s="233" t="inlineStr">
        <is>
          <t>Data</t>
        </is>
      </c>
      <c r="D137" s="234" t="n">
        <v>509</v>
      </c>
      <c r="E137" s="233" t="inlineStr">
        <is>
          <t>Data</t>
        </is>
      </c>
    </row>
    <row r="138">
      <c r="A138" s="235" t="n">
        <v>46266</v>
      </c>
      <c r="B138" s="236" t="inlineStr">
        <is>
          <t>Direct</t>
        </is>
      </c>
      <c r="C138" s="236" t="inlineStr">
        <is>
          <t>Game</t>
        </is>
      </c>
      <c r="D138" s="237" t="n">
        <v>1649</v>
      </c>
      <c r="E138" s="236" t="inlineStr">
        <is>
          <t>Game</t>
        </is>
      </c>
    </row>
    <row r="139">
      <c r="A139" s="232" t="n">
        <v>46266</v>
      </c>
      <c r="B139" s="233" t="inlineStr">
        <is>
          <t>Organic</t>
        </is>
      </c>
      <c r="C139" s="233" t="inlineStr">
        <is>
          <t>Mở tài khoản ngân hàng</t>
        </is>
      </c>
      <c r="D139" s="234" t="n">
        <v>614</v>
      </c>
      <c r="E139" s="233" t="inlineStr">
        <is>
          <t>Mở tài khoản ngân hàng</t>
        </is>
      </c>
    </row>
    <row r="140">
      <c r="A140" s="235" t="n">
        <v>46266</v>
      </c>
      <c r="B140" s="236" t="inlineStr">
        <is>
          <t>Organic</t>
        </is>
      </c>
      <c r="C140" s="236" t="inlineStr">
        <is>
          <t>Khuyến mãi</t>
        </is>
      </c>
      <c r="D140" s="237" t="n">
        <v>4329</v>
      </c>
      <c r="E140" s="236" t="inlineStr">
        <is>
          <t>Khuyến mãi</t>
        </is>
      </c>
    </row>
    <row r="141">
      <c r="A141" s="232" t="n">
        <v>46266</v>
      </c>
      <c r="B141" s="233" t="inlineStr">
        <is>
          <t>Organic</t>
        </is>
      </c>
      <c r="C141" s="233" t="inlineStr">
        <is>
          <t>Guide</t>
        </is>
      </c>
      <c r="D141" s="234" t="n">
        <v>4719</v>
      </c>
      <c r="E141" s="233" t="inlineStr">
        <is>
          <t>Guide</t>
        </is>
      </c>
    </row>
    <row r="142">
      <c r="A142" s="235" t="n">
        <v>46266</v>
      </c>
      <c r="B142" s="236" t="inlineStr">
        <is>
          <t>Organic</t>
        </is>
      </c>
      <c r="C142" s="236" t="inlineStr">
        <is>
          <t>Hoàn Tiền Mua Sắm</t>
        </is>
      </c>
      <c r="D142" s="237" t="n">
        <v>765</v>
      </c>
      <c r="E142" s="236" t="inlineStr">
        <is>
          <t>Hoàn Tiền Mua Sắm</t>
        </is>
      </c>
    </row>
    <row r="143">
      <c r="A143" s="232" t="n">
        <v>46266</v>
      </c>
      <c r="B143" s="233" t="inlineStr">
        <is>
          <t>Referral</t>
        </is>
      </c>
      <c r="C143" s="233" t="inlineStr">
        <is>
          <t>Merchant</t>
        </is>
      </c>
      <c r="D143" s="234" t="n">
        <v>794</v>
      </c>
      <c r="E143" s="233" t="inlineStr">
        <is>
          <t>Merchant</t>
        </is>
      </c>
    </row>
    <row r="144">
      <c r="A144" s="235" t="n">
        <v>46266</v>
      </c>
      <c r="B144" s="236" t="inlineStr">
        <is>
          <t>Organic</t>
        </is>
      </c>
      <c r="C144" s="236" t="inlineStr">
        <is>
          <t>Cross Border</t>
        </is>
      </c>
      <c r="D144" s="237" t="n">
        <v>1057</v>
      </c>
      <c r="E144" s="236" t="inlineStr">
        <is>
          <t>Cross Border</t>
        </is>
      </c>
    </row>
    <row r="145">
      <c r="A145" s="232" t="n">
        <v>46266</v>
      </c>
      <c r="B145" s="233" t="inlineStr">
        <is>
          <t>Others</t>
        </is>
      </c>
      <c r="C145" s="233" t="inlineStr">
        <is>
          <t>Game</t>
        </is>
      </c>
      <c r="D145" s="234" t="n">
        <v>2003</v>
      </c>
      <c r="E145" s="233" t="inlineStr">
        <is>
          <t>Game</t>
        </is>
      </c>
    </row>
    <row r="146">
      <c r="A146" s="235" t="n">
        <v>46266</v>
      </c>
      <c r="B146" s="236" t="inlineStr">
        <is>
          <t>Organic</t>
        </is>
      </c>
      <c r="C146" s="236" t="inlineStr">
        <is>
          <t>Trust</t>
        </is>
      </c>
      <c r="D146" s="237" t="n">
        <v>612</v>
      </c>
      <c r="E146" s="236" t="inlineStr">
        <is>
          <t>Trust</t>
        </is>
      </c>
    </row>
    <row r="147">
      <c r="A147" s="232" t="n">
        <v>46266</v>
      </c>
      <c r="B147" s="233" t="inlineStr">
        <is>
          <t>Organic</t>
        </is>
      </c>
      <c r="C147" s="233" t="inlineStr">
        <is>
          <t>Sim</t>
        </is>
      </c>
      <c r="D147" s="234" t="n">
        <v>5662</v>
      </c>
      <c r="E147" s="233" t="inlineStr">
        <is>
          <t>Sim</t>
        </is>
      </c>
    </row>
    <row r="148">
      <c r="A148" s="235" t="n">
        <v>46266</v>
      </c>
      <c r="B148" s="236" t="inlineStr">
        <is>
          <t>Organic</t>
        </is>
      </c>
      <c r="C148" s="236" t="inlineStr">
        <is>
          <t>Điện</t>
        </is>
      </c>
      <c r="D148" s="237" t="n">
        <v>2006</v>
      </c>
      <c r="E148" s="236" t="inlineStr">
        <is>
          <t>Điện</t>
        </is>
      </c>
    </row>
    <row r="149">
      <c r="A149" s="232" t="n">
        <v>46266</v>
      </c>
      <c r="B149" s="233" t="inlineStr">
        <is>
          <t>Paid</t>
        </is>
      </c>
      <c r="C149" s="233" t="inlineStr">
        <is>
          <t>Ví Trả Sau</t>
        </is>
      </c>
      <c r="D149" s="234" t="n">
        <v>7714</v>
      </c>
      <c r="E149" s="233" t="inlineStr">
        <is>
          <t>Financial Hub</t>
        </is>
      </c>
    </row>
    <row r="150">
      <c r="A150" s="235" t="n">
        <v>46266</v>
      </c>
      <c r="B150" s="236" t="inlineStr">
        <is>
          <t>Paid</t>
        </is>
      </c>
      <c r="C150" s="236" t="inlineStr">
        <is>
          <t>Tiktok</t>
        </is>
      </c>
      <c r="D150" s="237" t="n">
        <v>65587</v>
      </c>
      <c r="E150" s="236" t="inlineStr">
        <is>
          <t>Tiktok</t>
        </is>
      </c>
    </row>
    <row r="151">
      <c r="A151" s="232" t="n">
        <v>46266</v>
      </c>
      <c r="B151" s="233" t="inlineStr">
        <is>
          <t>Organic</t>
        </is>
      </c>
      <c r="C151" s="233" t="inlineStr">
        <is>
          <t>Vay Nhanh</t>
        </is>
      </c>
      <c r="D151" s="234" t="n">
        <v>18312</v>
      </c>
      <c r="E151" s="233" t="inlineStr">
        <is>
          <t>Financial Hub</t>
        </is>
      </c>
    </row>
    <row r="152">
      <c r="A152" s="235" t="n">
        <v>46266</v>
      </c>
      <c r="B152" s="236" t="inlineStr">
        <is>
          <t>Organic</t>
        </is>
      </c>
      <c r="C152" s="236" t="inlineStr">
        <is>
          <t>Điểm Tín Dụng</t>
        </is>
      </c>
      <c r="D152" s="237" t="n">
        <v>2423</v>
      </c>
      <c r="E152" s="236" t="inlineStr">
        <is>
          <t>Financial Hub</t>
        </is>
      </c>
    </row>
    <row r="153">
      <c r="A153" s="232" t="n">
        <v>46266</v>
      </c>
      <c r="B153" s="233" t="inlineStr">
        <is>
          <t>Organic</t>
        </is>
      </c>
      <c r="C153" s="233" t="inlineStr">
        <is>
          <t>Tiktok</t>
        </is>
      </c>
      <c r="D153" s="234" t="n">
        <v>31526</v>
      </c>
      <c r="E153" s="233" t="inlineStr">
        <is>
          <t>Tiktok</t>
        </is>
      </c>
    </row>
    <row r="154">
      <c r="A154" s="235" t="n">
        <v>46266</v>
      </c>
      <c r="B154" s="236" t="inlineStr">
        <is>
          <t>Referral</t>
        </is>
      </c>
      <c r="C154" s="236" t="inlineStr">
        <is>
          <t>Vay Nhanh</t>
        </is>
      </c>
      <c r="D154" s="237" t="n">
        <v>26859</v>
      </c>
      <c r="E154" s="236" t="inlineStr">
        <is>
          <t>Financial Hub</t>
        </is>
      </c>
    </row>
    <row r="155">
      <c r="A155" s="232" t="n">
        <v>46266</v>
      </c>
      <c r="B155" s="233" t="inlineStr">
        <is>
          <t>Direct</t>
        </is>
      </c>
      <c r="C155" s="233" t="inlineStr">
        <is>
          <t>Điện</t>
        </is>
      </c>
      <c r="D155" s="234" t="n">
        <v>219</v>
      </c>
      <c r="E155" s="233" t="inlineStr">
        <is>
          <t>Điện</t>
        </is>
      </c>
    </row>
    <row r="156">
      <c r="A156" s="235" t="n">
        <v>46266</v>
      </c>
      <c r="B156" s="236" t="inlineStr">
        <is>
          <t>Organic</t>
        </is>
      </c>
      <c r="C156" s="236" t="inlineStr">
        <is>
          <t>P2P</t>
        </is>
      </c>
      <c r="D156" s="237" t="n">
        <v>2157</v>
      </c>
      <c r="E156" s="236" t="inlineStr">
        <is>
          <t>P2P</t>
        </is>
      </c>
    </row>
    <row r="157">
      <c r="A157" s="232" t="n">
        <v>46266</v>
      </c>
      <c r="B157" s="233" t="inlineStr">
        <is>
          <t>Paid</t>
        </is>
      </c>
      <c r="C157" s="233" t="inlineStr">
        <is>
          <t>TnC</t>
        </is>
      </c>
      <c r="D157" s="234" t="n">
        <v>102</v>
      </c>
      <c r="E157" s="233" t="inlineStr">
        <is>
          <t>TnC</t>
        </is>
      </c>
    </row>
    <row r="158">
      <c r="A158" s="235" t="n">
        <v>46266</v>
      </c>
      <c r="B158" s="236" t="inlineStr">
        <is>
          <t>Others</t>
        </is>
      </c>
      <c r="C158" s="236" t="inlineStr">
        <is>
          <t>Vé Xe</t>
        </is>
      </c>
      <c r="D158" s="237" t="n">
        <v>265</v>
      </c>
      <c r="E158" s="236" t="inlineStr">
        <is>
          <t>Vé Xe</t>
        </is>
      </c>
    </row>
    <row r="159">
      <c r="A159" s="232" t="n">
        <v>46266</v>
      </c>
      <c r="B159" s="233" t="inlineStr">
        <is>
          <t>Paid</t>
        </is>
      </c>
      <c r="C159" s="233" t="inlineStr">
        <is>
          <t>Vé số</t>
        </is>
      </c>
      <c r="D159" s="234" t="n">
        <v>1646</v>
      </c>
      <c r="E159" s="233" t="inlineStr">
        <is>
          <t>Vé số</t>
        </is>
      </c>
    </row>
    <row r="160">
      <c r="A160" s="235" t="n">
        <v>46266</v>
      </c>
      <c r="B160" s="236" t="inlineStr">
        <is>
          <t>Direct</t>
        </is>
      </c>
      <c r="C160" s="236" t="inlineStr">
        <is>
          <t>Trả Góp Apple</t>
        </is>
      </c>
      <c r="D160" s="237" t="n">
        <v>73</v>
      </c>
      <c r="E160" s="236" t="inlineStr">
        <is>
          <t>Financial Hub</t>
        </is>
      </c>
    </row>
    <row r="161">
      <c r="A161" s="232" t="n">
        <v>46266</v>
      </c>
      <c r="B161" s="233" t="inlineStr">
        <is>
          <t>Organic</t>
        </is>
      </c>
      <c r="C161" s="233" t="inlineStr">
        <is>
          <t>Trả Góp Apple</t>
        </is>
      </c>
      <c r="D161" s="234" t="n">
        <v>477</v>
      </c>
      <c r="E161" s="233" t="inlineStr">
        <is>
          <t>Financial Hub</t>
        </is>
      </c>
    </row>
    <row r="162">
      <c r="A162" s="235" t="n">
        <v>46204</v>
      </c>
      <c r="B162" s="236" t="inlineStr">
        <is>
          <t>Paid</t>
        </is>
      </c>
      <c r="C162" s="236" t="inlineStr">
        <is>
          <t>Sim</t>
        </is>
      </c>
      <c r="D162" s="237" t="n">
        <v>3063</v>
      </c>
      <c r="E162" s="236" t="inlineStr">
        <is>
          <t>Sim</t>
        </is>
      </c>
    </row>
    <row r="163">
      <c r="A163" s="232" t="n">
        <v>46204</v>
      </c>
      <c r="B163" s="233" t="inlineStr">
        <is>
          <t>Paid</t>
        </is>
      </c>
      <c r="C163" s="233" t="inlineStr">
        <is>
          <t>Others</t>
        </is>
      </c>
      <c r="D163" s="234" t="n">
        <v>4236</v>
      </c>
      <c r="E163" s="233" t="inlineStr">
        <is>
          <t>Others</t>
        </is>
      </c>
    </row>
    <row r="164">
      <c r="A164" s="235" t="n">
        <v>46204</v>
      </c>
      <c r="B164" s="236" t="inlineStr">
        <is>
          <t>Direct</t>
        </is>
      </c>
      <c r="C164" s="236" t="inlineStr">
        <is>
          <t>Vé số</t>
        </is>
      </c>
      <c r="D164" s="237" t="n">
        <v>158</v>
      </c>
      <c r="E164" s="236" t="inlineStr">
        <is>
          <t>Vé số</t>
        </is>
      </c>
    </row>
    <row r="165">
      <c r="A165" s="232" t="n">
        <v>46204</v>
      </c>
      <c r="B165" s="233" t="inlineStr">
        <is>
          <t>Others</t>
        </is>
      </c>
      <c r="C165" s="233" t="inlineStr">
        <is>
          <t>Others</t>
        </is>
      </c>
      <c r="D165" s="234" t="n">
        <v>1728</v>
      </c>
      <c r="E165" s="233" t="inlineStr">
        <is>
          <t>Others</t>
        </is>
      </c>
    </row>
    <row r="166">
      <c r="A166" s="235" t="n">
        <v>46204</v>
      </c>
      <c r="B166" s="236" t="inlineStr">
        <is>
          <t>Organic</t>
        </is>
      </c>
      <c r="C166" s="236" t="inlineStr">
        <is>
          <t>Trust</t>
        </is>
      </c>
      <c r="D166" s="237" t="n">
        <v>1174</v>
      </c>
      <c r="E166" s="236" t="inlineStr">
        <is>
          <t>Trust</t>
        </is>
      </c>
    </row>
    <row r="167">
      <c r="A167" s="232" t="n">
        <v>46204</v>
      </c>
      <c r="B167" s="233" t="inlineStr">
        <is>
          <t>Direct</t>
        </is>
      </c>
      <c r="C167" s="233" t="inlineStr">
        <is>
          <t>Phạt Nguội</t>
        </is>
      </c>
      <c r="D167" s="234" t="n">
        <v>27420</v>
      </c>
      <c r="E167" s="233" t="inlineStr">
        <is>
          <t>Phạt Nguội</t>
        </is>
      </c>
    </row>
    <row r="168">
      <c r="A168" s="235" t="n">
        <v>46204</v>
      </c>
      <c r="B168" s="236" t="inlineStr">
        <is>
          <t>Referral</t>
        </is>
      </c>
      <c r="C168" s="236" t="inlineStr">
        <is>
          <t>Sim</t>
        </is>
      </c>
      <c r="D168" s="237" t="n">
        <v>344</v>
      </c>
      <c r="E168" s="236" t="inlineStr">
        <is>
          <t>Sim</t>
        </is>
      </c>
    </row>
    <row r="169">
      <c r="A169" s="232" t="n">
        <v>46204</v>
      </c>
      <c r="B169" s="233" t="inlineStr">
        <is>
          <t>Organic</t>
        </is>
      </c>
      <c r="C169" s="233" t="inlineStr">
        <is>
          <t>Student Pass</t>
        </is>
      </c>
      <c r="D169" s="234" t="n">
        <v>114</v>
      </c>
      <c r="E169" s="233" t="inlineStr">
        <is>
          <t>Student Hub</t>
        </is>
      </c>
    </row>
    <row r="170">
      <c r="A170" s="235" t="n">
        <v>46174</v>
      </c>
      <c r="B170" s="236" t="inlineStr">
        <is>
          <t>Organic</t>
        </is>
      </c>
      <c r="C170" s="236" t="inlineStr">
        <is>
          <t>Cinema_Blog</t>
        </is>
      </c>
      <c r="D170" s="237" t="n">
        <v>27019</v>
      </c>
      <c r="E170" s="236" t="inlineStr">
        <is>
          <t>Cinema Hub</t>
        </is>
      </c>
    </row>
    <row r="171">
      <c r="A171" s="232" t="n">
        <v>46174</v>
      </c>
      <c r="B171" s="233" t="inlineStr">
        <is>
          <t>Others</t>
        </is>
      </c>
      <c r="C171" s="233" t="inlineStr">
        <is>
          <t>Cinema_Cineplex Page</t>
        </is>
      </c>
      <c r="D171" s="234" t="n">
        <v>1092</v>
      </c>
      <c r="E171" s="233" t="inlineStr">
        <is>
          <t>Cinema Hub</t>
        </is>
      </c>
    </row>
    <row r="172">
      <c r="A172" s="235" t="n">
        <v>46174</v>
      </c>
      <c r="B172" s="236" t="inlineStr">
        <is>
          <t>Organic</t>
        </is>
      </c>
      <c r="C172" s="236" t="inlineStr">
        <is>
          <t>Campaign</t>
        </is>
      </c>
      <c r="D172" s="237" t="n">
        <v>1595</v>
      </c>
      <c r="E172" s="236" t="inlineStr">
        <is>
          <t>Campaign</t>
        </is>
      </c>
    </row>
    <row r="173">
      <c r="A173" s="232" t="n">
        <v>46174</v>
      </c>
      <c r="B173" s="233" t="inlineStr">
        <is>
          <t>Organic</t>
        </is>
      </c>
      <c r="C173" s="233" t="inlineStr">
        <is>
          <t>Bảo Hiểm Xe Máy</t>
        </is>
      </c>
      <c r="D173" s="234" t="n">
        <v>1300</v>
      </c>
      <c r="E173" s="233" t="inlineStr">
        <is>
          <t>Bảo Hiểm Xe Máy</t>
        </is>
      </c>
    </row>
    <row r="174">
      <c r="A174" s="235" t="n">
        <v>46174</v>
      </c>
      <c r="B174" s="236" t="inlineStr">
        <is>
          <t>Organic</t>
        </is>
      </c>
      <c r="C174" s="236" t="inlineStr">
        <is>
          <t>Cinema_News</t>
        </is>
      </c>
      <c r="D174" s="237" t="n">
        <v>1310</v>
      </c>
      <c r="E174" s="236" t="inlineStr">
        <is>
          <t>Cinema Hub</t>
        </is>
      </c>
    </row>
    <row r="175">
      <c r="A175" s="232" t="n">
        <v>46174</v>
      </c>
      <c r="B175" s="233" t="inlineStr">
        <is>
          <t>Paid</t>
        </is>
      </c>
      <c r="C175" s="233" t="inlineStr">
        <is>
          <t>Application Store</t>
        </is>
      </c>
      <c r="D175" s="234" t="n">
        <v>125</v>
      </c>
      <c r="E175" s="233" t="inlineStr">
        <is>
          <t>Application Store</t>
        </is>
      </c>
    </row>
    <row r="176">
      <c r="A176" s="235" t="n">
        <v>46174</v>
      </c>
      <c r="B176" s="236" t="inlineStr">
        <is>
          <t>Others</t>
        </is>
      </c>
      <c r="C176" s="236" t="inlineStr">
        <is>
          <t>Campaign</t>
        </is>
      </c>
      <c r="D176" s="237" t="n">
        <v>82</v>
      </c>
      <c r="E176" s="236" t="inlineStr">
        <is>
          <t>Campaign</t>
        </is>
      </c>
    </row>
    <row r="177">
      <c r="A177" s="232" t="n">
        <v>46174</v>
      </c>
      <c r="B177" s="233" t="inlineStr">
        <is>
          <t>Organic</t>
        </is>
      </c>
      <c r="C177" s="233" t="inlineStr">
        <is>
          <t>Ví Trả Sau</t>
        </is>
      </c>
      <c r="D177" s="234" t="n">
        <v>3112</v>
      </c>
      <c r="E177" s="233" t="inlineStr">
        <is>
          <t>Financial Hub</t>
        </is>
      </c>
    </row>
    <row r="178">
      <c r="A178" s="235" t="n">
        <v>46174</v>
      </c>
      <c r="B178" s="236" t="inlineStr">
        <is>
          <t>Paid</t>
        </is>
      </c>
      <c r="C178" s="236" t="inlineStr">
        <is>
          <t>Ví Trả Sau</t>
        </is>
      </c>
      <c r="D178" s="237" t="n">
        <v>11926</v>
      </c>
      <c r="E178" s="236" t="inlineStr">
        <is>
          <t>Financial Hub</t>
        </is>
      </c>
    </row>
    <row r="179">
      <c r="A179" s="232" t="n">
        <v>46174</v>
      </c>
      <c r="B179" s="233" t="inlineStr">
        <is>
          <t>Direct</t>
        </is>
      </c>
      <c r="C179" s="233" t="inlineStr">
        <is>
          <t>Vé Xe</t>
        </is>
      </c>
      <c r="D179" s="234" t="n">
        <v>2641</v>
      </c>
      <c r="E179" s="233" t="inlineStr">
        <is>
          <t>Vé Xe</t>
        </is>
      </c>
    </row>
    <row r="180">
      <c r="A180" s="235" t="n">
        <v>46174</v>
      </c>
      <c r="B180" s="236" t="inlineStr">
        <is>
          <t>Organic</t>
        </is>
      </c>
      <c r="C180" s="236" t="inlineStr">
        <is>
          <t>Tiktok</t>
        </is>
      </c>
      <c r="D180" s="237" t="n">
        <v>18909</v>
      </c>
      <c r="E180" s="236" t="inlineStr">
        <is>
          <t>Tiktok</t>
        </is>
      </c>
    </row>
    <row r="181">
      <c r="A181" s="232" t="n">
        <v>46174</v>
      </c>
      <c r="B181" s="233" t="inlineStr">
        <is>
          <t>Organic</t>
        </is>
      </c>
      <c r="C181" s="233" t="inlineStr">
        <is>
          <t>Sim</t>
        </is>
      </c>
      <c r="D181" s="234" t="n">
        <v>6063</v>
      </c>
      <c r="E181" s="233" t="inlineStr">
        <is>
          <t>Sim</t>
        </is>
      </c>
    </row>
    <row r="182">
      <c r="A182" s="235" t="n">
        <v>46174</v>
      </c>
      <c r="B182" s="236" t="inlineStr">
        <is>
          <t>Organic</t>
        </is>
      </c>
      <c r="C182" s="236" t="inlineStr">
        <is>
          <t>Phạt Nguội</t>
        </is>
      </c>
      <c r="D182" s="237" t="n">
        <v>9424</v>
      </c>
      <c r="E182" s="236" t="inlineStr">
        <is>
          <t>Phạt Nguội</t>
        </is>
      </c>
    </row>
    <row r="183">
      <c r="A183" s="232" t="n">
        <v>46174</v>
      </c>
      <c r="B183" s="233" t="inlineStr">
        <is>
          <t>Direct</t>
        </is>
      </c>
      <c r="C183" s="233" t="inlineStr">
        <is>
          <t>Sim</t>
        </is>
      </c>
      <c r="D183" s="234" t="n">
        <v>413</v>
      </c>
      <c r="E183" s="233" t="inlineStr">
        <is>
          <t>Sim</t>
        </is>
      </c>
    </row>
    <row r="184">
      <c r="A184" s="235" t="n">
        <v>46174</v>
      </c>
      <c r="B184" s="236" t="inlineStr">
        <is>
          <t>Paid</t>
        </is>
      </c>
      <c r="C184" s="236" t="inlineStr">
        <is>
          <t>Home MoMo</t>
        </is>
      </c>
      <c r="D184" s="237" t="n">
        <v>4356</v>
      </c>
      <c r="E184" s="236" t="inlineStr">
        <is>
          <t>Home MoMo</t>
        </is>
      </c>
    </row>
    <row r="185">
      <c r="A185" s="232" t="n">
        <v>46174</v>
      </c>
      <c r="B185" s="233" t="inlineStr">
        <is>
          <t>Organic</t>
        </is>
      </c>
      <c r="C185" s="233" t="inlineStr">
        <is>
          <t>OTA</t>
        </is>
      </c>
      <c r="D185" s="234" t="n">
        <v>24476</v>
      </c>
      <c r="E185" s="233" t="inlineStr">
        <is>
          <t>OTA</t>
        </is>
      </c>
    </row>
    <row r="186">
      <c r="A186" s="235" t="n">
        <v>46174</v>
      </c>
      <c r="B186" s="236" t="inlineStr">
        <is>
          <t>Direct</t>
        </is>
      </c>
      <c r="C186" s="236" t="inlineStr">
        <is>
          <t>Data</t>
        </is>
      </c>
      <c r="D186" s="237" t="n">
        <v>513</v>
      </c>
      <c r="E186" s="236" t="inlineStr">
        <is>
          <t>Data</t>
        </is>
      </c>
    </row>
    <row r="187">
      <c r="A187" s="232" t="n">
        <v>46174</v>
      </c>
      <c r="B187" s="233" t="inlineStr">
        <is>
          <t>Organic</t>
        </is>
      </c>
      <c r="C187" s="233" t="inlineStr">
        <is>
          <t>Game</t>
        </is>
      </c>
      <c r="D187" s="234" t="n">
        <v>26821</v>
      </c>
      <c r="E187" s="233" t="inlineStr">
        <is>
          <t>Game</t>
        </is>
      </c>
    </row>
    <row r="188">
      <c r="A188" s="235" t="n">
        <v>46174</v>
      </c>
      <c r="B188" s="236" t="inlineStr">
        <is>
          <t>Organic</t>
        </is>
      </c>
      <c r="C188" s="236" t="inlineStr">
        <is>
          <t>Dịch vụ liên kết</t>
        </is>
      </c>
      <c r="D188" s="237" t="n">
        <v>1197</v>
      </c>
      <c r="E188" s="236" t="inlineStr">
        <is>
          <t>Dịch vụ liên kết</t>
        </is>
      </c>
    </row>
    <row r="189">
      <c r="A189" s="232" t="n">
        <v>46174</v>
      </c>
      <c r="B189" s="233" t="inlineStr">
        <is>
          <t>Referral</t>
        </is>
      </c>
      <c r="C189" s="233" t="inlineStr">
        <is>
          <t>New User</t>
        </is>
      </c>
      <c r="D189" s="234" t="n">
        <v>37730</v>
      </c>
      <c r="E189" s="233" t="inlineStr">
        <is>
          <t>New User</t>
        </is>
      </c>
    </row>
    <row r="190">
      <c r="A190" s="235" t="n">
        <v>46174</v>
      </c>
      <c r="B190" s="236" t="inlineStr">
        <is>
          <t>Organic</t>
        </is>
      </c>
      <c r="C190" s="236" t="inlineStr">
        <is>
          <t>Hỏi đáp</t>
        </is>
      </c>
      <c r="D190" s="237" t="n">
        <v>14323</v>
      </c>
      <c r="E190" s="236" t="inlineStr">
        <is>
          <t>Hỏi đáp</t>
        </is>
      </c>
    </row>
    <row r="191">
      <c r="A191" s="232" t="n">
        <v>46174</v>
      </c>
      <c r="B191" s="233" t="inlineStr">
        <is>
          <t>Direct</t>
        </is>
      </c>
      <c r="C191" s="233" t="inlineStr">
        <is>
          <t>Guide</t>
        </is>
      </c>
      <c r="D191" s="234" t="n">
        <v>4478</v>
      </c>
      <c r="E191" s="233" t="inlineStr">
        <is>
          <t>Guide</t>
        </is>
      </c>
    </row>
    <row r="192">
      <c r="A192" s="235" t="n">
        <v>46174</v>
      </c>
      <c r="B192" s="236" t="inlineStr">
        <is>
          <t>Paid</t>
        </is>
      </c>
      <c r="C192" s="236" t="inlineStr">
        <is>
          <t>Others</t>
        </is>
      </c>
      <c r="D192" s="237" t="n">
        <v>60017</v>
      </c>
      <c r="E192" s="236" t="inlineStr">
        <is>
          <t>Others</t>
        </is>
      </c>
    </row>
    <row r="193">
      <c r="A193" s="232" t="n">
        <v>46174</v>
      </c>
      <c r="B193" s="233" t="inlineStr">
        <is>
          <t>Organic</t>
        </is>
      </c>
      <c r="C193" s="233" t="inlineStr">
        <is>
          <t>Khuyến mãi</t>
        </is>
      </c>
      <c r="D193" s="234" t="n">
        <v>2840</v>
      </c>
      <c r="E193" s="233" t="inlineStr">
        <is>
          <t>Khuyến mãi</t>
        </is>
      </c>
    </row>
    <row r="194">
      <c r="A194" s="235" t="n">
        <v>46174</v>
      </c>
      <c r="B194" s="236" t="inlineStr">
        <is>
          <t>Referral</t>
        </is>
      </c>
      <c r="C194" s="236" t="inlineStr">
        <is>
          <t>OTA</t>
        </is>
      </c>
      <c r="D194" s="237" t="n">
        <v>2987</v>
      </c>
      <c r="E194" s="236" t="inlineStr">
        <is>
          <t>OTA</t>
        </is>
      </c>
    </row>
    <row r="195">
      <c r="A195" s="232" t="n">
        <v>46174</v>
      </c>
      <c r="B195" s="233" t="inlineStr">
        <is>
          <t>Referral</t>
        </is>
      </c>
      <c r="C195" s="233" t="inlineStr">
        <is>
          <t>Home MoMo</t>
        </is>
      </c>
      <c r="D195" s="234" t="n">
        <v>9684</v>
      </c>
      <c r="E195" s="233" t="inlineStr">
        <is>
          <t>Home MoMo</t>
        </is>
      </c>
    </row>
    <row r="196">
      <c r="A196" s="235" t="n">
        <v>46174</v>
      </c>
      <c r="B196" s="236" t="inlineStr">
        <is>
          <t>Organic</t>
        </is>
      </c>
      <c r="C196" s="236" t="inlineStr">
        <is>
          <t>Cross Border</t>
        </is>
      </c>
      <c r="D196" s="237" t="n">
        <v>953</v>
      </c>
      <c r="E196" s="236" t="inlineStr">
        <is>
          <t>Cross Border</t>
        </is>
      </c>
    </row>
    <row r="197">
      <c r="A197" s="232" t="n">
        <v>46174</v>
      </c>
      <c r="B197" s="233" t="inlineStr">
        <is>
          <t>Paid</t>
        </is>
      </c>
      <c r="C197" s="233" t="inlineStr">
        <is>
          <t>Guide</t>
        </is>
      </c>
      <c r="D197" s="234" t="n">
        <v>173</v>
      </c>
      <c r="E197" s="233" t="inlineStr">
        <is>
          <t>Guide</t>
        </is>
      </c>
    </row>
    <row r="198">
      <c r="A198" s="235" t="n">
        <v>46174</v>
      </c>
      <c r="B198" s="236" t="inlineStr">
        <is>
          <t>Referral</t>
        </is>
      </c>
      <c r="C198" s="236" t="inlineStr">
        <is>
          <t>Khuyến mãi</t>
        </is>
      </c>
      <c r="D198" s="237" t="n">
        <v>1739</v>
      </c>
      <c r="E198" s="236" t="inlineStr">
        <is>
          <t>Khuyến mãi</t>
        </is>
      </c>
    </row>
    <row r="199">
      <c r="A199" s="232" t="n">
        <v>46174</v>
      </c>
      <c r="B199" s="233" t="inlineStr">
        <is>
          <t>Referral</t>
        </is>
      </c>
      <c r="C199" s="233" t="inlineStr">
        <is>
          <t>Cross Border</t>
        </is>
      </c>
      <c r="D199" s="234" t="n">
        <v>477</v>
      </c>
      <c r="E199" s="233" t="inlineStr">
        <is>
          <t>Cross Border</t>
        </is>
      </c>
    </row>
    <row r="200">
      <c r="A200" s="235" t="n">
        <v>46174</v>
      </c>
      <c r="B200" s="236" t="inlineStr">
        <is>
          <t>Others</t>
        </is>
      </c>
      <c r="C200" s="236" t="inlineStr">
        <is>
          <t>Others</t>
        </is>
      </c>
      <c r="D200" s="237" t="n">
        <v>1652</v>
      </c>
      <c r="E200" s="236" t="inlineStr">
        <is>
          <t>Others</t>
        </is>
      </c>
    </row>
    <row r="201">
      <c r="A201" s="232" t="n">
        <v>46174</v>
      </c>
      <c r="B201" s="233" t="inlineStr">
        <is>
          <t>Referral</t>
        </is>
      </c>
      <c r="C201" s="233" t="inlineStr">
        <is>
          <t>Merchant</t>
        </is>
      </c>
      <c r="D201" s="234" t="n">
        <v>614</v>
      </c>
      <c r="E201" s="233" t="inlineStr">
        <is>
          <t>Merchant</t>
        </is>
      </c>
    </row>
    <row r="202">
      <c r="A202" s="235" t="n">
        <v>46143</v>
      </c>
      <c r="B202" s="236" t="inlineStr">
        <is>
          <t>Paid</t>
        </is>
      </c>
      <c r="C202" s="236" t="inlineStr">
        <is>
          <t>Merchant</t>
        </is>
      </c>
      <c r="D202" s="237" t="n">
        <v>65</v>
      </c>
      <c r="E202" s="236" t="inlineStr">
        <is>
          <t>Merchant</t>
        </is>
      </c>
    </row>
    <row r="203">
      <c r="A203" s="232" t="n">
        <v>46143</v>
      </c>
      <c r="B203" s="233" t="inlineStr">
        <is>
          <t>Paid</t>
        </is>
      </c>
      <c r="C203" s="233" t="inlineStr">
        <is>
          <t>Cinema_Page</t>
        </is>
      </c>
      <c r="D203" s="234" t="n">
        <v>703</v>
      </c>
      <c r="E203" s="233" t="inlineStr">
        <is>
          <t>Cinema Hub</t>
        </is>
      </c>
    </row>
    <row r="204">
      <c r="A204" s="235" t="n">
        <v>46266</v>
      </c>
      <c r="B204" s="236" t="inlineStr">
        <is>
          <t>Others</t>
        </is>
      </c>
      <c r="C204" s="236" t="inlineStr">
        <is>
          <t>Bảo Hiểm Ô Tô</t>
        </is>
      </c>
      <c r="D204" s="237" t="n">
        <v>86</v>
      </c>
      <c r="E204" s="236" t="inlineStr">
        <is>
          <t>Bảo Hiểm Ô Tô</t>
        </is>
      </c>
    </row>
    <row r="205">
      <c r="A205" s="232" t="n">
        <v>46235</v>
      </c>
      <c r="B205" s="233" t="inlineStr">
        <is>
          <t>Organic</t>
        </is>
      </c>
      <c r="C205" s="233" t="inlineStr">
        <is>
          <t>Cinema_Page</t>
        </is>
      </c>
      <c r="D205" s="234" t="n">
        <v>102933</v>
      </c>
      <c r="E205" s="233" t="inlineStr">
        <is>
          <t>Cinema Hub</t>
        </is>
      </c>
    </row>
    <row r="206">
      <c r="A206" s="235" t="n">
        <v>46235</v>
      </c>
      <c r="B206" s="236" t="inlineStr">
        <is>
          <t>Direct</t>
        </is>
      </c>
      <c r="C206" s="236" t="inlineStr">
        <is>
          <t>Cinema_Page</t>
        </is>
      </c>
      <c r="D206" s="237" t="n">
        <v>13703</v>
      </c>
      <c r="E206" s="236" t="inlineStr">
        <is>
          <t>Cinema Hub</t>
        </is>
      </c>
    </row>
    <row r="207">
      <c r="A207" s="232" t="n">
        <v>46235</v>
      </c>
      <c r="B207" s="233" t="inlineStr">
        <is>
          <t>Organic</t>
        </is>
      </c>
      <c r="C207" s="233" t="inlineStr">
        <is>
          <t>Merchant</t>
        </is>
      </c>
      <c r="D207" s="234" t="n">
        <v>26580</v>
      </c>
      <c r="E207" s="233" t="inlineStr">
        <is>
          <t>Merchant</t>
        </is>
      </c>
    </row>
    <row r="208">
      <c r="A208" s="235" t="n">
        <v>46235</v>
      </c>
      <c r="B208" s="236" t="inlineStr">
        <is>
          <t>Organic</t>
        </is>
      </c>
      <c r="C208" s="236" t="inlineStr">
        <is>
          <t>Hỏi đáp</t>
        </is>
      </c>
      <c r="D208" s="237" t="n">
        <v>14463</v>
      </c>
      <c r="E208" s="236" t="inlineStr">
        <is>
          <t>Hỏi đáp</t>
        </is>
      </c>
    </row>
    <row r="209">
      <c r="A209" s="232" t="n">
        <v>46235</v>
      </c>
      <c r="B209" s="233" t="inlineStr">
        <is>
          <t>Organic</t>
        </is>
      </c>
      <c r="C209" s="233" t="inlineStr">
        <is>
          <t>Khuyến mãi</t>
        </is>
      </c>
      <c r="D209" s="234" t="n">
        <v>2897</v>
      </c>
      <c r="E209" s="233" t="inlineStr">
        <is>
          <t>Khuyến mãi</t>
        </is>
      </c>
    </row>
    <row r="210">
      <c r="A210" s="235" t="n">
        <v>46235</v>
      </c>
      <c r="B210" s="236" t="inlineStr">
        <is>
          <t>Organic</t>
        </is>
      </c>
      <c r="C210" s="236" t="inlineStr">
        <is>
          <t>Cinema_News</t>
        </is>
      </c>
      <c r="D210" s="237" t="n">
        <v>1306</v>
      </c>
      <c r="E210" s="236" t="inlineStr">
        <is>
          <t>Cinema Hub</t>
        </is>
      </c>
    </row>
    <row r="211">
      <c r="A211" s="232" t="n">
        <v>46235</v>
      </c>
      <c r="B211" s="233" t="inlineStr">
        <is>
          <t>Direct</t>
        </is>
      </c>
      <c r="C211" s="233" t="inlineStr">
        <is>
          <t>Hỏi đáp</t>
        </is>
      </c>
      <c r="D211" s="234" t="n">
        <v>1759</v>
      </c>
      <c r="E211" s="233" t="inlineStr">
        <is>
          <t>Hỏi đáp</t>
        </is>
      </c>
    </row>
    <row r="212">
      <c r="A212" s="235" t="n">
        <v>46235</v>
      </c>
      <c r="B212" s="236" t="inlineStr">
        <is>
          <t>Direct</t>
        </is>
      </c>
      <c r="C212" s="236" t="inlineStr">
        <is>
          <t>Merchant</t>
        </is>
      </c>
      <c r="D212" s="237" t="n">
        <v>6269</v>
      </c>
      <c r="E212" s="236" t="inlineStr">
        <is>
          <t>Merchant</t>
        </is>
      </c>
    </row>
    <row r="213">
      <c r="A213" s="232" t="n">
        <v>46235</v>
      </c>
      <c r="B213" s="233" t="inlineStr">
        <is>
          <t>Referral</t>
        </is>
      </c>
      <c r="C213" s="233" t="inlineStr">
        <is>
          <t>Blog</t>
        </is>
      </c>
      <c r="D213" s="234" t="n">
        <v>159</v>
      </c>
      <c r="E213" s="233" t="inlineStr">
        <is>
          <t>Blog</t>
        </is>
      </c>
    </row>
    <row r="214">
      <c r="A214" s="235" t="n">
        <v>46235</v>
      </c>
      <c r="B214" s="236" t="inlineStr">
        <is>
          <t>Organic</t>
        </is>
      </c>
      <c r="C214" s="236" t="inlineStr">
        <is>
          <t>Mở tài khoản ngân hàng</t>
        </is>
      </c>
      <c r="D214" s="237" t="n">
        <v>723</v>
      </c>
      <c r="E214" s="236" t="inlineStr">
        <is>
          <t>Mở tài khoản ngân hàng</t>
        </is>
      </c>
    </row>
    <row r="215">
      <c r="A215" s="232" t="n">
        <v>46235</v>
      </c>
      <c r="B215" s="233" t="inlineStr">
        <is>
          <t>Referral</t>
        </is>
      </c>
      <c r="C215" s="233" t="inlineStr">
        <is>
          <t>Cinema_Page</t>
        </is>
      </c>
      <c r="D215" s="234" t="n">
        <v>2797</v>
      </c>
      <c r="E215" s="233" t="inlineStr">
        <is>
          <t>Cinema Hub</t>
        </is>
      </c>
    </row>
    <row r="216">
      <c r="A216" s="235" t="n">
        <v>46235</v>
      </c>
      <c r="B216" s="236" t="inlineStr">
        <is>
          <t>Organic</t>
        </is>
      </c>
      <c r="C216" s="236" t="inlineStr">
        <is>
          <t>Dịch vụ liên kết</t>
        </is>
      </c>
      <c r="D216" s="237" t="n">
        <v>1323</v>
      </c>
      <c r="E216" s="236" t="inlineStr">
        <is>
          <t>Dịch vụ liên kết</t>
        </is>
      </c>
    </row>
    <row r="217">
      <c r="A217" s="232" t="n">
        <v>46204</v>
      </c>
      <c r="B217" s="233" t="inlineStr">
        <is>
          <t>Others</t>
        </is>
      </c>
      <c r="C217" s="233" t="inlineStr">
        <is>
          <t>Home MoMo</t>
        </is>
      </c>
      <c r="D217" s="234" t="n">
        <v>2837</v>
      </c>
      <c r="E217" s="233" t="inlineStr">
        <is>
          <t>Home MoMo</t>
        </is>
      </c>
    </row>
    <row r="218">
      <c r="A218" s="235" t="n">
        <v>46204</v>
      </c>
      <c r="B218" s="236" t="inlineStr">
        <is>
          <t>Organic</t>
        </is>
      </c>
      <c r="C218" s="236" t="inlineStr">
        <is>
          <t>Data</t>
        </is>
      </c>
      <c r="D218" s="237" t="n">
        <v>4203</v>
      </c>
      <c r="E218" s="236" t="inlineStr">
        <is>
          <t>Data</t>
        </is>
      </c>
    </row>
    <row r="219">
      <c r="A219" s="232" t="n">
        <v>46204</v>
      </c>
      <c r="B219" s="233" t="inlineStr">
        <is>
          <t>Direct</t>
        </is>
      </c>
      <c r="C219" s="233" t="inlineStr">
        <is>
          <t>Others</t>
        </is>
      </c>
      <c r="D219" s="234" t="n">
        <v>55115</v>
      </c>
      <c r="E219" s="233" t="inlineStr">
        <is>
          <t>Others</t>
        </is>
      </c>
    </row>
    <row r="220">
      <c r="A220" s="235" t="n">
        <v>46204</v>
      </c>
      <c r="B220" s="236" t="inlineStr">
        <is>
          <t>Organic</t>
        </is>
      </c>
      <c r="C220" s="236" t="inlineStr">
        <is>
          <t>Merchant</t>
        </is>
      </c>
      <c r="D220" s="237" t="n">
        <v>26651</v>
      </c>
      <c r="E220" s="236" t="inlineStr">
        <is>
          <t>Merchant</t>
        </is>
      </c>
    </row>
    <row r="221">
      <c r="A221" s="232" t="n">
        <v>46204</v>
      </c>
      <c r="B221" s="233" t="inlineStr">
        <is>
          <t>Organic</t>
        </is>
      </c>
      <c r="C221" s="233" t="inlineStr">
        <is>
          <t>Esim</t>
        </is>
      </c>
      <c r="D221" s="234" t="n">
        <v>1136</v>
      </c>
      <c r="E221" s="233" t="inlineStr">
        <is>
          <t>Sim</t>
        </is>
      </c>
    </row>
    <row r="222">
      <c r="A222" s="235" t="n">
        <v>46204</v>
      </c>
      <c r="B222" s="236" t="inlineStr">
        <is>
          <t>Organic</t>
        </is>
      </c>
      <c r="C222" s="236" t="inlineStr">
        <is>
          <t>Hỏi đáp</t>
        </is>
      </c>
      <c r="D222" s="237" t="n">
        <v>14957</v>
      </c>
      <c r="E222" s="236" t="inlineStr">
        <is>
          <t>Hỏi đáp</t>
        </is>
      </c>
    </row>
    <row r="223">
      <c r="A223" s="232" t="n">
        <v>46204</v>
      </c>
      <c r="B223" s="233" t="inlineStr">
        <is>
          <t>Direct</t>
        </is>
      </c>
      <c r="C223" s="233" t="inlineStr">
        <is>
          <t>Guide</t>
        </is>
      </c>
      <c r="D223" s="234" t="n">
        <v>5269</v>
      </c>
      <c r="E223" s="233" t="inlineStr">
        <is>
          <t>Guide</t>
        </is>
      </c>
    </row>
    <row r="224">
      <c r="A224" s="235" t="n">
        <v>46204</v>
      </c>
      <c r="B224" s="236" t="inlineStr">
        <is>
          <t>Organic</t>
        </is>
      </c>
      <c r="C224" s="236" t="inlineStr">
        <is>
          <t>Guide</t>
        </is>
      </c>
      <c r="D224" s="237" t="n">
        <v>4729</v>
      </c>
      <c r="E224" s="236" t="inlineStr">
        <is>
          <t>Guide</t>
        </is>
      </c>
    </row>
    <row r="225">
      <c r="A225" s="232" t="n">
        <v>46204</v>
      </c>
      <c r="B225" s="233" t="inlineStr">
        <is>
          <t>Direct</t>
        </is>
      </c>
      <c r="C225" s="233" t="inlineStr">
        <is>
          <t>Mở tài khoản ngân hàng</t>
        </is>
      </c>
      <c r="D225" s="234" t="n">
        <v>56</v>
      </c>
      <c r="E225" s="233" t="inlineStr">
        <is>
          <t>Mở tài khoản ngân hàng</t>
        </is>
      </c>
    </row>
    <row r="226">
      <c r="A226" s="235" t="n">
        <v>46204</v>
      </c>
      <c r="B226" s="236" t="inlineStr">
        <is>
          <t>Paid</t>
        </is>
      </c>
      <c r="C226" s="236" t="inlineStr">
        <is>
          <t>Home MoMo</t>
        </is>
      </c>
      <c r="D226" s="237" t="n">
        <v>691</v>
      </c>
      <c r="E226" s="236" t="inlineStr">
        <is>
          <t>Home MoMo</t>
        </is>
      </c>
    </row>
    <row r="227">
      <c r="A227" s="232" t="n">
        <v>46204</v>
      </c>
      <c r="B227" s="233" t="inlineStr">
        <is>
          <t>Organic</t>
        </is>
      </c>
      <c r="C227" s="233" t="inlineStr">
        <is>
          <t>Thanh Toán Thẻ Tín Dụng</t>
        </is>
      </c>
      <c r="D227" s="234" t="n">
        <v>193</v>
      </c>
      <c r="E227" s="233" t="inlineStr">
        <is>
          <t>Financial Hub</t>
        </is>
      </c>
    </row>
    <row r="228">
      <c r="A228" s="235" t="n">
        <v>46204</v>
      </c>
      <c r="B228" s="236" t="inlineStr">
        <is>
          <t>Referral</t>
        </is>
      </c>
      <c r="C228" s="236" t="inlineStr">
        <is>
          <t>OTA</t>
        </is>
      </c>
      <c r="D228" s="237" t="n">
        <v>1158</v>
      </c>
      <c r="E228" s="236" t="inlineStr">
        <is>
          <t>OTA</t>
        </is>
      </c>
    </row>
    <row r="229">
      <c r="A229" s="232" t="n">
        <v>46174</v>
      </c>
      <c r="B229" s="233" t="inlineStr">
        <is>
          <t>Direct</t>
        </is>
      </c>
      <c r="C229" s="233" t="inlineStr">
        <is>
          <t>Điểm Tín Dụng</t>
        </is>
      </c>
      <c r="D229" s="234" t="n">
        <v>149</v>
      </c>
      <c r="E229" s="233" t="inlineStr">
        <is>
          <t>Financial Hub</t>
        </is>
      </c>
    </row>
    <row r="230">
      <c r="A230" s="235" t="n">
        <v>46174</v>
      </c>
      <c r="B230" s="236" t="inlineStr">
        <is>
          <t>Direct</t>
        </is>
      </c>
      <c r="C230" s="236" t="inlineStr">
        <is>
          <t>P2P</t>
        </is>
      </c>
      <c r="D230" s="237" t="n">
        <v>272</v>
      </c>
      <c r="E230" s="236" t="inlineStr">
        <is>
          <t>P2P</t>
        </is>
      </c>
    </row>
    <row r="231">
      <c r="A231" s="232" t="n">
        <v>46174</v>
      </c>
      <c r="B231" s="233" t="inlineStr">
        <is>
          <t>Referral</t>
        </is>
      </c>
      <c r="C231" s="233" t="inlineStr">
        <is>
          <t>Sim</t>
        </is>
      </c>
      <c r="D231" s="234" t="n">
        <v>309</v>
      </c>
      <c r="E231" s="233" t="inlineStr">
        <is>
          <t>Sim</t>
        </is>
      </c>
    </row>
    <row r="232">
      <c r="A232" s="235" t="n">
        <v>46174</v>
      </c>
      <c r="B232" s="236" t="inlineStr">
        <is>
          <t>Organic</t>
        </is>
      </c>
      <c r="C232" s="236" t="inlineStr">
        <is>
          <t>Thanh Toán Khoản Vay</t>
        </is>
      </c>
      <c r="D232" s="237" t="n">
        <v>356</v>
      </c>
      <c r="E232" s="236" t="inlineStr">
        <is>
          <t>Financial Hub</t>
        </is>
      </c>
    </row>
    <row r="233">
      <c r="A233" s="232" t="n">
        <v>46204</v>
      </c>
      <c r="B233" s="233" t="inlineStr">
        <is>
          <t>Referral</t>
        </is>
      </c>
      <c r="C233" s="233" t="inlineStr">
        <is>
          <t>Cinema_Home Page</t>
        </is>
      </c>
      <c r="D233" s="234" t="n">
        <v>489</v>
      </c>
      <c r="E233" s="233" t="inlineStr">
        <is>
          <t>Cinema Hub</t>
        </is>
      </c>
    </row>
    <row r="234">
      <c r="A234" s="235" t="n">
        <v>46204</v>
      </c>
      <c r="B234" s="236" t="inlineStr">
        <is>
          <t>Others</t>
        </is>
      </c>
      <c r="C234" s="236" t="inlineStr">
        <is>
          <t>TnC</t>
        </is>
      </c>
      <c r="D234" s="237" t="n">
        <v>45</v>
      </c>
      <c r="E234" s="236" t="inlineStr">
        <is>
          <t>TnC</t>
        </is>
      </c>
    </row>
    <row r="235">
      <c r="A235" s="232" t="n">
        <v>46204</v>
      </c>
      <c r="B235" s="233" t="inlineStr">
        <is>
          <t>Direct</t>
        </is>
      </c>
      <c r="C235" s="233" t="inlineStr">
        <is>
          <t>Trung Tâm Tài Chính</t>
        </is>
      </c>
      <c r="D235" s="234" t="n">
        <v>79</v>
      </c>
      <c r="E235" s="233" t="inlineStr">
        <is>
          <t>Financial Hub</t>
        </is>
      </c>
    </row>
    <row r="236">
      <c r="A236" s="235" t="n">
        <v>46204</v>
      </c>
      <c r="B236" s="236" t="inlineStr">
        <is>
          <t>Direct</t>
        </is>
      </c>
      <c r="C236" s="236" t="inlineStr">
        <is>
          <t>Dịch vụ liên kết</t>
        </is>
      </c>
      <c r="D236" s="237" t="n">
        <v>299</v>
      </c>
      <c r="E236" s="236" t="inlineStr">
        <is>
          <t>Dịch vụ liên kết</t>
        </is>
      </c>
    </row>
    <row r="237">
      <c r="A237" s="232" t="n">
        <v>46235</v>
      </c>
      <c r="B237" s="233" t="inlineStr">
        <is>
          <t>Paid</t>
        </is>
      </c>
      <c r="C237" s="233" t="inlineStr">
        <is>
          <t>Điểm Tín Dụng</t>
        </is>
      </c>
      <c r="D237" s="234" t="n">
        <v>36584</v>
      </c>
      <c r="E237" s="233" t="inlineStr">
        <is>
          <t>Financial Hub</t>
        </is>
      </c>
    </row>
    <row r="238">
      <c r="A238" s="235" t="n">
        <v>46235</v>
      </c>
      <c r="B238" s="236" t="inlineStr">
        <is>
          <t>Organic</t>
        </is>
      </c>
      <c r="C238" s="236" t="inlineStr">
        <is>
          <t>Vé Xe</t>
        </is>
      </c>
      <c r="D238" s="237" t="n">
        <v>36696</v>
      </c>
      <c r="E238" s="236" t="inlineStr">
        <is>
          <t>Vé Xe</t>
        </is>
      </c>
    </row>
    <row r="239">
      <c r="A239" s="232" t="n">
        <v>46235</v>
      </c>
      <c r="B239" s="233" t="inlineStr">
        <is>
          <t>Organic</t>
        </is>
      </c>
      <c r="C239" s="233" t="inlineStr">
        <is>
          <t>Tiktok</t>
        </is>
      </c>
      <c r="D239" s="234" t="n">
        <v>70621</v>
      </c>
      <c r="E239" s="233" t="inlineStr">
        <is>
          <t>Tiktok</t>
        </is>
      </c>
    </row>
    <row r="240">
      <c r="A240" s="235" t="n">
        <v>46235</v>
      </c>
      <c r="B240" s="236" t="inlineStr">
        <is>
          <t>Organic</t>
        </is>
      </c>
      <c r="C240" s="236" t="inlineStr">
        <is>
          <t>Vé số</t>
        </is>
      </c>
      <c r="D240" s="237" t="n">
        <v>2692</v>
      </c>
      <c r="E240" s="236" t="inlineStr">
        <is>
          <t>Vé số</t>
        </is>
      </c>
    </row>
    <row r="241">
      <c r="A241" s="232" t="n">
        <v>46235</v>
      </c>
      <c r="B241" s="233" t="inlineStr">
        <is>
          <t>Organic</t>
        </is>
      </c>
      <c r="C241" s="233" t="inlineStr">
        <is>
          <t>New User</t>
        </is>
      </c>
      <c r="D241" s="234" t="n">
        <v>11105</v>
      </c>
      <c r="E241" s="233" t="inlineStr">
        <is>
          <t>New User</t>
        </is>
      </c>
    </row>
    <row r="242">
      <c r="A242" s="235" t="n">
        <v>46235</v>
      </c>
      <c r="B242" s="236" t="inlineStr">
        <is>
          <t>Organic</t>
        </is>
      </c>
      <c r="C242" s="236" t="inlineStr">
        <is>
          <t>Thanh Toán Khoản Vay</t>
        </is>
      </c>
      <c r="D242" s="237" t="n">
        <v>323</v>
      </c>
      <c r="E242" s="236" t="inlineStr">
        <is>
          <t>Financial Hub</t>
        </is>
      </c>
    </row>
    <row r="243">
      <c r="A243" s="232" t="n">
        <v>46235</v>
      </c>
      <c r="B243" s="233" t="inlineStr">
        <is>
          <t>Organic</t>
        </is>
      </c>
      <c r="C243" s="233" t="inlineStr">
        <is>
          <t>Soundbox</t>
        </is>
      </c>
      <c r="D243" s="234" t="n">
        <v>3000</v>
      </c>
      <c r="E243" s="233" t="inlineStr">
        <is>
          <t>Soundbox</t>
        </is>
      </c>
    </row>
    <row r="244">
      <c r="A244" s="235" t="n">
        <v>46235</v>
      </c>
      <c r="B244" s="236" t="inlineStr">
        <is>
          <t>Referral</t>
        </is>
      </c>
      <c r="C244" s="236" t="inlineStr">
        <is>
          <t>Ví Trả Sau</t>
        </is>
      </c>
      <c r="D244" s="237" t="n">
        <v>1316</v>
      </c>
      <c r="E244" s="236" t="inlineStr">
        <is>
          <t>Financial Hub</t>
        </is>
      </c>
    </row>
    <row r="245">
      <c r="A245" s="232" t="n">
        <v>46235</v>
      </c>
      <c r="B245" s="233" t="inlineStr">
        <is>
          <t>Direct</t>
        </is>
      </c>
      <c r="C245" s="233" t="inlineStr">
        <is>
          <t>Vé Xe</t>
        </is>
      </c>
      <c r="D245" s="234" t="n">
        <v>6896</v>
      </c>
      <c r="E245" s="233" t="inlineStr">
        <is>
          <t>Vé Xe</t>
        </is>
      </c>
    </row>
    <row r="246">
      <c r="A246" s="235" t="n">
        <v>46235</v>
      </c>
      <c r="B246" s="236" t="inlineStr">
        <is>
          <t>Organic</t>
        </is>
      </c>
      <c r="C246" s="236" t="inlineStr">
        <is>
          <t>TnC</t>
        </is>
      </c>
      <c r="D246" s="237" t="n">
        <v>3097</v>
      </c>
      <c r="E246" s="236" t="inlineStr">
        <is>
          <t>TnC</t>
        </is>
      </c>
    </row>
    <row r="247">
      <c r="A247" s="232" t="n">
        <v>46235</v>
      </c>
      <c r="B247" s="233" t="inlineStr">
        <is>
          <t>Others</t>
        </is>
      </c>
      <c r="C247" s="233" t="inlineStr">
        <is>
          <t>New User</t>
        </is>
      </c>
      <c r="D247" s="234" t="n">
        <v>2110</v>
      </c>
      <c r="E247" s="233" t="inlineStr">
        <is>
          <t>New User</t>
        </is>
      </c>
    </row>
    <row r="248">
      <c r="A248" s="235" t="n">
        <v>46235</v>
      </c>
      <c r="B248" s="236" t="inlineStr">
        <is>
          <t>Paid</t>
        </is>
      </c>
      <c r="C248" s="236" t="inlineStr">
        <is>
          <t>Tiktok</t>
        </is>
      </c>
      <c r="D248" s="237" t="n">
        <v>8279</v>
      </c>
      <c r="E248" s="236" t="inlineStr">
        <is>
          <t>Tiktok</t>
        </is>
      </c>
    </row>
    <row r="249">
      <c r="A249" s="232" t="n">
        <v>46235</v>
      </c>
      <c r="B249" s="233" t="inlineStr">
        <is>
          <t>Paid</t>
        </is>
      </c>
      <c r="C249" s="233" t="inlineStr">
        <is>
          <t>Trust</t>
        </is>
      </c>
      <c r="D249" s="234" t="n">
        <v>475</v>
      </c>
      <c r="E249" s="233" t="inlineStr">
        <is>
          <t>Trust</t>
        </is>
      </c>
    </row>
    <row r="250">
      <c r="A250" s="235" t="n">
        <v>46235</v>
      </c>
      <c r="B250" s="236" t="inlineStr">
        <is>
          <t>Paid</t>
        </is>
      </c>
      <c r="C250" s="236" t="inlineStr">
        <is>
          <t>Data</t>
        </is>
      </c>
      <c r="D250" s="237" t="n">
        <v>872</v>
      </c>
      <c r="E250" s="236" t="inlineStr">
        <is>
          <t>Data</t>
        </is>
      </c>
    </row>
    <row r="251">
      <c r="A251" s="232" t="n">
        <v>46235</v>
      </c>
      <c r="B251" s="233" t="inlineStr">
        <is>
          <t>Paid</t>
        </is>
      </c>
      <c r="C251" s="233" t="inlineStr">
        <is>
          <t>Campaign</t>
        </is>
      </c>
      <c r="D251" s="234" t="n">
        <v>48</v>
      </c>
      <c r="E251" s="233" t="inlineStr">
        <is>
          <t>Campaign</t>
        </is>
      </c>
    </row>
    <row r="252">
      <c r="A252" s="235" t="n">
        <v>46235</v>
      </c>
      <c r="B252" s="236" t="inlineStr">
        <is>
          <t>Paid</t>
        </is>
      </c>
      <c r="C252" s="236" t="inlineStr">
        <is>
          <t>Bảo Hiểm Xe Máy</t>
        </is>
      </c>
      <c r="D252" s="237" t="n">
        <v>443</v>
      </c>
      <c r="E252" s="236" t="inlineStr">
        <is>
          <t>Bảo Hiểm Xe Máy</t>
        </is>
      </c>
    </row>
    <row r="253">
      <c r="A253" s="232" t="n">
        <v>46235</v>
      </c>
      <c r="B253" s="233" t="inlineStr">
        <is>
          <t>Referral</t>
        </is>
      </c>
      <c r="C253" s="233" t="inlineStr">
        <is>
          <t>Bảo Hiểm Ô Tô</t>
        </is>
      </c>
      <c r="D253" s="234" t="n">
        <v>191</v>
      </c>
      <c r="E253" s="233" t="inlineStr">
        <is>
          <t>Bảo Hiểm Ô Tô</t>
        </is>
      </c>
    </row>
    <row r="254">
      <c r="A254" s="235" t="n">
        <v>46235</v>
      </c>
      <c r="B254" s="236" t="inlineStr">
        <is>
          <t>Paid</t>
        </is>
      </c>
      <c r="C254" s="236" t="inlineStr">
        <is>
          <t>Vay Nhanh</t>
        </is>
      </c>
      <c r="D254" s="237" t="n">
        <v>885</v>
      </c>
      <c r="E254" s="236" t="inlineStr">
        <is>
          <t>Financial Hub</t>
        </is>
      </c>
    </row>
    <row r="255">
      <c r="A255" s="232" t="n">
        <v>46235</v>
      </c>
      <c r="B255" s="233" t="inlineStr">
        <is>
          <t>Others</t>
        </is>
      </c>
      <c r="C255" s="233" t="inlineStr">
        <is>
          <t>P2P</t>
        </is>
      </c>
      <c r="D255" s="234" t="n">
        <v>27</v>
      </c>
      <c r="E255" s="233" t="inlineStr">
        <is>
          <t>P2P</t>
        </is>
      </c>
    </row>
    <row r="256">
      <c r="A256" s="235" t="n">
        <v>46143</v>
      </c>
      <c r="B256" s="236" t="inlineStr">
        <is>
          <t>Paid</t>
        </is>
      </c>
      <c r="C256" s="236" t="inlineStr">
        <is>
          <t>Sim</t>
        </is>
      </c>
      <c r="D256" s="237" t="n">
        <v>41</v>
      </c>
      <c r="E256" s="236" t="inlineStr">
        <is>
          <t>Sim</t>
        </is>
      </c>
    </row>
    <row r="257">
      <c r="A257" s="232" t="n">
        <v>46235</v>
      </c>
      <c r="B257" s="233" t="inlineStr">
        <is>
          <t>Referral</t>
        </is>
      </c>
      <c r="C257" s="233" t="inlineStr">
        <is>
          <t>Túi Thần Tài</t>
        </is>
      </c>
      <c r="D257" s="234" t="n">
        <v>104</v>
      </c>
      <c r="E257" s="233" t="inlineStr">
        <is>
          <t>Financial Hub</t>
        </is>
      </c>
    </row>
    <row r="258">
      <c r="A258" s="235" t="n">
        <v>46235</v>
      </c>
      <c r="B258" s="236" t="inlineStr">
        <is>
          <t>Direct</t>
        </is>
      </c>
      <c r="C258" s="236" t="inlineStr">
        <is>
          <t>Vé số</t>
        </is>
      </c>
      <c r="D258" s="237" t="n">
        <v>157</v>
      </c>
      <c r="E258" s="236" t="inlineStr">
        <is>
          <t>Vé số</t>
        </is>
      </c>
    </row>
    <row r="259">
      <c r="A259" s="232" t="n">
        <v>46266</v>
      </c>
      <c r="B259" s="233" t="inlineStr">
        <is>
          <t>Referral</t>
        </is>
      </c>
      <c r="C259" s="233" t="inlineStr">
        <is>
          <t>Điện</t>
        </is>
      </c>
      <c r="D259" s="234" t="n">
        <v>48</v>
      </c>
      <c r="E259" s="233" t="inlineStr">
        <is>
          <t>Điện</t>
        </is>
      </c>
    </row>
    <row r="260">
      <c r="A260" s="235" t="n">
        <v>46266</v>
      </c>
      <c r="B260" s="236" t="inlineStr">
        <is>
          <t>Direct</t>
        </is>
      </c>
      <c r="C260" s="236" t="inlineStr">
        <is>
          <t>Tiện Ích Giao Thông</t>
        </is>
      </c>
      <c r="D260" s="237" t="n">
        <v>31</v>
      </c>
      <c r="E260" s="236" t="inlineStr">
        <is>
          <t>Tiện Ích Giao Thông</t>
        </is>
      </c>
    </row>
    <row r="261">
      <c r="A261" s="232" t="n">
        <v>46204</v>
      </c>
      <c r="B261" s="233" t="inlineStr">
        <is>
          <t>Others</t>
        </is>
      </c>
      <c r="C261" s="233" t="inlineStr">
        <is>
          <t>Bảo Hiểm Y Tế</t>
        </is>
      </c>
      <c r="D261" s="234" t="n">
        <v>103</v>
      </c>
      <c r="E261" s="233" t="inlineStr">
        <is>
          <t>Bảo Hiểm Y Tế</t>
        </is>
      </c>
    </row>
    <row r="262">
      <c r="A262" s="235" t="n">
        <v>46204</v>
      </c>
      <c r="B262" s="236" t="inlineStr">
        <is>
          <t>Others</t>
        </is>
      </c>
      <c r="C262" s="236" t="inlineStr">
        <is>
          <t>Cinema_Blog</t>
        </is>
      </c>
      <c r="D262" s="237" t="n">
        <v>21</v>
      </c>
      <c r="E262" s="236" t="inlineStr">
        <is>
          <t>Cinema Hub</t>
        </is>
      </c>
    </row>
    <row r="263">
      <c r="A263" s="232" t="n">
        <v>46204</v>
      </c>
      <c r="B263" s="233" t="inlineStr">
        <is>
          <t>Others</t>
        </is>
      </c>
      <c r="C263" s="233" t="inlineStr">
        <is>
          <t>Campaign</t>
        </is>
      </c>
      <c r="D263" s="234" t="n">
        <v>53</v>
      </c>
      <c r="E263" s="233" t="inlineStr">
        <is>
          <t>Campaign</t>
        </is>
      </c>
    </row>
    <row r="264">
      <c r="A264" s="235" t="n">
        <v>46266</v>
      </c>
      <c r="B264" s="236" t="inlineStr">
        <is>
          <t>Paid</t>
        </is>
      </c>
      <c r="C264" s="236" t="inlineStr">
        <is>
          <t>Merchant</t>
        </is>
      </c>
      <c r="D264" s="237" t="n">
        <v>303</v>
      </c>
      <c r="E264" s="236" t="inlineStr">
        <is>
          <t>Merchant</t>
        </is>
      </c>
    </row>
    <row r="265">
      <c r="A265" s="232" t="n">
        <v>46266</v>
      </c>
      <c r="B265" s="233" t="inlineStr">
        <is>
          <t>Direct</t>
        </is>
      </c>
      <c r="C265" s="233" t="inlineStr">
        <is>
          <t>Mở tài khoản ngân hàng</t>
        </is>
      </c>
      <c r="D265" s="234" t="n">
        <v>73</v>
      </c>
      <c r="E265" s="233" t="inlineStr">
        <is>
          <t>Mở tài khoản ngân hàng</t>
        </is>
      </c>
    </row>
    <row r="266">
      <c r="A266" s="235" t="n">
        <v>46266</v>
      </c>
      <c r="B266" s="236" t="inlineStr">
        <is>
          <t>Referral</t>
        </is>
      </c>
      <c r="C266" s="236" t="inlineStr">
        <is>
          <t>Bảo Hiểm Y Tế</t>
        </is>
      </c>
      <c r="D266" s="237" t="n">
        <v>98</v>
      </c>
      <c r="E266" s="236" t="inlineStr">
        <is>
          <t>Bảo Hiểm Y Tế</t>
        </is>
      </c>
    </row>
    <row r="267">
      <c r="A267" s="232" t="n">
        <v>46235</v>
      </c>
      <c r="B267" s="233" t="inlineStr">
        <is>
          <t>Referral</t>
        </is>
      </c>
      <c r="C267" s="233" t="inlineStr">
        <is>
          <t>Khuyến mãi</t>
        </is>
      </c>
      <c r="D267" s="234" t="n">
        <v>1362</v>
      </c>
      <c r="E267" s="233" t="inlineStr">
        <is>
          <t>Khuyến mãi</t>
        </is>
      </c>
    </row>
    <row r="268">
      <c r="A268" s="235" t="n">
        <v>46235</v>
      </c>
      <c r="B268" s="236" t="inlineStr">
        <is>
          <t>Paid</t>
        </is>
      </c>
      <c r="C268" s="236" t="inlineStr">
        <is>
          <t>Merchant</t>
        </is>
      </c>
      <c r="D268" s="237" t="n">
        <v>175</v>
      </c>
      <c r="E268" s="236" t="inlineStr">
        <is>
          <t>Merchant</t>
        </is>
      </c>
    </row>
    <row r="269">
      <c r="A269" s="232" t="n">
        <v>46266</v>
      </c>
      <c r="B269" s="233" t="inlineStr">
        <is>
          <t>Referral</t>
        </is>
      </c>
      <c r="C269" s="233" t="inlineStr">
        <is>
          <t>Chứng Khoán</t>
        </is>
      </c>
      <c r="D269" s="234" t="n">
        <v>32</v>
      </c>
      <c r="E269" s="233" t="inlineStr">
        <is>
          <t>Financial Hub</t>
        </is>
      </c>
    </row>
    <row r="270">
      <c r="A270" s="235" t="n">
        <v>46266</v>
      </c>
      <c r="B270" s="236" t="inlineStr">
        <is>
          <t>Referral</t>
        </is>
      </c>
      <c r="C270" s="236" t="inlineStr">
        <is>
          <t>Túi Thần Tài</t>
        </is>
      </c>
      <c r="D270" s="237" t="n">
        <v>74</v>
      </c>
      <c r="E270" s="236" t="inlineStr">
        <is>
          <t>Financial Hub</t>
        </is>
      </c>
    </row>
    <row r="271">
      <c r="A271" s="232" t="n">
        <v>46204</v>
      </c>
      <c r="B271" s="233" t="inlineStr">
        <is>
          <t>Paid</t>
        </is>
      </c>
      <c r="C271" s="233" t="inlineStr">
        <is>
          <t>Data</t>
        </is>
      </c>
      <c r="D271" s="234" t="n">
        <v>14</v>
      </c>
      <c r="E271" s="233" t="inlineStr">
        <is>
          <t>Data</t>
        </is>
      </c>
    </row>
    <row r="272">
      <c r="A272" s="235" t="n">
        <v>46174</v>
      </c>
      <c r="B272" s="236" t="inlineStr">
        <is>
          <t>Organic</t>
        </is>
      </c>
      <c r="C272" s="236" t="inlineStr">
        <is>
          <t>Túi Thần Tài</t>
        </is>
      </c>
      <c r="D272" s="237" t="n">
        <v>400</v>
      </c>
      <c r="E272" s="236" t="inlineStr">
        <is>
          <t>Financial Hub</t>
        </is>
      </c>
    </row>
    <row r="273">
      <c r="A273" s="232" t="n">
        <v>46174</v>
      </c>
      <c r="B273" s="233" t="inlineStr">
        <is>
          <t>Others</t>
        </is>
      </c>
      <c r="C273" s="233" t="inlineStr">
        <is>
          <t>Phạt Nguội</t>
        </is>
      </c>
      <c r="D273" s="234" t="n">
        <v>183</v>
      </c>
      <c r="E273" s="233" t="inlineStr">
        <is>
          <t>Phạt Nguội</t>
        </is>
      </c>
    </row>
    <row r="274">
      <c r="A274" s="235" t="n">
        <v>46266</v>
      </c>
      <c r="B274" s="236" t="inlineStr">
        <is>
          <t>Others</t>
        </is>
      </c>
      <c r="C274" s="236" t="inlineStr">
        <is>
          <t>Bảo Hiểm Xe Máy</t>
        </is>
      </c>
      <c r="D274" s="237" t="n">
        <v>61</v>
      </c>
      <c r="E274" s="236" t="inlineStr">
        <is>
          <t>Bảo Hiểm Xe Máy</t>
        </is>
      </c>
    </row>
    <row r="275">
      <c r="A275" s="232" t="n">
        <v>46266</v>
      </c>
      <c r="B275" s="233" t="inlineStr">
        <is>
          <t>Others</t>
        </is>
      </c>
      <c r="C275" s="233" t="inlineStr">
        <is>
          <t>Cinema_Blog</t>
        </is>
      </c>
      <c r="D275" s="234" t="n">
        <v>143</v>
      </c>
      <c r="E275" s="233" t="inlineStr">
        <is>
          <t>Cinema Hub</t>
        </is>
      </c>
    </row>
    <row r="276">
      <c r="A276" s="235" t="n">
        <v>46235</v>
      </c>
      <c r="B276" s="236" t="inlineStr">
        <is>
          <t>Paid</t>
        </is>
      </c>
      <c r="C276" s="236" t="inlineStr">
        <is>
          <t>Cinema_Home Page</t>
        </is>
      </c>
      <c r="D276" s="237" t="n">
        <v>322</v>
      </c>
      <c r="E276" s="236" t="inlineStr">
        <is>
          <t>Cinema Hub</t>
        </is>
      </c>
    </row>
    <row r="277">
      <c r="A277" s="232" t="n">
        <v>46235</v>
      </c>
      <c r="B277" s="233" t="inlineStr">
        <is>
          <t>Direct</t>
        </is>
      </c>
      <c r="C277" s="233" t="inlineStr">
        <is>
          <t>Soundbox</t>
        </is>
      </c>
      <c r="D277" s="234" t="n">
        <v>519</v>
      </c>
      <c r="E277" s="233" t="inlineStr">
        <is>
          <t>Soundbox</t>
        </is>
      </c>
    </row>
    <row r="278">
      <c r="A278" s="235" t="n">
        <v>46266</v>
      </c>
      <c r="B278" s="236" t="inlineStr">
        <is>
          <t>Others</t>
        </is>
      </c>
      <c r="C278" s="236" t="inlineStr">
        <is>
          <t>Hỏi đáp</t>
        </is>
      </c>
      <c r="D278" s="237" t="n">
        <v>351</v>
      </c>
      <c r="E278" s="236" t="inlineStr">
        <is>
          <t>Hỏi đáp</t>
        </is>
      </c>
    </row>
    <row r="279">
      <c r="A279" s="232" t="n">
        <v>46266</v>
      </c>
      <c r="B279" s="233" t="inlineStr">
        <is>
          <t>Others</t>
        </is>
      </c>
      <c r="C279" s="233" t="inlineStr">
        <is>
          <t>Merchant</t>
        </is>
      </c>
      <c r="D279" s="234" t="n">
        <v>344</v>
      </c>
      <c r="E279" s="233" t="inlineStr">
        <is>
          <t>Merchant</t>
        </is>
      </c>
    </row>
    <row r="280">
      <c r="A280" s="235" t="n">
        <v>46266</v>
      </c>
      <c r="B280" s="236" t="inlineStr">
        <is>
          <t>Referral</t>
        </is>
      </c>
      <c r="C280" s="236" t="inlineStr">
        <is>
          <t>Mở Thẻ Tín Dụng</t>
        </is>
      </c>
      <c r="D280" s="237" t="n">
        <v>31</v>
      </c>
      <c r="E280" s="236" t="inlineStr">
        <is>
          <t>Financial Hub</t>
        </is>
      </c>
    </row>
    <row r="281">
      <c r="A281" s="232" t="n">
        <v>46266</v>
      </c>
      <c r="B281" s="233" t="inlineStr">
        <is>
          <t>Organic</t>
        </is>
      </c>
      <c r="C281" s="233" t="inlineStr">
        <is>
          <t>Thanh Toán Khoản Vay</t>
        </is>
      </c>
      <c r="D281" s="234" t="n">
        <v>252</v>
      </c>
      <c r="E281" s="233" t="inlineStr">
        <is>
          <t>Financial Hub</t>
        </is>
      </c>
    </row>
    <row r="282">
      <c r="A282" s="235" t="n">
        <v>46235</v>
      </c>
      <c r="B282" s="236" t="inlineStr">
        <is>
          <t>Others</t>
        </is>
      </c>
      <c r="C282" s="236" t="inlineStr">
        <is>
          <t>Guide</t>
        </is>
      </c>
      <c r="D282" s="237" t="n">
        <v>80</v>
      </c>
      <c r="E282" s="236" t="inlineStr">
        <is>
          <t>Guide</t>
        </is>
      </c>
    </row>
    <row r="283">
      <c r="A283" s="232" t="n">
        <v>46266</v>
      </c>
      <c r="B283" s="233" t="inlineStr">
        <is>
          <t>Direct</t>
        </is>
      </c>
      <c r="C283" s="233" t="inlineStr">
        <is>
          <t>Cinema_News</t>
        </is>
      </c>
      <c r="D283" s="234" t="n">
        <v>52</v>
      </c>
      <c r="E283" s="233" t="inlineStr">
        <is>
          <t>Cinema Hub</t>
        </is>
      </c>
    </row>
    <row r="284">
      <c r="A284" s="235" t="n">
        <v>46235</v>
      </c>
      <c r="B284" s="236" t="inlineStr">
        <is>
          <t>Paid</t>
        </is>
      </c>
      <c r="C284" s="236" t="inlineStr">
        <is>
          <t>Bảo Hiểm Ô Tô</t>
        </is>
      </c>
      <c r="D284" s="237" t="n">
        <v>407</v>
      </c>
      <c r="E284" s="236" t="inlineStr">
        <is>
          <t>Bảo Hiểm Ô Tô</t>
        </is>
      </c>
    </row>
    <row r="285">
      <c r="A285" s="232" t="n">
        <v>46174</v>
      </c>
      <c r="B285" s="233" t="inlineStr">
        <is>
          <t>Referral</t>
        </is>
      </c>
      <c r="C285" s="233" t="inlineStr">
        <is>
          <t>Dịch vụ liên kết</t>
        </is>
      </c>
      <c r="D285" s="234" t="n">
        <v>557</v>
      </c>
      <c r="E285" s="233" t="inlineStr">
        <is>
          <t>Dịch vụ liên kết</t>
        </is>
      </c>
    </row>
    <row r="286">
      <c r="A286" s="235" t="n">
        <v>46143</v>
      </c>
      <c r="B286" s="236" t="inlineStr">
        <is>
          <t>Direct</t>
        </is>
      </c>
      <c r="C286" s="236" t="inlineStr">
        <is>
          <t>Trả Góp Apple</t>
        </is>
      </c>
      <c r="D286" s="237" t="n">
        <v>10</v>
      </c>
      <c r="E286" s="236" t="inlineStr">
        <is>
          <t>Financial Hub</t>
        </is>
      </c>
    </row>
    <row r="287">
      <c r="A287" s="232" t="n">
        <v>46174</v>
      </c>
      <c r="B287" s="233" t="inlineStr">
        <is>
          <t>Direct</t>
        </is>
      </c>
      <c r="C287" s="233" t="inlineStr">
        <is>
          <t>Cinema_News</t>
        </is>
      </c>
      <c r="D287" s="234" t="n">
        <v>101</v>
      </c>
      <c r="E287" s="233" t="inlineStr">
        <is>
          <t>Cinema Hub</t>
        </is>
      </c>
    </row>
    <row r="288">
      <c r="A288" s="235" t="n">
        <v>46174</v>
      </c>
      <c r="B288" s="236" t="inlineStr">
        <is>
          <t>Direct</t>
        </is>
      </c>
      <c r="C288" s="236" t="inlineStr">
        <is>
          <t>Mở Thẻ Tín Dụng</t>
        </is>
      </c>
      <c r="D288" s="237" t="n">
        <v>27</v>
      </c>
      <c r="E288" s="236" t="inlineStr">
        <is>
          <t>Financial Hub</t>
        </is>
      </c>
    </row>
    <row r="289">
      <c r="A289" s="232" t="n">
        <v>46143</v>
      </c>
      <c r="B289" s="233" t="inlineStr">
        <is>
          <t>Paid</t>
        </is>
      </c>
      <c r="C289" s="233" t="inlineStr">
        <is>
          <t>Cinema_Cineplex Page</t>
        </is>
      </c>
      <c r="D289" s="234" t="n">
        <v>42</v>
      </c>
      <c r="E289" s="233" t="inlineStr">
        <is>
          <t>Cinema Hub</t>
        </is>
      </c>
    </row>
    <row r="290">
      <c r="A290" s="235" t="n">
        <v>46174</v>
      </c>
      <c r="B290" s="236" t="inlineStr">
        <is>
          <t>Referral</t>
        </is>
      </c>
      <c r="C290" s="236" t="inlineStr">
        <is>
          <t>TnC</t>
        </is>
      </c>
      <c r="D290" s="237" t="n">
        <v>280</v>
      </c>
      <c r="E290" s="236" t="inlineStr">
        <is>
          <t>TnC</t>
        </is>
      </c>
    </row>
    <row r="291">
      <c r="A291" s="232" t="n">
        <v>46174</v>
      </c>
      <c r="B291" s="233" t="inlineStr">
        <is>
          <t>Others</t>
        </is>
      </c>
      <c r="C291" s="233" t="inlineStr">
        <is>
          <t>TnC</t>
        </is>
      </c>
      <c r="D291" s="234" t="n">
        <v>71</v>
      </c>
      <c r="E291" s="233" t="inlineStr">
        <is>
          <t>TnC</t>
        </is>
      </c>
    </row>
    <row r="292">
      <c r="A292" s="235" t="n">
        <v>46174</v>
      </c>
      <c r="B292" s="236" t="inlineStr">
        <is>
          <t>Others</t>
        </is>
      </c>
      <c r="C292" s="236" t="inlineStr">
        <is>
          <t>Sim</t>
        </is>
      </c>
      <c r="D292" s="237" t="n">
        <v>39</v>
      </c>
      <c r="E292" s="236" t="inlineStr">
        <is>
          <t>Sim</t>
        </is>
      </c>
    </row>
    <row r="293">
      <c r="A293" s="232" t="n">
        <v>46174</v>
      </c>
      <c r="B293" s="233" t="inlineStr">
        <is>
          <t>Organic</t>
        </is>
      </c>
      <c r="C293" s="233" t="inlineStr">
        <is>
          <t>Student Pass</t>
        </is>
      </c>
      <c r="D293" s="234" t="n">
        <v>85</v>
      </c>
      <c r="E293" s="233" t="inlineStr">
        <is>
          <t>Student Hub</t>
        </is>
      </c>
    </row>
    <row r="294">
      <c r="A294" s="235" t="n">
        <v>46174</v>
      </c>
      <c r="B294" s="236" t="inlineStr">
        <is>
          <t>Paid</t>
        </is>
      </c>
      <c r="C294" s="236" t="inlineStr">
        <is>
          <t>OTA</t>
        </is>
      </c>
      <c r="D294" s="237" t="n">
        <v>90</v>
      </c>
      <c r="E294" s="236" t="inlineStr">
        <is>
          <t>OTA</t>
        </is>
      </c>
    </row>
    <row r="295">
      <c r="A295" s="232" t="n">
        <v>46235</v>
      </c>
      <c r="B295" s="233" t="inlineStr">
        <is>
          <t>Paid</t>
        </is>
      </c>
      <c r="C295" s="233" t="inlineStr">
        <is>
          <t>P2P</t>
        </is>
      </c>
      <c r="D295" s="234" t="n">
        <v>93</v>
      </c>
      <c r="E295" s="233" t="inlineStr">
        <is>
          <t>P2P</t>
        </is>
      </c>
    </row>
    <row r="296">
      <c r="A296" s="235" t="n">
        <v>46235</v>
      </c>
      <c r="B296" s="236" t="inlineStr">
        <is>
          <t>Others</t>
        </is>
      </c>
      <c r="C296" s="236" t="inlineStr">
        <is>
          <t>Trust</t>
        </is>
      </c>
      <c r="D296" s="237" t="n">
        <v>146</v>
      </c>
      <c r="E296" s="236" t="inlineStr">
        <is>
          <t>Trust</t>
        </is>
      </c>
    </row>
    <row r="297">
      <c r="A297" s="232" t="n">
        <v>46266</v>
      </c>
      <c r="B297" s="233" t="inlineStr">
        <is>
          <t>Paid</t>
        </is>
      </c>
      <c r="C297" s="233" t="inlineStr">
        <is>
          <t>Phí Không Dừng</t>
        </is>
      </c>
      <c r="D297" s="234" t="n">
        <v>87</v>
      </c>
      <c r="E297" s="233" t="inlineStr">
        <is>
          <t>Phí Không Dừng</t>
        </is>
      </c>
    </row>
    <row r="298">
      <c r="A298" s="235" t="n">
        <v>46266</v>
      </c>
      <c r="B298" s="236" t="inlineStr">
        <is>
          <t>Referral</t>
        </is>
      </c>
      <c r="C298" s="236" t="inlineStr">
        <is>
          <t>Phí Không Dừng</t>
        </is>
      </c>
      <c r="D298" s="237" t="n">
        <v>16</v>
      </c>
      <c r="E298" s="236" t="inlineStr">
        <is>
          <t>Phí Không Dừng</t>
        </is>
      </c>
    </row>
    <row r="299">
      <c r="A299" s="232" t="n">
        <v>46235</v>
      </c>
      <c r="B299" s="233" t="inlineStr">
        <is>
          <t>Paid</t>
        </is>
      </c>
      <c r="C299" s="233" t="inlineStr">
        <is>
          <t>Hoàn Tiền Mua Sắm</t>
        </is>
      </c>
      <c r="D299" s="234" t="n">
        <v>1</v>
      </c>
      <c r="E299" s="233" t="inlineStr">
        <is>
          <t>Hoàn Tiền Mua Sắm</t>
        </is>
      </c>
    </row>
    <row r="300">
      <c r="A300" s="235" t="n">
        <v>46266</v>
      </c>
      <c r="B300" s="236" t="inlineStr">
        <is>
          <t>Direct</t>
        </is>
      </c>
      <c r="C300" s="236" t="inlineStr">
        <is>
          <t>Vé số</t>
        </is>
      </c>
      <c r="D300" s="237" t="n">
        <v>68</v>
      </c>
      <c r="E300" s="236" t="inlineStr">
        <is>
          <t>Vé số</t>
        </is>
      </c>
    </row>
    <row r="301">
      <c r="A301" s="232" t="n">
        <v>46266</v>
      </c>
      <c r="B301" s="233" t="inlineStr">
        <is>
          <t>Direct</t>
        </is>
      </c>
      <c r="C301" s="233" t="inlineStr">
        <is>
          <t>Trung Tâm Tài Chính</t>
        </is>
      </c>
      <c r="D301" s="234" t="n">
        <v>190</v>
      </c>
      <c r="E301" s="233" t="inlineStr">
        <is>
          <t>Financial Hub</t>
        </is>
      </c>
    </row>
    <row r="302">
      <c r="A302" s="235" t="n">
        <v>46204</v>
      </c>
      <c r="B302" s="236" t="inlineStr">
        <is>
          <t>Others</t>
        </is>
      </c>
      <c r="C302" s="236" t="inlineStr">
        <is>
          <t>Soundbox</t>
        </is>
      </c>
      <c r="D302" s="237" t="n">
        <v>19</v>
      </c>
      <c r="E302" s="236" t="inlineStr">
        <is>
          <t>Soundbox</t>
        </is>
      </c>
    </row>
    <row r="303">
      <c r="A303" s="232" t="n">
        <v>46266</v>
      </c>
      <c r="B303" s="233" t="inlineStr">
        <is>
          <t>Paid</t>
        </is>
      </c>
      <c r="C303" s="233" t="inlineStr">
        <is>
          <t>Chứng Chỉ Quỹ</t>
        </is>
      </c>
      <c r="D303" s="234" t="n">
        <v>4</v>
      </c>
      <c r="E303" s="233" t="inlineStr">
        <is>
          <t>Financial Hub</t>
        </is>
      </c>
    </row>
    <row r="304">
      <c r="A304" s="235" t="n">
        <v>46204</v>
      </c>
      <c r="B304" s="236" t="inlineStr">
        <is>
          <t>Others</t>
        </is>
      </c>
      <c r="C304" s="236" t="inlineStr">
        <is>
          <t>P2P</t>
        </is>
      </c>
      <c r="D304" s="237" t="n">
        <v>27</v>
      </c>
      <c r="E304" s="236" t="inlineStr">
        <is>
          <t>P2P</t>
        </is>
      </c>
    </row>
    <row r="305">
      <c r="A305" s="232" t="n">
        <v>46174</v>
      </c>
      <c r="B305" s="233" t="inlineStr">
        <is>
          <t>Paid</t>
        </is>
      </c>
      <c r="C305" s="233" t="inlineStr">
        <is>
          <t>Merchant</t>
        </is>
      </c>
      <c r="D305" s="234" t="n">
        <v>239</v>
      </c>
      <c r="E305" s="233" t="inlineStr">
        <is>
          <t>Merchant</t>
        </is>
      </c>
    </row>
    <row r="306">
      <c r="A306" s="235" t="n">
        <v>46235</v>
      </c>
      <c r="B306" s="236" t="inlineStr">
        <is>
          <t>Paid</t>
        </is>
      </c>
      <c r="C306" s="236" t="inlineStr">
        <is>
          <t>Mở tài khoản ngân hàng</t>
        </is>
      </c>
      <c r="D306" s="237" t="n">
        <v>132</v>
      </c>
      <c r="E306" s="236" t="inlineStr">
        <is>
          <t>Mở tài khoản ngân hàng</t>
        </is>
      </c>
    </row>
    <row r="307">
      <c r="A307" s="232" t="n">
        <v>46204</v>
      </c>
      <c r="B307" s="233" t="inlineStr">
        <is>
          <t>Others</t>
        </is>
      </c>
      <c r="C307" s="233" t="inlineStr">
        <is>
          <t>Ví Trả Sau</t>
        </is>
      </c>
      <c r="D307" s="234" t="n">
        <v>88</v>
      </c>
      <c r="E307" s="233" t="inlineStr">
        <is>
          <t>Financial Hub</t>
        </is>
      </c>
    </row>
    <row r="308">
      <c r="A308" s="235" t="n">
        <v>46204</v>
      </c>
      <c r="B308" s="236" t="inlineStr">
        <is>
          <t>Others</t>
        </is>
      </c>
      <c r="C308" s="236" t="inlineStr">
        <is>
          <t>Điện</t>
        </is>
      </c>
      <c r="D308" s="237" t="n">
        <v>5</v>
      </c>
      <c r="E308" s="236" t="inlineStr">
        <is>
          <t>Điện</t>
        </is>
      </c>
    </row>
    <row r="309">
      <c r="A309" s="232" t="n">
        <v>46204</v>
      </c>
      <c r="B309" s="233" t="inlineStr">
        <is>
          <t>Others</t>
        </is>
      </c>
      <c r="C309" s="233" t="inlineStr">
        <is>
          <t>Guide</t>
        </is>
      </c>
      <c r="D309" s="234" t="n">
        <v>52</v>
      </c>
      <c r="E309" s="233" t="inlineStr">
        <is>
          <t>Guide</t>
        </is>
      </c>
    </row>
    <row r="310">
      <c r="A310" s="235" t="n">
        <v>46235</v>
      </c>
      <c r="B310" s="236" t="inlineStr">
        <is>
          <t>Direct</t>
        </is>
      </c>
      <c r="C310" s="236" t="inlineStr">
        <is>
          <t>Cinema_News</t>
        </is>
      </c>
      <c r="D310" s="237" t="n">
        <v>90</v>
      </c>
      <c r="E310" s="236" t="inlineStr">
        <is>
          <t>Cinema Hub</t>
        </is>
      </c>
    </row>
    <row r="311">
      <c r="A311" s="232" t="n">
        <v>46266</v>
      </c>
      <c r="B311" s="233" t="inlineStr">
        <is>
          <t>Paid</t>
        </is>
      </c>
      <c r="C311" s="233" t="inlineStr">
        <is>
          <t>Tiện Ích Giao Thông</t>
        </is>
      </c>
      <c r="D311" s="234" t="n">
        <v>5</v>
      </c>
      <c r="E311" s="233" t="inlineStr">
        <is>
          <t>Tiện Ích Giao Thông</t>
        </is>
      </c>
    </row>
    <row r="312">
      <c r="A312" s="235" t="n">
        <v>46296</v>
      </c>
      <c r="B312" s="236" t="inlineStr">
        <is>
          <t>Direct</t>
        </is>
      </c>
      <c r="C312" s="236" t="inlineStr">
        <is>
          <t>Dịch Vụ Liên Kết</t>
        </is>
      </c>
      <c r="D312" s="237" t="n">
        <v>18</v>
      </c>
      <c r="E312" s="236" t="inlineStr">
        <is>
          <t>Dịch Vụ Liên Kết</t>
        </is>
      </c>
    </row>
    <row r="313">
      <c r="A313" s="232" t="n">
        <v>46296</v>
      </c>
      <c r="B313" s="233" t="inlineStr">
        <is>
          <t>Organic</t>
        </is>
      </c>
      <c r="C313" s="233" t="inlineStr">
        <is>
          <t>Quản lý chi tiêu</t>
        </is>
      </c>
      <c r="D313" s="234" t="n">
        <v>16</v>
      </c>
      <c r="E313" s="233" t="inlineStr">
        <is>
          <t>Quản lý chi tiêu</t>
        </is>
      </c>
    </row>
    <row r="314">
      <c r="A314" s="235" t="n">
        <v>46296</v>
      </c>
      <c r="B314" s="236" t="inlineStr">
        <is>
          <t>Paid</t>
        </is>
      </c>
      <c r="C314" s="236" t="inlineStr">
        <is>
          <t>Chứng Chỉ Quỹ</t>
        </is>
      </c>
      <c r="D314" s="237" t="n">
        <v>27</v>
      </c>
      <c r="E314" s="236" t="inlineStr">
        <is>
          <t>Financial Hub</t>
        </is>
      </c>
    </row>
    <row r="315">
      <c r="A315" s="232" t="n">
        <v>46296</v>
      </c>
      <c r="B315" s="233" t="inlineStr">
        <is>
          <t>Others</t>
        </is>
      </c>
      <c r="C315" s="233" t="inlineStr">
        <is>
          <t>Chứng Khoán</t>
        </is>
      </c>
      <c r="D315" s="234" t="n">
        <v>8</v>
      </c>
      <c r="E315" s="233" t="inlineStr">
        <is>
          <t>Financial Hub</t>
        </is>
      </c>
    </row>
    <row r="316">
      <c r="A316" s="235" t="n">
        <v>46296</v>
      </c>
      <c r="B316" s="236" t="inlineStr">
        <is>
          <t>Others</t>
        </is>
      </c>
      <c r="C316" s="236" t="inlineStr">
        <is>
          <t>Dịch vụ liên kết</t>
        </is>
      </c>
      <c r="D316" s="237" t="n">
        <v>21</v>
      </c>
      <c r="E316" s="236" t="inlineStr">
        <is>
          <t>Dịch vụ liên kết</t>
        </is>
      </c>
    </row>
    <row r="317">
      <c r="A317" s="232" t="n">
        <v>46296</v>
      </c>
      <c r="B317" s="233" t="inlineStr">
        <is>
          <t>Others</t>
        </is>
      </c>
      <c r="C317" s="233" t="inlineStr">
        <is>
          <t>OTA</t>
        </is>
      </c>
      <c r="D317" s="234" t="n">
        <v>51</v>
      </c>
      <c r="E317" s="233" t="inlineStr">
        <is>
          <t>OTA</t>
        </is>
      </c>
    </row>
    <row r="318">
      <c r="A318" s="235" t="n">
        <v>46143</v>
      </c>
      <c r="B318" s="236" t="inlineStr">
        <is>
          <t>Others</t>
        </is>
      </c>
      <c r="C318" s="236" t="inlineStr">
        <is>
          <t>Bảo Hiểm Xe Máy</t>
        </is>
      </c>
      <c r="D318" s="237" t="n">
        <v>46</v>
      </c>
      <c r="E318" s="236" t="inlineStr">
        <is>
          <t>Bảo Hiểm Xe Máy</t>
        </is>
      </c>
    </row>
    <row r="319">
      <c r="A319" s="232" t="n">
        <v>46143</v>
      </c>
      <c r="B319" s="233" t="inlineStr">
        <is>
          <t>Referral</t>
        </is>
      </c>
      <c r="C319" s="233" t="inlineStr">
        <is>
          <t>Tiết Kiệm Online</t>
        </is>
      </c>
      <c r="D319" s="234" t="n">
        <v>12</v>
      </c>
      <c r="E319" s="233" t="inlineStr">
        <is>
          <t>Financial Hub</t>
        </is>
      </c>
    </row>
    <row r="320">
      <c r="A320" s="235" t="n">
        <v>46143</v>
      </c>
      <c r="B320" s="236" t="inlineStr">
        <is>
          <t>Others</t>
        </is>
      </c>
      <c r="C320" s="236" t="inlineStr">
        <is>
          <t>Cross Border</t>
        </is>
      </c>
      <c r="D320" s="237" t="n">
        <v>45</v>
      </c>
      <c r="E320" s="236" t="inlineStr">
        <is>
          <t>Cross Border</t>
        </is>
      </c>
    </row>
    <row r="321">
      <c r="A321" s="232" t="n">
        <v>46296</v>
      </c>
      <c r="B321" s="233" t="inlineStr">
        <is>
          <t>Others</t>
        </is>
      </c>
      <c r="C321" s="233" t="inlineStr">
        <is>
          <t>Student Hub</t>
        </is>
      </c>
      <c r="D321" s="234" t="n">
        <v>3</v>
      </c>
      <c r="E321" s="233" t="inlineStr">
        <is>
          <t>Student Hub</t>
        </is>
      </c>
    </row>
    <row r="322">
      <c r="A322" s="235" t="n">
        <v>46235</v>
      </c>
      <c r="B322" s="236" t="inlineStr">
        <is>
          <t>Referral</t>
        </is>
      </c>
      <c r="C322" s="236" t="inlineStr">
        <is>
          <t>Hoàn Tiền Mua Sắm</t>
        </is>
      </c>
      <c r="D322" s="237" t="n">
        <v>32</v>
      </c>
      <c r="E322" s="236" t="inlineStr">
        <is>
          <t>Hoàn Tiền Mua Sắm</t>
        </is>
      </c>
    </row>
    <row r="323">
      <c r="A323" s="232" t="n">
        <v>46235</v>
      </c>
      <c r="B323" s="233" t="inlineStr">
        <is>
          <t>Referral</t>
        </is>
      </c>
      <c r="C323" s="233" t="inlineStr">
        <is>
          <t>Trust</t>
        </is>
      </c>
      <c r="D323" s="234" t="n">
        <v>82</v>
      </c>
      <c r="E323" s="233" t="inlineStr">
        <is>
          <t>Trust</t>
        </is>
      </c>
    </row>
    <row r="324">
      <c r="A324" s="235" t="n">
        <v>46235</v>
      </c>
      <c r="B324" s="236" t="inlineStr">
        <is>
          <t>Others</t>
        </is>
      </c>
      <c r="C324" s="236" t="inlineStr">
        <is>
          <t>Vé Xe</t>
        </is>
      </c>
      <c r="D324" s="237" t="n">
        <v>55</v>
      </c>
      <c r="E324" s="236" t="inlineStr">
        <is>
          <t>Vé Xe</t>
        </is>
      </c>
    </row>
    <row r="325">
      <c r="A325" s="232" t="n">
        <v>46235</v>
      </c>
      <c r="B325" s="233" t="inlineStr">
        <is>
          <t>Others</t>
        </is>
      </c>
      <c r="C325" s="233" t="inlineStr">
        <is>
          <t>TnC</t>
        </is>
      </c>
      <c r="D325" s="234" t="n">
        <v>82</v>
      </c>
      <c r="E325" s="233" t="inlineStr">
        <is>
          <t>TnC</t>
        </is>
      </c>
    </row>
    <row r="326">
      <c r="A326" s="235" t="n">
        <v>46266</v>
      </c>
      <c r="B326" s="236" t="inlineStr">
        <is>
          <t>Others</t>
        </is>
      </c>
      <c r="C326" s="236" t="inlineStr">
        <is>
          <t>Điện</t>
        </is>
      </c>
      <c r="D326" s="237" t="n">
        <v>19</v>
      </c>
      <c r="E326" s="236" t="inlineStr">
        <is>
          <t>Điện</t>
        </is>
      </c>
    </row>
    <row r="327">
      <c r="A327" s="232" t="n">
        <v>46266</v>
      </c>
      <c r="B327" s="233" t="inlineStr">
        <is>
          <t>Others</t>
        </is>
      </c>
      <c r="C327" s="233" t="inlineStr">
        <is>
          <t>Chứng Khoán</t>
        </is>
      </c>
      <c r="D327" s="234" t="n">
        <v>3</v>
      </c>
      <c r="E327" s="233" t="inlineStr">
        <is>
          <t>Financial Hub</t>
        </is>
      </c>
    </row>
    <row r="328">
      <c r="A328" s="235" t="n">
        <v>46235</v>
      </c>
      <c r="B328" s="236" t="inlineStr">
        <is>
          <t>Others</t>
        </is>
      </c>
      <c r="C328" s="236" t="inlineStr">
        <is>
          <t>OTA</t>
        </is>
      </c>
      <c r="D328" s="237" t="n">
        <v>96</v>
      </c>
      <c r="E328" s="236" t="inlineStr">
        <is>
          <t>OTA</t>
        </is>
      </c>
    </row>
    <row r="329">
      <c r="A329" s="232" t="n">
        <v>46235</v>
      </c>
      <c r="B329" s="233" t="inlineStr">
        <is>
          <t>Direct</t>
        </is>
      </c>
      <c r="C329" s="233" t="inlineStr">
        <is>
          <t>Mở tài khoản ngân hàng</t>
        </is>
      </c>
      <c r="D329" s="234" t="n">
        <v>62</v>
      </c>
      <c r="E329" s="233" t="inlineStr">
        <is>
          <t>Mở tài khoản ngân hàng</t>
        </is>
      </c>
    </row>
    <row r="330">
      <c r="A330" s="235" t="n">
        <v>46204</v>
      </c>
      <c r="B330" s="236" t="inlineStr">
        <is>
          <t>Referral</t>
        </is>
      </c>
      <c r="C330" s="236" t="inlineStr">
        <is>
          <t>Túi Thần Tài</t>
        </is>
      </c>
      <c r="D330" s="237" t="n">
        <v>83</v>
      </c>
      <c r="E330" s="236" t="inlineStr">
        <is>
          <t>Financial Hub</t>
        </is>
      </c>
    </row>
    <row r="331">
      <c r="A331" s="232" t="n">
        <v>46266</v>
      </c>
      <c r="B331" s="233" t="inlineStr">
        <is>
          <t>Referral</t>
        </is>
      </c>
      <c r="C331" s="233" t="inlineStr">
        <is>
          <t>Cross Border</t>
        </is>
      </c>
      <c r="D331" s="234" t="n">
        <v>65</v>
      </c>
      <c r="E331" s="233" t="inlineStr">
        <is>
          <t>Cross Border</t>
        </is>
      </c>
    </row>
    <row r="332">
      <c r="A332" s="235" t="n">
        <v>46266</v>
      </c>
      <c r="B332" s="236" t="inlineStr">
        <is>
          <t>Referral</t>
        </is>
      </c>
      <c r="C332" s="236" t="inlineStr">
        <is>
          <t>Tiết Kiệm Online</t>
        </is>
      </c>
      <c r="D332" s="237" t="n">
        <v>15</v>
      </c>
      <c r="E332" s="236" t="inlineStr">
        <is>
          <t>Financial Hub</t>
        </is>
      </c>
    </row>
    <row r="333">
      <c r="A333" s="232" t="n">
        <v>46266</v>
      </c>
      <c r="B333" s="233" t="inlineStr">
        <is>
          <t>Direct</t>
        </is>
      </c>
      <c r="C333" s="233" t="inlineStr">
        <is>
          <t>Thanh Toán Khoản Vay</t>
        </is>
      </c>
      <c r="D333" s="234" t="n">
        <v>22</v>
      </c>
      <c r="E333" s="233" t="inlineStr">
        <is>
          <t>Financial Hub</t>
        </is>
      </c>
    </row>
    <row r="334">
      <c r="A334" s="235" t="n">
        <v>46174</v>
      </c>
      <c r="B334" s="236" t="inlineStr">
        <is>
          <t>Others</t>
        </is>
      </c>
      <c r="C334" s="236" t="inlineStr">
        <is>
          <t>Application Store</t>
        </is>
      </c>
      <c r="D334" s="237" t="n">
        <v>31</v>
      </c>
      <c r="E334" s="236" t="inlineStr">
        <is>
          <t>Application Store</t>
        </is>
      </c>
    </row>
    <row r="335">
      <c r="A335" s="232" t="n">
        <v>46174</v>
      </c>
      <c r="B335" s="233" t="inlineStr">
        <is>
          <t>Others</t>
        </is>
      </c>
      <c r="C335" s="233" t="inlineStr">
        <is>
          <t>Dịch vụ liên kết</t>
        </is>
      </c>
      <c r="D335" s="234" t="n">
        <v>112</v>
      </c>
      <c r="E335" s="233" t="inlineStr">
        <is>
          <t>Dịch vụ liên kết</t>
        </is>
      </c>
    </row>
    <row r="336">
      <c r="A336" s="235" t="n">
        <v>46174</v>
      </c>
      <c r="B336" s="236" t="inlineStr">
        <is>
          <t>Direct</t>
        </is>
      </c>
      <c r="C336" s="236" t="inlineStr">
        <is>
          <t>Trả Góp Apple</t>
        </is>
      </c>
      <c r="D336" s="237" t="n">
        <v>20</v>
      </c>
      <c r="E336" s="236" t="inlineStr">
        <is>
          <t>Financial Hub</t>
        </is>
      </c>
    </row>
    <row r="337">
      <c r="A337" s="232" t="n">
        <v>46174</v>
      </c>
      <c r="B337" s="233" t="inlineStr">
        <is>
          <t>Direct</t>
        </is>
      </c>
      <c r="C337" s="233" t="inlineStr">
        <is>
          <t>Mở tài khoản ngân hàng</t>
        </is>
      </c>
      <c r="D337" s="234" t="n">
        <v>41</v>
      </c>
      <c r="E337" s="233" t="inlineStr">
        <is>
          <t>Mở tài khoản ngân hàng</t>
        </is>
      </c>
    </row>
    <row r="338">
      <c r="A338" s="235" t="n">
        <v>46143</v>
      </c>
      <c r="B338" s="236" t="inlineStr">
        <is>
          <t>Direct</t>
        </is>
      </c>
      <c r="C338" s="236" t="inlineStr">
        <is>
          <t>Túi Thần Tài</t>
        </is>
      </c>
      <c r="D338" s="237" t="n">
        <v>35</v>
      </c>
      <c r="E338" s="236" t="inlineStr">
        <is>
          <t>Financial Hub</t>
        </is>
      </c>
    </row>
    <row r="339">
      <c r="A339" s="232" t="n">
        <v>46204</v>
      </c>
      <c r="B339" s="233" t="inlineStr">
        <is>
          <t>Others</t>
        </is>
      </c>
      <c r="C339" s="233" t="inlineStr">
        <is>
          <t>Vé Xe</t>
        </is>
      </c>
      <c r="D339" s="234" t="n">
        <v>47</v>
      </c>
      <c r="E339" s="233" t="inlineStr">
        <is>
          <t>Vé Xe</t>
        </is>
      </c>
    </row>
    <row r="340">
      <c r="A340" s="235" t="n">
        <v>46235</v>
      </c>
      <c r="B340" s="236" t="inlineStr">
        <is>
          <t>Organic</t>
        </is>
      </c>
      <c r="C340" s="236" t="inlineStr">
        <is>
          <t>Sàn Đầu Tư</t>
        </is>
      </c>
      <c r="D340" s="237" t="n">
        <v>6</v>
      </c>
      <c r="E340" s="236" t="inlineStr">
        <is>
          <t>Financial Hub</t>
        </is>
      </c>
    </row>
    <row r="341">
      <c r="A341" s="232" t="n">
        <v>46266</v>
      </c>
      <c r="B341" s="233" t="inlineStr">
        <is>
          <t>Referral</t>
        </is>
      </c>
      <c r="C341" s="233" t="inlineStr">
        <is>
          <t>Thanh Toán Khoản Vay</t>
        </is>
      </c>
      <c r="D341" s="234" t="n">
        <v>15</v>
      </c>
      <c r="E341" s="233" t="inlineStr">
        <is>
          <t>Financial Hub</t>
        </is>
      </c>
    </row>
    <row r="342">
      <c r="A342" s="235" t="n">
        <v>46174</v>
      </c>
      <c r="B342" s="236" t="inlineStr">
        <is>
          <t>Organic</t>
        </is>
      </c>
      <c r="C342" s="236" t="inlineStr">
        <is>
          <t>Sàn Đầu Tư</t>
        </is>
      </c>
      <c r="D342" s="237" t="n">
        <v>16</v>
      </c>
      <c r="E342" s="236" t="inlineStr">
        <is>
          <t>Financial Hub</t>
        </is>
      </c>
    </row>
    <row r="343">
      <c r="A343" s="232" t="n">
        <v>46174</v>
      </c>
      <c r="B343" s="233" t="inlineStr">
        <is>
          <t>Others</t>
        </is>
      </c>
      <c r="C343" s="233" t="inlineStr">
        <is>
          <t>Soundbox</t>
        </is>
      </c>
      <c r="D343" s="234" t="n">
        <v>40</v>
      </c>
      <c r="E343" s="233" t="inlineStr">
        <is>
          <t>Soundbox</t>
        </is>
      </c>
    </row>
    <row r="344">
      <c r="A344" s="235" t="n">
        <v>46235</v>
      </c>
      <c r="B344" s="236" t="inlineStr">
        <is>
          <t>Paid</t>
        </is>
      </c>
      <c r="C344" s="236" t="inlineStr">
        <is>
          <t>Quản Lý Chi Tiêu</t>
        </is>
      </c>
      <c r="D344" s="237" t="n">
        <v>10</v>
      </c>
      <c r="E344" s="236" t="inlineStr">
        <is>
          <t>Financial Hub</t>
        </is>
      </c>
    </row>
    <row r="345">
      <c r="A345" s="232" t="n">
        <v>46266</v>
      </c>
      <c r="B345" s="233" t="inlineStr">
        <is>
          <t>Paid</t>
        </is>
      </c>
      <c r="C345" s="233" t="inlineStr">
        <is>
          <t>Tiết Kiệm Online</t>
        </is>
      </c>
      <c r="D345" s="234" t="n">
        <v>3</v>
      </c>
      <c r="E345" s="233" t="inlineStr">
        <is>
          <t>Financial Hub</t>
        </is>
      </c>
    </row>
    <row r="346">
      <c r="A346" s="235" t="n">
        <v>46296</v>
      </c>
      <c r="B346" s="236" t="inlineStr">
        <is>
          <t>Paid</t>
        </is>
      </c>
      <c r="C346" s="236" t="inlineStr">
        <is>
          <t>Trung tâm tài chính</t>
        </is>
      </c>
      <c r="D346" s="237" t="n">
        <v>22</v>
      </c>
      <c r="E346" s="236" t="inlineStr">
        <is>
          <t>Trung tâm tài chính</t>
        </is>
      </c>
    </row>
    <row r="347">
      <c r="A347" s="232" t="n">
        <v>46296</v>
      </c>
      <c r="B347" s="233" t="inlineStr">
        <is>
          <t>Direct</t>
        </is>
      </c>
      <c r="C347" s="233" t="inlineStr">
        <is>
          <t>Trung tâm tài chính</t>
        </is>
      </c>
      <c r="D347" s="234" t="n">
        <v>37</v>
      </c>
      <c r="E347" s="233" t="inlineStr">
        <is>
          <t>Trung tâm tài chính</t>
        </is>
      </c>
    </row>
    <row r="348">
      <c r="A348" s="235" t="n">
        <v>46296</v>
      </c>
      <c r="B348" s="236" t="inlineStr">
        <is>
          <t>Others</t>
        </is>
      </c>
      <c r="C348" s="236" t="inlineStr">
        <is>
          <t>Data</t>
        </is>
      </c>
      <c r="D348" s="237" t="n">
        <v>29</v>
      </c>
      <c r="E348" s="236" t="inlineStr">
        <is>
          <t>Data</t>
        </is>
      </c>
    </row>
    <row r="349">
      <c r="A349" s="232" t="n">
        <v>46296</v>
      </c>
      <c r="B349" s="233" t="inlineStr">
        <is>
          <t>Organic</t>
        </is>
      </c>
      <c r="C349" s="233" t="inlineStr">
        <is>
          <t>Sàn Đầu Tư</t>
        </is>
      </c>
      <c r="D349" s="234" t="n">
        <v>7</v>
      </c>
      <c r="E349" s="233" t="inlineStr">
        <is>
          <t>Financial Hub</t>
        </is>
      </c>
    </row>
    <row r="350">
      <c r="A350" s="235" t="n">
        <v>46204</v>
      </c>
      <c r="B350" s="236" t="inlineStr">
        <is>
          <t>Direct</t>
        </is>
      </c>
      <c r="C350" s="236" t="inlineStr">
        <is>
          <t>Chứng Chỉ Quỹ</t>
        </is>
      </c>
      <c r="D350" s="237" t="n">
        <v>9</v>
      </c>
      <c r="E350" s="236" t="inlineStr">
        <is>
          <t>Financial Hub</t>
        </is>
      </c>
    </row>
    <row r="351">
      <c r="A351" s="232" t="n">
        <v>46204</v>
      </c>
      <c r="B351" s="233" t="inlineStr">
        <is>
          <t>Others</t>
        </is>
      </c>
      <c r="C351" s="233" t="inlineStr">
        <is>
          <t>Esim</t>
        </is>
      </c>
      <c r="D351" s="234" t="n">
        <v>46</v>
      </c>
      <c r="E351" s="233" t="inlineStr">
        <is>
          <t>Sim</t>
        </is>
      </c>
    </row>
    <row r="352">
      <c r="A352" s="235" t="n">
        <v>46235</v>
      </c>
      <c r="B352" s="236" t="inlineStr">
        <is>
          <t>Direct</t>
        </is>
      </c>
      <c r="C352" s="236" t="inlineStr">
        <is>
          <t>Thanh Toán Khoản Vay</t>
        </is>
      </c>
      <c r="D352" s="237" t="n">
        <v>20</v>
      </c>
      <c r="E352" s="236" t="inlineStr">
        <is>
          <t>Financial Hub</t>
        </is>
      </c>
    </row>
    <row r="353">
      <c r="A353" s="232" t="n">
        <v>46266</v>
      </c>
      <c r="B353" s="233" t="inlineStr">
        <is>
          <t>Direct</t>
        </is>
      </c>
      <c r="C353" s="233" t="inlineStr">
        <is>
          <t>Sàn Đầu Tư</t>
        </is>
      </c>
      <c r="D353" s="234" t="n">
        <v>5</v>
      </c>
      <c r="E353" s="233" t="inlineStr">
        <is>
          <t>Financial Hub</t>
        </is>
      </c>
    </row>
    <row r="354">
      <c r="A354" s="235" t="n">
        <v>46296</v>
      </c>
      <c r="B354" s="236" t="inlineStr">
        <is>
          <t>Others</t>
        </is>
      </c>
      <c r="C354" s="236" t="inlineStr">
        <is>
          <t>Thanh Toán Khoản Vay</t>
        </is>
      </c>
      <c r="D354" s="237" t="n">
        <v>12</v>
      </c>
      <c r="E354" s="236" t="inlineStr">
        <is>
          <t>Financial Hub</t>
        </is>
      </c>
    </row>
    <row r="355">
      <c r="A355" s="232" t="n">
        <v>46296</v>
      </c>
      <c r="B355" s="233" t="inlineStr">
        <is>
          <t>Organic</t>
        </is>
      </c>
      <c r="C355" s="233" t="inlineStr">
        <is>
          <t>Nạp thẻ Game</t>
        </is>
      </c>
      <c r="D355" s="234" t="n">
        <v>27</v>
      </c>
      <c r="E355" s="233" t="inlineStr">
        <is>
          <t>Nạp thẻ Game</t>
        </is>
      </c>
    </row>
    <row r="356">
      <c r="A356" s="235" t="n">
        <v>46296</v>
      </c>
      <c r="B356" s="236" t="inlineStr">
        <is>
          <t>Others</t>
        </is>
      </c>
      <c r="C356" s="236" t="inlineStr">
        <is>
          <t>Esim</t>
        </is>
      </c>
      <c r="D356" s="237" t="n">
        <v>12</v>
      </c>
      <c r="E356" s="236" t="inlineStr">
        <is>
          <t>Sim</t>
        </is>
      </c>
    </row>
    <row r="357">
      <c r="A357" s="232" t="n">
        <v>46296</v>
      </c>
      <c r="B357" s="233" t="inlineStr">
        <is>
          <t>Others</t>
        </is>
      </c>
      <c r="C357" s="233" t="inlineStr">
        <is>
          <t>Donation</t>
        </is>
      </c>
      <c r="D357" s="234" t="n">
        <v>29</v>
      </c>
      <c r="E357" s="233" t="inlineStr">
        <is>
          <t>Donation</t>
        </is>
      </c>
    </row>
    <row r="358">
      <c r="A358" s="235" t="n">
        <v>46204</v>
      </c>
      <c r="B358" s="236" t="inlineStr">
        <is>
          <t>Paid</t>
        </is>
      </c>
      <c r="C358" s="236" t="inlineStr">
        <is>
          <t>Billpay</t>
        </is>
      </c>
      <c r="D358" s="237" t="n">
        <v>5</v>
      </c>
      <c r="E358" s="236" t="inlineStr">
        <is>
          <t>Billpay</t>
        </is>
      </c>
    </row>
    <row r="359">
      <c r="A359" s="232" t="n">
        <v>46204</v>
      </c>
      <c r="B359" s="233" t="inlineStr">
        <is>
          <t>Referral</t>
        </is>
      </c>
      <c r="C359" s="233" t="inlineStr">
        <is>
          <t>Thanh Toán Khoản Vay</t>
        </is>
      </c>
      <c r="D359" s="234" t="n">
        <v>31</v>
      </c>
      <c r="E359" s="233" t="inlineStr">
        <is>
          <t>Financial Hub</t>
        </is>
      </c>
    </row>
    <row r="360">
      <c r="A360" s="235" t="n">
        <v>46204</v>
      </c>
      <c r="B360" s="236" t="inlineStr">
        <is>
          <t>Paid</t>
        </is>
      </c>
      <c r="C360" s="236" t="inlineStr">
        <is>
          <t>Application Store</t>
        </is>
      </c>
      <c r="D360" s="237" t="n">
        <v>27</v>
      </c>
      <c r="E360" s="236" t="inlineStr">
        <is>
          <t>Application Store</t>
        </is>
      </c>
    </row>
    <row r="361">
      <c r="A361" s="232" t="n">
        <v>46266</v>
      </c>
      <c r="B361" s="233" t="inlineStr">
        <is>
          <t>Direct</t>
        </is>
      </c>
      <c r="C361" s="233" t="inlineStr">
        <is>
          <t>Chứng Khoán</t>
        </is>
      </c>
      <c r="D361" s="234" t="n">
        <v>15</v>
      </c>
      <c r="E361" s="233" t="inlineStr">
        <is>
          <t>Financial Hub</t>
        </is>
      </c>
    </row>
    <row r="362">
      <c r="A362" s="235" t="n">
        <v>46266</v>
      </c>
      <c r="B362" s="236" t="inlineStr">
        <is>
          <t>Paid</t>
        </is>
      </c>
      <c r="C362" s="236" t="inlineStr">
        <is>
          <t>Cinema_News</t>
        </is>
      </c>
      <c r="D362" s="237" t="n">
        <v>15</v>
      </c>
      <c r="E362" s="236" t="inlineStr">
        <is>
          <t>Cinema Hub</t>
        </is>
      </c>
    </row>
    <row r="363">
      <c r="A363" s="232" t="n">
        <v>46296</v>
      </c>
      <c r="B363" s="233" t="inlineStr">
        <is>
          <t>Paid</t>
        </is>
      </c>
      <c r="C363" s="233" t="inlineStr">
        <is>
          <t>Nước</t>
        </is>
      </c>
      <c r="D363" s="234" t="n">
        <v>10</v>
      </c>
      <c r="E363" s="233" t="inlineStr">
        <is>
          <t>Nước</t>
        </is>
      </c>
    </row>
    <row r="364">
      <c r="A364" s="235" t="n">
        <v>46174</v>
      </c>
      <c r="B364" s="236" t="inlineStr">
        <is>
          <t>Paid</t>
        </is>
      </c>
      <c r="C364" s="236" t="inlineStr">
        <is>
          <t>Bảo Hiểm Ô Tô</t>
        </is>
      </c>
      <c r="D364" s="237" t="n">
        <v>13</v>
      </c>
      <c r="E364" s="236" t="inlineStr">
        <is>
          <t>Bảo Hiểm Ô Tô</t>
        </is>
      </c>
    </row>
    <row r="365">
      <c r="A365" s="232" t="n">
        <v>46174</v>
      </c>
      <c r="B365" s="233" t="inlineStr">
        <is>
          <t>Paid</t>
        </is>
      </c>
      <c r="C365" s="233" t="inlineStr">
        <is>
          <t>Bảo Hiểm Y Tế</t>
        </is>
      </c>
      <c r="D365" s="234" t="n">
        <v>3</v>
      </c>
      <c r="E365" s="233" t="inlineStr">
        <is>
          <t>Bảo Hiểm Y Tế</t>
        </is>
      </c>
    </row>
    <row r="366">
      <c r="A366" s="235" t="n">
        <v>46266</v>
      </c>
      <c r="B366" s="236" t="inlineStr">
        <is>
          <t>Paid</t>
        </is>
      </c>
      <c r="C366" s="236" t="inlineStr">
        <is>
          <t>Billpay</t>
        </is>
      </c>
      <c r="D366" s="237" t="n">
        <v>16</v>
      </c>
      <c r="E366" s="236" t="inlineStr">
        <is>
          <t>Billpay</t>
        </is>
      </c>
    </row>
    <row r="367">
      <c r="A367" s="232" t="n">
        <v>46174</v>
      </c>
      <c r="B367" s="233" t="inlineStr">
        <is>
          <t>Direct</t>
        </is>
      </c>
      <c r="C367" s="233" t="inlineStr">
        <is>
          <t>Chứng Chỉ Quỹ</t>
        </is>
      </c>
      <c r="D367" s="234" t="n">
        <v>15</v>
      </c>
      <c r="E367" s="233" t="inlineStr">
        <is>
          <t>Financial Hub</t>
        </is>
      </c>
    </row>
    <row r="368">
      <c r="A368" s="235" t="n">
        <v>46235</v>
      </c>
      <c r="B368" s="236" t="inlineStr">
        <is>
          <t>Others</t>
        </is>
      </c>
      <c r="C368" s="236" t="inlineStr">
        <is>
          <t>Data</t>
        </is>
      </c>
      <c r="D368" s="237" t="n">
        <v>11</v>
      </c>
      <c r="E368" s="236" t="inlineStr">
        <is>
          <t>Data</t>
        </is>
      </c>
    </row>
    <row r="369">
      <c r="A369" s="232" t="n">
        <v>46235</v>
      </c>
      <c r="B369" s="233" t="inlineStr">
        <is>
          <t>Paid</t>
        </is>
      </c>
      <c r="C369" s="233" t="inlineStr">
        <is>
          <t>Trả Góp Apple</t>
        </is>
      </c>
      <c r="D369" s="234" t="n">
        <v>5</v>
      </c>
      <c r="E369" s="233" t="inlineStr">
        <is>
          <t>Financial Hub</t>
        </is>
      </c>
    </row>
    <row r="370">
      <c r="A370" s="235" t="n">
        <v>46143</v>
      </c>
      <c r="B370" s="236" t="inlineStr">
        <is>
          <t>Direct</t>
        </is>
      </c>
      <c r="C370" s="236" t="inlineStr">
        <is>
          <t>Cinema_Landing Page</t>
        </is>
      </c>
      <c r="D370" s="237" t="n">
        <v>4</v>
      </c>
      <c r="E370" s="236" t="inlineStr">
        <is>
          <t>Cinema Hub</t>
        </is>
      </c>
    </row>
    <row r="371">
      <c r="A371" s="232" t="n">
        <v>46266</v>
      </c>
      <c r="B371" s="233" t="inlineStr">
        <is>
          <t>Direct</t>
        </is>
      </c>
      <c r="C371" s="233" t="inlineStr">
        <is>
          <t>Thanh Toán Thẻ Tín Dụng</t>
        </is>
      </c>
      <c r="D371" s="234" t="n">
        <v>6</v>
      </c>
      <c r="E371" s="233" t="inlineStr">
        <is>
          <t>Financial Hub</t>
        </is>
      </c>
    </row>
    <row r="372">
      <c r="A372" s="235" t="n">
        <v>46204</v>
      </c>
      <c r="B372" s="236" t="inlineStr">
        <is>
          <t>Direct</t>
        </is>
      </c>
      <c r="C372" s="236" t="inlineStr">
        <is>
          <t>Cinema_Landing Page</t>
        </is>
      </c>
      <c r="D372" s="237" t="n">
        <v>5</v>
      </c>
      <c r="E372" s="236" t="inlineStr">
        <is>
          <t>Cinema Hub</t>
        </is>
      </c>
    </row>
    <row r="373">
      <c r="A373" s="232" t="n">
        <v>46204</v>
      </c>
      <c r="B373" s="233" t="inlineStr">
        <is>
          <t>Referral</t>
        </is>
      </c>
      <c r="C373" s="233" t="inlineStr">
        <is>
          <t>Chứng Chỉ Quỹ</t>
        </is>
      </c>
      <c r="D373" s="234" t="n">
        <v>6</v>
      </c>
      <c r="E373" s="233" t="inlineStr">
        <is>
          <t>Financial Hub</t>
        </is>
      </c>
    </row>
    <row r="374">
      <c r="A374" s="235" t="n">
        <v>46204</v>
      </c>
      <c r="B374" s="236" t="inlineStr">
        <is>
          <t>Others</t>
        </is>
      </c>
      <c r="C374" s="236" t="inlineStr">
        <is>
          <t>Cross Border</t>
        </is>
      </c>
      <c r="D374" s="237" t="n">
        <v>7</v>
      </c>
      <c r="E374" s="236" t="inlineStr">
        <is>
          <t>Cross Border</t>
        </is>
      </c>
    </row>
    <row r="375">
      <c r="A375" s="232" t="n">
        <v>46266</v>
      </c>
      <c r="B375" s="233" t="inlineStr">
        <is>
          <t>Others</t>
        </is>
      </c>
      <c r="C375" s="233" t="inlineStr">
        <is>
          <t>Quản Lý Chi Tiêu</t>
        </is>
      </c>
      <c r="D375" s="234" t="n">
        <v>3</v>
      </c>
      <c r="E375" s="233" t="inlineStr">
        <is>
          <t>Financial Hub</t>
        </is>
      </c>
    </row>
    <row r="376">
      <c r="A376" s="235" t="n">
        <v>46235</v>
      </c>
      <c r="B376" s="236" t="inlineStr">
        <is>
          <t>Paid</t>
        </is>
      </c>
      <c r="C376" s="236" t="inlineStr">
        <is>
          <t>Cross Border</t>
        </is>
      </c>
      <c r="D376" s="237" t="n">
        <v>14</v>
      </c>
      <c r="E376" s="236" t="inlineStr">
        <is>
          <t>Cross Border</t>
        </is>
      </c>
    </row>
    <row r="377">
      <c r="A377" s="232" t="n">
        <v>46296</v>
      </c>
      <c r="B377" s="233" t="inlineStr">
        <is>
          <t>Others</t>
        </is>
      </c>
      <c r="C377" s="233" t="inlineStr">
        <is>
          <t>Bảo Hiểm Xã Hội</t>
        </is>
      </c>
      <c r="D377" s="234" t="n">
        <v>1</v>
      </c>
      <c r="E377" s="233" t="inlineStr">
        <is>
          <t>Bảo Hiểm Xã Hội</t>
        </is>
      </c>
    </row>
    <row r="378">
      <c r="A378" s="235" t="n">
        <v>46266</v>
      </c>
      <c r="B378" s="236" t="inlineStr">
        <is>
          <t>Others</t>
        </is>
      </c>
      <c r="C378" s="236" t="inlineStr">
        <is>
          <t>Túi Thần Tài</t>
        </is>
      </c>
      <c r="D378" s="237" t="n">
        <v>6</v>
      </c>
      <c r="E378" s="236" t="inlineStr">
        <is>
          <t>Financial Hub</t>
        </is>
      </c>
    </row>
    <row r="379">
      <c r="A379" s="232" t="n">
        <v>46174</v>
      </c>
      <c r="B379" s="233" t="inlineStr">
        <is>
          <t>Others</t>
        </is>
      </c>
      <c r="C379" s="233" t="inlineStr">
        <is>
          <t>Cinema_News</t>
        </is>
      </c>
      <c r="D379" s="234" t="n">
        <v>6</v>
      </c>
      <c r="E379" s="233" t="inlineStr">
        <is>
          <t>Cinema Hub</t>
        </is>
      </c>
    </row>
    <row r="380">
      <c r="A380" s="235" t="n">
        <v>46174</v>
      </c>
      <c r="B380" s="236" t="inlineStr">
        <is>
          <t>Referral</t>
        </is>
      </c>
      <c r="C380" s="236" t="inlineStr">
        <is>
          <t>Thanh Toán Thẻ Tín Dụng</t>
        </is>
      </c>
      <c r="D380" s="237" t="n">
        <v>11</v>
      </c>
      <c r="E380" s="236" t="inlineStr">
        <is>
          <t>Financial Hub</t>
        </is>
      </c>
    </row>
    <row r="381">
      <c r="A381" s="232" t="n">
        <v>46235</v>
      </c>
      <c r="B381" s="233" t="inlineStr">
        <is>
          <t>Others</t>
        </is>
      </c>
      <c r="C381" s="233" t="inlineStr">
        <is>
          <t>Student Hub</t>
        </is>
      </c>
      <c r="D381" s="234" t="n">
        <v>1</v>
      </c>
      <c r="E381" s="233" t="inlineStr">
        <is>
          <t>Student Hub</t>
        </is>
      </c>
    </row>
    <row r="382">
      <c r="A382" s="235" t="n">
        <v>46296</v>
      </c>
      <c r="B382" s="236" t="inlineStr">
        <is>
          <t>Organic</t>
        </is>
      </c>
      <c r="C382" s="236" t="inlineStr">
        <is>
          <t>Phạt nguội</t>
        </is>
      </c>
      <c r="D382" s="237" t="n">
        <v>11</v>
      </c>
      <c r="E382" s="236" t="inlineStr">
        <is>
          <t>Phạt nguội</t>
        </is>
      </c>
    </row>
    <row r="383">
      <c r="A383" s="232" t="n">
        <v>46296</v>
      </c>
      <c r="B383" s="233" t="inlineStr">
        <is>
          <t>Others</t>
        </is>
      </c>
      <c r="C383" s="233" t="inlineStr">
        <is>
          <t>XU</t>
        </is>
      </c>
      <c r="D383" s="234" t="n">
        <v>1</v>
      </c>
      <c r="E383" s="233" t="inlineStr">
        <is>
          <t>XU</t>
        </is>
      </c>
    </row>
    <row r="384">
      <c r="A384" s="235" t="n">
        <v>46143</v>
      </c>
      <c r="B384" s="236" t="inlineStr">
        <is>
          <t>Direct</t>
        </is>
      </c>
      <c r="C384" s="236" t="inlineStr">
        <is>
          <t>Thanh Toán Khoản Vay</t>
        </is>
      </c>
      <c r="D384" s="237" t="n">
        <v>12</v>
      </c>
      <c r="E384" s="236" t="inlineStr">
        <is>
          <t>Financial Hub</t>
        </is>
      </c>
    </row>
    <row r="385">
      <c r="A385" s="232" t="n">
        <v>46266</v>
      </c>
      <c r="B385" s="233" t="inlineStr">
        <is>
          <t>Others</t>
        </is>
      </c>
      <c r="C385" s="233" t="inlineStr">
        <is>
          <t>Trả Góp Apple</t>
        </is>
      </c>
      <c r="D385" s="234" t="n">
        <v>5</v>
      </c>
      <c r="E385" s="233" t="inlineStr">
        <is>
          <t>Financial Hub</t>
        </is>
      </c>
    </row>
    <row r="386">
      <c r="A386" s="235" t="n">
        <v>46204</v>
      </c>
      <c r="B386" s="236" t="inlineStr">
        <is>
          <t>Paid</t>
        </is>
      </c>
      <c r="C386" s="236" t="inlineStr">
        <is>
          <t>Cinema_Cineplex Page</t>
        </is>
      </c>
      <c r="D386" s="237" t="n">
        <v>20</v>
      </c>
      <c r="E386" s="236" t="inlineStr">
        <is>
          <t>Cinema Hub</t>
        </is>
      </c>
    </row>
    <row r="387">
      <c r="A387" s="232" t="n">
        <v>46174</v>
      </c>
      <c r="B387" s="233" t="inlineStr">
        <is>
          <t>Paid</t>
        </is>
      </c>
      <c r="C387" s="233" t="inlineStr">
        <is>
          <t>Hoàn Tiền Mua Sắm</t>
        </is>
      </c>
      <c r="D387" s="234" t="n">
        <v>2</v>
      </c>
      <c r="E387" s="233" t="inlineStr">
        <is>
          <t>Hoàn Tiền Mua Sắm</t>
        </is>
      </c>
    </row>
    <row r="388">
      <c r="A388" s="235" t="n">
        <v>46204</v>
      </c>
      <c r="B388" s="236" t="inlineStr">
        <is>
          <t>Others</t>
        </is>
      </c>
      <c r="C388" s="236" t="inlineStr">
        <is>
          <t>Trung Tâm Tài Chính</t>
        </is>
      </c>
      <c r="D388" s="237" t="n">
        <v>2</v>
      </c>
      <c r="E388" s="236" t="inlineStr">
        <is>
          <t>Financial Hub</t>
        </is>
      </c>
    </row>
    <row r="389">
      <c r="A389" s="232" t="n">
        <v>46235</v>
      </c>
      <c r="B389" s="233" t="inlineStr">
        <is>
          <t>Others</t>
        </is>
      </c>
      <c r="C389" s="233" t="inlineStr">
        <is>
          <t>Túi Thần Tài</t>
        </is>
      </c>
      <c r="D389" s="234" t="n">
        <v>5</v>
      </c>
      <c r="E389" s="233" t="inlineStr">
        <is>
          <t>Financial Hub</t>
        </is>
      </c>
    </row>
    <row r="390">
      <c r="A390" s="235" t="n">
        <v>46235</v>
      </c>
      <c r="B390" s="236" t="inlineStr">
        <is>
          <t>Others</t>
        </is>
      </c>
      <c r="C390" s="236" t="inlineStr">
        <is>
          <t>Điện</t>
        </is>
      </c>
      <c r="D390" s="237" t="n">
        <v>3</v>
      </c>
      <c r="E390" s="236" t="inlineStr">
        <is>
          <t>Điện</t>
        </is>
      </c>
    </row>
    <row r="391">
      <c r="A391" s="232" t="n">
        <v>46204</v>
      </c>
      <c r="B391" s="233" t="inlineStr">
        <is>
          <t>Paid</t>
        </is>
      </c>
      <c r="C391" s="233" t="inlineStr">
        <is>
          <t>Túi Thần Tài</t>
        </is>
      </c>
      <c r="D391" s="234" t="n">
        <v>1</v>
      </c>
      <c r="E391" s="233" t="inlineStr">
        <is>
          <t>Financial Hub</t>
        </is>
      </c>
    </row>
    <row r="392">
      <c r="A392" s="235" t="n">
        <v>46235</v>
      </c>
      <c r="B392" s="236" t="inlineStr">
        <is>
          <t>Paid</t>
        </is>
      </c>
      <c r="C392" s="236" t="inlineStr">
        <is>
          <t>Chứng Chỉ Quỹ</t>
        </is>
      </c>
      <c r="D392" s="237" t="n">
        <v>2</v>
      </c>
      <c r="E392" s="236" t="inlineStr">
        <is>
          <t>Financial Hub</t>
        </is>
      </c>
    </row>
    <row r="393">
      <c r="A393" s="232" t="n">
        <v>46174</v>
      </c>
      <c r="B393" s="233" t="inlineStr">
        <is>
          <t>Others</t>
        </is>
      </c>
      <c r="C393" s="233" t="inlineStr">
        <is>
          <t>Mở tài khoản ngân hàng</t>
        </is>
      </c>
      <c r="D393" s="234" t="n">
        <v>1</v>
      </c>
      <c r="E393" s="233" t="inlineStr">
        <is>
          <t>Mở tài khoản ngân hàng</t>
        </is>
      </c>
    </row>
    <row r="394">
      <c r="A394" s="235" t="n">
        <v>46235</v>
      </c>
      <c r="B394" s="236" t="inlineStr">
        <is>
          <t>Others</t>
        </is>
      </c>
      <c r="C394" s="236" t="inlineStr">
        <is>
          <t>Chứng Chỉ Quỹ</t>
        </is>
      </c>
      <c r="D394" s="237" t="n">
        <v>3</v>
      </c>
      <c r="E394" s="236" t="inlineStr">
        <is>
          <t>Financial Hub</t>
        </is>
      </c>
    </row>
    <row r="395">
      <c r="A395" s="232" t="n">
        <v>46143</v>
      </c>
      <c r="B395" s="233" t="inlineStr">
        <is>
          <t>Paid</t>
        </is>
      </c>
      <c r="C395" s="233" t="inlineStr">
        <is>
          <t>Vé Xe</t>
        </is>
      </c>
      <c r="D395" s="234" t="n">
        <v>4</v>
      </c>
      <c r="E395" s="233" t="inlineStr">
        <is>
          <t>Vé Xe</t>
        </is>
      </c>
    </row>
    <row r="396">
      <c r="A396" s="235" t="n">
        <v>46174</v>
      </c>
      <c r="B396" s="236" t="inlineStr">
        <is>
          <t>Referral</t>
        </is>
      </c>
      <c r="C396" s="236" t="inlineStr">
        <is>
          <t>Cinema_Landing Page</t>
        </is>
      </c>
      <c r="D396" s="237" t="n">
        <v>1</v>
      </c>
      <c r="E396" s="236" t="inlineStr">
        <is>
          <t>Cinema Hub</t>
        </is>
      </c>
    </row>
    <row r="397">
      <c r="A397" s="232" t="n">
        <v>46266</v>
      </c>
      <c r="B397" s="233" t="inlineStr">
        <is>
          <t>Referral</t>
        </is>
      </c>
      <c r="C397" s="233" t="inlineStr">
        <is>
          <t>Sàn Đầu Tư</t>
        </is>
      </c>
      <c r="D397" s="234" t="n">
        <v>3</v>
      </c>
      <c r="E397" s="233" t="inlineStr">
        <is>
          <t>Financial Hub</t>
        </is>
      </c>
    </row>
    <row r="398">
      <c r="A398" s="235" t="n">
        <v>46296</v>
      </c>
      <c r="B398" s="236" t="inlineStr">
        <is>
          <t>Direct</t>
        </is>
      </c>
      <c r="C398" s="236" t="inlineStr">
        <is>
          <t>Sàn Đầu Tư</t>
        </is>
      </c>
      <c r="D398" s="237" t="n">
        <v>1</v>
      </c>
      <c r="E398" s="236" t="inlineStr">
        <is>
          <t>Financial Hub</t>
        </is>
      </c>
    </row>
    <row r="399">
      <c r="A399" s="232" t="n">
        <v>46296</v>
      </c>
      <c r="B399" s="233" t="inlineStr">
        <is>
          <t>Direct</t>
        </is>
      </c>
      <c r="C399" s="233" t="inlineStr">
        <is>
          <t>Thanh Toán Thẻ Tín Dụng</t>
        </is>
      </c>
      <c r="D399" s="234" t="n">
        <v>5</v>
      </c>
      <c r="E399" s="233" t="inlineStr">
        <is>
          <t>Financial Hub</t>
        </is>
      </c>
    </row>
    <row r="400">
      <c r="A400" s="235" t="n">
        <v>46204</v>
      </c>
      <c r="B400" s="236" t="inlineStr">
        <is>
          <t>Paid</t>
        </is>
      </c>
      <c r="C400" s="236" t="inlineStr">
        <is>
          <t>Thanh Toán Thẻ Tín Dụng</t>
        </is>
      </c>
      <c r="D400" s="237" t="n">
        <v>1</v>
      </c>
      <c r="E400" s="236" t="inlineStr">
        <is>
          <t>Financial Hub</t>
        </is>
      </c>
    </row>
    <row r="401">
      <c r="A401" s="232" t="n">
        <v>46174</v>
      </c>
      <c r="B401" s="233" t="inlineStr">
        <is>
          <t>Others</t>
        </is>
      </c>
      <c r="C401" s="233" t="inlineStr">
        <is>
          <t>Túi Thần Tài</t>
        </is>
      </c>
      <c r="D401" s="234" t="n">
        <v>1</v>
      </c>
      <c r="E401" s="233" t="inlineStr">
        <is>
          <t>Financial Hub</t>
        </is>
      </c>
    </row>
    <row r="402">
      <c r="A402" s="235" t="n">
        <v>46174</v>
      </c>
      <c r="B402" s="236" t="inlineStr">
        <is>
          <t>Others</t>
        </is>
      </c>
      <c r="C402" s="236" t="inlineStr">
        <is>
          <t>Thanh Toán Khoản Vay</t>
        </is>
      </c>
      <c r="D402" s="237" t="n">
        <v>1</v>
      </c>
      <c r="E402" s="236" t="inlineStr">
        <is>
          <t>Financial Hub</t>
        </is>
      </c>
    </row>
    <row r="403">
      <c r="A403" s="232" t="n">
        <v>46235</v>
      </c>
      <c r="B403" s="233" t="inlineStr">
        <is>
          <t>Referral</t>
        </is>
      </c>
      <c r="C403" s="233" t="inlineStr">
        <is>
          <t>Sàn Đầu Tư</t>
        </is>
      </c>
      <c r="D403" s="234" t="n">
        <v>1</v>
      </c>
      <c r="E403" s="233" t="inlineStr">
        <is>
          <t>Financial Hub</t>
        </is>
      </c>
    </row>
    <row r="404">
      <c r="A404" s="235" t="n">
        <v>46235</v>
      </c>
      <c r="B404" s="236" t="inlineStr">
        <is>
          <t>Paid</t>
        </is>
      </c>
      <c r="C404" s="236" t="inlineStr">
        <is>
          <t>Thanh Toán Thẻ Tín Dụng</t>
        </is>
      </c>
      <c r="D404" s="237" t="n">
        <v>1</v>
      </c>
      <c r="E404" s="236" t="inlineStr">
        <is>
          <t>Financial Hub</t>
        </is>
      </c>
    </row>
    <row r="405">
      <c r="A405" s="232" t="n">
        <v>46174</v>
      </c>
      <c r="B405" s="233" t="inlineStr">
        <is>
          <t>Referral</t>
        </is>
      </c>
      <c r="C405" s="233" t="inlineStr">
        <is>
          <t>Chứng Chỉ Quỹ</t>
        </is>
      </c>
      <c r="D405" s="234" t="n">
        <v>1</v>
      </c>
      <c r="E405" s="233" t="inlineStr">
        <is>
          <t>Financial Hub</t>
        </is>
      </c>
    </row>
    <row r="406">
      <c r="A406" s="235" t="n">
        <v>46143</v>
      </c>
      <c r="B406" s="236" t="inlineStr">
        <is>
          <t>Paid</t>
        </is>
      </c>
      <c r="C406" s="236" t="inlineStr">
        <is>
          <t>Điện</t>
        </is>
      </c>
      <c r="D406" s="237" t="n">
        <v>1</v>
      </c>
      <c r="E406" s="236" t="inlineStr">
        <is>
          <t>Điện</t>
        </is>
      </c>
    </row>
    <row r="407">
      <c r="A407" s="232" t="n">
        <v>46296</v>
      </c>
      <c r="B407" s="233" t="inlineStr">
        <is>
          <t>Organic</t>
        </is>
      </c>
      <c r="C407" s="233" t="inlineStr">
        <is>
          <t>Vay Nhanh</t>
        </is>
      </c>
      <c r="D407" s="234" t="n">
        <v>17963</v>
      </c>
      <c r="E407" s="233" t="inlineStr">
        <is>
          <t>Financial Hub</t>
        </is>
      </c>
    </row>
    <row r="408">
      <c r="A408" s="235" t="n">
        <v>46296</v>
      </c>
      <c r="B408" s="236" t="inlineStr">
        <is>
          <t>Referral</t>
        </is>
      </c>
      <c r="C408" s="236" t="inlineStr">
        <is>
          <t>Vay Nhanh</t>
        </is>
      </c>
      <c r="D408" s="237" t="n">
        <v>3566</v>
      </c>
      <c r="E408" s="236" t="inlineStr">
        <is>
          <t>Financial Hub</t>
        </is>
      </c>
    </row>
    <row r="409">
      <c r="A409" s="232" t="n">
        <v>46296</v>
      </c>
      <c r="B409" s="233" t="inlineStr">
        <is>
          <t>Referral</t>
        </is>
      </c>
      <c r="C409" s="233" t="inlineStr">
        <is>
          <t>Vé Xe</t>
        </is>
      </c>
      <c r="D409" s="234" t="n">
        <v>890</v>
      </c>
      <c r="E409" s="233" t="inlineStr">
        <is>
          <t>Vé Xe</t>
        </is>
      </c>
    </row>
    <row r="410">
      <c r="A410" s="235" t="n">
        <v>46296</v>
      </c>
      <c r="B410" s="236" t="inlineStr">
        <is>
          <t>Organic</t>
        </is>
      </c>
      <c r="C410" s="236" t="inlineStr">
        <is>
          <t>Ví Trả Sau</t>
        </is>
      </c>
      <c r="D410" s="237" t="n">
        <v>16938</v>
      </c>
      <c r="E410" s="236" t="inlineStr">
        <is>
          <t>Financial Hub</t>
        </is>
      </c>
    </row>
    <row r="411">
      <c r="A411" s="232" t="n">
        <v>46296</v>
      </c>
      <c r="B411" s="233" t="inlineStr">
        <is>
          <t>Paid</t>
        </is>
      </c>
      <c r="C411" s="233" t="inlineStr">
        <is>
          <t>Ví Trả Sau</t>
        </is>
      </c>
      <c r="D411" s="234" t="n">
        <v>653</v>
      </c>
      <c r="E411" s="233" t="inlineStr">
        <is>
          <t>Financial Hub</t>
        </is>
      </c>
    </row>
    <row r="412">
      <c r="A412" s="235" t="n">
        <v>46296</v>
      </c>
      <c r="B412" s="236" t="inlineStr">
        <is>
          <t>Direct</t>
        </is>
      </c>
      <c r="C412" s="236" t="inlineStr">
        <is>
          <t>Vé Xe</t>
        </is>
      </c>
      <c r="D412" s="237" t="n">
        <v>4137</v>
      </c>
      <c r="E412" s="236" t="inlineStr">
        <is>
          <t>Vé Xe</t>
        </is>
      </c>
    </row>
    <row r="413">
      <c r="A413" s="232" t="n">
        <v>46296</v>
      </c>
      <c r="B413" s="233" t="inlineStr">
        <is>
          <t>Organic</t>
        </is>
      </c>
      <c r="C413" s="233" t="inlineStr">
        <is>
          <t>Bảo Hiểm Y Tế</t>
        </is>
      </c>
      <c r="D413" s="234" t="n">
        <v>12289</v>
      </c>
      <c r="E413" s="233" t="inlineStr">
        <is>
          <t>Bảo Hiểm Y Tế</t>
        </is>
      </c>
    </row>
    <row r="414">
      <c r="A414" s="235" t="n">
        <v>46296</v>
      </c>
      <c r="B414" s="236" t="inlineStr">
        <is>
          <t>Organic</t>
        </is>
      </c>
      <c r="C414" s="236" t="inlineStr">
        <is>
          <t>Campaign</t>
        </is>
      </c>
      <c r="D414" s="237" t="n">
        <v>1550</v>
      </c>
      <c r="E414" s="236" t="inlineStr">
        <is>
          <t>Campaign</t>
        </is>
      </c>
    </row>
    <row r="415">
      <c r="A415" s="232" t="n">
        <v>46296</v>
      </c>
      <c r="B415" s="233" t="inlineStr">
        <is>
          <t>Direct</t>
        </is>
      </c>
      <c r="C415" s="233" t="inlineStr">
        <is>
          <t>Cinema_Home Page</t>
        </is>
      </c>
      <c r="D415" s="234" t="n">
        <v>1919</v>
      </c>
      <c r="E415" s="233" t="inlineStr">
        <is>
          <t>Cinema Hub</t>
        </is>
      </c>
    </row>
    <row r="416">
      <c r="A416" s="235" t="n">
        <v>46296</v>
      </c>
      <c r="B416" s="236" t="inlineStr">
        <is>
          <t>Referral</t>
        </is>
      </c>
      <c r="C416" s="236" t="inlineStr">
        <is>
          <t>Campaign</t>
        </is>
      </c>
      <c r="D416" s="237" t="n">
        <v>851</v>
      </c>
      <c r="E416" s="236" t="inlineStr">
        <is>
          <t>Campaign</t>
        </is>
      </c>
    </row>
    <row r="417">
      <c r="A417" s="232" t="n">
        <v>46296</v>
      </c>
      <c r="B417" s="233" t="inlineStr">
        <is>
          <t>Organic</t>
        </is>
      </c>
      <c r="C417" s="233" t="inlineStr">
        <is>
          <t>Cinema_News</t>
        </is>
      </c>
      <c r="D417" s="234" t="n">
        <v>1188</v>
      </c>
      <c r="E417" s="233" t="inlineStr">
        <is>
          <t>Cinema Hub</t>
        </is>
      </c>
    </row>
    <row r="418">
      <c r="A418" s="235" t="n">
        <v>46296</v>
      </c>
      <c r="B418" s="236" t="inlineStr">
        <is>
          <t>Others</t>
        </is>
      </c>
      <c r="C418" s="236" t="inlineStr">
        <is>
          <t>Application Store</t>
        </is>
      </c>
      <c r="D418" s="237" t="n">
        <v>69</v>
      </c>
      <c r="E418" s="236" t="inlineStr">
        <is>
          <t>Application Store</t>
        </is>
      </c>
    </row>
    <row r="419">
      <c r="A419" s="232" t="n">
        <v>46296</v>
      </c>
      <c r="B419" s="233" t="inlineStr">
        <is>
          <t>Organic</t>
        </is>
      </c>
      <c r="C419" s="233" t="inlineStr">
        <is>
          <t>Application Store</t>
        </is>
      </c>
      <c r="D419" s="234" t="n">
        <v>1167</v>
      </c>
      <c r="E419" s="233" t="inlineStr">
        <is>
          <t>Application Store</t>
        </is>
      </c>
    </row>
    <row r="420">
      <c r="A420" s="235" t="n">
        <v>46296</v>
      </c>
      <c r="B420" s="236" t="inlineStr">
        <is>
          <t>Referral</t>
        </is>
      </c>
      <c r="C420" s="236" t="inlineStr">
        <is>
          <t>Hỏi đáp</t>
        </is>
      </c>
      <c r="D420" s="237" t="n">
        <v>1855</v>
      </c>
      <c r="E420" s="236" t="inlineStr">
        <is>
          <t>Hỏi đáp</t>
        </is>
      </c>
    </row>
    <row r="421">
      <c r="A421" s="232" t="n">
        <v>46296</v>
      </c>
      <c r="B421" s="233" t="inlineStr">
        <is>
          <t>Others</t>
        </is>
      </c>
      <c r="C421" s="233" t="inlineStr">
        <is>
          <t>Home MoMo</t>
        </is>
      </c>
      <c r="D421" s="234" t="n">
        <v>2540</v>
      </c>
      <c r="E421" s="233" t="inlineStr">
        <is>
          <t>Home MoMo</t>
        </is>
      </c>
    </row>
    <row r="422">
      <c r="A422" s="235" t="n">
        <v>46296</v>
      </c>
      <c r="B422" s="236" t="inlineStr">
        <is>
          <t>Paid</t>
        </is>
      </c>
      <c r="C422" s="236" t="inlineStr">
        <is>
          <t>OTA</t>
        </is>
      </c>
      <c r="D422" s="237" t="n">
        <v>370</v>
      </c>
      <c r="E422" s="236" t="inlineStr">
        <is>
          <t>OTA</t>
        </is>
      </c>
    </row>
    <row r="423">
      <c r="A423" s="232" t="n">
        <v>46296</v>
      </c>
      <c r="B423" s="233" t="inlineStr">
        <is>
          <t>Organic</t>
        </is>
      </c>
      <c r="C423" s="233" t="inlineStr">
        <is>
          <t>Trung Tâm Tài Chính</t>
        </is>
      </c>
      <c r="D423" s="234" t="n">
        <v>2727</v>
      </c>
      <c r="E423" s="233" t="inlineStr">
        <is>
          <t>Financial Hub</t>
        </is>
      </c>
    </row>
    <row r="424">
      <c r="A424" s="235" t="n">
        <v>46296</v>
      </c>
      <c r="B424" s="236" t="inlineStr">
        <is>
          <t>Referral</t>
        </is>
      </c>
      <c r="C424" s="236" t="inlineStr">
        <is>
          <t>New User</t>
        </is>
      </c>
      <c r="D424" s="237" t="n">
        <v>4401</v>
      </c>
      <c r="E424" s="236" t="inlineStr">
        <is>
          <t>New User</t>
        </is>
      </c>
    </row>
    <row r="425">
      <c r="A425" s="232" t="n">
        <v>46296</v>
      </c>
      <c r="B425" s="233" t="inlineStr">
        <is>
          <t>Others</t>
        </is>
      </c>
      <c r="C425" s="233" t="inlineStr">
        <is>
          <t>Hoàn Tiền Mua Sắm</t>
        </is>
      </c>
      <c r="D425" s="234" t="n">
        <v>61</v>
      </c>
      <c r="E425" s="233" t="inlineStr">
        <is>
          <t>Hoàn Tiền Mua Sắm</t>
        </is>
      </c>
    </row>
    <row r="426">
      <c r="A426" s="235" t="n">
        <v>46296</v>
      </c>
      <c r="B426" s="236" t="inlineStr">
        <is>
          <t>Organic</t>
        </is>
      </c>
      <c r="C426" s="236" t="inlineStr">
        <is>
          <t>TnC</t>
        </is>
      </c>
      <c r="D426" s="237" t="n">
        <v>3789</v>
      </c>
      <c r="E426" s="236" t="inlineStr">
        <is>
          <t>TnC</t>
        </is>
      </c>
    </row>
    <row r="427">
      <c r="A427" s="232" t="n">
        <v>46296</v>
      </c>
      <c r="B427" s="233" t="inlineStr">
        <is>
          <t>Paid</t>
        </is>
      </c>
      <c r="C427" s="233" t="inlineStr">
        <is>
          <t>Soundbox</t>
        </is>
      </c>
      <c r="D427" s="234" t="n">
        <v>2491</v>
      </c>
      <c r="E427" s="233" t="inlineStr">
        <is>
          <t>Soundbox</t>
        </is>
      </c>
    </row>
    <row r="428">
      <c r="A428" s="235" t="n">
        <v>46296</v>
      </c>
      <c r="B428" s="236" t="inlineStr">
        <is>
          <t>Organic</t>
        </is>
      </c>
      <c r="C428" s="236" t="inlineStr">
        <is>
          <t>Student Pass</t>
        </is>
      </c>
      <c r="D428" s="237" t="n">
        <v>426</v>
      </c>
      <c r="E428" s="236" t="inlineStr">
        <is>
          <t>Student Hub</t>
        </is>
      </c>
    </row>
    <row r="429">
      <c r="A429" s="232" t="n">
        <v>46296</v>
      </c>
      <c r="B429" s="233" t="inlineStr">
        <is>
          <t>Organic</t>
        </is>
      </c>
      <c r="C429" s="233" t="inlineStr">
        <is>
          <t>New User</t>
        </is>
      </c>
      <c r="D429" s="234" t="n">
        <v>7393</v>
      </c>
      <c r="E429" s="233" t="inlineStr">
        <is>
          <t>New User</t>
        </is>
      </c>
    </row>
    <row r="430">
      <c r="A430" s="235" t="n">
        <v>46296</v>
      </c>
      <c r="B430" s="236" t="inlineStr">
        <is>
          <t>Organic</t>
        </is>
      </c>
      <c r="C430" s="236" t="inlineStr">
        <is>
          <t>P2P</t>
        </is>
      </c>
      <c r="D430" s="237" t="n">
        <v>2235</v>
      </c>
      <c r="E430" s="236" t="inlineStr">
        <is>
          <t>P2P</t>
        </is>
      </c>
    </row>
    <row r="431">
      <c r="A431" s="232" t="n">
        <v>46296</v>
      </c>
      <c r="B431" s="233" t="inlineStr">
        <is>
          <t>Direct</t>
        </is>
      </c>
      <c r="C431" s="233" t="inlineStr">
        <is>
          <t>OTA</t>
        </is>
      </c>
      <c r="D431" s="234" t="n">
        <v>1458</v>
      </c>
      <c r="E431" s="233" t="inlineStr">
        <is>
          <t>OTA</t>
        </is>
      </c>
    </row>
    <row r="432">
      <c r="A432" s="235" t="n">
        <v>46296</v>
      </c>
      <c r="B432" s="236" t="inlineStr">
        <is>
          <t>Direct</t>
        </is>
      </c>
      <c r="C432" s="236" t="inlineStr">
        <is>
          <t>Tìm Kiếm</t>
        </is>
      </c>
      <c r="D432" s="237" t="n">
        <v>1213</v>
      </c>
      <c r="E432" s="236" t="inlineStr">
        <is>
          <t>Tìm Kiếm</t>
        </is>
      </c>
    </row>
    <row r="433">
      <c r="A433" s="232" t="n">
        <v>46296</v>
      </c>
      <c r="B433" s="233" t="inlineStr">
        <is>
          <t>Organic</t>
        </is>
      </c>
      <c r="C433" s="233" t="inlineStr">
        <is>
          <t>Trust</t>
        </is>
      </c>
      <c r="D433" s="234" t="n">
        <v>1015</v>
      </c>
      <c r="E433" s="233" t="inlineStr">
        <is>
          <t>Trust</t>
        </is>
      </c>
    </row>
    <row r="434">
      <c r="A434" s="235" t="n">
        <v>46296</v>
      </c>
      <c r="B434" s="236" t="inlineStr">
        <is>
          <t>Organic</t>
        </is>
      </c>
      <c r="C434" s="236" t="inlineStr">
        <is>
          <t>Student Hub</t>
        </is>
      </c>
      <c r="D434" s="237" t="n">
        <v>95</v>
      </c>
      <c r="E434" s="236" t="inlineStr">
        <is>
          <t>Student Hub</t>
        </is>
      </c>
    </row>
    <row r="435">
      <c r="A435" s="232" t="n">
        <v>46296</v>
      </c>
      <c r="B435" s="233" t="inlineStr">
        <is>
          <t>Direct</t>
        </is>
      </c>
      <c r="C435" s="233" t="inlineStr">
        <is>
          <t>Tiện Ích Giao Thông</t>
        </is>
      </c>
      <c r="D435" s="234" t="n">
        <v>72</v>
      </c>
      <c r="E435" s="233" t="inlineStr">
        <is>
          <t>Tiện Ích Giao Thông</t>
        </is>
      </c>
    </row>
    <row r="436">
      <c r="A436" s="235" t="n">
        <v>46296</v>
      </c>
      <c r="B436" s="236" t="inlineStr">
        <is>
          <t>Organic</t>
        </is>
      </c>
      <c r="C436" s="236" t="inlineStr">
        <is>
          <t>Sim</t>
        </is>
      </c>
      <c r="D436" s="237" t="n">
        <v>4693</v>
      </c>
      <c r="E436" s="236" t="inlineStr">
        <is>
          <t>Sim</t>
        </is>
      </c>
    </row>
    <row r="437">
      <c r="A437" s="232" t="n">
        <v>46296</v>
      </c>
      <c r="B437" s="233" t="inlineStr">
        <is>
          <t>Organic</t>
        </is>
      </c>
      <c r="C437" s="233" t="inlineStr">
        <is>
          <t>Trung tâm tài chính</t>
        </is>
      </c>
      <c r="D437" s="234" t="n">
        <v>659</v>
      </c>
      <c r="E437" s="233" t="inlineStr">
        <is>
          <t>Trung tâm tài chính</t>
        </is>
      </c>
    </row>
    <row r="438">
      <c r="A438" s="235" t="n">
        <v>46296</v>
      </c>
      <c r="B438" s="236" t="inlineStr">
        <is>
          <t>Organic</t>
        </is>
      </c>
      <c r="C438" s="236" t="inlineStr">
        <is>
          <t>Túi Thần Tài</t>
        </is>
      </c>
      <c r="D438" s="237" t="n">
        <v>748</v>
      </c>
      <c r="E438" s="236" t="inlineStr">
        <is>
          <t>Financial Hub</t>
        </is>
      </c>
    </row>
    <row r="439">
      <c r="A439" s="232" t="n">
        <v>46296</v>
      </c>
      <c r="B439" s="233" t="inlineStr">
        <is>
          <t>Paid</t>
        </is>
      </c>
      <c r="C439" s="233" t="inlineStr">
        <is>
          <t>Trust</t>
        </is>
      </c>
      <c r="D439" s="234" t="n">
        <v>202</v>
      </c>
      <c r="E439" s="233" t="inlineStr">
        <is>
          <t>Trust</t>
        </is>
      </c>
    </row>
    <row r="440">
      <c r="A440" s="235" t="n">
        <v>46296</v>
      </c>
      <c r="B440" s="236" t="inlineStr">
        <is>
          <t>Others</t>
        </is>
      </c>
      <c r="C440" s="236" t="inlineStr">
        <is>
          <t>Billpay</t>
        </is>
      </c>
      <c r="D440" s="237" t="n">
        <v>17</v>
      </c>
      <c r="E440" s="236" t="inlineStr">
        <is>
          <t>Billpay</t>
        </is>
      </c>
    </row>
    <row r="441">
      <c r="A441" s="232" t="n">
        <v>46296</v>
      </c>
      <c r="B441" s="233" t="inlineStr">
        <is>
          <t>Direct</t>
        </is>
      </c>
      <c r="C441" s="233" t="inlineStr">
        <is>
          <t>Bảo Hiểm Ô Tô</t>
        </is>
      </c>
      <c r="D441" s="234" t="n">
        <v>707</v>
      </c>
      <c r="E441" s="233" t="inlineStr">
        <is>
          <t>Bảo Hiểm Ô Tô</t>
        </is>
      </c>
    </row>
    <row r="442">
      <c r="A442" s="235" t="n">
        <v>46296</v>
      </c>
      <c r="B442" s="236" t="inlineStr">
        <is>
          <t>Referral</t>
        </is>
      </c>
      <c r="C442" s="236" t="inlineStr">
        <is>
          <t>Bảo Hiểm</t>
        </is>
      </c>
      <c r="D442" s="237" t="n">
        <v>38</v>
      </c>
      <c r="E442" s="236" t="inlineStr">
        <is>
          <t>Bảo Hiểm</t>
        </is>
      </c>
    </row>
    <row r="443">
      <c r="A443" s="232" t="n">
        <v>46296</v>
      </c>
      <c r="B443" s="233" t="inlineStr">
        <is>
          <t>Others</t>
        </is>
      </c>
      <c r="C443" s="233" t="inlineStr">
        <is>
          <t>TnC</t>
        </is>
      </c>
      <c r="D443" s="234" t="n">
        <v>89</v>
      </c>
      <c r="E443" s="233" t="inlineStr">
        <is>
          <t>TnC</t>
        </is>
      </c>
    </row>
    <row r="444">
      <c r="A444" s="235" t="n">
        <v>46296</v>
      </c>
      <c r="B444" s="236" t="inlineStr">
        <is>
          <t>Referral</t>
        </is>
      </c>
      <c r="C444" s="236" t="inlineStr">
        <is>
          <t>Trung Tâm Tài Chính</t>
        </is>
      </c>
      <c r="D444" s="237" t="n">
        <v>236</v>
      </c>
      <c r="E444" s="236" t="inlineStr">
        <is>
          <t>Financial Hub</t>
        </is>
      </c>
    </row>
    <row r="445">
      <c r="A445" s="232" t="n">
        <v>46296</v>
      </c>
      <c r="B445" s="233" t="inlineStr">
        <is>
          <t>Paid</t>
        </is>
      </c>
      <c r="C445" s="233" t="inlineStr">
        <is>
          <t>Chứng Khoán</t>
        </is>
      </c>
      <c r="D445" s="234" t="n">
        <v>62</v>
      </c>
      <c r="E445" s="233" t="inlineStr">
        <is>
          <t>Financial Hub</t>
        </is>
      </c>
    </row>
    <row r="446">
      <c r="A446" s="235" t="n">
        <v>46296</v>
      </c>
      <c r="B446" s="236" t="inlineStr">
        <is>
          <t>Others</t>
        </is>
      </c>
      <c r="C446" s="236" t="inlineStr">
        <is>
          <t>Cinema_Home Page</t>
        </is>
      </c>
      <c r="D446" s="237" t="n">
        <v>95</v>
      </c>
      <c r="E446" s="236" t="inlineStr">
        <is>
          <t>Cinema Hub</t>
        </is>
      </c>
    </row>
    <row r="447">
      <c r="A447" s="232" t="n">
        <v>46296</v>
      </c>
      <c r="B447" s="233" t="inlineStr">
        <is>
          <t>Referral</t>
        </is>
      </c>
      <c r="C447" s="233" t="inlineStr">
        <is>
          <t>Soundbox</t>
        </is>
      </c>
      <c r="D447" s="234" t="n">
        <v>223</v>
      </c>
      <c r="E447" s="233" t="inlineStr">
        <is>
          <t>Soundbox</t>
        </is>
      </c>
    </row>
    <row r="448">
      <c r="A448" s="235" t="n">
        <v>46296</v>
      </c>
      <c r="B448" s="236" t="inlineStr">
        <is>
          <t>Others</t>
        </is>
      </c>
      <c r="C448" s="236" t="inlineStr">
        <is>
          <t>Bảo Hiểm</t>
        </is>
      </c>
      <c r="D448" s="237" t="n">
        <v>2</v>
      </c>
      <c r="E448" s="236" t="inlineStr">
        <is>
          <t>Bảo Hiểm</t>
        </is>
      </c>
    </row>
    <row r="449">
      <c r="A449" s="232" t="n">
        <v>46296</v>
      </c>
      <c r="B449" s="233" t="inlineStr">
        <is>
          <t>Others</t>
        </is>
      </c>
      <c r="C449" s="233" t="inlineStr">
        <is>
          <t>Cinema_Blog</t>
        </is>
      </c>
      <c r="D449" s="234" t="n">
        <v>39</v>
      </c>
      <c r="E449" s="233" t="inlineStr">
        <is>
          <t>Cinema Hub</t>
        </is>
      </c>
    </row>
    <row r="450">
      <c r="A450" s="235" t="n">
        <v>46296</v>
      </c>
      <c r="B450" s="236" t="inlineStr">
        <is>
          <t>Direct</t>
        </is>
      </c>
      <c r="C450" s="236" t="inlineStr">
        <is>
          <t>Cinema_Landing Page</t>
        </is>
      </c>
      <c r="D450" s="237" t="n">
        <v>47</v>
      </c>
      <c r="E450" s="236" t="inlineStr">
        <is>
          <t>Cinema Hub</t>
        </is>
      </c>
    </row>
    <row r="451">
      <c r="A451" s="232" t="n">
        <v>46296</v>
      </c>
      <c r="B451" s="233" t="inlineStr">
        <is>
          <t>Organic</t>
        </is>
      </c>
      <c r="C451" s="233" t="inlineStr">
        <is>
          <t>Thanh Toán Thẻ Tín Dụng</t>
        </is>
      </c>
      <c r="D451" s="234" t="n">
        <v>160</v>
      </c>
      <c r="E451" s="233" t="inlineStr">
        <is>
          <t>Financial Hub</t>
        </is>
      </c>
    </row>
    <row r="452">
      <c r="A452" s="235" t="n">
        <v>46296</v>
      </c>
      <c r="B452" s="236" t="inlineStr">
        <is>
          <t>Referral</t>
        </is>
      </c>
      <c r="C452" s="236" t="inlineStr">
        <is>
          <t>Trung tâm tài chính</t>
        </is>
      </c>
      <c r="D452" s="237" t="n">
        <v>21</v>
      </c>
      <c r="E452" s="236" t="inlineStr">
        <is>
          <t>Trung tâm tài chính</t>
        </is>
      </c>
    </row>
    <row r="453">
      <c r="A453" s="232" t="n">
        <v>46296</v>
      </c>
      <c r="B453" s="233" t="inlineStr">
        <is>
          <t>Direct</t>
        </is>
      </c>
      <c r="C453" s="233" t="inlineStr">
        <is>
          <t>Sim</t>
        </is>
      </c>
      <c r="D453" s="234" t="n">
        <v>290</v>
      </c>
      <c r="E453" s="233" t="inlineStr">
        <is>
          <t>Sim</t>
        </is>
      </c>
    </row>
    <row r="454">
      <c r="A454" s="235" t="n">
        <v>46296</v>
      </c>
      <c r="B454" s="236" t="inlineStr">
        <is>
          <t>Direct</t>
        </is>
      </c>
      <c r="C454" s="236" t="inlineStr">
        <is>
          <t>Thanh Toán Khoản Vay</t>
        </is>
      </c>
      <c r="D454" s="237" t="n">
        <v>16</v>
      </c>
      <c r="E454" s="236" t="inlineStr">
        <is>
          <t>Financial Hub</t>
        </is>
      </c>
    </row>
    <row r="455">
      <c r="A455" s="232" t="n">
        <v>46143</v>
      </c>
      <c r="B455" s="233" t="inlineStr">
        <is>
          <t>Paid</t>
        </is>
      </c>
      <c r="C455" s="233" t="inlineStr">
        <is>
          <t>Vay Nhanh</t>
        </is>
      </c>
      <c r="D455" s="234" t="n">
        <v>38811</v>
      </c>
      <c r="E455" s="233" t="inlineStr">
        <is>
          <t>Financial Hub</t>
        </is>
      </c>
    </row>
    <row r="456">
      <c r="A456" s="235" t="n">
        <v>46143</v>
      </c>
      <c r="B456" s="236" t="inlineStr">
        <is>
          <t>Organic</t>
        </is>
      </c>
      <c r="C456" s="236" t="inlineStr">
        <is>
          <t>Ví Trả Sau</t>
        </is>
      </c>
      <c r="D456" s="237" t="n">
        <v>2651</v>
      </c>
      <c r="E456" s="236" t="inlineStr">
        <is>
          <t>Financial Hub</t>
        </is>
      </c>
    </row>
    <row r="457">
      <c r="A457" s="232" t="n">
        <v>46143</v>
      </c>
      <c r="B457" s="233" t="inlineStr">
        <is>
          <t>Direct</t>
        </is>
      </c>
      <c r="C457" s="233" t="inlineStr">
        <is>
          <t>Vé Xe</t>
        </is>
      </c>
      <c r="D457" s="234" t="n">
        <v>6203</v>
      </c>
      <c r="E457" s="233" t="inlineStr">
        <is>
          <t>Vé Xe</t>
        </is>
      </c>
    </row>
    <row r="458">
      <c r="A458" s="235" t="n">
        <v>46143</v>
      </c>
      <c r="B458" s="236" t="inlineStr">
        <is>
          <t>Referral</t>
        </is>
      </c>
      <c r="C458" s="236" t="inlineStr">
        <is>
          <t>Vé Xe</t>
        </is>
      </c>
      <c r="D458" s="237" t="n">
        <v>933</v>
      </c>
      <c r="E458" s="236" t="inlineStr">
        <is>
          <t>Vé Xe</t>
        </is>
      </c>
    </row>
    <row r="459">
      <c r="A459" s="232" t="n">
        <v>46143</v>
      </c>
      <c r="B459" s="233" t="inlineStr">
        <is>
          <t>Direct</t>
        </is>
      </c>
      <c r="C459" s="233" t="inlineStr">
        <is>
          <t>Điện</t>
        </is>
      </c>
      <c r="D459" s="234" t="n">
        <v>163</v>
      </c>
      <c r="E459" s="233" t="inlineStr">
        <is>
          <t>Điện</t>
        </is>
      </c>
    </row>
    <row r="460">
      <c r="A460" s="235" t="n">
        <v>46143</v>
      </c>
      <c r="B460" s="236" t="inlineStr">
        <is>
          <t>Others</t>
        </is>
      </c>
      <c r="C460" s="236" t="inlineStr">
        <is>
          <t>Điện</t>
        </is>
      </c>
      <c r="D460" s="237" t="n">
        <v>21</v>
      </c>
      <c r="E460" s="236" t="inlineStr">
        <is>
          <t>Điện</t>
        </is>
      </c>
    </row>
    <row r="461">
      <c r="A461" s="232" t="n">
        <v>46143</v>
      </c>
      <c r="B461" s="233" t="inlineStr">
        <is>
          <t>Others</t>
        </is>
      </c>
      <c r="C461" s="233" t="inlineStr">
        <is>
          <t>Bảo Hiểm Ô Tô</t>
        </is>
      </c>
      <c r="D461" s="234" t="n">
        <v>72</v>
      </c>
      <c r="E461" s="233" t="inlineStr">
        <is>
          <t>Bảo Hiểm Ô Tô</t>
        </is>
      </c>
    </row>
    <row r="462">
      <c r="A462" s="235" t="n">
        <v>46143</v>
      </c>
      <c r="B462" s="236" t="inlineStr">
        <is>
          <t>Organic</t>
        </is>
      </c>
      <c r="C462" s="236" t="inlineStr">
        <is>
          <t>Bảo Hiểm Ô Tô</t>
        </is>
      </c>
      <c r="D462" s="237" t="n">
        <v>4761</v>
      </c>
      <c r="E462" s="236" t="inlineStr">
        <is>
          <t>Bảo Hiểm Ô Tô</t>
        </is>
      </c>
    </row>
    <row r="463">
      <c r="A463" s="232" t="n">
        <v>46143</v>
      </c>
      <c r="B463" s="233" t="inlineStr">
        <is>
          <t>Others</t>
        </is>
      </c>
      <c r="C463" s="233" t="inlineStr">
        <is>
          <t>Cinema_Blog</t>
        </is>
      </c>
      <c r="D463" s="234" t="n">
        <v>312</v>
      </c>
      <c r="E463" s="233" t="inlineStr">
        <is>
          <t>Cinema Hub</t>
        </is>
      </c>
    </row>
    <row r="464">
      <c r="A464" s="235" t="n">
        <v>46143</v>
      </c>
      <c r="B464" s="236" t="inlineStr">
        <is>
          <t>Referral</t>
        </is>
      </c>
      <c r="C464" s="236" t="inlineStr">
        <is>
          <t>Cinema_Blog</t>
        </is>
      </c>
      <c r="D464" s="237" t="n">
        <v>1813</v>
      </c>
      <c r="E464" s="236" t="inlineStr">
        <is>
          <t>Cinema Hub</t>
        </is>
      </c>
    </row>
    <row r="465">
      <c r="A465" s="232" t="n">
        <v>46143</v>
      </c>
      <c r="B465" s="233" t="inlineStr">
        <is>
          <t>Direct</t>
        </is>
      </c>
      <c r="C465" s="233" t="inlineStr">
        <is>
          <t>TnC</t>
        </is>
      </c>
      <c r="D465" s="234" t="n">
        <v>7264</v>
      </c>
      <c r="E465" s="233" t="inlineStr">
        <is>
          <t>TnC</t>
        </is>
      </c>
    </row>
    <row r="466">
      <c r="A466" s="235" t="n">
        <v>46143</v>
      </c>
      <c r="B466" s="236" t="inlineStr">
        <is>
          <t>Organic</t>
        </is>
      </c>
      <c r="C466" s="236" t="inlineStr">
        <is>
          <t>TnC</t>
        </is>
      </c>
      <c r="D466" s="237" t="n">
        <v>2388</v>
      </c>
      <c r="E466" s="236" t="inlineStr">
        <is>
          <t>TnC</t>
        </is>
      </c>
    </row>
    <row r="467">
      <c r="A467" s="232" t="n">
        <v>46143</v>
      </c>
      <c r="B467" s="233" t="inlineStr">
        <is>
          <t>Referral</t>
        </is>
      </c>
      <c r="C467" s="233" t="inlineStr">
        <is>
          <t>Điểm Tín Dụng</t>
        </is>
      </c>
      <c r="D467" s="234" t="n">
        <v>87</v>
      </c>
      <c r="E467" s="233" t="inlineStr">
        <is>
          <t>Financial Hub</t>
        </is>
      </c>
    </row>
    <row r="468">
      <c r="A468" s="235" t="n">
        <v>46296</v>
      </c>
      <c r="B468" s="236" t="inlineStr">
        <is>
          <t>Paid</t>
        </is>
      </c>
      <c r="C468" s="236" t="inlineStr">
        <is>
          <t>Mở tài khoản ngân hàng</t>
        </is>
      </c>
      <c r="D468" s="237" t="n">
        <v>55</v>
      </c>
      <c r="E468" s="236" t="inlineStr">
        <is>
          <t>Mở tài khoản ngân hàng</t>
        </is>
      </c>
    </row>
    <row r="469">
      <c r="A469" s="232" t="n">
        <v>46296</v>
      </c>
      <c r="B469" s="233" t="inlineStr">
        <is>
          <t>Direct</t>
        </is>
      </c>
      <c r="C469" s="233" t="inlineStr">
        <is>
          <t>Tiết Kiệm Online</t>
        </is>
      </c>
      <c r="D469" s="234" t="n">
        <v>106</v>
      </c>
      <c r="E469" s="233" t="inlineStr">
        <is>
          <t>Financial Hub</t>
        </is>
      </c>
    </row>
    <row r="470">
      <c r="A470" s="235" t="n">
        <v>46143</v>
      </c>
      <c r="B470" s="236" t="inlineStr">
        <is>
          <t>Referral</t>
        </is>
      </c>
      <c r="C470" s="236" t="inlineStr">
        <is>
          <t>Blog</t>
        </is>
      </c>
      <c r="D470" s="237" t="n">
        <v>138</v>
      </c>
      <c r="E470" s="236" t="inlineStr">
        <is>
          <t>Blog</t>
        </is>
      </c>
    </row>
    <row r="471">
      <c r="A471" s="232" t="n">
        <v>46296</v>
      </c>
      <c r="B471" s="233" t="inlineStr">
        <is>
          <t>Paid</t>
        </is>
      </c>
      <c r="C471" s="233" t="inlineStr">
        <is>
          <t>Bảo Hiểm</t>
        </is>
      </c>
      <c r="D471" s="234" t="n">
        <v>9</v>
      </c>
      <c r="E471" s="233" t="inlineStr">
        <is>
          <t>Bảo Hiểm</t>
        </is>
      </c>
    </row>
    <row r="472">
      <c r="A472" s="235" t="n">
        <v>46296</v>
      </c>
      <c r="B472" s="236" t="inlineStr">
        <is>
          <t>Referral</t>
        </is>
      </c>
      <c r="C472" s="236" t="inlineStr">
        <is>
          <t>Bảo Hiểm Xe Máy</t>
        </is>
      </c>
      <c r="D472" s="237" t="n">
        <v>85</v>
      </c>
      <c r="E472" s="236" t="inlineStr">
        <is>
          <t>Bảo Hiểm Xe Máy</t>
        </is>
      </c>
    </row>
    <row r="473">
      <c r="A473" s="232" t="n">
        <v>46266</v>
      </c>
      <c r="B473" s="233" t="inlineStr">
        <is>
          <t>Organic</t>
        </is>
      </c>
      <c r="C473" s="233" t="inlineStr">
        <is>
          <t>Cinema_Home Page</t>
        </is>
      </c>
      <c r="D473" s="234" t="n">
        <v>10116</v>
      </c>
      <c r="E473" s="233" t="inlineStr">
        <is>
          <t>Cinema Hub</t>
        </is>
      </c>
    </row>
    <row r="474">
      <c r="A474" s="235" t="n">
        <v>46266</v>
      </c>
      <c r="B474" s="236" t="inlineStr">
        <is>
          <t>Direct</t>
        </is>
      </c>
      <c r="C474" s="236" t="inlineStr">
        <is>
          <t>Cinema_Page</t>
        </is>
      </c>
      <c r="D474" s="237" t="n">
        <v>10846</v>
      </c>
      <c r="E474" s="236" t="inlineStr">
        <is>
          <t>Cinema Hub</t>
        </is>
      </c>
    </row>
    <row r="475">
      <c r="A475" s="232" t="n">
        <v>46266</v>
      </c>
      <c r="B475" s="233" t="inlineStr">
        <is>
          <t>Organic</t>
        </is>
      </c>
      <c r="C475" s="233" t="inlineStr">
        <is>
          <t>Blog</t>
        </is>
      </c>
      <c r="D475" s="234" t="n">
        <v>5150</v>
      </c>
      <c r="E475" s="233" t="inlineStr">
        <is>
          <t>Blog</t>
        </is>
      </c>
    </row>
    <row r="476">
      <c r="A476" s="235" t="n">
        <v>46266</v>
      </c>
      <c r="B476" s="236" t="inlineStr">
        <is>
          <t>Paid</t>
        </is>
      </c>
      <c r="C476" s="236" t="inlineStr">
        <is>
          <t>Cinema_Page</t>
        </is>
      </c>
      <c r="D476" s="237" t="n">
        <v>324430</v>
      </c>
      <c r="E476" s="236" t="inlineStr">
        <is>
          <t>Cinema Hub</t>
        </is>
      </c>
    </row>
    <row r="477">
      <c r="A477" s="232" t="n">
        <v>46266</v>
      </c>
      <c r="B477" s="233" t="inlineStr">
        <is>
          <t>Organic</t>
        </is>
      </c>
      <c r="C477" s="233" t="inlineStr">
        <is>
          <t>Campaign</t>
        </is>
      </c>
      <c r="D477" s="234" t="n">
        <v>705</v>
      </c>
      <c r="E477" s="233" t="inlineStr">
        <is>
          <t>Campaign</t>
        </is>
      </c>
    </row>
    <row r="478">
      <c r="A478" s="235" t="n">
        <v>46266</v>
      </c>
      <c r="B478" s="236" t="inlineStr">
        <is>
          <t>Referral</t>
        </is>
      </c>
      <c r="C478" s="236" t="inlineStr">
        <is>
          <t>Cinema_Home Page</t>
        </is>
      </c>
      <c r="D478" s="237" t="n">
        <v>376</v>
      </c>
      <c r="E478" s="236" t="inlineStr">
        <is>
          <t>Cinema Hub</t>
        </is>
      </c>
    </row>
    <row r="479">
      <c r="A479" s="232" t="n">
        <v>46266</v>
      </c>
      <c r="B479" s="233" t="inlineStr">
        <is>
          <t>Paid</t>
        </is>
      </c>
      <c r="C479" s="233" t="inlineStr">
        <is>
          <t>Application Store</t>
        </is>
      </c>
      <c r="D479" s="234" t="n">
        <v>6923</v>
      </c>
      <c r="E479" s="233" t="inlineStr">
        <is>
          <t>Application Store</t>
        </is>
      </c>
    </row>
    <row r="480">
      <c r="A480" s="235" t="n">
        <v>46266</v>
      </c>
      <c r="B480" s="236" t="inlineStr">
        <is>
          <t>Direct</t>
        </is>
      </c>
      <c r="C480" s="236" t="inlineStr">
        <is>
          <t>Bảo Hiểm Xe Máy</t>
        </is>
      </c>
      <c r="D480" s="237" t="n">
        <v>217</v>
      </c>
      <c r="E480" s="236" t="inlineStr">
        <is>
          <t>Bảo Hiểm Xe Máy</t>
        </is>
      </c>
    </row>
    <row r="481">
      <c r="A481" s="232" t="n">
        <v>46204</v>
      </c>
      <c r="B481" s="233" t="inlineStr">
        <is>
          <t>Referral</t>
        </is>
      </c>
      <c r="C481" s="233" t="inlineStr">
        <is>
          <t>Bảo Hiểm Y Tế</t>
        </is>
      </c>
      <c r="D481" s="234" t="n">
        <v>189</v>
      </c>
      <c r="E481" s="233" t="inlineStr">
        <is>
          <t>Bảo Hiểm Y Tế</t>
        </is>
      </c>
    </row>
    <row r="482">
      <c r="A482" s="235" t="n">
        <v>46204</v>
      </c>
      <c r="B482" s="236" t="inlineStr">
        <is>
          <t>Organic</t>
        </is>
      </c>
      <c r="C482" s="236" t="inlineStr">
        <is>
          <t>Blog</t>
        </is>
      </c>
      <c r="D482" s="237" t="n">
        <v>5509</v>
      </c>
      <c r="E482" s="236" t="inlineStr">
        <is>
          <t>Blog</t>
        </is>
      </c>
    </row>
    <row r="483">
      <c r="A483" s="232" t="n">
        <v>46204</v>
      </c>
      <c r="B483" s="233" t="inlineStr">
        <is>
          <t>Direct</t>
        </is>
      </c>
      <c r="C483" s="233" t="inlineStr">
        <is>
          <t>Cinema_Cineplex Page</t>
        </is>
      </c>
      <c r="D483" s="234" t="n">
        <v>6626</v>
      </c>
      <c r="E483" s="233" t="inlineStr">
        <is>
          <t>Cinema Hub</t>
        </is>
      </c>
    </row>
    <row r="484">
      <c r="A484" s="235" t="n">
        <v>46204</v>
      </c>
      <c r="B484" s="236" t="inlineStr">
        <is>
          <t>Organic</t>
        </is>
      </c>
      <c r="C484" s="236" t="inlineStr">
        <is>
          <t>Billpay</t>
        </is>
      </c>
      <c r="D484" s="237" t="n">
        <v>426</v>
      </c>
      <c r="E484" s="236" t="inlineStr">
        <is>
          <t>Billpay</t>
        </is>
      </c>
    </row>
    <row r="485">
      <c r="A485" s="232" t="n">
        <v>46204</v>
      </c>
      <c r="B485" s="233" t="inlineStr">
        <is>
          <t>Direct</t>
        </is>
      </c>
      <c r="C485" s="233" t="inlineStr">
        <is>
          <t>Billpay</t>
        </is>
      </c>
      <c r="D485" s="234" t="n">
        <v>2325</v>
      </c>
      <c r="E485" s="233" t="inlineStr">
        <is>
          <t>Billpay</t>
        </is>
      </c>
    </row>
    <row r="486">
      <c r="A486" s="235" t="n">
        <v>46204</v>
      </c>
      <c r="B486" s="236" t="inlineStr">
        <is>
          <t>Referral</t>
        </is>
      </c>
      <c r="C486" s="236" t="inlineStr">
        <is>
          <t>Blog</t>
        </is>
      </c>
      <c r="D486" s="237" t="n">
        <v>137</v>
      </c>
      <c r="E486" s="236" t="inlineStr">
        <is>
          <t>Blog</t>
        </is>
      </c>
    </row>
    <row r="487">
      <c r="A487" s="232" t="n">
        <v>46204</v>
      </c>
      <c r="B487" s="233" t="inlineStr">
        <is>
          <t>Referral</t>
        </is>
      </c>
      <c r="C487" s="233" t="inlineStr">
        <is>
          <t>Cinema_Blog</t>
        </is>
      </c>
      <c r="D487" s="234" t="n">
        <v>1759</v>
      </c>
      <c r="E487" s="233" t="inlineStr">
        <is>
          <t>Cinema Hub</t>
        </is>
      </c>
    </row>
    <row r="488">
      <c r="A488" s="235" t="n">
        <v>46204</v>
      </c>
      <c r="B488" s="236" t="inlineStr">
        <is>
          <t>Direct</t>
        </is>
      </c>
      <c r="C488" s="236" t="inlineStr">
        <is>
          <t>Application Store</t>
        </is>
      </c>
      <c r="D488" s="237" t="n">
        <v>191</v>
      </c>
      <c r="E488" s="236" t="inlineStr">
        <is>
          <t>Application Store</t>
        </is>
      </c>
    </row>
    <row r="489">
      <c r="A489" s="232" t="n">
        <v>46143</v>
      </c>
      <c r="B489" s="233" t="inlineStr">
        <is>
          <t>Organic</t>
        </is>
      </c>
      <c r="C489" s="233" t="inlineStr">
        <is>
          <t>Cinema_Page</t>
        </is>
      </c>
      <c r="D489" s="234" t="n">
        <v>134164</v>
      </c>
      <c r="E489" s="233" t="inlineStr">
        <is>
          <t>Cinema Hub</t>
        </is>
      </c>
    </row>
    <row r="490">
      <c r="A490" s="235" t="n">
        <v>46143</v>
      </c>
      <c r="B490" s="236" t="inlineStr">
        <is>
          <t>Direct</t>
        </is>
      </c>
      <c r="C490" s="236" t="inlineStr">
        <is>
          <t>Cinema_Page</t>
        </is>
      </c>
      <c r="D490" s="237" t="n">
        <v>69042</v>
      </c>
      <c r="E490" s="236" t="inlineStr">
        <is>
          <t>Cinema Hub</t>
        </is>
      </c>
    </row>
    <row r="491">
      <c r="A491" s="232" t="n">
        <v>46143</v>
      </c>
      <c r="B491" s="233" t="inlineStr">
        <is>
          <t>Others</t>
        </is>
      </c>
      <c r="C491" s="233" t="inlineStr">
        <is>
          <t>Data</t>
        </is>
      </c>
      <c r="D491" s="234" t="n">
        <v>319</v>
      </c>
      <c r="E491" s="233" t="inlineStr">
        <is>
          <t>Data</t>
        </is>
      </c>
    </row>
    <row r="492">
      <c r="A492" s="235" t="n">
        <v>46143</v>
      </c>
      <c r="B492" s="236" t="inlineStr">
        <is>
          <t>Direct</t>
        </is>
      </c>
      <c r="C492" s="236" t="inlineStr">
        <is>
          <t>Esim</t>
        </is>
      </c>
      <c r="D492" s="237" t="n">
        <v>409</v>
      </c>
      <c r="E492" s="236" t="inlineStr">
        <is>
          <t>Sim</t>
        </is>
      </c>
    </row>
    <row r="493">
      <c r="A493" s="232" t="n">
        <v>46143</v>
      </c>
      <c r="B493" s="233" t="inlineStr">
        <is>
          <t>Others</t>
        </is>
      </c>
      <c r="C493" s="233" t="inlineStr">
        <is>
          <t>Guide</t>
        </is>
      </c>
      <c r="D493" s="234" t="n">
        <v>187</v>
      </c>
      <c r="E493" s="233" t="inlineStr">
        <is>
          <t>Guide</t>
        </is>
      </c>
    </row>
    <row r="494">
      <c r="A494" s="235" t="n">
        <v>46143</v>
      </c>
      <c r="B494" s="236" t="inlineStr">
        <is>
          <t>Referral</t>
        </is>
      </c>
      <c r="C494" s="236" t="inlineStr">
        <is>
          <t>Cinema_Cineplex Page</t>
        </is>
      </c>
      <c r="D494" s="237" t="n">
        <v>1434</v>
      </c>
      <c r="E494" s="236" t="inlineStr">
        <is>
          <t>Cinema Hub</t>
        </is>
      </c>
    </row>
    <row r="495">
      <c r="A495" s="232" t="n">
        <v>46143</v>
      </c>
      <c r="B495" s="233" t="inlineStr">
        <is>
          <t>Direct</t>
        </is>
      </c>
      <c r="C495" s="233" t="inlineStr">
        <is>
          <t>Dịch vụ liên kết</t>
        </is>
      </c>
      <c r="D495" s="234" t="n">
        <v>896</v>
      </c>
      <c r="E495" s="233" t="inlineStr">
        <is>
          <t>Dịch vụ liên kết</t>
        </is>
      </c>
    </row>
    <row r="496">
      <c r="A496" s="235" t="n">
        <v>46143</v>
      </c>
      <c r="B496" s="236" t="inlineStr">
        <is>
          <t>Organic</t>
        </is>
      </c>
      <c r="C496" s="236" t="inlineStr">
        <is>
          <t>Tiktok</t>
        </is>
      </c>
      <c r="D496" s="237" t="n">
        <v>22767</v>
      </c>
      <c r="E496" s="236" t="inlineStr">
        <is>
          <t>Tiktok</t>
        </is>
      </c>
    </row>
    <row r="497">
      <c r="A497" s="232" t="n">
        <v>46143</v>
      </c>
      <c r="B497" s="233" t="inlineStr">
        <is>
          <t>Direct</t>
        </is>
      </c>
      <c r="C497" s="233" t="inlineStr">
        <is>
          <t>Others</t>
        </is>
      </c>
      <c r="D497" s="234" t="n">
        <v>31863</v>
      </c>
      <c r="E497" s="233" t="inlineStr">
        <is>
          <t>Others</t>
        </is>
      </c>
    </row>
    <row r="498">
      <c r="A498" s="235" t="n">
        <v>46143</v>
      </c>
      <c r="B498" s="236" t="inlineStr">
        <is>
          <t>Paid</t>
        </is>
      </c>
      <c r="C498" s="236" t="inlineStr">
        <is>
          <t>Home MoMo</t>
        </is>
      </c>
      <c r="D498" s="237" t="n">
        <v>2228</v>
      </c>
      <c r="E498" s="236" t="inlineStr">
        <is>
          <t>Home MoMo</t>
        </is>
      </c>
    </row>
    <row r="499">
      <c r="A499" s="232" t="n">
        <v>46143</v>
      </c>
      <c r="B499" s="233" t="inlineStr">
        <is>
          <t>Referral</t>
        </is>
      </c>
      <c r="C499" s="233" t="inlineStr">
        <is>
          <t>New User</t>
        </is>
      </c>
      <c r="D499" s="234" t="n">
        <v>44684</v>
      </c>
      <c r="E499" s="233" t="inlineStr">
        <is>
          <t>New User</t>
        </is>
      </c>
    </row>
    <row r="500">
      <c r="A500" s="235" t="n">
        <v>46143</v>
      </c>
      <c r="B500" s="236" t="inlineStr">
        <is>
          <t>Referral</t>
        </is>
      </c>
      <c r="C500" s="236" t="inlineStr">
        <is>
          <t>Others</t>
        </is>
      </c>
      <c r="D500" s="237" t="n">
        <v>9570</v>
      </c>
      <c r="E500" s="236" t="inlineStr">
        <is>
          <t>Others</t>
        </is>
      </c>
    </row>
    <row r="501">
      <c r="A501" s="232" t="n">
        <v>46143</v>
      </c>
      <c r="B501" s="233" t="inlineStr">
        <is>
          <t>Direct</t>
        </is>
      </c>
      <c r="C501" s="233" t="inlineStr">
        <is>
          <t>Merchant</t>
        </is>
      </c>
      <c r="D501" s="234" t="n">
        <v>3872</v>
      </c>
      <c r="E501" s="233" t="inlineStr">
        <is>
          <t>Merchant</t>
        </is>
      </c>
    </row>
    <row r="502">
      <c r="A502" s="235" t="n">
        <v>46143</v>
      </c>
      <c r="B502" s="236" t="inlineStr">
        <is>
          <t>Organic</t>
        </is>
      </c>
      <c r="C502" s="236" t="inlineStr">
        <is>
          <t>Sim</t>
        </is>
      </c>
      <c r="D502" s="237" t="n">
        <v>6616</v>
      </c>
      <c r="E502" s="236" t="inlineStr">
        <is>
          <t>Sim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2026-10-15T04:20:00Z</dcterms:created>
  <dcterms:modified xmlns:dcterms="http://purl.org/dc/terms/" xmlns:xsi="http://www.w3.org/2001/XMLSchema-instance" xsi:type="dcterms:W3CDTF">2026-10-15T04:20:02Z</dcterms:modified>
</cp:coreProperties>
</file>