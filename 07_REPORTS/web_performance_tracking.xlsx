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74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Momo Trust Sans"/>
      <color rgb="00666666"/>
      <sz val="11"/>
    </font>
    <font>
      <name val="Momo Trust Sans"/>
      <b val="1"/>
      <sz val="11"/>
    </font>
    <font>
      <name val="Momo Trust Sans"/>
      <sz val="11"/>
    </font>
    <font>
      <name val="Arial"/>
      <i val="1"/>
      <color rgb="005F6368"/>
      <sz val="11"/>
    </font>
    <font>
      <name val="Arial"/>
      <b val="1"/>
      <sz val="11"/>
    </font>
    <font>
      <name val="Arial"/>
      <b val="1"/>
      <color rgb="000D652D"/>
      <sz val="11"/>
    </font>
  </fonts>
  <fills count="3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FFFFFF"/>
        <bgColor rgb="00FFFFFF"/>
      </patternFill>
    </fill>
    <fill>
      <patternFill patternType="solid">
        <fgColor rgb="00F1F3F4"/>
        <bgColor rgb="00F1F3F4"/>
      </patternFill>
    </fill>
    <fill>
      <patternFill patternType="solid">
        <fgColor rgb="00FFE599"/>
        <bgColor rgb="00FFE599"/>
      </patternFill>
    </fill>
    <fill>
      <patternFill patternType="solid">
        <fgColor rgb="00E6F4EA"/>
        <bgColor rgb="00E6F4E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76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  <xf numFmtId="166" fontId="68" fillId="30" borderId="0" applyAlignment="1" pivotButton="0" quotePrefix="0" xfId="0">
      <alignment horizontal="right" vertical="center"/>
    </xf>
    <xf numFmtId="10" fontId="68" fillId="30" borderId="0" applyAlignment="1" pivotButton="0" quotePrefix="0" xfId="0">
      <alignment horizontal="right" vertical="center"/>
    </xf>
    <xf numFmtId="0" fontId="69" fillId="0" borderId="0" applyAlignment="1" pivotButton="0" quotePrefix="0" xfId="0">
      <alignment vertical="center"/>
    </xf>
    <xf numFmtId="3" fontId="69" fillId="0" borderId="0" applyAlignment="1" pivotButton="0" quotePrefix="0" xfId="0">
      <alignment horizontal="right" vertical="center"/>
    </xf>
    <xf numFmtId="0" fontId="70" fillId="0" borderId="0" applyAlignment="1" pivotButton="0" quotePrefix="0" xfId="0">
      <alignment vertical="center"/>
    </xf>
    <xf numFmtId="3" fontId="70" fillId="0" borderId="0" applyAlignment="1" pivotButton="0" quotePrefix="0" xfId="0">
      <alignment horizontal="right" vertical="center"/>
    </xf>
    <xf numFmtId="3" fontId="69" fillId="0" borderId="0" applyAlignment="1" pivotButton="0" quotePrefix="0" xfId="0">
      <alignment horizontal="right"/>
    </xf>
    <xf numFmtId="3" fontId="70" fillId="0" borderId="0" applyAlignment="1" pivotButton="0" quotePrefix="0" xfId="0">
      <alignment horizontal="right"/>
    </xf>
    <xf numFmtId="0" fontId="69" fillId="3" borderId="0" applyAlignment="1" pivotButton="0" quotePrefix="0" xfId="0">
      <alignment horizontal="left"/>
    </xf>
    <xf numFmtId="0" fontId="70" fillId="3" borderId="0" applyAlignment="1" pivotButton="0" quotePrefix="0" xfId="0">
      <alignment horizontal="left"/>
    </xf>
    <xf numFmtId="3" fontId="69" fillId="3" borderId="0" applyAlignment="1" pivotButton="0" quotePrefix="0" xfId="0">
      <alignment horizontal="right"/>
    </xf>
    <xf numFmtId="0" fontId="69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/>
    </xf>
    <xf numFmtId="3" fontId="70" fillId="0" borderId="0" applyAlignment="1" pivotButton="0" quotePrefix="0" xfId="0">
      <alignment horizontal="left"/>
    </xf>
    <xf numFmtId="166" fontId="69" fillId="0" borderId="0" applyAlignment="1" pivotButton="0" quotePrefix="0" xfId="0">
      <alignment horizontal="right"/>
    </xf>
    <xf numFmtId="0" fontId="40" fillId="0" borderId="0" applyAlignment="1" pivotButton="0" quotePrefix="0" xfId="0">
      <alignment horizontal="left"/>
    </xf>
    <xf numFmtId="0" fontId="71" fillId="31" borderId="0" applyAlignment="1" pivotButton="0" quotePrefix="0" xfId="0">
      <alignment horizontal="right"/>
    </xf>
    <xf numFmtId="3" fontId="71" fillId="31" borderId="0" applyAlignment="1" pivotButton="0" quotePrefix="0" xfId="0">
      <alignment vertical="bottom"/>
    </xf>
    <xf numFmtId="3" fontId="71" fillId="31" borderId="0" applyAlignment="1" pivotButton="0" quotePrefix="0" xfId="0">
      <alignment horizontal="center" vertical="center"/>
    </xf>
    <xf numFmtId="0" fontId="71" fillId="31" borderId="0" applyAlignment="1" pivotButton="0" quotePrefix="0" xfId="0">
      <alignment vertical="bottom"/>
    </xf>
    <xf numFmtId="0" fontId="44" fillId="0" borderId="0" applyAlignment="1" pivotButton="0" quotePrefix="0" xfId="0">
      <alignment horizontal="left"/>
    </xf>
    <xf numFmtId="3" fontId="45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left"/>
    </xf>
    <xf numFmtId="3" fontId="50" fillId="0" borderId="0" applyAlignment="1" pivotButton="0" quotePrefix="0" xfId="0">
      <alignment vertical="bottom"/>
    </xf>
    <xf numFmtId="0" fontId="50" fillId="0" borderId="0" applyAlignment="1" pivotButton="0" quotePrefix="0" xfId="0">
      <alignment vertical="bottom"/>
    </xf>
    <xf numFmtId="0" fontId="52" fillId="0" borderId="0" applyAlignment="1" pivotButton="0" quotePrefix="0" xfId="0">
      <alignment horizontal="left"/>
    </xf>
    <xf numFmtId="166" fontId="71" fillId="31" borderId="0" applyAlignment="1" pivotButton="0" quotePrefix="0" xfId="0">
      <alignment vertical="bottom"/>
    </xf>
    <xf numFmtId="0" fontId="71" fillId="31" borderId="0" pivotButton="0" quotePrefix="0" xfId="0"/>
    <xf numFmtId="0" fontId="19" fillId="0" borderId="0" applyAlignment="1" pivotButton="0" quotePrefix="0" xfId="0">
      <alignment horizontal="left"/>
    </xf>
    <xf numFmtId="0" fontId="72" fillId="32" borderId="0" applyAlignment="1" pivotButton="0" quotePrefix="0" xfId="0">
      <alignment horizontal="center" vertical="center"/>
    </xf>
    <xf numFmtId="166" fontId="73" fillId="33" borderId="0" applyAlignment="1" pivotButton="0" quotePrefix="0" xfId="0">
      <alignment horizontal="right" vertical="center"/>
    </xf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tabSelected="0"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tabSelected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27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>3181254</v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>3181254</v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-583181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>526468</v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-0.1549186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>0.1983090162</v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1526388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v>1526388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v>396948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v>396948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v>835002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v>835002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v>307590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v>307590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v>115326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v>115326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245">
        <f>K9/$K$5</f>
        <v>0.4798070195</v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246">
        <f>T9/$T$5</f>
        <v>0.4798070195</v>
      </c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245">
        <f>K10/$K$5</f>
        <v>0.1247772105</v>
      </c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246">
        <f>T10/$T$5</f>
        <v>0.1247772105</v>
      </c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245">
        <f>K11/$K$5</f>
        <v>0.2624757407</v>
      </c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246">
        <f>T11/$T$5</f>
        <v>0.2624757407</v>
      </c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245">
        <f>K12/$K$5</f>
        <v>0.0966882871</v>
      </c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246">
        <f>T12/$T$5</f>
        <v>0.0966882871</v>
      </c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245">
        <f>K13/$K$5</f>
        <v>0.0362517422</v>
      </c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246">
        <f>T13/$T$5</f>
        <v>0.0362517422</v>
      </c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245">
        <f>K15+K17+K18</f>
        <v>0.8389710473</v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27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>3181254</v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-583181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-0.1549186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>2784306</v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1526388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v>835002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v>307590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v>115326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v>396948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 t="str">
        <f>"Update to: " &amp; DAY(NOW())</f>
        <v>Update to: 27</v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>3181254</v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>-583181</v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>-0.1549186</v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 t="str">
        <f>IFERROR(REPT("█", ROUND(K6/K3*4,0)) &amp; " " &amp; TEXT(K6/K3,"0%"), "")</f>
        <v>███ 87%</v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>
        <v>1526388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>
        <v>396948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>
        <v>835002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>
        <v>307590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>
        <v>115326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tabSelected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 t="inlineStr">
        <is>
          <t>Update to: 27</t>
        </is>
      </c>
      <c r="B1" s="92" t="inlineStr">
        <is>
          <t>MTD</t>
        </is>
      </c>
      <c r="J1" s="93" t="inlineStr">
        <is>
          <t>VS. SPLM</t>
        </is>
      </c>
      <c r="K1" s="274" t="inlineStr">
        <is>
          <t>W2A CVR</t>
        </is>
      </c>
      <c r="L1" s="92" t="inlineStr">
        <is>
          <t>Full Month</t>
        </is>
      </c>
      <c r="T1" s="93" t="inlineStr">
        <is>
          <t>VS. SPLM</t>
        </is>
      </c>
      <c r="U1" s="95" t="n"/>
      <c r="V1" s="95" t="n"/>
      <c r="W1" s="95" t="n"/>
    </row>
    <row r="2">
      <c r="A2" s="96" t="inlineStr">
        <is>
          <t>Metrics</t>
        </is>
      </c>
      <c r="B2" s="97" t="inlineStr">
        <is>
          <t>May 26</t>
        </is>
      </c>
      <c r="C2" s="97" t="inlineStr">
        <is>
          <t>Jun 26</t>
        </is>
      </c>
      <c r="D2" s="97" t="inlineStr">
        <is>
          <t>Jul 26</t>
        </is>
      </c>
      <c r="E2" s="97" t="inlineStr">
        <is>
          <t>Aug 26</t>
        </is>
      </c>
      <c r="F2" s="97" t="inlineStr">
        <is>
          <t>Sep 26</t>
        </is>
      </c>
      <c r="G2" s="97" t="inlineStr">
        <is>
          <t>Oct 26</t>
        </is>
      </c>
      <c r="H2" s="97" t="inlineStr">
        <is>
          <t>Nov 26</t>
        </is>
      </c>
      <c r="I2" s="97" t="inlineStr">
        <is>
          <t>Dec 26</t>
        </is>
      </c>
      <c r="L2" s="97" t="inlineStr">
        <is>
          <t>May 26</t>
        </is>
      </c>
      <c r="M2" s="97" t="inlineStr">
        <is>
          <t>Jun 26</t>
        </is>
      </c>
      <c r="N2" s="97" t="inlineStr">
        <is>
          <t>Jul 26</t>
        </is>
      </c>
      <c r="O2" s="97" t="inlineStr">
        <is>
          <t>Aug 26</t>
        </is>
      </c>
      <c r="P2" s="97" t="inlineStr">
        <is>
          <t>Sep 26</t>
        </is>
      </c>
      <c r="Q2" s="97" t="inlineStr">
        <is>
          <t>Oct 26</t>
        </is>
      </c>
      <c r="R2" s="97" t="inlineStr">
        <is>
          <t>Nov 26</t>
        </is>
      </c>
      <c r="S2" s="97" t="inlineStr">
        <is>
          <t>Dec 26</t>
        </is>
      </c>
      <c r="U2" s="99" t="n"/>
      <c r="V2" s="99" t="n"/>
      <c r="W2" s="99" t="n"/>
    </row>
    <row r="3">
      <c r="A3" s="100" t="inlineStr">
        <is>
          <t>Page views (Actual)</t>
        </is>
      </c>
      <c r="B3" s="103" t="inlineStr">
        <is>
          <t>2,319,234</t>
        </is>
      </c>
      <c r="C3" s="103" t="inlineStr">
        <is>
          <t>2,683,125</t>
        </is>
      </c>
      <c r="D3" s="103" t="inlineStr">
        <is>
          <t>2,177,329</t>
        </is>
      </c>
      <c r="E3" s="103" t="inlineStr">
        <is>
          <t>2,489,454</t>
        </is>
      </c>
      <c r="F3" s="103" t="inlineStr">
        <is>
          <t>2,958,028</t>
        </is>
      </c>
      <c r="G3" s="103" t="inlineStr">
        <is>
          <t>3,076,791</t>
        </is>
      </c>
      <c r="H3" s="103" t="inlineStr">
        <is>
          <t>0</t>
        </is>
      </c>
      <c r="I3" s="103" t="inlineStr">
        <is>
          <t>0</t>
        </is>
      </c>
      <c r="J3" s="124" t="inlineStr">
        <is>
          <t>118,763</t>
        </is>
      </c>
      <c r="K3" s="275">
        <f>SUM(G9, G23, G25, G27, G29, G59, G67, G69, G71, G73, G75, G81, G83, G85, G87, G89, G91, G93, G95, G97, G99, G101, G103, G105, G107, G109, G111, G113, G115, G117, G119, G125, G127, G129, G131, G133, G135, G137) / G3</f>
        <v/>
      </c>
      <c r="L3" s="103" t="inlineStr">
        <is>
          <t>3,273,623</t>
        </is>
      </c>
      <c r="M3" s="103" t="inlineStr">
        <is>
          <t>3,408,182</t>
        </is>
      </c>
      <c r="N3" s="103" t="inlineStr">
        <is>
          <t>3,167,821</t>
        </is>
      </c>
      <c r="O3" s="103" t="inlineStr">
        <is>
          <t>3,465,363</t>
        </is>
      </c>
      <c r="P3" s="103" t="inlineStr">
        <is>
          <t>3,952,055</t>
        </is>
      </c>
      <c r="Q3" s="103">
        <f t="array" ref="Q3">INDEX('Full month Pivot'!$D$3:$K$400, MATCH("Grand Total", 'Full month Pivot'!$A$3:$A$400, 0), MATCH(Q$2, 'Full month Pivot'!$D$2:$K$2, 0))</f>
        <v/>
      </c>
      <c r="R3" s="103" t="inlineStr">
        <is>
          <t>0</t>
        </is>
      </c>
      <c r="S3" s="103" t="inlineStr">
        <is>
          <t>0</t>
        </is>
      </c>
      <c r="T3" s="124" t="inlineStr">
        <is>
          <t>118,763</t>
        </is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inlineStr"/>
      <c r="C4" s="123" t="inlineStr">
        <is>
          <t>363,891</t>
        </is>
      </c>
      <c r="D4" s="123" t="inlineStr">
        <is>
          <t>-505,796</t>
        </is>
      </c>
      <c r="E4" s="123" t="inlineStr">
        <is>
          <t>312,125</t>
        </is>
      </c>
      <c r="F4" s="123" t="inlineStr">
        <is>
          <t>468,574</t>
        </is>
      </c>
      <c r="G4" s="123" t="inlineStr">
        <is>
          <t>118,763</t>
        </is>
      </c>
      <c r="H4" s="122" t="inlineStr"/>
      <c r="I4" s="122" t="inlineStr"/>
      <c r="J4" s="124" t="inlineStr"/>
      <c r="K4" s="112" t="inlineStr"/>
      <c r="L4" s="122" t="inlineStr"/>
      <c r="M4" s="123" t="inlineStr">
        <is>
          <t>134,559</t>
        </is>
      </c>
      <c r="N4" s="123" t="inlineStr">
        <is>
          <t>-240,361</t>
        </is>
      </c>
      <c r="O4" s="123" t="inlineStr">
        <is>
          <t>297,542</t>
        </is>
      </c>
      <c r="P4" s="123" t="inlineStr">
        <is>
          <t>486,692</t>
        </is>
      </c>
      <c r="Q4" s="123" t="inlineStr">
        <is>
          <t>-875,264</t>
        </is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inlineStr"/>
      <c r="C5" s="122" t="inlineStr">
        <is>
          <t>15.7%</t>
        </is>
      </c>
      <c r="D5" s="122" t="inlineStr">
        <is>
          <t>-18.9%</t>
        </is>
      </c>
      <c r="E5" s="122" t="inlineStr">
        <is>
          <t>14.3%</t>
        </is>
      </c>
      <c r="F5" s="122" t="inlineStr">
        <is>
          <t>18.8%</t>
        </is>
      </c>
      <c r="G5" s="122" t="inlineStr">
        <is>
          <t>4.0%</t>
        </is>
      </c>
      <c r="H5" s="112" t="inlineStr"/>
      <c r="I5" s="112" t="inlineStr"/>
      <c r="J5" s="124" t="inlineStr"/>
      <c r="K5" s="112" t="inlineStr"/>
      <c r="L5" s="123" t="inlineStr"/>
      <c r="M5" s="122" t="inlineStr">
        <is>
          <t>4.1%</t>
        </is>
      </c>
      <c r="N5" s="122" t="inlineStr">
        <is>
          <t>-7.1%</t>
        </is>
      </c>
      <c r="O5" s="122" t="inlineStr">
        <is>
          <t>9.4%</t>
        </is>
      </c>
      <c r="P5" s="122" t="inlineStr">
        <is>
          <t>14.0%</t>
        </is>
      </c>
      <c r="Q5" s="122" t="inlineStr">
        <is>
          <t>-22.1%</t>
        </is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260" t="inlineStr">
        <is>
          <t>Cinema Hub</t>
        </is>
      </c>
      <c r="B8" s="153" t="inlineStr">
        <is>
          <t>768,130</t>
        </is>
      </c>
      <c r="C8" s="153" t="inlineStr">
        <is>
          <t>669,985</t>
        </is>
      </c>
      <c r="D8" s="153" t="inlineStr">
        <is>
          <t>614,777</t>
        </is>
      </c>
      <c r="E8" s="153" t="inlineStr">
        <is>
          <t>569,986</t>
        </is>
      </c>
      <c r="F8" s="153" t="inlineStr">
        <is>
          <t>908,604</t>
        </is>
      </c>
      <c r="G8" s="153" t="inlineStr">
        <is>
          <t>1,023,745</t>
        </is>
      </c>
      <c r="H8" s="153" t="inlineStr">
        <is>
          <t>0</t>
        </is>
      </c>
      <c r="I8" s="153" t="inlineStr">
        <is>
          <t>0</t>
        </is>
      </c>
      <c r="J8" s="124" t="inlineStr">
        <is>
          <t>115,141</t>
        </is>
      </c>
      <c r="K8" s="132" t="inlineStr"/>
      <c r="L8" s="153" t="inlineStr">
        <is>
          <t>994,719</t>
        </is>
      </c>
      <c r="M8" s="153" t="inlineStr">
        <is>
          <t>859,183</t>
        </is>
      </c>
      <c r="N8" s="153" t="inlineStr">
        <is>
          <t>822,859</t>
        </is>
      </c>
      <c r="O8" s="153" t="inlineStr">
        <is>
          <t>832,460</t>
        </is>
      </c>
      <c r="P8" s="153" t="inlineStr">
        <is>
          <t>1,220,075</t>
        </is>
      </c>
      <c r="Q8" s="153" t="inlineStr">
        <is>
          <t>1,023,745</t>
        </is>
      </c>
      <c r="R8" s="153" t="inlineStr">
        <is>
          <t>0</t>
        </is>
      </c>
      <c r="S8" s="153" t="inlineStr">
        <is>
          <t>0</t>
        </is>
      </c>
      <c r="T8" s="124" t="inlineStr">
        <is>
          <t>115,141</t>
        </is>
      </c>
      <c r="U8" s="134" t="n"/>
      <c r="V8" s="134" t="n"/>
      <c r="W8" s="134" t="n"/>
    </row>
    <row r="9" hidden="1" outlineLevel="1" s="240">
      <c r="A9" s="261" t="inlineStr">
        <is>
          <t>Click Cinema</t>
        </is>
      </c>
      <c r="B9" s="262" t="inlineStr"/>
      <c r="C9" s="262" t="inlineStr"/>
      <c r="D9" s="262" t="inlineStr"/>
      <c r="E9" s="262" t="inlineStr"/>
      <c r="F9" s="262" t="inlineStr">
        <is>
          <t>6,508</t>
        </is>
      </c>
      <c r="G9" s="262" t="inlineStr">
        <is>
          <t>10,426</t>
        </is>
      </c>
      <c r="H9" s="262" t="inlineStr"/>
      <c r="I9" s="262" t="inlineStr"/>
      <c r="J9" s="263" t="inlineStr">
        <is>
          <t>3,918</t>
        </is>
      </c>
      <c r="K9" s="264" t="inlineStr">
        <is>
          <t>1.0%</t>
        </is>
      </c>
      <c r="L9" s="262" t="inlineStr"/>
      <c r="M9" s="262" t="inlineStr"/>
      <c r="N9" s="262" t="inlineStr"/>
      <c r="O9" s="262" t="inlineStr"/>
      <c r="P9" s="262" t="inlineStr">
        <is>
          <t>8,590</t>
        </is>
      </c>
      <c r="Q9" s="262" t="inlineStr">
        <is>
          <t>10,426</t>
        </is>
      </c>
      <c r="R9" s="262" t="inlineStr"/>
      <c r="S9" s="262" t="inlineStr"/>
      <c r="T9" s="263" t="inlineStr">
        <is>
          <t>3,918</t>
        </is>
      </c>
      <c r="U9" s="99" t="n"/>
      <c r="V9" s="99" t="n"/>
      <c r="W9" s="99" t="n"/>
    </row>
    <row r="10" hidden="1" outlineLevel="1" s="240">
      <c r="A10" s="265" t="inlineStr">
        <is>
          <t>Cinema_Cineplex Page</t>
        </is>
      </c>
      <c r="B10" s="266" t="inlineStr">
        <is>
          <t>274,505</t>
        </is>
      </c>
      <c r="C10" s="266" t="inlineStr">
        <is>
          <t>314,369</t>
        </is>
      </c>
      <c r="D10" s="266" t="inlineStr">
        <is>
          <t>303,374</t>
        </is>
      </c>
      <c r="E10" s="266" t="inlineStr">
        <is>
          <t>290,123</t>
        </is>
      </c>
      <c r="F10" s="266" t="inlineStr">
        <is>
          <t>299,756</t>
        </is>
      </c>
      <c r="G10" s="266" t="inlineStr">
        <is>
          <t>627,831</t>
        </is>
      </c>
      <c r="H10" s="266" t="inlineStr">
        <is>
          <t>0</t>
        </is>
      </c>
      <c r="I10" s="266" t="inlineStr">
        <is>
          <t>0</t>
        </is>
      </c>
      <c r="J10" s="124" t="inlineStr">
        <is>
          <t>328,075</t>
        </is>
      </c>
      <c r="K10" s="112" t="inlineStr"/>
      <c r="L10" s="266" t="inlineStr">
        <is>
          <t>374,701</t>
        </is>
      </c>
      <c r="M10" s="266" t="inlineStr">
        <is>
          <t>400,451</t>
        </is>
      </c>
      <c r="N10" s="266" t="inlineStr">
        <is>
          <t>412,039</t>
        </is>
      </c>
      <c r="O10" s="266" t="inlineStr">
        <is>
          <t>418,684</t>
        </is>
      </c>
      <c r="P10" s="266" t="inlineStr">
        <is>
          <t>501,574</t>
        </is>
      </c>
      <c r="Q10" s="266" t="inlineStr">
        <is>
          <t>627,831</t>
        </is>
      </c>
      <c r="R10" s="266" t="inlineStr">
        <is>
          <t>0</t>
        </is>
      </c>
      <c r="S10" s="266" t="inlineStr">
        <is>
          <t>0</t>
        </is>
      </c>
      <c r="T10" s="124" t="inlineStr">
        <is>
          <t>328,075</t>
        </is>
      </c>
      <c r="U10" s="99" t="n"/>
      <c r="V10" s="99" t="n"/>
      <c r="W10" s="99" t="n"/>
    </row>
    <row r="11" hidden="1" outlineLevel="1" s="240">
      <c r="A11" s="261" t="inlineStr">
        <is>
          <t xml:space="preserve">    Click Cinema_Cineplex Page</t>
        </is>
      </c>
      <c r="B11" s="262" t="inlineStr"/>
      <c r="C11" s="262" t="inlineStr"/>
      <c r="D11" s="262" t="inlineStr"/>
      <c r="E11" s="262" t="inlineStr"/>
      <c r="F11" s="262" t="inlineStr">
        <is>
          <t>4,531</t>
        </is>
      </c>
      <c r="G11" s="262" t="inlineStr">
        <is>
          <t>7,527</t>
        </is>
      </c>
      <c r="H11" s="262" t="inlineStr"/>
      <c r="I11" s="262" t="inlineStr"/>
      <c r="J11" s="263" t="inlineStr">
        <is>
          <t>2,996</t>
        </is>
      </c>
      <c r="K11" s="264" t="inlineStr">
        <is>
          <t>1.2%</t>
        </is>
      </c>
      <c r="L11" s="262" t="inlineStr"/>
      <c r="M11" s="262" t="inlineStr"/>
      <c r="N11" s="262" t="inlineStr"/>
      <c r="O11" s="262" t="inlineStr"/>
      <c r="P11" s="262" t="inlineStr">
        <is>
          <t>6,250</t>
        </is>
      </c>
      <c r="Q11" s="262" t="inlineStr">
        <is>
          <t>7,527</t>
        </is>
      </c>
      <c r="R11" s="262" t="inlineStr"/>
      <c r="S11" s="262" t="inlineStr"/>
      <c r="T11" s="263" t="inlineStr">
        <is>
          <t>2,996</t>
        </is>
      </c>
      <c r="U11" s="99" t="n"/>
      <c r="V11" s="99" t="n"/>
      <c r="W11" s="99" t="n"/>
    </row>
    <row r="12" hidden="1" outlineLevel="1" s="240">
      <c r="A12" s="265" t="inlineStr">
        <is>
          <t>Cinema_Page</t>
        </is>
      </c>
      <c r="B12" s="266" t="inlineStr">
        <is>
          <t>411,911</t>
        </is>
      </c>
      <c r="C12" s="266" t="inlineStr">
        <is>
          <t>274,170</t>
        </is>
      </c>
      <c r="D12" s="266" t="inlineStr">
        <is>
          <t>236,009</t>
        </is>
      </c>
      <c r="E12" s="266" t="inlineStr">
        <is>
          <t>213,241</t>
        </is>
      </c>
      <c r="F12" s="266" t="inlineStr">
        <is>
          <t>553,415</t>
        </is>
      </c>
      <c r="G12" s="266" t="inlineStr">
        <is>
          <t>342,488</t>
        </is>
      </c>
      <c r="H12" s="266" t="inlineStr">
        <is>
          <t>0</t>
        </is>
      </c>
      <c r="I12" s="266" t="inlineStr">
        <is>
          <t>0</t>
        </is>
      </c>
      <c r="J12" s="124" t="inlineStr">
        <is>
          <t>-210,927</t>
        </is>
      </c>
      <c r="K12" s="112" t="inlineStr"/>
      <c r="L12" s="266" t="inlineStr">
        <is>
          <t>507,256</t>
        </is>
      </c>
      <c r="M12" s="266" t="inlineStr">
        <is>
          <t>353,136</t>
        </is>
      </c>
      <c r="N12" s="266" t="inlineStr">
        <is>
          <t>309,907</t>
        </is>
      </c>
      <c r="O12" s="266" t="inlineStr">
        <is>
          <t>324,305</t>
        </is>
      </c>
      <c r="P12" s="266" t="inlineStr">
        <is>
          <t>645,998</t>
        </is>
      </c>
      <c r="Q12" s="266" t="inlineStr">
        <is>
          <t>342,488</t>
        </is>
      </c>
      <c r="R12" s="266" t="inlineStr">
        <is>
          <t>0</t>
        </is>
      </c>
      <c r="S12" s="266" t="inlineStr">
        <is>
          <t>0</t>
        </is>
      </c>
      <c r="T12" s="124" t="inlineStr">
        <is>
          <t>-210,927</t>
        </is>
      </c>
      <c r="U12" s="99" t="n"/>
      <c r="V12" s="99" t="n"/>
      <c r="W12" s="99" t="n"/>
    </row>
    <row r="13" hidden="1" outlineLevel="1" s="240">
      <c r="A13" s="261" t="inlineStr">
        <is>
          <t xml:space="preserve">    Click Cinema_Page</t>
        </is>
      </c>
      <c r="B13" s="262" t="inlineStr"/>
      <c r="C13" s="262" t="inlineStr"/>
      <c r="D13" s="262" t="inlineStr"/>
      <c r="E13" s="262" t="inlineStr"/>
      <c r="F13" s="262" t="inlineStr">
        <is>
          <t>1,321</t>
        </is>
      </c>
      <c r="G13" s="262" t="inlineStr">
        <is>
          <t>2,312</t>
        </is>
      </c>
      <c r="H13" s="262" t="inlineStr"/>
      <c r="I13" s="262" t="inlineStr"/>
      <c r="J13" s="263" t="inlineStr">
        <is>
          <t>991</t>
        </is>
      </c>
      <c r="K13" s="264" t="inlineStr">
        <is>
          <t>0.7%</t>
        </is>
      </c>
      <c r="L13" s="262" t="inlineStr"/>
      <c r="M13" s="262" t="inlineStr"/>
      <c r="N13" s="262" t="inlineStr"/>
      <c r="O13" s="262" t="inlineStr"/>
      <c r="P13" s="262" t="inlineStr">
        <is>
          <t>1,562</t>
        </is>
      </c>
      <c r="Q13" s="262" t="inlineStr">
        <is>
          <t>2,312</t>
        </is>
      </c>
      <c r="R13" s="262" t="inlineStr"/>
      <c r="S13" s="262" t="inlineStr"/>
      <c r="T13" s="263" t="inlineStr">
        <is>
          <t>991</t>
        </is>
      </c>
      <c r="U13" s="99" t="n"/>
      <c r="V13" s="99" t="n"/>
      <c r="W13" s="99" t="n"/>
    </row>
    <row r="14" hidden="1" outlineLevel="1" s="240">
      <c r="A14" s="265" t="inlineStr">
        <is>
          <t>Cinema_Blog</t>
        </is>
      </c>
      <c r="B14" s="266" t="inlineStr">
        <is>
          <t>54,654</t>
        </is>
      </c>
      <c r="C14" s="266" t="inlineStr">
        <is>
          <t>51,304</t>
        </is>
      </c>
      <c r="D14" s="266" t="inlineStr">
        <is>
          <t>42,502</t>
        </is>
      </c>
      <c r="E14" s="266" t="inlineStr">
        <is>
          <t>38,369</t>
        </is>
      </c>
      <c r="F14" s="266" t="inlineStr">
        <is>
          <t>33,617</t>
        </is>
      </c>
      <c r="G14" s="266" t="inlineStr">
        <is>
          <t>17,180</t>
        </is>
      </c>
      <c r="H14" s="266" t="inlineStr">
        <is>
          <t>0</t>
        </is>
      </c>
      <c r="I14" s="266" t="inlineStr">
        <is>
          <t>0</t>
        </is>
      </c>
      <c r="J14" s="124" t="inlineStr">
        <is>
          <t>-16,437</t>
        </is>
      </c>
      <c r="K14" s="112" t="inlineStr"/>
      <c r="L14" s="266" t="inlineStr">
        <is>
          <t>76,572</t>
        </is>
      </c>
      <c r="M14" s="266" t="inlineStr">
        <is>
          <t>66,726</t>
        </is>
      </c>
      <c r="N14" s="266" t="inlineStr">
        <is>
          <t>57,349</t>
        </is>
      </c>
      <c r="O14" s="266" t="inlineStr">
        <is>
          <t>51,234</t>
        </is>
      </c>
      <c r="P14" s="266" t="inlineStr">
        <is>
          <t>41,166</t>
        </is>
      </c>
      <c r="Q14" s="266" t="inlineStr">
        <is>
          <t>17,180</t>
        </is>
      </c>
      <c r="R14" s="266" t="inlineStr">
        <is>
          <t>0</t>
        </is>
      </c>
      <c r="S14" s="266" t="inlineStr">
        <is>
          <t>0</t>
        </is>
      </c>
      <c r="T14" s="124" t="inlineStr">
        <is>
          <t>-16,437</t>
        </is>
      </c>
      <c r="U14" s="99" t="n"/>
      <c r="V14" s="99" t="n"/>
      <c r="W14" s="99" t="n"/>
    </row>
    <row r="15">
      <c r="A15" s="261" t="inlineStr">
        <is>
          <t xml:space="preserve">    Click Cinema_Blog</t>
        </is>
      </c>
      <c r="B15" s="262" t="inlineStr"/>
      <c r="C15" s="262" t="inlineStr"/>
      <c r="D15" s="262" t="inlineStr"/>
      <c r="E15" s="262" t="inlineStr"/>
      <c r="F15" s="262" t="inlineStr">
        <is>
          <t>281</t>
        </is>
      </c>
      <c r="G15" s="262" t="inlineStr">
        <is>
          <t>110</t>
        </is>
      </c>
      <c r="H15" s="262" t="inlineStr"/>
      <c r="I15" s="262" t="inlineStr"/>
      <c r="J15" s="263" t="inlineStr">
        <is>
          <t>-171</t>
        </is>
      </c>
      <c r="K15" s="264" t="inlineStr">
        <is>
          <t>0.6%</t>
        </is>
      </c>
      <c r="L15" s="262" t="inlineStr"/>
      <c r="M15" s="262" t="inlineStr"/>
      <c r="N15" s="262" t="inlineStr"/>
      <c r="O15" s="262" t="inlineStr"/>
      <c r="P15" s="262" t="inlineStr">
        <is>
          <t>295</t>
        </is>
      </c>
      <c r="Q15" s="262" t="inlineStr">
        <is>
          <t>110</t>
        </is>
      </c>
      <c r="R15" s="262" t="inlineStr"/>
      <c r="S15" s="262" t="inlineStr"/>
      <c r="T15" s="263" t="inlineStr">
        <is>
          <t>-171</t>
        </is>
      </c>
      <c r="U15" s="134" t="n"/>
      <c r="V15" s="134" t="n"/>
      <c r="W15" s="134" t="n"/>
    </row>
    <row r="16">
      <c r="A16" s="260" t="inlineStr">
        <is>
          <t>Cinema_Home Page</t>
        </is>
      </c>
      <c r="B16" s="153" t="inlineStr">
        <is>
          <t>25,100</t>
        </is>
      </c>
      <c r="C16" s="153" t="inlineStr">
        <is>
          <t>27,532</t>
        </is>
      </c>
      <c r="D16" s="153" t="inlineStr">
        <is>
          <t>29,611</t>
        </is>
      </c>
      <c r="E16" s="153" t="inlineStr">
        <is>
          <t>25,842</t>
        </is>
      </c>
      <c r="F16" s="153" t="inlineStr">
        <is>
          <t>20,336</t>
        </is>
      </c>
      <c r="G16" s="153" t="inlineStr">
        <is>
          <t>31,058</t>
        </is>
      </c>
      <c r="H16" s="153" t="inlineStr">
        <is>
          <t>0</t>
        </is>
      </c>
      <c r="I16" s="153" t="inlineStr">
        <is>
          <t>0</t>
        </is>
      </c>
      <c r="J16" s="124" t="inlineStr">
        <is>
          <t>10,722</t>
        </is>
      </c>
      <c r="K16" s="132" t="inlineStr"/>
      <c r="L16" s="153" t="inlineStr">
        <is>
          <t>33,650</t>
        </is>
      </c>
      <c r="M16" s="153" t="inlineStr">
        <is>
          <t>35,527</t>
        </is>
      </c>
      <c r="N16" s="153" t="inlineStr">
        <is>
          <t>38,994</t>
        </is>
      </c>
      <c r="O16" s="153" t="inlineStr">
        <is>
          <t>34,997</t>
        </is>
      </c>
      <c r="P16" s="153" t="inlineStr">
        <is>
          <t>29,066</t>
        </is>
      </c>
      <c r="Q16" s="153" t="inlineStr">
        <is>
          <t>31,058</t>
        </is>
      </c>
      <c r="R16" s="153" t="inlineStr">
        <is>
          <t>0</t>
        </is>
      </c>
      <c r="S16" s="153" t="inlineStr">
        <is>
          <t>0</t>
        </is>
      </c>
      <c r="T16" s="124" t="inlineStr">
        <is>
          <t>10,722</t>
        </is>
      </c>
      <c r="U16" s="134" t="n"/>
      <c r="V16" s="134" t="n"/>
      <c r="W16" s="134" t="n"/>
    </row>
    <row r="17">
      <c r="A17" s="261" t="inlineStr">
        <is>
          <t xml:space="preserve">    Click Cinema_Home Page</t>
        </is>
      </c>
      <c r="B17" s="262" t="inlineStr"/>
      <c r="C17" s="262" t="inlineStr"/>
      <c r="D17" s="262" t="inlineStr"/>
      <c r="E17" s="262" t="inlineStr"/>
      <c r="F17" s="262" t="inlineStr">
        <is>
          <t>156</t>
        </is>
      </c>
      <c r="G17" s="262" t="inlineStr">
        <is>
          <t>255</t>
        </is>
      </c>
      <c r="H17" s="262" t="inlineStr"/>
      <c r="I17" s="262" t="inlineStr"/>
      <c r="J17" s="263" t="inlineStr">
        <is>
          <t>99</t>
        </is>
      </c>
      <c r="K17" s="264" t="inlineStr">
        <is>
          <t>0.8%</t>
        </is>
      </c>
      <c r="L17" s="262" t="inlineStr"/>
      <c r="M17" s="262" t="inlineStr"/>
      <c r="N17" s="262" t="inlineStr"/>
      <c r="O17" s="262" t="inlineStr"/>
      <c r="P17" s="262" t="inlineStr">
        <is>
          <t>225</t>
        </is>
      </c>
      <c r="Q17" s="262" t="inlineStr">
        <is>
          <t>255</t>
        </is>
      </c>
      <c r="R17" s="262" t="inlineStr"/>
      <c r="S17" s="262" t="inlineStr"/>
      <c r="T17" s="263" t="inlineStr">
        <is>
          <t>99</t>
        </is>
      </c>
      <c r="U17" s="134" t="n"/>
      <c r="V17" s="134" t="n"/>
      <c r="W17" s="134" t="n"/>
    </row>
    <row r="18" collapsed="1" s="240">
      <c r="A18" s="151" t="inlineStr">
        <is>
          <t>Cinema_News</t>
        </is>
      </c>
      <c r="B18" s="153" t="inlineStr">
        <is>
          <t>1,862</t>
        </is>
      </c>
      <c r="C18" s="153" t="inlineStr">
        <is>
          <t>2,417</t>
        </is>
      </c>
      <c r="D18" s="153" t="inlineStr">
        <is>
          <t>3,221</t>
        </is>
      </c>
      <c r="E18" s="153" t="inlineStr">
        <is>
          <t>2,332</t>
        </is>
      </c>
      <c r="F18" s="153" t="inlineStr">
        <is>
          <t>1,420</t>
        </is>
      </c>
      <c r="G18" s="153" t="inlineStr">
        <is>
          <t>2,204</t>
        </is>
      </c>
      <c r="H18" s="153" t="inlineStr">
        <is>
          <t>0</t>
        </is>
      </c>
      <c r="I18" s="153" t="inlineStr">
        <is>
          <t>0</t>
        </is>
      </c>
      <c r="J18" s="124" t="inlineStr">
        <is>
          <t>784</t>
        </is>
      </c>
      <c r="K18" s="132" t="inlineStr"/>
      <c r="L18" s="153" t="inlineStr">
        <is>
          <t>2,395</t>
        </is>
      </c>
      <c r="M18" s="153" t="inlineStr">
        <is>
          <t>3,121</t>
        </is>
      </c>
      <c r="N18" s="153" t="inlineStr">
        <is>
          <t>4,485</t>
        </is>
      </c>
      <c r="O18" s="153" t="inlineStr">
        <is>
          <t>3,136</t>
        </is>
      </c>
      <c r="P18" s="153" t="inlineStr">
        <is>
          <t>2,191</t>
        </is>
      </c>
      <c r="Q18" s="153" t="inlineStr">
        <is>
          <t>2,204</t>
        </is>
      </c>
      <c r="R18" s="153" t="inlineStr">
        <is>
          <t>0</t>
        </is>
      </c>
      <c r="S18" s="153" t="inlineStr">
        <is>
          <t>0</t>
        </is>
      </c>
      <c r="T18" s="124" t="inlineStr">
        <is>
          <t>784</t>
        </is>
      </c>
      <c r="U18" s="134" t="n"/>
      <c r="V18" s="134" t="n"/>
      <c r="W18" s="134" t="n"/>
    </row>
    <row r="19" hidden="1" outlineLevel="1" s="240">
      <c r="A19" s="261" t="inlineStr">
        <is>
          <t xml:space="preserve">    Click Cinema_News</t>
        </is>
      </c>
      <c r="B19" s="262" t="inlineStr"/>
      <c r="C19" s="262" t="inlineStr"/>
      <c r="D19" s="262" t="inlineStr"/>
      <c r="E19" s="262" t="inlineStr"/>
      <c r="F19" s="262" t="inlineStr">
        <is>
          <t>165</t>
        </is>
      </c>
      <c r="G19" s="262" t="inlineStr">
        <is>
          <t>172</t>
        </is>
      </c>
      <c r="H19" s="262" t="inlineStr"/>
      <c r="I19" s="262" t="inlineStr"/>
      <c r="J19" s="263" t="inlineStr">
        <is>
          <t>7</t>
        </is>
      </c>
      <c r="K19" s="264" t="inlineStr">
        <is>
          <t>7.8%</t>
        </is>
      </c>
      <c r="L19" s="262" t="inlineStr"/>
      <c r="M19" s="262" t="inlineStr"/>
      <c r="N19" s="262" t="inlineStr"/>
      <c r="O19" s="262" t="inlineStr"/>
      <c r="P19" s="262" t="inlineStr">
        <is>
          <t>200</t>
        </is>
      </c>
      <c r="Q19" s="262" t="inlineStr">
        <is>
          <t>172</t>
        </is>
      </c>
      <c r="R19" s="262" t="inlineStr"/>
      <c r="S19" s="262" t="inlineStr"/>
      <c r="T19" s="263" t="inlineStr">
        <is>
          <t>7</t>
        </is>
      </c>
      <c r="U19" s="99" t="n"/>
      <c r="V19" s="99" t="n"/>
      <c r="W19" s="99" t="n"/>
    </row>
    <row r="20" hidden="1" outlineLevel="1" s="240">
      <c r="A20" s="267" t="inlineStr">
        <is>
          <t>Cinema_Landing Page</t>
        </is>
      </c>
      <c r="B20" s="266" t="inlineStr">
        <is>
          <t>98</t>
        </is>
      </c>
      <c r="C20" s="266" t="inlineStr">
        <is>
          <t>193</t>
        </is>
      </c>
      <c r="D20" s="266" t="inlineStr">
        <is>
          <t>60</t>
        </is>
      </c>
      <c r="E20" s="266" t="inlineStr">
        <is>
          <t>79</t>
        </is>
      </c>
      <c r="F20" s="266" t="inlineStr">
        <is>
          <t>60</t>
        </is>
      </c>
      <c r="G20" s="266" t="inlineStr">
        <is>
          <t>2,984</t>
        </is>
      </c>
      <c r="H20" s="266" t="inlineStr">
        <is>
          <t>0</t>
        </is>
      </c>
      <c r="I20" s="266" t="inlineStr">
        <is>
          <t>0</t>
        </is>
      </c>
      <c r="J20" s="124" t="inlineStr">
        <is>
          <t>2,924</t>
        </is>
      </c>
      <c r="K20" s="112" t="inlineStr"/>
      <c r="L20" s="266" t="inlineStr">
        <is>
          <t>145</t>
        </is>
      </c>
      <c r="M20" s="266" t="inlineStr">
        <is>
          <t>222</t>
        </is>
      </c>
      <c r="N20" s="266" t="inlineStr">
        <is>
          <t>85</t>
        </is>
      </c>
      <c r="O20" s="266" t="inlineStr">
        <is>
          <t>104</t>
        </is>
      </c>
      <c r="P20" s="266" t="inlineStr">
        <is>
          <t>80</t>
        </is>
      </c>
      <c r="Q20" s="266" t="inlineStr">
        <is>
          <t>2,984</t>
        </is>
      </c>
      <c r="R20" s="266" t="inlineStr">
        <is>
          <t>0</t>
        </is>
      </c>
      <c r="S20" s="266" t="inlineStr">
        <is>
          <t>0</t>
        </is>
      </c>
      <c r="T20" s="124" t="inlineStr">
        <is>
          <t>2,924</t>
        </is>
      </c>
      <c r="U20" s="99" t="n"/>
      <c r="V20" s="99" t="n"/>
      <c r="W20" s="99" t="n"/>
    </row>
    <row r="21" hidden="1" outlineLevel="1" s="240">
      <c r="A21" s="261" t="inlineStr">
        <is>
          <t xml:space="preserve">    Click Cinema_Landing Page</t>
        </is>
      </c>
      <c r="B21" s="262" t="inlineStr"/>
      <c r="C21" s="262" t="inlineStr"/>
      <c r="D21" s="262" t="inlineStr"/>
      <c r="E21" s="262" t="inlineStr"/>
      <c r="F21" s="262" t="inlineStr">
        <is>
          <t>54</t>
        </is>
      </c>
      <c r="G21" s="262" t="inlineStr">
        <is>
          <t>50</t>
        </is>
      </c>
      <c r="H21" s="262" t="inlineStr"/>
      <c r="I21" s="262" t="inlineStr"/>
      <c r="J21" s="263" t="inlineStr">
        <is>
          <t>-4</t>
        </is>
      </c>
      <c r="K21" s="264" t="inlineStr">
        <is>
          <t>1.7%</t>
        </is>
      </c>
      <c r="L21" s="262" t="inlineStr"/>
      <c r="M21" s="262" t="inlineStr"/>
      <c r="N21" s="262" t="inlineStr"/>
      <c r="O21" s="262" t="inlineStr"/>
      <c r="P21" s="262" t="inlineStr">
        <is>
          <t>58</t>
        </is>
      </c>
      <c r="Q21" s="262" t="inlineStr">
        <is>
          <t>50</t>
        </is>
      </c>
      <c r="R21" s="262" t="inlineStr"/>
      <c r="S21" s="262" t="inlineStr"/>
      <c r="T21" s="263" t="inlineStr">
        <is>
          <t>-4</t>
        </is>
      </c>
      <c r="U21" s="99" t="n"/>
      <c r="V21" s="99" t="n"/>
      <c r="W21" s="99" t="n"/>
    </row>
    <row r="22" hidden="1" outlineLevel="1" s="240">
      <c r="A22" s="267" t="inlineStr">
        <is>
          <t>Home MoMo</t>
        </is>
      </c>
      <c r="B22" s="266" t="inlineStr">
        <is>
          <t>181,883</t>
        </is>
      </c>
      <c r="C22" s="266" t="inlineStr">
        <is>
          <t>151,778</t>
        </is>
      </c>
      <c r="D22" s="266" t="inlineStr">
        <is>
          <t>146,418</t>
        </is>
      </c>
      <c r="E22" s="266" t="inlineStr">
        <is>
          <t>144,158</t>
        </is>
      </c>
      <c r="F22" s="266" t="inlineStr">
        <is>
          <t>188,388</t>
        </is>
      </c>
      <c r="G22" s="266" t="inlineStr">
        <is>
          <t>360,634</t>
        </is>
      </c>
      <c r="H22" s="266" t="inlineStr">
        <is>
          <t>0</t>
        </is>
      </c>
      <c r="I22" s="266" t="inlineStr">
        <is>
          <t>0</t>
        </is>
      </c>
      <c r="J22" s="124" t="inlineStr">
        <is>
          <t>172,246</t>
        </is>
      </c>
      <c r="K22" s="112" t="inlineStr"/>
      <c r="L22" s="266" t="inlineStr">
        <is>
          <t>236,663</t>
        </is>
      </c>
      <c r="M22" s="266" t="inlineStr">
        <is>
          <t>193,278</t>
        </is>
      </c>
      <c r="N22" s="266" t="inlineStr">
        <is>
          <t>195,988</t>
        </is>
      </c>
      <c r="O22" s="266" t="inlineStr">
        <is>
          <t>201,425</t>
        </is>
      </c>
      <c r="P22" s="266" t="inlineStr">
        <is>
          <t>250,642</t>
        </is>
      </c>
      <c r="Q22" s="266" t="inlineStr">
        <is>
          <t>360,634</t>
        </is>
      </c>
      <c r="R22" s="266" t="inlineStr">
        <is>
          <t>0</t>
        </is>
      </c>
      <c r="S22" s="266" t="inlineStr">
        <is>
          <t>0</t>
        </is>
      </c>
      <c r="T22" s="124" t="inlineStr">
        <is>
          <t>172,246</t>
        </is>
      </c>
      <c r="U22" s="99" t="n"/>
      <c r="V22" s="99" t="n"/>
      <c r="W22" s="99" t="n"/>
    </row>
    <row r="23" hidden="1" outlineLevel="1" s="240">
      <c r="A23" s="261" t="inlineStr">
        <is>
          <t>Click Home MoMo</t>
        </is>
      </c>
      <c r="B23" s="262" t="inlineStr"/>
      <c r="C23" s="262" t="inlineStr"/>
      <c r="D23" s="262" t="inlineStr"/>
      <c r="E23" s="262" t="inlineStr"/>
      <c r="F23" s="262" t="inlineStr">
        <is>
          <t>18,307</t>
        </is>
      </c>
      <c r="G23" s="262" t="inlineStr">
        <is>
          <t>25,643</t>
        </is>
      </c>
      <c r="H23" s="262" t="inlineStr"/>
      <c r="I23" s="262" t="inlineStr"/>
      <c r="J23" s="263" t="inlineStr">
        <is>
          <t>7,336</t>
        </is>
      </c>
      <c r="K23" s="264" t="inlineStr">
        <is>
          <t>7.1%</t>
        </is>
      </c>
      <c r="L23" s="262" t="inlineStr"/>
      <c r="M23" s="262" t="inlineStr"/>
      <c r="N23" s="262" t="inlineStr"/>
      <c r="O23" s="262" t="inlineStr"/>
      <c r="P23" s="262" t="inlineStr">
        <is>
          <t>21,343</t>
        </is>
      </c>
      <c r="Q23" s="262" t="inlineStr">
        <is>
          <t>25,643</t>
        </is>
      </c>
      <c r="R23" s="262" t="inlineStr"/>
      <c r="S23" s="262" t="inlineStr"/>
      <c r="T23" s="263" t="inlineStr">
        <is>
          <t>7,336</t>
        </is>
      </c>
      <c r="U23" s="99" t="n"/>
      <c r="V23" s="99" t="n"/>
      <c r="W23" s="99" t="n"/>
    </row>
    <row r="24" hidden="1" outlineLevel="1" s="240">
      <c r="A24" s="267" t="inlineStr">
        <is>
          <t>Tìm Kiếm</t>
        </is>
      </c>
      <c r="B24" s="266" t="inlineStr">
        <is>
          <t>0</t>
        </is>
      </c>
      <c r="C24" s="266" t="inlineStr">
        <is>
          <t>0</t>
        </is>
      </c>
      <c r="D24" s="266" t="inlineStr">
        <is>
          <t>0</t>
        </is>
      </c>
      <c r="E24" s="266" t="inlineStr">
        <is>
          <t>0</t>
        </is>
      </c>
      <c r="F24" s="266" t="inlineStr">
        <is>
          <t>0</t>
        </is>
      </c>
      <c r="G24" s="266" t="inlineStr">
        <is>
          <t>11,842</t>
        </is>
      </c>
      <c r="H24" s="266" t="inlineStr">
        <is>
          <t>0</t>
        </is>
      </c>
      <c r="I24" s="266" t="inlineStr">
        <is>
          <t>0</t>
        </is>
      </c>
      <c r="J24" s="124" t="inlineStr">
        <is>
          <t>11,842</t>
        </is>
      </c>
      <c r="K24" s="112" t="inlineStr"/>
      <c r="L24" s="266" t="inlineStr">
        <is>
          <t>0</t>
        </is>
      </c>
      <c r="M24" s="266" t="inlineStr">
        <is>
          <t>0</t>
        </is>
      </c>
      <c r="N24" s="266" t="inlineStr">
        <is>
          <t>0</t>
        </is>
      </c>
      <c r="O24" s="266" t="inlineStr">
        <is>
          <t>0</t>
        </is>
      </c>
      <c r="P24" s="266" t="inlineStr">
        <is>
          <t>0</t>
        </is>
      </c>
      <c r="Q24" s="266" t="inlineStr">
        <is>
          <t>11,842</t>
        </is>
      </c>
      <c r="R24" s="266" t="inlineStr">
        <is>
          <t>0</t>
        </is>
      </c>
      <c r="S24" s="266" t="inlineStr">
        <is>
          <t>0</t>
        </is>
      </c>
      <c r="T24" s="124" t="inlineStr">
        <is>
          <t>11,842</t>
        </is>
      </c>
      <c r="U24" s="99" t="n"/>
      <c r="V24" s="99" t="n"/>
      <c r="W24" s="99" t="n"/>
    </row>
    <row r="25" hidden="1" outlineLevel="1" s="240">
      <c r="A25" s="261" t="inlineStr">
        <is>
          <t>Click Tìm Kiếm</t>
        </is>
      </c>
      <c r="B25" s="262" t="inlineStr"/>
      <c r="C25" s="262" t="inlineStr"/>
      <c r="D25" s="262" t="inlineStr"/>
      <c r="E25" s="262" t="inlineStr"/>
      <c r="F25" s="262" t="inlineStr">
        <is>
          <t>65</t>
        </is>
      </c>
      <c r="G25" s="262" t="inlineStr">
        <is>
          <t>99</t>
        </is>
      </c>
      <c r="H25" s="262" t="inlineStr"/>
      <c r="I25" s="262" t="inlineStr"/>
      <c r="J25" s="263" t="inlineStr">
        <is>
          <t>34</t>
        </is>
      </c>
      <c r="K25" s="264" t="inlineStr">
        <is>
          <t>0.8%</t>
        </is>
      </c>
      <c r="L25" s="262" t="inlineStr"/>
      <c r="M25" s="262" t="inlineStr"/>
      <c r="N25" s="262" t="inlineStr"/>
      <c r="O25" s="262" t="inlineStr"/>
      <c r="P25" s="262" t="inlineStr">
        <is>
          <t>86</t>
        </is>
      </c>
      <c r="Q25" s="262" t="inlineStr">
        <is>
          <t>99</t>
        </is>
      </c>
      <c r="R25" s="262" t="inlineStr"/>
      <c r="S25" s="262" t="inlineStr"/>
      <c r="T25" s="263" t="inlineStr">
        <is>
          <t>34</t>
        </is>
      </c>
      <c r="U25" s="99" t="n"/>
      <c r="V25" s="99" t="n"/>
      <c r="W25" s="99" t="n"/>
    </row>
    <row r="26" hidden="1" outlineLevel="1" s="240">
      <c r="A26" s="267" t="inlineStr">
        <is>
          <t>Tiktok</t>
        </is>
      </c>
      <c r="B26" s="266" t="inlineStr">
        <is>
          <t>156,367</t>
        </is>
      </c>
      <c r="C26" s="266" t="inlineStr">
        <is>
          <t>178,340</t>
        </is>
      </c>
      <c r="D26" s="266" t="inlineStr">
        <is>
          <t>154,457</t>
        </is>
      </c>
      <c r="E26" s="266" t="inlineStr">
        <is>
          <t>134,453</t>
        </is>
      </c>
      <c r="F26" s="266" t="inlineStr">
        <is>
          <t>172,795</t>
        </is>
      </c>
      <c r="G26" s="266" t="inlineStr">
        <is>
          <t>180,005</t>
        </is>
      </c>
      <c r="H26" s="266" t="inlineStr">
        <is>
          <t>0</t>
        </is>
      </c>
      <c r="I26" s="266" t="inlineStr">
        <is>
          <t>0</t>
        </is>
      </c>
      <c r="J26" s="124" t="inlineStr">
        <is>
          <t>7,210</t>
        </is>
      </c>
      <c r="K26" s="112" t="inlineStr"/>
      <c r="L26" s="266" t="inlineStr">
        <is>
          <t>210,856</t>
        </is>
      </c>
      <c r="M26" s="266" t="inlineStr">
        <is>
          <t>237,552</t>
        </is>
      </c>
      <c r="N26" s="266" t="inlineStr">
        <is>
          <t>229,725</t>
        </is>
      </c>
      <c r="O26" s="266" t="inlineStr">
        <is>
          <t>174,043</t>
        </is>
      </c>
      <c r="P26" s="266" t="inlineStr">
        <is>
          <t>224,369</t>
        </is>
      </c>
      <c r="Q26" s="266" t="inlineStr">
        <is>
          <t>180,005</t>
        </is>
      </c>
      <c r="R26" s="266" t="inlineStr">
        <is>
          <t>0</t>
        </is>
      </c>
      <c r="S26" s="266" t="inlineStr">
        <is>
          <t>0</t>
        </is>
      </c>
      <c r="T26" s="124" t="inlineStr">
        <is>
          <t>7,210</t>
        </is>
      </c>
      <c r="U26" s="99" t="n"/>
      <c r="V26" s="99" t="n"/>
      <c r="W26" s="99" t="n"/>
    </row>
    <row r="27" hidden="1" outlineLevel="1" s="240">
      <c r="A27" s="261" t="inlineStr">
        <is>
          <t>Click Tiktok</t>
        </is>
      </c>
      <c r="B27" s="262" t="inlineStr"/>
      <c r="C27" s="262" t="inlineStr"/>
      <c r="D27" s="262" t="inlineStr"/>
      <c r="E27" s="262" t="inlineStr"/>
      <c r="F27" s="262" t="inlineStr">
        <is>
          <t>6,463</t>
        </is>
      </c>
      <c r="G27" s="262" t="inlineStr">
        <is>
          <t>5,366</t>
        </is>
      </c>
      <c r="H27" s="262" t="inlineStr"/>
      <c r="I27" s="262" t="inlineStr"/>
      <c r="J27" s="263" t="inlineStr">
        <is>
          <t>-1,097</t>
        </is>
      </c>
      <c r="K27" s="264" t="inlineStr">
        <is>
          <t>3.0%</t>
        </is>
      </c>
      <c r="L27" s="262" t="inlineStr"/>
      <c r="M27" s="262" t="inlineStr"/>
      <c r="N27" s="262" t="inlineStr"/>
      <c r="O27" s="262" t="inlineStr"/>
      <c r="P27" s="262" t="inlineStr">
        <is>
          <t>7,237</t>
        </is>
      </c>
      <c r="Q27" s="262" t="inlineStr">
        <is>
          <t>5,366</t>
        </is>
      </c>
      <c r="R27" s="262" t="inlineStr"/>
      <c r="S27" s="262" t="inlineStr"/>
      <c r="T27" s="263" t="inlineStr">
        <is>
          <t>-1,097</t>
        </is>
      </c>
      <c r="U27" s="99" t="n"/>
      <c r="V27" s="99" t="n"/>
      <c r="W27" s="99" t="n"/>
    </row>
    <row r="28" hidden="1" outlineLevel="1" s="240">
      <c r="A28" s="267" t="inlineStr">
        <is>
          <t>Financial Hub</t>
        </is>
      </c>
      <c r="B28" s="266" t="inlineStr">
        <is>
          <t>121,888</t>
        </is>
      </c>
      <c r="C28" s="266" t="inlineStr">
        <is>
          <t>105,048</t>
        </is>
      </c>
      <c r="D28" s="266" t="inlineStr">
        <is>
          <t>85,408</t>
        </is>
      </c>
      <c r="E28" s="266" t="inlineStr">
        <is>
          <t>181,026</t>
        </is>
      </c>
      <c r="F28" s="266" t="inlineStr">
        <is>
          <t>193,871</t>
        </is>
      </c>
      <c r="G28" s="266" t="inlineStr">
        <is>
          <t>221,734</t>
        </is>
      </c>
      <c r="H28" s="266" t="inlineStr">
        <is>
          <t>0</t>
        </is>
      </c>
      <c r="I28" s="266" t="inlineStr">
        <is>
          <t>0</t>
        </is>
      </c>
      <c r="J28" s="124" t="inlineStr">
        <is>
          <t>27,863</t>
        </is>
      </c>
      <c r="K28" s="112" t="inlineStr"/>
      <c r="L28" s="266" t="inlineStr">
        <is>
          <t>162,933</t>
        </is>
      </c>
      <c r="M28" s="266" t="inlineStr">
        <is>
          <t>139,076</t>
        </is>
      </c>
      <c r="N28" s="266" t="inlineStr">
        <is>
          <t>140,321</t>
        </is>
      </c>
      <c r="O28" s="266" t="inlineStr">
        <is>
          <t>242,175</t>
        </is>
      </c>
      <c r="P28" s="266" t="inlineStr">
        <is>
          <t>246,979</t>
        </is>
      </c>
      <c r="Q28" s="266" t="inlineStr">
        <is>
          <t>221,734</t>
        </is>
      </c>
      <c r="R28" s="266" t="inlineStr">
        <is>
          <t>0</t>
        </is>
      </c>
      <c r="S28" s="266" t="inlineStr">
        <is>
          <t>0</t>
        </is>
      </c>
      <c r="T28" s="124" t="inlineStr">
        <is>
          <t>27,863</t>
        </is>
      </c>
      <c r="U28" s="99" t="n"/>
      <c r="V28" s="99" t="n"/>
      <c r="W28" s="99" t="n"/>
    </row>
    <row r="29" hidden="1" outlineLevel="1" s="240">
      <c r="A29" s="261" t="inlineStr">
        <is>
          <t>Click Financial Hub</t>
        </is>
      </c>
      <c r="B29" s="262" t="inlineStr"/>
      <c r="C29" s="262" t="inlineStr"/>
      <c r="D29" s="262" t="inlineStr"/>
      <c r="E29" s="262" t="inlineStr"/>
      <c r="F29" s="262" t="inlineStr">
        <is>
          <t>10,618</t>
        </is>
      </c>
      <c r="G29" s="262" t="inlineStr">
        <is>
          <t>5,464</t>
        </is>
      </c>
      <c r="H29" s="262" t="inlineStr"/>
      <c r="I29" s="262" t="inlineStr"/>
      <c r="J29" s="263" t="inlineStr">
        <is>
          <t>-5,154</t>
        </is>
      </c>
      <c r="K29" s="264" t="inlineStr">
        <is>
          <t>2.5%</t>
        </is>
      </c>
      <c r="L29" s="262" t="inlineStr"/>
      <c r="M29" s="262" t="inlineStr"/>
      <c r="N29" s="262" t="inlineStr"/>
      <c r="O29" s="262" t="inlineStr"/>
      <c r="P29" s="262" t="inlineStr">
        <is>
          <t>12,042</t>
        </is>
      </c>
      <c r="Q29" s="262" t="inlineStr">
        <is>
          <t>5,464</t>
        </is>
      </c>
      <c r="R29" s="262" t="inlineStr"/>
      <c r="S29" s="262" t="inlineStr"/>
      <c r="T29" s="263" t="inlineStr">
        <is>
          <t>-5,154</t>
        </is>
      </c>
      <c r="U29" s="99" t="n"/>
      <c r="V29" s="99" t="n"/>
      <c r="W29" s="99" t="n"/>
    </row>
    <row r="30" hidden="1" outlineLevel="1" s="240">
      <c r="A30" s="267" t="inlineStr">
        <is>
          <t>Vay Nhanh</t>
        </is>
      </c>
      <c r="B30" s="266" t="inlineStr">
        <is>
          <t>95,156</t>
        </is>
      </c>
      <c r="C30" s="266" t="inlineStr">
        <is>
          <t>56,053</t>
        </is>
      </c>
      <c r="D30" s="266" t="inlineStr">
        <is>
          <t>38,969</t>
        </is>
      </c>
      <c r="E30" s="266" t="inlineStr">
        <is>
          <t>84,745</t>
        </is>
      </c>
      <c r="F30" s="266" t="inlineStr">
        <is>
          <t>86,024</t>
        </is>
      </c>
      <c r="G30" s="266" t="inlineStr">
        <is>
          <t>54,849</t>
        </is>
      </c>
      <c r="H30" s="266" t="inlineStr">
        <is>
          <t>0</t>
        </is>
      </c>
      <c r="I30" s="266" t="inlineStr">
        <is>
          <t>0</t>
        </is>
      </c>
      <c r="J30" s="124" t="inlineStr">
        <is>
          <t>-31,175</t>
        </is>
      </c>
      <c r="K30" s="112" t="inlineStr"/>
      <c r="L30" s="266" t="inlineStr">
        <is>
          <t>127,284</t>
        </is>
      </c>
      <c r="M30" s="266" t="inlineStr">
        <is>
          <t>76,228</t>
        </is>
      </c>
      <c r="N30" s="266" t="inlineStr">
        <is>
          <t>65,899</t>
        </is>
      </c>
      <c r="O30" s="266" t="inlineStr">
        <is>
          <t>112,353</t>
        </is>
      </c>
      <c r="P30" s="266" t="inlineStr">
        <is>
          <t>109,955</t>
        </is>
      </c>
      <c r="Q30" s="266" t="inlineStr">
        <is>
          <t>54,849</t>
        </is>
      </c>
      <c r="R30" s="266" t="inlineStr">
        <is>
          <t>0</t>
        </is>
      </c>
      <c r="S30" s="266" t="inlineStr">
        <is>
          <t>0</t>
        </is>
      </c>
      <c r="T30" s="124" t="inlineStr">
        <is>
          <t>-31,175</t>
        </is>
      </c>
      <c r="U30" s="99" t="n"/>
      <c r="V30" s="99" t="n"/>
      <c r="W30" s="99" t="n"/>
    </row>
    <row r="31" hidden="1" outlineLevel="1" s="240">
      <c r="A31" s="261" t="inlineStr">
        <is>
          <t xml:space="preserve">    Click Vay Nhanh</t>
        </is>
      </c>
      <c r="B31" s="262" t="inlineStr"/>
      <c r="C31" s="262" t="inlineStr"/>
      <c r="D31" s="262" t="inlineStr"/>
      <c r="E31" s="262" t="inlineStr"/>
      <c r="F31" s="262" t="inlineStr">
        <is>
          <t>3,736</t>
        </is>
      </c>
      <c r="G31" s="262" t="inlineStr">
        <is>
          <t>1,111</t>
        </is>
      </c>
      <c r="H31" s="262" t="inlineStr"/>
      <c r="I31" s="262" t="inlineStr"/>
      <c r="J31" s="263" t="inlineStr">
        <is>
          <t>-2,625</t>
        </is>
      </c>
      <c r="K31" s="264" t="inlineStr">
        <is>
          <t>2.0%</t>
        </is>
      </c>
      <c r="L31" s="262" t="inlineStr"/>
      <c r="M31" s="262" t="inlineStr"/>
      <c r="N31" s="262" t="inlineStr"/>
      <c r="O31" s="262" t="inlineStr"/>
      <c r="P31" s="262" t="inlineStr">
        <is>
          <t>4,375</t>
        </is>
      </c>
      <c r="Q31" s="262" t="inlineStr">
        <is>
          <t>1,111</t>
        </is>
      </c>
      <c r="R31" s="262" t="inlineStr"/>
      <c r="S31" s="262" t="inlineStr"/>
      <c r="T31" s="263" t="inlineStr">
        <is>
          <t>-2,625</t>
        </is>
      </c>
      <c r="U31" s="99" t="n"/>
      <c r="V31" s="99" t="n"/>
      <c r="W31" s="99" t="n"/>
    </row>
    <row r="32" hidden="1" outlineLevel="1" s="240">
      <c r="A32" s="267" t="inlineStr">
        <is>
          <t>Điểm Tín Dụng</t>
        </is>
      </c>
      <c r="B32" s="266" t="inlineStr">
        <is>
          <t>9,536</t>
        </is>
      </c>
      <c r="C32" s="266" t="inlineStr">
        <is>
          <t>9,309</t>
        </is>
      </c>
      <c r="D32" s="266" t="inlineStr">
        <is>
          <t>16,131</t>
        </is>
      </c>
      <c r="E32" s="266" t="inlineStr">
        <is>
          <t>68,814</t>
        </is>
      </c>
      <c r="F32" s="266" t="inlineStr">
        <is>
          <t>63,027</t>
        </is>
      </c>
      <c r="G32" s="266" t="inlineStr">
        <is>
          <t>68,324</t>
        </is>
      </c>
      <c r="H32" s="266" t="inlineStr">
        <is>
          <t>0</t>
        </is>
      </c>
      <c r="I32" s="266" t="inlineStr">
        <is>
          <t>0</t>
        </is>
      </c>
      <c r="J32" s="124" t="inlineStr">
        <is>
          <t>5,297</t>
        </is>
      </c>
      <c r="K32" s="112" t="inlineStr"/>
      <c r="L32" s="266" t="inlineStr">
        <is>
          <t>12,375</t>
        </is>
      </c>
      <c r="M32" s="266" t="inlineStr">
        <is>
          <t>12,382</t>
        </is>
      </c>
      <c r="N32" s="266" t="inlineStr">
        <is>
          <t>35,108</t>
        </is>
      </c>
      <c r="O32" s="266" t="inlineStr">
        <is>
          <t>91,876</t>
        </is>
      </c>
      <c r="P32" s="266" t="inlineStr">
        <is>
          <t>79,092</t>
        </is>
      </c>
      <c r="Q32" s="266" t="inlineStr">
        <is>
          <t>68,324</t>
        </is>
      </c>
      <c r="R32" s="266" t="inlineStr">
        <is>
          <t>0</t>
        </is>
      </c>
      <c r="S32" s="266" t="inlineStr">
        <is>
          <t>0</t>
        </is>
      </c>
      <c r="T32" s="124" t="inlineStr">
        <is>
          <t>5,297</t>
        </is>
      </c>
      <c r="U32" s="99" t="n"/>
      <c r="V32" s="99" t="n"/>
      <c r="W32" s="99" t="n"/>
    </row>
    <row r="33" collapsed="1" s="240">
      <c r="A33" s="261" t="inlineStr">
        <is>
          <t xml:space="preserve">    Click Điểm Tín Dụng</t>
        </is>
      </c>
      <c r="B33" s="262" t="inlineStr"/>
      <c r="C33" s="262" t="inlineStr"/>
      <c r="D33" s="262" t="inlineStr"/>
      <c r="E33" s="262" t="inlineStr"/>
      <c r="F33" s="262" t="inlineStr">
        <is>
          <t>554</t>
        </is>
      </c>
      <c r="G33" s="262" t="inlineStr">
        <is>
          <t>742</t>
        </is>
      </c>
      <c r="H33" s="262" t="inlineStr"/>
      <c r="I33" s="262" t="inlineStr"/>
      <c r="J33" s="263" t="inlineStr">
        <is>
          <t>188</t>
        </is>
      </c>
      <c r="K33" s="264" t="inlineStr">
        <is>
          <t>1.1%</t>
        </is>
      </c>
      <c r="L33" s="262" t="inlineStr"/>
      <c r="M33" s="262" t="inlineStr"/>
      <c r="N33" s="262" t="inlineStr"/>
      <c r="O33" s="262" t="inlineStr"/>
      <c r="P33" s="262" t="inlineStr">
        <is>
          <t>674</t>
        </is>
      </c>
      <c r="Q33" s="262" t="inlineStr">
        <is>
          <t>742</t>
        </is>
      </c>
      <c r="R33" s="262" t="inlineStr"/>
      <c r="S33" s="262" t="inlineStr"/>
      <c r="T33" s="263" t="inlineStr">
        <is>
          <t>188</t>
        </is>
      </c>
      <c r="U33" s="134" t="n"/>
      <c r="V33" s="134" t="n"/>
      <c r="W33" s="134" t="n"/>
    </row>
    <row r="34" hidden="1" outlineLevel="1" s="240">
      <c r="A34" s="267" t="inlineStr">
        <is>
          <t>Ví Trả Sau</t>
        </is>
      </c>
      <c r="B34" s="268" t="inlineStr">
        <is>
          <t>7,455</t>
        </is>
      </c>
      <c r="C34" s="268" t="inlineStr">
        <is>
          <t>30,319</t>
        </is>
      </c>
      <c r="D34" s="268" t="inlineStr">
        <is>
          <t>18,617</t>
        </is>
      </c>
      <c r="E34" s="268" t="inlineStr">
        <is>
          <t>14,601</t>
        </is>
      </c>
      <c r="F34" s="268" t="inlineStr">
        <is>
          <t>32,398</t>
        </is>
      </c>
      <c r="G34" s="268" t="inlineStr">
        <is>
          <t>50,854</t>
        </is>
      </c>
      <c r="H34" s="268" t="inlineStr">
        <is>
          <t>0</t>
        </is>
      </c>
      <c r="I34" s="268" t="inlineStr">
        <is>
          <t>0</t>
        </is>
      </c>
      <c r="J34" s="124" t="inlineStr">
        <is>
          <t>18,456</t>
        </is>
      </c>
      <c r="K34" s="269" t="inlineStr"/>
      <c r="L34" s="268" t="inlineStr">
        <is>
          <t>10,440</t>
        </is>
      </c>
      <c r="M34" s="268" t="inlineStr">
        <is>
          <t>38,053</t>
        </is>
      </c>
      <c r="N34" s="268" t="inlineStr">
        <is>
          <t>23,582</t>
        </is>
      </c>
      <c r="O34" s="268" t="inlineStr">
        <is>
          <t>20,633</t>
        </is>
      </c>
      <c r="P34" s="268" t="inlineStr">
        <is>
          <t>42,174</t>
        </is>
      </c>
      <c r="Q34" s="268" t="inlineStr">
        <is>
          <t>50,854</t>
        </is>
      </c>
      <c r="R34" s="268" t="inlineStr">
        <is>
          <t>0</t>
        </is>
      </c>
      <c r="S34" s="268" t="inlineStr">
        <is>
          <t>0</t>
        </is>
      </c>
      <c r="T34" s="124" t="inlineStr">
        <is>
          <t>18,456</t>
        </is>
      </c>
      <c r="U34" s="175" t="n"/>
      <c r="V34" s="175" t="n"/>
      <c r="W34" s="175" t="n"/>
    </row>
    <row r="35" hidden="1" outlineLevel="1" s="240">
      <c r="A35" s="261" t="inlineStr">
        <is>
          <t xml:space="preserve">    Click Ví Trả Sau</t>
        </is>
      </c>
      <c r="B35" s="262" t="inlineStr"/>
      <c r="C35" s="262" t="inlineStr"/>
      <c r="D35" s="262" t="inlineStr"/>
      <c r="E35" s="262" t="inlineStr"/>
      <c r="F35" s="262" t="inlineStr">
        <is>
          <t>5,834</t>
        </is>
      </c>
      <c r="G35" s="262" t="inlineStr">
        <is>
          <t>3,113</t>
        </is>
      </c>
      <c r="H35" s="262" t="inlineStr"/>
      <c r="I35" s="262" t="inlineStr"/>
      <c r="J35" s="263" t="inlineStr">
        <is>
          <t>-2,721</t>
        </is>
      </c>
      <c r="K35" s="264" t="inlineStr">
        <is>
          <t>6.1%</t>
        </is>
      </c>
      <c r="L35" s="262" t="inlineStr"/>
      <c r="M35" s="262" t="inlineStr"/>
      <c r="N35" s="262" t="inlineStr"/>
      <c r="O35" s="262" t="inlineStr"/>
      <c r="P35" s="262" t="inlineStr">
        <is>
          <t>6,450</t>
        </is>
      </c>
      <c r="Q35" s="262" t="inlineStr">
        <is>
          <t>3,113</t>
        </is>
      </c>
      <c r="R35" s="262" t="inlineStr"/>
      <c r="S35" s="262" t="inlineStr"/>
      <c r="T35" s="263" t="inlineStr">
        <is>
          <t>-2,721</t>
        </is>
      </c>
      <c r="U35" s="175" t="n"/>
      <c r="V35" s="175" t="n"/>
      <c r="W35" s="175" t="n"/>
    </row>
    <row r="36" hidden="1" outlineLevel="1" s="240">
      <c r="A36" s="267" t="inlineStr">
        <is>
          <t>Túi Thần Tài</t>
        </is>
      </c>
      <c r="B36" s="268" t="inlineStr">
        <is>
          <t>864</t>
        </is>
      </c>
      <c r="C36" s="268" t="inlineStr">
        <is>
          <t>795</t>
        </is>
      </c>
      <c r="D36" s="268" t="inlineStr">
        <is>
          <t>1,786</t>
        </is>
      </c>
      <c r="E36" s="268" t="inlineStr">
        <is>
          <t>1,809</t>
        </is>
      </c>
      <c r="F36" s="268" t="inlineStr">
        <is>
          <t>1,645</t>
        </is>
      </c>
      <c r="G36" s="268" t="inlineStr">
        <is>
          <t>1,828</t>
        </is>
      </c>
      <c r="H36" s="268" t="inlineStr">
        <is>
          <t>0</t>
        </is>
      </c>
      <c r="I36" s="268" t="inlineStr">
        <is>
          <t>0</t>
        </is>
      </c>
      <c r="J36" s="124" t="inlineStr">
        <is>
          <t>183</t>
        </is>
      </c>
      <c r="K36" s="269" t="inlineStr"/>
      <c r="L36" s="268" t="inlineStr">
        <is>
          <t>1,137</t>
        </is>
      </c>
      <c r="M36" s="268" t="inlineStr">
        <is>
          <t>1,034</t>
        </is>
      </c>
      <c r="N36" s="268" t="inlineStr">
        <is>
          <t>2,340</t>
        </is>
      </c>
      <c r="O36" s="268" t="inlineStr">
        <is>
          <t>2,334</t>
        </is>
      </c>
      <c r="P36" s="268" t="inlineStr">
        <is>
          <t>2,077</t>
        </is>
      </c>
      <c r="Q36" s="268" t="inlineStr">
        <is>
          <t>1,828</t>
        </is>
      </c>
      <c r="R36" s="268" t="inlineStr">
        <is>
          <t>0</t>
        </is>
      </c>
      <c r="S36" s="268" t="inlineStr">
        <is>
          <t>0</t>
        </is>
      </c>
      <c r="T36" s="124" t="inlineStr">
        <is>
          <t>183</t>
        </is>
      </c>
      <c r="U36" s="175" t="n"/>
      <c r="V36" s="175" t="n"/>
      <c r="W36" s="175" t="n"/>
    </row>
    <row r="37" hidden="1" outlineLevel="1" s="240">
      <c r="A37" s="261" t="inlineStr">
        <is>
          <t xml:space="preserve">    Click Túi Thần Tài</t>
        </is>
      </c>
      <c r="B37" s="262" t="inlineStr"/>
      <c r="C37" s="262" t="inlineStr"/>
      <c r="D37" s="262" t="inlineStr"/>
      <c r="E37" s="262" t="inlineStr"/>
      <c r="F37" s="262" t="inlineStr">
        <is>
          <t>39</t>
        </is>
      </c>
      <c r="G37" s="262" t="inlineStr">
        <is>
          <t>25</t>
        </is>
      </c>
      <c r="H37" s="262" t="inlineStr"/>
      <c r="I37" s="262" t="inlineStr"/>
      <c r="J37" s="263" t="inlineStr">
        <is>
          <t>-14</t>
        </is>
      </c>
      <c r="K37" s="264" t="inlineStr">
        <is>
          <t>1.4%</t>
        </is>
      </c>
      <c r="L37" s="262" t="inlineStr"/>
      <c r="M37" s="262" t="inlineStr"/>
      <c r="N37" s="262" t="inlineStr"/>
      <c r="O37" s="262" t="inlineStr"/>
      <c r="P37" s="262" t="inlineStr">
        <is>
          <t>40</t>
        </is>
      </c>
      <c r="Q37" s="262" t="inlineStr">
        <is>
          <t>25</t>
        </is>
      </c>
      <c r="R37" s="262" t="inlineStr"/>
      <c r="S37" s="262" t="inlineStr"/>
      <c r="T37" s="263" t="inlineStr">
        <is>
          <t>-14</t>
        </is>
      </c>
      <c r="U37" s="175" t="n"/>
      <c r="V37" s="175" t="n"/>
      <c r="W37" s="175" t="n"/>
    </row>
    <row r="38">
      <c r="A38" s="260" t="inlineStr">
        <is>
          <t>Mở Thẻ Tín Dụng</t>
        </is>
      </c>
      <c r="B38" s="153" t="inlineStr">
        <is>
          <t>1,248</t>
        </is>
      </c>
      <c r="C38" s="153" t="inlineStr">
        <is>
          <t>1,085</t>
        </is>
      </c>
      <c r="D38" s="153" t="inlineStr">
        <is>
          <t>1,254</t>
        </is>
      </c>
      <c r="E38" s="153" t="inlineStr">
        <is>
          <t>1,064</t>
        </is>
      </c>
      <c r="F38" s="153" t="inlineStr">
        <is>
          <t>1,126</t>
        </is>
      </c>
      <c r="G38" s="153" t="inlineStr">
        <is>
          <t>2,901</t>
        </is>
      </c>
      <c r="H38" s="153" t="inlineStr">
        <is>
          <t>0</t>
        </is>
      </c>
      <c r="I38" s="153" t="inlineStr">
        <is>
          <t>0</t>
        </is>
      </c>
      <c r="J38" s="124" t="inlineStr">
        <is>
          <t>1,775</t>
        </is>
      </c>
      <c r="K38" s="132" t="inlineStr"/>
      <c r="L38" s="153" t="inlineStr">
        <is>
          <t>1,637</t>
        </is>
      </c>
      <c r="M38" s="153" t="inlineStr">
        <is>
          <t>1,429</t>
        </is>
      </c>
      <c r="N38" s="153" t="inlineStr">
        <is>
          <t>1,646</t>
        </is>
      </c>
      <c r="O38" s="153" t="inlineStr">
        <is>
          <t>1,432</t>
        </is>
      </c>
      <c r="P38" s="153" t="inlineStr">
        <is>
          <t>1,464</t>
        </is>
      </c>
      <c r="Q38" s="153" t="inlineStr">
        <is>
          <t>2,901</t>
        </is>
      </c>
      <c r="R38" s="153" t="inlineStr">
        <is>
          <t>0</t>
        </is>
      </c>
      <c r="S38" s="153" t="inlineStr">
        <is>
          <t>0</t>
        </is>
      </c>
      <c r="T38" s="124" t="inlineStr">
        <is>
          <t>1,775</t>
        </is>
      </c>
      <c r="U38" s="134" t="n"/>
      <c r="V38" s="134" t="n"/>
      <c r="W38" s="134" t="n"/>
    </row>
    <row r="39">
      <c r="A39" s="261" t="inlineStr">
        <is>
          <t xml:space="preserve">    Click Mở Thẻ Tín Dụng</t>
        </is>
      </c>
      <c r="B39" s="262" t="inlineStr"/>
      <c r="C39" s="262" t="inlineStr"/>
      <c r="D39" s="262" t="inlineStr"/>
      <c r="E39" s="262" t="inlineStr"/>
      <c r="F39" s="262" t="inlineStr">
        <is>
          <t>19</t>
        </is>
      </c>
      <c r="G39" s="262" t="inlineStr">
        <is>
          <t>14</t>
        </is>
      </c>
      <c r="H39" s="262" t="inlineStr"/>
      <c r="I39" s="262" t="inlineStr"/>
      <c r="J39" s="263" t="inlineStr">
        <is>
          <t>-5</t>
        </is>
      </c>
      <c r="K39" s="264" t="inlineStr">
        <is>
          <t>0.5%</t>
        </is>
      </c>
      <c r="L39" s="262" t="inlineStr"/>
      <c r="M39" s="262" t="inlineStr"/>
      <c r="N39" s="262" t="inlineStr"/>
      <c r="O39" s="262" t="inlineStr"/>
      <c r="P39" s="262" t="inlineStr">
        <is>
          <t>20</t>
        </is>
      </c>
      <c r="Q39" s="262" t="inlineStr">
        <is>
          <t>14</t>
        </is>
      </c>
      <c r="R39" s="262" t="inlineStr"/>
      <c r="S39" s="262" t="inlineStr"/>
      <c r="T39" s="263" t="inlineStr">
        <is>
          <t>-5</t>
        </is>
      </c>
      <c r="U39" s="134" t="n"/>
      <c r="V39" s="134" t="n"/>
      <c r="W39" s="134" t="n"/>
    </row>
    <row r="40">
      <c r="A40" s="260" t="inlineStr">
        <is>
          <t>Quản Lý Chi Tiêu</t>
        </is>
      </c>
      <c r="B40" s="153" t="inlineStr">
        <is>
          <t>787</t>
        </is>
      </c>
      <c r="C40" s="153" t="inlineStr">
        <is>
          <t>716</t>
        </is>
      </c>
      <c r="D40" s="153" t="inlineStr">
        <is>
          <t>699</t>
        </is>
      </c>
      <c r="E40" s="153" t="inlineStr">
        <is>
          <t>704</t>
        </is>
      </c>
      <c r="F40" s="153" t="inlineStr">
        <is>
          <t>821</t>
        </is>
      </c>
      <c r="G40" s="153" t="inlineStr">
        <is>
          <t>4,155</t>
        </is>
      </c>
      <c r="H40" s="153" t="inlineStr">
        <is>
          <t>0</t>
        </is>
      </c>
      <c r="I40" s="153" t="inlineStr">
        <is>
          <t>0</t>
        </is>
      </c>
      <c r="J40" s="124" t="inlineStr">
        <is>
          <t>3,334</t>
        </is>
      </c>
      <c r="K40" s="132" t="inlineStr"/>
      <c r="L40" s="153" t="inlineStr">
        <is>
          <t>1,053</t>
        </is>
      </c>
      <c r="M40" s="153" t="inlineStr">
        <is>
          <t>1,037</t>
        </is>
      </c>
      <c r="N40" s="153" t="inlineStr">
        <is>
          <t>905</t>
        </is>
      </c>
      <c r="O40" s="153" t="inlineStr">
        <is>
          <t>958</t>
        </is>
      </c>
      <c r="P40" s="153" t="inlineStr">
        <is>
          <t>1,000</t>
        </is>
      </c>
      <c r="Q40" s="153" t="inlineStr">
        <is>
          <t>4,155</t>
        </is>
      </c>
      <c r="R40" s="153" t="inlineStr">
        <is>
          <t>0</t>
        </is>
      </c>
      <c r="S40" s="153" t="inlineStr">
        <is>
          <t>0</t>
        </is>
      </c>
      <c r="T40" s="124" t="inlineStr">
        <is>
          <t>3,334</t>
        </is>
      </c>
      <c r="U40" s="134" t="n"/>
      <c r="V40" s="134" t="n"/>
      <c r="W40" s="134" t="n"/>
    </row>
    <row r="41" collapsed="1" s="240">
      <c r="A41" s="261" t="inlineStr">
        <is>
          <t xml:space="preserve">    Click Quản Lý Chi Tiêu</t>
        </is>
      </c>
      <c r="B41" s="262" t="inlineStr"/>
      <c r="C41" s="262" t="inlineStr"/>
      <c r="D41" s="262" t="inlineStr"/>
      <c r="E41" s="262" t="inlineStr"/>
      <c r="F41" s="262" t="inlineStr">
        <is>
          <t>336</t>
        </is>
      </c>
      <c r="G41" s="262" t="inlineStr">
        <is>
          <t>160</t>
        </is>
      </c>
      <c r="H41" s="262" t="inlineStr"/>
      <c r="I41" s="262" t="inlineStr"/>
      <c r="J41" s="263" t="inlineStr">
        <is>
          <t>-176</t>
        </is>
      </c>
      <c r="K41" s="264" t="inlineStr">
        <is>
          <t>3.9%</t>
        </is>
      </c>
      <c r="L41" s="262" t="inlineStr"/>
      <c r="M41" s="262" t="inlineStr"/>
      <c r="N41" s="262" t="inlineStr"/>
      <c r="O41" s="262" t="inlineStr"/>
      <c r="P41" s="262" t="inlineStr">
        <is>
          <t>380</t>
        </is>
      </c>
      <c r="Q41" s="262" t="inlineStr">
        <is>
          <t>160</t>
        </is>
      </c>
      <c r="R41" s="262" t="inlineStr"/>
      <c r="S41" s="262" t="inlineStr"/>
      <c r="T41" s="263" t="inlineStr">
        <is>
          <t>-176</t>
        </is>
      </c>
      <c r="U41" s="134" t="n"/>
      <c r="V41" s="134" t="n"/>
      <c r="W41" s="134" t="n"/>
    </row>
    <row r="42" hidden="1" outlineLevel="1" s="240">
      <c r="A42" s="265" t="inlineStr">
        <is>
          <t>Trả Góp Apple</t>
        </is>
      </c>
      <c r="B42" s="266" t="inlineStr">
        <is>
          <t>650</t>
        </is>
      </c>
      <c r="C42" s="266" t="inlineStr">
        <is>
          <t>580</t>
        </is>
      </c>
      <c r="D42" s="266" t="inlineStr">
        <is>
          <t>852</t>
        </is>
      </c>
      <c r="E42" s="266" t="inlineStr">
        <is>
          <t>800</t>
        </is>
      </c>
      <c r="F42" s="266" t="inlineStr">
        <is>
          <t>995</t>
        </is>
      </c>
      <c r="G42" s="266" t="inlineStr">
        <is>
          <t>457</t>
        </is>
      </c>
      <c r="H42" s="266" t="inlineStr">
        <is>
          <t>0</t>
        </is>
      </c>
      <c r="I42" s="266" t="inlineStr">
        <is>
          <t>0</t>
        </is>
      </c>
      <c r="J42" s="124" t="inlineStr">
        <is>
          <t>-538</t>
        </is>
      </c>
      <c r="K42" s="112" t="inlineStr"/>
      <c r="L42" s="266" t="inlineStr">
        <is>
          <t>819</t>
        </is>
      </c>
      <c r="M42" s="266" t="inlineStr">
        <is>
          <t>772</t>
        </is>
      </c>
      <c r="N42" s="266" t="inlineStr">
        <is>
          <t>1,183</t>
        </is>
      </c>
      <c r="O42" s="266" t="inlineStr">
        <is>
          <t>1,020</t>
        </is>
      </c>
      <c r="P42" s="266" t="inlineStr">
        <is>
          <t>1,206</t>
        </is>
      </c>
      <c r="Q42" s="266" t="inlineStr">
        <is>
          <t>457</t>
        </is>
      </c>
      <c r="R42" s="266" t="inlineStr">
        <is>
          <t>0</t>
        </is>
      </c>
      <c r="S42" s="266" t="inlineStr">
        <is>
          <t>0</t>
        </is>
      </c>
      <c r="T42" s="124" t="inlineStr">
        <is>
          <t>-538</t>
        </is>
      </c>
      <c r="U42" s="99" t="n"/>
      <c r="V42" s="99" t="n"/>
      <c r="W42" s="99" t="n"/>
    </row>
    <row r="43" hidden="1" outlineLevel="1" s="240">
      <c r="A43" s="261" t="inlineStr">
        <is>
          <t xml:space="preserve">    Click Trả Góp Apple</t>
        </is>
      </c>
      <c r="B43" s="262" t="inlineStr"/>
      <c r="C43" s="262" t="inlineStr"/>
      <c r="D43" s="262" t="inlineStr"/>
      <c r="E43" s="262" t="inlineStr"/>
      <c r="F43" s="262" t="inlineStr">
        <is>
          <t>8</t>
        </is>
      </c>
      <c r="G43" s="262" t="inlineStr">
        <is>
          <t>2</t>
        </is>
      </c>
      <c r="H43" s="262" t="inlineStr"/>
      <c r="I43" s="262" t="inlineStr"/>
      <c r="J43" s="263" t="inlineStr">
        <is>
          <t>-6</t>
        </is>
      </c>
      <c r="K43" s="264" t="inlineStr">
        <is>
          <t>0.4%</t>
        </is>
      </c>
      <c r="L43" s="262" t="inlineStr"/>
      <c r="M43" s="262" t="inlineStr"/>
      <c r="N43" s="262" t="inlineStr"/>
      <c r="O43" s="262" t="inlineStr"/>
      <c r="P43" s="262" t="inlineStr">
        <is>
          <t>8</t>
        </is>
      </c>
      <c r="Q43" s="262" t="inlineStr">
        <is>
          <t>2</t>
        </is>
      </c>
      <c r="R43" s="262" t="inlineStr"/>
      <c r="S43" s="262" t="inlineStr"/>
      <c r="T43" s="263" t="inlineStr">
        <is>
          <t>-6</t>
        </is>
      </c>
      <c r="U43" s="99" t="n"/>
      <c r="V43" s="99" t="n"/>
      <c r="W43" s="99" t="n"/>
    </row>
    <row r="44">
      <c r="A44" s="260" t="inlineStr">
        <is>
          <t>Thanh Toán Khoản Vay</t>
        </is>
      </c>
      <c r="B44" s="153" t="inlineStr">
        <is>
          <t>668</t>
        </is>
      </c>
      <c r="C44" s="153" t="inlineStr">
        <is>
          <t>667</t>
        </is>
      </c>
      <c r="D44" s="153" t="inlineStr">
        <is>
          <t>775</t>
        </is>
      </c>
      <c r="E44" s="153" t="inlineStr">
        <is>
          <t>579</t>
        </is>
      </c>
      <c r="F44" s="153" t="inlineStr">
        <is>
          <t>488</t>
        </is>
      </c>
      <c r="G44" s="153" t="inlineStr">
        <is>
          <t>501</t>
        </is>
      </c>
      <c r="H44" s="153" t="inlineStr">
        <is>
          <t>0</t>
        </is>
      </c>
      <c r="I44" s="153" t="inlineStr">
        <is>
          <t>0</t>
        </is>
      </c>
      <c r="J44" s="124" t="inlineStr">
        <is>
          <t>13</t>
        </is>
      </c>
      <c r="K44" s="132" t="inlineStr"/>
      <c r="L44" s="153" t="inlineStr">
        <is>
          <t>864</t>
        </is>
      </c>
      <c r="M44" s="153" t="inlineStr">
        <is>
          <t>832</t>
        </is>
      </c>
      <c r="N44" s="153" t="inlineStr">
        <is>
          <t>969</t>
        </is>
      </c>
      <c r="O44" s="153" t="inlineStr">
        <is>
          <t>744</t>
        </is>
      </c>
      <c r="P44" s="153" t="inlineStr">
        <is>
          <t>610</t>
        </is>
      </c>
      <c r="Q44" s="153" t="inlineStr">
        <is>
          <t>501</t>
        </is>
      </c>
      <c r="R44" s="153" t="inlineStr">
        <is>
          <t>0</t>
        </is>
      </c>
      <c r="S44" s="153" t="inlineStr">
        <is>
          <t>0</t>
        </is>
      </c>
      <c r="T44" s="124" t="inlineStr">
        <is>
          <t>13</t>
        </is>
      </c>
      <c r="U44" s="134" t="n"/>
      <c r="V44" s="134" t="n"/>
      <c r="W44" s="134" t="n"/>
    </row>
    <row r="45">
      <c r="A45" s="261" t="inlineStr">
        <is>
          <t xml:space="preserve">    Click Thanh Toán Khoản Vay</t>
        </is>
      </c>
      <c r="B45" s="262" t="inlineStr"/>
      <c r="C45" s="262" t="inlineStr"/>
      <c r="D45" s="262" t="inlineStr"/>
      <c r="E45" s="262" t="inlineStr"/>
      <c r="F45" s="262" t="inlineStr">
        <is>
          <t>1</t>
        </is>
      </c>
      <c r="G45" s="262" t="inlineStr">
        <is>
          <t>1</t>
        </is>
      </c>
      <c r="H45" s="262" t="inlineStr"/>
      <c r="I45" s="262" t="inlineStr"/>
      <c r="J45" s="263" t="inlineStr">
        <is>
          <t>0</t>
        </is>
      </c>
      <c r="K45" s="264" t="inlineStr">
        <is>
          <t>0.2%</t>
        </is>
      </c>
      <c r="L45" s="262" t="inlineStr"/>
      <c r="M45" s="262" t="inlineStr"/>
      <c r="N45" s="262" t="inlineStr"/>
      <c r="O45" s="262" t="inlineStr"/>
      <c r="P45" s="262" t="inlineStr">
        <is>
          <t>1</t>
        </is>
      </c>
      <c r="Q45" s="262" t="inlineStr">
        <is>
          <t>1</t>
        </is>
      </c>
      <c r="R45" s="262" t="inlineStr"/>
      <c r="S45" s="262" t="inlineStr"/>
      <c r="T45" s="263" t="inlineStr">
        <is>
          <t>0</t>
        </is>
      </c>
      <c r="U45" s="134" t="n"/>
      <c r="V45" s="134" t="n"/>
      <c r="W45" s="134" t="n"/>
    </row>
    <row r="46">
      <c r="A46" s="260" t="inlineStr">
        <is>
          <t>Chứng Khoán</t>
        </is>
      </c>
      <c r="B46" s="153" t="inlineStr">
        <is>
          <t>536</t>
        </is>
      </c>
      <c r="C46" s="153" t="inlineStr">
        <is>
          <t>499</t>
        </is>
      </c>
      <c r="D46" s="153" t="inlineStr">
        <is>
          <t>553</t>
        </is>
      </c>
      <c r="E46" s="153" t="inlineStr">
        <is>
          <t>470</t>
        </is>
      </c>
      <c r="F46" s="153" t="inlineStr">
        <is>
          <t>383</t>
        </is>
      </c>
      <c r="G46" s="153" t="inlineStr">
        <is>
          <t>1,645</t>
        </is>
      </c>
      <c r="H46" s="153" t="inlineStr">
        <is>
          <t>0</t>
        </is>
      </c>
      <c r="I46" s="153" t="inlineStr">
        <is>
          <t>0</t>
        </is>
      </c>
      <c r="J46" s="124" t="inlineStr">
        <is>
          <t>1,262</t>
        </is>
      </c>
      <c r="K46" s="132" t="inlineStr"/>
      <c r="L46" s="153" t="inlineStr">
        <is>
          <t>693</t>
        </is>
      </c>
      <c r="M46" s="153" t="inlineStr">
        <is>
          <t>672</t>
        </is>
      </c>
      <c r="N46" s="153" t="inlineStr">
        <is>
          <t>705</t>
        </is>
      </c>
      <c r="O46" s="153" t="inlineStr">
        <is>
          <t>622</t>
        </is>
      </c>
      <c r="P46" s="153" t="inlineStr">
        <is>
          <t>470</t>
        </is>
      </c>
      <c r="Q46" s="153" t="inlineStr">
        <is>
          <t>1,645</t>
        </is>
      </c>
      <c r="R46" s="153" t="inlineStr">
        <is>
          <t>0</t>
        </is>
      </c>
      <c r="S46" s="153" t="inlineStr">
        <is>
          <t>0</t>
        </is>
      </c>
      <c r="T46" s="124" t="inlineStr">
        <is>
          <t>1,262</t>
        </is>
      </c>
      <c r="U46" s="134" t="n"/>
      <c r="V46" s="134" t="n"/>
      <c r="W46" s="134" t="n"/>
    </row>
    <row r="47">
      <c r="A47" s="261" t="inlineStr">
        <is>
          <t xml:space="preserve">    Click Chứng Khoán</t>
        </is>
      </c>
      <c r="B47" s="262" t="inlineStr"/>
      <c r="C47" s="262" t="inlineStr"/>
      <c r="D47" s="262" t="inlineStr"/>
      <c r="E47" s="262" t="inlineStr"/>
      <c r="F47" s="262" t="inlineStr">
        <is>
          <t>6</t>
        </is>
      </c>
      <c r="G47" s="262" t="inlineStr">
        <is>
          <t>6</t>
        </is>
      </c>
      <c r="H47" s="262" t="inlineStr"/>
      <c r="I47" s="262" t="inlineStr"/>
      <c r="J47" s="263" t="inlineStr">
        <is>
          <t>0</t>
        </is>
      </c>
      <c r="K47" s="264" t="inlineStr">
        <is>
          <t>0.4%</t>
        </is>
      </c>
      <c r="L47" s="262" t="inlineStr"/>
      <c r="M47" s="262" t="inlineStr"/>
      <c r="N47" s="262" t="inlineStr"/>
      <c r="O47" s="262" t="inlineStr"/>
      <c r="P47" s="262" t="inlineStr">
        <is>
          <t>6</t>
        </is>
      </c>
      <c r="Q47" s="262" t="inlineStr">
        <is>
          <t>6</t>
        </is>
      </c>
      <c r="R47" s="262" t="inlineStr"/>
      <c r="S47" s="262" t="inlineStr"/>
      <c r="T47" s="263" t="inlineStr">
        <is>
          <t>0</t>
        </is>
      </c>
      <c r="U47" s="134" t="n"/>
      <c r="V47" s="134" t="n"/>
      <c r="W47" s="134" t="n"/>
    </row>
    <row r="48">
      <c r="A48" s="260" t="inlineStr">
        <is>
          <t>Tiết Kiệm Online</t>
        </is>
      </c>
      <c r="B48" s="153" t="inlineStr">
        <is>
          <t>335</t>
        </is>
      </c>
      <c r="C48" s="153" t="inlineStr">
        <is>
          <t>335</t>
        </is>
      </c>
      <c r="D48" s="153" t="inlineStr">
        <is>
          <t>440</t>
        </is>
      </c>
      <c r="E48" s="153" t="inlineStr">
        <is>
          <t>389</t>
        </is>
      </c>
      <c r="F48" s="153" t="inlineStr">
        <is>
          <t>394</t>
        </is>
      </c>
      <c r="G48" s="153" t="inlineStr">
        <is>
          <t>1,347</t>
        </is>
      </c>
      <c r="H48" s="153" t="inlineStr">
        <is>
          <t>0</t>
        </is>
      </c>
      <c r="I48" s="153" t="inlineStr">
        <is>
          <t>0</t>
        </is>
      </c>
      <c r="J48" s="124" t="inlineStr">
        <is>
          <t>953</t>
        </is>
      </c>
      <c r="K48" s="132" t="inlineStr"/>
      <c r="L48" s="153" t="inlineStr">
        <is>
          <t>431</t>
        </is>
      </c>
      <c r="M48" s="153" t="inlineStr">
        <is>
          <t>408</t>
        </is>
      </c>
      <c r="N48" s="153" t="inlineStr">
        <is>
          <t>550</t>
        </is>
      </c>
      <c r="O48" s="153" t="inlineStr">
        <is>
          <t>520</t>
        </is>
      </c>
      <c r="P48" s="153" t="inlineStr">
        <is>
          <t>481</t>
        </is>
      </c>
      <c r="Q48" s="153" t="inlineStr">
        <is>
          <t>1,347</t>
        </is>
      </c>
      <c r="R48" s="153" t="inlineStr">
        <is>
          <t>0</t>
        </is>
      </c>
      <c r="S48" s="153" t="inlineStr">
        <is>
          <t>0</t>
        </is>
      </c>
      <c r="T48" s="124" t="inlineStr">
        <is>
          <t>953</t>
        </is>
      </c>
      <c r="U48" s="134" t="n"/>
      <c r="V48" s="134" t="n"/>
      <c r="W48" s="134" t="n"/>
    </row>
    <row r="49">
      <c r="A49" s="261" t="inlineStr">
        <is>
          <t xml:space="preserve">    Click Tiết Kiệm Online</t>
        </is>
      </c>
      <c r="B49" s="262" t="inlineStr"/>
      <c r="C49" s="262" t="inlineStr"/>
      <c r="D49" s="262" t="inlineStr"/>
      <c r="E49" s="262" t="inlineStr"/>
      <c r="F49" s="262" t="inlineStr">
        <is>
          <t>23</t>
        </is>
      </c>
      <c r="G49" s="262" t="inlineStr">
        <is>
          <t>11</t>
        </is>
      </c>
      <c r="H49" s="262" t="inlineStr"/>
      <c r="I49" s="262" t="inlineStr"/>
      <c r="J49" s="263" t="inlineStr">
        <is>
          <t>-12</t>
        </is>
      </c>
      <c r="K49" s="264" t="inlineStr">
        <is>
          <t>0.8%</t>
        </is>
      </c>
      <c r="L49" s="262" t="inlineStr"/>
      <c r="M49" s="262" t="inlineStr"/>
      <c r="N49" s="262" t="inlineStr"/>
      <c r="O49" s="262" t="inlineStr"/>
      <c r="P49" s="262" t="inlineStr">
        <is>
          <t>23</t>
        </is>
      </c>
      <c r="Q49" s="262" t="inlineStr">
        <is>
          <t>11</t>
        </is>
      </c>
      <c r="R49" s="262" t="inlineStr"/>
      <c r="S49" s="262" t="inlineStr"/>
      <c r="T49" s="263" t="inlineStr">
        <is>
          <t>-12</t>
        </is>
      </c>
      <c r="U49" s="134" t="n"/>
      <c r="V49" s="134" t="n"/>
      <c r="W49" s="134" t="n"/>
    </row>
    <row r="50">
      <c r="A50" s="260" t="inlineStr">
        <is>
          <t>Thanh Toán Thẻ Tín Dụng</t>
        </is>
      </c>
      <c r="B50" s="153" t="inlineStr">
        <is>
          <t>385</t>
        </is>
      </c>
      <c r="C50" s="153" t="inlineStr">
        <is>
          <t>338</t>
        </is>
      </c>
      <c r="D50" s="153" t="inlineStr">
        <is>
          <t>370</t>
        </is>
      </c>
      <c r="E50" s="153" t="inlineStr">
        <is>
          <t>305</t>
        </is>
      </c>
      <c r="F50" s="153" t="inlineStr">
        <is>
          <t>171</t>
        </is>
      </c>
      <c r="G50" s="153" t="inlineStr">
        <is>
          <t>397</t>
        </is>
      </c>
      <c r="H50" s="153" t="inlineStr">
        <is>
          <t>0</t>
        </is>
      </c>
      <c r="I50" s="153" t="inlineStr">
        <is>
          <t>0</t>
        </is>
      </c>
      <c r="J50" s="124" t="inlineStr">
        <is>
          <t>226</t>
        </is>
      </c>
      <c r="K50" s="132" t="inlineStr"/>
      <c r="L50" s="153" t="inlineStr">
        <is>
          <t>486</t>
        </is>
      </c>
      <c r="M50" s="153" t="inlineStr">
        <is>
          <t>432</t>
        </is>
      </c>
      <c r="N50" s="153" t="inlineStr">
        <is>
          <t>468</t>
        </is>
      </c>
      <c r="O50" s="153" t="inlineStr">
        <is>
          <t>362</t>
        </is>
      </c>
      <c r="P50" s="153" t="inlineStr">
        <is>
          <t>212</t>
        </is>
      </c>
      <c r="Q50" s="153" t="inlineStr">
        <is>
          <t>397</t>
        </is>
      </c>
      <c r="R50" s="153" t="inlineStr">
        <is>
          <t>0</t>
        </is>
      </c>
      <c r="S50" s="153" t="inlineStr">
        <is>
          <t>0</t>
        </is>
      </c>
      <c r="T50" s="124" t="inlineStr">
        <is>
          <t>226</t>
        </is>
      </c>
      <c r="U50" s="134" t="n"/>
      <c r="V50" s="134" t="n"/>
      <c r="W50" s="134" t="n"/>
    </row>
    <row r="51">
      <c r="A51" s="261" t="inlineStr">
        <is>
          <t xml:space="preserve">    Click Thanh Toán Thẻ Tín Dụng</t>
        </is>
      </c>
      <c r="B51" s="262" t="inlineStr"/>
      <c r="C51" s="262" t="inlineStr"/>
      <c r="D51" s="262" t="inlineStr"/>
      <c r="E51" s="262" t="inlineStr"/>
      <c r="F51" s="262" t="inlineStr">
        <is>
          <t>3</t>
        </is>
      </c>
      <c r="G51" s="262" t="inlineStr">
        <is>
          <t>1</t>
        </is>
      </c>
      <c r="H51" s="262" t="inlineStr"/>
      <c r="I51" s="262" t="inlineStr"/>
      <c r="J51" s="263" t="inlineStr">
        <is>
          <t>-2</t>
        </is>
      </c>
      <c r="K51" s="264" t="inlineStr">
        <is>
          <t>0.3%</t>
        </is>
      </c>
      <c r="L51" s="262" t="inlineStr"/>
      <c r="M51" s="262" t="inlineStr"/>
      <c r="N51" s="262" t="inlineStr"/>
      <c r="O51" s="262" t="inlineStr"/>
      <c r="P51" s="262" t="inlineStr">
        <is>
          <t>3</t>
        </is>
      </c>
      <c r="Q51" s="262" t="inlineStr">
        <is>
          <t>1</t>
        </is>
      </c>
      <c r="R51" s="262" t="inlineStr"/>
      <c r="S51" s="262" t="inlineStr"/>
      <c r="T51" s="263" t="inlineStr">
        <is>
          <t>-2</t>
        </is>
      </c>
      <c r="U51" s="134" t="n"/>
      <c r="V51" s="134" t="n"/>
      <c r="W51" s="134" t="n"/>
    </row>
    <row r="52">
      <c r="A52" s="260" t="inlineStr">
        <is>
          <t>Chứng Chỉ Quỹ</t>
        </is>
      </c>
      <c r="B52" s="153" t="inlineStr">
        <is>
          <t>211</t>
        </is>
      </c>
      <c r="C52" s="153" t="inlineStr">
        <is>
          <t>156</t>
        </is>
      </c>
      <c r="D52" s="153" t="inlineStr">
        <is>
          <t>202</t>
        </is>
      </c>
      <c r="E52" s="153" t="inlineStr">
        <is>
          <t>140</t>
        </is>
      </c>
      <c r="F52" s="153" t="inlineStr">
        <is>
          <t>123</t>
        </is>
      </c>
      <c r="G52" s="153" t="inlineStr">
        <is>
          <t>395</t>
        </is>
      </c>
      <c r="H52" s="153" t="inlineStr">
        <is>
          <t>0</t>
        </is>
      </c>
      <c r="I52" s="153" t="inlineStr">
        <is>
          <t>0</t>
        </is>
      </c>
      <c r="J52" s="124" t="inlineStr">
        <is>
          <t>272</t>
        </is>
      </c>
      <c r="K52" s="132" t="inlineStr"/>
      <c r="L52" s="153" t="inlineStr">
        <is>
          <t>256</t>
        </is>
      </c>
      <c r="M52" s="153" t="inlineStr">
        <is>
          <t>207</t>
        </is>
      </c>
      <c r="N52" s="153" t="inlineStr">
        <is>
          <t>237</t>
        </is>
      </c>
      <c r="O52" s="153" t="inlineStr">
        <is>
          <t>185</t>
        </is>
      </c>
      <c r="P52" s="153" t="inlineStr">
        <is>
          <t>180</t>
        </is>
      </c>
      <c r="Q52" s="153" t="inlineStr">
        <is>
          <t>395</t>
        </is>
      </c>
      <c r="R52" s="153" t="inlineStr">
        <is>
          <t>0</t>
        </is>
      </c>
      <c r="S52" s="153" t="inlineStr">
        <is>
          <t>0</t>
        </is>
      </c>
      <c r="T52" s="124" t="inlineStr">
        <is>
          <t>272</t>
        </is>
      </c>
      <c r="U52" s="134" t="n"/>
      <c r="V52" s="134" t="n"/>
      <c r="W52" s="134" t="n"/>
    </row>
    <row r="53">
      <c r="A53" s="261" t="inlineStr">
        <is>
          <t xml:space="preserve">    Click Chứng Chỉ Quỹ</t>
        </is>
      </c>
      <c r="B53" s="262" t="inlineStr"/>
      <c r="C53" s="262" t="inlineStr"/>
      <c r="D53" s="262" t="inlineStr"/>
      <c r="E53" s="262" t="inlineStr"/>
      <c r="F53" s="262" t="inlineStr">
        <is>
          <t>0</t>
        </is>
      </c>
      <c r="G53" s="262" t="inlineStr">
        <is>
          <t>2</t>
        </is>
      </c>
      <c r="H53" s="262" t="inlineStr"/>
      <c r="I53" s="262" t="inlineStr"/>
      <c r="J53" s="263" t="inlineStr">
        <is>
          <t>2</t>
        </is>
      </c>
      <c r="K53" s="264" t="inlineStr">
        <is>
          <t>0.5%</t>
        </is>
      </c>
      <c r="L53" s="262" t="inlineStr"/>
      <c r="M53" s="262" t="inlineStr"/>
      <c r="N53" s="262" t="inlineStr"/>
      <c r="O53" s="262" t="inlineStr"/>
      <c r="P53" s="262" t="inlineStr">
        <is>
          <t>0</t>
        </is>
      </c>
      <c r="Q53" s="262" t="inlineStr">
        <is>
          <t>2</t>
        </is>
      </c>
      <c r="R53" s="262" t="inlineStr"/>
      <c r="S53" s="262" t="inlineStr"/>
      <c r="T53" s="263" t="inlineStr">
        <is>
          <t>2</t>
        </is>
      </c>
      <c r="U53" s="134" t="n"/>
      <c r="V53" s="134" t="n"/>
      <c r="W53" s="134" t="n"/>
    </row>
    <row r="54">
      <c r="A54" s="260" t="inlineStr">
        <is>
          <t>Trung Tâm Tài Chính</t>
        </is>
      </c>
      <c r="B54" s="153" t="inlineStr">
        <is>
          <t>4,035</t>
        </is>
      </c>
      <c r="C54" s="153" t="inlineStr">
        <is>
          <t>4,176</t>
        </is>
      </c>
      <c r="D54" s="153" t="inlineStr">
        <is>
          <t>4,741</t>
        </is>
      </c>
      <c r="E54" s="153" t="inlineStr">
        <is>
          <t>6,589</t>
        </is>
      </c>
      <c r="F54" s="153" t="inlineStr">
        <is>
          <t>6,250</t>
        </is>
      </c>
      <c r="G54" s="153" t="inlineStr">
        <is>
          <t>34,056</t>
        </is>
      </c>
      <c r="H54" s="153" t="inlineStr">
        <is>
          <t>0</t>
        </is>
      </c>
      <c r="I54" s="153" t="inlineStr">
        <is>
          <t>0</t>
        </is>
      </c>
      <c r="J54" s="124" t="inlineStr">
        <is>
          <t>27,806</t>
        </is>
      </c>
      <c r="K54" s="132" t="inlineStr"/>
      <c r="L54" s="153" t="inlineStr">
        <is>
          <t>5,430</t>
        </is>
      </c>
      <c r="M54" s="153" t="inlineStr">
        <is>
          <t>5,568</t>
        </is>
      </c>
      <c r="N54" s="153" t="inlineStr">
        <is>
          <t>6,701</t>
        </is>
      </c>
      <c r="O54" s="153" t="inlineStr">
        <is>
          <t>9,107</t>
        </is>
      </c>
      <c r="P54" s="153" t="inlineStr">
        <is>
          <t>8,025</t>
        </is>
      </c>
      <c r="Q54" s="153" t="inlineStr">
        <is>
          <t>34,056</t>
        </is>
      </c>
      <c r="R54" s="153" t="inlineStr">
        <is>
          <t>0</t>
        </is>
      </c>
      <c r="S54" s="153" t="inlineStr">
        <is>
          <t>0</t>
        </is>
      </c>
      <c r="T54" s="124" t="inlineStr">
        <is>
          <t>27,806</t>
        </is>
      </c>
      <c r="U54" s="134" t="n"/>
      <c r="V54" s="134" t="n"/>
      <c r="W54" s="134" t="n"/>
    </row>
    <row r="55">
      <c r="A55" s="261" t="inlineStr">
        <is>
          <t xml:space="preserve">    Click Trung Tâm Tài Chính</t>
        </is>
      </c>
      <c r="B55" s="262" t="inlineStr"/>
      <c r="C55" s="262" t="inlineStr"/>
      <c r="D55" s="262" t="inlineStr"/>
      <c r="E55" s="262" t="inlineStr"/>
      <c r="F55" s="262" t="inlineStr">
        <is>
          <t>58</t>
        </is>
      </c>
      <c r="G55" s="262" t="inlineStr">
        <is>
          <t>276</t>
        </is>
      </c>
      <c r="H55" s="262" t="inlineStr"/>
      <c r="I55" s="262" t="inlineStr"/>
      <c r="J55" s="263" t="inlineStr">
        <is>
          <t>218</t>
        </is>
      </c>
      <c r="K55" s="264" t="inlineStr">
        <is>
          <t>0.8%</t>
        </is>
      </c>
      <c r="L55" s="262" t="inlineStr"/>
      <c r="M55" s="262" t="inlineStr"/>
      <c r="N55" s="262" t="inlineStr"/>
      <c r="O55" s="262" t="inlineStr"/>
      <c r="P55" s="262" t="inlineStr">
        <is>
          <t>61</t>
        </is>
      </c>
      <c r="Q55" s="262" t="inlineStr">
        <is>
          <t>276</t>
        </is>
      </c>
      <c r="R55" s="262" t="inlineStr"/>
      <c r="S55" s="262" t="inlineStr"/>
      <c r="T55" s="263" t="inlineStr">
        <is>
          <t>218</t>
        </is>
      </c>
      <c r="U55" s="134" t="n"/>
      <c r="V55" s="134" t="n"/>
      <c r="W55" s="134" t="n"/>
    </row>
    <row r="56">
      <c r="A56" s="260" t="inlineStr">
        <is>
          <t>Sàn Đầu Tư</t>
        </is>
      </c>
      <c r="B56" s="153" t="inlineStr">
        <is>
          <t>22</t>
        </is>
      </c>
      <c r="C56" s="153" t="inlineStr">
        <is>
          <t>20</t>
        </is>
      </c>
      <c r="D56" s="153" t="inlineStr">
        <is>
          <t>19</t>
        </is>
      </c>
      <c r="E56" s="153" t="inlineStr">
        <is>
          <t>17</t>
        </is>
      </c>
      <c r="F56" s="153" t="inlineStr">
        <is>
          <t>26</t>
        </is>
      </c>
      <c r="G56" s="153" t="inlineStr">
        <is>
          <t>25</t>
        </is>
      </c>
      <c r="H56" s="153" t="inlineStr">
        <is>
          <t>0</t>
        </is>
      </c>
      <c r="I56" s="153" t="inlineStr">
        <is>
          <t>0</t>
        </is>
      </c>
      <c r="J56" s="124" t="inlineStr">
        <is>
          <t>-1</t>
        </is>
      </c>
      <c r="K56" s="132" t="inlineStr"/>
      <c r="L56" s="153" t="inlineStr">
        <is>
          <t>28</t>
        </is>
      </c>
      <c r="M56" s="153" t="inlineStr">
        <is>
          <t>22</t>
        </is>
      </c>
      <c r="N56" s="153" t="inlineStr">
        <is>
          <t>28</t>
        </is>
      </c>
      <c r="O56" s="153" t="inlineStr">
        <is>
          <t>29</t>
        </is>
      </c>
      <c r="P56" s="153" t="inlineStr">
        <is>
          <t>33</t>
        </is>
      </c>
      <c r="Q56" s="153" t="inlineStr">
        <is>
          <t>25</t>
        </is>
      </c>
      <c r="R56" s="153" t="inlineStr">
        <is>
          <t>0</t>
        </is>
      </c>
      <c r="S56" s="153" t="inlineStr">
        <is>
          <t>0</t>
        </is>
      </c>
      <c r="T56" s="124" t="inlineStr">
        <is>
          <t>-1</t>
        </is>
      </c>
      <c r="U56" s="134" t="n"/>
      <c r="V56" s="134" t="n"/>
      <c r="W56" s="134" t="n"/>
    </row>
    <row r="57">
      <c r="A57" s="261" t="inlineStr">
        <is>
          <t xml:space="preserve">    Click Sàn Đầu Tư</t>
        </is>
      </c>
      <c r="B57" s="262" t="inlineStr"/>
      <c r="C57" s="262" t="inlineStr"/>
      <c r="D57" s="262" t="inlineStr"/>
      <c r="E57" s="262" t="inlineStr"/>
      <c r="F57" s="262" t="inlineStr">
        <is>
          <t>1</t>
        </is>
      </c>
      <c r="G57" s="262" t="inlineStr">
        <is>
          <t>0</t>
        </is>
      </c>
      <c r="H57" s="262" t="inlineStr"/>
      <c r="I57" s="262" t="inlineStr"/>
      <c r="J57" s="263" t="inlineStr">
        <is>
          <t>-1</t>
        </is>
      </c>
      <c r="K57" s="264" t="inlineStr">
        <is>
          <t>0.0%</t>
        </is>
      </c>
      <c r="L57" s="262" t="inlineStr"/>
      <c r="M57" s="262" t="inlineStr"/>
      <c r="N57" s="262" t="inlineStr"/>
      <c r="O57" s="262" t="inlineStr"/>
      <c r="P57" s="262" t="inlineStr">
        <is>
          <t>1</t>
        </is>
      </c>
      <c r="Q57" s="262" t="inlineStr">
        <is>
          <t>0</t>
        </is>
      </c>
      <c r="R57" s="262" t="inlineStr"/>
      <c r="S57" s="262" t="inlineStr"/>
      <c r="T57" s="263" t="inlineStr">
        <is>
          <t>-1</t>
        </is>
      </c>
      <c r="U57" s="134" t="n"/>
      <c r="V57" s="134" t="n"/>
      <c r="W57" s="134" t="n"/>
    </row>
    <row r="58">
      <c r="A58" s="260" t="inlineStr">
        <is>
          <t>Vehicle Hub</t>
        </is>
      </c>
      <c r="B58" s="153" t="inlineStr">
        <is>
          <t>140,261</t>
        </is>
      </c>
      <c r="C58" s="153" t="inlineStr">
        <is>
          <t>497,240</t>
        </is>
      </c>
      <c r="D58" s="153" t="inlineStr">
        <is>
          <t>115,153</t>
        </is>
      </c>
      <c r="E58" s="153" t="inlineStr">
        <is>
          <t>211,102</t>
        </is>
      </c>
      <c r="F58" s="153" t="inlineStr">
        <is>
          <t>54,788</t>
        </is>
      </c>
      <c r="G58" s="153" t="inlineStr">
        <is>
          <t>52,073</t>
        </is>
      </c>
      <c r="H58" s="153" t="inlineStr">
        <is>
          <t>0</t>
        </is>
      </c>
      <c r="I58" s="153" t="inlineStr">
        <is>
          <t>0</t>
        </is>
      </c>
      <c r="J58" s="124" t="inlineStr">
        <is>
          <t>-2,715</t>
        </is>
      </c>
      <c r="K58" s="132" t="inlineStr"/>
      <c r="L58" s="153" t="inlineStr">
        <is>
          <t>311,592</t>
        </is>
      </c>
      <c r="M58" s="153" t="inlineStr">
        <is>
          <t>588,459</t>
        </is>
      </c>
      <c r="N58" s="153" t="inlineStr">
        <is>
          <t>172,586</t>
        </is>
      </c>
      <c r="O58" s="153" t="inlineStr">
        <is>
          <t>234,359</t>
        </is>
      </c>
      <c r="P58" s="153" t="inlineStr">
        <is>
          <t>65,761</t>
        </is>
      </c>
      <c r="Q58" s="153" t="inlineStr">
        <is>
          <t>52,073</t>
        </is>
      </c>
      <c r="R58" s="153" t="inlineStr">
        <is>
          <t>0</t>
        </is>
      </c>
      <c r="S58" s="153" t="inlineStr">
        <is>
          <t>0</t>
        </is>
      </c>
      <c r="T58" s="124" t="inlineStr">
        <is>
          <t>-2,715</t>
        </is>
      </c>
      <c r="U58" s="134" t="n"/>
      <c r="V58" s="134" t="n"/>
      <c r="W58" s="134" t="n"/>
    </row>
    <row r="59">
      <c r="A59" s="261" t="inlineStr">
        <is>
          <t>Click Vehicle Hub</t>
        </is>
      </c>
      <c r="B59" s="262" t="inlineStr"/>
      <c r="C59" s="262" t="inlineStr"/>
      <c r="D59" s="262" t="inlineStr"/>
      <c r="E59" s="262" t="inlineStr"/>
      <c r="F59" s="262" t="inlineStr">
        <is>
          <t>522</t>
        </is>
      </c>
      <c r="G59" s="262" t="inlineStr">
        <is>
          <t>2,242</t>
        </is>
      </c>
      <c r="H59" s="262" t="inlineStr"/>
      <c r="I59" s="262" t="inlineStr"/>
      <c r="J59" s="263" t="inlineStr">
        <is>
          <t>1,720</t>
        </is>
      </c>
      <c r="K59" s="264" t="inlineStr">
        <is>
          <t>4.3%</t>
        </is>
      </c>
      <c r="L59" s="262" t="inlineStr"/>
      <c r="M59" s="262" t="inlineStr"/>
      <c r="N59" s="262" t="inlineStr"/>
      <c r="O59" s="262" t="inlineStr"/>
      <c r="P59" s="262" t="inlineStr">
        <is>
          <t>647</t>
        </is>
      </c>
      <c r="Q59" s="262" t="inlineStr">
        <is>
          <t>2,242</t>
        </is>
      </c>
      <c r="R59" s="262" t="inlineStr"/>
      <c r="S59" s="262" t="inlineStr"/>
      <c r="T59" s="263" t="inlineStr">
        <is>
          <t>1,720</t>
        </is>
      </c>
      <c r="U59" s="134" t="n"/>
      <c r="V59" s="134" t="n"/>
      <c r="W59" s="134" t="n"/>
    </row>
    <row r="60">
      <c r="A60" s="260" t="inlineStr">
        <is>
          <t>Phạt nguội</t>
        </is>
      </c>
      <c r="B60" s="153" t="inlineStr">
        <is>
          <t>127,309</t>
        </is>
      </c>
      <c r="C60" s="153" t="inlineStr">
        <is>
          <t>485,671</t>
        </is>
      </c>
      <c r="D60" s="153" t="inlineStr">
        <is>
          <t>102,701</t>
        </is>
      </c>
      <c r="E60" s="153" t="inlineStr">
        <is>
          <t>195,667</t>
        </is>
      </c>
      <c r="F60" s="153" t="inlineStr">
        <is>
          <t>34,670</t>
        </is>
      </c>
      <c r="G60" s="153" t="inlineStr">
        <is>
          <t>19,009</t>
        </is>
      </c>
      <c r="H60" s="153" t="inlineStr">
        <is>
          <t>0</t>
        </is>
      </c>
      <c r="I60" s="153" t="inlineStr">
        <is>
          <t>0</t>
        </is>
      </c>
      <c r="J60" s="124" t="inlineStr">
        <is>
          <t>-15,661</t>
        </is>
      </c>
      <c r="K60" s="132" t="inlineStr"/>
      <c r="L60" s="153" t="inlineStr">
        <is>
          <t>294,668</t>
        </is>
      </c>
      <c r="M60" s="153" t="inlineStr">
        <is>
          <t>573,611</t>
        </is>
      </c>
      <c r="N60" s="153" t="inlineStr">
        <is>
          <t>154,889</t>
        </is>
      </c>
      <c r="O60" s="153" t="inlineStr">
        <is>
          <t>213,826</t>
        </is>
      </c>
      <c r="P60" s="153" t="inlineStr">
        <is>
          <t>39,382</t>
        </is>
      </c>
      <c r="Q60" s="153" t="inlineStr">
        <is>
          <t>19,009</t>
        </is>
      </c>
      <c r="R60" s="153" t="inlineStr">
        <is>
          <t>0</t>
        </is>
      </c>
      <c r="S60" s="153" t="inlineStr">
        <is>
          <t>0</t>
        </is>
      </c>
      <c r="T60" s="124" t="inlineStr">
        <is>
          <t>-15,661</t>
        </is>
      </c>
      <c r="U60" s="134" t="n"/>
      <c r="V60" s="134" t="n"/>
      <c r="W60" s="134" t="n"/>
    </row>
    <row r="61">
      <c r="A61" s="261" t="inlineStr">
        <is>
          <t xml:space="preserve">    Click Phạt nguội</t>
        </is>
      </c>
      <c r="B61" s="262" t="inlineStr"/>
      <c r="C61" s="262" t="inlineStr"/>
      <c r="D61" s="262" t="inlineStr"/>
      <c r="E61" s="262" t="inlineStr"/>
      <c r="F61" s="262" t="inlineStr">
        <is>
          <t>385</t>
        </is>
      </c>
      <c r="G61" s="262" t="inlineStr">
        <is>
          <t>844</t>
        </is>
      </c>
      <c r="H61" s="262" t="inlineStr"/>
      <c r="I61" s="262" t="inlineStr"/>
      <c r="J61" s="263" t="inlineStr">
        <is>
          <t>459</t>
        </is>
      </c>
      <c r="K61" s="264" t="inlineStr">
        <is>
          <t>4.4%</t>
        </is>
      </c>
      <c r="L61" s="262" t="inlineStr"/>
      <c r="M61" s="262" t="inlineStr"/>
      <c r="N61" s="262" t="inlineStr"/>
      <c r="O61" s="262" t="inlineStr"/>
      <c r="P61" s="262" t="inlineStr">
        <is>
          <t>472</t>
        </is>
      </c>
      <c r="Q61" s="262" t="inlineStr">
        <is>
          <t>844</t>
        </is>
      </c>
      <c r="R61" s="262" t="inlineStr"/>
      <c r="S61" s="262" t="inlineStr"/>
      <c r="T61" s="263" t="inlineStr">
        <is>
          <t>459</t>
        </is>
      </c>
      <c r="U61" s="134" t="n"/>
      <c r="V61" s="134" t="n"/>
      <c r="W61" s="134" t="n"/>
    </row>
    <row r="62">
      <c r="A62" s="260" t="inlineStr">
        <is>
          <t>Bảo hiểm ô tô</t>
        </is>
      </c>
      <c r="B62" s="153" t="inlineStr">
        <is>
          <t>9,032</t>
        </is>
      </c>
      <c r="C62" s="153" t="inlineStr">
        <is>
          <t>8,574</t>
        </is>
      </c>
      <c r="D62" s="153" t="inlineStr">
        <is>
          <t>8,839</t>
        </is>
      </c>
      <c r="E62" s="153" t="inlineStr">
        <is>
          <t>9,967</t>
        </is>
      </c>
      <c r="F62" s="153" t="inlineStr">
        <is>
          <t>14,292</t>
        </is>
      </c>
      <c r="G62" s="153" t="inlineStr">
        <is>
          <t>19,074</t>
        </is>
      </c>
      <c r="H62" s="153" t="inlineStr">
        <is>
          <t>0</t>
        </is>
      </c>
      <c r="I62" s="153" t="inlineStr">
        <is>
          <t>0</t>
        </is>
      </c>
      <c r="J62" s="124" t="inlineStr">
        <is>
          <t>4,782</t>
        </is>
      </c>
      <c r="K62" s="132" t="inlineStr"/>
      <c r="L62" s="153" t="inlineStr">
        <is>
          <t>12,014</t>
        </is>
      </c>
      <c r="M62" s="153" t="inlineStr">
        <is>
          <t>10,943</t>
        </is>
      </c>
      <c r="N62" s="153" t="inlineStr">
        <is>
          <t>12,417</t>
        </is>
      </c>
      <c r="O62" s="153" t="inlineStr">
        <is>
          <t>13,266</t>
        </is>
      </c>
      <c r="P62" s="153" t="inlineStr">
        <is>
          <t>19,022</t>
        </is>
      </c>
      <c r="Q62" s="153" t="inlineStr">
        <is>
          <t>19,074</t>
        </is>
      </c>
      <c r="R62" s="153" t="inlineStr">
        <is>
          <t>0</t>
        </is>
      </c>
      <c r="S62" s="153" t="inlineStr">
        <is>
          <t>0</t>
        </is>
      </c>
      <c r="T62" s="124" t="inlineStr">
        <is>
          <t>4,782</t>
        </is>
      </c>
      <c r="U62" s="134" t="n"/>
      <c r="V62" s="134" t="n"/>
      <c r="W62" s="134" t="n"/>
    </row>
    <row r="63" collapsed="1" s="240">
      <c r="A63" s="261" t="inlineStr">
        <is>
          <t xml:space="preserve">    Click Bảo hiểm ô tô</t>
        </is>
      </c>
      <c r="B63" s="262" t="inlineStr"/>
      <c r="C63" s="262" t="inlineStr"/>
      <c r="D63" s="262" t="inlineStr"/>
      <c r="E63" s="262" t="inlineStr"/>
      <c r="F63" s="262" t="inlineStr">
        <is>
          <t>17</t>
        </is>
      </c>
      <c r="G63" s="262" t="inlineStr">
        <is>
          <t>31</t>
        </is>
      </c>
      <c r="H63" s="262" t="inlineStr"/>
      <c r="I63" s="262" t="inlineStr"/>
      <c r="J63" s="263" t="inlineStr">
        <is>
          <t>14</t>
        </is>
      </c>
      <c r="K63" s="264" t="inlineStr">
        <is>
          <t>0.2%</t>
        </is>
      </c>
      <c r="L63" s="262" t="inlineStr"/>
      <c r="M63" s="262" t="inlineStr"/>
      <c r="N63" s="262" t="inlineStr"/>
      <c r="O63" s="262" t="inlineStr"/>
      <c r="P63" s="262" t="inlineStr">
        <is>
          <t>22</t>
        </is>
      </c>
      <c r="Q63" s="262" t="inlineStr">
        <is>
          <t>31</t>
        </is>
      </c>
      <c r="R63" s="262" t="inlineStr"/>
      <c r="S63" s="262" t="inlineStr"/>
      <c r="T63" s="263" t="inlineStr">
        <is>
          <t>14</t>
        </is>
      </c>
      <c r="U63" s="134" t="n"/>
      <c r="V63" s="134" t="n"/>
      <c r="W63" s="134" t="n"/>
    </row>
    <row r="64" hidden="1" outlineLevel="1" s="240">
      <c r="A64" s="265" t="inlineStr">
        <is>
          <t>Bảo hiểm xe máy</t>
        </is>
      </c>
      <c r="B64" s="268" t="inlineStr">
        <is>
          <t>3,920</t>
        </is>
      </c>
      <c r="C64" s="268" t="inlineStr">
        <is>
          <t>2,995</t>
        </is>
      </c>
      <c r="D64" s="268" t="inlineStr">
        <is>
          <t>3,613</t>
        </is>
      </c>
      <c r="E64" s="268" t="inlineStr">
        <is>
          <t>5,468</t>
        </is>
      </c>
      <c r="F64" s="268" t="inlineStr">
        <is>
          <t>5,330</t>
        </is>
      </c>
      <c r="G64" s="268" t="inlineStr">
        <is>
          <t>3,829</t>
        </is>
      </c>
      <c r="H64" s="268" t="inlineStr">
        <is>
          <t>0</t>
        </is>
      </c>
      <c r="I64" s="268" t="inlineStr">
        <is>
          <t>0</t>
        </is>
      </c>
      <c r="J64" s="124" t="inlineStr">
        <is>
          <t>-1,501</t>
        </is>
      </c>
      <c r="K64" s="269" t="inlineStr"/>
      <c r="L64" s="268" t="inlineStr">
        <is>
          <t>4,910</t>
        </is>
      </c>
      <c r="M64" s="268" t="inlineStr">
        <is>
          <t>3,905</t>
        </is>
      </c>
      <c r="N64" s="268" t="inlineStr">
        <is>
          <t>5,280</t>
        </is>
      </c>
      <c r="O64" s="268" t="inlineStr">
        <is>
          <t>7,267</t>
        </is>
      </c>
      <c r="P64" s="268" t="inlineStr">
        <is>
          <t>6,178</t>
        </is>
      </c>
      <c r="Q64" s="268" t="inlineStr">
        <is>
          <t>3,829</t>
        </is>
      </c>
      <c r="R64" s="268" t="inlineStr">
        <is>
          <t>0</t>
        </is>
      </c>
      <c r="S64" s="268" t="inlineStr">
        <is>
          <t>0</t>
        </is>
      </c>
      <c r="T64" s="124" t="inlineStr">
        <is>
          <t>-1,501</t>
        </is>
      </c>
      <c r="U64" s="175" t="n"/>
      <c r="V64" s="175" t="n"/>
      <c r="W64" s="175" t="n"/>
    </row>
    <row r="65" hidden="1" outlineLevel="1" s="240">
      <c r="A65" s="261" t="inlineStr">
        <is>
          <t xml:space="preserve">    Click Bảo hiểm xe máy</t>
        </is>
      </c>
      <c r="B65" s="262" t="inlineStr"/>
      <c r="C65" s="262" t="inlineStr"/>
      <c r="D65" s="262" t="inlineStr"/>
      <c r="E65" s="262" t="inlineStr"/>
      <c r="F65" s="262" t="inlineStr">
        <is>
          <t>101</t>
        </is>
      </c>
      <c r="G65" s="262" t="inlineStr">
        <is>
          <t>150</t>
        </is>
      </c>
      <c r="H65" s="262" t="inlineStr"/>
      <c r="I65" s="262" t="inlineStr"/>
      <c r="J65" s="263" t="inlineStr">
        <is>
          <t>49</t>
        </is>
      </c>
      <c r="K65" s="264" t="inlineStr">
        <is>
          <t>3.9%</t>
        </is>
      </c>
      <c r="L65" s="262" t="inlineStr"/>
      <c r="M65" s="262" t="inlineStr"/>
      <c r="N65" s="262" t="inlineStr"/>
      <c r="O65" s="262" t="inlineStr"/>
      <c r="P65" s="262" t="inlineStr">
        <is>
          <t>127</t>
        </is>
      </c>
      <c r="Q65" s="262" t="inlineStr">
        <is>
          <t>150</t>
        </is>
      </c>
      <c r="R65" s="262" t="inlineStr"/>
      <c r="S65" s="262" t="inlineStr"/>
      <c r="T65" s="263" t="inlineStr">
        <is>
          <t>49</t>
        </is>
      </c>
      <c r="U65" s="175" t="n"/>
      <c r="V65" s="175" t="n"/>
      <c r="W65" s="175" t="n"/>
    </row>
    <row r="66">
      <c r="A66" s="260" t="inlineStr">
        <is>
          <t>Tiện ích giao thông</t>
        </is>
      </c>
      <c r="B66" s="153" t="inlineStr">
        <is>
          <t>0</t>
        </is>
      </c>
      <c r="C66" s="153" t="inlineStr">
        <is>
          <t>0</t>
        </is>
      </c>
      <c r="D66" s="153" t="inlineStr">
        <is>
          <t>0</t>
        </is>
      </c>
      <c r="E66" s="153" t="inlineStr">
        <is>
          <t>0</t>
        </is>
      </c>
      <c r="F66" s="153" t="inlineStr">
        <is>
          <t>496</t>
        </is>
      </c>
      <c r="G66" s="153" t="inlineStr">
        <is>
          <t>10,161</t>
        </is>
      </c>
      <c r="H66" s="153" t="inlineStr">
        <is>
          <t>0</t>
        </is>
      </c>
      <c r="I66" s="153" t="inlineStr">
        <is>
          <t>0</t>
        </is>
      </c>
      <c r="J66" s="124" t="inlineStr">
        <is>
          <t>9,665</t>
        </is>
      </c>
      <c r="K66" s="132" t="inlineStr"/>
      <c r="L66" s="153" t="inlineStr">
        <is>
          <t>0</t>
        </is>
      </c>
      <c r="M66" s="153" t="inlineStr">
        <is>
          <t>0</t>
        </is>
      </c>
      <c r="N66" s="153" t="inlineStr">
        <is>
          <t>0</t>
        </is>
      </c>
      <c r="O66" s="153" t="inlineStr">
        <is>
          <t>0</t>
        </is>
      </c>
      <c r="P66" s="153" t="inlineStr">
        <is>
          <t>1,179</t>
        </is>
      </c>
      <c r="Q66" s="153" t="inlineStr">
        <is>
          <t>10,161</t>
        </is>
      </c>
      <c r="R66" s="153" t="inlineStr">
        <is>
          <t>0</t>
        </is>
      </c>
      <c r="S66" s="153" t="inlineStr">
        <is>
          <t>0</t>
        </is>
      </c>
      <c r="T66" s="124" t="inlineStr">
        <is>
          <t>9,665</t>
        </is>
      </c>
      <c r="U66" s="134" t="n"/>
      <c r="V66" s="134" t="n"/>
      <c r="W66" s="134" t="n"/>
    </row>
    <row r="67">
      <c r="A67" s="261" t="inlineStr">
        <is>
          <t xml:space="preserve">    Click Tiện ích giao thông</t>
        </is>
      </c>
      <c r="B67" s="262" t="inlineStr"/>
      <c r="C67" s="262" t="inlineStr"/>
      <c r="D67" s="262" t="inlineStr"/>
      <c r="E67" s="262" t="inlineStr"/>
      <c r="F67" s="262" t="inlineStr">
        <is>
          <t>19</t>
        </is>
      </c>
      <c r="G67" s="262" t="inlineStr">
        <is>
          <t>1,217</t>
        </is>
      </c>
      <c r="H67" s="262" t="inlineStr"/>
      <c r="I67" s="262" t="inlineStr"/>
      <c r="J67" s="263" t="inlineStr">
        <is>
          <t>1,198</t>
        </is>
      </c>
      <c r="K67" s="264" t="inlineStr">
        <is>
          <t>12.0%</t>
        </is>
      </c>
      <c r="L67" s="262" t="inlineStr"/>
      <c r="M67" s="262" t="inlineStr"/>
      <c r="N67" s="262" t="inlineStr"/>
      <c r="O67" s="262" t="inlineStr"/>
      <c r="P67" s="262" t="inlineStr">
        <is>
          <t>26</t>
        </is>
      </c>
      <c r="Q67" s="262" t="inlineStr">
        <is>
          <t>1,217</t>
        </is>
      </c>
      <c r="R67" s="262" t="inlineStr"/>
      <c r="S67" s="262" t="inlineStr"/>
      <c r="T67" s="263" t="inlineStr">
        <is>
          <t>1,198</t>
        </is>
      </c>
      <c r="U67" s="134" t="n"/>
      <c r="V67" s="134" t="n"/>
      <c r="W67" s="134" t="n"/>
    </row>
    <row r="68">
      <c r="A68" s="260" t="inlineStr">
        <is>
          <t>Vé Xe</t>
        </is>
      </c>
      <c r="B68" s="153" t="inlineStr">
        <is>
          <t>63,875</t>
        </is>
      </c>
      <c r="C68" s="153" t="inlineStr">
        <is>
          <t>52,510</t>
        </is>
      </c>
      <c r="D68" s="153" t="inlineStr">
        <is>
          <t>65,937</t>
        </is>
      </c>
      <c r="E68" s="153" t="inlineStr">
        <is>
          <t>79,490</t>
        </is>
      </c>
      <c r="F68" s="153" t="inlineStr">
        <is>
          <t>63,146</t>
        </is>
      </c>
      <c r="G68" s="153" t="inlineStr">
        <is>
          <t>61,830</t>
        </is>
      </c>
      <c r="H68" s="153" t="inlineStr">
        <is>
          <t>0</t>
        </is>
      </c>
      <c r="I68" s="153" t="inlineStr">
        <is>
          <t>0</t>
        </is>
      </c>
      <c r="J68" s="124" t="inlineStr">
        <is>
          <t>-1,316</t>
        </is>
      </c>
      <c r="K68" s="132" t="inlineStr"/>
      <c r="L68" s="153" t="inlineStr">
        <is>
          <t>80,620</t>
        </is>
      </c>
      <c r="M68" s="153" t="inlineStr">
        <is>
          <t>73,517</t>
        </is>
      </c>
      <c r="N68" s="153" t="inlineStr">
        <is>
          <t>91,094</t>
        </is>
      </c>
      <c r="O68" s="153" t="inlineStr">
        <is>
          <t>120,566</t>
        </is>
      </c>
      <c r="P68" s="153" t="inlineStr">
        <is>
          <t>79,916</t>
        </is>
      </c>
      <c r="Q68" s="153" t="inlineStr">
        <is>
          <t>61,830</t>
        </is>
      </c>
      <c r="R68" s="153" t="inlineStr">
        <is>
          <t>0</t>
        </is>
      </c>
      <c r="S68" s="153" t="inlineStr">
        <is>
          <t>0</t>
        </is>
      </c>
      <c r="T68" s="124" t="inlineStr">
        <is>
          <t>-1,316</t>
        </is>
      </c>
      <c r="U68" s="134" t="n"/>
      <c r="V68" s="134" t="n"/>
      <c r="W68" s="134" t="n"/>
    </row>
    <row r="69">
      <c r="A69" s="261" t="inlineStr">
        <is>
          <t>Click Vé Xe</t>
        </is>
      </c>
      <c r="B69" s="262" t="inlineStr"/>
      <c r="C69" s="262" t="inlineStr"/>
      <c r="D69" s="262" t="inlineStr"/>
      <c r="E69" s="262" t="inlineStr"/>
      <c r="F69" s="262" t="inlineStr">
        <is>
          <t>92</t>
        </is>
      </c>
      <c r="G69" s="262" t="inlineStr">
        <is>
          <t>66</t>
        </is>
      </c>
      <c r="H69" s="262" t="inlineStr"/>
      <c r="I69" s="262" t="inlineStr"/>
      <c r="J69" s="263" t="inlineStr">
        <is>
          <t>-26</t>
        </is>
      </c>
      <c r="K69" s="264" t="inlineStr">
        <is>
          <t>0.1%</t>
        </is>
      </c>
      <c r="L69" s="262" t="inlineStr"/>
      <c r="M69" s="262" t="inlineStr"/>
      <c r="N69" s="262" t="inlineStr"/>
      <c r="O69" s="262" t="inlineStr"/>
      <c r="P69" s="262" t="inlineStr">
        <is>
          <t>98</t>
        </is>
      </c>
      <c r="Q69" s="262" t="inlineStr">
        <is>
          <t>66</t>
        </is>
      </c>
      <c r="R69" s="262" t="inlineStr"/>
      <c r="S69" s="262" t="inlineStr"/>
      <c r="T69" s="263" t="inlineStr">
        <is>
          <t>-26</t>
        </is>
      </c>
      <c r="U69" s="134" t="n"/>
      <c r="V69" s="134" t="n"/>
      <c r="W69" s="134" t="n"/>
    </row>
    <row r="70">
      <c r="A70" s="260" t="inlineStr">
        <is>
          <t>OTA</t>
        </is>
      </c>
      <c r="B70" s="153" t="inlineStr">
        <is>
          <t>36,173</t>
        </is>
      </c>
      <c r="C70" s="153" t="inlineStr">
        <is>
          <t>49,572</t>
        </is>
      </c>
      <c r="D70" s="153" t="inlineStr">
        <is>
          <t>45,088</t>
        </is>
      </c>
      <c r="E70" s="153" t="inlineStr">
        <is>
          <t>38,789</t>
        </is>
      </c>
      <c r="F70" s="153" t="inlineStr">
        <is>
          <t>25,437</t>
        </is>
      </c>
      <c r="G70" s="153" t="inlineStr">
        <is>
          <t>31,654</t>
        </is>
      </c>
      <c r="H70" s="153" t="inlineStr">
        <is>
          <t>0</t>
        </is>
      </c>
      <c r="I70" s="153" t="inlineStr">
        <is>
          <t>0</t>
        </is>
      </c>
      <c r="J70" s="124" t="inlineStr">
        <is>
          <t>6,217</t>
        </is>
      </c>
      <c r="K70" s="132" t="inlineStr"/>
      <c r="L70" s="153" t="inlineStr">
        <is>
          <t>48,493</t>
        </is>
      </c>
      <c r="M70" s="153" t="inlineStr">
        <is>
          <t>64,086</t>
        </is>
      </c>
      <c r="N70" s="153" t="inlineStr">
        <is>
          <t>61,864</t>
        </is>
      </c>
      <c r="O70" s="153" t="inlineStr">
        <is>
          <t>53,978</t>
        </is>
      </c>
      <c r="P70" s="153" t="inlineStr">
        <is>
          <t>31,922</t>
        </is>
      </c>
      <c r="Q70" s="153" t="inlineStr">
        <is>
          <t>31,654</t>
        </is>
      </c>
      <c r="R70" s="153" t="inlineStr">
        <is>
          <t>0</t>
        </is>
      </c>
      <c r="S70" s="153" t="inlineStr">
        <is>
          <t>0</t>
        </is>
      </c>
      <c r="T70" s="124" t="inlineStr">
        <is>
          <t>6,217</t>
        </is>
      </c>
      <c r="U70" s="134" t="n"/>
      <c r="V70" s="134" t="n"/>
      <c r="W70" s="134" t="n"/>
    </row>
    <row r="71">
      <c r="A71" s="261" t="inlineStr">
        <is>
          <t>Click OTA</t>
        </is>
      </c>
      <c r="B71" s="262" t="inlineStr"/>
      <c r="C71" s="262" t="inlineStr"/>
      <c r="D71" s="262" t="inlineStr"/>
      <c r="E71" s="262" t="inlineStr"/>
      <c r="F71" s="262" t="inlineStr">
        <is>
          <t>129</t>
        </is>
      </c>
      <c r="G71" s="262" t="inlineStr">
        <is>
          <t>123</t>
        </is>
      </c>
      <c r="H71" s="262" t="inlineStr"/>
      <c r="I71" s="262" t="inlineStr"/>
      <c r="J71" s="263" t="inlineStr">
        <is>
          <t>-6</t>
        </is>
      </c>
      <c r="K71" s="264" t="inlineStr">
        <is>
          <t>0.4%</t>
        </is>
      </c>
      <c r="L71" s="262" t="inlineStr"/>
      <c r="M71" s="262" t="inlineStr"/>
      <c r="N71" s="262" t="inlineStr"/>
      <c r="O71" s="262" t="inlineStr"/>
      <c r="P71" s="262" t="inlineStr">
        <is>
          <t>169</t>
        </is>
      </c>
      <c r="Q71" s="262" t="inlineStr">
        <is>
          <t>123</t>
        </is>
      </c>
      <c r="R71" s="262" t="inlineStr"/>
      <c r="S71" s="262" t="inlineStr"/>
      <c r="T71" s="263" t="inlineStr">
        <is>
          <t>-6</t>
        </is>
      </c>
      <c r="U71" s="134" t="n"/>
      <c r="V71" s="134" t="n"/>
      <c r="W71" s="134" t="n"/>
    </row>
    <row r="72">
      <c r="A72" s="260" t="inlineStr">
        <is>
          <t>Merchant</t>
        </is>
      </c>
      <c r="B72" s="153" t="inlineStr">
        <is>
          <t>47,415</t>
        </is>
      </c>
      <c r="C72" s="153" t="inlineStr">
        <is>
          <t>56,179</t>
        </is>
      </c>
      <c r="D72" s="153" t="inlineStr">
        <is>
          <t>53,929</t>
        </is>
      </c>
      <c r="E72" s="153" t="inlineStr">
        <is>
          <t>55,320</t>
        </is>
      </c>
      <c r="F72" s="153" t="inlineStr">
        <is>
          <t>53,246</t>
        </is>
      </c>
      <c r="G72" s="153" t="inlineStr">
        <is>
          <t>64,870</t>
        </is>
      </c>
      <c r="H72" s="153" t="inlineStr">
        <is>
          <t>0</t>
        </is>
      </c>
      <c r="I72" s="153" t="inlineStr">
        <is>
          <t>0</t>
        </is>
      </c>
      <c r="J72" s="124" t="inlineStr">
        <is>
          <t>11,624</t>
        </is>
      </c>
      <c r="K72" s="132" t="inlineStr"/>
      <c r="L72" s="153" t="inlineStr">
        <is>
          <t>64,294</t>
        </is>
      </c>
      <c r="M72" s="153" t="inlineStr">
        <is>
          <t>72,301</t>
        </is>
      </c>
      <c r="N72" s="153" t="inlineStr">
        <is>
          <t>73,231</t>
        </is>
      </c>
      <c r="O72" s="153" t="inlineStr">
        <is>
          <t>74,101</t>
        </is>
      </c>
      <c r="P72" s="153" t="inlineStr">
        <is>
          <t>69,356</t>
        </is>
      </c>
      <c r="Q72" s="153" t="inlineStr">
        <is>
          <t>64,870</t>
        </is>
      </c>
      <c r="R72" s="153" t="inlineStr">
        <is>
          <t>0</t>
        </is>
      </c>
      <c r="S72" s="153" t="inlineStr">
        <is>
          <t>0</t>
        </is>
      </c>
      <c r="T72" s="124" t="inlineStr">
        <is>
          <t>11,624</t>
        </is>
      </c>
      <c r="U72" s="134" t="n"/>
      <c r="V72" s="134" t="n"/>
      <c r="W72" s="134" t="n"/>
    </row>
    <row r="73">
      <c r="A73" s="261" t="inlineStr">
        <is>
          <t>Click Merchant</t>
        </is>
      </c>
      <c r="B73" s="264" t="inlineStr"/>
      <c r="C73" s="264" t="inlineStr"/>
      <c r="D73" s="264" t="inlineStr"/>
      <c r="E73" s="264" t="inlineStr"/>
      <c r="F73" s="264" t="inlineStr">
        <is>
          <t>665</t>
        </is>
      </c>
      <c r="G73" s="264" t="inlineStr">
        <is>
          <t>709</t>
        </is>
      </c>
      <c r="H73" s="264" t="inlineStr"/>
      <c r="I73" s="264" t="inlineStr"/>
      <c r="J73" s="264" t="inlineStr">
        <is>
          <t>44</t>
        </is>
      </c>
      <c r="K73" s="264" t="inlineStr">
        <is>
          <t>1.1%</t>
        </is>
      </c>
      <c r="L73" s="264" t="inlineStr"/>
      <c r="M73" s="264" t="inlineStr"/>
      <c r="N73" s="264" t="inlineStr"/>
      <c r="O73" s="264" t="inlineStr"/>
      <c r="P73" s="264" t="inlineStr">
        <is>
          <t>732</t>
        </is>
      </c>
      <c r="Q73" s="264" t="inlineStr">
        <is>
          <t>709</t>
        </is>
      </c>
      <c r="R73" s="264" t="inlineStr"/>
      <c r="S73" s="264" t="inlineStr"/>
      <c r="T73" s="264" t="inlineStr">
        <is>
          <t>44</t>
        </is>
      </c>
      <c r="U73" s="99" t="n"/>
      <c r="V73" s="99" t="n"/>
      <c r="W73" s="99" t="n"/>
    </row>
    <row r="74">
      <c r="A74" s="270" t="inlineStr">
        <is>
          <t>Sim</t>
        </is>
      </c>
      <c r="B74" s="178" t="inlineStr">
        <is>
          <t>23,545</t>
        </is>
      </c>
      <c r="C74" s="178" t="inlineStr">
        <is>
          <t>25,991</t>
        </is>
      </c>
      <c r="D74" s="178" t="inlineStr">
        <is>
          <t>25,302</t>
        </is>
      </c>
      <c r="E74" s="178" t="inlineStr">
        <is>
          <t>43,326</t>
        </is>
      </c>
      <c r="F74" s="178" t="inlineStr">
        <is>
          <t>41,158</t>
        </is>
      </c>
      <c r="G74" s="178" t="inlineStr">
        <is>
          <t>15,840</t>
        </is>
      </c>
      <c r="H74" s="178" t="inlineStr">
        <is>
          <t>0</t>
        </is>
      </c>
      <c r="I74" s="178" t="inlineStr">
        <is>
          <t>0</t>
        </is>
      </c>
      <c r="J74" s="178" t="inlineStr">
        <is>
          <t>-25,318</t>
        </is>
      </c>
      <c r="K74" s="178" t="inlineStr"/>
      <c r="L74" s="178" t="inlineStr">
        <is>
          <t>30,856</t>
        </is>
      </c>
      <c r="M74" s="178" t="inlineStr">
        <is>
          <t>36,610</t>
        </is>
      </c>
      <c r="N74" s="178" t="inlineStr">
        <is>
          <t>38,684</t>
        </is>
      </c>
      <c r="O74" s="178" t="inlineStr">
        <is>
          <t>54,769</t>
        </is>
      </c>
      <c r="P74" s="178" t="inlineStr">
        <is>
          <t>52,966</t>
        </is>
      </c>
      <c r="Q74" s="178" t="inlineStr">
        <is>
          <t>15,840</t>
        </is>
      </c>
      <c r="R74" s="178" t="inlineStr">
        <is>
          <t>0.0%</t>
        </is>
      </c>
      <c r="S74" s="178" t="inlineStr">
        <is>
          <t>0.0%</t>
        </is>
      </c>
      <c r="T74" s="178" t="inlineStr">
        <is>
          <t>-25,318</t>
        </is>
      </c>
      <c r="U74" s="179" t="n"/>
      <c r="V74" s="179" t="n"/>
      <c r="W74" s="179" t="n"/>
    </row>
    <row r="75">
      <c r="A75" s="261" t="inlineStr">
        <is>
          <t>Click Sim</t>
        </is>
      </c>
      <c r="B75" s="271" t="inlineStr"/>
      <c r="C75" s="271" t="inlineStr"/>
      <c r="D75" s="271" t="inlineStr"/>
      <c r="E75" s="271" t="inlineStr"/>
      <c r="F75" s="271" t="inlineStr">
        <is>
          <t>112</t>
        </is>
      </c>
      <c r="G75" s="271" t="inlineStr">
        <is>
          <t>53</t>
        </is>
      </c>
      <c r="H75" s="271" t="inlineStr"/>
      <c r="I75" s="271" t="inlineStr"/>
      <c r="J75" s="271" t="inlineStr">
        <is>
          <t>-59</t>
        </is>
      </c>
      <c r="K75" s="264" t="inlineStr">
        <is>
          <t>0.3%</t>
        </is>
      </c>
      <c r="L75" s="271" t="inlineStr"/>
      <c r="M75" s="271" t="inlineStr"/>
      <c r="N75" s="271" t="inlineStr"/>
      <c r="O75" s="271" t="inlineStr"/>
      <c r="P75" s="271" t="inlineStr">
        <is>
          <t>131</t>
        </is>
      </c>
      <c r="Q75" s="271" t="inlineStr">
        <is>
          <t>53</t>
        </is>
      </c>
      <c r="R75" s="271" t="inlineStr"/>
      <c r="S75" s="271" t="inlineStr"/>
      <c r="T75" s="271" t="inlineStr">
        <is>
          <t>-59</t>
        </is>
      </c>
      <c r="U75" s="179" t="n"/>
      <c r="V75" s="179" t="n"/>
      <c r="W75" s="179" t="n"/>
    </row>
    <row r="76">
      <c r="A76" s="270" t="inlineStr">
        <is>
          <t>Sim</t>
        </is>
      </c>
      <c r="B76" s="181" t="inlineStr">
        <is>
          <t>12,842</t>
        </is>
      </c>
      <c r="C76" s="181" t="inlineStr">
        <is>
          <t>12,847</t>
        </is>
      </c>
      <c r="D76" s="181" t="inlineStr">
        <is>
          <t>18,324</t>
        </is>
      </c>
      <c r="E76" s="181" t="inlineStr">
        <is>
          <t>29,766</t>
        </is>
      </c>
      <c r="F76" s="181" t="inlineStr">
        <is>
          <t>26,827</t>
        </is>
      </c>
      <c r="G76" s="181" t="inlineStr">
        <is>
          <t>11,581</t>
        </is>
      </c>
      <c r="H76" s="181" t="inlineStr">
        <is>
          <t>0</t>
        </is>
      </c>
      <c r="I76" s="181" t="inlineStr">
        <is>
          <t>0</t>
        </is>
      </c>
      <c r="J76" s="181" t="inlineStr">
        <is>
          <t>-15,246</t>
        </is>
      </c>
      <c r="K76" s="178" t="inlineStr"/>
      <c r="L76" s="181" t="inlineStr">
        <is>
          <t>16,656</t>
        </is>
      </c>
      <c r="M76" s="181" t="inlineStr">
        <is>
          <t>19,186</t>
        </is>
      </c>
      <c r="N76" s="181" t="inlineStr">
        <is>
          <t>28,161</t>
        </is>
      </c>
      <c r="O76" s="181" t="inlineStr">
        <is>
          <t>35,444</t>
        </is>
      </c>
      <c r="P76" s="181" t="inlineStr">
        <is>
          <t>34,682</t>
        </is>
      </c>
      <c r="Q76" s="181" t="inlineStr">
        <is>
          <t>11,581</t>
        </is>
      </c>
      <c r="R76" s="181" t="inlineStr">
        <is>
          <t>0.0%</t>
        </is>
      </c>
      <c r="S76" s="181" t="inlineStr">
        <is>
          <t>0.0%</t>
        </is>
      </c>
      <c r="T76" s="181" t="inlineStr">
        <is>
          <t>-15,246</t>
        </is>
      </c>
      <c r="U76" s="179" t="n"/>
      <c r="V76" s="179" t="n"/>
      <c r="W76" s="179" t="n"/>
    </row>
    <row r="77">
      <c r="A77" s="261" t="inlineStr">
        <is>
          <t xml:space="preserve">    Click Sim</t>
        </is>
      </c>
      <c r="B77" s="271" t="inlineStr"/>
      <c r="C77" s="271" t="inlineStr"/>
      <c r="D77" s="271" t="inlineStr"/>
      <c r="E77" s="271" t="inlineStr"/>
      <c r="F77" s="271" t="inlineStr">
        <is>
          <t>54</t>
        </is>
      </c>
      <c r="G77" s="271" t="inlineStr">
        <is>
          <t>38</t>
        </is>
      </c>
      <c r="H77" s="271" t="inlineStr"/>
      <c r="I77" s="271" t="inlineStr"/>
      <c r="J77" s="271" t="inlineStr">
        <is>
          <t>-16</t>
        </is>
      </c>
      <c r="K77" s="264" t="inlineStr">
        <is>
          <t>0.3%</t>
        </is>
      </c>
      <c r="L77" s="271" t="inlineStr"/>
      <c r="M77" s="271" t="inlineStr"/>
      <c r="N77" s="271" t="inlineStr"/>
      <c r="O77" s="271" t="inlineStr"/>
      <c r="P77" s="271" t="inlineStr">
        <is>
          <t>61</t>
        </is>
      </c>
      <c r="Q77" s="271" t="inlineStr">
        <is>
          <t>38</t>
        </is>
      </c>
      <c r="R77" s="271" t="inlineStr"/>
      <c r="S77" s="271" t="inlineStr"/>
      <c r="T77" s="271" t="inlineStr">
        <is>
          <t>-16</t>
        </is>
      </c>
      <c r="U77" s="179" t="n"/>
      <c r="V77" s="179" t="n"/>
      <c r="W77" s="179" t="n"/>
    </row>
    <row r="78">
      <c r="A78" s="270" t="inlineStr">
        <is>
          <t>Esim</t>
        </is>
      </c>
      <c r="B78" s="181" t="inlineStr">
        <is>
          <t>10,703</t>
        </is>
      </c>
      <c r="C78" s="181" t="inlineStr">
        <is>
          <t>13,144</t>
        </is>
      </c>
      <c r="D78" s="181" t="inlineStr">
        <is>
          <t>6,978</t>
        </is>
      </c>
      <c r="E78" s="181" t="inlineStr">
        <is>
          <t>13,560</t>
        </is>
      </c>
      <c r="F78" s="181" t="inlineStr">
        <is>
          <t>14,331</t>
        </is>
      </c>
      <c r="G78" s="181" t="inlineStr">
        <is>
          <t>4,259</t>
        </is>
      </c>
      <c r="H78" s="181" t="inlineStr">
        <is>
          <t>0</t>
        </is>
      </c>
      <c r="I78" s="181" t="inlineStr">
        <is>
          <t>0</t>
        </is>
      </c>
      <c r="J78" s="181" t="inlineStr">
        <is>
          <t>-10,072</t>
        </is>
      </c>
      <c r="K78" s="178" t="inlineStr"/>
      <c r="L78" s="181" t="inlineStr">
        <is>
          <t>14,200</t>
        </is>
      </c>
      <c r="M78" s="181" t="inlineStr">
        <is>
          <t>17,424</t>
        </is>
      </c>
      <c r="N78" s="181" t="inlineStr">
        <is>
          <t>10,523</t>
        </is>
      </c>
      <c r="O78" s="181" t="inlineStr">
        <is>
          <t>19,325</t>
        </is>
      </c>
      <c r="P78" s="181" t="inlineStr">
        <is>
          <t>18,284</t>
        </is>
      </c>
      <c r="Q78" s="181" t="inlineStr">
        <is>
          <t>4,259</t>
        </is>
      </c>
      <c r="R78" s="181" t="inlineStr">
        <is>
          <t>0.0%</t>
        </is>
      </c>
      <c r="S78" s="181" t="inlineStr">
        <is>
          <t>0.0%</t>
        </is>
      </c>
      <c r="T78" s="181" t="inlineStr">
        <is>
          <t>-10,072</t>
        </is>
      </c>
      <c r="U78" s="179" t="n"/>
      <c r="V78" s="179" t="n"/>
      <c r="W78" s="179" t="n"/>
    </row>
    <row r="79">
      <c r="A79" s="261" t="inlineStr">
        <is>
          <t xml:space="preserve">    Click Esim</t>
        </is>
      </c>
      <c r="B79" s="271" t="inlineStr"/>
      <c r="C79" s="271" t="inlineStr"/>
      <c r="D79" s="271" t="inlineStr"/>
      <c r="E79" s="271" t="inlineStr"/>
      <c r="F79" s="271" t="inlineStr">
        <is>
          <t>58</t>
        </is>
      </c>
      <c r="G79" s="271" t="inlineStr">
        <is>
          <t>15</t>
        </is>
      </c>
      <c r="H79" s="271" t="inlineStr"/>
      <c r="I79" s="271" t="inlineStr"/>
      <c r="J79" s="271" t="inlineStr">
        <is>
          <t>-43</t>
        </is>
      </c>
      <c r="K79" s="264" t="inlineStr">
        <is>
          <t>0.4%</t>
        </is>
      </c>
      <c r="L79" s="271" t="inlineStr"/>
      <c r="M79" s="271" t="inlineStr"/>
      <c r="N79" s="271" t="inlineStr"/>
      <c r="O79" s="271" t="inlineStr"/>
      <c r="P79" s="271" t="inlineStr">
        <is>
          <t>70</t>
        </is>
      </c>
      <c r="Q79" s="271" t="inlineStr">
        <is>
          <t>15</t>
        </is>
      </c>
      <c r="R79" s="271" t="inlineStr"/>
      <c r="S79" s="271" t="inlineStr"/>
      <c r="T79" s="271" t="inlineStr">
        <is>
          <t>-43</t>
        </is>
      </c>
      <c r="U79" s="179" t="n"/>
      <c r="V79" s="179" t="n"/>
      <c r="W79" s="179" t="n"/>
    </row>
    <row r="80">
      <c r="A80" s="270" t="inlineStr">
        <is>
          <t>Game</t>
        </is>
      </c>
      <c r="B80" s="181" t="inlineStr">
        <is>
          <t>79,050</t>
        </is>
      </c>
      <c r="C80" s="181" t="inlineStr">
        <is>
          <t>123,312</t>
        </is>
      </c>
      <c r="D80" s="181" t="inlineStr">
        <is>
          <t>146,444</t>
        </is>
      </c>
      <c r="E80" s="181" t="inlineStr">
        <is>
          <t>278,653</t>
        </is>
      </c>
      <c r="F80" s="181" t="inlineStr">
        <is>
          <t>228,603</t>
        </is>
      </c>
      <c r="G80" s="181" t="inlineStr">
        <is>
          <t>217,929</t>
        </is>
      </c>
      <c r="H80" s="181" t="inlineStr">
        <is>
          <t>0</t>
        </is>
      </c>
      <c r="I80" s="181" t="inlineStr">
        <is>
          <t>0</t>
        </is>
      </c>
      <c r="J80" s="181" t="inlineStr">
        <is>
          <t>-10,674</t>
        </is>
      </c>
      <c r="K80" s="178" t="inlineStr"/>
      <c r="L80" s="181" t="inlineStr">
        <is>
          <t>101,021</t>
        </is>
      </c>
      <c r="M80" s="181" t="inlineStr">
        <is>
          <t>140,549</t>
        </is>
      </c>
      <c r="N80" s="181" t="inlineStr">
        <is>
          <t>209,714</t>
        </is>
      </c>
      <c r="O80" s="181" t="inlineStr">
        <is>
          <t>449,086</t>
        </is>
      </c>
      <c r="P80" s="181" t="inlineStr">
        <is>
          <t>261,902</t>
        </is>
      </c>
      <c r="Q80" s="181" t="inlineStr">
        <is>
          <t>217,929</t>
        </is>
      </c>
      <c r="R80" s="181" t="inlineStr">
        <is>
          <t>0.0%</t>
        </is>
      </c>
      <c r="S80" s="181" t="inlineStr">
        <is>
          <t>0.0%</t>
        </is>
      </c>
      <c r="T80" s="181" t="inlineStr">
        <is>
          <t>-10,674</t>
        </is>
      </c>
      <c r="U80" s="179" t="n"/>
      <c r="V80" s="179" t="n"/>
      <c r="W80" s="179" t="n"/>
    </row>
    <row r="81">
      <c r="A81" s="261" t="inlineStr">
        <is>
          <t>Click Game</t>
        </is>
      </c>
      <c r="B81" s="271" t="inlineStr"/>
      <c r="C81" s="271" t="inlineStr"/>
      <c r="D81" s="271" t="inlineStr"/>
      <c r="E81" s="271" t="inlineStr"/>
      <c r="F81" s="271" t="inlineStr">
        <is>
          <t>23,961</t>
        </is>
      </c>
      <c r="G81" s="271" t="inlineStr">
        <is>
          <t>29,984</t>
        </is>
      </c>
      <c r="H81" s="271" t="inlineStr"/>
      <c r="I81" s="271" t="inlineStr"/>
      <c r="J81" s="271" t="inlineStr">
        <is>
          <t>6,023</t>
        </is>
      </c>
      <c r="K81" s="264" t="inlineStr">
        <is>
          <t>13.8%</t>
        </is>
      </c>
      <c r="L81" s="271" t="inlineStr"/>
      <c r="M81" s="271" t="inlineStr"/>
      <c r="N81" s="271" t="inlineStr"/>
      <c r="O81" s="271" t="inlineStr"/>
      <c r="P81" s="271" t="inlineStr">
        <is>
          <t>24,733</t>
        </is>
      </c>
      <c r="Q81" s="271" t="inlineStr">
        <is>
          <t>29,984</t>
        </is>
      </c>
      <c r="R81" s="271" t="inlineStr"/>
      <c r="S81" s="271" t="inlineStr"/>
      <c r="T81" s="271" t="inlineStr">
        <is>
          <t>6,023</t>
        </is>
      </c>
      <c r="U81" s="179" t="n"/>
      <c r="V81" s="179" t="n"/>
      <c r="W81" s="179" t="n"/>
    </row>
    <row r="82">
      <c r="A82" s="270" t="inlineStr">
        <is>
          <t>Bảo hiểm y tế</t>
        </is>
      </c>
      <c r="B82" s="181" t="inlineStr">
        <is>
          <t>4,346</t>
        </is>
      </c>
      <c r="C82" s="181" t="inlineStr">
        <is>
          <t>8,689</t>
        </is>
      </c>
      <c r="D82" s="181" t="inlineStr">
        <is>
          <t>20,093</t>
        </is>
      </c>
      <c r="E82" s="181" t="inlineStr">
        <is>
          <t>7,245</t>
        </is>
      </c>
      <c r="F82" s="181" t="inlineStr">
        <is>
          <t>9,853</t>
        </is>
      </c>
      <c r="G82" s="181" t="inlineStr">
        <is>
          <t>26,510</t>
        </is>
      </c>
      <c r="H82" s="181" t="inlineStr">
        <is>
          <t>0</t>
        </is>
      </c>
      <c r="I82" s="181" t="inlineStr">
        <is>
          <t>0</t>
        </is>
      </c>
      <c r="J82" s="181" t="inlineStr">
        <is>
          <t>16,657</t>
        </is>
      </c>
      <c r="K82" s="178" t="inlineStr"/>
      <c r="L82" s="181" t="inlineStr">
        <is>
          <t>6,052</t>
        </is>
      </c>
      <c r="M82" s="181" t="inlineStr">
        <is>
          <t>14,059</t>
        </is>
      </c>
      <c r="N82" s="181" t="inlineStr">
        <is>
          <t>30,251</t>
        </is>
      </c>
      <c r="O82" s="181" t="inlineStr">
        <is>
          <t>9,915</t>
        </is>
      </c>
      <c r="P82" s="181" t="inlineStr">
        <is>
          <t>12,430</t>
        </is>
      </c>
      <c r="Q82" s="181" t="inlineStr">
        <is>
          <t>26,510</t>
        </is>
      </c>
      <c r="R82" s="181" t="inlineStr">
        <is>
          <t>0.0%</t>
        </is>
      </c>
      <c r="S82" s="181" t="inlineStr">
        <is>
          <t>0.0%</t>
        </is>
      </c>
      <c r="T82" s="181" t="inlineStr">
        <is>
          <t>16,657</t>
        </is>
      </c>
      <c r="U82" s="179" t="n"/>
      <c r="V82" s="179" t="n"/>
      <c r="W82" s="179" t="n"/>
    </row>
    <row r="83">
      <c r="A83" s="261" t="inlineStr">
        <is>
          <t>Click Bảo hiểm y tế</t>
        </is>
      </c>
      <c r="B83" s="271" t="inlineStr"/>
      <c r="C83" s="271" t="inlineStr"/>
      <c r="D83" s="271" t="inlineStr"/>
      <c r="E83" s="271" t="inlineStr"/>
      <c r="F83" s="271" t="inlineStr">
        <is>
          <t>213</t>
        </is>
      </c>
      <c r="G83" s="271" t="inlineStr">
        <is>
          <t>207</t>
        </is>
      </c>
      <c r="H83" s="271" t="inlineStr"/>
      <c r="I83" s="271" t="inlineStr"/>
      <c r="J83" s="271" t="inlineStr">
        <is>
          <t>-6</t>
        </is>
      </c>
      <c r="K83" s="264" t="inlineStr">
        <is>
          <t>0.8%</t>
        </is>
      </c>
      <c r="L83" s="271" t="inlineStr"/>
      <c r="M83" s="271" t="inlineStr"/>
      <c r="N83" s="271" t="inlineStr"/>
      <c r="O83" s="271" t="inlineStr"/>
      <c r="P83" s="271" t="inlineStr">
        <is>
          <t>238</t>
        </is>
      </c>
      <c r="Q83" s="271" t="inlineStr">
        <is>
          <t>207</t>
        </is>
      </c>
      <c r="R83" s="271" t="inlineStr"/>
      <c r="S83" s="271" t="inlineStr"/>
      <c r="T83" s="271" t="inlineStr">
        <is>
          <t>-6</t>
        </is>
      </c>
      <c r="U83" s="179" t="n"/>
      <c r="V83" s="179" t="n"/>
      <c r="W83" s="179" t="n"/>
    </row>
    <row r="84">
      <c r="A84" s="270" t="inlineStr">
        <is>
          <t>Data</t>
        </is>
      </c>
      <c r="B84" s="181" t="inlineStr">
        <is>
          <t>31,808</t>
        </is>
      </c>
      <c r="C84" s="181" t="inlineStr">
        <is>
          <t>8,370</t>
        </is>
      </c>
      <c r="D84" s="181" t="inlineStr">
        <is>
          <t>7,902</t>
        </is>
      </c>
      <c r="E84" s="181" t="inlineStr">
        <is>
          <t>10,937</t>
        </is>
      </c>
      <c r="F84" s="181" t="inlineStr">
        <is>
          <t>11,471</t>
        </is>
      </c>
      <c r="G84" s="181" t="inlineStr">
        <is>
          <t>7,887</t>
        </is>
      </c>
      <c r="H84" s="181" t="inlineStr">
        <is>
          <t>0</t>
        </is>
      </c>
      <c r="I84" s="181" t="inlineStr">
        <is>
          <t>0</t>
        </is>
      </c>
      <c r="J84" s="181" t="inlineStr">
        <is>
          <t>-3,584</t>
        </is>
      </c>
      <c r="K84" s="178" t="inlineStr"/>
      <c r="L84" s="181" t="inlineStr">
        <is>
          <t>34,717</t>
        </is>
      </c>
      <c r="M84" s="181" t="inlineStr">
        <is>
          <t>10,866</t>
        </is>
      </c>
      <c r="N84" s="181" t="inlineStr">
        <is>
          <t>11,404</t>
        </is>
      </c>
      <c r="O84" s="181" t="inlineStr">
        <is>
          <t>15,612</t>
        </is>
      </c>
      <c r="P84" s="181" t="inlineStr">
        <is>
          <t>13,154</t>
        </is>
      </c>
      <c r="Q84" s="181" t="inlineStr">
        <is>
          <t>7,887</t>
        </is>
      </c>
      <c r="R84" s="181" t="inlineStr">
        <is>
          <t>0.0%</t>
        </is>
      </c>
      <c r="S84" s="181" t="inlineStr">
        <is>
          <t>0.0%</t>
        </is>
      </c>
      <c r="T84" s="181" t="inlineStr">
        <is>
          <t>-3,584</t>
        </is>
      </c>
      <c r="U84" s="179" t="n"/>
      <c r="V84" s="179" t="n"/>
      <c r="W84" s="179" t="n"/>
    </row>
    <row r="85">
      <c r="A85" s="261" t="inlineStr">
        <is>
          <t>Click Data</t>
        </is>
      </c>
      <c r="B85" s="271" t="inlineStr"/>
      <c r="C85" s="271" t="inlineStr"/>
      <c r="D85" s="271" t="inlineStr"/>
      <c r="E85" s="271" t="inlineStr"/>
      <c r="F85" s="271" t="inlineStr">
        <is>
          <t>38</t>
        </is>
      </c>
      <c r="G85" s="271" t="inlineStr">
        <is>
          <t>28</t>
        </is>
      </c>
      <c r="H85" s="271" t="inlineStr"/>
      <c r="I85" s="271" t="inlineStr"/>
      <c r="J85" s="271" t="inlineStr">
        <is>
          <t>-10</t>
        </is>
      </c>
      <c r="K85" s="264" t="inlineStr">
        <is>
          <t>0.4%</t>
        </is>
      </c>
      <c r="L85" s="271" t="inlineStr"/>
      <c r="M85" s="271" t="inlineStr"/>
      <c r="N85" s="271" t="inlineStr"/>
      <c r="O85" s="271" t="inlineStr"/>
      <c r="P85" s="271" t="inlineStr">
        <is>
          <t>38</t>
        </is>
      </c>
      <c r="Q85" s="271" t="inlineStr">
        <is>
          <t>28</t>
        </is>
      </c>
      <c r="R85" s="271" t="inlineStr"/>
      <c r="S85" s="271" t="inlineStr"/>
      <c r="T85" s="271" t="inlineStr">
        <is>
          <t>-10</t>
        </is>
      </c>
      <c r="U85" s="179" t="n"/>
      <c r="V85" s="179" t="n"/>
      <c r="W85" s="179" t="n"/>
    </row>
    <row r="86">
      <c r="A86" s="270" t="inlineStr">
        <is>
          <t>Soundbox</t>
        </is>
      </c>
      <c r="B86" s="181" t="inlineStr">
        <is>
          <t>4,948</t>
        </is>
      </c>
      <c r="C86" s="181" t="inlineStr">
        <is>
          <t>5,693</t>
        </is>
      </c>
      <c r="D86" s="181" t="inlineStr">
        <is>
          <t>6,344</t>
        </is>
      </c>
      <c r="E86" s="181" t="inlineStr">
        <is>
          <t>6,697</t>
        </is>
      </c>
      <c r="F86" s="181" t="inlineStr">
        <is>
          <t>8,289</t>
        </is>
      </c>
      <c r="G86" s="181" t="inlineStr">
        <is>
          <t>10,645</t>
        </is>
      </c>
      <c r="H86" s="181" t="inlineStr">
        <is>
          <t>0</t>
        </is>
      </c>
      <c r="I86" s="181" t="inlineStr">
        <is>
          <t>0</t>
        </is>
      </c>
      <c r="J86" s="181" t="inlineStr">
        <is>
          <t>2,356</t>
        </is>
      </c>
      <c r="K86" s="178" t="inlineStr"/>
      <c r="L86" s="181" t="inlineStr">
        <is>
          <t>6,488</t>
        </is>
      </c>
      <c r="M86" s="181" t="inlineStr">
        <is>
          <t>7,316</t>
        </is>
      </c>
      <c r="N86" s="181" t="inlineStr">
        <is>
          <t>8,912</t>
        </is>
      </c>
      <c r="O86" s="181" t="inlineStr">
        <is>
          <t>9,377</t>
        </is>
      </c>
      <c r="P86" s="181" t="inlineStr">
        <is>
          <t>11,295</t>
        </is>
      </c>
      <c r="Q86" s="181" t="inlineStr">
        <is>
          <t>10,645</t>
        </is>
      </c>
      <c r="R86" s="181" t="inlineStr">
        <is>
          <t>0.0%</t>
        </is>
      </c>
      <c r="S86" s="181" t="inlineStr">
        <is>
          <t>0.0%</t>
        </is>
      </c>
      <c r="T86" s="181" t="inlineStr">
        <is>
          <t>2,356</t>
        </is>
      </c>
      <c r="U86" s="179" t="n"/>
      <c r="V86" s="179" t="n"/>
      <c r="W86" s="179" t="n"/>
    </row>
    <row r="87">
      <c r="A87" s="261" t="inlineStr">
        <is>
          <t>Click Soundbox</t>
        </is>
      </c>
      <c r="B87" s="271" t="inlineStr"/>
      <c r="C87" s="271" t="inlineStr"/>
      <c r="D87" s="271" t="inlineStr"/>
      <c r="E87" s="271" t="inlineStr"/>
      <c r="F87" s="271" t="inlineStr">
        <is>
          <t>52</t>
        </is>
      </c>
      <c r="G87" s="271" t="inlineStr">
        <is>
          <t>30</t>
        </is>
      </c>
      <c r="H87" s="271" t="inlineStr"/>
      <c r="I87" s="271" t="inlineStr"/>
      <c r="J87" s="271" t="inlineStr">
        <is>
          <t>-22</t>
        </is>
      </c>
      <c r="K87" s="264" t="inlineStr">
        <is>
          <t>0.3%</t>
        </is>
      </c>
      <c r="L87" s="271" t="inlineStr"/>
      <c r="M87" s="271" t="inlineStr"/>
      <c r="N87" s="271" t="inlineStr"/>
      <c r="O87" s="271" t="inlineStr"/>
      <c r="P87" s="271" t="inlineStr">
        <is>
          <t>57</t>
        </is>
      </c>
      <c r="Q87" s="271" t="inlineStr">
        <is>
          <t>30</t>
        </is>
      </c>
      <c r="R87" s="271" t="inlineStr"/>
      <c r="S87" s="271" t="inlineStr"/>
      <c r="T87" s="271" t="inlineStr">
        <is>
          <t>-22</t>
        </is>
      </c>
      <c r="U87" s="179" t="n"/>
      <c r="V87" s="179" t="n"/>
      <c r="W87" s="179" t="n"/>
    </row>
    <row r="88">
      <c r="A88" s="270" t="inlineStr">
        <is>
          <t>New User</t>
        </is>
      </c>
      <c r="B88" s="181" t="inlineStr">
        <is>
          <t>172,040</t>
        </is>
      </c>
      <c r="C88" s="181" t="inlineStr">
        <is>
          <t>119,262</t>
        </is>
      </c>
      <c r="D88" s="181" t="inlineStr">
        <is>
          <t>134,354</t>
        </is>
      </c>
      <c r="E88" s="181" t="inlineStr">
        <is>
          <t>254,414</t>
        </is>
      </c>
      <c r="F88" s="181" t="inlineStr">
        <is>
          <t>284,844</t>
        </is>
      </c>
      <c r="G88" s="181" t="inlineStr">
        <is>
          <t>103,573</t>
        </is>
      </c>
      <c r="H88" s="181" t="inlineStr">
        <is>
          <t>0</t>
        </is>
      </c>
      <c r="I88" s="181" t="inlineStr">
        <is>
          <t>0</t>
        </is>
      </c>
      <c r="J88" s="181" t="inlineStr">
        <is>
          <t>-181,271</t>
        </is>
      </c>
      <c r="K88" s="178" t="inlineStr"/>
      <c r="L88" s="181" t="inlineStr">
        <is>
          <t>213,546</t>
        </is>
      </c>
      <c r="M88" s="181" t="inlineStr">
        <is>
          <t>155,474</t>
        </is>
      </c>
      <c r="N88" s="181" t="inlineStr">
        <is>
          <t>180,855</t>
        </is>
      </c>
      <c r="O88" s="181" t="inlineStr">
        <is>
          <t>337,907</t>
        </is>
      </c>
      <c r="P88" s="181" t="inlineStr">
        <is>
          <t>462,878</t>
        </is>
      </c>
      <c r="Q88" s="181" t="inlineStr">
        <is>
          <t>103,573</t>
        </is>
      </c>
      <c r="R88" s="181" t="inlineStr">
        <is>
          <t>0.0%</t>
        </is>
      </c>
      <c r="S88" s="181" t="inlineStr">
        <is>
          <t>0.0%</t>
        </is>
      </c>
      <c r="T88" s="181" t="inlineStr">
        <is>
          <t>-181,271</t>
        </is>
      </c>
      <c r="U88" s="179" t="n"/>
      <c r="V88" s="179" t="n"/>
      <c r="W88" s="179" t="n"/>
    </row>
    <row r="89">
      <c r="A89" s="261" t="inlineStr">
        <is>
          <t>Click New User</t>
        </is>
      </c>
      <c r="B89" s="271" t="inlineStr"/>
      <c r="C89" s="271" t="inlineStr"/>
      <c r="D89" s="271" t="inlineStr"/>
      <c r="E89" s="271" t="inlineStr"/>
      <c r="F89" s="271" t="inlineStr">
        <is>
          <t>3,774</t>
        </is>
      </c>
      <c r="G89" s="271" t="inlineStr">
        <is>
          <t>5,351</t>
        </is>
      </c>
      <c r="H89" s="271" t="inlineStr"/>
      <c r="I89" s="271" t="inlineStr"/>
      <c r="J89" s="271" t="inlineStr">
        <is>
          <t>1,577</t>
        </is>
      </c>
      <c r="K89" s="264" t="inlineStr">
        <is>
          <t>5.2%</t>
        </is>
      </c>
      <c r="L89" s="271" t="inlineStr"/>
      <c r="M89" s="271" t="inlineStr"/>
      <c r="N89" s="271" t="inlineStr"/>
      <c r="O89" s="271" t="inlineStr"/>
      <c r="P89" s="271" t="inlineStr">
        <is>
          <t>4,131</t>
        </is>
      </c>
      <c r="Q89" s="271" t="inlineStr">
        <is>
          <t>5,351</t>
        </is>
      </c>
      <c r="R89" s="271" t="inlineStr"/>
      <c r="S89" s="271" t="inlineStr"/>
      <c r="T89" s="271" t="inlineStr">
        <is>
          <t>1,577</t>
        </is>
      </c>
      <c r="U89" s="179" t="n"/>
      <c r="V89" s="179" t="n"/>
      <c r="W89" s="179" t="n"/>
    </row>
    <row r="90">
      <c r="A90" s="270" t="inlineStr">
        <is>
          <t>Hỏi đáp</t>
        </is>
      </c>
      <c r="B90" s="181" t="inlineStr">
        <is>
          <t>25,498</t>
        </is>
      </c>
      <c r="C90" s="181" t="inlineStr">
        <is>
          <t>27,283</t>
        </is>
      </c>
      <c r="D90" s="181" t="inlineStr">
        <is>
          <t>29,595</t>
        </is>
      </c>
      <c r="E90" s="181" t="inlineStr">
        <is>
          <t>28,124</t>
        </is>
      </c>
      <c r="F90" s="181" t="inlineStr">
        <is>
          <t>76,222</t>
        </is>
      </c>
      <c r="G90" s="181" t="inlineStr">
        <is>
          <t>76,772</t>
        </is>
      </c>
      <c r="H90" s="181" t="inlineStr">
        <is>
          <t>0</t>
        </is>
      </c>
      <c r="I90" s="181" t="inlineStr">
        <is>
          <t>0</t>
        </is>
      </c>
      <c r="J90" s="181" t="inlineStr">
        <is>
          <t>550</t>
        </is>
      </c>
      <c r="K90" s="178" t="inlineStr"/>
      <c r="L90" s="181" t="inlineStr">
        <is>
          <t>34,025</t>
        </is>
      </c>
      <c r="M90" s="181" t="inlineStr">
        <is>
          <t>34,839</t>
        </is>
      </c>
      <c r="N90" s="181" t="inlineStr">
        <is>
          <t>38,019</t>
        </is>
      </c>
      <c r="O90" s="181" t="inlineStr">
        <is>
          <t>39,099</t>
        </is>
      </c>
      <c r="P90" s="181" t="inlineStr">
        <is>
          <t>97,759</t>
        </is>
      </c>
      <c r="Q90" s="181" t="inlineStr">
        <is>
          <t>76,772</t>
        </is>
      </c>
      <c r="R90" s="181" t="inlineStr">
        <is>
          <t>0.0%</t>
        </is>
      </c>
      <c r="S90" s="181" t="inlineStr">
        <is>
          <t>0.0%</t>
        </is>
      </c>
      <c r="T90" s="181" t="inlineStr">
        <is>
          <t>550</t>
        </is>
      </c>
      <c r="U90" s="179" t="n"/>
      <c r="V90" s="179" t="n"/>
      <c r="W90" s="179" t="n"/>
    </row>
    <row r="91">
      <c r="A91" s="261" t="inlineStr">
        <is>
          <t>Click Hỏi đáp</t>
        </is>
      </c>
      <c r="B91" s="271" t="inlineStr"/>
      <c r="C91" s="271" t="inlineStr"/>
      <c r="D91" s="271" t="inlineStr"/>
      <c r="E91" s="271" t="inlineStr"/>
      <c r="F91" s="271" t="inlineStr">
        <is>
          <t>1,479</t>
        </is>
      </c>
      <c r="G91" s="271" t="inlineStr">
        <is>
          <t>1,567</t>
        </is>
      </c>
      <c r="H91" s="271" t="inlineStr"/>
      <c r="I91" s="271" t="inlineStr"/>
      <c r="J91" s="271" t="inlineStr">
        <is>
          <t>88</t>
        </is>
      </c>
      <c r="K91" s="264" t="inlineStr">
        <is>
          <t>2.0%</t>
        </is>
      </c>
      <c r="L91" s="271" t="inlineStr"/>
      <c r="M91" s="271" t="inlineStr"/>
      <c r="N91" s="271" t="inlineStr"/>
      <c r="O91" s="271" t="inlineStr"/>
      <c r="P91" s="271" t="inlineStr">
        <is>
          <t>1,712</t>
        </is>
      </c>
      <c r="Q91" s="271" t="inlineStr">
        <is>
          <t>1,567</t>
        </is>
      </c>
      <c r="R91" s="271" t="inlineStr"/>
      <c r="S91" s="271" t="inlineStr"/>
      <c r="T91" s="271" t="inlineStr">
        <is>
          <t>88</t>
        </is>
      </c>
      <c r="U91" s="179" t="n"/>
      <c r="V91" s="179" t="n"/>
      <c r="W91" s="179" t="n"/>
    </row>
    <row r="92">
      <c r="A92" s="270" t="inlineStr">
        <is>
          <t>TnC</t>
        </is>
      </c>
      <c r="B92" s="181" t="inlineStr">
        <is>
          <t>17,065</t>
        </is>
      </c>
      <c r="C92" s="181" t="inlineStr">
        <is>
          <t>19,757</t>
        </is>
      </c>
      <c r="D92" s="181" t="inlineStr">
        <is>
          <t>23,078</t>
        </is>
      </c>
      <c r="E92" s="181" t="inlineStr">
        <is>
          <t>23,445</t>
        </is>
      </c>
      <c r="F92" s="181" t="inlineStr">
        <is>
          <t>22,968</t>
        </is>
      </c>
      <c r="G92" s="181" t="inlineStr">
        <is>
          <t>26,017</t>
        </is>
      </c>
      <c r="H92" s="181" t="inlineStr">
        <is>
          <t>0</t>
        </is>
      </c>
      <c r="I92" s="181" t="inlineStr">
        <is>
          <t>0</t>
        </is>
      </c>
      <c r="J92" s="181" t="inlineStr">
        <is>
          <t>3,049</t>
        </is>
      </c>
      <c r="K92" s="178" t="inlineStr"/>
      <c r="L92" s="181" t="inlineStr">
        <is>
          <t>22,720</t>
        </is>
      </c>
      <c r="M92" s="181" t="inlineStr">
        <is>
          <t>25,795</t>
        </is>
      </c>
      <c r="N92" s="181" t="inlineStr">
        <is>
          <t>30,588</t>
        </is>
      </c>
      <c r="O92" s="181" t="inlineStr">
        <is>
          <t>30,284</t>
        </is>
      </c>
      <c r="P92" s="181" t="inlineStr">
        <is>
          <t>29,480</t>
        </is>
      </c>
      <c r="Q92" s="181" t="inlineStr">
        <is>
          <t>26,017</t>
        </is>
      </c>
      <c r="R92" s="181" t="inlineStr">
        <is>
          <t>0.0%</t>
        </is>
      </c>
      <c r="S92" s="181" t="inlineStr">
        <is>
          <t>0.0%</t>
        </is>
      </c>
      <c r="T92" s="181" t="inlineStr">
        <is>
          <t>3,049</t>
        </is>
      </c>
      <c r="U92" s="179" t="n"/>
      <c r="V92" s="179" t="n"/>
      <c r="W92" s="179" t="n"/>
    </row>
    <row r="93">
      <c r="A93" s="261" t="inlineStr">
        <is>
          <t>Click TnC</t>
        </is>
      </c>
      <c r="B93" s="271" t="inlineStr"/>
      <c r="C93" s="271" t="inlineStr"/>
      <c r="D93" s="271" t="inlineStr"/>
      <c r="E93" s="271" t="inlineStr"/>
      <c r="F93" s="271" t="inlineStr">
        <is>
          <t>303</t>
        </is>
      </c>
      <c r="G93" s="271" t="inlineStr">
        <is>
          <t>345</t>
        </is>
      </c>
      <c r="H93" s="271" t="inlineStr"/>
      <c r="I93" s="271" t="inlineStr"/>
      <c r="J93" s="271" t="inlineStr">
        <is>
          <t>42</t>
        </is>
      </c>
      <c r="K93" s="264" t="inlineStr">
        <is>
          <t>1.3%</t>
        </is>
      </c>
      <c r="L93" s="271" t="inlineStr"/>
      <c r="M93" s="271" t="inlineStr"/>
      <c r="N93" s="271" t="inlineStr"/>
      <c r="O93" s="271" t="inlineStr"/>
      <c r="P93" s="271" t="inlineStr">
        <is>
          <t>357</t>
        </is>
      </c>
      <c r="Q93" s="271" t="inlineStr">
        <is>
          <t>345</t>
        </is>
      </c>
      <c r="R93" s="271" t="inlineStr"/>
      <c r="S93" s="271" t="inlineStr"/>
      <c r="T93" s="271" t="inlineStr">
        <is>
          <t>42</t>
        </is>
      </c>
      <c r="U93" s="179" t="n"/>
      <c r="V93" s="179" t="n"/>
      <c r="W93" s="179" t="n"/>
    </row>
    <row r="94">
      <c r="A94" s="270" t="inlineStr">
        <is>
          <t>Trust</t>
        </is>
      </c>
      <c r="B94" s="181" t="inlineStr">
        <is>
          <t>10,883</t>
        </is>
      </c>
      <c r="C94" s="181" t="inlineStr">
        <is>
          <t>17,874</t>
        </is>
      </c>
      <c r="D94" s="181" t="inlineStr">
        <is>
          <t>23,339</t>
        </is>
      </c>
      <c r="E94" s="181" t="inlineStr">
        <is>
          <t>13,358</t>
        </is>
      </c>
      <c r="F94" s="181" t="inlineStr">
        <is>
          <t>15,898</t>
        </is>
      </c>
      <c r="G94" s="181" t="inlineStr">
        <is>
          <t>8,036</t>
        </is>
      </c>
      <c r="H94" s="181" t="inlineStr">
        <is>
          <t>0</t>
        </is>
      </c>
      <c r="I94" s="181" t="inlineStr">
        <is>
          <t>0</t>
        </is>
      </c>
      <c r="J94" s="181" t="inlineStr">
        <is>
          <t>-7,862</t>
        </is>
      </c>
      <c r="K94" s="178" t="inlineStr"/>
      <c r="L94" s="181" t="inlineStr">
        <is>
          <t>17,169</t>
        </is>
      </c>
      <c r="M94" s="181" t="inlineStr">
        <is>
          <t>25,961</t>
        </is>
      </c>
      <c r="N94" s="181" t="inlineStr">
        <is>
          <t>32,134</t>
        </is>
      </c>
      <c r="O94" s="181" t="inlineStr">
        <is>
          <t>18,082</t>
        </is>
      </c>
      <c r="P94" s="181" t="inlineStr">
        <is>
          <t>21,619</t>
        </is>
      </c>
      <c r="Q94" s="181" t="inlineStr">
        <is>
          <t>8,036</t>
        </is>
      </c>
      <c r="R94" s="181" t="inlineStr">
        <is>
          <t>0.0%</t>
        </is>
      </c>
      <c r="S94" s="181" t="inlineStr">
        <is>
          <t>0.0%</t>
        </is>
      </c>
      <c r="T94" s="181" t="inlineStr">
        <is>
          <t>-7,862</t>
        </is>
      </c>
      <c r="U94" s="179" t="n"/>
      <c r="V94" s="179" t="n"/>
      <c r="W94" s="179" t="n"/>
    </row>
    <row r="95">
      <c r="A95" s="261" t="inlineStr">
        <is>
          <t>Click Trust</t>
        </is>
      </c>
      <c r="B95" s="271" t="inlineStr"/>
      <c r="C95" s="271" t="inlineStr"/>
      <c r="D95" s="271" t="inlineStr"/>
      <c r="E95" s="271" t="inlineStr"/>
      <c r="F95" s="271" t="inlineStr">
        <is>
          <t>1,319</t>
        </is>
      </c>
      <c r="G95" s="271" t="inlineStr">
        <is>
          <t>1,402</t>
        </is>
      </c>
      <c r="H95" s="271" t="inlineStr"/>
      <c r="I95" s="271" t="inlineStr"/>
      <c r="J95" s="271" t="inlineStr">
        <is>
          <t>83</t>
        </is>
      </c>
      <c r="K95" s="264" t="inlineStr">
        <is>
          <t>17.4%</t>
        </is>
      </c>
      <c r="L95" s="271" t="inlineStr"/>
      <c r="M95" s="271" t="inlineStr"/>
      <c r="N95" s="271" t="inlineStr"/>
      <c r="O95" s="271" t="inlineStr"/>
      <c r="P95" s="271" t="inlineStr">
        <is>
          <t>1,495</t>
        </is>
      </c>
      <c r="Q95" s="271" t="inlineStr">
        <is>
          <t>1,402</t>
        </is>
      </c>
      <c r="R95" s="271" t="inlineStr"/>
      <c r="S95" s="271" t="inlineStr"/>
      <c r="T95" s="271" t="inlineStr">
        <is>
          <t>83</t>
        </is>
      </c>
      <c r="U95" s="179" t="n"/>
      <c r="V95" s="179" t="n"/>
      <c r="W95" s="179" t="n"/>
    </row>
    <row r="96">
      <c r="A96" s="270" t="inlineStr">
        <is>
          <t>Guide</t>
        </is>
      </c>
      <c r="B96" s="181" t="inlineStr">
        <is>
          <t>16,091</t>
        </is>
      </c>
      <c r="C96" s="181" t="inlineStr">
        <is>
          <t>15,230</t>
        </is>
      </c>
      <c r="D96" s="181" t="inlineStr">
        <is>
          <t>16,935</t>
        </is>
      </c>
      <c r="E96" s="181" t="inlineStr">
        <is>
          <t>16,741</t>
        </is>
      </c>
      <c r="F96" s="181" t="inlineStr">
        <is>
          <t>17,133</t>
        </is>
      </c>
      <c r="G96" s="181" t="inlineStr">
        <is>
          <t>45,246</t>
        </is>
      </c>
      <c r="H96" s="181" t="inlineStr">
        <is>
          <t>0</t>
        </is>
      </c>
      <c r="I96" s="181" t="inlineStr">
        <is>
          <t>0</t>
        </is>
      </c>
      <c r="J96" s="181" t="inlineStr">
        <is>
          <t>28,113</t>
        </is>
      </c>
      <c r="K96" s="178" t="inlineStr"/>
      <c r="L96" s="181" t="inlineStr">
        <is>
          <t>20,769</t>
        </is>
      </c>
      <c r="M96" s="181" t="inlineStr">
        <is>
          <t>19,483</t>
        </is>
      </c>
      <c r="N96" s="181" t="inlineStr">
        <is>
          <t>22,266</t>
        </is>
      </c>
      <c r="O96" s="181" t="inlineStr">
        <is>
          <t>22,014</t>
        </is>
      </c>
      <c r="P96" s="181" t="inlineStr">
        <is>
          <t>21,983</t>
        </is>
      </c>
      <c r="Q96" s="181" t="inlineStr">
        <is>
          <t>45,246</t>
        </is>
      </c>
      <c r="R96" s="181" t="inlineStr">
        <is>
          <t>0.0%</t>
        </is>
      </c>
      <c r="S96" s="181" t="inlineStr">
        <is>
          <t>0.0%</t>
        </is>
      </c>
      <c r="T96" s="181" t="inlineStr">
        <is>
          <t>28,113</t>
        </is>
      </c>
      <c r="U96" s="179" t="n"/>
      <c r="V96" s="179" t="n"/>
      <c r="W96" s="179" t="n"/>
    </row>
    <row r="97">
      <c r="A97" s="261" t="inlineStr">
        <is>
          <t>Click Guide</t>
        </is>
      </c>
      <c r="B97" s="271" t="inlineStr"/>
      <c r="C97" s="271" t="inlineStr"/>
      <c r="D97" s="271" t="inlineStr"/>
      <c r="E97" s="271" t="inlineStr"/>
      <c r="F97" s="271" t="inlineStr">
        <is>
          <t>1,585</t>
        </is>
      </c>
      <c r="G97" s="271" t="inlineStr">
        <is>
          <t>2,589</t>
        </is>
      </c>
      <c r="H97" s="271" t="inlineStr"/>
      <c r="I97" s="271" t="inlineStr"/>
      <c r="J97" s="271" t="inlineStr">
        <is>
          <t>1,004</t>
        </is>
      </c>
      <c r="K97" s="264" t="inlineStr">
        <is>
          <t>5.7%</t>
        </is>
      </c>
      <c r="L97" s="271" t="inlineStr"/>
      <c r="M97" s="271" t="inlineStr"/>
      <c r="N97" s="271" t="inlineStr"/>
      <c r="O97" s="271" t="inlineStr"/>
      <c r="P97" s="271" t="inlineStr">
        <is>
          <t>1,876</t>
        </is>
      </c>
      <c r="Q97" s="271" t="inlineStr">
        <is>
          <t>2,589</t>
        </is>
      </c>
      <c r="R97" s="271" t="inlineStr"/>
      <c r="S97" s="271" t="inlineStr"/>
      <c r="T97" s="271" t="inlineStr">
        <is>
          <t>1,004</t>
        </is>
      </c>
      <c r="U97" s="179" t="n"/>
      <c r="V97" s="179" t="n"/>
      <c r="W97" s="179" t="n"/>
    </row>
    <row r="98">
      <c r="A98" s="270" t="inlineStr">
        <is>
          <t>Khuyến mãi</t>
        </is>
      </c>
      <c r="B98" s="181" t="inlineStr">
        <is>
          <t>8,860</t>
        </is>
      </c>
      <c r="C98" s="181" t="inlineStr">
        <is>
          <t>13,082</t>
        </is>
      </c>
      <c r="D98" s="181" t="inlineStr">
        <is>
          <t>12,856</t>
        </is>
      </c>
      <c r="E98" s="181" t="inlineStr">
        <is>
          <t>14,997</t>
        </is>
      </c>
      <c r="F98" s="181" t="inlineStr">
        <is>
          <t>18,737</t>
        </is>
      </c>
      <c r="G98" s="181" t="inlineStr">
        <is>
          <t>21,355</t>
        </is>
      </c>
      <c r="H98" s="181" t="inlineStr">
        <is>
          <t>0</t>
        </is>
      </c>
      <c r="I98" s="181" t="inlineStr">
        <is>
          <t>0</t>
        </is>
      </c>
      <c r="J98" s="181" t="inlineStr">
        <is>
          <t>2,618</t>
        </is>
      </c>
      <c r="K98" s="178" t="inlineStr"/>
      <c r="L98" s="181" t="inlineStr">
        <is>
          <t>13,350</t>
        </is>
      </c>
      <c r="M98" s="181" t="inlineStr">
        <is>
          <t>16,361</t>
        </is>
      </c>
      <c r="N98" s="181" t="inlineStr">
        <is>
          <t>17,286</t>
        </is>
      </c>
      <c r="O98" s="181" t="inlineStr">
        <is>
          <t>23,096</t>
        </is>
      </c>
      <c r="P98" s="181" t="inlineStr">
        <is>
          <t>22,150</t>
        </is>
      </c>
      <c r="Q98" s="181" t="inlineStr">
        <is>
          <t>21,355</t>
        </is>
      </c>
      <c r="R98" s="181" t="inlineStr">
        <is>
          <t>0.0%</t>
        </is>
      </c>
      <c r="S98" s="181" t="inlineStr">
        <is>
          <t>0.0%</t>
        </is>
      </c>
      <c r="T98" s="181" t="inlineStr">
        <is>
          <t>2,618</t>
        </is>
      </c>
      <c r="U98" s="179" t="n"/>
      <c r="V98" s="179" t="n"/>
      <c r="W98" s="179" t="n"/>
    </row>
    <row r="99">
      <c r="A99" s="261" t="inlineStr">
        <is>
          <t>Click Khuyến mãi</t>
        </is>
      </c>
      <c r="B99" s="271" t="inlineStr"/>
      <c r="C99" s="271" t="inlineStr"/>
      <c r="D99" s="271" t="inlineStr"/>
      <c r="E99" s="271" t="inlineStr"/>
      <c r="F99" s="271" t="inlineStr">
        <is>
          <t>635</t>
        </is>
      </c>
      <c r="G99" s="271" t="inlineStr">
        <is>
          <t>546</t>
        </is>
      </c>
      <c r="H99" s="271" t="inlineStr"/>
      <c r="I99" s="271" t="inlineStr"/>
      <c r="J99" s="271" t="inlineStr">
        <is>
          <t>-89</t>
        </is>
      </c>
      <c r="K99" s="264" t="inlineStr">
        <is>
          <t>2.6%</t>
        </is>
      </c>
      <c r="L99" s="271" t="inlineStr"/>
      <c r="M99" s="271" t="inlineStr"/>
      <c r="N99" s="271" t="inlineStr"/>
      <c r="O99" s="271" t="inlineStr"/>
      <c r="P99" s="271" t="inlineStr">
        <is>
          <t>711</t>
        </is>
      </c>
      <c r="Q99" s="271" t="inlineStr">
        <is>
          <t>546</t>
        </is>
      </c>
      <c r="R99" s="271" t="inlineStr"/>
      <c r="S99" s="271" t="inlineStr"/>
      <c r="T99" s="271" t="inlineStr">
        <is>
          <t>-89</t>
        </is>
      </c>
      <c r="U99" s="179" t="n"/>
      <c r="V99" s="179" t="n"/>
      <c r="W99" s="179" t="n"/>
    </row>
    <row r="100">
      <c r="A100" s="270" t="inlineStr">
        <is>
          <t>Tin Tức</t>
        </is>
      </c>
      <c r="B100" s="181" t="inlineStr">
        <is>
          <t>0</t>
        </is>
      </c>
      <c r="C100" s="181" t="inlineStr">
        <is>
          <t>0</t>
        </is>
      </c>
      <c r="D100" s="181" t="inlineStr">
        <is>
          <t>0</t>
        </is>
      </c>
      <c r="E100" s="181" t="inlineStr">
        <is>
          <t>0</t>
        </is>
      </c>
      <c r="F100" s="181" t="inlineStr">
        <is>
          <t>0</t>
        </is>
      </c>
      <c r="G100" s="181" t="inlineStr">
        <is>
          <t>4,942</t>
        </is>
      </c>
      <c r="H100" s="181" t="inlineStr">
        <is>
          <t>0</t>
        </is>
      </c>
      <c r="I100" s="181" t="inlineStr">
        <is>
          <t>0</t>
        </is>
      </c>
      <c r="J100" s="181" t="inlineStr">
        <is>
          <t>4,942</t>
        </is>
      </c>
      <c r="K100" s="178" t="inlineStr"/>
      <c r="L100" s="181" t="inlineStr">
        <is>
          <t>0</t>
        </is>
      </c>
      <c r="M100" s="181" t="inlineStr">
        <is>
          <t>0</t>
        </is>
      </c>
      <c r="N100" s="181" t="inlineStr">
        <is>
          <t>0</t>
        </is>
      </c>
      <c r="O100" s="181" t="inlineStr">
        <is>
          <t>0</t>
        </is>
      </c>
      <c r="P100" s="181" t="inlineStr">
        <is>
          <t>0</t>
        </is>
      </c>
      <c r="Q100" s="181" t="inlineStr">
        <is>
          <t>4,942</t>
        </is>
      </c>
      <c r="R100" s="181" t="inlineStr">
        <is>
          <t>0.0%</t>
        </is>
      </c>
      <c r="S100" s="181" t="inlineStr">
        <is>
          <t>0.0%</t>
        </is>
      </c>
      <c r="T100" s="181" t="inlineStr">
        <is>
          <t>4,942</t>
        </is>
      </c>
      <c r="U100" s="179" t="n"/>
      <c r="V100" s="179" t="n"/>
      <c r="W100" s="179" t="n"/>
    </row>
    <row r="101">
      <c r="A101" s="261" t="inlineStr">
        <is>
          <t>Click Tin Tức</t>
        </is>
      </c>
      <c r="B101" s="271" t="inlineStr"/>
      <c r="C101" s="271" t="inlineStr"/>
      <c r="D101" s="271" t="inlineStr"/>
      <c r="E101" s="271" t="inlineStr"/>
      <c r="F101" s="271" t="inlineStr">
        <is>
          <t>2,739</t>
        </is>
      </c>
      <c r="G101" s="271" t="inlineStr">
        <is>
          <t>1,337</t>
        </is>
      </c>
      <c r="H101" s="271" t="inlineStr"/>
      <c r="I101" s="271" t="inlineStr"/>
      <c r="J101" s="271" t="inlineStr">
        <is>
          <t>-1,402</t>
        </is>
      </c>
      <c r="K101" s="264" t="inlineStr">
        <is>
          <t>27.1%</t>
        </is>
      </c>
      <c r="L101" s="271" t="inlineStr"/>
      <c r="M101" s="271" t="inlineStr"/>
      <c r="N101" s="271" t="inlineStr"/>
      <c r="O101" s="271" t="inlineStr"/>
      <c r="P101" s="271" t="inlineStr">
        <is>
          <t>3,008</t>
        </is>
      </c>
      <c r="Q101" s="271" t="inlineStr">
        <is>
          <t>1,337</t>
        </is>
      </c>
      <c r="R101" s="271" t="inlineStr"/>
      <c r="S101" s="271" t="inlineStr"/>
      <c r="T101" s="271" t="inlineStr">
        <is>
          <t>-1,402</t>
        </is>
      </c>
      <c r="U101" s="179" t="n"/>
      <c r="V101" s="179" t="n"/>
      <c r="W101" s="179" t="n"/>
    </row>
    <row r="102">
      <c r="A102" s="270" t="inlineStr">
        <is>
          <t>Campaign</t>
        </is>
      </c>
      <c r="B102" s="181" t="inlineStr">
        <is>
          <t>15,991</t>
        </is>
      </c>
      <c r="C102" s="181" t="inlineStr">
        <is>
          <t>4,491</t>
        </is>
      </c>
      <c r="D102" s="181" t="inlineStr">
        <is>
          <t>4,342</t>
        </is>
      </c>
      <c r="E102" s="181" t="inlineStr">
        <is>
          <t>3,830</t>
        </is>
      </c>
      <c r="F102" s="181" t="inlineStr">
        <is>
          <t>4,918</t>
        </is>
      </c>
      <c r="G102" s="181" t="inlineStr">
        <is>
          <t>9,830</t>
        </is>
      </c>
      <c r="H102" s="181" t="inlineStr">
        <is>
          <t>0</t>
        </is>
      </c>
      <c r="I102" s="181" t="inlineStr">
        <is>
          <t>0</t>
        </is>
      </c>
      <c r="J102" s="181" t="inlineStr">
        <is>
          <t>4,912</t>
        </is>
      </c>
      <c r="K102" s="178" t="inlineStr"/>
      <c r="L102" s="181" t="inlineStr">
        <is>
          <t>26,326</t>
        </is>
      </c>
      <c r="M102" s="181" t="inlineStr">
        <is>
          <t>8,414</t>
        </is>
      </c>
      <c r="N102" s="181" t="inlineStr">
        <is>
          <t>11,934</t>
        </is>
      </c>
      <c r="O102" s="181" t="inlineStr">
        <is>
          <t>11,871</t>
        </is>
      </c>
      <c r="P102" s="181" t="inlineStr">
        <is>
          <t>12,072</t>
        </is>
      </c>
      <c r="Q102" s="181" t="inlineStr">
        <is>
          <t>9,830</t>
        </is>
      </c>
      <c r="R102" s="181" t="inlineStr">
        <is>
          <t>0.0%</t>
        </is>
      </c>
      <c r="S102" s="181" t="inlineStr">
        <is>
          <t>0.0%</t>
        </is>
      </c>
      <c r="T102" s="181" t="inlineStr">
        <is>
          <t>4,912</t>
        </is>
      </c>
      <c r="U102" s="179" t="n"/>
      <c r="V102" s="179" t="n"/>
      <c r="W102" s="179" t="n"/>
    </row>
    <row r="103">
      <c r="A103" s="261" t="inlineStr">
        <is>
          <t>Click Campaign</t>
        </is>
      </c>
      <c r="B103" s="271" t="inlineStr"/>
      <c r="C103" s="271" t="inlineStr"/>
      <c r="D103" s="271" t="inlineStr"/>
      <c r="E103" s="271" t="inlineStr"/>
      <c r="F103" s="271" t="inlineStr">
        <is>
          <t>138</t>
        </is>
      </c>
      <c r="G103" s="271" t="inlineStr">
        <is>
          <t>244</t>
        </is>
      </c>
      <c r="H103" s="271" t="inlineStr"/>
      <c r="I103" s="271" t="inlineStr"/>
      <c r="J103" s="271" t="inlineStr">
        <is>
          <t>106</t>
        </is>
      </c>
      <c r="K103" s="264" t="inlineStr">
        <is>
          <t>2.5%</t>
        </is>
      </c>
      <c r="L103" s="271" t="inlineStr"/>
      <c r="M103" s="271" t="inlineStr"/>
      <c r="N103" s="271" t="inlineStr"/>
      <c r="O103" s="271" t="inlineStr"/>
      <c r="P103" s="271" t="inlineStr">
        <is>
          <t>180</t>
        </is>
      </c>
      <c r="Q103" s="271" t="inlineStr">
        <is>
          <t>244</t>
        </is>
      </c>
      <c r="R103" s="271" t="inlineStr"/>
      <c r="S103" s="271" t="inlineStr"/>
      <c r="T103" s="271" t="inlineStr">
        <is>
          <t>106</t>
        </is>
      </c>
      <c r="U103" s="179" t="n"/>
      <c r="V103" s="179" t="n"/>
      <c r="W103" s="179" t="n"/>
    </row>
    <row r="104">
      <c r="A104" s="270" t="inlineStr">
        <is>
          <t>Blog</t>
        </is>
      </c>
      <c r="B104" s="181" t="inlineStr">
        <is>
          <t>8,656</t>
        </is>
      </c>
      <c r="C104" s="181" t="inlineStr">
        <is>
          <t>9,315</t>
        </is>
      </c>
      <c r="D104" s="181" t="inlineStr">
        <is>
          <t>9,794</t>
        </is>
      </c>
      <c r="E104" s="181" t="inlineStr">
        <is>
          <t>10,582</t>
        </is>
      </c>
      <c r="F104" s="181" t="inlineStr">
        <is>
          <t>9,413</t>
        </is>
      </c>
      <c r="G104" s="181" t="inlineStr">
        <is>
          <t>14,678</t>
        </is>
      </c>
      <c r="H104" s="181" t="inlineStr">
        <is>
          <t>0</t>
        </is>
      </c>
      <c r="I104" s="181" t="inlineStr">
        <is>
          <t>0</t>
        </is>
      </c>
      <c r="J104" s="181" t="inlineStr">
        <is>
          <t>5,265</t>
        </is>
      </c>
      <c r="K104" s="178" t="inlineStr"/>
      <c r="L104" s="181" t="inlineStr">
        <is>
          <t>11,682</t>
        </is>
      </c>
      <c r="M104" s="181" t="inlineStr">
        <is>
          <t>12,379</t>
        </is>
      </c>
      <c r="N104" s="181" t="inlineStr">
        <is>
          <t>13,565</t>
        </is>
      </c>
      <c r="O104" s="181" t="inlineStr">
        <is>
          <t>13,919</t>
        </is>
      </c>
      <c r="P104" s="181" t="inlineStr">
        <is>
          <t>11,771</t>
        </is>
      </c>
      <c r="Q104" s="181" t="inlineStr">
        <is>
          <t>14,678</t>
        </is>
      </c>
      <c r="R104" s="181" t="inlineStr">
        <is>
          <t>0.0%</t>
        </is>
      </c>
      <c r="S104" s="181" t="inlineStr">
        <is>
          <t>0.0%</t>
        </is>
      </c>
      <c r="T104" s="181" t="inlineStr">
        <is>
          <t>5,265</t>
        </is>
      </c>
      <c r="U104" s="179" t="n"/>
      <c r="V104" s="179" t="n"/>
      <c r="W104" s="179" t="n"/>
    </row>
    <row r="105">
      <c r="A105" s="261" t="inlineStr">
        <is>
          <t>Click Blog</t>
        </is>
      </c>
      <c r="B105" s="271" t="inlineStr"/>
      <c r="C105" s="271" t="inlineStr"/>
      <c r="D105" s="271" t="inlineStr"/>
      <c r="E105" s="271" t="inlineStr"/>
      <c r="F105" s="271" t="inlineStr">
        <is>
          <t>173</t>
        </is>
      </c>
      <c r="G105" s="271" t="inlineStr">
        <is>
          <t>240</t>
        </is>
      </c>
      <c r="H105" s="271" t="inlineStr"/>
      <c r="I105" s="271" t="inlineStr"/>
      <c r="J105" s="271" t="inlineStr">
        <is>
          <t>67</t>
        </is>
      </c>
      <c r="K105" s="264" t="inlineStr">
        <is>
          <t>1.6%</t>
        </is>
      </c>
      <c r="L105" s="271" t="inlineStr"/>
      <c r="M105" s="271" t="inlineStr"/>
      <c r="N105" s="271" t="inlineStr"/>
      <c r="O105" s="271" t="inlineStr"/>
      <c r="P105" s="271" t="inlineStr">
        <is>
          <t>192</t>
        </is>
      </c>
      <c r="Q105" s="271" t="inlineStr">
        <is>
          <t>240</t>
        </is>
      </c>
      <c r="R105" s="271" t="inlineStr"/>
      <c r="S105" s="271" t="inlineStr"/>
      <c r="T105" s="271" t="inlineStr">
        <is>
          <t>67</t>
        </is>
      </c>
      <c r="U105" s="179" t="n"/>
      <c r="V105" s="179" t="n"/>
      <c r="W105" s="179" t="n"/>
    </row>
    <row r="106">
      <c r="A106" s="270" t="inlineStr">
        <is>
          <t>Application Store</t>
        </is>
      </c>
      <c r="B106" s="181" t="inlineStr">
        <is>
          <t>2,392</t>
        </is>
      </c>
      <c r="C106" s="181" t="inlineStr">
        <is>
          <t>2,451</t>
        </is>
      </c>
      <c r="D106" s="181" t="inlineStr">
        <is>
          <t>2,737</t>
        </is>
      </c>
      <c r="E106" s="181" t="inlineStr">
        <is>
          <t>19,666</t>
        </is>
      </c>
      <c r="F106" s="181" t="inlineStr">
        <is>
          <t>16,997</t>
        </is>
      </c>
      <c r="G106" s="181" t="inlineStr">
        <is>
          <t>25,246</t>
        </is>
      </c>
      <c r="H106" s="181" t="inlineStr">
        <is>
          <t>0</t>
        </is>
      </c>
      <c r="I106" s="181" t="inlineStr">
        <is>
          <t>0</t>
        </is>
      </c>
      <c r="J106" s="181" t="inlineStr">
        <is>
          <t>8,249</t>
        </is>
      </c>
      <c r="K106" s="178" t="inlineStr"/>
      <c r="L106" s="181" t="inlineStr">
        <is>
          <t>3,250</t>
        </is>
      </c>
      <c r="M106" s="181" t="inlineStr">
        <is>
          <t>3,208</t>
        </is>
      </c>
      <c r="N106" s="181" t="inlineStr">
        <is>
          <t>9,856</t>
        </is>
      </c>
      <c r="O106" s="181" t="inlineStr">
        <is>
          <t>33,954</t>
        </is>
      </c>
      <c r="P106" s="181" t="inlineStr">
        <is>
          <t>21,730</t>
        </is>
      </c>
      <c r="Q106" s="181" t="inlineStr">
        <is>
          <t>25,246</t>
        </is>
      </c>
      <c r="R106" s="181" t="inlineStr">
        <is>
          <t>0.0%</t>
        </is>
      </c>
      <c r="S106" s="181" t="inlineStr">
        <is>
          <t>0.0%</t>
        </is>
      </c>
      <c r="T106" s="181" t="inlineStr">
        <is>
          <t>8,249</t>
        </is>
      </c>
      <c r="U106" s="179" t="n"/>
      <c r="V106" s="179" t="n"/>
      <c r="W106" s="179" t="n"/>
    </row>
    <row r="107">
      <c r="A107" s="261" t="inlineStr">
        <is>
          <t>Click Application Store</t>
        </is>
      </c>
      <c r="B107" s="271" t="inlineStr"/>
      <c r="C107" s="271" t="inlineStr"/>
      <c r="D107" s="271" t="inlineStr"/>
      <c r="E107" s="271" t="inlineStr"/>
      <c r="F107" s="271" t="inlineStr">
        <is>
          <t>271</t>
        </is>
      </c>
      <c r="G107" s="271" t="inlineStr">
        <is>
          <t>455</t>
        </is>
      </c>
      <c r="H107" s="271" t="inlineStr"/>
      <c r="I107" s="271" t="inlineStr"/>
      <c r="J107" s="271" t="inlineStr">
        <is>
          <t>184</t>
        </is>
      </c>
      <c r="K107" s="264" t="inlineStr">
        <is>
          <t>1.8%</t>
        </is>
      </c>
      <c r="L107" s="271" t="inlineStr"/>
      <c r="M107" s="271" t="inlineStr"/>
      <c r="N107" s="271" t="inlineStr"/>
      <c r="O107" s="271" t="inlineStr"/>
      <c r="P107" s="271" t="inlineStr">
        <is>
          <t>287</t>
        </is>
      </c>
      <c r="Q107" s="271" t="inlineStr">
        <is>
          <t>455</t>
        </is>
      </c>
      <c r="R107" s="271" t="inlineStr"/>
      <c r="S107" s="271" t="inlineStr"/>
      <c r="T107" s="271" t="inlineStr">
        <is>
          <t>184</t>
        </is>
      </c>
      <c r="U107" s="179" t="n"/>
      <c r="V107" s="179" t="n"/>
      <c r="W107" s="179" t="n"/>
    </row>
    <row r="108">
      <c r="A108" s="270" t="inlineStr">
        <is>
          <t>Vé số</t>
        </is>
      </c>
      <c r="B108" s="181" t="inlineStr">
        <is>
          <t>2,656</t>
        </is>
      </c>
      <c r="C108" s="181" t="inlineStr">
        <is>
          <t>3,161</t>
        </is>
      </c>
      <c r="D108" s="181" t="inlineStr">
        <is>
          <t>11,405</t>
        </is>
      </c>
      <c r="E108" s="181" t="inlineStr">
        <is>
          <t>12,043</t>
        </is>
      </c>
      <c r="F108" s="181" t="inlineStr">
        <is>
          <t>11,811</t>
        </is>
      </c>
      <c r="G108" s="181" t="inlineStr">
        <is>
          <t>18,898</t>
        </is>
      </c>
      <c r="H108" s="181" t="inlineStr">
        <is>
          <t>0</t>
        </is>
      </c>
      <c r="I108" s="181" t="inlineStr">
        <is>
          <t>0</t>
        </is>
      </c>
      <c r="J108" s="181" t="inlineStr">
        <is>
          <t>7,087</t>
        </is>
      </c>
      <c r="K108" s="178" t="inlineStr"/>
      <c r="L108" s="181" t="inlineStr">
        <is>
          <t>3,456</t>
        </is>
      </c>
      <c r="M108" s="181" t="inlineStr">
        <is>
          <t>4,031</t>
        </is>
      </c>
      <c r="N108" s="181" t="inlineStr">
        <is>
          <t>20,605</t>
        </is>
      </c>
      <c r="O108" s="181" t="inlineStr">
        <is>
          <t>16,295</t>
        </is>
      </c>
      <c r="P108" s="181" t="inlineStr">
        <is>
          <t>18,010</t>
        </is>
      </c>
      <c r="Q108" s="181" t="inlineStr">
        <is>
          <t>18,898</t>
        </is>
      </c>
      <c r="R108" s="181" t="inlineStr">
        <is>
          <t>0.0%</t>
        </is>
      </c>
      <c r="S108" s="181" t="inlineStr">
        <is>
          <t>0.0%</t>
        </is>
      </c>
      <c r="T108" s="181" t="inlineStr">
        <is>
          <t>7,087</t>
        </is>
      </c>
      <c r="U108" s="179" t="n"/>
      <c r="V108" s="179" t="n"/>
      <c r="W108" s="179" t="n"/>
    </row>
    <row r="109">
      <c r="A109" s="261" t="inlineStr">
        <is>
          <t>Click Vé số</t>
        </is>
      </c>
      <c r="B109" s="264" t="inlineStr"/>
      <c r="C109" s="264" t="inlineStr"/>
      <c r="D109" s="264" t="inlineStr"/>
      <c r="E109" s="264" t="inlineStr"/>
      <c r="F109" s="264" t="inlineStr">
        <is>
          <t>98</t>
        </is>
      </c>
      <c r="G109" s="264" t="inlineStr">
        <is>
          <t>276</t>
        </is>
      </c>
      <c r="H109" s="264" t="inlineStr"/>
      <c r="I109" s="264" t="inlineStr"/>
      <c r="J109" s="264" t="inlineStr">
        <is>
          <t>178</t>
        </is>
      </c>
      <c r="K109" s="264" t="inlineStr">
        <is>
          <t>1.5%</t>
        </is>
      </c>
      <c r="L109" s="264" t="inlineStr"/>
      <c r="M109" s="264" t="inlineStr"/>
      <c r="N109" s="264" t="inlineStr"/>
      <c r="O109" s="264" t="inlineStr"/>
      <c r="P109" s="264" t="inlineStr">
        <is>
          <t>117</t>
        </is>
      </c>
      <c r="Q109" s="272" t="inlineStr">
        <is>
          <t>276</t>
        </is>
      </c>
      <c r="R109" s="272" t="inlineStr"/>
      <c r="S109" s="272" t="inlineStr"/>
      <c r="T109" s="272" t="inlineStr">
        <is>
          <t>178</t>
        </is>
      </c>
      <c r="U109" s="99" t="n"/>
      <c r="V109" s="99" t="n"/>
      <c r="W109" s="99" t="n"/>
    </row>
    <row r="110">
      <c r="A110" s="273" t="inlineStr">
        <is>
          <t>Dịch vụ liên kết</t>
        </is>
      </c>
      <c r="B110" s="112" t="inlineStr">
        <is>
          <t>4058</t>
        </is>
      </c>
      <c r="C110" s="112" t="inlineStr">
        <is>
          <t>17800</t>
        </is>
      </c>
      <c r="D110" s="112" t="inlineStr">
        <is>
          <t>2807</t>
        </is>
      </c>
      <c r="E110" s="112" t="inlineStr">
        <is>
          <t>7442</t>
        </is>
      </c>
      <c r="F110" s="112" t="inlineStr">
        <is>
          <t>3488</t>
        </is>
      </c>
      <c r="G110" s="112" t="inlineStr">
        <is>
          <t>5407</t>
        </is>
      </c>
      <c r="H110" s="112" t="inlineStr">
        <is>
          <t>0</t>
        </is>
      </c>
      <c r="I110" s="112" t="inlineStr">
        <is>
          <t>0</t>
        </is>
      </c>
      <c r="J110" s="112" t="inlineStr">
        <is>
          <t>1919</t>
        </is>
      </c>
      <c r="K110" s="112" t="inlineStr"/>
      <c r="L110" s="112" t="inlineStr">
        <is>
          <t>5,878</t>
        </is>
      </c>
      <c r="M110" s="112" t="inlineStr">
        <is>
          <t>18,938</t>
        </is>
      </c>
      <c r="N110" s="112" t="inlineStr">
        <is>
          <t>3,736</t>
        </is>
      </c>
      <c r="O110" s="112" t="inlineStr">
        <is>
          <t>8,516</t>
        </is>
      </c>
      <c r="P110" s="112" t="inlineStr">
        <is>
          <t>4,359</t>
        </is>
      </c>
      <c r="Q110" s="99" t="inlineStr">
        <is>
          <t>5,407</t>
        </is>
      </c>
      <c r="R110" s="99" t="inlineStr">
        <is>
          <t>0</t>
        </is>
      </c>
      <c r="S110" s="99" t="inlineStr">
        <is>
          <t>0</t>
        </is>
      </c>
      <c r="T110" s="99" t="inlineStr">
        <is>
          <t>1,919</t>
        </is>
      </c>
      <c r="U110" s="99" t="n"/>
      <c r="V110" s="99" t="n"/>
      <c r="W110" s="99" t="n"/>
    </row>
    <row r="111">
      <c r="A111" s="261" t="inlineStr">
        <is>
          <t>Click Dịch vụ liên kết</t>
        </is>
      </c>
      <c r="B111" s="264" t="inlineStr"/>
      <c r="C111" s="264" t="inlineStr"/>
      <c r="D111" s="264" t="inlineStr"/>
      <c r="E111" s="264" t="inlineStr"/>
      <c r="F111" s="264" t="inlineStr">
        <is>
          <t>86</t>
        </is>
      </c>
      <c r="G111" s="264" t="inlineStr">
        <is>
          <t>70</t>
        </is>
      </c>
      <c r="H111" s="264" t="inlineStr"/>
      <c r="I111" s="264" t="inlineStr"/>
      <c r="J111" s="264" t="inlineStr">
        <is>
          <t>-16</t>
        </is>
      </c>
      <c r="K111" s="264" t="inlineStr">
        <is>
          <t>1.3%</t>
        </is>
      </c>
      <c r="L111" s="264" t="inlineStr"/>
      <c r="M111" s="264" t="inlineStr"/>
      <c r="N111" s="264" t="inlineStr"/>
      <c r="O111" s="264" t="inlineStr"/>
      <c r="P111" s="264" t="inlineStr">
        <is>
          <t>93</t>
        </is>
      </c>
      <c r="Q111" s="272" t="inlineStr">
        <is>
          <t>70</t>
        </is>
      </c>
      <c r="R111" s="272" t="inlineStr"/>
      <c r="S111" s="272" t="inlineStr"/>
      <c r="T111" s="272" t="inlineStr">
        <is>
          <t>-16</t>
        </is>
      </c>
      <c r="U111" s="99" t="n"/>
      <c r="V111" s="99" t="n"/>
      <c r="W111" s="99" t="n"/>
    </row>
    <row r="112">
      <c r="A112" s="273" t="inlineStr">
        <is>
          <t>Billpay</t>
        </is>
      </c>
      <c r="B112" s="112" t="inlineStr">
        <is>
          <t>5071</t>
        </is>
      </c>
      <c r="C112" s="112" t="inlineStr">
        <is>
          <t>5918</t>
        </is>
      </c>
      <c r="D112" s="112" t="inlineStr">
        <is>
          <t>4386</t>
        </is>
      </c>
      <c r="E112" s="112" t="inlineStr">
        <is>
          <t>7030</t>
        </is>
      </c>
      <c r="F112" s="112" t="inlineStr">
        <is>
          <t>5057</t>
        </is>
      </c>
      <c r="G112" s="112" t="inlineStr">
        <is>
          <t>7009</t>
        </is>
      </c>
      <c r="H112" s="112" t="inlineStr">
        <is>
          <t>0</t>
        </is>
      </c>
      <c r="I112" s="112" t="inlineStr">
        <is>
          <t>0</t>
        </is>
      </c>
      <c r="J112" s="112" t="inlineStr">
        <is>
          <t>1952</t>
        </is>
      </c>
      <c r="K112" s="112" t="inlineStr"/>
      <c r="L112" s="112" t="inlineStr">
        <is>
          <t>8,984</t>
        </is>
      </c>
      <c r="M112" s="112" t="inlineStr">
        <is>
          <t>6,831</t>
        </is>
      </c>
      <c r="N112" s="112" t="inlineStr">
        <is>
          <t>5,229</t>
        </is>
      </c>
      <c r="O112" s="112" t="inlineStr">
        <is>
          <t>8,283</t>
        </is>
      </c>
      <c r="P112" s="112" t="inlineStr">
        <is>
          <t>5,841</t>
        </is>
      </c>
      <c r="Q112" s="99" t="inlineStr">
        <is>
          <t>7,009</t>
        </is>
      </c>
      <c r="R112" s="99" t="inlineStr">
        <is>
          <t>0</t>
        </is>
      </c>
      <c r="S112" s="99" t="inlineStr">
        <is>
          <t>0</t>
        </is>
      </c>
      <c r="T112" s="99" t="inlineStr">
        <is>
          <t>1,952</t>
        </is>
      </c>
      <c r="U112" s="99" t="n"/>
      <c r="V112" s="99" t="n"/>
      <c r="W112" s="99" t="n"/>
    </row>
    <row r="113">
      <c r="A113" s="261" t="inlineStr">
        <is>
          <t>Click Billpay</t>
        </is>
      </c>
      <c r="B113" s="264" t="inlineStr"/>
      <c r="C113" s="264" t="inlineStr"/>
      <c r="D113" s="264" t="inlineStr"/>
      <c r="E113" s="264" t="inlineStr"/>
      <c r="F113" s="264" t="inlineStr">
        <is>
          <t>115</t>
        </is>
      </c>
      <c r="G113" s="264" t="inlineStr">
        <is>
          <t>148</t>
        </is>
      </c>
      <c r="H113" s="264" t="inlineStr"/>
      <c r="I113" s="264" t="inlineStr"/>
      <c r="J113" s="264" t="inlineStr">
        <is>
          <t>33</t>
        </is>
      </c>
      <c r="K113" s="264" t="inlineStr">
        <is>
          <t>2.1%</t>
        </is>
      </c>
      <c r="L113" s="264" t="inlineStr"/>
      <c r="M113" s="264" t="inlineStr"/>
      <c r="N113" s="264" t="inlineStr"/>
      <c r="O113" s="264" t="inlineStr"/>
      <c r="P113" s="264" t="inlineStr">
        <is>
          <t>133</t>
        </is>
      </c>
      <c r="Q113" s="272" t="inlineStr">
        <is>
          <t>148</t>
        </is>
      </c>
      <c r="R113" s="272" t="inlineStr"/>
      <c r="S113" s="272" t="inlineStr"/>
      <c r="T113" s="272" t="inlineStr">
        <is>
          <t>33</t>
        </is>
      </c>
      <c r="U113" s="99" t="n"/>
      <c r="V113" s="99" t="n"/>
      <c r="W113" s="99" t="n"/>
    </row>
    <row r="114">
      <c r="A114" s="273" t="inlineStr">
        <is>
          <t>P2P</t>
        </is>
      </c>
      <c r="B114" s="112" t="inlineStr">
        <is>
          <t>5614</t>
        </is>
      </c>
      <c r="C114" s="112" t="inlineStr">
        <is>
          <t>4632</t>
        </is>
      </c>
      <c r="D114" s="112" t="inlineStr">
        <is>
          <t>5385</t>
        </is>
      </c>
      <c r="E114" s="112" t="inlineStr">
        <is>
          <t>5609</t>
        </is>
      </c>
      <c r="F114" s="112" t="inlineStr">
        <is>
          <t>4670</t>
        </is>
      </c>
      <c r="G114" s="112" t="inlineStr">
        <is>
          <t>6605</t>
        </is>
      </c>
      <c r="H114" s="112" t="inlineStr">
        <is>
          <t>0</t>
        </is>
      </c>
      <c r="I114" s="112" t="inlineStr">
        <is>
          <t>0</t>
        </is>
      </c>
      <c r="J114" s="112" t="inlineStr">
        <is>
          <t>1935</t>
        </is>
      </c>
      <c r="K114" s="112" t="inlineStr"/>
      <c r="L114" s="112" t="inlineStr">
        <is>
          <t>7,207</t>
        </is>
      </c>
      <c r="M114" s="112" t="inlineStr">
        <is>
          <t>6,214</t>
        </is>
      </c>
      <c r="N114" s="112" t="inlineStr">
        <is>
          <t>7,037</t>
        </is>
      </c>
      <c r="O114" s="112" t="inlineStr">
        <is>
          <t>7,364</t>
        </is>
      </c>
      <c r="P114" s="112" t="inlineStr">
        <is>
          <t>5,987</t>
        </is>
      </c>
      <c r="Q114" s="99" t="inlineStr">
        <is>
          <t>6,605</t>
        </is>
      </c>
      <c r="R114" s="99" t="inlineStr">
        <is>
          <t>0</t>
        </is>
      </c>
      <c r="S114" s="99" t="inlineStr">
        <is>
          <t>0</t>
        </is>
      </c>
      <c r="T114" s="99" t="inlineStr">
        <is>
          <t>1,935</t>
        </is>
      </c>
      <c r="U114" s="99" t="n"/>
      <c r="V114" s="99" t="n"/>
      <c r="W114" s="99" t="n"/>
    </row>
    <row r="115">
      <c r="A115" s="261" t="inlineStr">
        <is>
          <t>Click P2P</t>
        </is>
      </c>
      <c r="B115" s="264" t="inlineStr"/>
      <c r="C115" s="264" t="inlineStr"/>
      <c r="D115" s="264" t="inlineStr"/>
      <c r="E115" s="264" t="inlineStr"/>
      <c r="F115" s="264" t="inlineStr">
        <is>
          <t>325</t>
        </is>
      </c>
      <c r="G115" s="264" t="inlineStr">
        <is>
          <t>310</t>
        </is>
      </c>
      <c r="H115" s="264" t="inlineStr"/>
      <c r="I115" s="264" t="inlineStr"/>
      <c r="J115" s="264" t="inlineStr">
        <is>
          <t>-15</t>
        </is>
      </c>
      <c r="K115" s="264" t="inlineStr">
        <is>
          <t>4.7%</t>
        </is>
      </c>
      <c r="L115" s="264" t="inlineStr"/>
      <c r="M115" s="264" t="inlineStr"/>
      <c r="N115" s="264" t="inlineStr"/>
      <c r="O115" s="264" t="inlineStr"/>
      <c r="P115" s="264" t="inlineStr">
        <is>
          <t>354</t>
        </is>
      </c>
      <c r="Q115" s="272" t="inlineStr">
        <is>
          <t>310</t>
        </is>
      </c>
      <c r="R115" s="272" t="inlineStr"/>
      <c r="S115" s="272" t="inlineStr"/>
      <c r="T115" s="272" t="inlineStr">
        <is>
          <t>-15</t>
        </is>
      </c>
      <c r="U115" s="99" t="n"/>
      <c r="V115" s="99" t="n"/>
      <c r="W115" s="99" t="n"/>
    </row>
    <row r="116">
      <c r="A116" s="273" t="inlineStr">
        <is>
          <t>Điện</t>
        </is>
      </c>
      <c r="B116" s="112" t="inlineStr">
        <is>
          <t>3580</t>
        </is>
      </c>
      <c r="C116" s="112" t="inlineStr">
        <is>
          <t>3613</t>
        </is>
      </c>
      <c r="D116" s="112" t="inlineStr">
        <is>
          <t>3719</t>
        </is>
      </c>
      <c r="E116" s="112" t="inlineStr">
        <is>
          <t>5560</t>
        </is>
      </c>
      <c r="F116" s="112" t="inlineStr">
        <is>
          <t>3119</t>
        </is>
      </c>
      <c r="G116" s="112" t="inlineStr">
        <is>
          <t>3745</t>
        </is>
      </c>
      <c r="H116" s="112" t="inlineStr">
        <is>
          <t>0</t>
        </is>
      </c>
      <c r="I116" s="112" t="inlineStr">
        <is>
          <t>0</t>
        </is>
      </c>
      <c r="J116" s="112" t="inlineStr">
        <is>
          <t>626</t>
        </is>
      </c>
      <c r="K116" s="112" t="inlineStr"/>
      <c r="L116" s="112" t="inlineStr">
        <is>
          <t>4,164</t>
        </is>
      </c>
      <c r="M116" s="112" t="inlineStr">
        <is>
          <t>4,129</t>
        </is>
      </c>
      <c r="N116" s="112" t="inlineStr">
        <is>
          <t>4,513</t>
        </is>
      </c>
      <c r="O116" s="112" t="inlineStr">
        <is>
          <t>6,076</t>
        </is>
      </c>
      <c r="P116" s="112" t="inlineStr">
        <is>
          <t>3,538</t>
        </is>
      </c>
      <c r="Q116" s="99" t="inlineStr">
        <is>
          <t>3,745</t>
        </is>
      </c>
      <c r="R116" s="99" t="inlineStr">
        <is>
          <t>0</t>
        </is>
      </c>
      <c r="S116" s="99" t="inlineStr">
        <is>
          <t>0</t>
        </is>
      </c>
      <c r="T116" s="99" t="inlineStr">
        <is>
          <t>626</t>
        </is>
      </c>
      <c r="U116" s="99" t="n"/>
      <c r="V116" s="99" t="n"/>
      <c r="W116" s="99" t="n"/>
    </row>
    <row r="117">
      <c r="A117" s="261" t="inlineStr">
        <is>
          <t>Click Điện</t>
        </is>
      </c>
      <c r="B117" s="264" t="inlineStr"/>
      <c r="C117" s="264" t="inlineStr"/>
      <c r="D117" s="264" t="inlineStr"/>
      <c r="E117" s="264" t="inlineStr"/>
      <c r="F117" s="264" t="inlineStr">
        <is>
          <t>11</t>
        </is>
      </c>
      <c r="G117" s="264" t="inlineStr">
        <is>
          <t>9</t>
        </is>
      </c>
      <c r="H117" s="264" t="inlineStr"/>
      <c r="I117" s="264" t="inlineStr"/>
      <c r="J117" s="264" t="inlineStr">
        <is>
          <t>-2</t>
        </is>
      </c>
      <c r="K117" s="264" t="inlineStr">
        <is>
          <t>0.2%</t>
        </is>
      </c>
      <c r="L117" s="264" t="inlineStr"/>
      <c r="M117" s="264" t="inlineStr"/>
      <c r="N117" s="264" t="inlineStr"/>
      <c r="O117" s="264" t="inlineStr"/>
      <c r="P117" s="264" t="inlineStr">
        <is>
          <t>13</t>
        </is>
      </c>
      <c r="Q117" s="272" t="inlineStr">
        <is>
          <t>9</t>
        </is>
      </c>
      <c r="R117" s="272" t="inlineStr"/>
      <c r="S117" s="272" t="inlineStr"/>
      <c r="T117" s="272" t="inlineStr">
        <is>
          <t>-2</t>
        </is>
      </c>
      <c r="U117" s="99" t="n"/>
      <c r="V117" s="99" t="n"/>
      <c r="W117" s="99" t="n"/>
    </row>
    <row r="118">
      <c r="A118" s="273" t="inlineStr">
        <is>
          <t>Student Hub</t>
        </is>
      </c>
      <c r="B118" s="112" t="inlineStr">
        <is>
          <t>244</t>
        </is>
      </c>
      <c r="C118" s="112" t="inlineStr">
        <is>
          <t>162</t>
        </is>
      </c>
      <c r="D118" s="112" t="inlineStr">
        <is>
          <t>260</t>
        </is>
      </c>
      <c r="E118" s="112" t="inlineStr">
        <is>
          <t>9464</t>
        </is>
      </c>
      <c r="F118" s="112" t="inlineStr">
        <is>
          <t>6096</t>
        </is>
      </c>
      <c r="G118" s="112" t="inlineStr">
        <is>
          <t>1612</t>
        </is>
      </c>
      <c r="H118" s="112" t="inlineStr">
        <is>
          <t>0</t>
        </is>
      </c>
      <c r="I118" s="112" t="inlineStr">
        <is>
          <t>0</t>
        </is>
      </c>
      <c r="J118" s="112" t="inlineStr">
        <is>
          <t>-4484</t>
        </is>
      </c>
      <c r="K118" s="112" t="inlineStr"/>
      <c r="L118" s="112" t="inlineStr">
        <is>
          <t>303</t>
        </is>
      </c>
      <c r="M118" s="112" t="inlineStr">
        <is>
          <t>223</t>
        </is>
      </c>
      <c r="N118" s="112" t="inlineStr">
        <is>
          <t>438</t>
        </is>
      </c>
      <c r="O118" s="112" t="inlineStr">
        <is>
          <t>13,789</t>
        </is>
      </c>
      <c r="P118" s="112" t="inlineStr">
        <is>
          <t>7,248</t>
        </is>
      </c>
      <c r="Q118" s="99" t="inlineStr">
        <is>
          <t>1,612</t>
        </is>
      </c>
      <c r="R118" s="99" t="inlineStr">
        <is>
          <t>0</t>
        </is>
      </c>
      <c r="S118" s="99" t="inlineStr">
        <is>
          <t>0</t>
        </is>
      </c>
      <c r="T118" s="99" t="inlineStr">
        <is>
          <t>-4,484</t>
        </is>
      </c>
      <c r="U118" s="99" t="n"/>
      <c r="V118" s="99" t="n"/>
      <c r="W118" s="99" t="n"/>
    </row>
    <row r="119">
      <c r="A119" s="261" t="inlineStr">
        <is>
          <t>Click Student Hub</t>
        </is>
      </c>
      <c r="B119" s="264" t="inlineStr"/>
      <c r="C119" s="264" t="inlineStr"/>
      <c r="D119" s="264" t="inlineStr"/>
      <c r="E119" s="264" t="inlineStr"/>
      <c r="F119" s="264" t="inlineStr">
        <is>
          <t>232</t>
        </is>
      </c>
      <c r="G119" s="264" t="inlineStr">
        <is>
          <t>63</t>
        </is>
      </c>
      <c r="H119" s="264" t="inlineStr"/>
      <c r="I119" s="264" t="inlineStr"/>
      <c r="J119" s="264" t="inlineStr">
        <is>
          <t>-169</t>
        </is>
      </c>
      <c r="K119" s="264" t="inlineStr">
        <is>
          <t>3.9%</t>
        </is>
      </c>
      <c r="L119" s="264" t="inlineStr"/>
      <c r="M119" s="264" t="inlineStr"/>
      <c r="N119" s="264" t="inlineStr"/>
      <c r="O119" s="264" t="inlineStr"/>
      <c r="P119" s="264" t="inlineStr">
        <is>
          <t>246</t>
        </is>
      </c>
      <c r="Q119" s="272" t="inlineStr">
        <is>
          <t>63</t>
        </is>
      </c>
      <c r="R119" s="272" t="inlineStr"/>
      <c r="S119" s="272" t="inlineStr"/>
      <c r="T119" s="272" t="inlineStr">
        <is>
          <t>-169</t>
        </is>
      </c>
      <c r="U119" s="99" t="n"/>
      <c r="V119" s="99" t="n"/>
      <c r="W119" s="99" t="n"/>
    </row>
    <row r="120">
      <c r="A120" s="273" t="inlineStr">
        <is>
          <t>Student Pass</t>
        </is>
      </c>
      <c r="B120" s="112" t="inlineStr">
        <is>
          <t>244</t>
        </is>
      </c>
      <c r="C120" s="112" t="inlineStr">
        <is>
          <t>162</t>
        </is>
      </c>
      <c r="D120" s="112" t="inlineStr">
        <is>
          <t>260</t>
        </is>
      </c>
      <c r="E120" s="112" t="inlineStr">
        <is>
          <t>9458</t>
        </is>
      </c>
      <c r="F120" s="112" t="inlineStr">
        <is>
          <t>5720</t>
        </is>
      </c>
      <c r="G120" s="112" t="inlineStr">
        <is>
          <t>1369</t>
        </is>
      </c>
      <c r="H120" s="112" t="inlineStr">
        <is>
          <t>0</t>
        </is>
      </c>
      <c r="I120" s="112" t="inlineStr">
        <is>
          <t>0</t>
        </is>
      </c>
      <c r="J120" s="112" t="inlineStr">
        <is>
          <t>-4351</t>
        </is>
      </c>
      <c r="K120" s="112" t="inlineStr"/>
      <c r="L120" s="112" t="inlineStr">
        <is>
          <t>303</t>
        </is>
      </c>
      <c r="M120" s="112" t="inlineStr">
        <is>
          <t>223</t>
        </is>
      </c>
      <c r="N120" s="112" t="inlineStr">
        <is>
          <t>438</t>
        </is>
      </c>
      <c r="O120" s="112" t="inlineStr">
        <is>
          <t>13,527</t>
        </is>
      </c>
      <c r="P120" s="112" t="inlineStr">
        <is>
          <t>6,699</t>
        </is>
      </c>
      <c r="Q120" s="99" t="inlineStr">
        <is>
          <t>1,369</t>
        </is>
      </c>
      <c r="R120" s="99" t="inlineStr">
        <is>
          <t>0</t>
        </is>
      </c>
      <c r="S120" s="99" t="inlineStr">
        <is>
          <t>0</t>
        </is>
      </c>
      <c r="T120" s="99" t="inlineStr">
        <is>
          <t>-4,351</t>
        </is>
      </c>
      <c r="U120" s="99" t="n"/>
      <c r="V120" s="99" t="n"/>
      <c r="W120" s="99" t="n"/>
    </row>
    <row r="121">
      <c r="A121" s="261" t="inlineStr">
        <is>
          <t xml:space="preserve">    Click Student Pass</t>
        </is>
      </c>
      <c r="B121" s="264" t="inlineStr"/>
      <c r="C121" s="264" t="inlineStr"/>
      <c r="D121" s="264" t="inlineStr"/>
      <c r="E121" s="264" t="inlineStr"/>
      <c r="F121" s="264" t="inlineStr">
        <is>
          <t>229</t>
        </is>
      </c>
      <c r="G121" s="264" t="inlineStr">
        <is>
          <t>63</t>
        </is>
      </c>
      <c r="H121" s="264" t="inlineStr"/>
      <c r="I121" s="264" t="inlineStr"/>
      <c r="J121" s="264" t="inlineStr">
        <is>
          <t>-166</t>
        </is>
      </c>
      <c r="K121" s="264" t="inlineStr">
        <is>
          <t>4.6%</t>
        </is>
      </c>
      <c r="L121" s="264" t="inlineStr"/>
      <c r="M121" s="264" t="inlineStr"/>
      <c r="N121" s="264" t="inlineStr"/>
      <c r="O121" s="264" t="inlineStr"/>
      <c r="P121" s="264" t="inlineStr">
        <is>
          <t>243</t>
        </is>
      </c>
      <c r="Q121" s="272" t="inlineStr">
        <is>
          <t>63</t>
        </is>
      </c>
      <c r="R121" s="272" t="inlineStr"/>
      <c r="S121" s="272" t="inlineStr"/>
      <c r="T121" s="272" t="inlineStr">
        <is>
          <t>-166</t>
        </is>
      </c>
      <c r="U121" s="99" t="n"/>
      <c r="V121" s="99" t="n"/>
      <c r="W121" s="99" t="n"/>
    </row>
    <row r="122">
      <c r="A122" s="273" t="inlineStr">
        <is>
          <t>Student Hub</t>
        </is>
      </c>
      <c r="B122" s="112" t="inlineStr">
        <is>
          <t>0</t>
        </is>
      </c>
      <c r="C122" s="112" t="inlineStr">
        <is>
          <t>0</t>
        </is>
      </c>
      <c r="D122" s="112" t="inlineStr">
        <is>
          <t>0</t>
        </is>
      </c>
      <c r="E122" s="112" t="inlineStr">
        <is>
          <t>6</t>
        </is>
      </c>
      <c r="F122" s="112" t="inlineStr">
        <is>
          <t>376</t>
        </is>
      </c>
      <c r="G122" s="112" t="inlineStr">
        <is>
          <t>243</t>
        </is>
      </c>
      <c r="H122" s="112" t="inlineStr">
        <is>
          <t>0</t>
        </is>
      </c>
      <c r="I122" s="112" t="inlineStr">
        <is>
          <t>0</t>
        </is>
      </c>
      <c r="J122" s="112" t="inlineStr">
        <is>
          <t>-133</t>
        </is>
      </c>
      <c r="K122" s="112" t="inlineStr"/>
      <c r="L122" s="112" t="inlineStr">
        <is>
          <t>0</t>
        </is>
      </c>
      <c r="M122" s="112" t="inlineStr">
        <is>
          <t>0</t>
        </is>
      </c>
      <c r="N122" s="112" t="inlineStr">
        <is>
          <t>0</t>
        </is>
      </c>
      <c r="O122" s="112" t="inlineStr">
        <is>
          <t>262</t>
        </is>
      </c>
      <c r="P122" s="112" t="inlineStr">
        <is>
          <t>549</t>
        </is>
      </c>
      <c r="Q122" s="99" t="inlineStr">
        <is>
          <t>243</t>
        </is>
      </c>
      <c r="R122" s="99" t="inlineStr">
        <is>
          <t>0</t>
        </is>
      </c>
      <c r="S122" s="99" t="inlineStr">
        <is>
          <t>0</t>
        </is>
      </c>
      <c r="T122" s="99" t="inlineStr">
        <is>
          <t>-133</t>
        </is>
      </c>
      <c r="U122" s="99" t="n"/>
      <c r="V122" s="99" t="n"/>
      <c r="W122" s="99" t="n"/>
    </row>
    <row r="123">
      <c r="A123" s="261" t="inlineStr">
        <is>
          <t xml:space="preserve">    Click Student Hub</t>
        </is>
      </c>
      <c r="B123" s="264" t="inlineStr"/>
      <c r="C123" s="264" t="inlineStr"/>
      <c r="D123" s="264" t="inlineStr"/>
      <c r="E123" s="264" t="inlineStr"/>
      <c r="F123" s="264" t="inlineStr">
        <is>
          <t>3</t>
        </is>
      </c>
      <c r="G123" s="264" t="inlineStr">
        <is>
          <t>0</t>
        </is>
      </c>
      <c r="H123" s="264" t="inlineStr"/>
      <c r="I123" s="264" t="inlineStr"/>
      <c r="J123" s="264" t="inlineStr">
        <is>
          <t>-3</t>
        </is>
      </c>
      <c r="K123" s="264" t="inlineStr">
        <is>
          <t>0.0%</t>
        </is>
      </c>
      <c r="L123" s="264" t="inlineStr"/>
      <c r="M123" s="264" t="inlineStr"/>
      <c r="N123" s="264" t="inlineStr"/>
      <c r="O123" s="264" t="inlineStr"/>
      <c r="P123" s="264" t="inlineStr">
        <is>
          <t>3</t>
        </is>
      </c>
      <c r="Q123" s="272" t="inlineStr">
        <is>
          <t>0</t>
        </is>
      </c>
      <c r="R123" s="272" t="inlineStr"/>
      <c r="S123" s="272" t="inlineStr"/>
      <c r="T123" s="272" t="inlineStr">
        <is>
          <t>-3</t>
        </is>
      </c>
      <c r="U123" s="99" t="n"/>
      <c r="V123" s="99" t="n"/>
      <c r="W123" s="99" t="n"/>
    </row>
    <row r="124">
      <c r="A124" s="273" t="inlineStr">
        <is>
          <t>Cross Border</t>
        </is>
      </c>
      <c r="B124" s="112" t="inlineStr">
        <is>
          <t>3851</t>
        </is>
      </c>
      <c r="C124" s="112" t="inlineStr">
        <is>
          <t>2723</t>
        </is>
      </c>
      <c r="D124" s="112" t="inlineStr">
        <is>
          <t>2369</t>
        </is>
      </c>
      <c r="E124" s="112" t="inlineStr">
        <is>
          <t>1817</t>
        </is>
      </c>
      <c r="F124" s="112" t="inlineStr">
        <is>
          <t>2129</t>
        </is>
      </c>
      <c r="G124" s="112" t="inlineStr">
        <is>
          <t>2831</t>
        </is>
      </c>
      <c r="H124" s="112" t="inlineStr">
        <is>
          <t>0</t>
        </is>
      </c>
      <c r="I124" s="112" t="inlineStr">
        <is>
          <t>0</t>
        </is>
      </c>
      <c r="J124" s="112" t="inlineStr">
        <is>
          <t>702</t>
        </is>
      </c>
      <c r="K124" s="112" t="inlineStr"/>
      <c r="L124" s="112" t="inlineStr">
        <is>
          <t>4,900</t>
        </is>
      </c>
      <c r="M124" s="112" t="inlineStr">
        <is>
          <t>3,574</t>
        </is>
      </c>
      <c r="N124" s="112" t="inlineStr">
        <is>
          <t>2,902</t>
        </is>
      </c>
      <c r="O124" s="112" t="inlineStr">
        <is>
          <t>2,712</t>
        </is>
      </c>
      <c r="P124" s="112" t="inlineStr">
        <is>
          <t>2,637</t>
        </is>
      </c>
      <c r="Q124" s="99" t="inlineStr">
        <is>
          <t>2,831</t>
        </is>
      </c>
      <c r="R124" s="99" t="inlineStr">
        <is>
          <t>0</t>
        </is>
      </c>
      <c r="S124" s="99" t="inlineStr">
        <is>
          <t>0</t>
        </is>
      </c>
      <c r="T124" s="99" t="inlineStr">
        <is>
          <t>702</t>
        </is>
      </c>
      <c r="U124" s="99" t="n"/>
      <c r="V124" s="99" t="n"/>
      <c r="W124" s="99" t="n"/>
    </row>
    <row r="125">
      <c r="A125" s="261" t="inlineStr">
        <is>
          <t>Click Cross Border</t>
        </is>
      </c>
      <c r="B125" s="264" t="inlineStr"/>
      <c r="C125" s="264" t="inlineStr"/>
      <c r="D125" s="264" t="inlineStr"/>
      <c r="E125" s="264" t="inlineStr"/>
      <c r="F125" s="264" t="inlineStr">
        <is>
          <t>15</t>
        </is>
      </c>
      <c r="G125" s="264" t="inlineStr">
        <is>
          <t>34</t>
        </is>
      </c>
      <c r="H125" s="264" t="inlineStr"/>
      <c r="I125" s="264" t="inlineStr"/>
      <c r="J125" s="264" t="inlineStr">
        <is>
          <t>19</t>
        </is>
      </c>
      <c r="K125" s="264" t="inlineStr">
        <is>
          <t>1.2%</t>
        </is>
      </c>
      <c r="L125" s="264" t="inlineStr"/>
      <c r="M125" s="264" t="inlineStr"/>
      <c r="N125" s="264" t="inlineStr"/>
      <c r="O125" s="264" t="inlineStr"/>
      <c r="P125" s="264" t="inlineStr">
        <is>
          <t>16</t>
        </is>
      </c>
      <c r="Q125" s="272" t="inlineStr">
        <is>
          <t>34</t>
        </is>
      </c>
      <c r="R125" s="272" t="inlineStr"/>
      <c r="S125" s="272" t="inlineStr"/>
      <c r="T125" s="272" t="inlineStr">
        <is>
          <t>19</t>
        </is>
      </c>
      <c r="U125" s="99" t="n"/>
      <c r="V125" s="99" t="n"/>
      <c r="W125" s="99" t="n"/>
    </row>
    <row r="126">
      <c r="A126" s="273" t="inlineStr">
        <is>
          <t>Hoàn Tiền Mua Sắm</t>
        </is>
      </c>
      <c r="B126" s="112" t="inlineStr">
        <is>
          <t>1171</t>
        </is>
      </c>
      <c r="C126" s="112" t="inlineStr">
        <is>
          <t>1484</t>
        </is>
      </c>
      <c r="D126" s="112" t="inlineStr">
        <is>
          <t>2119</t>
        </is>
      </c>
      <c r="E126" s="112" t="inlineStr">
        <is>
          <t>1736</t>
        </is>
      </c>
      <c r="F126" s="112" t="inlineStr">
        <is>
          <t>1746</t>
        </is>
      </c>
      <c r="G126" s="112" t="inlineStr">
        <is>
          <t>3429</t>
        </is>
      </c>
      <c r="H126" s="112" t="inlineStr">
        <is>
          <t>0</t>
        </is>
      </c>
      <c r="I126" s="112" t="inlineStr">
        <is>
          <t>0</t>
        </is>
      </c>
      <c r="J126" s="112" t="inlineStr">
        <is>
          <t>1683</t>
        </is>
      </c>
      <c r="K126" s="112" t="inlineStr"/>
      <c r="L126" s="112" t="inlineStr">
        <is>
          <t>1,770</t>
        </is>
      </c>
      <c r="M126" s="112" t="inlineStr">
        <is>
          <t>1,902</t>
        </is>
      </c>
      <c r="N126" s="112" t="inlineStr">
        <is>
          <t>2,853</t>
        </is>
      </c>
      <c r="O126" s="112" t="inlineStr">
        <is>
          <t>2,212</t>
        </is>
      </c>
      <c r="P126" s="112" t="inlineStr">
        <is>
          <t>2,265</t>
        </is>
      </c>
      <c r="Q126" s="99" t="inlineStr">
        <is>
          <t>3,429</t>
        </is>
      </c>
      <c r="R126" s="99" t="inlineStr">
        <is>
          <t>0</t>
        </is>
      </c>
      <c r="S126" s="99" t="inlineStr">
        <is>
          <t>0</t>
        </is>
      </c>
      <c r="T126" s="99" t="inlineStr">
        <is>
          <t>1,683</t>
        </is>
      </c>
      <c r="U126" s="99" t="n"/>
      <c r="V126" s="99" t="n"/>
      <c r="W126" s="99" t="n"/>
    </row>
    <row r="127">
      <c r="A127" s="261" t="inlineStr">
        <is>
          <t>Click Hoàn Tiền Mua Sắm</t>
        </is>
      </c>
      <c r="B127" s="264" t="inlineStr"/>
      <c r="C127" s="264" t="inlineStr"/>
      <c r="D127" s="264" t="inlineStr"/>
      <c r="E127" s="264" t="inlineStr"/>
      <c r="F127" s="264" t="inlineStr">
        <is>
          <t>109</t>
        </is>
      </c>
      <c r="G127" s="264" t="inlineStr">
        <is>
          <t>204</t>
        </is>
      </c>
      <c r="H127" s="264" t="inlineStr"/>
      <c r="I127" s="264" t="inlineStr"/>
      <c r="J127" s="264" t="inlineStr">
        <is>
          <t>95</t>
        </is>
      </c>
      <c r="K127" s="264" t="inlineStr">
        <is>
          <t>5.9%</t>
        </is>
      </c>
      <c r="L127" s="264" t="inlineStr"/>
      <c r="M127" s="264" t="inlineStr"/>
      <c r="N127" s="264" t="inlineStr"/>
      <c r="O127" s="264" t="inlineStr"/>
      <c r="P127" s="264" t="inlineStr">
        <is>
          <t>117</t>
        </is>
      </c>
      <c r="Q127" s="272" t="inlineStr">
        <is>
          <t>204</t>
        </is>
      </c>
      <c r="R127" s="272" t="inlineStr"/>
      <c r="S127" s="272" t="inlineStr"/>
      <c r="T127" s="272" t="inlineStr">
        <is>
          <t>95</t>
        </is>
      </c>
      <c r="U127" s="99" t="n"/>
      <c r="V127" s="99" t="n"/>
      <c r="W127" s="99" t="n"/>
    </row>
    <row r="128">
      <c r="A128" s="273" t="inlineStr">
        <is>
          <t>Bảo Hiểm Sức Khỏe</t>
        </is>
      </c>
      <c r="B128" s="112" t="inlineStr">
        <is>
          <t>0</t>
        </is>
      </c>
      <c r="C128" s="112" t="inlineStr">
        <is>
          <t>0</t>
        </is>
      </c>
      <c r="D128" s="112" t="inlineStr">
        <is>
          <t>0</t>
        </is>
      </c>
      <c r="E128" s="112" t="inlineStr">
        <is>
          <t>0</t>
        </is>
      </c>
      <c r="F128" s="112" t="inlineStr">
        <is>
          <t>0</t>
        </is>
      </c>
      <c r="G128" s="112" t="inlineStr">
        <is>
          <t>489</t>
        </is>
      </c>
      <c r="H128" s="112" t="inlineStr">
        <is>
          <t>0</t>
        </is>
      </c>
      <c r="I128" s="112" t="inlineStr">
        <is>
          <t>0</t>
        </is>
      </c>
      <c r="J128" s="112" t="inlineStr">
        <is>
          <t>489</t>
        </is>
      </c>
      <c r="K128" s="112" t="inlineStr"/>
      <c r="L128" s="112" t="inlineStr">
        <is>
          <t>0</t>
        </is>
      </c>
      <c r="M128" s="112" t="inlineStr">
        <is>
          <t>0</t>
        </is>
      </c>
      <c r="N128" s="112" t="inlineStr">
        <is>
          <t>0</t>
        </is>
      </c>
      <c r="O128" s="112" t="inlineStr">
        <is>
          <t>0</t>
        </is>
      </c>
      <c r="P128" s="112" t="inlineStr">
        <is>
          <t>0</t>
        </is>
      </c>
      <c r="Q128" s="99" t="inlineStr">
        <is>
          <t>489</t>
        </is>
      </c>
      <c r="R128" s="99" t="inlineStr">
        <is>
          <t>0</t>
        </is>
      </c>
      <c r="S128" s="99" t="inlineStr">
        <is>
          <t>0</t>
        </is>
      </c>
      <c r="T128" s="99" t="inlineStr">
        <is>
          <t>489</t>
        </is>
      </c>
      <c r="U128" s="99" t="n"/>
      <c r="V128" s="99" t="n"/>
      <c r="W128" s="99" t="n"/>
    </row>
    <row r="129">
      <c r="A129" s="261" t="inlineStr">
        <is>
          <t>Click Bảo Hiểm Sức Khỏe</t>
        </is>
      </c>
      <c r="B129" s="264" t="inlineStr"/>
      <c r="C129" s="264" t="inlineStr"/>
      <c r="D129" s="264" t="inlineStr"/>
      <c r="E129" s="264" t="inlineStr"/>
      <c r="F129" s="264" t="inlineStr">
        <is>
          <t>4</t>
        </is>
      </c>
      <c r="G129" s="264" t="inlineStr">
        <is>
          <t>4</t>
        </is>
      </c>
      <c r="H129" s="264" t="inlineStr"/>
      <c r="I129" s="264" t="inlineStr"/>
      <c r="J129" s="264" t="inlineStr">
        <is>
          <t>0</t>
        </is>
      </c>
      <c r="K129" s="264" t="inlineStr">
        <is>
          <t>0.8%</t>
        </is>
      </c>
      <c r="L129" s="264" t="inlineStr"/>
      <c r="M129" s="264" t="inlineStr"/>
      <c r="N129" s="264" t="inlineStr"/>
      <c r="O129" s="264" t="inlineStr"/>
      <c r="P129" s="264" t="inlineStr">
        <is>
          <t>4</t>
        </is>
      </c>
      <c r="Q129" s="272" t="inlineStr">
        <is>
          <t>4</t>
        </is>
      </c>
      <c r="R129" s="272" t="inlineStr"/>
      <c r="S129" s="272" t="inlineStr"/>
      <c r="T129" s="272" t="inlineStr">
        <is>
          <t>0</t>
        </is>
      </c>
      <c r="U129" s="99" t="n"/>
      <c r="V129" s="99" t="n"/>
      <c r="W129" s="99" t="n"/>
    </row>
    <row r="130">
      <c r="A130" s="273" t="inlineStr">
        <is>
          <t>Mở tài khoản ngân hàng</t>
        </is>
      </c>
      <c r="B130" s="112" t="inlineStr">
        <is>
          <t>1489</t>
        </is>
      </c>
      <c r="C130" s="112" t="inlineStr">
        <is>
          <t>1492</t>
        </is>
      </c>
      <c r="D130" s="112" t="inlineStr">
        <is>
          <t>1532</t>
        </is>
      </c>
      <c r="E130" s="112" t="inlineStr">
        <is>
          <t>1590</t>
        </is>
      </c>
      <c r="F130" s="112" t="inlineStr">
        <is>
          <t>1636</t>
        </is>
      </c>
      <c r="G130" s="112" t="inlineStr">
        <is>
          <t>1975</t>
        </is>
      </c>
      <c r="H130" s="112" t="inlineStr">
        <is>
          <t>0</t>
        </is>
      </c>
      <c r="I130" s="112" t="inlineStr">
        <is>
          <t>0</t>
        </is>
      </c>
      <c r="J130" s="112" t="inlineStr">
        <is>
          <t>339</t>
        </is>
      </c>
      <c r="K130" s="112" t="inlineStr"/>
      <c r="L130" s="112" t="inlineStr">
        <is>
          <t>2,042</t>
        </is>
      </c>
      <c r="M130" s="112" t="inlineStr">
        <is>
          <t>1,913</t>
        </is>
      </c>
      <c r="N130" s="112" t="inlineStr">
        <is>
          <t>2,039</t>
        </is>
      </c>
      <c r="O130" s="112" t="inlineStr">
        <is>
          <t>2,092</t>
        </is>
      </c>
      <c r="P130" s="112" t="inlineStr">
        <is>
          <t>1,908</t>
        </is>
      </c>
      <c r="Q130" s="99" t="inlineStr">
        <is>
          <t>1,975</t>
        </is>
      </c>
      <c r="R130" s="99" t="inlineStr">
        <is>
          <t>0</t>
        </is>
      </c>
      <c r="S130" s="99" t="inlineStr">
        <is>
          <t>0</t>
        </is>
      </c>
      <c r="T130" s="99" t="inlineStr">
        <is>
          <t>339</t>
        </is>
      </c>
      <c r="U130" s="99" t="n"/>
      <c r="V130" s="99" t="n"/>
      <c r="W130" s="99" t="n"/>
    </row>
    <row r="131">
      <c r="A131" s="261" t="inlineStr">
        <is>
          <t>Click Mở tài khoản ngân hàng</t>
        </is>
      </c>
      <c r="B131" s="264" t="inlineStr"/>
      <c r="C131" s="264" t="inlineStr"/>
      <c r="D131" s="264" t="inlineStr"/>
      <c r="E131" s="264" t="inlineStr"/>
      <c r="F131" s="264" t="inlineStr">
        <is>
          <t>173</t>
        </is>
      </c>
      <c r="G131" s="264" t="inlineStr">
        <is>
          <t>106</t>
        </is>
      </c>
      <c r="H131" s="264" t="inlineStr"/>
      <c r="I131" s="264" t="inlineStr"/>
      <c r="J131" s="264" t="inlineStr">
        <is>
          <t>-67</t>
        </is>
      </c>
      <c r="K131" s="264" t="inlineStr">
        <is>
          <t>5.4%</t>
        </is>
      </c>
      <c r="L131" s="264" t="inlineStr"/>
      <c r="M131" s="264" t="inlineStr"/>
      <c r="N131" s="264" t="inlineStr"/>
      <c r="O131" s="264" t="inlineStr"/>
      <c r="P131" s="264" t="inlineStr">
        <is>
          <t>183</t>
        </is>
      </c>
      <c r="Q131" s="272" t="inlineStr">
        <is>
          <t>106</t>
        </is>
      </c>
      <c r="R131" s="272" t="inlineStr"/>
      <c r="S131" s="272" t="inlineStr"/>
      <c r="T131" s="272" t="inlineStr">
        <is>
          <t>-67</t>
        </is>
      </c>
      <c r="U131" s="99" t="n"/>
      <c r="V131" s="99" t="n"/>
      <c r="W131" s="99" t="n"/>
    </row>
    <row r="132">
      <c r="A132" s="273" t="inlineStr">
        <is>
          <t>Download</t>
        </is>
      </c>
      <c r="B132" s="112" t="inlineStr">
        <is>
          <t>0</t>
        </is>
      </c>
      <c r="C132" s="112" t="inlineStr">
        <is>
          <t>0</t>
        </is>
      </c>
      <c r="D132" s="112" t="inlineStr">
        <is>
          <t>0</t>
        </is>
      </c>
      <c r="E132" s="112" t="inlineStr">
        <is>
          <t>0</t>
        </is>
      </c>
      <c r="F132" s="112" t="inlineStr">
        <is>
          <t>0</t>
        </is>
      </c>
      <c r="G132" s="112" t="inlineStr">
        <is>
          <t>357597</t>
        </is>
      </c>
      <c r="H132" s="112" t="inlineStr">
        <is>
          <t>0</t>
        </is>
      </c>
      <c r="I132" s="112" t="inlineStr">
        <is>
          <t>0</t>
        </is>
      </c>
      <c r="J132" s="112" t="inlineStr">
        <is>
          <t>357597</t>
        </is>
      </c>
      <c r="K132" s="112" t="inlineStr"/>
      <c r="L132" s="112" t="inlineStr">
        <is>
          <t>0</t>
        </is>
      </c>
      <c r="M132" s="112" t="inlineStr">
        <is>
          <t>0</t>
        </is>
      </c>
      <c r="N132" s="112" t="inlineStr">
        <is>
          <t>0</t>
        </is>
      </c>
      <c r="O132" s="112" t="inlineStr">
        <is>
          <t>0</t>
        </is>
      </c>
      <c r="P132" s="112" t="inlineStr">
        <is>
          <t>0</t>
        </is>
      </c>
      <c r="Q132" s="99" t="inlineStr">
        <is>
          <t>357,597</t>
        </is>
      </c>
      <c r="R132" s="99" t="inlineStr">
        <is>
          <t>0</t>
        </is>
      </c>
      <c r="S132" s="99" t="inlineStr">
        <is>
          <t>0</t>
        </is>
      </c>
      <c r="T132" s="99" t="inlineStr">
        <is>
          <t>357,597</t>
        </is>
      </c>
      <c r="U132" s="99" t="n"/>
      <c r="V132" s="99" t="n"/>
      <c r="W132" s="99" t="n"/>
    </row>
    <row r="133">
      <c r="A133" s="261" t="inlineStr">
        <is>
          <t>Click Download</t>
        </is>
      </c>
      <c r="B133" s="264" t="inlineStr"/>
      <c r="C133" s="264" t="inlineStr"/>
      <c r="D133" s="264" t="inlineStr"/>
      <c r="E133" s="264" t="inlineStr"/>
      <c r="F133" s="264" t="inlineStr">
        <is>
          <t>135</t>
        </is>
      </c>
      <c r="G133" s="264" t="inlineStr">
        <is>
          <t>153</t>
        </is>
      </c>
      <c r="H133" s="264" t="inlineStr"/>
      <c r="I133" s="264" t="inlineStr"/>
      <c r="J133" s="264" t="inlineStr">
        <is>
          <t>18</t>
        </is>
      </c>
      <c r="K133" s="264" t="inlineStr">
        <is>
          <t>0.0%</t>
        </is>
      </c>
      <c r="L133" s="264" t="inlineStr"/>
      <c r="M133" s="264" t="inlineStr"/>
      <c r="N133" s="264" t="inlineStr"/>
      <c r="O133" s="264" t="inlineStr"/>
      <c r="P133" s="264" t="inlineStr">
        <is>
          <t>187</t>
        </is>
      </c>
      <c r="Q133" s="272" t="inlineStr">
        <is>
          <t>153</t>
        </is>
      </c>
      <c r="R133" s="272" t="inlineStr"/>
      <c r="S133" s="272" t="inlineStr"/>
      <c r="T133" s="272" t="inlineStr">
        <is>
          <t>18</t>
        </is>
      </c>
      <c r="U133" s="99" t="n"/>
      <c r="V133" s="99" t="n"/>
      <c r="W133" s="99" t="n"/>
    </row>
    <row r="134">
      <c r="A134" s="273" t="inlineStr">
        <is>
          <t>Nước</t>
        </is>
      </c>
      <c r="B134" s="112" t="inlineStr">
        <is>
          <t>0</t>
        </is>
      </c>
      <c r="C134" s="112" t="inlineStr">
        <is>
          <t>0</t>
        </is>
      </c>
      <c r="D134" s="112" t="inlineStr">
        <is>
          <t>0</t>
        </is>
      </c>
      <c r="E134" s="112" t="inlineStr">
        <is>
          <t>0</t>
        </is>
      </c>
      <c r="F134" s="112" t="inlineStr">
        <is>
          <t>0</t>
        </is>
      </c>
      <c r="G134" s="112" t="inlineStr">
        <is>
          <t>38549</t>
        </is>
      </c>
      <c r="H134" s="112" t="inlineStr">
        <is>
          <t>0</t>
        </is>
      </c>
      <c r="I134" s="112" t="inlineStr">
        <is>
          <t>0</t>
        </is>
      </c>
      <c r="J134" s="112" t="inlineStr">
        <is>
          <t>38549</t>
        </is>
      </c>
      <c r="K134" s="112" t="inlineStr"/>
      <c r="L134" s="112" t="inlineStr">
        <is>
          <t>0</t>
        </is>
      </c>
      <c r="M134" s="112" t="inlineStr">
        <is>
          <t>0</t>
        </is>
      </c>
      <c r="N134" s="112" t="inlineStr">
        <is>
          <t>0</t>
        </is>
      </c>
      <c r="O134" s="112" t="inlineStr">
        <is>
          <t>0</t>
        </is>
      </c>
      <c r="P134" s="112" t="inlineStr">
        <is>
          <t>0</t>
        </is>
      </c>
      <c r="Q134" s="99" t="inlineStr">
        <is>
          <t>38,549</t>
        </is>
      </c>
      <c r="R134" s="99" t="inlineStr">
        <is>
          <t>0</t>
        </is>
      </c>
      <c r="S134" s="99" t="inlineStr">
        <is>
          <t>0</t>
        </is>
      </c>
      <c r="T134" s="99" t="inlineStr">
        <is>
          <t>38,549</t>
        </is>
      </c>
      <c r="U134" s="99" t="n"/>
      <c r="V134" s="99" t="n"/>
      <c r="W134" s="99" t="n"/>
    </row>
    <row r="135">
      <c r="A135" s="261" t="inlineStr">
        <is>
          <t>Click Nước</t>
        </is>
      </c>
      <c r="B135" s="264" t="inlineStr"/>
      <c r="C135" s="264" t="inlineStr"/>
      <c r="D135" s="264" t="inlineStr"/>
      <c r="E135" s="264" t="inlineStr"/>
      <c r="F135" s="264" t="inlineStr">
        <is>
          <t>2,829</t>
        </is>
      </c>
      <c r="G135" s="264" t="inlineStr">
        <is>
          <t>3,132</t>
        </is>
      </c>
      <c r="H135" s="264" t="inlineStr"/>
      <c r="I135" s="264" t="inlineStr"/>
      <c r="J135" s="264" t="inlineStr">
        <is>
          <t>303</t>
        </is>
      </c>
      <c r="K135" s="264" t="inlineStr">
        <is>
          <t>8.1%</t>
        </is>
      </c>
      <c r="L135" s="264" t="inlineStr"/>
      <c r="M135" s="264" t="inlineStr"/>
      <c r="N135" s="264" t="inlineStr"/>
      <c r="O135" s="264" t="inlineStr"/>
      <c r="P135" s="264" t="inlineStr">
        <is>
          <t>3,000</t>
        </is>
      </c>
      <c r="Q135" s="272" t="inlineStr">
        <is>
          <t>3,132</t>
        </is>
      </c>
      <c r="R135" s="272" t="inlineStr"/>
      <c r="S135" s="272" t="inlineStr"/>
      <c r="T135" s="272" t="inlineStr">
        <is>
          <t>303</t>
        </is>
      </c>
      <c r="U135" s="99" t="n"/>
      <c r="V135" s="99" t="n"/>
      <c r="W135" s="99" t="n"/>
    </row>
    <row r="136">
      <c r="A136" s="273" t="inlineStr">
        <is>
          <t>Others</t>
        </is>
      </c>
      <c r="B136" s="112" t="inlineStr">
        <is>
          <t>354335</t>
        </is>
      </c>
      <c r="C136" s="112" t="inlineStr">
        <is>
          <t>480688</t>
        </is>
      </c>
      <c r="D136" s="112" t="inlineStr">
        <is>
          <t>399065</t>
        </is>
      </c>
      <c r="E136" s="112" t="inlineStr">
        <is>
          <t>290824</t>
        </is>
      </c>
      <c r="F136" s="112" t="inlineStr">
        <is>
          <t>491001</t>
        </is>
      </c>
      <c r="G136" s="112" t="inlineStr">
        <is>
          <t>27</t>
        </is>
      </c>
      <c r="H136" s="112" t="inlineStr">
        <is>
          <t>0</t>
        </is>
      </c>
      <c r="I136" s="112" t="inlineStr">
        <is>
          <t>0</t>
        </is>
      </c>
      <c r="J136" s="112" t="inlineStr">
        <is>
          <t>-490974</t>
        </is>
      </c>
      <c r="K136" s="112" t="inlineStr"/>
      <c r="L136" s="112" t="inlineStr">
        <is>
          <t>582,778</t>
        </is>
      </c>
      <c r="M136" s="112" t="inlineStr">
        <is>
          <t>621,661</t>
        </is>
      </c>
      <c r="N136" s="112" t="inlineStr">
        <is>
          <t>675,333</t>
        </is>
      </c>
      <c r="O136" s="112" t="inlineStr">
        <is>
          <t>395,932</t>
        </is>
      </c>
      <c r="P136" s="112" t="inlineStr">
        <is>
          <t>656,874</t>
        </is>
      </c>
      <c r="Q136" s="99" t="inlineStr">
        <is>
          <t>27</t>
        </is>
      </c>
      <c r="R136" s="99" t="inlineStr">
        <is>
          <t>0</t>
        </is>
      </c>
      <c r="S136" s="99" t="inlineStr">
        <is>
          <t>0</t>
        </is>
      </c>
      <c r="T136" s="99" t="inlineStr">
        <is>
          <t>-490,974</t>
        </is>
      </c>
      <c r="U136" s="99" t="n"/>
      <c r="V136" s="99" t="n"/>
      <c r="W136" s="99" t="n"/>
    </row>
    <row r="137">
      <c r="A137" s="261" t="inlineStr">
        <is>
          <t>Click Others</t>
        </is>
      </c>
      <c r="B137" s="264" t="inlineStr"/>
      <c r="C137" s="264" t="inlineStr"/>
      <c r="D137" s="264" t="inlineStr"/>
      <c r="E137" s="264" t="inlineStr"/>
      <c r="F137" s="264" t="inlineStr">
        <is>
          <t>2</t>
        </is>
      </c>
      <c r="G137" s="264" t="inlineStr">
        <is>
          <t>3</t>
        </is>
      </c>
      <c r="H137" s="264" t="inlineStr"/>
      <c r="I137" s="264" t="inlineStr"/>
      <c r="J137" s="264" t="inlineStr">
        <is>
          <t>1</t>
        </is>
      </c>
      <c r="K137" s="264" t="inlineStr">
        <is>
          <t>11.1%</t>
        </is>
      </c>
      <c r="L137" s="264" t="inlineStr"/>
      <c r="M137" s="264" t="inlineStr"/>
      <c r="N137" s="264" t="inlineStr"/>
      <c r="O137" s="264" t="inlineStr"/>
      <c r="P137" s="264" t="inlineStr">
        <is>
          <t>2</t>
        </is>
      </c>
      <c r="Q137" s="272" t="inlineStr">
        <is>
          <t>3</t>
        </is>
      </c>
      <c r="R137" s="272" t="inlineStr"/>
      <c r="S137" s="272" t="inlineStr"/>
      <c r="T137" s="272" t="inlineStr">
        <is>
          <t>1</t>
        </is>
      </c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inlineStr">
        <is>
          <t xml:space="preserve">%Page view by Project
= PV project / PV total </t>
        </is>
      </c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inlineStr">
        <is>
          <t>%Cinema Hub</t>
        </is>
      </c>
      <c r="B140" s="112" t="inlineStr">
        <is>
          <t>33.1%</t>
        </is>
      </c>
      <c r="C140" s="112" t="inlineStr">
        <is>
          <t>25.0%</t>
        </is>
      </c>
      <c r="D140" s="112" t="inlineStr">
        <is>
          <t>28.2%</t>
        </is>
      </c>
      <c r="E140" s="112" t="inlineStr">
        <is>
          <t>22.9%</t>
        </is>
      </c>
      <c r="F140" s="112" t="inlineStr">
        <is>
          <t>30.7%</t>
        </is>
      </c>
      <c r="G140" s="112" t="inlineStr">
        <is>
          <t>33.3%</t>
        </is>
      </c>
      <c r="H140" s="112" t="inlineStr">
        <is>
          <t>-</t>
        </is>
      </c>
      <c r="I140" s="112" t="inlineStr">
        <is>
          <t>-</t>
        </is>
      </c>
      <c r="J140" s="112" t="inlineStr">
        <is>
          <t>2.6%</t>
        </is>
      </c>
      <c r="K140" s="112" t="inlineStr"/>
      <c r="L140" s="112" t="inlineStr">
        <is>
          <t>30.4%</t>
        </is>
      </c>
      <c r="M140" s="112" t="inlineStr">
        <is>
          <t>25.2%</t>
        </is>
      </c>
      <c r="N140" s="112" t="inlineStr">
        <is>
          <t>26.0%</t>
        </is>
      </c>
      <c r="O140" s="112" t="inlineStr">
        <is>
          <t>24.0%</t>
        </is>
      </c>
      <c r="P140" s="112" t="inlineStr">
        <is>
          <t>30.9%</t>
        </is>
      </c>
      <c r="Q140" s="99" t="inlineStr">
        <is>
          <t>33.3%</t>
        </is>
      </c>
      <c r="R140" s="99" t="inlineStr">
        <is>
          <t>-</t>
        </is>
      </c>
      <c r="S140" s="99" t="inlineStr">
        <is>
          <t>-</t>
        </is>
      </c>
      <c r="T140" s="99" t="inlineStr">
        <is>
          <t>2.6%</t>
        </is>
      </c>
      <c r="U140" s="99" t="n"/>
      <c r="V140" s="99" t="n"/>
      <c r="W140" s="99" t="n"/>
    </row>
    <row r="141">
      <c r="A141" s="112" t="inlineStr">
        <is>
          <t>%Phạt nguội</t>
        </is>
      </c>
      <c r="B141" s="112" t="inlineStr">
        <is>
          <t>5.5%</t>
        </is>
      </c>
      <c r="C141" s="112" t="inlineStr">
        <is>
          <t>18.1%</t>
        </is>
      </c>
      <c r="D141" s="112" t="inlineStr">
        <is>
          <t>4.7%</t>
        </is>
      </c>
      <c r="E141" s="112" t="inlineStr">
        <is>
          <t>7.9%</t>
        </is>
      </c>
      <c r="F141" s="112" t="inlineStr">
        <is>
          <t>1.2%</t>
        </is>
      </c>
      <c r="G141" s="112" t="inlineStr">
        <is>
          <t>0.6%</t>
        </is>
      </c>
      <c r="H141" s="112" t="inlineStr">
        <is>
          <t>-</t>
        </is>
      </c>
      <c r="I141" s="112" t="inlineStr">
        <is>
          <t>-</t>
        </is>
      </c>
      <c r="J141" s="112" t="inlineStr">
        <is>
          <t>-0.6%</t>
        </is>
      </c>
      <c r="K141" s="112" t="inlineStr"/>
      <c r="L141" s="112" t="inlineStr">
        <is>
          <t>9.0%</t>
        </is>
      </c>
      <c r="M141" s="112" t="inlineStr">
        <is>
          <t>16.8%</t>
        </is>
      </c>
      <c r="N141" s="112" t="inlineStr">
        <is>
          <t>4.9%</t>
        </is>
      </c>
      <c r="O141" s="112" t="inlineStr">
        <is>
          <t>6.2%</t>
        </is>
      </c>
      <c r="P141" s="112" t="inlineStr">
        <is>
          <t>1.0%</t>
        </is>
      </c>
      <c r="Q141" s="99" t="inlineStr">
        <is>
          <t>0.6%</t>
        </is>
      </c>
      <c r="R141" s="99" t="inlineStr">
        <is>
          <t>-</t>
        </is>
      </c>
      <c r="S141" s="99" t="inlineStr">
        <is>
          <t>-</t>
        </is>
      </c>
      <c r="T141" s="99" t="inlineStr">
        <is>
          <t>-0.6%</t>
        </is>
      </c>
      <c r="U141" s="99" t="n"/>
      <c r="V141" s="99" t="n"/>
      <c r="W141" s="99" t="n"/>
    </row>
    <row r="142">
      <c r="A142" s="112" t="inlineStr">
        <is>
          <t>%Home MoMo</t>
        </is>
      </c>
      <c r="B142" s="112" t="inlineStr">
        <is>
          <t>7.8%</t>
        </is>
      </c>
      <c r="C142" s="112" t="inlineStr">
        <is>
          <t>5.7%</t>
        </is>
      </c>
      <c r="D142" s="112" t="inlineStr">
        <is>
          <t>6.7%</t>
        </is>
      </c>
      <c r="E142" s="112" t="inlineStr">
        <is>
          <t>5.8%</t>
        </is>
      </c>
      <c r="F142" s="112" t="inlineStr">
        <is>
          <t>6.4%</t>
        </is>
      </c>
      <c r="G142" s="112" t="inlineStr">
        <is>
          <t>11.7%</t>
        </is>
      </c>
      <c r="H142" s="112" t="inlineStr">
        <is>
          <t>-</t>
        </is>
      </c>
      <c r="I142" s="112" t="inlineStr">
        <is>
          <t>-</t>
        </is>
      </c>
      <c r="J142" s="112" t="inlineStr">
        <is>
          <t>5.4%</t>
        </is>
      </c>
      <c r="K142" s="112" t="inlineStr"/>
      <c r="L142" s="112" t="inlineStr">
        <is>
          <t>7.2%</t>
        </is>
      </c>
      <c r="M142" s="112" t="inlineStr">
        <is>
          <t>5.7%</t>
        </is>
      </c>
      <c r="N142" s="112" t="inlineStr">
        <is>
          <t>6.2%</t>
        </is>
      </c>
      <c r="O142" s="112" t="inlineStr">
        <is>
          <t>5.8%</t>
        </is>
      </c>
      <c r="P142" s="112" t="inlineStr">
        <is>
          <t>6.3%</t>
        </is>
      </c>
      <c r="Q142" s="99" t="inlineStr">
        <is>
          <t>11.7%</t>
        </is>
      </c>
      <c r="R142" s="99" t="inlineStr">
        <is>
          <t>-</t>
        </is>
      </c>
      <c r="S142" s="99" t="inlineStr">
        <is>
          <t>-</t>
        </is>
      </c>
      <c r="T142" s="99" t="inlineStr">
        <is>
          <t>5.4%</t>
        </is>
      </c>
      <c r="U142" s="99" t="n"/>
      <c r="V142" s="99" t="n"/>
      <c r="W142" s="99" t="n"/>
    </row>
    <row r="143">
      <c r="A143" s="112" t="inlineStr">
        <is>
          <t>%Tiktok</t>
        </is>
      </c>
      <c r="B143" s="112" t="inlineStr">
        <is>
          <t>6.7%</t>
        </is>
      </c>
      <c r="C143" s="112" t="inlineStr">
        <is>
          <t>6.6%</t>
        </is>
      </c>
      <c r="D143" s="112" t="inlineStr">
        <is>
          <t>7.1%</t>
        </is>
      </c>
      <c r="E143" s="112" t="inlineStr">
        <is>
          <t>5.4%</t>
        </is>
      </c>
      <c r="F143" s="112" t="inlineStr">
        <is>
          <t>5.8%</t>
        </is>
      </c>
      <c r="G143" s="112" t="inlineStr">
        <is>
          <t>5.9%</t>
        </is>
      </c>
      <c r="H143" s="112" t="inlineStr">
        <is>
          <t>-</t>
        </is>
      </c>
      <c r="I143" s="112" t="inlineStr">
        <is>
          <t>-</t>
        </is>
      </c>
      <c r="J143" s="112" t="inlineStr">
        <is>
          <t>0.0%</t>
        </is>
      </c>
      <c r="K143" s="112" t="inlineStr"/>
      <c r="L143" s="112" t="inlineStr">
        <is>
          <t>6.4%</t>
        </is>
      </c>
      <c r="M143" s="112" t="inlineStr">
        <is>
          <t>7.0%</t>
        </is>
      </c>
      <c r="N143" s="112" t="inlineStr">
        <is>
          <t>7.3%</t>
        </is>
      </c>
      <c r="O143" s="112" t="inlineStr">
        <is>
          <t>5.0%</t>
        </is>
      </c>
      <c r="P143" s="112" t="inlineStr">
        <is>
          <t>5.7%</t>
        </is>
      </c>
      <c r="Q143" s="99" t="inlineStr">
        <is>
          <t>5.9%</t>
        </is>
      </c>
      <c r="R143" s="99" t="inlineStr">
        <is>
          <t>-</t>
        </is>
      </c>
      <c r="S143" s="99" t="inlineStr">
        <is>
          <t>-</t>
        </is>
      </c>
      <c r="T143" s="99" t="inlineStr">
        <is>
          <t>0.0%</t>
        </is>
      </c>
      <c r="U143" s="99" t="n"/>
      <c r="V143" s="99" t="n"/>
      <c r="W143" s="99" t="n"/>
    </row>
    <row r="144">
      <c r="A144" s="112" t="inlineStr">
        <is>
          <t>%Financial Hub</t>
        </is>
      </c>
      <c r="B144" s="112" t="inlineStr">
        <is>
          <t>5.3%</t>
        </is>
      </c>
      <c r="C144" s="112" t="inlineStr">
        <is>
          <t>3.9%</t>
        </is>
      </c>
      <c r="D144" s="112" t="inlineStr">
        <is>
          <t>3.9%</t>
        </is>
      </c>
      <c r="E144" s="112" t="inlineStr">
        <is>
          <t>7.3%</t>
        </is>
      </c>
      <c r="F144" s="112" t="inlineStr">
        <is>
          <t>6.6%</t>
        </is>
      </c>
      <c r="G144" s="112" t="inlineStr">
        <is>
          <t>7.2%</t>
        </is>
      </c>
      <c r="H144" s="112" t="inlineStr">
        <is>
          <t>-</t>
        </is>
      </c>
      <c r="I144" s="112" t="inlineStr">
        <is>
          <t>-</t>
        </is>
      </c>
      <c r="J144" s="112" t="inlineStr">
        <is>
          <t>0.7%</t>
        </is>
      </c>
      <c r="K144" s="112" t="inlineStr"/>
      <c r="L144" s="112" t="inlineStr">
        <is>
          <t>5.0%</t>
        </is>
      </c>
      <c r="M144" s="112" t="inlineStr">
        <is>
          <t>4.1%</t>
        </is>
      </c>
      <c r="N144" s="112" t="inlineStr">
        <is>
          <t>4.4%</t>
        </is>
      </c>
      <c r="O144" s="112" t="inlineStr">
        <is>
          <t>7.0%</t>
        </is>
      </c>
      <c r="P144" s="112" t="inlineStr">
        <is>
          <t>6.2%</t>
        </is>
      </c>
      <c r="Q144" s="99" t="inlineStr">
        <is>
          <t>7.2%</t>
        </is>
      </c>
      <c r="R144" s="99" t="inlineStr">
        <is>
          <t>-</t>
        </is>
      </c>
      <c r="S144" s="99" t="inlineStr">
        <is>
          <t>-</t>
        </is>
      </c>
      <c r="T144" s="99" t="inlineStr">
        <is>
          <t>0.7%</t>
        </is>
      </c>
      <c r="U144" s="99" t="n"/>
      <c r="V144" s="99" t="n"/>
      <c r="W144" s="99" t="n"/>
    </row>
    <row r="145">
      <c r="A145" s="112" t="inlineStr">
        <is>
          <t>%Vé Xe</t>
        </is>
      </c>
      <c r="B145" s="112" t="inlineStr">
        <is>
          <t>2.8%</t>
        </is>
      </c>
      <c r="C145" s="112" t="inlineStr">
        <is>
          <t>2.0%</t>
        </is>
      </c>
      <c r="D145" s="112" t="inlineStr">
        <is>
          <t>3.0%</t>
        </is>
      </c>
      <c r="E145" s="112" t="inlineStr">
        <is>
          <t>3.2%</t>
        </is>
      </c>
      <c r="F145" s="112" t="inlineStr">
        <is>
          <t>2.1%</t>
        </is>
      </c>
      <c r="G145" s="112" t="inlineStr">
        <is>
          <t>2.0%</t>
        </is>
      </c>
      <c r="H145" s="112" t="inlineStr">
        <is>
          <t>-</t>
        </is>
      </c>
      <c r="I145" s="112" t="inlineStr">
        <is>
          <t>-</t>
        </is>
      </c>
      <c r="J145" s="112" t="inlineStr">
        <is>
          <t>-0.1%</t>
        </is>
      </c>
      <c r="K145" s="112" t="inlineStr"/>
      <c r="L145" s="112" t="inlineStr">
        <is>
          <t>2.5%</t>
        </is>
      </c>
      <c r="M145" s="112" t="inlineStr">
        <is>
          <t>2.2%</t>
        </is>
      </c>
      <c r="N145" s="112" t="inlineStr">
        <is>
          <t>2.9%</t>
        </is>
      </c>
      <c r="O145" s="112" t="inlineStr">
        <is>
          <t>3.5%</t>
        </is>
      </c>
      <c r="P145" s="112" t="inlineStr">
        <is>
          <t>2.0%</t>
        </is>
      </c>
      <c r="Q145" s="99" t="inlineStr">
        <is>
          <t>2.0%</t>
        </is>
      </c>
      <c r="R145" s="99" t="inlineStr">
        <is>
          <t>-</t>
        </is>
      </c>
      <c r="S145" s="99" t="inlineStr">
        <is>
          <t>-</t>
        </is>
      </c>
      <c r="T145" s="99" t="inlineStr">
        <is>
          <t>-0.1%</t>
        </is>
      </c>
      <c r="U145" s="99" t="n"/>
      <c r="V145" s="99" t="n"/>
      <c r="W145" s="99" t="n"/>
    </row>
    <row r="146">
      <c r="A146" s="112" t="inlineStr">
        <is>
          <t>%OTA</t>
        </is>
      </c>
      <c r="B146" s="112" t="inlineStr">
        <is>
          <t>1.6%</t>
        </is>
      </c>
      <c r="C146" s="112" t="inlineStr">
        <is>
          <t>1.8%</t>
        </is>
      </c>
      <c r="D146" s="112" t="inlineStr">
        <is>
          <t>2.1%</t>
        </is>
      </c>
      <c r="E146" s="112" t="inlineStr">
        <is>
          <t>1.6%</t>
        </is>
      </c>
      <c r="F146" s="112" t="inlineStr">
        <is>
          <t>0.9%</t>
        </is>
      </c>
      <c r="G146" s="112" t="inlineStr">
        <is>
          <t>1.0%</t>
        </is>
      </c>
      <c r="H146" s="112" t="inlineStr">
        <is>
          <t>-</t>
        </is>
      </c>
      <c r="I146" s="112" t="inlineStr">
        <is>
          <t>-</t>
        </is>
      </c>
      <c r="J146" s="112" t="inlineStr">
        <is>
          <t>0.2%</t>
        </is>
      </c>
      <c r="K146" s="112" t="inlineStr"/>
      <c r="L146" s="112" t="inlineStr">
        <is>
          <t>1.5%</t>
        </is>
      </c>
      <c r="M146" s="112" t="inlineStr">
        <is>
          <t>1.9%</t>
        </is>
      </c>
      <c r="N146" s="112" t="inlineStr">
        <is>
          <t>2.0%</t>
        </is>
      </c>
      <c r="O146" s="112" t="inlineStr">
        <is>
          <t>1.6%</t>
        </is>
      </c>
      <c r="P146" s="112" t="inlineStr">
        <is>
          <t>0.8%</t>
        </is>
      </c>
      <c r="Q146" s="99" t="inlineStr">
        <is>
          <t>1.0%</t>
        </is>
      </c>
      <c r="R146" s="99" t="inlineStr">
        <is>
          <t>-</t>
        </is>
      </c>
      <c r="S146" s="99" t="inlineStr">
        <is>
          <t>-</t>
        </is>
      </c>
      <c r="T146" s="99" t="inlineStr">
        <is>
          <t>0.2%</t>
        </is>
      </c>
      <c r="U146" s="99" t="n"/>
      <c r="V146" s="99" t="n"/>
      <c r="W146" s="99" t="n"/>
    </row>
    <row r="147">
      <c r="A147" s="112" t="inlineStr">
        <is>
          <t>%OA</t>
        </is>
      </c>
      <c r="B147" s="112" t="inlineStr">
        <is>
          <t>2.0%</t>
        </is>
      </c>
      <c r="C147" s="112" t="inlineStr">
        <is>
          <t>2.1%</t>
        </is>
      </c>
      <c r="D147" s="112" t="inlineStr">
        <is>
          <t>2.5%</t>
        </is>
      </c>
      <c r="E147" s="112" t="inlineStr">
        <is>
          <t>2.2%</t>
        </is>
      </c>
      <c r="F147" s="112" t="inlineStr">
        <is>
          <t>1.8%</t>
        </is>
      </c>
      <c r="G147" s="112" t="inlineStr">
        <is>
          <t>2.1%</t>
        </is>
      </c>
      <c r="H147" s="112" t="inlineStr">
        <is>
          <t>-</t>
        </is>
      </c>
      <c r="I147" s="112" t="inlineStr">
        <is>
          <t>-</t>
        </is>
      </c>
      <c r="J147" s="112" t="inlineStr">
        <is>
          <t>0.3%</t>
        </is>
      </c>
      <c r="K147" s="112" t="inlineStr"/>
      <c r="L147" s="112" t="inlineStr">
        <is>
          <t>2.0%</t>
        </is>
      </c>
      <c r="M147" s="112" t="inlineStr">
        <is>
          <t>2.1%</t>
        </is>
      </c>
      <c r="N147" s="112" t="inlineStr">
        <is>
          <t>2.3%</t>
        </is>
      </c>
      <c r="O147" s="112" t="inlineStr">
        <is>
          <t>2.1%</t>
        </is>
      </c>
      <c r="P147" s="112" t="inlineStr">
        <is>
          <t>1.8%</t>
        </is>
      </c>
      <c r="Q147" s="99" t="inlineStr">
        <is>
          <t>2.1%</t>
        </is>
      </c>
      <c r="R147" s="99" t="inlineStr">
        <is>
          <t>-</t>
        </is>
      </c>
      <c r="S147" s="99" t="inlineStr">
        <is>
          <t>-</t>
        </is>
      </c>
      <c r="T147" s="99" t="inlineStr">
        <is>
          <t>0.3%</t>
        </is>
      </c>
      <c r="U147" s="99" t="n"/>
      <c r="V147" s="99" t="n"/>
      <c r="W147" s="99" t="n"/>
    </row>
    <row r="148">
      <c r="A148" s="112" t="inlineStr">
        <is>
          <t>%Sim</t>
        </is>
      </c>
      <c r="B148" s="112" t="inlineStr">
        <is>
          <t>1.0%</t>
        </is>
      </c>
      <c r="C148" s="112" t="inlineStr">
        <is>
          <t>1.0%</t>
        </is>
      </c>
      <c r="D148" s="112" t="inlineStr">
        <is>
          <t>1.2%</t>
        </is>
      </c>
      <c r="E148" s="112" t="inlineStr">
        <is>
          <t>1.7%</t>
        </is>
      </c>
      <c r="F148" s="112" t="inlineStr">
        <is>
          <t>1.4%</t>
        </is>
      </c>
      <c r="G148" s="112" t="inlineStr">
        <is>
          <t>0.5%</t>
        </is>
      </c>
      <c r="H148" s="112" t="inlineStr">
        <is>
          <t>-</t>
        </is>
      </c>
      <c r="I148" s="112" t="inlineStr">
        <is>
          <t>-</t>
        </is>
      </c>
      <c r="J148" s="112" t="inlineStr">
        <is>
          <t>-0.9%</t>
        </is>
      </c>
      <c r="K148" s="112" t="inlineStr"/>
      <c r="L148" s="112" t="inlineStr">
        <is>
          <t>0.9%</t>
        </is>
      </c>
      <c r="M148" s="112" t="inlineStr">
        <is>
          <t>1.1%</t>
        </is>
      </c>
      <c r="N148" s="112" t="inlineStr">
        <is>
          <t>1.2%</t>
        </is>
      </c>
      <c r="O148" s="112" t="inlineStr">
        <is>
          <t>1.6%</t>
        </is>
      </c>
      <c r="P148" s="112" t="inlineStr">
        <is>
          <t>1.3%</t>
        </is>
      </c>
      <c r="Q148" s="99" t="inlineStr">
        <is>
          <t>0.5%</t>
        </is>
      </c>
      <c r="R148" s="99" t="inlineStr">
        <is>
          <t>-</t>
        </is>
      </c>
      <c r="S148" s="99" t="inlineStr">
        <is>
          <t>-</t>
        </is>
      </c>
      <c r="T148" s="99" t="inlineStr">
        <is>
          <t>-0.9%</t>
        </is>
      </c>
      <c r="U148" s="99" t="n"/>
      <c r="V148" s="99" t="n"/>
      <c r="W148" s="99" t="n"/>
    </row>
    <row r="149">
      <c r="A149" s="112" t="inlineStr">
        <is>
          <t>%Game</t>
        </is>
      </c>
      <c r="B149" s="112" t="inlineStr">
        <is>
          <t>3.4%</t>
        </is>
      </c>
      <c r="C149" s="112" t="inlineStr">
        <is>
          <t>4.6%</t>
        </is>
      </c>
      <c r="D149" s="112" t="inlineStr">
        <is>
          <t>6.7%</t>
        </is>
      </c>
      <c r="E149" s="112" t="inlineStr">
        <is>
          <t>11.2%</t>
        </is>
      </c>
      <c r="F149" s="112" t="inlineStr">
        <is>
          <t>7.7%</t>
        </is>
      </c>
      <c r="G149" s="112" t="inlineStr">
        <is>
          <t>7.1%</t>
        </is>
      </c>
      <c r="H149" s="112" t="inlineStr">
        <is>
          <t>-</t>
        </is>
      </c>
      <c r="I149" s="112" t="inlineStr">
        <is>
          <t>-</t>
        </is>
      </c>
      <c r="J149" s="112" t="inlineStr">
        <is>
          <t>-0.6%</t>
        </is>
      </c>
      <c r="K149" s="112" t="inlineStr"/>
      <c r="L149" s="112" t="inlineStr">
        <is>
          <t>3.1%</t>
        </is>
      </c>
      <c r="M149" s="112" t="inlineStr">
        <is>
          <t>4.1%</t>
        </is>
      </c>
      <c r="N149" s="112" t="inlineStr">
        <is>
          <t>6.6%</t>
        </is>
      </c>
      <c r="O149" s="112" t="inlineStr">
        <is>
          <t>13.0%</t>
        </is>
      </c>
      <c r="P149" s="112" t="inlineStr">
        <is>
          <t>6.6%</t>
        </is>
      </c>
      <c r="Q149" s="99" t="inlineStr">
        <is>
          <t>7.1%</t>
        </is>
      </c>
      <c r="R149" s="99" t="inlineStr">
        <is>
          <t>-</t>
        </is>
      </c>
      <c r="S149" s="99" t="inlineStr">
        <is>
          <t>-</t>
        </is>
      </c>
      <c r="T149" s="99" t="inlineStr">
        <is>
          <t>-0.6%</t>
        </is>
      </c>
      <c r="U149" s="99" t="n"/>
      <c r="V149" s="99" t="n"/>
      <c r="W149" s="99" t="n"/>
    </row>
    <row r="150">
      <c r="A150" s="112" t="inlineStr">
        <is>
          <t>%Bảo hiểm ô tô</t>
        </is>
      </c>
      <c r="B150" s="112" t="inlineStr">
        <is>
          <t>0.4%</t>
        </is>
      </c>
      <c r="C150" s="112" t="inlineStr">
        <is>
          <t>0.3%</t>
        </is>
      </c>
      <c r="D150" s="112" t="inlineStr">
        <is>
          <t>0.4%</t>
        </is>
      </c>
      <c r="E150" s="112" t="inlineStr">
        <is>
          <t>0.4%</t>
        </is>
      </c>
      <c r="F150" s="112" t="inlineStr">
        <is>
          <t>0.5%</t>
        </is>
      </c>
      <c r="G150" s="112" t="inlineStr">
        <is>
          <t>0.6%</t>
        </is>
      </c>
      <c r="H150" s="112" t="inlineStr">
        <is>
          <t>-</t>
        </is>
      </c>
      <c r="I150" s="112" t="inlineStr">
        <is>
          <t>-</t>
        </is>
      </c>
      <c r="J150" s="112" t="inlineStr">
        <is>
          <t>0.1%</t>
        </is>
      </c>
      <c r="K150" s="112" t="inlineStr"/>
      <c r="L150" s="112" t="inlineStr">
        <is>
          <t>0.4%</t>
        </is>
      </c>
      <c r="M150" s="112" t="inlineStr">
        <is>
          <t>0.3%</t>
        </is>
      </c>
      <c r="N150" s="112" t="inlineStr">
        <is>
          <t>0.4%</t>
        </is>
      </c>
      <c r="O150" s="112" t="inlineStr">
        <is>
          <t>0.4%</t>
        </is>
      </c>
      <c r="P150" s="112" t="inlineStr">
        <is>
          <t>0.5%</t>
        </is>
      </c>
      <c r="Q150" s="99" t="inlineStr">
        <is>
          <t>0.6%</t>
        </is>
      </c>
      <c r="R150" s="99" t="inlineStr">
        <is>
          <t>-</t>
        </is>
      </c>
      <c r="S150" s="99" t="inlineStr">
        <is>
          <t>-</t>
        </is>
      </c>
      <c r="T150" s="99" t="inlineStr">
        <is>
          <t>0.1%</t>
        </is>
      </c>
      <c r="U150" s="99" t="n"/>
      <c r="V150" s="99" t="n"/>
      <c r="W150" s="99" t="n"/>
    </row>
    <row r="151">
      <c r="A151" s="112" t="inlineStr">
        <is>
          <t>%Bảo hiểm xe máy</t>
        </is>
      </c>
      <c r="B151" s="112" t="inlineStr">
        <is>
          <t>0.2%</t>
        </is>
      </c>
      <c r="C151" s="112" t="inlineStr">
        <is>
          <t>0.1%</t>
        </is>
      </c>
      <c r="D151" s="112" t="inlineStr">
        <is>
          <t>0.2%</t>
        </is>
      </c>
      <c r="E151" s="112" t="inlineStr">
        <is>
          <t>0.2%</t>
        </is>
      </c>
      <c r="F151" s="112" t="inlineStr">
        <is>
          <t>0.2%</t>
        </is>
      </c>
      <c r="G151" s="112" t="inlineStr">
        <is>
          <t>0.1%</t>
        </is>
      </c>
      <c r="H151" s="112" t="inlineStr">
        <is>
          <t>-</t>
        </is>
      </c>
      <c r="I151" s="112" t="inlineStr">
        <is>
          <t>-</t>
        </is>
      </c>
      <c r="J151" s="112" t="inlineStr">
        <is>
          <t>-0.1%</t>
        </is>
      </c>
      <c r="K151" s="112" t="inlineStr"/>
      <c r="L151" s="112" t="inlineStr">
        <is>
          <t>0.1%</t>
        </is>
      </c>
      <c r="M151" s="112" t="inlineStr">
        <is>
          <t>0.1%</t>
        </is>
      </c>
      <c r="N151" s="112" t="inlineStr">
        <is>
          <t>0.2%</t>
        </is>
      </c>
      <c r="O151" s="112" t="inlineStr">
        <is>
          <t>0.2%</t>
        </is>
      </c>
      <c r="P151" s="112" t="inlineStr">
        <is>
          <t>0.2%</t>
        </is>
      </c>
      <c r="Q151" s="99" t="inlineStr">
        <is>
          <t>0.1%</t>
        </is>
      </c>
      <c r="R151" s="99" t="inlineStr">
        <is>
          <t>-</t>
        </is>
      </c>
      <c r="S151" s="99" t="inlineStr">
        <is>
          <t>-</t>
        </is>
      </c>
      <c r="T151" s="99" t="inlineStr">
        <is>
          <t>-0.1%</t>
        </is>
      </c>
      <c r="U151" s="99" t="n"/>
      <c r="V151" s="99" t="n"/>
      <c r="W151" s="99" t="n"/>
    </row>
    <row r="152">
      <c r="A152" s="112" t="inlineStr">
        <is>
          <t>%Bảo hiểm y tế</t>
        </is>
      </c>
      <c r="B152" s="112" t="inlineStr">
        <is>
          <t>0.2%</t>
        </is>
      </c>
      <c r="C152" s="112" t="inlineStr">
        <is>
          <t>0.3%</t>
        </is>
      </c>
      <c r="D152" s="112" t="inlineStr">
        <is>
          <t>0.9%</t>
        </is>
      </c>
      <c r="E152" s="112" t="inlineStr">
        <is>
          <t>0.3%</t>
        </is>
      </c>
      <c r="F152" s="112" t="inlineStr">
        <is>
          <t>0.3%</t>
        </is>
      </c>
      <c r="G152" s="112" t="inlineStr">
        <is>
          <t>0.9%</t>
        </is>
      </c>
      <c r="H152" s="112" t="inlineStr">
        <is>
          <t>-</t>
        </is>
      </c>
      <c r="I152" s="112" t="inlineStr">
        <is>
          <t>-</t>
        </is>
      </c>
      <c r="J152" s="112" t="inlineStr">
        <is>
          <t>0.5%</t>
        </is>
      </c>
      <c r="K152" s="112" t="inlineStr"/>
      <c r="L152" s="112" t="inlineStr">
        <is>
          <t>0.2%</t>
        </is>
      </c>
      <c r="M152" s="112" t="inlineStr">
        <is>
          <t>0.4%</t>
        </is>
      </c>
      <c r="N152" s="112" t="inlineStr">
        <is>
          <t>1.0%</t>
        </is>
      </c>
      <c r="O152" s="112" t="inlineStr">
        <is>
          <t>0.3%</t>
        </is>
      </c>
      <c r="P152" s="112" t="inlineStr">
        <is>
          <t>0.3%</t>
        </is>
      </c>
      <c r="Q152" s="99" t="inlineStr">
        <is>
          <t>0.9%</t>
        </is>
      </c>
      <c r="R152" s="99" t="inlineStr">
        <is>
          <t>-</t>
        </is>
      </c>
      <c r="S152" s="99" t="inlineStr">
        <is>
          <t>-</t>
        </is>
      </c>
      <c r="T152" s="99" t="inlineStr">
        <is>
          <t>0.5%</t>
        </is>
      </c>
      <c r="U152" s="99" t="n"/>
      <c r="V152" s="99" t="n"/>
      <c r="W152" s="99" t="n"/>
    </row>
    <row r="153">
      <c r="A153" s="112" t="inlineStr">
        <is>
          <t>%Data</t>
        </is>
      </c>
      <c r="B153" s="112" t="inlineStr">
        <is>
          <t>1.4%</t>
        </is>
      </c>
      <c r="C153" s="112" t="inlineStr">
        <is>
          <t>0.3%</t>
        </is>
      </c>
      <c r="D153" s="112" t="inlineStr">
        <is>
          <t>0.4%</t>
        </is>
      </c>
      <c r="E153" s="112" t="inlineStr">
        <is>
          <t>0.4%</t>
        </is>
      </c>
      <c r="F153" s="112" t="inlineStr">
        <is>
          <t>0.4%</t>
        </is>
      </c>
      <c r="G153" s="112" t="inlineStr">
        <is>
          <t>0.3%</t>
        </is>
      </c>
      <c r="H153" s="112" t="inlineStr">
        <is>
          <t>-</t>
        </is>
      </c>
      <c r="I153" s="112" t="inlineStr">
        <is>
          <t>-</t>
        </is>
      </c>
      <c r="J153" s="112" t="inlineStr">
        <is>
          <t>-0.1%</t>
        </is>
      </c>
      <c r="K153" s="112" t="inlineStr"/>
      <c r="L153" s="112" t="inlineStr">
        <is>
          <t>1.1%</t>
        </is>
      </c>
      <c r="M153" s="112" t="inlineStr">
        <is>
          <t>0.3%</t>
        </is>
      </c>
      <c r="N153" s="112" t="inlineStr">
        <is>
          <t>0.4%</t>
        </is>
      </c>
      <c r="O153" s="112" t="inlineStr">
        <is>
          <t>0.5%</t>
        </is>
      </c>
      <c r="P153" s="112" t="inlineStr">
        <is>
          <t>0.3%</t>
        </is>
      </c>
      <c r="Q153" s="99" t="inlineStr">
        <is>
          <t>0.3%</t>
        </is>
      </c>
      <c r="R153" s="99" t="inlineStr">
        <is>
          <t>-</t>
        </is>
      </c>
      <c r="S153" s="99" t="inlineStr">
        <is>
          <t>-</t>
        </is>
      </c>
      <c r="T153" s="99" t="inlineStr">
        <is>
          <t>-0.1%</t>
        </is>
      </c>
      <c r="U153" s="99" t="n"/>
      <c r="V153" s="99" t="n"/>
      <c r="W153" s="99" t="n"/>
    </row>
    <row r="154">
      <c r="A154" s="112" t="inlineStr">
        <is>
          <t>%Soundbox</t>
        </is>
      </c>
      <c r="B154" s="112" t="inlineStr">
        <is>
          <t>0.2%</t>
        </is>
      </c>
      <c r="C154" s="112" t="inlineStr">
        <is>
          <t>0.2%</t>
        </is>
      </c>
      <c r="D154" s="112" t="inlineStr">
        <is>
          <t>0.3%</t>
        </is>
      </c>
      <c r="E154" s="112" t="inlineStr">
        <is>
          <t>0.3%</t>
        </is>
      </c>
      <c r="F154" s="112" t="inlineStr">
        <is>
          <t>0.3%</t>
        </is>
      </c>
      <c r="G154" s="112" t="inlineStr">
        <is>
          <t>0.3%</t>
        </is>
      </c>
      <c r="H154" s="112" t="inlineStr">
        <is>
          <t>-</t>
        </is>
      </c>
      <c r="I154" s="112" t="inlineStr">
        <is>
          <t>-</t>
        </is>
      </c>
      <c r="J154" s="112" t="inlineStr">
        <is>
          <t>0.1%</t>
        </is>
      </c>
      <c r="K154" s="112" t="inlineStr"/>
      <c r="L154" s="112" t="inlineStr">
        <is>
          <t>0.2%</t>
        </is>
      </c>
      <c r="M154" s="112" t="inlineStr">
        <is>
          <t>0.2%</t>
        </is>
      </c>
      <c r="N154" s="112" t="inlineStr">
        <is>
          <t>0.3%</t>
        </is>
      </c>
      <c r="O154" s="112" t="inlineStr">
        <is>
          <t>0.3%</t>
        </is>
      </c>
      <c r="P154" s="112" t="inlineStr">
        <is>
          <t>0.3%</t>
        </is>
      </c>
      <c r="Q154" s="99" t="inlineStr">
        <is>
          <t>0.3%</t>
        </is>
      </c>
      <c r="R154" s="99" t="inlineStr">
        <is>
          <t>-</t>
        </is>
      </c>
      <c r="S154" s="99" t="inlineStr">
        <is>
          <t>-</t>
        </is>
      </c>
      <c r="T154" s="99" t="inlineStr">
        <is>
          <t>0.1%</t>
        </is>
      </c>
      <c r="U154" s="99" t="n"/>
      <c r="V154" s="99" t="n"/>
      <c r="W154" s="99" t="n"/>
    </row>
    <row r="155">
      <c r="A155" s="112" t="inlineStr">
        <is>
          <t>%New User</t>
        </is>
      </c>
      <c r="B155" s="112" t="inlineStr">
        <is>
          <t>7.4%</t>
        </is>
      </c>
      <c r="C155" s="112" t="inlineStr">
        <is>
          <t>4.4%</t>
        </is>
      </c>
      <c r="D155" s="112" t="inlineStr">
        <is>
          <t>6.2%</t>
        </is>
      </c>
      <c r="E155" s="112" t="inlineStr">
        <is>
          <t>10.2%</t>
        </is>
      </c>
      <c r="F155" s="112" t="inlineStr">
        <is>
          <t>9.6%</t>
        </is>
      </c>
      <c r="G155" s="112" t="inlineStr">
        <is>
          <t>3.4%</t>
        </is>
      </c>
      <c r="H155" s="112" t="inlineStr">
        <is>
          <t>-</t>
        </is>
      </c>
      <c r="I155" s="112" t="inlineStr">
        <is>
          <t>-</t>
        </is>
      </c>
      <c r="J155" s="112" t="inlineStr">
        <is>
          <t>-6.3%</t>
        </is>
      </c>
      <c r="K155" s="112" t="inlineStr"/>
      <c r="L155" s="112" t="inlineStr">
        <is>
          <t>6.5%</t>
        </is>
      </c>
      <c r="M155" s="112" t="inlineStr">
        <is>
          <t>4.6%</t>
        </is>
      </c>
      <c r="N155" s="112" t="inlineStr">
        <is>
          <t>5.7%</t>
        </is>
      </c>
      <c r="O155" s="112" t="inlineStr">
        <is>
          <t>9.8%</t>
        </is>
      </c>
      <c r="P155" s="112" t="inlineStr">
        <is>
          <t>11.7%</t>
        </is>
      </c>
      <c r="Q155" s="99" t="inlineStr">
        <is>
          <t>3.4%</t>
        </is>
      </c>
      <c r="R155" s="99" t="inlineStr">
        <is>
          <t>-</t>
        </is>
      </c>
      <c r="S155" s="99" t="inlineStr">
        <is>
          <t>-</t>
        </is>
      </c>
      <c r="T155" s="99" t="inlineStr">
        <is>
          <t>-6.3%</t>
        </is>
      </c>
      <c r="U155" s="99" t="n"/>
      <c r="V155" s="99" t="n"/>
      <c r="W155" s="99" t="n"/>
    </row>
    <row r="156">
      <c r="A156" s="112" t="inlineStr">
        <is>
          <t>%Hỏi đáp</t>
        </is>
      </c>
      <c r="B156" s="112" t="inlineStr">
        <is>
          <t>1.1%</t>
        </is>
      </c>
      <c r="C156" s="112" t="inlineStr">
        <is>
          <t>1.0%</t>
        </is>
      </c>
      <c r="D156" s="112" t="inlineStr">
        <is>
          <t>1.4%</t>
        </is>
      </c>
      <c r="E156" s="112" t="inlineStr">
        <is>
          <t>1.1%</t>
        </is>
      </c>
      <c r="F156" s="112" t="inlineStr">
        <is>
          <t>2.6%</t>
        </is>
      </c>
      <c r="G156" s="112" t="inlineStr">
        <is>
          <t>2.5%</t>
        </is>
      </c>
      <c r="H156" s="112" t="inlineStr">
        <is>
          <t>-</t>
        </is>
      </c>
      <c r="I156" s="112" t="inlineStr">
        <is>
          <t>-</t>
        </is>
      </c>
      <c r="J156" s="112" t="inlineStr">
        <is>
          <t>-0.1%</t>
        </is>
      </c>
      <c r="K156" s="112" t="inlineStr"/>
      <c r="L156" s="112" t="inlineStr">
        <is>
          <t>1.0%</t>
        </is>
      </c>
      <c r="M156" s="112" t="inlineStr">
        <is>
          <t>1.0%</t>
        </is>
      </c>
      <c r="N156" s="112" t="inlineStr">
        <is>
          <t>1.2%</t>
        </is>
      </c>
      <c r="O156" s="112" t="inlineStr">
        <is>
          <t>1.1%</t>
        </is>
      </c>
      <c r="P156" s="112" t="inlineStr">
        <is>
          <t>2.5%</t>
        </is>
      </c>
      <c r="Q156" s="99" t="inlineStr">
        <is>
          <t>2.5%</t>
        </is>
      </c>
      <c r="R156" s="99" t="inlineStr">
        <is>
          <t>-</t>
        </is>
      </c>
      <c r="S156" s="99" t="inlineStr">
        <is>
          <t>-</t>
        </is>
      </c>
      <c r="T156" s="99" t="inlineStr">
        <is>
          <t>-0.1%</t>
        </is>
      </c>
      <c r="U156" s="99" t="n"/>
      <c r="V156" s="99" t="n"/>
      <c r="W156" s="99" t="n"/>
    </row>
    <row r="157">
      <c r="A157" s="112" t="inlineStr">
        <is>
          <t>%TnC</t>
        </is>
      </c>
      <c r="B157" s="112" t="inlineStr">
        <is>
          <t>0.7%</t>
        </is>
      </c>
      <c r="C157" s="112" t="inlineStr">
        <is>
          <t>0.7%</t>
        </is>
      </c>
      <c r="D157" s="112" t="inlineStr">
        <is>
          <t>1.1%</t>
        </is>
      </c>
      <c r="E157" s="112" t="inlineStr">
        <is>
          <t>0.9%</t>
        </is>
      </c>
      <c r="F157" s="112" t="inlineStr">
        <is>
          <t>0.8%</t>
        </is>
      </c>
      <c r="G157" s="112" t="inlineStr">
        <is>
          <t>0.8%</t>
        </is>
      </c>
      <c r="H157" s="112" t="inlineStr">
        <is>
          <t>-</t>
        </is>
      </c>
      <c r="I157" s="112" t="inlineStr">
        <is>
          <t>-</t>
        </is>
      </c>
      <c r="J157" s="112" t="inlineStr">
        <is>
          <t>0.1%</t>
        </is>
      </c>
      <c r="K157" s="112" t="inlineStr"/>
      <c r="L157" s="112" t="inlineStr">
        <is>
          <t>0.7%</t>
        </is>
      </c>
      <c r="M157" s="112" t="inlineStr">
        <is>
          <t>0.8%</t>
        </is>
      </c>
      <c r="N157" s="112" t="inlineStr">
        <is>
          <t>1.0%</t>
        </is>
      </c>
      <c r="O157" s="112" t="inlineStr">
        <is>
          <t>0.9%</t>
        </is>
      </c>
      <c r="P157" s="112" t="inlineStr">
        <is>
          <t>0.7%</t>
        </is>
      </c>
      <c r="Q157" s="99" t="inlineStr">
        <is>
          <t>0.8%</t>
        </is>
      </c>
      <c r="R157" s="99" t="inlineStr">
        <is>
          <t>-</t>
        </is>
      </c>
      <c r="S157" s="99" t="inlineStr">
        <is>
          <t>-</t>
        </is>
      </c>
      <c r="T157" s="99" t="inlineStr">
        <is>
          <t>0.1%</t>
        </is>
      </c>
      <c r="U157" s="99" t="n"/>
      <c r="V157" s="99" t="n"/>
      <c r="W157" s="99" t="n"/>
    </row>
    <row r="158">
      <c r="A158" s="112" t="inlineStr">
        <is>
          <t>%Trust</t>
        </is>
      </c>
      <c r="B158" s="112" t="inlineStr">
        <is>
          <t>0.5%</t>
        </is>
      </c>
      <c r="C158" s="112" t="inlineStr">
        <is>
          <t>0.7%</t>
        </is>
      </c>
      <c r="D158" s="112" t="inlineStr">
        <is>
          <t>1.1%</t>
        </is>
      </c>
      <c r="E158" s="112" t="inlineStr">
        <is>
          <t>0.5%</t>
        </is>
      </c>
      <c r="F158" s="112" t="inlineStr">
        <is>
          <t>0.5%</t>
        </is>
      </c>
      <c r="G158" s="112" t="inlineStr">
        <is>
          <t>0.3%</t>
        </is>
      </c>
      <c r="H158" s="112" t="inlineStr">
        <is>
          <t>-</t>
        </is>
      </c>
      <c r="I158" s="112" t="inlineStr">
        <is>
          <t>-</t>
        </is>
      </c>
      <c r="J158" s="112" t="inlineStr">
        <is>
          <t>-0.3%</t>
        </is>
      </c>
      <c r="K158" s="112" t="inlineStr"/>
      <c r="L158" s="112" t="inlineStr">
        <is>
          <t>0.5%</t>
        </is>
      </c>
      <c r="M158" s="112" t="inlineStr">
        <is>
          <t>0.8%</t>
        </is>
      </c>
      <c r="N158" s="112" t="inlineStr">
        <is>
          <t>1.0%</t>
        </is>
      </c>
      <c r="O158" s="112" t="inlineStr">
        <is>
          <t>0.5%</t>
        </is>
      </c>
      <c r="P158" s="112" t="inlineStr">
        <is>
          <t>0.5%</t>
        </is>
      </c>
      <c r="Q158" s="99" t="inlineStr">
        <is>
          <t>0.3%</t>
        </is>
      </c>
      <c r="R158" s="99" t="inlineStr">
        <is>
          <t>-</t>
        </is>
      </c>
      <c r="S158" s="99" t="inlineStr">
        <is>
          <t>-</t>
        </is>
      </c>
      <c r="T158" s="99" t="inlineStr">
        <is>
          <t>-0.3%</t>
        </is>
      </c>
      <c r="U158" s="99" t="n"/>
      <c r="V158" s="99" t="n"/>
      <c r="W158" s="99" t="n"/>
    </row>
    <row r="159">
      <c r="A159" s="112" t="inlineStr">
        <is>
          <t>%Guide</t>
        </is>
      </c>
      <c r="B159" s="112" t="inlineStr">
        <is>
          <t>0.7%</t>
        </is>
      </c>
      <c r="C159" s="112" t="inlineStr">
        <is>
          <t>0.6%</t>
        </is>
      </c>
      <c r="D159" s="112" t="inlineStr">
        <is>
          <t>0.8%</t>
        </is>
      </c>
      <c r="E159" s="112" t="inlineStr">
        <is>
          <t>0.7%</t>
        </is>
      </c>
      <c r="F159" s="112" t="inlineStr">
        <is>
          <t>0.6%</t>
        </is>
      </c>
      <c r="G159" s="112" t="inlineStr">
        <is>
          <t>1.5%</t>
        </is>
      </c>
      <c r="H159" s="112" t="inlineStr">
        <is>
          <t>-</t>
        </is>
      </c>
      <c r="I159" s="112" t="inlineStr">
        <is>
          <t>-</t>
        </is>
      </c>
      <c r="J159" s="112" t="inlineStr">
        <is>
          <t>0.9%</t>
        </is>
      </c>
      <c r="K159" s="112" t="inlineStr"/>
      <c r="L159" s="112" t="inlineStr">
        <is>
          <t>0.6%</t>
        </is>
      </c>
      <c r="M159" s="112" t="inlineStr">
        <is>
          <t>0.6%</t>
        </is>
      </c>
      <c r="N159" s="112" t="inlineStr">
        <is>
          <t>0.7%</t>
        </is>
      </c>
      <c r="O159" s="112" t="inlineStr">
        <is>
          <t>0.6%</t>
        </is>
      </c>
      <c r="P159" s="112" t="inlineStr">
        <is>
          <t>0.6%</t>
        </is>
      </c>
      <c r="Q159" s="99" t="inlineStr">
        <is>
          <t>1.5%</t>
        </is>
      </c>
      <c r="R159" s="99" t="inlineStr">
        <is>
          <t>-</t>
        </is>
      </c>
      <c r="S159" s="99" t="inlineStr">
        <is>
          <t>-</t>
        </is>
      </c>
      <c r="T159" s="99" t="inlineStr">
        <is>
          <t>0.9%</t>
        </is>
      </c>
      <c r="U159" s="99" t="n"/>
      <c r="V159" s="99" t="n"/>
      <c r="W159" s="99" t="n"/>
    </row>
    <row r="160">
      <c r="A160" s="112" t="inlineStr">
        <is>
          <t>%Khuyến mãi</t>
        </is>
      </c>
      <c r="B160" s="112" t="inlineStr">
        <is>
          <t>0.4%</t>
        </is>
      </c>
      <c r="C160" s="112" t="inlineStr">
        <is>
          <t>0.5%</t>
        </is>
      </c>
      <c r="D160" s="112" t="inlineStr">
        <is>
          <t>0.6%</t>
        </is>
      </c>
      <c r="E160" s="112" t="inlineStr">
        <is>
          <t>0.6%</t>
        </is>
      </c>
      <c r="F160" s="112" t="inlineStr">
        <is>
          <t>0.6%</t>
        </is>
      </c>
      <c r="G160" s="112" t="inlineStr">
        <is>
          <t>0.7%</t>
        </is>
      </c>
      <c r="H160" s="112" t="inlineStr">
        <is>
          <t>-</t>
        </is>
      </c>
      <c r="I160" s="112" t="inlineStr">
        <is>
          <t>-</t>
        </is>
      </c>
      <c r="J160" s="112" t="inlineStr">
        <is>
          <t>0.1%</t>
        </is>
      </c>
      <c r="K160" s="112" t="inlineStr"/>
      <c r="L160" s="112" t="inlineStr">
        <is>
          <t>0.4%</t>
        </is>
      </c>
      <c r="M160" s="112" t="inlineStr">
        <is>
          <t>0.5%</t>
        </is>
      </c>
      <c r="N160" s="112" t="inlineStr">
        <is>
          <t>0.5%</t>
        </is>
      </c>
      <c r="O160" s="112" t="inlineStr">
        <is>
          <t>0.7%</t>
        </is>
      </c>
      <c r="P160" s="112" t="inlineStr">
        <is>
          <t>0.6%</t>
        </is>
      </c>
      <c r="Q160" s="99" t="inlineStr">
        <is>
          <t>0.7%</t>
        </is>
      </c>
      <c r="R160" s="99" t="inlineStr">
        <is>
          <t>-</t>
        </is>
      </c>
      <c r="S160" s="99" t="inlineStr">
        <is>
          <t>-</t>
        </is>
      </c>
      <c r="T160" s="99" t="inlineStr">
        <is>
          <t>0.1%</t>
        </is>
      </c>
      <c r="U160" s="99" t="n"/>
      <c r="V160" s="99" t="n"/>
      <c r="W160" s="99" t="n"/>
    </row>
    <row r="161">
      <c r="A161" s="112" t="inlineStr">
        <is>
          <t>%Campaign</t>
        </is>
      </c>
      <c r="B161" s="112" t="inlineStr">
        <is>
          <t>0.7%</t>
        </is>
      </c>
      <c r="C161" s="112" t="inlineStr">
        <is>
          <t>0.2%</t>
        </is>
      </c>
      <c r="D161" s="112" t="inlineStr">
        <is>
          <t>0.2%</t>
        </is>
      </c>
      <c r="E161" s="112" t="inlineStr">
        <is>
          <t>0.2%</t>
        </is>
      </c>
      <c r="F161" s="112" t="inlineStr">
        <is>
          <t>0.2%</t>
        </is>
      </c>
      <c r="G161" s="112" t="inlineStr">
        <is>
          <t>0.3%</t>
        </is>
      </c>
      <c r="H161" s="112" t="inlineStr">
        <is>
          <t>-</t>
        </is>
      </c>
      <c r="I161" s="112" t="inlineStr">
        <is>
          <t>-</t>
        </is>
      </c>
      <c r="J161" s="112" t="inlineStr">
        <is>
          <t>0.2%</t>
        </is>
      </c>
      <c r="K161" s="112" t="inlineStr"/>
      <c r="L161" s="112" t="inlineStr">
        <is>
          <t>0.8%</t>
        </is>
      </c>
      <c r="M161" s="112" t="inlineStr">
        <is>
          <t>0.2%</t>
        </is>
      </c>
      <c r="N161" s="112" t="inlineStr">
        <is>
          <t>0.4%</t>
        </is>
      </c>
      <c r="O161" s="112" t="inlineStr">
        <is>
          <t>0.3%</t>
        </is>
      </c>
      <c r="P161" s="112" t="inlineStr">
        <is>
          <t>0.3%</t>
        </is>
      </c>
      <c r="Q161" s="99" t="inlineStr">
        <is>
          <t>0.3%</t>
        </is>
      </c>
      <c r="R161" s="99" t="inlineStr">
        <is>
          <t>-</t>
        </is>
      </c>
      <c r="S161" s="99" t="inlineStr">
        <is>
          <t>-</t>
        </is>
      </c>
      <c r="T161" s="99" t="inlineStr">
        <is>
          <t>0.2%</t>
        </is>
      </c>
      <c r="U161" s="99" t="n"/>
      <c r="V161" s="99" t="n"/>
      <c r="W161" s="99" t="n"/>
    </row>
    <row r="162">
      <c r="A162" s="112" t="inlineStr">
        <is>
          <t>%Blog</t>
        </is>
      </c>
      <c r="B162" s="112" t="inlineStr">
        <is>
          <t>0.4%</t>
        </is>
      </c>
      <c r="C162" s="112" t="inlineStr">
        <is>
          <t>0.3%</t>
        </is>
      </c>
      <c r="D162" s="112" t="inlineStr">
        <is>
          <t>0.4%</t>
        </is>
      </c>
      <c r="E162" s="112" t="inlineStr">
        <is>
          <t>0.4%</t>
        </is>
      </c>
      <c r="F162" s="112" t="inlineStr">
        <is>
          <t>0.3%</t>
        </is>
      </c>
      <c r="G162" s="112" t="inlineStr">
        <is>
          <t>0.5%</t>
        </is>
      </c>
      <c r="H162" s="112" t="inlineStr">
        <is>
          <t>-</t>
        </is>
      </c>
      <c r="I162" s="112" t="inlineStr">
        <is>
          <t>-</t>
        </is>
      </c>
      <c r="J162" s="112" t="inlineStr">
        <is>
          <t>0.2%</t>
        </is>
      </c>
      <c r="K162" s="112" t="inlineStr"/>
      <c r="L162" s="112" t="inlineStr">
        <is>
          <t>0.4%</t>
        </is>
      </c>
      <c r="M162" s="112" t="inlineStr">
        <is>
          <t>0.4%</t>
        </is>
      </c>
      <c r="N162" s="112" t="inlineStr">
        <is>
          <t>0.4%</t>
        </is>
      </c>
      <c r="O162" s="112" t="inlineStr">
        <is>
          <t>0.4%</t>
        </is>
      </c>
      <c r="P162" s="112" t="inlineStr">
        <is>
          <t>0.3%</t>
        </is>
      </c>
      <c r="Q162" s="99" t="inlineStr">
        <is>
          <t>0.5%</t>
        </is>
      </c>
      <c r="R162" s="99" t="inlineStr">
        <is>
          <t>-</t>
        </is>
      </c>
      <c r="S162" s="99" t="inlineStr">
        <is>
          <t>-</t>
        </is>
      </c>
      <c r="T162" s="99" t="inlineStr">
        <is>
          <t>0.2%</t>
        </is>
      </c>
      <c r="U162" s="99" t="n"/>
      <c r="V162" s="99" t="n"/>
      <c r="W162" s="99" t="n"/>
    </row>
    <row r="163">
      <c r="A163" s="112" t="inlineStr">
        <is>
          <t>%Application Store</t>
        </is>
      </c>
      <c r="B163" s="112" t="inlineStr">
        <is>
          <t>0.1%</t>
        </is>
      </c>
      <c r="C163" s="112" t="inlineStr">
        <is>
          <t>0.1%</t>
        </is>
      </c>
      <c r="D163" s="112" t="inlineStr">
        <is>
          <t>0.1%</t>
        </is>
      </c>
      <c r="E163" s="112" t="inlineStr">
        <is>
          <t>0.8%</t>
        </is>
      </c>
      <c r="F163" s="112" t="inlineStr">
        <is>
          <t>0.6%</t>
        </is>
      </c>
      <c r="G163" s="112" t="inlineStr">
        <is>
          <t>0.8%</t>
        </is>
      </c>
      <c r="H163" s="112" t="inlineStr">
        <is>
          <t>-</t>
        </is>
      </c>
      <c r="I163" s="112" t="inlineStr">
        <is>
          <t>-</t>
        </is>
      </c>
      <c r="J163" s="112" t="inlineStr">
        <is>
          <t>0.2%</t>
        </is>
      </c>
      <c r="K163" s="112" t="inlineStr"/>
      <c r="L163" s="112" t="inlineStr">
        <is>
          <t>0.1%</t>
        </is>
      </c>
      <c r="M163" s="112" t="inlineStr">
        <is>
          <t>0.1%</t>
        </is>
      </c>
      <c r="N163" s="112" t="inlineStr">
        <is>
          <t>0.3%</t>
        </is>
      </c>
      <c r="O163" s="112" t="inlineStr">
        <is>
          <t>1.0%</t>
        </is>
      </c>
      <c r="P163" s="112" t="inlineStr">
        <is>
          <t>0.5%</t>
        </is>
      </c>
      <c r="Q163" s="99" t="inlineStr">
        <is>
          <t>0.8%</t>
        </is>
      </c>
      <c r="R163" s="99" t="inlineStr">
        <is>
          <t>-</t>
        </is>
      </c>
      <c r="S163" s="99" t="inlineStr">
        <is>
          <t>-</t>
        </is>
      </c>
      <c r="T163" s="99" t="inlineStr">
        <is>
          <t>0.2%</t>
        </is>
      </c>
      <c r="U163" s="99" t="n"/>
      <c r="V163" s="99" t="n"/>
      <c r="W163" s="99" t="n"/>
    </row>
    <row r="164">
      <c r="A164" s="112" t="inlineStr">
        <is>
          <t>%Vé số</t>
        </is>
      </c>
      <c r="B164" s="112" t="inlineStr">
        <is>
          <t>0.1%</t>
        </is>
      </c>
      <c r="C164" s="112" t="inlineStr">
        <is>
          <t>0.1%</t>
        </is>
      </c>
      <c r="D164" s="112" t="inlineStr">
        <is>
          <t>0.5%</t>
        </is>
      </c>
      <c r="E164" s="112" t="inlineStr">
        <is>
          <t>0.5%</t>
        </is>
      </c>
      <c r="F164" s="112" t="inlineStr">
        <is>
          <t>0.4%</t>
        </is>
      </c>
      <c r="G164" s="112" t="inlineStr">
        <is>
          <t>0.6%</t>
        </is>
      </c>
      <c r="H164" s="112" t="inlineStr">
        <is>
          <t>-</t>
        </is>
      </c>
      <c r="I164" s="112" t="inlineStr">
        <is>
          <t>-</t>
        </is>
      </c>
      <c r="J164" s="112" t="inlineStr">
        <is>
          <t>0.2%</t>
        </is>
      </c>
      <c r="K164" s="112" t="inlineStr"/>
      <c r="L164" s="112" t="inlineStr">
        <is>
          <t>0.1%</t>
        </is>
      </c>
      <c r="M164" s="112" t="inlineStr">
        <is>
          <t>0.1%</t>
        </is>
      </c>
      <c r="N164" s="112" t="inlineStr">
        <is>
          <t>0.7%</t>
        </is>
      </c>
      <c r="O164" s="112" t="inlineStr">
        <is>
          <t>0.5%</t>
        </is>
      </c>
      <c r="P164" s="112" t="inlineStr">
        <is>
          <t>0.5%</t>
        </is>
      </c>
      <c r="Q164" s="99" t="inlineStr">
        <is>
          <t>0.6%</t>
        </is>
      </c>
      <c r="R164" s="99" t="inlineStr">
        <is>
          <t>-</t>
        </is>
      </c>
      <c r="S164" s="99" t="inlineStr">
        <is>
          <t>-</t>
        </is>
      </c>
      <c r="T164" s="99" t="inlineStr">
        <is>
          <t>0.2%</t>
        </is>
      </c>
      <c r="U164" s="99" t="n"/>
      <c r="V164" s="99" t="n"/>
      <c r="W164" s="99" t="n"/>
    </row>
    <row r="165">
      <c r="A165" s="112" t="inlineStr">
        <is>
          <t>%Dịch vụ liên kết</t>
        </is>
      </c>
      <c r="B165" s="112" t="inlineStr">
        <is>
          <t>0.2%</t>
        </is>
      </c>
      <c r="C165" s="112" t="inlineStr">
        <is>
          <t>0.7%</t>
        </is>
      </c>
      <c r="D165" s="112" t="inlineStr">
        <is>
          <t>0.1%</t>
        </is>
      </c>
      <c r="E165" s="112" t="inlineStr">
        <is>
          <t>0.3%</t>
        </is>
      </c>
      <c r="F165" s="112" t="inlineStr">
        <is>
          <t>0.1%</t>
        </is>
      </c>
      <c r="G165" s="112" t="inlineStr">
        <is>
          <t>0.2%</t>
        </is>
      </c>
      <c r="H165" s="112" t="inlineStr">
        <is>
          <t>-</t>
        </is>
      </c>
      <c r="I165" s="112" t="inlineStr">
        <is>
          <t>-</t>
        </is>
      </c>
      <c r="J165" s="112" t="inlineStr">
        <is>
          <t>0.1%</t>
        </is>
      </c>
      <c r="K165" s="112" t="inlineStr"/>
      <c r="L165" s="112" t="inlineStr">
        <is>
          <t>0.2%</t>
        </is>
      </c>
      <c r="M165" s="112" t="inlineStr">
        <is>
          <t>0.6%</t>
        </is>
      </c>
      <c r="N165" s="112" t="inlineStr">
        <is>
          <t>0.1%</t>
        </is>
      </c>
      <c r="O165" s="112" t="inlineStr">
        <is>
          <t>0.2%</t>
        </is>
      </c>
      <c r="P165" s="112" t="inlineStr">
        <is>
          <t>0.1%</t>
        </is>
      </c>
      <c r="Q165" s="99" t="inlineStr">
        <is>
          <t>0.2%</t>
        </is>
      </c>
      <c r="R165" s="99" t="inlineStr">
        <is>
          <t>-</t>
        </is>
      </c>
      <c r="S165" s="99" t="inlineStr">
        <is>
          <t>-</t>
        </is>
      </c>
      <c r="T165" s="99" t="inlineStr">
        <is>
          <t>0.1%</t>
        </is>
      </c>
      <c r="U165" s="99" t="n"/>
      <c r="V165" s="99" t="n"/>
      <c r="W165" s="99" t="n"/>
    </row>
    <row r="166">
      <c r="A166" s="112" t="inlineStr">
        <is>
          <t>%Billpay</t>
        </is>
      </c>
      <c r="B166" s="112" t="inlineStr">
        <is>
          <t>0.2%</t>
        </is>
      </c>
      <c r="C166" s="112" t="inlineStr">
        <is>
          <t>0.2%</t>
        </is>
      </c>
      <c r="D166" s="112" t="inlineStr">
        <is>
          <t>0.2%</t>
        </is>
      </c>
      <c r="E166" s="112" t="inlineStr">
        <is>
          <t>0.3%</t>
        </is>
      </c>
      <c r="F166" s="112" t="inlineStr">
        <is>
          <t>0.2%</t>
        </is>
      </c>
      <c r="G166" s="112" t="inlineStr">
        <is>
          <t>0.2%</t>
        </is>
      </c>
      <c r="H166" s="112" t="inlineStr">
        <is>
          <t>-</t>
        </is>
      </c>
      <c r="I166" s="112" t="inlineStr">
        <is>
          <t>-</t>
        </is>
      </c>
      <c r="J166" s="112" t="inlineStr">
        <is>
          <t>0.1%</t>
        </is>
      </c>
      <c r="K166" s="112" t="inlineStr"/>
      <c r="L166" s="112" t="inlineStr">
        <is>
          <t>0.3%</t>
        </is>
      </c>
      <c r="M166" s="112" t="inlineStr">
        <is>
          <t>0.2%</t>
        </is>
      </c>
      <c r="N166" s="112" t="inlineStr">
        <is>
          <t>0.2%</t>
        </is>
      </c>
      <c r="O166" s="112" t="inlineStr">
        <is>
          <t>0.2%</t>
        </is>
      </c>
      <c r="P166" s="112" t="inlineStr">
        <is>
          <t>0.1%</t>
        </is>
      </c>
      <c r="Q166" s="99" t="inlineStr">
        <is>
          <t>0.2%</t>
        </is>
      </c>
      <c r="R166" s="99" t="inlineStr">
        <is>
          <t>-</t>
        </is>
      </c>
      <c r="S166" s="99" t="inlineStr">
        <is>
          <t>-</t>
        </is>
      </c>
      <c r="T166" s="99" t="inlineStr">
        <is>
          <t>0.1%</t>
        </is>
      </c>
      <c r="U166" s="99" t="n"/>
      <c r="V166" s="99" t="n"/>
      <c r="W166" s="99" t="n"/>
    </row>
    <row r="167">
      <c r="A167" s="112" t="inlineStr">
        <is>
          <t>%P2P</t>
        </is>
      </c>
      <c r="B167" s="112" t="inlineStr">
        <is>
          <t>0.2%</t>
        </is>
      </c>
      <c r="C167" s="112" t="inlineStr">
        <is>
          <t>0.2%</t>
        </is>
      </c>
      <c r="D167" s="112" t="inlineStr">
        <is>
          <t>0.2%</t>
        </is>
      </c>
      <c r="E167" s="112" t="inlineStr">
        <is>
          <t>0.2%</t>
        </is>
      </c>
      <c r="F167" s="112" t="inlineStr">
        <is>
          <t>0.2%</t>
        </is>
      </c>
      <c r="G167" s="112" t="inlineStr">
        <is>
          <t>0.2%</t>
        </is>
      </c>
      <c r="H167" s="112" t="inlineStr">
        <is>
          <t>-</t>
        </is>
      </c>
      <c r="I167" s="112" t="inlineStr">
        <is>
          <t>-</t>
        </is>
      </c>
      <c r="J167" s="112" t="inlineStr">
        <is>
          <t>0.1%</t>
        </is>
      </c>
      <c r="K167" s="112" t="inlineStr"/>
      <c r="L167" s="112" t="inlineStr">
        <is>
          <t>0.2%</t>
        </is>
      </c>
      <c r="M167" s="112" t="inlineStr">
        <is>
          <t>0.2%</t>
        </is>
      </c>
      <c r="N167" s="112" t="inlineStr">
        <is>
          <t>0.2%</t>
        </is>
      </c>
      <c r="O167" s="112" t="inlineStr">
        <is>
          <t>0.2%</t>
        </is>
      </c>
      <c r="P167" s="112" t="inlineStr">
        <is>
          <t>0.2%</t>
        </is>
      </c>
      <c r="Q167" s="99" t="inlineStr">
        <is>
          <t>0.2%</t>
        </is>
      </c>
      <c r="R167" s="99" t="inlineStr">
        <is>
          <t>-</t>
        </is>
      </c>
      <c r="S167" s="99" t="inlineStr">
        <is>
          <t>-</t>
        </is>
      </c>
      <c r="T167" s="99" t="inlineStr">
        <is>
          <t>0.1%</t>
        </is>
      </c>
      <c r="U167" s="99" t="n"/>
      <c r="V167" s="99" t="n"/>
      <c r="W167" s="99" t="n"/>
    </row>
    <row r="168">
      <c r="A168" s="112" t="inlineStr">
        <is>
          <t>%Điện</t>
        </is>
      </c>
      <c r="B168" s="112" t="inlineStr">
        <is>
          <t>0.2%</t>
        </is>
      </c>
      <c r="C168" s="112" t="inlineStr">
        <is>
          <t>0.1%</t>
        </is>
      </c>
      <c r="D168" s="112" t="inlineStr">
        <is>
          <t>0.2%</t>
        </is>
      </c>
      <c r="E168" s="112" t="inlineStr">
        <is>
          <t>0.2%</t>
        </is>
      </c>
      <c r="F168" s="112" t="inlineStr">
        <is>
          <t>0.1%</t>
        </is>
      </c>
      <c r="G168" s="112" t="inlineStr">
        <is>
          <t>0.1%</t>
        </is>
      </c>
      <c r="H168" s="112" t="inlineStr">
        <is>
          <t>-</t>
        </is>
      </c>
      <c r="I168" s="112" t="inlineStr">
        <is>
          <t>-</t>
        </is>
      </c>
      <c r="J168" s="112" t="inlineStr">
        <is>
          <t>0.0%</t>
        </is>
      </c>
      <c r="K168" s="112" t="inlineStr"/>
      <c r="L168" s="112" t="inlineStr">
        <is>
          <t>0.1%</t>
        </is>
      </c>
      <c r="M168" s="112" t="inlineStr">
        <is>
          <t>0.1%</t>
        </is>
      </c>
      <c r="N168" s="112" t="inlineStr">
        <is>
          <t>0.1%</t>
        </is>
      </c>
      <c r="O168" s="112" t="inlineStr">
        <is>
          <t>0.2%</t>
        </is>
      </c>
      <c r="P168" s="112" t="inlineStr">
        <is>
          <t>0.1%</t>
        </is>
      </c>
      <c r="Q168" s="99" t="inlineStr">
        <is>
          <t>0.1%</t>
        </is>
      </c>
      <c r="R168" s="99" t="inlineStr">
        <is>
          <t>-</t>
        </is>
      </c>
      <c r="S168" s="99" t="inlineStr">
        <is>
          <t>-</t>
        </is>
      </c>
      <c r="T168" s="99" t="inlineStr">
        <is>
          <t>0.0%</t>
        </is>
      </c>
      <c r="U168" s="99" t="n"/>
      <c r="V168" s="99" t="n"/>
      <c r="W168" s="99" t="n"/>
    </row>
    <row r="169">
      <c r="A169" s="112" t="inlineStr">
        <is>
          <t>%Student Hub</t>
        </is>
      </c>
      <c r="B169" s="112" t="inlineStr">
        <is>
          <t>0.0%</t>
        </is>
      </c>
      <c r="C169" s="112" t="inlineStr">
        <is>
          <t>0.0%</t>
        </is>
      </c>
      <c r="D169" s="112" t="inlineStr">
        <is>
          <t>0.0%</t>
        </is>
      </c>
      <c r="E169" s="112" t="inlineStr">
        <is>
          <t>0.4%</t>
        </is>
      </c>
      <c r="F169" s="112" t="inlineStr">
        <is>
          <t>0.2%</t>
        </is>
      </c>
      <c r="G169" s="112" t="inlineStr">
        <is>
          <t>0.1%</t>
        </is>
      </c>
      <c r="H169" s="112" t="inlineStr">
        <is>
          <t>-</t>
        </is>
      </c>
      <c r="I169" s="112" t="inlineStr">
        <is>
          <t>-</t>
        </is>
      </c>
      <c r="J169" s="112" t="inlineStr">
        <is>
          <t>-0.2%</t>
        </is>
      </c>
      <c r="K169" s="112" t="inlineStr"/>
      <c r="L169" s="112" t="inlineStr">
        <is>
          <t>0.0%</t>
        </is>
      </c>
      <c r="M169" s="112" t="inlineStr">
        <is>
          <t>0.0%</t>
        </is>
      </c>
      <c r="N169" s="112" t="inlineStr">
        <is>
          <t>0.0%</t>
        </is>
      </c>
      <c r="O169" s="112" t="inlineStr">
        <is>
          <t>0.4%</t>
        </is>
      </c>
      <c r="P169" s="112" t="inlineStr">
        <is>
          <t>0.2%</t>
        </is>
      </c>
      <c r="Q169" s="99" t="inlineStr">
        <is>
          <t>0.1%</t>
        </is>
      </c>
      <c r="R169" s="99" t="inlineStr">
        <is>
          <t>-</t>
        </is>
      </c>
      <c r="S169" s="99" t="inlineStr">
        <is>
          <t>-</t>
        </is>
      </c>
      <c r="T169" s="99" t="inlineStr">
        <is>
          <t>-0.2%</t>
        </is>
      </c>
      <c r="U169" s="99" t="n"/>
      <c r="V169" s="99" t="n"/>
      <c r="W169" s="99" t="n"/>
    </row>
    <row r="170">
      <c r="A170" s="112" t="inlineStr">
        <is>
          <t>%Cross Border</t>
        </is>
      </c>
      <c r="B170" s="112" t="inlineStr">
        <is>
          <t>0.2%</t>
        </is>
      </c>
      <c r="C170" s="112" t="inlineStr">
        <is>
          <t>0.1%</t>
        </is>
      </c>
      <c r="D170" s="112" t="inlineStr">
        <is>
          <t>0.1%</t>
        </is>
      </c>
      <c r="E170" s="112" t="inlineStr">
        <is>
          <t>0.1%</t>
        </is>
      </c>
      <c r="F170" s="112" t="inlineStr">
        <is>
          <t>0.1%</t>
        </is>
      </c>
      <c r="G170" s="112" t="inlineStr">
        <is>
          <t>0.1%</t>
        </is>
      </c>
      <c r="H170" s="112" t="inlineStr">
        <is>
          <t>-</t>
        </is>
      </c>
      <c r="I170" s="112" t="inlineStr">
        <is>
          <t>-</t>
        </is>
      </c>
      <c r="J170" s="112" t="inlineStr">
        <is>
          <t>0.0%</t>
        </is>
      </c>
      <c r="K170" s="112" t="inlineStr"/>
      <c r="L170" s="112" t="inlineStr">
        <is>
          <t>0.1%</t>
        </is>
      </c>
      <c r="M170" s="112" t="inlineStr">
        <is>
          <t>0.1%</t>
        </is>
      </c>
      <c r="N170" s="112" t="inlineStr">
        <is>
          <t>0.1%</t>
        </is>
      </c>
      <c r="O170" s="112" t="inlineStr">
        <is>
          <t>0.1%</t>
        </is>
      </c>
      <c r="P170" s="112" t="inlineStr">
        <is>
          <t>0.1%</t>
        </is>
      </c>
      <c r="Q170" s="99" t="inlineStr">
        <is>
          <t>0.1%</t>
        </is>
      </c>
      <c r="R170" s="99" t="inlineStr">
        <is>
          <t>-</t>
        </is>
      </c>
      <c r="S170" s="99" t="inlineStr">
        <is>
          <t>-</t>
        </is>
      </c>
      <c r="T170" s="99" t="inlineStr">
        <is>
          <t>0.0%</t>
        </is>
      </c>
      <c r="U170" s="99" t="n"/>
      <c r="V170" s="99" t="n"/>
      <c r="W170" s="99" t="n"/>
    </row>
    <row r="171">
      <c r="A171" s="112" t="inlineStr">
        <is>
          <t>%Hoàn Tiền Mua Sắm</t>
        </is>
      </c>
      <c r="B171" s="112" t="inlineStr">
        <is>
          <t>0.1%</t>
        </is>
      </c>
      <c r="C171" s="112" t="inlineStr">
        <is>
          <t>0.1%</t>
        </is>
      </c>
      <c r="D171" s="112" t="inlineStr">
        <is>
          <t>0.1%</t>
        </is>
      </c>
      <c r="E171" s="112" t="inlineStr">
        <is>
          <t>0.1%</t>
        </is>
      </c>
      <c r="F171" s="112" t="inlineStr">
        <is>
          <t>0.1%</t>
        </is>
      </c>
      <c r="G171" s="112" t="inlineStr">
        <is>
          <t>0.1%</t>
        </is>
      </c>
      <c r="H171" s="112" t="inlineStr">
        <is>
          <t>-</t>
        </is>
      </c>
      <c r="I171" s="112" t="inlineStr">
        <is>
          <t>-</t>
        </is>
      </c>
      <c r="J171" s="112" t="inlineStr">
        <is>
          <t>0.1%</t>
        </is>
      </c>
      <c r="K171" s="112" t="inlineStr"/>
      <c r="L171" s="112" t="inlineStr">
        <is>
          <t>0.1%</t>
        </is>
      </c>
      <c r="M171" s="112" t="inlineStr">
        <is>
          <t>0.1%</t>
        </is>
      </c>
      <c r="N171" s="112" t="inlineStr">
        <is>
          <t>0.1%</t>
        </is>
      </c>
      <c r="O171" s="112" t="inlineStr">
        <is>
          <t>0.1%</t>
        </is>
      </c>
      <c r="P171" s="112" t="inlineStr">
        <is>
          <t>0.1%</t>
        </is>
      </c>
      <c r="Q171" s="99" t="inlineStr">
        <is>
          <t>0.1%</t>
        </is>
      </c>
      <c r="R171" s="99" t="inlineStr">
        <is>
          <t>-</t>
        </is>
      </c>
      <c r="S171" s="99" t="inlineStr">
        <is>
          <t>-</t>
        </is>
      </c>
      <c r="T171" s="99" t="inlineStr">
        <is>
          <t>0.1%</t>
        </is>
      </c>
      <c r="U171" s="99" t="n"/>
      <c r="V171" s="99" t="n"/>
      <c r="W171" s="99" t="n"/>
    </row>
    <row r="172">
      <c r="A172" s="112" t="inlineStr">
        <is>
          <t>%Mở tài khoản ngân hàng</t>
        </is>
      </c>
      <c r="B172" s="112" t="inlineStr">
        <is>
          <t>0.1%</t>
        </is>
      </c>
      <c r="C172" s="112" t="inlineStr">
        <is>
          <t>0.1%</t>
        </is>
      </c>
      <c r="D172" s="112" t="inlineStr">
        <is>
          <t>0.1%</t>
        </is>
      </c>
      <c r="E172" s="112" t="inlineStr">
        <is>
          <t>0.1%</t>
        </is>
      </c>
      <c r="F172" s="112" t="inlineStr">
        <is>
          <t>0.1%</t>
        </is>
      </c>
      <c r="G172" s="112" t="inlineStr">
        <is>
          <t>0.1%</t>
        </is>
      </c>
      <c r="H172" s="112" t="inlineStr">
        <is>
          <t>-</t>
        </is>
      </c>
      <c r="I172" s="112" t="inlineStr">
        <is>
          <t>-</t>
        </is>
      </c>
      <c r="J172" s="112" t="inlineStr">
        <is>
          <t>0.0%</t>
        </is>
      </c>
      <c r="K172" s="112" t="inlineStr"/>
      <c r="L172" s="112" t="inlineStr">
        <is>
          <t>0.1%</t>
        </is>
      </c>
      <c r="M172" s="112" t="inlineStr">
        <is>
          <t>0.1%</t>
        </is>
      </c>
      <c r="N172" s="112" t="inlineStr">
        <is>
          <t>0.1%</t>
        </is>
      </c>
      <c r="O172" s="112" t="inlineStr">
        <is>
          <t>0.1%</t>
        </is>
      </c>
      <c r="P172" s="112" t="inlineStr">
        <is>
          <t>0.0%</t>
        </is>
      </c>
      <c r="Q172" s="99" t="inlineStr">
        <is>
          <t>0.1%</t>
        </is>
      </c>
      <c r="R172" s="99" t="inlineStr">
        <is>
          <t>-</t>
        </is>
      </c>
      <c r="S172" s="99" t="inlineStr">
        <is>
          <t>-</t>
        </is>
      </c>
      <c r="T172" s="99" t="inlineStr">
        <is>
          <t>0.0%</t>
        </is>
      </c>
      <c r="U172" s="99" t="n"/>
      <c r="V172" s="99" t="n"/>
      <c r="W172" s="99" t="n"/>
    </row>
    <row r="173">
      <c r="A173" s="112" t="inlineStr">
        <is>
          <t>%Others</t>
        </is>
      </c>
      <c r="B173" s="112" t="inlineStr">
        <is>
          <t>15.3%</t>
        </is>
      </c>
      <c r="C173" s="112" t="inlineStr">
        <is>
          <t>17.9%</t>
        </is>
      </c>
      <c r="D173" s="112" t="inlineStr">
        <is>
          <t>18.3%</t>
        </is>
      </c>
      <c r="E173" s="112" t="inlineStr">
        <is>
          <t>11.7%</t>
        </is>
      </c>
      <c r="F173" s="112" t="inlineStr">
        <is>
          <t>16.6%</t>
        </is>
      </c>
      <c r="G173" s="112" t="inlineStr">
        <is>
          <t>0.0%</t>
        </is>
      </c>
      <c r="H173" s="112" t="inlineStr">
        <is>
          <t>-</t>
        </is>
      </c>
      <c r="I173" s="112" t="inlineStr">
        <is>
          <t>-</t>
        </is>
      </c>
      <c r="J173" s="112" t="inlineStr">
        <is>
          <t>-16.6%</t>
        </is>
      </c>
      <c r="K173" s="112" t="inlineStr"/>
      <c r="L173" s="112" t="inlineStr">
        <is>
          <t>17.8%</t>
        </is>
      </c>
      <c r="M173" s="112" t="inlineStr">
        <is>
          <t>18.2%</t>
        </is>
      </c>
      <c r="N173" s="112" t="inlineStr">
        <is>
          <t>21.3%</t>
        </is>
      </c>
      <c r="O173" s="112" t="inlineStr">
        <is>
          <t>11.4%</t>
        </is>
      </c>
      <c r="P173" s="112" t="inlineStr">
        <is>
          <t>16.6%</t>
        </is>
      </c>
      <c r="Q173" s="99" t="inlineStr">
        <is>
          <t>0.0%</t>
        </is>
      </c>
      <c r="R173" s="99" t="inlineStr">
        <is>
          <t>-</t>
        </is>
      </c>
      <c r="S173" s="99" t="inlineStr">
        <is>
          <t>-</t>
        </is>
      </c>
      <c r="T173" s="99" t="inlineStr">
        <is>
          <t>-16.6%</t>
        </is>
      </c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5">
    <mergeCell ref="L1:S1"/>
    <mergeCell ref="K1:K2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tabSelected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 t="str">
        <f>"Update to: " &amp; DAY(NOW())</f>
        <v>Update to: 27</v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>987461</v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>123576</v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>0.143047</v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Trang Rạp phim (Cinema_Cineplex)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>
        <v>739598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Trang phim chi tiết (Cinema_Page)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>
        <v>125802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Blog Phim (Cinema_Blog)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>
        <v>45622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Trang chủ Cinema (Cinema_Home)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>
        <v>22812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Tin tức (Cinema_News)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>
        <v>649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Landing Page (Cinema_LP)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tabSelected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253" t="inlineStr">
        <is>
          <t>Project</t>
        </is>
      </c>
      <c r="B1" s="254">
        <f>"Update to: " &amp; DAY(NOW())</f>
        <v/>
      </c>
      <c r="C1" s="255" t="n">
        <v>46143</v>
      </c>
      <c r="D1" s="255" t="n">
        <v>46174</v>
      </c>
      <c r="E1" s="255" t="n">
        <v>46204</v>
      </c>
      <c r="F1" s="255" t="n">
        <v>46235</v>
      </c>
      <c r="G1" s="255" t="n">
        <v>46266</v>
      </c>
      <c r="H1" s="255" t="n">
        <v>46296</v>
      </c>
      <c r="I1" s="251" t="inlineStr">
        <is>
          <t>VS. SPLM</t>
        </is>
      </c>
      <c r="J1" s="254" t="inlineStr">
        <is>
          <t>Full Month</t>
        </is>
      </c>
      <c r="K1" s="255" t="n">
        <v>46143</v>
      </c>
      <c r="L1" s="255" t="n">
        <v>46174</v>
      </c>
      <c r="M1" s="255" t="n">
        <v>46204</v>
      </c>
      <c r="N1" s="255" t="n">
        <v>46235</v>
      </c>
      <c r="O1" s="255" t="n">
        <v>46266</v>
      </c>
      <c r="P1" s="255" t="n">
        <v>46296</v>
      </c>
      <c r="Q1" s="251" t="inlineStr">
        <is>
          <t>VS. LM</t>
        </is>
      </c>
      <c r="R1" s="255" t="n">
        <v>46327</v>
      </c>
      <c r="S1" s="255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256" t="inlineStr">
        <is>
          <t xml:space="preserve">     Target</t>
        </is>
      </c>
      <c r="B2" s="257" t="inlineStr"/>
      <c r="C2" s="251" t="inlineStr"/>
      <c r="D2" s="251" t="inlineStr"/>
      <c r="E2" s="251" t="inlineStr"/>
      <c r="F2" s="251" t="inlineStr"/>
      <c r="G2" s="251" t="inlineStr"/>
      <c r="H2" s="251" t="inlineStr"/>
      <c r="I2" s="251" t="inlineStr"/>
      <c r="J2" s="257" t="inlineStr"/>
      <c r="K2" s="251" t="inlineStr"/>
      <c r="L2" s="251" t="inlineStr"/>
      <c r="M2" s="251" t="inlineStr"/>
      <c r="N2" s="251" t="inlineStr"/>
      <c r="O2" s="251" t="n">
        <v>250000</v>
      </c>
      <c r="P2" s="251" t="n">
        <v>450000</v>
      </c>
      <c r="Q2" s="251" t="inlineStr"/>
      <c r="R2" s="251" t="n">
        <v>700000</v>
      </c>
      <c r="S2" s="251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256" t="inlineStr">
        <is>
          <t xml:space="preserve">    Actual Traffic (Page Views)</t>
        </is>
      </c>
      <c r="B3" s="257" t="inlineStr"/>
      <c r="C3" s="251">
        <f>sum(C8,C15,C22,C29,C36,C43,C50,C57,C64,C71,C78,C85,C91,C98,C105,C112,C119,C126,C133)</f>
        <v/>
      </c>
      <c r="D3" s="251">
        <f>sum(D8,D15,D22,D29,D36,D43,D50,D57,D64,D71,D78,D85,D91,D98,D105,D112,D119,D126,D133)</f>
        <v/>
      </c>
      <c r="E3" s="251">
        <f>sum(E8,E15,E22,E29,E36,E43,E50,E57,E64,E71,E78,E85,E91,E98,E105,E112,E119,E126,E133)</f>
        <v/>
      </c>
      <c r="F3" s="251">
        <f>sum(F8,F15,F22,F29,F36,F43,F50,F57,F64,F71,F78,F85,F91,F98,F105,F112,F119,F126,F133)</f>
        <v/>
      </c>
      <c r="G3" s="251">
        <f>sum(G8,G15,G22,G29,G36,G43,G50,G57,G64,G71,G78,G85,G91,G98,G105,G112,G119,G126,G133)</f>
        <v/>
      </c>
      <c r="H3" s="251">
        <f>sum(H8,H15,H22,H29,H36,H43,H50,H57,H64,H71,H78,H85,H91,H98,H105,H112,H119,H126,H133)</f>
        <v/>
      </c>
      <c r="I3" s="251">
        <f>H3-G3</f>
        <v/>
      </c>
      <c r="J3" s="257" t="inlineStr"/>
      <c r="K3" s="251">
        <f>sum(K8,K15,K22,K29,K36,K43,K50,K57,K64,K71,K78,K85,K91,K98,K105,K112,K119,K126,K133)</f>
        <v/>
      </c>
      <c r="L3" s="251">
        <f>sum(L8,L15,L22,L29,L36,L43,L50,L57,L64,L71,L78,L85,L91,L98,L105,L112,L119,L126,L133)</f>
        <v/>
      </c>
      <c r="M3" s="251">
        <f>sum(M8,M15,M22,M29,M36,M43,M50,M57,M64,M71,M78,M85,M91,M98,M105,M112,M119,M126,M133)</f>
        <v/>
      </c>
      <c r="N3" s="251">
        <f>sum(N8,N15,N22,N29,N36,N43,N50,N57,N64,N71,N78,N85,N91,N98,N105,N112,N119,N126,N133)</f>
        <v/>
      </c>
      <c r="O3" s="251">
        <f>sum(O8,O15,O22,O29,O36,O43,O50,O57,O64,O71,O78,O85,O91,O98,O105,O112,O119,O126,O133)</f>
        <v/>
      </c>
      <c r="P3" s="251">
        <f>sum(P8,P15,P22,P29,P36,P43,P50,P57,P64,P71,P78,P85,P91,P98,P105,P112,P119,P126,P133)</f>
        <v/>
      </c>
      <c r="Q3" s="251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256" t="inlineStr">
        <is>
          <t xml:space="preserve">   Net change (Target)</t>
        </is>
      </c>
      <c r="B4" s="257" t="inlineStr"/>
      <c r="C4" s="251">
        <f>C3-0</f>
        <v/>
      </c>
      <c r="D4" s="251">
        <f>D3-C3</f>
        <v/>
      </c>
      <c r="E4" s="251">
        <f>E3-D3</f>
        <v/>
      </c>
      <c r="F4" s="251">
        <f>F3-E3</f>
        <v/>
      </c>
      <c r="G4" s="251">
        <f>G3-F3</f>
        <v/>
      </c>
      <c r="H4" s="251">
        <f>H3-G3</f>
        <v/>
      </c>
      <c r="I4" s="251">
        <f>H4-G4</f>
        <v/>
      </c>
      <c r="J4" s="257" t="inlineStr"/>
      <c r="K4" s="251">
        <f>K3-0</f>
        <v/>
      </c>
      <c r="L4" s="251">
        <f>L3-K3</f>
        <v/>
      </c>
      <c r="M4" s="251">
        <f>M3-L3</f>
        <v/>
      </c>
      <c r="N4" s="251">
        <f>N3-M3</f>
        <v/>
      </c>
      <c r="O4" s="251">
        <f>O3-N3</f>
        <v/>
      </c>
      <c r="P4" s="251">
        <f>P3-O3</f>
        <v/>
      </c>
      <c r="Q4" s="251">
        <f>P4-O4</f>
        <v/>
      </c>
      <c r="R4" s="251">
        <f>R2-P2</f>
        <v/>
      </c>
      <c r="S4" s="251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256" t="inlineStr">
        <is>
          <t xml:space="preserve">   Growth Rate (Target)</t>
        </is>
      </c>
      <c r="B5" s="257" t="inlineStr"/>
      <c r="C5" s="251" t="inlineStr"/>
      <c r="D5" s="251">
        <f>(D3/C3)-1</f>
        <v/>
      </c>
      <c r="E5" s="251">
        <f>(E3/D3)-1</f>
        <v/>
      </c>
      <c r="F5" s="251">
        <f>(F3/E3)-1</f>
        <v/>
      </c>
      <c r="G5" s="251">
        <f>(G3/F3)-1</f>
        <v/>
      </c>
      <c r="H5" s="251">
        <f>(H3/G3)-1</f>
        <v/>
      </c>
      <c r="I5" s="251">
        <f>H5-G5</f>
        <v/>
      </c>
      <c r="J5" s="257" t="inlineStr"/>
      <c r="K5" s="251" t="inlineStr"/>
      <c r="L5" s="251">
        <f>(L3/K3)-1</f>
        <v/>
      </c>
      <c r="M5" s="251">
        <f>(M3/L3)-1</f>
        <v/>
      </c>
      <c r="N5" s="251">
        <f>(N3/M3)-1</f>
        <v/>
      </c>
      <c r="O5" s="251">
        <f>(O3/N3)-1</f>
        <v/>
      </c>
      <c r="P5" s="251">
        <f>(P3/O3)-1</f>
        <v/>
      </c>
      <c r="Q5" s="251">
        <f>P5-O5</f>
        <v/>
      </c>
      <c r="R5" s="251">
        <f>R2/P2-1</f>
        <v/>
      </c>
      <c r="S5" s="251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256" t="inlineStr">
        <is>
          <t xml:space="preserve">   Progress Rate</t>
        </is>
      </c>
      <c r="B6" s="257" t="inlineStr"/>
      <c r="C6" s="251" t="inlineStr"/>
      <c r="D6" s="251" t="inlineStr"/>
      <c r="E6" s="251" t="inlineStr"/>
      <c r="F6" s="251" t="inlineStr"/>
      <c r="G6" s="251" t="inlineStr"/>
      <c r="H6" s="251" t="inlineStr"/>
      <c r="I6" s="251" t="inlineStr"/>
      <c r="J6" s="257" t="inlineStr"/>
      <c r="K6" s="251" t="inlineStr"/>
      <c r="L6" s="251" t="inlineStr"/>
      <c r="M6" s="251" t="inlineStr"/>
      <c r="N6" s="251" t="inlineStr"/>
      <c r="O6" s="251">
        <f>O3/O2</f>
        <v/>
      </c>
      <c r="P6" s="251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257" t="inlineStr"/>
      <c r="B8" s="257" t="inlineStr"/>
      <c r="C8" s="252">
        <f>sum(C9:C13)</f>
        <v/>
      </c>
      <c r="D8" s="252">
        <f>sum(D9:D13)</f>
        <v/>
      </c>
      <c r="E8" s="252">
        <f>sum(E9:E13)</f>
        <v/>
      </c>
      <c r="F8" s="252">
        <f>sum(F9:F13)</f>
        <v/>
      </c>
      <c r="G8" s="252">
        <f>sum(G9:G13)</f>
        <v/>
      </c>
      <c r="H8" s="252">
        <f>sum(H9:H13)</f>
        <v/>
      </c>
      <c r="I8" s="252">
        <f>H8-G8</f>
        <v/>
      </c>
      <c r="J8" s="257" t="inlineStr"/>
      <c r="K8" s="252">
        <f>sum(K9:K13)</f>
        <v/>
      </c>
      <c r="L8" s="252">
        <f>sum(L9:L13)</f>
        <v/>
      </c>
      <c r="M8" s="252">
        <f>sum(M9:M13)</f>
        <v/>
      </c>
      <c r="N8" s="252">
        <f>sum(N9:N13)</f>
        <v/>
      </c>
      <c r="O8" s="252">
        <f>sum(O9:O13)</f>
        <v/>
      </c>
      <c r="P8" s="252">
        <f>sum(P9:P13)</f>
        <v/>
      </c>
      <c r="Q8" s="252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256" t="inlineStr">
        <is>
          <t>Tài Chính (Hub)</t>
        </is>
      </c>
      <c r="B9" s="257" t="inlineStr">
        <is>
          <t>Organic</t>
        </is>
      </c>
      <c r="C9" s="251">
        <f>SUMIFS('MTD Pivot'!D:D, 'MTD Pivot'!$A:$A, "Trung Tâm Tài Chính", 'MTD Pivot'!$C:$C, $B$9:$B$13)</f>
        <v/>
      </c>
      <c r="D9" s="251">
        <f>SUMIFS('MTD Pivot'!E:E, 'MTD Pivot'!$A:$A, "Trung Tâm Tài Chính", 'MTD Pivot'!$C:$C, $B$9:$B$13)</f>
        <v/>
      </c>
      <c r="E9" s="251">
        <f>SUMIFS('MTD Pivot'!F:F, 'MTD Pivot'!$A:$A, "Trung Tâm Tài Chính", 'MTD Pivot'!$C:$C, $B$9:$B$13)</f>
        <v/>
      </c>
      <c r="F9" s="251">
        <f>SUMIFS('MTD Pivot'!G:G, 'MTD Pivot'!$A:$A, "Trung Tâm Tài Chính", 'MTD Pivot'!$C:$C, $B$9:$B$13)</f>
        <v/>
      </c>
      <c r="G9" s="251">
        <f>SUMIFS('MTD Pivot'!H:H, 'MTD Pivot'!$A:$A, "Trung Tâm Tài Chính", 'MTD Pivot'!$C:$C, $B$9:$B$13)</f>
        <v/>
      </c>
      <c r="H9" s="251">
        <f>SUMIFS('MTD Pivot'!I:I, 'MTD Pivot'!$A:$A, "Trung Tâm Tài Chính", 'MTD Pivot'!$C:$C, $B$9:$B$13)</f>
        <v/>
      </c>
      <c r="I9" s="251">
        <f>H9-G9</f>
        <v/>
      </c>
      <c r="J9" s="257" t="inlineStr"/>
      <c r="K9" s="251">
        <f>SUMIFS('Full month Pivot'!D:D, 'Full month Pivot'!$A:$A, "Trung Tâm Tài Chính", 'Full month Pivot'!$C:$C, $B79)</f>
        <v/>
      </c>
      <c r="L9" s="251">
        <f>SUMIFS('Full month Pivot'!E:E, 'Full month Pivot'!$A:$A, "Trung Tâm Tài Chính", 'Full month Pivot'!$C:$C, $B79)</f>
        <v/>
      </c>
      <c r="M9" s="251">
        <f>SUMIFS('Full month Pivot'!F:F, 'Full month Pivot'!$A:$A, "Trung Tâm Tài Chính", 'Full month Pivot'!$C:$C, $B79)</f>
        <v/>
      </c>
      <c r="N9" s="251">
        <f>SUMIFS('Full month Pivot'!G:G, 'Full month Pivot'!$A:$A, "Trung Tâm Tài Chính", 'Full month Pivot'!$C:$C, $B79)</f>
        <v/>
      </c>
      <c r="O9" s="251">
        <f>SUMIFS('Full month Pivot'!H:H, 'Full month Pivot'!$A:$A, "Trung Tâm Tài Chính", 'Full month Pivot'!$C:$C, $B79)</f>
        <v/>
      </c>
      <c r="P9" s="251">
        <f>SUMIFS('Full month Pivot'!I:I, 'Full month Pivot'!$A:$A, "Trung Tâm Tài Chính", 'Full month Pivot'!$C:$C, $B79)</f>
        <v/>
      </c>
      <c r="Q9" s="251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257" t="inlineStr"/>
      <c r="B10" s="257" t="inlineStr">
        <is>
          <t>Direct</t>
        </is>
      </c>
      <c r="C10" s="252">
        <f>SUMIFS('MTD Pivot'!D:D, 'MTD Pivot'!$A:$A, "Trung Tâm Tài Chính", 'MTD Pivot'!$C:$C, $B$9:$B$13)</f>
        <v/>
      </c>
      <c r="D10" s="252">
        <f>SUMIFS('MTD Pivot'!E:E, 'MTD Pivot'!$A:$A, "Trung Tâm Tài Chính", 'MTD Pivot'!$C:$C, $B$9:$B$13)</f>
        <v/>
      </c>
      <c r="E10" s="252">
        <f>SUMIFS('MTD Pivot'!F:F, 'MTD Pivot'!$A:$A, "Trung Tâm Tài Chính", 'MTD Pivot'!$C:$C, $B$9:$B$13)</f>
        <v/>
      </c>
      <c r="F10" s="252">
        <f>SUMIFS('MTD Pivot'!G:G, 'MTD Pivot'!$A:$A, "Trung Tâm Tài Chính", 'MTD Pivot'!$C:$C, $B$9:$B$13)</f>
        <v/>
      </c>
      <c r="G10" s="252">
        <f>SUMIFS('MTD Pivot'!H:H, 'MTD Pivot'!$A:$A, "Trung Tâm Tài Chính", 'MTD Pivot'!$C:$C, $B$9:$B$13)</f>
        <v/>
      </c>
      <c r="H10" s="252">
        <f>SUMIFS('MTD Pivot'!I:I, 'MTD Pivot'!$A:$A, "Trung Tâm Tài Chính", 'MTD Pivot'!$C:$C, $B$9:$B$13)</f>
        <v/>
      </c>
      <c r="I10" s="252">
        <f>H10-G10</f>
        <v/>
      </c>
      <c r="J10" s="257" t="inlineStr"/>
      <c r="K10" s="252">
        <f>SUMIFS('Full month Pivot'!D:D, 'Full month Pivot'!$A:$A, "Trung Tâm Tài Chính", 'Full month Pivot'!$C:$C, $B80)</f>
        <v/>
      </c>
      <c r="L10" s="252">
        <f>SUMIFS('Full month Pivot'!E:E, 'Full month Pivot'!$A:$A, "Trung Tâm Tài Chính", 'Full month Pivot'!$C:$C, $B80)</f>
        <v/>
      </c>
      <c r="M10" s="252">
        <f>SUMIFS('Full month Pivot'!F:F, 'Full month Pivot'!$A:$A, "Trung Tâm Tài Chính", 'Full month Pivot'!$C:$C, $B80)</f>
        <v/>
      </c>
      <c r="N10" s="252">
        <f>SUMIFS('Full month Pivot'!G:G, 'Full month Pivot'!$A:$A, "Trung Tâm Tài Chính", 'Full month Pivot'!$C:$C, $B80)</f>
        <v/>
      </c>
      <c r="O10" s="252">
        <f>SUMIFS('Full month Pivot'!H:H, 'Full month Pivot'!$A:$A, "Trung Tâm Tài Chính", 'Full month Pivot'!$C:$C, $B80)</f>
        <v/>
      </c>
      <c r="P10" s="252">
        <f>SUMIFS('Full month Pivot'!I:I, 'Full month Pivot'!$A:$A, "Trung Tâm Tài Chính", 'Full month Pivot'!$C:$C, $B80)</f>
        <v/>
      </c>
      <c r="Q10" s="252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257" t="inlineStr"/>
      <c r="B11" s="257" t="inlineStr">
        <is>
          <t>Referral</t>
        </is>
      </c>
      <c r="C11" s="252">
        <f>SUMIFS('MTD Pivot'!D:D, 'MTD Pivot'!$A:$A, "Trung Tâm Tài Chính", 'MTD Pivot'!$C:$C, $B$9:$B$13)</f>
        <v/>
      </c>
      <c r="D11" s="252">
        <f>SUMIFS('MTD Pivot'!E:E, 'MTD Pivot'!$A:$A, "Trung Tâm Tài Chính", 'MTD Pivot'!$C:$C, $B$9:$B$13)</f>
        <v/>
      </c>
      <c r="E11" s="252">
        <f>SUMIFS('MTD Pivot'!F:F, 'MTD Pivot'!$A:$A, "Trung Tâm Tài Chính", 'MTD Pivot'!$C:$C, $B$9:$B$13)</f>
        <v/>
      </c>
      <c r="F11" s="252">
        <f>SUMIFS('MTD Pivot'!G:G, 'MTD Pivot'!$A:$A, "Trung Tâm Tài Chính", 'MTD Pivot'!$C:$C, $B$9:$B$13)</f>
        <v/>
      </c>
      <c r="G11" s="252">
        <f>SUMIFS('MTD Pivot'!H:H, 'MTD Pivot'!$A:$A, "Trung Tâm Tài Chính", 'MTD Pivot'!$C:$C, $B$9:$B$13)</f>
        <v/>
      </c>
      <c r="H11" s="252">
        <f>SUMIFS('MTD Pivot'!I:I, 'MTD Pivot'!$A:$A, "Trung Tâm Tài Chính", 'MTD Pivot'!$C:$C, $B$9:$B$13)</f>
        <v/>
      </c>
      <c r="I11" s="252">
        <f>H11-G11</f>
        <v/>
      </c>
      <c r="J11" s="257" t="inlineStr"/>
      <c r="K11" s="252">
        <f>SUMIFS('Full month Pivot'!D:D, 'Full month Pivot'!$A:$A, "Trung Tâm Tài Chính", 'Full month Pivot'!$C:$C, $B81)</f>
        <v/>
      </c>
      <c r="L11" s="252">
        <f>SUMIFS('Full month Pivot'!E:E, 'Full month Pivot'!$A:$A, "Trung Tâm Tài Chính", 'Full month Pivot'!$C:$C, $B81)</f>
        <v/>
      </c>
      <c r="M11" s="252">
        <f>SUMIFS('Full month Pivot'!F:F, 'Full month Pivot'!$A:$A, "Trung Tâm Tài Chính", 'Full month Pivot'!$C:$C, $B81)</f>
        <v/>
      </c>
      <c r="N11" s="252">
        <f>SUMIFS('Full month Pivot'!G:G, 'Full month Pivot'!$A:$A, "Trung Tâm Tài Chính", 'Full month Pivot'!$C:$C, $B81)</f>
        <v/>
      </c>
      <c r="O11" s="252">
        <f>SUMIFS('Full month Pivot'!H:H, 'Full month Pivot'!$A:$A, "Trung Tâm Tài Chính", 'Full month Pivot'!$C:$C, $B81)</f>
        <v/>
      </c>
      <c r="P11" s="252">
        <f>SUMIFS('Full month Pivot'!I:I, 'Full month Pivot'!$A:$A, "Trung Tâm Tài Chính", 'Full month Pivot'!$C:$C, $B81)</f>
        <v/>
      </c>
      <c r="Q11" s="252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257" t="inlineStr"/>
      <c r="B12" s="257" t="inlineStr">
        <is>
          <t>Others</t>
        </is>
      </c>
      <c r="C12" s="252">
        <f>SUMIFS('MTD Pivot'!D:D, 'MTD Pivot'!$A:$A, "Trung Tâm Tài Chính", 'MTD Pivot'!$C:$C, $B$9:$B$13)</f>
        <v/>
      </c>
      <c r="D12" s="252">
        <f>SUMIFS('MTD Pivot'!E:E, 'MTD Pivot'!$A:$A, "Trung Tâm Tài Chính", 'MTD Pivot'!$C:$C, $B$9:$B$13)</f>
        <v/>
      </c>
      <c r="E12" s="252">
        <f>SUMIFS('MTD Pivot'!F:F, 'MTD Pivot'!$A:$A, "Trung Tâm Tài Chính", 'MTD Pivot'!$C:$C, $B$9:$B$13)</f>
        <v/>
      </c>
      <c r="F12" s="252">
        <f>SUMIFS('MTD Pivot'!G:G, 'MTD Pivot'!$A:$A, "Trung Tâm Tài Chính", 'MTD Pivot'!$C:$C, $B$9:$B$13)</f>
        <v/>
      </c>
      <c r="G12" s="252">
        <f>SUMIFS('MTD Pivot'!H:H, 'MTD Pivot'!$A:$A, "Trung Tâm Tài Chính", 'MTD Pivot'!$C:$C, $B$9:$B$13)</f>
        <v/>
      </c>
      <c r="H12" s="252">
        <f>SUMIFS('MTD Pivot'!I:I, 'MTD Pivot'!$A:$A, "Trung Tâm Tài Chính", 'MTD Pivot'!$C:$C, $B$9:$B$13)</f>
        <v/>
      </c>
      <c r="I12" s="252">
        <f>H12-G12</f>
        <v/>
      </c>
      <c r="J12" s="257" t="inlineStr"/>
      <c r="K12" s="252">
        <f>SUMIFS('Full month Pivot'!D:D, 'Full month Pivot'!$A:$A, "Trung Tâm Tài Chính", 'Full month Pivot'!$C:$C, $B82)</f>
        <v/>
      </c>
      <c r="L12" s="252">
        <f>SUMIFS('Full month Pivot'!E:E, 'Full month Pivot'!$A:$A, "Trung Tâm Tài Chính", 'Full month Pivot'!$C:$C, $B82)</f>
        <v/>
      </c>
      <c r="M12" s="252">
        <f>SUMIFS('Full month Pivot'!F:F, 'Full month Pivot'!$A:$A, "Trung Tâm Tài Chính", 'Full month Pivot'!$C:$C, $B82)</f>
        <v/>
      </c>
      <c r="N12" s="252">
        <f>SUMIFS('Full month Pivot'!G:G, 'Full month Pivot'!$A:$A, "Trung Tâm Tài Chính", 'Full month Pivot'!$C:$C, $B82)</f>
        <v/>
      </c>
      <c r="O12" s="252">
        <f>SUMIFS('Full month Pivot'!H:H, 'Full month Pivot'!$A:$A, "Trung Tâm Tài Chính", 'Full month Pivot'!$C:$C, $B82)</f>
        <v/>
      </c>
      <c r="P12" s="252">
        <f>SUMIFS('Full month Pivot'!I:I, 'Full month Pivot'!$A:$A, "Trung Tâm Tài Chính", 'Full month Pivot'!$C:$C, $B82)</f>
        <v/>
      </c>
      <c r="Q12" s="252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257" t="inlineStr"/>
      <c r="B13" s="257" t="inlineStr">
        <is>
          <t>Paid</t>
        </is>
      </c>
      <c r="C13" s="252">
        <f>SUMIFS('MTD Pivot'!D:D, 'MTD Pivot'!$A:$A, "Trung Tâm Tài Chính", 'MTD Pivot'!$C:$C, $B$9:$B$13)</f>
        <v/>
      </c>
      <c r="D13" s="252">
        <f>SUMIFS('MTD Pivot'!E:E, 'MTD Pivot'!$A:$A, "Trung Tâm Tài Chính", 'MTD Pivot'!$C:$C, $B$9:$B$13)</f>
        <v/>
      </c>
      <c r="E13" s="252">
        <f>SUMIFS('MTD Pivot'!F:F, 'MTD Pivot'!$A:$A, "Trung Tâm Tài Chính", 'MTD Pivot'!$C:$C, $B$9:$B$13)</f>
        <v/>
      </c>
      <c r="F13" s="252">
        <f>SUMIFS('MTD Pivot'!G:G, 'MTD Pivot'!$A:$A, "Trung Tâm Tài Chính", 'MTD Pivot'!$C:$C, $B$9:$B$13)</f>
        <v/>
      </c>
      <c r="G13" s="252">
        <f>SUMIFS('MTD Pivot'!H:H, 'MTD Pivot'!$A:$A, "Trung Tâm Tài Chính", 'MTD Pivot'!$C:$C, $B$9:$B$13)</f>
        <v/>
      </c>
      <c r="H13" s="252">
        <f>SUMIFS('MTD Pivot'!I:I, 'MTD Pivot'!$A:$A, "Trung Tâm Tài Chính", 'MTD Pivot'!$C:$C, $B$9:$B$13)</f>
        <v/>
      </c>
      <c r="I13" s="252">
        <f>H13-G13</f>
        <v/>
      </c>
      <c r="J13" s="257" t="inlineStr"/>
      <c r="K13" s="252">
        <f>SUMIFS('Full month Pivot'!D:D, 'Full month Pivot'!$A:$A, "Trung Tâm Tài Chính", 'Full month Pivot'!$C:$C, $B83)</f>
        <v/>
      </c>
      <c r="L13" s="252">
        <f>SUMIFS('Full month Pivot'!E:E, 'Full month Pivot'!$A:$A, "Trung Tâm Tài Chính", 'Full month Pivot'!$C:$C, $B83)</f>
        <v/>
      </c>
      <c r="M13" s="252">
        <f>SUMIFS('Full month Pivot'!F:F, 'Full month Pivot'!$A:$A, "Trung Tâm Tài Chính", 'Full month Pivot'!$C:$C, $B83)</f>
        <v/>
      </c>
      <c r="N13" s="252">
        <f>SUMIFS('Full month Pivot'!G:G, 'Full month Pivot'!$A:$A, "Trung Tâm Tài Chính", 'Full month Pivot'!$C:$C, $B83)</f>
        <v/>
      </c>
      <c r="O13" s="252">
        <f>SUMIFS('Full month Pivot'!H:H, 'Full month Pivot'!$A:$A, "Trung Tâm Tài Chính", 'Full month Pivot'!$C:$C, $B83)</f>
        <v/>
      </c>
      <c r="P13" s="252">
        <f>SUMIFS('Full month Pivot'!I:I, 'Full month Pivot'!$A:$A, "Trung Tâm Tài Chính", 'Full month Pivot'!$C:$C, $B83)</f>
        <v/>
      </c>
      <c r="Q13" s="252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256" t="inlineStr">
        <is>
          <t>Vay Nhanh</t>
        </is>
      </c>
      <c r="B15" s="257" t="inlineStr"/>
      <c r="C15" s="251">
        <f>sum(C16:C20)</f>
        <v/>
      </c>
      <c r="D15" s="251">
        <f>sum(D16:D20)</f>
        <v/>
      </c>
      <c r="E15" s="251">
        <f>sum(E16:E20)</f>
        <v/>
      </c>
      <c r="F15" s="251">
        <f>sum(F16:F20)</f>
        <v/>
      </c>
      <c r="G15" s="251">
        <f>sum(G16:G20)</f>
        <v/>
      </c>
      <c r="H15" s="251">
        <f>sum(H16:H20)</f>
        <v/>
      </c>
      <c r="I15" s="251">
        <f>H15-G15</f>
        <v/>
      </c>
      <c r="J15" s="257" t="inlineStr"/>
      <c r="K15" s="251">
        <f>sum(K16:K20)</f>
        <v/>
      </c>
      <c r="L15" s="251">
        <f>sum(L16:L20)</f>
        <v/>
      </c>
      <c r="M15" s="251">
        <f>sum(M16:M20)</f>
        <v/>
      </c>
      <c r="N15" s="251">
        <f>sum(N16:N20)</f>
        <v/>
      </c>
      <c r="O15" s="251">
        <f>sum(O16:O20)</f>
        <v/>
      </c>
      <c r="P15" s="251">
        <f>sum(P16:P20)</f>
        <v/>
      </c>
      <c r="Q15" s="251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257" t="inlineStr"/>
      <c r="B16" s="257" t="inlineStr">
        <is>
          <t>Organic</t>
        </is>
      </c>
      <c r="C16" s="252">
        <f>SUMIFS('MTD Pivot'!D:D, 'MTD Pivot'!$A:$A, $A$15, 'MTD Pivot'!$C:$C, $B16)</f>
        <v/>
      </c>
      <c r="D16" s="252">
        <f>SUMIFS('MTD Pivot'!E:E, 'MTD Pivot'!$A:$A, $A$15, 'MTD Pivot'!$C:$C, $B16)</f>
        <v/>
      </c>
      <c r="E16" s="252">
        <f>SUMIFS('MTD Pivot'!F:F, 'MTD Pivot'!$A:$A, $A$15, 'MTD Pivot'!$C:$C, $B16)</f>
        <v/>
      </c>
      <c r="F16" s="252">
        <f>SUMIFS('MTD Pivot'!G:G, 'MTD Pivot'!$A:$A, $A$15, 'MTD Pivot'!$C:$C, $B16)</f>
        <v/>
      </c>
      <c r="G16" s="252">
        <f>SUMIFS('MTD Pivot'!H:H, 'MTD Pivot'!$A:$A, $A$15, 'MTD Pivot'!$C:$C, $B16)</f>
        <v/>
      </c>
      <c r="H16" s="252">
        <f>SUMIFS('MTD Pivot'!I:I, 'MTD Pivot'!$A:$A, $A$15, 'MTD Pivot'!$C:$C, $B16)</f>
        <v/>
      </c>
      <c r="I16" s="252">
        <f>H16-G16</f>
        <v/>
      </c>
      <c r="J16" s="257" t="inlineStr"/>
      <c r="K16" s="252">
        <f>SUMIFS('Full month Pivot'!D:D, 'Full month Pivot'!$A:$A, "Vay Nhanh", 'Full month Pivot'!$C:$C, $B16)</f>
        <v/>
      </c>
      <c r="L16" s="252">
        <f>SUMIFS('Full month Pivot'!E:E, 'Full month Pivot'!$A:$A, "Vay Nhanh", 'Full month Pivot'!$C:$C, $B16)</f>
        <v/>
      </c>
      <c r="M16" s="252">
        <f>SUMIFS('Full month Pivot'!F:F, 'Full month Pivot'!$A:$A, "Vay Nhanh", 'Full month Pivot'!$C:$C, $B16)</f>
        <v/>
      </c>
      <c r="N16" s="252">
        <f>SUMIFS('Full month Pivot'!G:G, 'Full month Pivot'!$A:$A, "Vay Nhanh", 'Full month Pivot'!$C:$C, $B16)</f>
        <v/>
      </c>
      <c r="O16" s="252">
        <f>SUMIFS('Full month Pivot'!H:H, 'Full month Pivot'!$A:$A, "Vay Nhanh", 'Full month Pivot'!$C:$C, $B16)</f>
        <v/>
      </c>
      <c r="P16" s="252">
        <f>SUMIFS('Full month Pivot'!I:I, 'Full month Pivot'!$A:$A, "Vay Nhanh", 'Full month Pivot'!$C:$C, $B16)</f>
        <v/>
      </c>
      <c r="Q16" s="252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257" t="inlineStr"/>
      <c r="B17" s="257" t="inlineStr">
        <is>
          <t>Paid</t>
        </is>
      </c>
      <c r="C17" s="252">
        <f>SUMIFS('MTD Pivot'!D:D, 'MTD Pivot'!$A:$A, $A$15, 'MTD Pivot'!$C:$C, $B17)</f>
        <v/>
      </c>
      <c r="D17" s="252">
        <f>SUMIFS('MTD Pivot'!E:E, 'MTD Pivot'!$A:$A, $A$15, 'MTD Pivot'!$C:$C, $B17)</f>
        <v/>
      </c>
      <c r="E17" s="252">
        <f>SUMIFS('MTD Pivot'!F:F, 'MTD Pivot'!$A:$A, $A$15, 'MTD Pivot'!$C:$C, $B17)</f>
        <v/>
      </c>
      <c r="F17" s="252">
        <f>SUMIFS('MTD Pivot'!G:G, 'MTD Pivot'!$A:$A, $A$15, 'MTD Pivot'!$C:$C, $B17)</f>
        <v/>
      </c>
      <c r="G17" s="252">
        <f>SUMIFS('MTD Pivot'!H:H, 'MTD Pivot'!$A:$A, $A$15, 'MTD Pivot'!$C:$C, $B17)</f>
        <v/>
      </c>
      <c r="H17" s="252">
        <f>SUMIFS('MTD Pivot'!I:I, 'MTD Pivot'!$A:$A, $A$15, 'MTD Pivot'!$C:$C, $B17)</f>
        <v/>
      </c>
      <c r="I17" s="252">
        <f>H17-G17</f>
        <v/>
      </c>
      <c r="J17" s="257" t="inlineStr"/>
      <c r="K17" s="252">
        <f>SUMIFS('Full month Pivot'!D:D, 'Full month Pivot'!$A:$A, "Vay Nhanh", 'Full month Pivot'!$C:$C, $B17)</f>
        <v/>
      </c>
      <c r="L17" s="252">
        <f>SUMIFS('Full month Pivot'!E:E, 'Full month Pivot'!$A:$A, "Vay Nhanh", 'Full month Pivot'!$C:$C, $B17)</f>
        <v/>
      </c>
      <c r="M17" s="252">
        <f>SUMIFS('Full month Pivot'!F:F, 'Full month Pivot'!$A:$A, "Vay Nhanh", 'Full month Pivot'!$C:$C, $B17)</f>
        <v/>
      </c>
      <c r="N17" s="252">
        <f>SUMIFS('Full month Pivot'!G:G, 'Full month Pivot'!$A:$A, "Vay Nhanh", 'Full month Pivot'!$C:$C, $B17)</f>
        <v/>
      </c>
      <c r="O17" s="252">
        <f>SUMIFS('Full month Pivot'!H:H, 'Full month Pivot'!$A:$A, "Vay Nhanh", 'Full month Pivot'!$C:$C, $B17)</f>
        <v/>
      </c>
      <c r="P17" s="252">
        <f>SUMIFS('Full month Pivot'!I:I, 'Full month Pivot'!$A:$A, "Vay Nhanh", 'Full month Pivot'!$C:$C, $B17)</f>
        <v/>
      </c>
      <c r="Q17" s="252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257" t="inlineStr"/>
      <c r="B18" s="257" t="inlineStr">
        <is>
          <t>Referral</t>
        </is>
      </c>
      <c r="C18" s="252">
        <f>SUMIFS('MTD Pivot'!D:D, 'MTD Pivot'!$A:$A, $A$15, 'MTD Pivot'!$C:$C, $B18)</f>
        <v/>
      </c>
      <c r="D18" s="252">
        <f>SUMIFS('MTD Pivot'!E:E, 'MTD Pivot'!$A:$A, $A$15, 'MTD Pivot'!$C:$C, $B18)</f>
        <v/>
      </c>
      <c r="E18" s="252">
        <f>SUMIFS('MTD Pivot'!F:F, 'MTD Pivot'!$A:$A, $A$15, 'MTD Pivot'!$C:$C, $B18)</f>
        <v/>
      </c>
      <c r="F18" s="252">
        <f>SUMIFS('MTD Pivot'!G:G, 'MTD Pivot'!$A:$A, $A$15, 'MTD Pivot'!$C:$C, $B18)</f>
        <v/>
      </c>
      <c r="G18" s="252">
        <f>SUMIFS('MTD Pivot'!H:H, 'MTD Pivot'!$A:$A, $A$15, 'MTD Pivot'!$C:$C, $B18)</f>
        <v/>
      </c>
      <c r="H18" s="252">
        <f>SUMIFS('MTD Pivot'!I:I, 'MTD Pivot'!$A:$A, $A$15, 'MTD Pivot'!$C:$C, $B18)</f>
        <v/>
      </c>
      <c r="I18" s="252">
        <f>H18-G18</f>
        <v/>
      </c>
      <c r="J18" s="257" t="inlineStr"/>
      <c r="K18" s="252">
        <f>SUMIFS('Full month Pivot'!D:D, 'Full month Pivot'!$A:$A, "Vay Nhanh", 'Full month Pivot'!$C:$C, $B18)</f>
        <v/>
      </c>
      <c r="L18" s="252">
        <f>SUMIFS('Full month Pivot'!E:E, 'Full month Pivot'!$A:$A, "Vay Nhanh", 'Full month Pivot'!$C:$C, $B18)</f>
        <v/>
      </c>
      <c r="M18" s="252">
        <f>SUMIFS('Full month Pivot'!F:F, 'Full month Pivot'!$A:$A, "Vay Nhanh", 'Full month Pivot'!$C:$C, $B18)</f>
        <v/>
      </c>
      <c r="N18" s="252">
        <f>SUMIFS('Full month Pivot'!G:G, 'Full month Pivot'!$A:$A, "Vay Nhanh", 'Full month Pivot'!$C:$C, $B18)</f>
        <v/>
      </c>
      <c r="O18" s="252">
        <f>SUMIFS('Full month Pivot'!H:H, 'Full month Pivot'!$A:$A, "Vay Nhanh", 'Full month Pivot'!$C:$C, $B18)</f>
        <v/>
      </c>
      <c r="P18" s="252">
        <f>SUMIFS('Full month Pivot'!I:I, 'Full month Pivot'!$A:$A, "Vay Nhanh", 'Full month Pivot'!$C:$C, $B18)</f>
        <v/>
      </c>
      <c r="Q18" s="252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257" t="inlineStr"/>
      <c r="B19" s="257" t="inlineStr">
        <is>
          <t>Direct</t>
        </is>
      </c>
      <c r="C19" s="252">
        <f>SUMIFS('MTD Pivot'!D:D, 'MTD Pivot'!$A:$A, $A$15, 'MTD Pivot'!$C:$C, $B19)</f>
        <v/>
      </c>
      <c r="D19" s="252">
        <f>SUMIFS('MTD Pivot'!E:E, 'MTD Pivot'!$A:$A, $A$15, 'MTD Pivot'!$C:$C, $B19)</f>
        <v/>
      </c>
      <c r="E19" s="252">
        <f>SUMIFS('MTD Pivot'!F:F, 'MTD Pivot'!$A:$A, $A$15, 'MTD Pivot'!$C:$C, $B19)</f>
        <v/>
      </c>
      <c r="F19" s="252">
        <f>SUMIFS('MTD Pivot'!G:G, 'MTD Pivot'!$A:$A, $A$15, 'MTD Pivot'!$C:$C, $B19)</f>
        <v/>
      </c>
      <c r="G19" s="252">
        <f>SUMIFS('MTD Pivot'!H:H, 'MTD Pivot'!$A:$A, $A$15, 'MTD Pivot'!$C:$C, $B19)</f>
        <v/>
      </c>
      <c r="H19" s="252">
        <f>SUMIFS('MTD Pivot'!I:I, 'MTD Pivot'!$A:$A, $A$15, 'MTD Pivot'!$C:$C, $B19)</f>
        <v/>
      </c>
      <c r="I19" s="252">
        <f>H19-G19</f>
        <v/>
      </c>
      <c r="J19" s="257" t="inlineStr"/>
      <c r="K19" s="252">
        <f>SUMIFS('Full month Pivot'!D:D, 'Full month Pivot'!$A:$A, "Vay Nhanh", 'Full month Pivot'!$C:$C, $B19)</f>
        <v/>
      </c>
      <c r="L19" s="252">
        <f>SUMIFS('Full month Pivot'!E:E, 'Full month Pivot'!$A:$A, "Vay Nhanh", 'Full month Pivot'!$C:$C, $B19)</f>
        <v/>
      </c>
      <c r="M19" s="252">
        <f>SUMIFS('Full month Pivot'!F:F, 'Full month Pivot'!$A:$A, "Vay Nhanh", 'Full month Pivot'!$C:$C, $B19)</f>
        <v/>
      </c>
      <c r="N19" s="252">
        <f>SUMIFS('Full month Pivot'!G:G, 'Full month Pivot'!$A:$A, "Vay Nhanh", 'Full month Pivot'!$C:$C, $B19)</f>
        <v/>
      </c>
      <c r="O19" s="252">
        <f>SUMIFS('Full month Pivot'!H:H, 'Full month Pivot'!$A:$A, "Vay Nhanh", 'Full month Pivot'!$C:$C, $B19)</f>
        <v/>
      </c>
      <c r="P19" s="252">
        <f>SUMIFS('Full month Pivot'!I:I, 'Full month Pivot'!$A:$A, "Vay Nhanh", 'Full month Pivot'!$C:$C, $B19)</f>
        <v/>
      </c>
      <c r="Q19" s="252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257" t="inlineStr"/>
      <c r="B20" s="257" t="inlineStr">
        <is>
          <t>Others</t>
        </is>
      </c>
      <c r="C20" s="252">
        <f>SUMIFS('MTD Pivot'!D:D, 'MTD Pivot'!$A:$A, $A$15, 'MTD Pivot'!$C:$C, $B20)</f>
        <v/>
      </c>
      <c r="D20" s="252">
        <f>SUMIFS('MTD Pivot'!E:E, 'MTD Pivot'!$A:$A, $A$15, 'MTD Pivot'!$C:$C, $B20)</f>
        <v/>
      </c>
      <c r="E20" s="252">
        <f>SUMIFS('MTD Pivot'!F:F, 'MTD Pivot'!$A:$A, $A$15, 'MTD Pivot'!$C:$C, $B20)</f>
        <v/>
      </c>
      <c r="F20" s="252">
        <f>SUMIFS('MTD Pivot'!G:G, 'MTD Pivot'!$A:$A, $A$15, 'MTD Pivot'!$C:$C, $B20)</f>
        <v/>
      </c>
      <c r="G20" s="252">
        <f>SUMIFS('MTD Pivot'!H:H, 'MTD Pivot'!$A:$A, $A$15, 'MTD Pivot'!$C:$C, $B20)</f>
        <v/>
      </c>
      <c r="H20" s="252">
        <f>SUMIFS('MTD Pivot'!I:I, 'MTD Pivot'!$A:$A, $A$15, 'MTD Pivot'!$C:$C, $B20)</f>
        <v/>
      </c>
      <c r="I20" s="252">
        <f>H20-G20</f>
        <v/>
      </c>
      <c r="J20" s="257" t="inlineStr"/>
      <c r="K20" s="252">
        <f>SUMIFS('Full month Pivot'!D:D, 'Full month Pivot'!$A:$A, "Vay Nhanh", 'Full month Pivot'!$C:$C, $B20)</f>
        <v/>
      </c>
      <c r="L20" s="252">
        <f>SUMIFS('Full month Pivot'!E:E, 'Full month Pivot'!$A:$A, "Vay Nhanh", 'Full month Pivot'!$C:$C, $B20)</f>
        <v/>
      </c>
      <c r="M20" s="252">
        <f>SUMIFS('Full month Pivot'!F:F, 'Full month Pivot'!$A:$A, "Vay Nhanh", 'Full month Pivot'!$C:$C, $B20)</f>
        <v/>
      </c>
      <c r="N20" s="252">
        <f>SUMIFS('Full month Pivot'!G:G, 'Full month Pivot'!$A:$A, "Vay Nhanh", 'Full month Pivot'!$C:$C, $B20)</f>
        <v/>
      </c>
      <c r="O20" s="252">
        <f>SUMIFS('Full month Pivot'!H:H, 'Full month Pivot'!$A:$A, "Vay Nhanh", 'Full month Pivot'!$C:$C, $B20)</f>
        <v/>
      </c>
      <c r="P20" s="252">
        <f>SUMIFS('Full month Pivot'!I:I, 'Full month Pivot'!$A:$A, "Vay Nhanh", 'Full month Pivot'!$C:$C, $B20)</f>
        <v/>
      </c>
      <c r="Q20" s="252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256" t="inlineStr">
        <is>
          <t>Điểm Tín Dụng</t>
        </is>
      </c>
      <c r="B22" s="257" t="inlineStr"/>
      <c r="C22" s="251">
        <f>sum(C23:C27)</f>
        <v/>
      </c>
      <c r="D22" s="251">
        <f>sum(D23:D27)</f>
        <v/>
      </c>
      <c r="E22" s="251">
        <f>sum(E23:E27)</f>
        <v/>
      </c>
      <c r="F22" s="251">
        <f>sum(F23:F27)</f>
        <v/>
      </c>
      <c r="G22" s="251">
        <f>sum(G23:G27)</f>
        <v/>
      </c>
      <c r="H22" s="251">
        <f>sum(H23:H27)</f>
        <v/>
      </c>
      <c r="I22" s="251">
        <f>H22-G22</f>
        <v/>
      </c>
      <c r="J22" s="257" t="inlineStr"/>
      <c r="K22" s="251">
        <f>sum(K23:K25)</f>
        <v/>
      </c>
      <c r="L22" s="251">
        <f>sum(L23:L25)</f>
        <v/>
      </c>
      <c r="M22" s="251">
        <f>sum(M23:M25)</f>
        <v/>
      </c>
      <c r="N22" s="251">
        <f>sum(N23:N25)</f>
        <v/>
      </c>
      <c r="O22" s="251">
        <f>sum(O23:O27)</f>
        <v/>
      </c>
      <c r="P22" s="251">
        <f>sum(P23:P27)</f>
        <v/>
      </c>
      <c r="Q22" s="251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257" t="inlineStr"/>
      <c r="B23" s="257" t="inlineStr">
        <is>
          <t>Paid</t>
        </is>
      </c>
      <c r="C23" s="252">
        <f>SUMIFS('MTD Pivot'!D:D, 'MTD Pivot'!$A:$A, "Điểm Tín Dụng", 'MTD Pivot'!$C:$C, $B23)</f>
        <v/>
      </c>
      <c r="D23" s="252">
        <f>SUMIFS('MTD Pivot'!E:E, 'MTD Pivot'!$A:$A, "Điểm Tín Dụng", 'MTD Pivot'!$C:$C, $B23)</f>
        <v/>
      </c>
      <c r="E23" s="252">
        <f>SUMIFS('MTD Pivot'!F:F, 'MTD Pivot'!$A:$A, "Điểm Tín Dụng", 'MTD Pivot'!$C:$C, $B23)</f>
        <v/>
      </c>
      <c r="F23" s="252">
        <f>SUMIFS('MTD Pivot'!G:G, 'MTD Pivot'!$A:$A, "Điểm Tín Dụng", 'MTD Pivot'!$C:$C, $B23)</f>
        <v/>
      </c>
      <c r="G23" s="252">
        <f>SUMIFS('MTD Pivot'!H:H, 'MTD Pivot'!$A:$A, "Điểm Tín Dụng", 'MTD Pivot'!$C:$C, $B23)</f>
        <v/>
      </c>
      <c r="H23" s="252">
        <f>SUMIFS('MTD Pivot'!I:I, 'MTD Pivot'!$A:$A, "Điểm Tín Dụng", 'MTD Pivot'!$C:$C, $B23)</f>
        <v/>
      </c>
      <c r="I23" s="252">
        <f>H23-G23</f>
        <v/>
      </c>
      <c r="J23" s="257" t="inlineStr"/>
      <c r="K23" s="252">
        <f>SUMIFS('Full month Pivot'!D:D, 'Full month Pivot'!$A:$A, "Điểm Tín Dụng", 'Full month Pivot'!$C:$C, $B23)</f>
        <v/>
      </c>
      <c r="L23" s="252">
        <f>SUMIFS('Full month Pivot'!E:E, 'Full month Pivot'!$A:$A, "Điểm Tín Dụng", 'Full month Pivot'!$C:$C, $B23)</f>
        <v/>
      </c>
      <c r="M23" s="252">
        <f>SUMIFS('Full month Pivot'!F:F, 'Full month Pivot'!$A:$A, "Điểm Tín Dụng", 'Full month Pivot'!$C:$C, $B23)</f>
        <v/>
      </c>
      <c r="N23" s="252">
        <f>SUMIFS('Full month Pivot'!G:G, 'Full month Pivot'!$A:$A, "Điểm Tín Dụng", 'Full month Pivot'!$C:$C, $B23)</f>
        <v/>
      </c>
      <c r="O23" s="252">
        <f>SUMIFS('Full month Pivot'!H:H, 'Full month Pivot'!$A:$A, "Điểm Tín Dụng", 'Full month Pivot'!$C:$C, $B23)</f>
        <v/>
      </c>
      <c r="P23" s="252">
        <f>SUMIFS('Full month Pivot'!I:I, 'Full month Pivot'!$A:$A, "Điểm Tín Dụng", 'Full month Pivot'!$C:$C, $B23)</f>
        <v/>
      </c>
      <c r="Q23" s="252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257" t="inlineStr"/>
      <c r="B24" s="257" t="inlineStr">
        <is>
          <t>Organic</t>
        </is>
      </c>
      <c r="C24" s="252">
        <f>SUMIFS('MTD Pivot'!D:D, 'MTD Pivot'!$A:$A, "Điểm Tín Dụng", 'MTD Pivot'!$C:$C, $B24)</f>
        <v/>
      </c>
      <c r="D24" s="252">
        <f>SUMIFS('MTD Pivot'!E:E, 'MTD Pivot'!$A:$A, "Điểm Tín Dụng", 'MTD Pivot'!$C:$C, $B24)</f>
        <v/>
      </c>
      <c r="E24" s="252">
        <f>SUMIFS('MTD Pivot'!F:F, 'MTD Pivot'!$A:$A, "Điểm Tín Dụng", 'MTD Pivot'!$C:$C, $B24)</f>
        <v/>
      </c>
      <c r="F24" s="252">
        <f>SUMIFS('MTD Pivot'!G:G, 'MTD Pivot'!$A:$A, "Điểm Tín Dụng", 'MTD Pivot'!$C:$C, $B24)</f>
        <v/>
      </c>
      <c r="G24" s="252">
        <f>SUMIFS('MTD Pivot'!H:H, 'MTD Pivot'!$A:$A, "Điểm Tín Dụng", 'MTD Pivot'!$C:$C, $B24)</f>
        <v/>
      </c>
      <c r="H24" s="252">
        <f>SUMIFS('MTD Pivot'!I:I, 'MTD Pivot'!$A:$A, "Điểm Tín Dụng", 'MTD Pivot'!$C:$C, $B24)</f>
        <v/>
      </c>
      <c r="I24" s="252">
        <f>H24-G24</f>
        <v/>
      </c>
      <c r="J24" s="257" t="inlineStr"/>
      <c r="K24" s="252">
        <f>SUMIFS('Full month Pivot'!D:D, 'Full month Pivot'!$A:$A, "Điểm Tín Dụng", 'Full month Pivot'!$C:$C, $B24)</f>
        <v/>
      </c>
      <c r="L24" s="252">
        <f>SUMIFS('Full month Pivot'!E:E, 'Full month Pivot'!$A:$A, "Điểm Tín Dụng", 'Full month Pivot'!$C:$C, $B24)</f>
        <v/>
      </c>
      <c r="M24" s="252">
        <f>SUMIFS('Full month Pivot'!F:F, 'Full month Pivot'!$A:$A, "Điểm Tín Dụng", 'Full month Pivot'!$C:$C, $B24)</f>
        <v/>
      </c>
      <c r="N24" s="252">
        <f>SUMIFS('Full month Pivot'!G:G, 'Full month Pivot'!$A:$A, "Điểm Tín Dụng", 'Full month Pivot'!$C:$C, $B24)</f>
        <v/>
      </c>
      <c r="O24" s="252">
        <f>SUMIFS('Full month Pivot'!H:H, 'Full month Pivot'!$A:$A, "Điểm Tín Dụng", 'Full month Pivot'!$C:$C, $B24)</f>
        <v/>
      </c>
      <c r="P24" s="252">
        <f>SUMIFS('Full month Pivot'!I:I, 'Full month Pivot'!$A:$A, "Điểm Tín Dụng", 'Full month Pivot'!$C:$C, $B24)</f>
        <v/>
      </c>
      <c r="Q24" s="252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257" t="inlineStr"/>
      <c r="B25" s="257" t="inlineStr">
        <is>
          <t>Direct</t>
        </is>
      </c>
      <c r="C25" s="252">
        <f>SUMIFS('MTD Pivot'!D:D, 'MTD Pivot'!$A:$A, "Điểm Tín Dụng", 'MTD Pivot'!$C:$C, $B25)</f>
        <v/>
      </c>
      <c r="D25" s="252">
        <f>SUMIFS('MTD Pivot'!E:E, 'MTD Pivot'!$A:$A, "Điểm Tín Dụng", 'MTD Pivot'!$C:$C, $B25)</f>
        <v/>
      </c>
      <c r="E25" s="252">
        <f>SUMIFS('MTD Pivot'!F:F, 'MTD Pivot'!$A:$A, "Điểm Tín Dụng", 'MTD Pivot'!$C:$C, $B25)</f>
        <v/>
      </c>
      <c r="F25" s="252">
        <f>SUMIFS('MTD Pivot'!G:G, 'MTD Pivot'!$A:$A, "Điểm Tín Dụng", 'MTD Pivot'!$C:$C, $B25)</f>
        <v/>
      </c>
      <c r="G25" s="252">
        <f>SUMIFS('MTD Pivot'!H:H, 'MTD Pivot'!$A:$A, "Điểm Tín Dụng", 'MTD Pivot'!$C:$C, $B25)</f>
        <v/>
      </c>
      <c r="H25" s="252">
        <f>SUMIFS('MTD Pivot'!I:I, 'MTD Pivot'!$A:$A, "Điểm Tín Dụng", 'MTD Pivot'!$C:$C, $B25)</f>
        <v/>
      </c>
      <c r="I25" s="252">
        <f>H25-G25</f>
        <v/>
      </c>
      <c r="J25" s="257" t="inlineStr"/>
      <c r="K25" s="252">
        <f>SUMIFS('Full month Pivot'!D:D, 'Full month Pivot'!$A:$A, "Điểm Tín Dụng", 'Full month Pivot'!$C:$C, $B25)</f>
        <v/>
      </c>
      <c r="L25" s="252">
        <f>SUMIFS('Full month Pivot'!E:E, 'Full month Pivot'!$A:$A, "Điểm Tín Dụng", 'Full month Pivot'!$C:$C, $B25)</f>
        <v/>
      </c>
      <c r="M25" s="252">
        <f>SUMIFS('Full month Pivot'!F:F, 'Full month Pivot'!$A:$A, "Điểm Tín Dụng", 'Full month Pivot'!$C:$C, $B25)</f>
        <v/>
      </c>
      <c r="N25" s="252">
        <f>SUMIFS('Full month Pivot'!G:G, 'Full month Pivot'!$A:$A, "Điểm Tín Dụng", 'Full month Pivot'!$C:$C, $B25)</f>
        <v/>
      </c>
      <c r="O25" s="252">
        <f>SUMIFS('Full month Pivot'!H:H, 'Full month Pivot'!$A:$A, "Điểm Tín Dụng", 'Full month Pivot'!$C:$C, $B25)</f>
        <v/>
      </c>
      <c r="P25" s="252">
        <f>SUMIFS('Full month Pivot'!I:I, 'Full month Pivot'!$A:$A, "Điểm Tín Dụng", 'Full month Pivot'!$C:$C, $B25)</f>
        <v/>
      </c>
      <c r="Q25" s="252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257" t="inlineStr"/>
      <c r="B26" s="257" t="inlineStr">
        <is>
          <t>Referral</t>
        </is>
      </c>
      <c r="C26" s="252">
        <f>SUMIFS('MTD Pivot'!D:D, 'MTD Pivot'!$A:$A, "Điểm Tín Dụng", 'MTD Pivot'!$C:$C, $B26)</f>
        <v/>
      </c>
      <c r="D26" s="252">
        <f>SUMIFS('MTD Pivot'!E:E, 'MTD Pivot'!$A:$A, "Điểm Tín Dụng", 'MTD Pivot'!$C:$C, $B26)</f>
        <v/>
      </c>
      <c r="E26" s="252">
        <f>SUMIFS('MTD Pivot'!F:F, 'MTD Pivot'!$A:$A, "Điểm Tín Dụng", 'MTD Pivot'!$C:$C, $B26)</f>
        <v/>
      </c>
      <c r="F26" s="252">
        <f>SUMIFS('MTD Pivot'!G:G, 'MTD Pivot'!$A:$A, "Điểm Tín Dụng", 'MTD Pivot'!$C:$C, $B26)</f>
        <v/>
      </c>
      <c r="G26" s="252">
        <f>SUMIFS('MTD Pivot'!H:H, 'MTD Pivot'!$A:$A, "Điểm Tín Dụng", 'MTD Pivot'!$C:$C, $B26)</f>
        <v/>
      </c>
      <c r="H26" s="252">
        <f>SUMIFS('MTD Pivot'!I:I, 'MTD Pivot'!$A:$A, "Điểm Tín Dụng", 'MTD Pivot'!$C:$C, $B26)</f>
        <v/>
      </c>
      <c r="I26" s="252">
        <f>H26-G26</f>
        <v/>
      </c>
      <c r="J26" s="257" t="inlineStr"/>
      <c r="K26" s="252">
        <f>SUMIFS('Full month Pivot'!D:D, 'Full month Pivot'!$A:$A, "Điểm Tín Dụng", 'Full month Pivot'!$C:$C, $B26)</f>
        <v/>
      </c>
      <c r="L26" s="252">
        <f>SUMIFS('Full month Pivot'!E:E, 'Full month Pivot'!$A:$A, "Điểm Tín Dụng", 'Full month Pivot'!$C:$C, $B26)</f>
        <v/>
      </c>
      <c r="M26" s="252">
        <f>SUMIFS('Full month Pivot'!F:F, 'Full month Pivot'!$A:$A, "Điểm Tín Dụng", 'Full month Pivot'!$C:$C, $B26)</f>
        <v/>
      </c>
      <c r="N26" s="252">
        <f>SUMIFS('Full month Pivot'!G:G, 'Full month Pivot'!$A:$A, "Điểm Tín Dụng", 'Full month Pivot'!$C:$C, $B26)</f>
        <v/>
      </c>
      <c r="O26" s="252">
        <f>SUMIFS('Full month Pivot'!H:H, 'Full month Pivot'!$A:$A, "Điểm Tín Dụng", 'Full month Pivot'!$C:$C, $B26)</f>
        <v/>
      </c>
      <c r="P26" s="252">
        <f>SUMIFS('Full month Pivot'!I:I, 'Full month Pivot'!$A:$A, "Điểm Tín Dụng", 'Full month Pivot'!$C:$C, $B26)</f>
        <v/>
      </c>
      <c r="Q26" s="252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257" t="inlineStr"/>
      <c r="B27" s="257" t="inlineStr">
        <is>
          <t>Others</t>
        </is>
      </c>
      <c r="C27" s="252">
        <f>SUMIFS('MTD Pivot'!D:D, 'MTD Pivot'!$A:$A, "Điểm Tín Dụng", 'MTD Pivot'!$C:$C, $B27)</f>
        <v/>
      </c>
      <c r="D27" s="252">
        <f>SUMIFS('MTD Pivot'!E:E, 'MTD Pivot'!$A:$A, "Điểm Tín Dụng", 'MTD Pivot'!$C:$C, $B27)</f>
        <v/>
      </c>
      <c r="E27" s="252">
        <f>SUMIFS('MTD Pivot'!F:F, 'MTD Pivot'!$A:$A, "Điểm Tín Dụng", 'MTD Pivot'!$C:$C, $B27)</f>
        <v/>
      </c>
      <c r="F27" s="252">
        <f>SUMIFS('MTD Pivot'!G:G, 'MTD Pivot'!$A:$A, "Điểm Tín Dụng", 'MTD Pivot'!$C:$C, $B27)</f>
        <v/>
      </c>
      <c r="G27" s="252">
        <f>SUMIFS('MTD Pivot'!H:H, 'MTD Pivot'!$A:$A, "Điểm Tín Dụng", 'MTD Pivot'!$C:$C, $B27)</f>
        <v/>
      </c>
      <c r="H27" s="252">
        <f>SUMIFS('MTD Pivot'!I:I, 'MTD Pivot'!$A:$A, "Điểm Tín Dụng", 'MTD Pivot'!$C:$C, $B27)</f>
        <v/>
      </c>
      <c r="I27" s="252">
        <f>H27-G27</f>
        <v/>
      </c>
      <c r="J27" s="257" t="inlineStr"/>
      <c r="K27" s="252">
        <f>SUMIFS('Full month Pivot'!D:D, 'Full month Pivot'!$A:$A, "Điểm Tín Dụng", 'Full month Pivot'!$C:$C, $B27)</f>
        <v/>
      </c>
      <c r="L27" s="252">
        <f>SUMIFS('Full month Pivot'!E:E, 'Full month Pivot'!$A:$A, "Điểm Tín Dụng", 'Full month Pivot'!$C:$C, $B27)</f>
        <v/>
      </c>
      <c r="M27" s="252">
        <f>SUMIFS('Full month Pivot'!F:F, 'Full month Pivot'!$A:$A, "Điểm Tín Dụng", 'Full month Pivot'!$C:$C, $B27)</f>
        <v/>
      </c>
      <c r="N27" s="252">
        <f>SUMIFS('Full month Pivot'!G:G, 'Full month Pivot'!$A:$A, "Điểm Tín Dụng", 'Full month Pivot'!$C:$C, $B27)</f>
        <v/>
      </c>
      <c r="O27" s="252">
        <f>SUMIFS('Full month Pivot'!H:H, 'Full month Pivot'!$A:$A, "Điểm Tín Dụng", 'Full month Pivot'!$C:$C, $B27)</f>
        <v/>
      </c>
      <c r="P27" s="252">
        <f>SUMIFS('Full month Pivot'!I:I, 'Full month Pivot'!$A:$A, "Điểm Tín Dụng", 'Full month Pivot'!$C:$C, $B27)</f>
        <v/>
      </c>
      <c r="Q27" s="252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256" t="inlineStr">
        <is>
          <t>Ví Trả Sau</t>
        </is>
      </c>
      <c r="B29" s="257" t="inlineStr"/>
      <c r="C29" s="251">
        <f>sum(C30:C34)</f>
        <v/>
      </c>
      <c r="D29" s="251">
        <f>sum(D30:D34)</f>
        <v/>
      </c>
      <c r="E29" s="251">
        <f>sum(E30:E34)</f>
        <v/>
      </c>
      <c r="F29" s="251">
        <f>sum(F30:F34)</f>
        <v/>
      </c>
      <c r="G29" s="251">
        <f>sum(G30:G34)</f>
        <v/>
      </c>
      <c r="H29" s="251">
        <f>sum(H30:H34)</f>
        <v/>
      </c>
      <c r="I29" s="251">
        <f>H29-G29</f>
        <v/>
      </c>
      <c r="J29" s="257" t="inlineStr"/>
      <c r="K29" s="251">
        <f>sum(K30:K34)</f>
        <v/>
      </c>
      <c r="L29" s="251">
        <f>sum(L30:L34)</f>
        <v/>
      </c>
      <c r="M29" s="251">
        <f>sum(M30:M34)</f>
        <v/>
      </c>
      <c r="N29" s="251">
        <f>sum(N30:N34)</f>
        <v/>
      </c>
      <c r="O29" s="251">
        <f>sum(O30:O34)</f>
        <v/>
      </c>
      <c r="P29" s="251">
        <f>sum(P30:P34)</f>
        <v/>
      </c>
      <c r="Q29" s="251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257" t="inlineStr"/>
      <c r="B30" s="257" t="inlineStr">
        <is>
          <t>Paid</t>
        </is>
      </c>
      <c r="C30" s="252">
        <f>SUMIFS('MTD Pivot'!D:D, 'MTD Pivot'!$A:$A, "Ví Trả Sau", 'MTD Pivot'!$C:$C, $B30)</f>
        <v/>
      </c>
      <c r="D30" s="252">
        <f>SUMIFS('MTD Pivot'!E:E, 'MTD Pivot'!$A:$A, "Ví Trả Sau", 'MTD Pivot'!$C:$C, $B30)</f>
        <v/>
      </c>
      <c r="E30" s="252">
        <f>SUMIFS('MTD Pivot'!F:F, 'MTD Pivot'!$A:$A, "Ví Trả Sau", 'MTD Pivot'!$C:$C, $B30)</f>
        <v/>
      </c>
      <c r="F30" s="252">
        <f>SUMIFS('MTD Pivot'!G:G, 'MTD Pivot'!$A:$A, "Ví Trả Sau", 'MTD Pivot'!$C:$C, $B30)</f>
        <v/>
      </c>
      <c r="G30" s="252">
        <f>SUMIFS('MTD Pivot'!H:H, 'MTD Pivot'!$A:$A, "Ví Trả Sau", 'MTD Pivot'!$C:$C, $B30)</f>
        <v/>
      </c>
      <c r="H30" s="252">
        <f>SUMIFS('MTD Pivot'!I:I, 'MTD Pivot'!$A:$A, "Ví Trả Sau", 'MTD Pivot'!$C:$C, $B30)</f>
        <v/>
      </c>
      <c r="I30" s="252">
        <f>H30-G30</f>
        <v/>
      </c>
      <c r="J30" s="257" t="inlineStr"/>
      <c r="K30" s="252">
        <f>SUMIFS('Full month Pivot'!D:D, 'Full month Pivot'!$A:$A, "Ví Trả Sau", 'Full month Pivot'!$C:$C, $B30)</f>
        <v/>
      </c>
      <c r="L30" s="252">
        <f>SUMIFS('Full month Pivot'!E:E, 'Full month Pivot'!$A:$A, "Ví Trả Sau", 'Full month Pivot'!$C:$C, $B30)</f>
        <v/>
      </c>
      <c r="M30" s="252">
        <f>SUMIFS('Full month Pivot'!F:F, 'Full month Pivot'!$A:$A, "Ví Trả Sau", 'Full month Pivot'!$C:$C, $B30)</f>
        <v/>
      </c>
      <c r="N30" s="252">
        <f>SUMIFS('Full month Pivot'!G:G, 'Full month Pivot'!$A:$A, "Ví Trả Sau", 'Full month Pivot'!$C:$C, $B30)</f>
        <v/>
      </c>
      <c r="O30" s="252">
        <f>SUMIFS('Full month Pivot'!H:H, 'Full month Pivot'!$A:$A, "Ví Trả Sau", 'Full month Pivot'!$C:$C, $B30)</f>
        <v/>
      </c>
      <c r="P30" s="252">
        <f>SUMIFS('Full month Pivot'!I:I, 'Full month Pivot'!$A:$A, "Ví Trả Sau", 'Full month Pivot'!$C:$C, $B30)</f>
        <v/>
      </c>
      <c r="Q30" s="252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257" t="inlineStr"/>
      <c r="B31" s="257" t="inlineStr">
        <is>
          <t>Organic</t>
        </is>
      </c>
      <c r="C31" s="252">
        <f>SUMIFS('MTD Pivot'!D:D, 'MTD Pivot'!$A:$A, "Ví Trả Sau", 'MTD Pivot'!$C:$C, $B31)</f>
        <v/>
      </c>
      <c r="D31" s="252">
        <f>SUMIFS('MTD Pivot'!E:E, 'MTD Pivot'!$A:$A, "Ví Trả Sau", 'MTD Pivot'!$C:$C, $B31)</f>
        <v/>
      </c>
      <c r="E31" s="252">
        <f>SUMIFS('MTD Pivot'!F:F, 'MTD Pivot'!$A:$A, "Ví Trả Sau", 'MTD Pivot'!$C:$C, $B31)</f>
        <v/>
      </c>
      <c r="F31" s="252">
        <f>SUMIFS('MTD Pivot'!G:G, 'MTD Pivot'!$A:$A, "Ví Trả Sau", 'MTD Pivot'!$C:$C, $B31)</f>
        <v/>
      </c>
      <c r="G31" s="252">
        <f>SUMIFS('MTD Pivot'!H:H, 'MTD Pivot'!$A:$A, "Ví Trả Sau", 'MTD Pivot'!$C:$C, $B31)</f>
        <v/>
      </c>
      <c r="H31" s="252">
        <f>SUMIFS('MTD Pivot'!I:I, 'MTD Pivot'!$A:$A, "Ví Trả Sau", 'MTD Pivot'!$C:$C, $B31)</f>
        <v/>
      </c>
      <c r="I31" s="252">
        <f>H31-G31</f>
        <v/>
      </c>
      <c r="J31" s="257" t="inlineStr"/>
      <c r="K31" s="252">
        <f>SUMIFS('Full month Pivot'!D:D, 'Full month Pivot'!$A:$A, "Ví Trả Sau", 'Full month Pivot'!$C:$C, $B31)</f>
        <v/>
      </c>
      <c r="L31" s="252">
        <f>SUMIFS('Full month Pivot'!E:E, 'Full month Pivot'!$A:$A, "Ví Trả Sau", 'Full month Pivot'!$C:$C, $B31)</f>
        <v/>
      </c>
      <c r="M31" s="252">
        <f>SUMIFS('Full month Pivot'!F:F, 'Full month Pivot'!$A:$A, "Ví Trả Sau", 'Full month Pivot'!$C:$C, $B31)</f>
        <v/>
      </c>
      <c r="N31" s="252">
        <f>SUMIFS('Full month Pivot'!G:G, 'Full month Pivot'!$A:$A, "Ví Trả Sau", 'Full month Pivot'!$C:$C, $B31)</f>
        <v/>
      </c>
      <c r="O31" s="252">
        <f>SUMIFS('Full month Pivot'!H:H, 'Full month Pivot'!$A:$A, "Ví Trả Sau", 'Full month Pivot'!$C:$C, $B31)</f>
        <v/>
      </c>
      <c r="P31" s="252">
        <f>SUMIFS('Full month Pivot'!I:I, 'Full month Pivot'!$A:$A, "Ví Trả Sau", 'Full month Pivot'!$C:$C, $B31)</f>
        <v/>
      </c>
      <c r="Q31" s="252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257" t="inlineStr"/>
      <c r="B32" s="257" t="inlineStr">
        <is>
          <t>Referral</t>
        </is>
      </c>
      <c r="C32" s="252">
        <f>SUMIFS('MTD Pivot'!D:D, 'MTD Pivot'!$A:$A, "Ví Trả Sau", 'MTD Pivot'!$C:$C, $B32)</f>
        <v/>
      </c>
      <c r="D32" s="252">
        <f>SUMIFS('MTD Pivot'!E:E, 'MTD Pivot'!$A:$A, "Ví Trả Sau", 'MTD Pivot'!$C:$C, $B32)</f>
        <v/>
      </c>
      <c r="E32" s="252">
        <f>SUMIFS('MTD Pivot'!F:F, 'MTD Pivot'!$A:$A, "Ví Trả Sau", 'MTD Pivot'!$C:$C, $B32)</f>
        <v/>
      </c>
      <c r="F32" s="252">
        <f>SUMIFS('MTD Pivot'!G:G, 'MTD Pivot'!$A:$A, "Ví Trả Sau", 'MTD Pivot'!$C:$C, $B32)</f>
        <v/>
      </c>
      <c r="G32" s="252">
        <f>SUMIFS('MTD Pivot'!H:H, 'MTD Pivot'!$A:$A, "Ví Trả Sau", 'MTD Pivot'!$C:$C, $B32)</f>
        <v/>
      </c>
      <c r="H32" s="252">
        <f>SUMIFS('MTD Pivot'!I:I, 'MTD Pivot'!$A:$A, "Ví Trả Sau", 'MTD Pivot'!$C:$C, $B32)</f>
        <v/>
      </c>
      <c r="I32" s="252">
        <f>H32-G32</f>
        <v/>
      </c>
      <c r="J32" s="257" t="inlineStr"/>
      <c r="K32" s="252">
        <f>SUMIFS('Full month Pivot'!D:D, 'Full month Pivot'!$A:$A, "Ví Trả Sau", 'Full month Pivot'!$C:$C, $B32)</f>
        <v/>
      </c>
      <c r="L32" s="252">
        <f>SUMIFS('Full month Pivot'!E:E, 'Full month Pivot'!$A:$A, "Ví Trả Sau", 'Full month Pivot'!$C:$C, $B32)</f>
        <v/>
      </c>
      <c r="M32" s="252">
        <f>SUMIFS('Full month Pivot'!F:F, 'Full month Pivot'!$A:$A, "Ví Trả Sau", 'Full month Pivot'!$C:$C, $B32)</f>
        <v/>
      </c>
      <c r="N32" s="252">
        <f>SUMIFS('Full month Pivot'!G:G, 'Full month Pivot'!$A:$A, "Ví Trả Sau", 'Full month Pivot'!$C:$C, $B32)</f>
        <v/>
      </c>
      <c r="O32" s="252">
        <f>SUMIFS('Full month Pivot'!H:H, 'Full month Pivot'!$A:$A, "Ví Trả Sau", 'Full month Pivot'!$C:$C, $B32)</f>
        <v/>
      </c>
      <c r="P32" s="252">
        <f>SUMIFS('Full month Pivot'!I:I, 'Full month Pivot'!$A:$A, "Ví Trả Sau", 'Full month Pivot'!$C:$C, $B32)</f>
        <v/>
      </c>
      <c r="Q32" s="252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257" t="inlineStr"/>
      <c r="B33" s="257" t="inlineStr">
        <is>
          <t>Direct</t>
        </is>
      </c>
      <c r="C33" s="252">
        <f>SUMIFS('MTD Pivot'!D:D, 'MTD Pivot'!$A:$A, "Ví Trả Sau", 'MTD Pivot'!$C:$C, $B33)</f>
        <v/>
      </c>
      <c r="D33" s="252">
        <f>SUMIFS('MTD Pivot'!E:E, 'MTD Pivot'!$A:$A, "Ví Trả Sau", 'MTD Pivot'!$C:$C, $B33)</f>
        <v/>
      </c>
      <c r="E33" s="252">
        <f>SUMIFS('MTD Pivot'!F:F, 'MTD Pivot'!$A:$A, "Ví Trả Sau", 'MTD Pivot'!$C:$C, $B33)</f>
        <v/>
      </c>
      <c r="F33" s="252">
        <f>SUMIFS('MTD Pivot'!G:G, 'MTD Pivot'!$A:$A, "Ví Trả Sau", 'MTD Pivot'!$C:$C, $B33)</f>
        <v/>
      </c>
      <c r="G33" s="252">
        <f>SUMIFS('MTD Pivot'!H:H, 'MTD Pivot'!$A:$A, "Ví Trả Sau", 'MTD Pivot'!$C:$C, $B33)</f>
        <v/>
      </c>
      <c r="H33" s="252">
        <f>SUMIFS('MTD Pivot'!I:I, 'MTD Pivot'!$A:$A, "Ví Trả Sau", 'MTD Pivot'!$C:$C, $B33)</f>
        <v/>
      </c>
      <c r="I33" s="252">
        <f>H33-G33</f>
        <v/>
      </c>
      <c r="J33" s="257" t="inlineStr"/>
      <c r="K33" s="252">
        <f>SUMIFS('Full month Pivot'!D:D, 'Full month Pivot'!$A:$A, "Ví Trả Sau", 'Full month Pivot'!$C:$C, $B33)</f>
        <v/>
      </c>
      <c r="L33" s="252">
        <f>SUMIFS('Full month Pivot'!E:E, 'Full month Pivot'!$A:$A, "Ví Trả Sau", 'Full month Pivot'!$C:$C, $B33)</f>
        <v/>
      </c>
      <c r="M33" s="252">
        <f>SUMIFS('Full month Pivot'!F:F, 'Full month Pivot'!$A:$A, "Ví Trả Sau", 'Full month Pivot'!$C:$C, $B33)</f>
        <v/>
      </c>
      <c r="N33" s="252">
        <f>SUMIFS('Full month Pivot'!G:G, 'Full month Pivot'!$A:$A, "Ví Trả Sau", 'Full month Pivot'!$C:$C, $B33)</f>
        <v/>
      </c>
      <c r="O33" s="252">
        <f>SUMIFS('Full month Pivot'!H:H, 'Full month Pivot'!$A:$A, "Ví Trả Sau", 'Full month Pivot'!$C:$C, $B33)</f>
        <v/>
      </c>
      <c r="P33" s="252">
        <f>SUMIFS('Full month Pivot'!I:I, 'Full month Pivot'!$A:$A, "Ví Trả Sau", 'Full month Pivot'!$C:$C, $B33)</f>
        <v/>
      </c>
      <c r="Q33" s="252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257" t="inlineStr"/>
      <c r="B34" s="257" t="inlineStr">
        <is>
          <t>Others</t>
        </is>
      </c>
      <c r="C34" s="252">
        <f>SUMIFS('MTD Pivot'!D:D, 'MTD Pivot'!$A:$A, "Ví Trả Sau", 'MTD Pivot'!$C:$C, $B34)</f>
        <v/>
      </c>
      <c r="D34" s="252">
        <f>SUMIFS('MTD Pivot'!E:E, 'MTD Pivot'!$A:$A, "Ví Trả Sau", 'MTD Pivot'!$C:$C, $B34)</f>
        <v/>
      </c>
      <c r="E34" s="252">
        <f>SUMIFS('MTD Pivot'!F:F, 'MTD Pivot'!$A:$A, "Ví Trả Sau", 'MTD Pivot'!$C:$C, $B34)</f>
        <v/>
      </c>
      <c r="F34" s="252">
        <f>SUMIFS('MTD Pivot'!G:G, 'MTD Pivot'!$A:$A, "Ví Trả Sau", 'MTD Pivot'!$C:$C, $B34)</f>
        <v/>
      </c>
      <c r="G34" s="252">
        <f>SUMIFS('MTD Pivot'!H:H, 'MTD Pivot'!$A:$A, "Ví Trả Sau", 'MTD Pivot'!$C:$C, $B34)</f>
        <v/>
      </c>
      <c r="H34" s="252">
        <f>SUMIFS('MTD Pivot'!I:I, 'MTD Pivot'!$A:$A, "Ví Trả Sau", 'MTD Pivot'!$C:$C, $B34)</f>
        <v/>
      </c>
      <c r="I34" s="252">
        <f>H34-G34</f>
        <v/>
      </c>
      <c r="J34" s="257" t="inlineStr"/>
      <c r="K34" s="252">
        <f>SUMIFS('Full month Pivot'!D:D, 'Full month Pivot'!$A:$A, "Ví Trả Sau", 'Full month Pivot'!$C:$C, $B34)</f>
        <v/>
      </c>
      <c r="L34" s="252">
        <f>SUMIFS('Full month Pivot'!E:E, 'Full month Pivot'!$A:$A, "Ví Trả Sau", 'Full month Pivot'!$C:$C, $B34)</f>
        <v/>
      </c>
      <c r="M34" s="252">
        <f>SUMIFS('Full month Pivot'!F:F, 'Full month Pivot'!$A:$A, "Ví Trả Sau", 'Full month Pivot'!$C:$C, $B34)</f>
        <v/>
      </c>
      <c r="N34" s="252">
        <f>SUMIFS('Full month Pivot'!G:G, 'Full month Pivot'!$A:$A, "Ví Trả Sau", 'Full month Pivot'!$C:$C, $B34)</f>
        <v/>
      </c>
      <c r="O34" s="252">
        <f>SUMIFS('Full month Pivot'!H:H, 'Full month Pivot'!$A:$A, "Ví Trả Sau", 'Full month Pivot'!$C:$C, $B34)</f>
        <v/>
      </c>
      <c r="P34" s="252">
        <f>SUMIFS('Full month Pivot'!I:I, 'Full month Pivot'!$A:$A, "Ví Trả Sau", 'Full month Pivot'!$C:$C, $B34)</f>
        <v/>
      </c>
      <c r="Q34" s="252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256" t="inlineStr">
        <is>
          <t>Túi Thần Tài</t>
        </is>
      </c>
      <c r="B36" s="257" t="inlineStr"/>
      <c r="C36" s="251" t="n">
        <v>864</v>
      </c>
      <c r="D36" s="251" t="n">
        <v>795</v>
      </c>
      <c r="E36" s="251" t="n">
        <v>1786</v>
      </c>
      <c r="F36" s="251" t="n">
        <v>1809</v>
      </c>
      <c r="G36" s="251">
        <f>sum(G37:G41)</f>
        <v/>
      </c>
      <c r="H36" s="251">
        <f>sum(H37:H41)</f>
        <v/>
      </c>
      <c r="I36" s="251">
        <f>H36-G36</f>
        <v/>
      </c>
      <c r="J36" s="257" t="inlineStr"/>
      <c r="K36" s="251">
        <f>sum(K37:K40)</f>
        <v/>
      </c>
      <c r="L36" s="251">
        <f>sum(L37:L40)</f>
        <v/>
      </c>
      <c r="M36" s="251">
        <f>sum(M37:M40)</f>
        <v/>
      </c>
      <c r="N36" s="251">
        <f>sum(N37:N40)</f>
        <v/>
      </c>
      <c r="O36" s="251">
        <f>sum(O37:O41)</f>
        <v/>
      </c>
      <c r="P36" s="251">
        <f>sum(P37:P41)</f>
        <v/>
      </c>
      <c r="Q36" s="251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257" t="inlineStr"/>
      <c r="B37" s="257" t="inlineStr">
        <is>
          <t>Organic</t>
        </is>
      </c>
      <c r="C37" s="252">
        <f>SUMIFS('MTD Pivot'!D:D, 'MTD Pivot'!$A:$A, "Túi Thần Tài", 'MTD Pivot'!$C:$C, $B37)</f>
        <v/>
      </c>
      <c r="D37" s="252">
        <f>SUMIFS('MTD Pivot'!E:E, 'MTD Pivot'!$A:$A, "Túi Thần Tài", 'MTD Pivot'!$C:$C, $B37)</f>
        <v/>
      </c>
      <c r="E37" s="252">
        <f>SUMIFS('MTD Pivot'!F:F, 'MTD Pivot'!$A:$A, "Túi Thần Tài", 'MTD Pivot'!$C:$C, $B37)</f>
        <v/>
      </c>
      <c r="F37" s="252">
        <f>SUMIFS('MTD Pivot'!G:G, 'MTD Pivot'!$A:$A, "Túi Thần Tài", 'MTD Pivot'!$C:$C, $B37)</f>
        <v/>
      </c>
      <c r="G37" s="252">
        <f>SUMIFS('MTD Pivot'!H:H, 'MTD Pivot'!$A:$A, "Túi Thần Tài", 'MTD Pivot'!$C:$C, $B37)</f>
        <v/>
      </c>
      <c r="H37" s="252">
        <f>SUMIFS('MTD Pivot'!I:I, 'MTD Pivot'!$A:$A, "Túi Thần Tài", 'MTD Pivot'!$C:$C, $B37)</f>
        <v/>
      </c>
      <c r="I37" s="252">
        <f>H37-G37</f>
        <v/>
      </c>
      <c r="J37" s="257" t="inlineStr"/>
      <c r="K37" s="252">
        <f>SUMIFS('Full month Pivot'!D:D, 'Full month Pivot'!$A:$A, "Túi Thần Tài", 'Full month Pivot'!$C:$C, $B37)</f>
        <v/>
      </c>
      <c r="L37" s="252">
        <f>SUMIFS('Full month Pivot'!E:E, 'Full month Pivot'!$A:$A, "Túi Thần Tài", 'Full month Pivot'!$C:$C, $B37)</f>
        <v/>
      </c>
      <c r="M37" s="252">
        <f>SUMIFS('Full month Pivot'!F:F, 'Full month Pivot'!$A:$A, "Túi Thần Tài", 'Full month Pivot'!$C:$C, $B37)</f>
        <v/>
      </c>
      <c r="N37" s="252">
        <f>SUMIFS('Full month Pivot'!G:G, 'Full month Pivot'!$A:$A, "Túi Thần Tài", 'Full month Pivot'!$C:$C, $B37)</f>
        <v/>
      </c>
      <c r="O37" s="252">
        <f>SUMIFS('Full month Pivot'!H:H, 'Full month Pivot'!$A:$A, "Túi Thần Tài", 'Full month Pivot'!$C:$C, $B37)</f>
        <v/>
      </c>
      <c r="P37" s="252">
        <f>SUMIFS('Full month Pivot'!I:I, 'Full month Pivot'!$A:$A, "Túi Thần Tài", 'Full month Pivot'!$C:$C, $B37)</f>
        <v/>
      </c>
      <c r="Q37" s="252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257" t="inlineStr"/>
      <c r="B38" s="257" t="inlineStr">
        <is>
          <t>Referral</t>
        </is>
      </c>
      <c r="C38" s="252">
        <f>SUMIFS('MTD Pivot'!D:D, 'MTD Pivot'!$A:$A, "Túi Thần Tài", 'MTD Pivot'!$C:$C, $B38)</f>
        <v/>
      </c>
      <c r="D38" s="252">
        <f>SUMIFS('MTD Pivot'!E:E, 'MTD Pivot'!$A:$A, "Túi Thần Tài", 'MTD Pivot'!$C:$C, $B38)</f>
        <v/>
      </c>
      <c r="E38" s="252">
        <f>SUMIFS('MTD Pivot'!F:F, 'MTD Pivot'!$A:$A, "Túi Thần Tài", 'MTD Pivot'!$C:$C, $B38)</f>
        <v/>
      </c>
      <c r="F38" s="252">
        <f>SUMIFS('MTD Pivot'!G:G, 'MTD Pivot'!$A:$A, "Túi Thần Tài", 'MTD Pivot'!$C:$C, $B38)</f>
        <v/>
      </c>
      <c r="G38" s="252">
        <f>SUMIFS('MTD Pivot'!H:H, 'MTD Pivot'!$A:$A, "Túi Thần Tài", 'MTD Pivot'!$C:$C, $B38)</f>
        <v/>
      </c>
      <c r="H38" s="252">
        <f>SUMIFS('MTD Pivot'!I:I, 'MTD Pivot'!$A:$A, "Túi Thần Tài", 'MTD Pivot'!$C:$C, $B38)</f>
        <v/>
      </c>
      <c r="I38" s="252">
        <f>H38-G38</f>
        <v/>
      </c>
      <c r="J38" s="257" t="inlineStr"/>
      <c r="K38" s="252">
        <f>SUMIFS('Full month Pivot'!D:D, 'Full month Pivot'!$A:$A, "Túi Thần Tài", 'Full month Pivot'!$C:$C, $B38)</f>
        <v/>
      </c>
      <c r="L38" s="252">
        <f>SUMIFS('Full month Pivot'!E:E, 'Full month Pivot'!$A:$A, "Túi Thần Tài", 'Full month Pivot'!$C:$C, $B38)</f>
        <v/>
      </c>
      <c r="M38" s="252">
        <f>SUMIFS('Full month Pivot'!F:F, 'Full month Pivot'!$A:$A, "Túi Thần Tài", 'Full month Pivot'!$C:$C, $B38)</f>
        <v/>
      </c>
      <c r="N38" s="252">
        <f>SUMIFS('Full month Pivot'!G:G, 'Full month Pivot'!$A:$A, "Túi Thần Tài", 'Full month Pivot'!$C:$C, $B38)</f>
        <v/>
      </c>
      <c r="O38" s="252">
        <f>SUMIFS('Full month Pivot'!H:H, 'Full month Pivot'!$A:$A, "Túi Thần Tài", 'Full month Pivot'!$C:$C, $B38)</f>
        <v/>
      </c>
      <c r="P38" s="252">
        <f>SUMIFS('Full month Pivot'!I:I, 'Full month Pivot'!$A:$A, "Túi Thần Tài", 'Full month Pivot'!$C:$C, $B38)</f>
        <v/>
      </c>
      <c r="Q38" s="252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257" t="inlineStr"/>
      <c r="B39" s="257" t="inlineStr">
        <is>
          <t>Direct</t>
        </is>
      </c>
      <c r="C39" s="252">
        <f>SUMIFS('MTD Pivot'!D:D, 'MTD Pivot'!$A:$A, "Túi Thần Tài", 'MTD Pivot'!$C:$C, $B39)</f>
        <v/>
      </c>
      <c r="D39" s="252">
        <f>SUMIFS('MTD Pivot'!E:E, 'MTD Pivot'!$A:$A, "Túi Thần Tài", 'MTD Pivot'!$C:$C, $B39)</f>
        <v/>
      </c>
      <c r="E39" s="252">
        <f>SUMIFS('MTD Pivot'!F:F, 'MTD Pivot'!$A:$A, "Túi Thần Tài", 'MTD Pivot'!$C:$C, $B39)</f>
        <v/>
      </c>
      <c r="F39" s="252">
        <f>SUMIFS('MTD Pivot'!G:G, 'MTD Pivot'!$A:$A, "Túi Thần Tài", 'MTD Pivot'!$C:$C, $B39)</f>
        <v/>
      </c>
      <c r="G39" s="252">
        <f>SUMIFS('MTD Pivot'!H:H, 'MTD Pivot'!$A:$A, "Túi Thần Tài", 'MTD Pivot'!$C:$C, $B39)</f>
        <v/>
      </c>
      <c r="H39" s="252">
        <f>SUMIFS('MTD Pivot'!I:I, 'MTD Pivot'!$A:$A, "Túi Thần Tài", 'MTD Pivot'!$C:$C, $B39)</f>
        <v/>
      </c>
      <c r="I39" s="252">
        <f>H39-G39</f>
        <v/>
      </c>
      <c r="J39" s="257" t="inlineStr"/>
      <c r="K39" s="252">
        <f>SUMIFS('Full month Pivot'!D:D, 'Full month Pivot'!$A:$A, "Túi Thần Tài", 'Full month Pivot'!$C:$C, $B39)</f>
        <v/>
      </c>
      <c r="L39" s="252">
        <f>SUMIFS('Full month Pivot'!E:E, 'Full month Pivot'!$A:$A, "Túi Thần Tài", 'Full month Pivot'!$C:$C, $B39)</f>
        <v/>
      </c>
      <c r="M39" s="252">
        <f>SUMIFS('Full month Pivot'!F:F, 'Full month Pivot'!$A:$A, "Túi Thần Tài", 'Full month Pivot'!$C:$C, $B39)</f>
        <v/>
      </c>
      <c r="N39" s="252">
        <f>SUMIFS('Full month Pivot'!G:G, 'Full month Pivot'!$A:$A, "Túi Thần Tài", 'Full month Pivot'!$C:$C, $B39)</f>
        <v/>
      </c>
      <c r="O39" s="252">
        <f>SUMIFS('Full month Pivot'!H:H, 'Full month Pivot'!$A:$A, "Túi Thần Tài", 'Full month Pivot'!$C:$C, $B39)</f>
        <v/>
      </c>
      <c r="P39" s="252">
        <f>SUMIFS('Full month Pivot'!I:I, 'Full month Pivot'!$A:$A, "Túi Thần Tài", 'Full month Pivot'!$C:$C, $B39)</f>
        <v/>
      </c>
      <c r="Q39" s="252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257" t="inlineStr"/>
      <c r="B40" s="257" t="inlineStr">
        <is>
          <t>Others</t>
        </is>
      </c>
      <c r="C40" s="252">
        <f>SUMIFS('MTD Pivot'!D:D, 'MTD Pivot'!$A:$A, "Túi Thần Tài", 'MTD Pivot'!$C:$C, $B40)</f>
        <v/>
      </c>
      <c r="D40" s="252">
        <f>SUMIFS('MTD Pivot'!E:E, 'MTD Pivot'!$A:$A, "Túi Thần Tài", 'MTD Pivot'!$C:$C, $B40)</f>
        <v/>
      </c>
      <c r="E40" s="252">
        <f>SUMIFS('MTD Pivot'!F:F, 'MTD Pivot'!$A:$A, "Túi Thần Tài", 'MTD Pivot'!$C:$C, $B40)</f>
        <v/>
      </c>
      <c r="F40" s="252">
        <f>SUMIFS('MTD Pivot'!G:G, 'MTD Pivot'!$A:$A, "Túi Thần Tài", 'MTD Pivot'!$C:$C, $B40)</f>
        <v/>
      </c>
      <c r="G40" s="252">
        <f>SUMIFS('MTD Pivot'!H:H, 'MTD Pivot'!$A:$A, "Túi Thần Tài", 'MTD Pivot'!$C:$C, $B40)</f>
        <v/>
      </c>
      <c r="H40" s="252">
        <f>SUMIFS('MTD Pivot'!I:I, 'MTD Pivot'!$A:$A, "Túi Thần Tài", 'MTD Pivot'!$C:$C, $B40)</f>
        <v/>
      </c>
      <c r="I40" s="252">
        <f>H40-G40</f>
        <v/>
      </c>
      <c r="J40" s="257" t="inlineStr"/>
      <c r="K40" s="252">
        <f>SUMIFS('Full month Pivot'!D:D, 'Full month Pivot'!$A:$A, "Túi Thần Tài", 'Full month Pivot'!$C:$C, $B40)</f>
        <v/>
      </c>
      <c r="L40" s="252">
        <f>SUMIFS('Full month Pivot'!E:E, 'Full month Pivot'!$A:$A, "Túi Thần Tài", 'Full month Pivot'!$C:$C, $B40)</f>
        <v/>
      </c>
      <c r="M40" s="252">
        <f>SUMIFS('Full month Pivot'!F:F, 'Full month Pivot'!$A:$A, "Túi Thần Tài", 'Full month Pivot'!$C:$C, $B40)</f>
        <v/>
      </c>
      <c r="N40" s="252">
        <f>SUMIFS('Full month Pivot'!G:G, 'Full month Pivot'!$A:$A, "Túi Thần Tài", 'Full month Pivot'!$C:$C, $B40)</f>
        <v/>
      </c>
      <c r="O40" s="252">
        <f>SUMIFS('Full month Pivot'!H:H, 'Full month Pivot'!$A:$A, "Túi Thần Tài", 'Full month Pivot'!$C:$C, $B40)</f>
        <v/>
      </c>
      <c r="P40" s="252">
        <f>SUMIFS('Full month Pivot'!I:I, 'Full month Pivot'!$A:$A, "Túi Thần Tài", 'Full month Pivot'!$C:$C, $B40)</f>
        <v/>
      </c>
      <c r="Q40" s="252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257" t="inlineStr"/>
      <c r="B41" s="257" t="inlineStr">
        <is>
          <t>Paid</t>
        </is>
      </c>
      <c r="C41" s="252">
        <f>SUMIFS('MTD Pivot'!D:D, 'MTD Pivot'!$A:$A, "Túi Thần Tài", 'MTD Pivot'!$C:$C, $B41)</f>
        <v/>
      </c>
      <c r="D41" s="252">
        <f>SUMIFS('MTD Pivot'!E:E, 'MTD Pivot'!$A:$A, "Túi Thần Tài", 'MTD Pivot'!$C:$C, $B41)</f>
        <v/>
      </c>
      <c r="E41" s="252">
        <f>SUMIFS('MTD Pivot'!F:F, 'MTD Pivot'!$A:$A, "Túi Thần Tài", 'MTD Pivot'!$C:$C, $B41)</f>
        <v/>
      </c>
      <c r="F41" s="252">
        <f>SUMIFS('MTD Pivot'!G:G, 'MTD Pivot'!$A:$A, "Túi Thần Tài", 'MTD Pivot'!$C:$C, $B41)</f>
        <v/>
      </c>
      <c r="G41" s="252">
        <f>SUMIFS('MTD Pivot'!H:H, 'MTD Pivot'!$A:$A, "Túi Thần Tài", 'MTD Pivot'!$C:$C, $B41)</f>
        <v/>
      </c>
      <c r="H41" s="252">
        <f>SUMIFS('MTD Pivot'!I:I, 'MTD Pivot'!$A:$A, "Túi Thần Tài", 'MTD Pivot'!$C:$C, $B41)</f>
        <v/>
      </c>
      <c r="I41" s="252">
        <f>H41-G41</f>
        <v/>
      </c>
      <c r="J41" s="257" t="inlineStr"/>
      <c r="K41" s="252">
        <f>SUMIFS('Full month Pivot'!D:D, 'Full month Pivot'!$A:$A, "Túi Thần Tài", 'Full month Pivot'!$C:$C, $B41)</f>
        <v/>
      </c>
      <c r="L41" s="252">
        <f>SUMIFS('Full month Pivot'!E:E, 'Full month Pivot'!$A:$A, "Túi Thần Tài", 'Full month Pivot'!$C:$C, $B41)</f>
        <v/>
      </c>
      <c r="M41" s="252">
        <f>SUMIFS('Full month Pivot'!F:F, 'Full month Pivot'!$A:$A, "Túi Thần Tài", 'Full month Pivot'!$C:$C, $B41)</f>
        <v/>
      </c>
      <c r="N41" s="252">
        <f>SUMIFS('Full month Pivot'!G:G, 'Full month Pivot'!$A:$A, "Túi Thần Tài", 'Full month Pivot'!$C:$C, $B41)</f>
        <v/>
      </c>
      <c r="O41" s="252">
        <f>SUMIFS('Full month Pivot'!H:H, 'Full month Pivot'!$A:$A, "Túi Thần Tài", 'Full month Pivot'!$C:$C, $B41)</f>
        <v/>
      </c>
      <c r="P41" s="252">
        <f>SUMIFS('Full month Pivot'!I:I, 'Full month Pivot'!$A:$A, "Túi Thần Tài", 'Full month Pivot'!$C:$C, $B41)</f>
        <v/>
      </c>
      <c r="Q41" s="252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256" t="inlineStr">
        <is>
          <t>Mở Thẻ Tín Dụng</t>
        </is>
      </c>
      <c r="B43" s="257" t="inlineStr"/>
      <c r="C43" s="251">
        <f>sum(C44:C48)</f>
        <v/>
      </c>
      <c r="D43" s="251">
        <f>sum(D44:D48)</f>
        <v/>
      </c>
      <c r="E43" s="251">
        <f>sum(E44:E48)</f>
        <v/>
      </c>
      <c r="F43" s="251">
        <f>sum(F44:F48)</f>
        <v/>
      </c>
      <c r="G43" s="251">
        <f>sum(G44:G48)</f>
        <v/>
      </c>
      <c r="H43" s="251">
        <f>sum(H44:H48)</f>
        <v/>
      </c>
      <c r="I43" s="251">
        <f>H43-G43</f>
        <v/>
      </c>
      <c r="J43" s="257" t="inlineStr"/>
      <c r="K43" s="251">
        <f>sum(K44:K48)</f>
        <v/>
      </c>
      <c r="L43" s="251">
        <f>sum(L44:L48)</f>
        <v/>
      </c>
      <c r="M43" s="251">
        <f>sum(M44:M48)</f>
        <v/>
      </c>
      <c r="N43" s="251">
        <f>sum(N44:N48)</f>
        <v/>
      </c>
      <c r="O43" s="251">
        <f>sum(O44:O48)</f>
        <v/>
      </c>
      <c r="P43" s="251">
        <f>sum(P44:P48)</f>
        <v/>
      </c>
      <c r="Q43" s="251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257" t="inlineStr"/>
      <c r="B44" s="257" t="inlineStr">
        <is>
          <t>Organic</t>
        </is>
      </c>
      <c r="C44" s="252">
        <f>SUMIFS('MTD Pivot'!D:D, 'MTD Pivot'!$A:$A, "Mở Thẻ Tín Dụng", 'MTD Pivot'!$C:$C, $B44)</f>
        <v/>
      </c>
      <c r="D44" s="252">
        <f>SUMIFS('MTD Pivot'!E:E, 'MTD Pivot'!$A:$A, "Mở Thẻ Tín Dụng", 'MTD Pivot'!$C:$C, $B44)</f>
        <v/>
      </c>
      <c r="E44" s="252">
        <f>SUMIFS('MTD Pivot'!F:F, 'MTD Pivot'!$A:$A, "Mở Thẻ Tín Dụng", 'MTD Pivot'!$C:$C, $B44)</f>
        <v/>
      </c>
      <c r="F44" s="252">
        <f>SUMIFS('MTD Pivot'!G:G, 'MTD Pivot'!$A:$A, "Mở Thẻ Tín Dụng", 'MTD Pivot'!$C:$C, $B44)</f>
        <v/>
      </c>
      <c r="G44" s="252">
        <f>SUMIFS('MTD Pivot'!H:H, 'MTD Pivot'!$A:$A, "Mở Thẻ Tín Dụng", 'MTD Pivot'!$C:$C, $B44)</f>
        <v/>
      </c>
      <c r="H44" s="252">
        <f>SUMIFS('MTD Pivot'!I:I, 'MTD Pivot'!$A:$A, "Mở Thẻ Tín Dụng", 'MTD Pivot'!$C:$C, $B44)</f>
        <v/>
      </c>
      <c r="I44" s="252">
        <f>H44-G44</f>
        <v/>
      </c>
      <c r="J44" s="257" t="inlineStr"/>
      <c r="K44" s="252">
        <f>SUMIFS('Full month Pivot'!D:D, 'Full month Pivot'!$A:$A, "Mở Thẻ Tín Dụng", 'Full month Pivot'!$C:$C, $B44)</f>
        <v/>
      </c>
      <c r="L44" s="252">
        <f>SUMIFS('Full month Pivot'!E:E, 'Full month Pivot'!$A:$A, "Mở Thẻ Tín Dụng", 'Full month Pivot'!$C:$C, $B44)</f>
        <v/>
      </c>
      <c r="M44" s="252">
        <f>SUMIFS('Full month Pivot'!F:F, 'Full month Pivot'!$A:$A, "Mở Thẻ Tín Dụng", 'Full month Pivot'!$C:$C, $B44)</f>
        <v/>
      </c>
      <c r="N44" s="252">
        <f>SUMIFS('Full month Pivot'!G:G, 'Full month Pivot'!$A:$A, "Mở Thẻ Tín Dụng", 'Full month Pivot'!$C:$C, $B44)</f>
        <v/>
      </c>
      <c r="O44" s="252">
        <f>SUMIFS('Full month Pivot'!H:H, 'Full month Pivot'!$A:$A, "Mở Thẻ Tín Dụng", 'Full month Pivot'!$C:$C, $B44)</f>
        <v/>
      </c>
      <c r="P44" s="252">
        <f>SUMIFS('Full month Pivot'!I:I, 'Full month Pivot'!$A:$A, "Mở Thẻ Tín Dụng", 'Full month Pivot'!$C:$C, $B44)</f>
        <v/>
      </c>
      <c r="Q44" s="252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257" t="inlineStr"/>
      <c r="B45" s="257" t="inlineStr">
        <is>
          <t>Referral</t>
        </is>
      </c>
      <c r="C45" s="252">
        <f>SUMIFS('MTD Pivot'!D:D, 'MTD Pivot'!$A:$A, "Mở Thẻ Tín Dụng", 'MTD Pivot'!$C:$C, $B45)</f>
        <v/>
      </c>
      <c r="D45" s="252">
        <f>SUMIFS('MTD Pivot'!E:E, 'MTD Pivot'!$A:$A, "Mở Thẻ Tín Dụng", 'MTD Pivot'!$C:$C, $B45)</f>
        <v/>
      </c>
      <c r="E45" s="252">
        <f>SUMIFS('MTD Pivot'!F:F, 'MTD Pivot'!$A:$A, "Mở Thẻ Tín Dụng", 'MTD Pivot'!$C:$C, $B45)</f>
        <v/>
      </c>
      <c r="F45" s="252">
        <f>SUMIFS('MTD Pivot'!G:G, 'MTD Pivot'!$A:$A, "Mở Thẻ Tín Dụng", 'MTD Pivot'!$C:$C, $B45)</f>
        <v/>
      </c>
      <c r="G45" s="252">
        <f>SUMIFS('MTD Pivot'!H:H, 'MTD Pivot'!$A:$A, "Mở Thẻ Tín Dụng", 'MTD Pivot'!$C:$C, $B45)</f>
        <v/>
      </c>
      <c r="H45" s="252">
        <f>SUMIFS('MTD Pivot'!I:I, 'MTD Pivot'!$A:$A, "Mở Thẻ Tín Dụng", 'MTD Pivot'!$C:$C, $B45)</f>
        <v/>
      </c>
      <c r="I45" s="252">
        <f>H45-G45</f>
        <v/>
      </c>
      <c r="J45" s="257" t="inlineStr"/>
      <c r="K45" s="252">
        <f>SUMIFS('Full month Pivot'!D:D, 'Full month Pivot'!$A:$A, "Mở Thẻ Tín Dụng", 'Full month Pivot'!$C:$C, $B45)</f>
        <v/>
      </c>
      <c r="L45" s="252">
        <f>SUMIFS('Full month Pivot'!E:E, 'Full month Pivot'!$A:$A, "Mở Thẻ Tín Dụng", 'Full month Pivot'!$C:$C, $B45)</f>
        <v/>
      </c>
      <c r="M45" s="252">
        <f>SUMIFS('Full month Pivot'!F:F, 'Full month Pivot'!$A:$A, "Mở Thẻ Tín Dụng", 'Full month Pivot'!$C:$C, $B45)</f>
        <v/>
      </c>
      <c r="N45" s="252">
        <f>SUMIFS('Full month Pivot'!G:G, 'Full month Pivot'!$A:$A, "Mở Thẻ Tín Dụng", 'Full month Pivot'!$C:$C, $B45)</f>
        <v/>
      </c>
      <c r="O45" s="252">
        <f>SUMIFS('Full month Pivot'!H:H, 'Full month Pivot'!$A:$A, "Mở Thẻ Tín Dụng", 'Full month Pivot'!$C:$C, $B45)</f>
        <v/>
      </c>
      <c r="P45" s="252">
        <f>SUMIFS('Full month Pivot'!I:I, 'Full month Pivot'!$A:$A, "Mở Thẻ Tín Dụng", 'Full month Pivot'!$C:$C, $B45)</f>
        <v/>
      </c>
      <c r="Q45" s="252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257" t="inlineStr"/>
      <c r="B46" s="257" t="inlineStr">
        <is>
          <t>Direct</t>
        </is>
      </c>
      <c r="C46" s="252">
        <f>SUMIFS('MTD Pivot'!D:D, 'MTD Pivot'!$A:$A, "Mở Thẻ Tín Dụng", 'MTD Pivot'!$C:$C, $B46)</f>
        <v/>
      </c>
      <c r="D46" s="252">
        <f>SUMIFS('MTD Pivot'!E:E, 'MTD Pivot'!$A:$A, "Mở Thẻ Tín Dụng", 'MTD Pivot'!$C:$C, $B46)</f>
        <v/>
      </c>
      <c r="E46" s="252">
        <f>SUMIFS('MTD Pivot'!F:F, 'MTD Pivot'!$A:$A, "Mở Thẻ Tín Dụng", 'MTD Pivot'!$C:$C, $B46)</f>
        <v/>
      </c>
      <c r="F46" s="252">
        <f>SUMIFS('MTD Pivot'!G:G, 'MTD Pivot'!$A:$A, "Mở Thẻ Tín Dụng", 'MTD Pivot'!$C:$C, $B46)</f>
        <v/>
      </c>
      <c r="G46" s="252">
        <f>SUMIFS('MTD Pivot'!H:H, 'MTD Pivot'!$A:$A, "Mở Thẻ Tín Dụng", 'MTD Pivot'!$C:$C, $B46)</f>
        <v/>
      </c>
      <c r="H46" s="252">
        <f>SUMIFS('MTD Pivot'!I:I, 'MTD Pivot'!$A:$A, "Mở Thẻ Tín Dụng", 'MTD Pivot'!$C:$C, $B46)</f>
        <v/>
      </c>
      <c r="I46" s="252">
        <f>H46-G46</f>
        <v/>
      </c>
      <c r="J46" s="257" t="inlineStr"/>
      <c r="K46" s="252">
        <f>SUMIFS('Full month Pivot'!D:D, 'Full month Pivot'!$A:$A, "Mở Thẻ Tín Dụng", 'Full month Pivot'!$C:$C, $B46)</f>
        <v/>
      </c>
      <c r="L46" s="252">
        <f>SUMIFS('Full month Pivot'!E:E, 'Full month Pivot'!$A:$A, "Mở Thẻ Tín Dụng", 'Full month Pivot'!$C:$C, $B46)</f>
        <v/>
      </c>
      <c r="M46" s="252">
        <f>SUMIFS('Full month Pivot'!F:F, 'Full month Pivot'!$A:$A, "Mở Thẻ Tín Dụng", 'Full month Pivot'!$C:$C, $B46)</f>
        <v/>
      </c>
      <c r="N46" s="252">
        <f>SUMIFS('Full month Pivot'!G:G, 'Full month Pivot'!$A:$A, "Mở Thẻ Tín Dụng", 'Full month Pivot'!$C:$C, $B46)</f>
        <v/>
      </c>
      <c r="O46" s="252">
        <f>SUMIFS('Full month Pivot'!H:H, 'Full month Pivot'!$A:$A, "Mở Thẻ Tín Dụng", 'Full month Pivot'!$C:$C, $B46)</f>
        <v/>
      </c>
      <c r="P46" s="252">
        <f>SUMIFS('Full month Pivot'!I:I, 'Full month Pivot'!$A:$A, "Mở Thẻ Tín Dụng", 'Full month Pivot'!$C:$C, $B46)</f>
        <v/>
      </c>
      <c r="Q46" s="252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257" t="inlineStr"/>
      <c r="B47" s="257" t="inlineStr">
        <is>
          <t>Paid</t>
        </is>
      </c>
      <c r="C47" s="252">
        <f>SUMIFS('MTD Pivot'!D:D, 'MTD Pivot'!$A:$A, "Mở Thẻ Tín Dụng", 'MTD Pivot'!$C:$C, $B47)</f>
        <v/>
      </c>
      <c r="D47" s="252">
        <f>SUMIFS('MTD Pivot'!E:E, 'MTD Pivot'!$A:$A, "Mở Thẻ Tín Dụng", 'MTD Pivot'!$C:$C, $B47)</f>
        <v/>
      </c>
      <c r="E47" s="252">
        <f>SUMIFS('MTD Pivot'!F:F, 'MTD Pivot'!$A:$A, "Mở Thẻ Tín Dụng", 'MTD Pivot'!$C:$C, $B47)</f>
        <v/>
      </c>
      <c r="F47" s="252">
        <f>SUMIFS('MTD Pivot'!G:G, 'MTD Pivot'!$A:$A, "Mở Thẻ Tín Dụng", 'MTD Pivot'!$C:$C, $B47)</f>
        <v/>
      </c>
      <c r="G47" s="252">
        <f>SUMIFS('MTD Pivot'!H:H, 'MTD Pivot'!$A:$A, "Mở Thẻ Tín Dụng", 'MTD Pivot'!$C:$C, $B47)</f>
        <v/>
      </c>
      <c r="H47" s="252">
        <f>SUMIFS('MTD Pivot'!I:I, 'MTD Pivot'!$A:$A, "Mở Thẻ Tín Dụng", 'MTD Pivot'!$C:$C, $B47)</f>
        <v/>
      </c>
      <c r="I47" s="252">
        <f>H47-G47</f>
        <v/>
      </c>
      <c r="J47" s="257" t="inlineStr"/>
      <c r="K47" s="252">
        <f>SUMIFS('Full month Pivot'!D:D, 'Full month Pivot'!$A:$A, "Mở Thẻ Tín Dụng", 'Full month Pivot'!$C:$C, $B47)</f>
        <v/>
      </c>
      <c r="L47" s="252">
        <f>SUMIFS('Full month Pivot'!E:E, 'Full month Pivot'!$A:$A, "Mở Thẻ Tín Dụng", 'Full month Pivot'!$C:$C, $B47)</f>
        <v/>
      </c>
      <c r="M47" s="252">
        <f>SUMIFS('Full month Pivot'!F:F, 'Full month Pivot'!$A:$A, "Mở Thẻ Tín Dụng", 'Full month Pivot'!$C:$C, $B47)</f>
        <v/>
      </c>
      <c r="N47" s="252">
        <f>SUMIFS('Full month Pivot'!G:G, 'Full month Pivot'!$A:$A, "Mở Thẻ Tín Dụng", 'Full month Pivot'!$C:$C, $B47)</f>
        <v/>
      </c>
      <c r="O47" s="252">
        <f>SUMIFS('Full month Pivot'!H:H, 'Full month Pivot'!$A:$A, "Mở Thẻ Tín Dụng", 'Full month Pivot'!$C:$C, $B47)</f>
        <v/>
      </c>
      <c r="P47" s="252">
        <f>SUMIFS('Full month Pivot'!I:I, 'Full month Pivot'!$A:$A, "Mở Thẻ Tín Dụng", 'Full month Pivot'!$C:$C, $B47)</f>
        <v/>
      </c>
      <c r="Q47" s="252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257" t="inlineStr"/>
      <c r="B48" s="257" t="inlineStr">
        <is>
          <t>Others</t>
        </is>
      </c>
      <c r="C48" s="252">
        <f>SUMIFS('MTD Pivot'!D:D, 'MTD Pivot'!$A:$A, "Mở Thẻ Tín Dụng", 'MTD Pivot'!$C:$C, $B48)</f>
        <v/>
      </c>
      <c r="D48" s="252">
        <f>SUMIFS('MTD Pivot'!E:E, 'MTD Pivot'!$A:$A, "Mở Thẻ Tín Dụng", 'MTD Pivot'!$C:$C, $B48)</f>
        <v/>
      </c>
      <c r="E48" s="252">
        <f>SUMIFS('MTD Pivot'!F:F, 'MTD Pivot'!$A:$A, "Mở Thẻ Tín Dụng", 'MTD Pivot'!$C:$C, $B48)</f>
        <v/>
      </c>
      <c r="F48" s="252">
        <f>SUMIFS('MTD Pivot'!G:G, 'MTD Pivot'!$A:$A, "Mở Thẻ Tín Dụng", 'MTD Pivot'!$C:$C, $B48)</f>
        <v/>
      </c>
      <c r="G48" s="252">
        <f>SUMIFS('MTD Pivot'!H:H, 'MTD Pivot'!$A:$A, "Mở Thẻ Tín Dụng", 'MTD Pivot'!$C:$C, $B48)</f>
        <v/>
      </c>
      <c r="H48" s="252">
        <f>SUMIFS('MTD Pivot'!I:I, 'MTD Pivot'!$A:$A, "Mở Thẻ Tín Dụng", 'MTD Pivot'!$C:$C, $B48)</f>
        <v/>
      </c>
      <c r="I48" s="252">
        <f>H48-G48</f>
        <v/>
      </c>
      <c r="J48" s="257" t="inlineStr"/>
      <c r="K48" s="252">
        <f>SUMIFS('Full month Pivot'!D:D, 'Full month Pivot'!$A:$A, "Mở Thẻ Tín Dụng", 'Full month Pivot'!$C:$C, $B48)</f>
        <v/>
      </c>
      <c r="L48" s="252">
        <f>SUMIFS('Full month Pivot'!E:E, 'Full month Pivot'!$A:$A, "Mở Thẻ Tín Dụng", 'Full month Pivot'!$C:$C, $B48)</f>
        <v/>
      </c>
      <c r="M48" s="252">
        <f>SUMIFS('Full month Pivot'!F:F, 'Full month Pivot'!$A:$A, "Mở Thẻ Tín Dụng", 'Full month Pivot'!$C:$C, $B48)</f>
        <v/>
      </c>
      <c r="N48" s="252">
        <f>SUMIFS('Full month Pivot'!G:G, 'Full month Pivot'!$A:$A, "Mở Thẻ Tín Dụng", 'Full month Pivot'!$C:$C, $B48)</f>
        <v/>
      </c>
      <c r="O48" s="252">
        <f>SUMIFS('Full month Pivot'!H:H, 'Full month Pivot'!$A:$A, "Mở Thẻ Tín Dụng", 'Full month Pivot'!$C:$C, $B48)</f>
        <v/>
      </c>
      <c r="P48" s="252">
        <f>SUMIFS('Full month Pivot'!I:I, 'Full month Pivot'!$A:$A, "Mở Thẻ Tín Dụng", 'Full month Pivot'!$C:$C, $B48)</f>
        <v/>
      </c>
      <c r="Q48" s="252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256" t="inlineStr">
        <is>
          <t>Trả Góp Apple</t>
        </is>
      </c>
      <c r="B50" s="257" t="inlineStr"/>
      <c r="C50" s="251">
        <f>sum(C51:C55)</f>
        <v/>
      </c>
      <c r="D50" s="251">
        <f>sum(D51:D55)</f>
        <v/>
      </c>
      <c r="E50" s="251">
        <f>sum(E51:E55)</f>
        <v/>
      </c>
      <c r="F50" s="251">
        <f>sum(F51:F55)</f>
        <v/>
      </c>
      <c r="G50" s="251">
        <f>sum(G51:G55)</f>
        <v/>
      </c>
      <c r="H50" s="251">
        <f>sum(H51:H55)</f>
        <v/>
      </c>
      <c r="I50" s="251">
        <f>H50-G50</f>
        <v/>
      </c>
      <c r="J50" s="257" t="inlineStr"/>
      <c r="K50" s="251">
        <f>sum(K51:K55)</f>
        <v/>
      </c>
      <c r="L50" s="251">
        <f>sum(L51:L55)</f>
        <v/>
      </c>
      <c r="M50" s="251">
        <f>sum(M51:M55)</f>
        <v/>
      </c>
      <c r="N50" s="251">
        <f>sum(N51:N55)</f>
        <v/>
      </c>
      <c r="O50" s="251">
        <f>sum(O51:O55)</f>
        <v/>
      </c>
      <c r="P50" s="251">
        <f>sum(P51:P55)</f>
        <v/>
      </c>
      <c r="Q50" s="251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257" t="inlineStr"/>
      <c r="B51" s="257" t="inlineStr">
        <is>
          <t>Organic</t>
        </is>
      </c>
      <c r="C51" s="252">
        <f>SUMIFS('MTD Pivot'!D:D, 'MTD Pivot'!$A:$A, "Trả Góp Apple", 'MTD Pivot'!$C:$C, $B51)</f>
        <v/>
      </c>
      <c r="D51" s="252">
        <f>SUMIFS('MTD Pivot'!E:E, 'MTD Pivot'!$A:$A, "Trả Góp Apple", 'MTD Pivot'!$C:$C, $B51)</f>
        <v/>
      </c>
      <c r="E51" s="252">
        <f>SUMIFS('MTD Pivot'!F:F, 'MTD Pivot'!$A:$A, "Trả Góp Apple", 'MTD Pivot'!$C:$C, $B51)</f>
        <v/>
      </c>
      <c r="F51" s="252">
        <f>SUMIFS('MTD Pivot'!G:G, 'MTD Pivot'!$A:$A, "Trả Góp Apple", 'MTD Pivot'!$C:$C, $B51)</f>
        <v/>
      </c>
      <c r="G51" s="252">
        <f>SUMIFS('MTD Pivot'!H:H, 'MTD Pivot'!$A:$A, "Trả Góp Apple", 'MTD Pivot'!$C:$C, $B51)</f>
        <v/>
      </c>
      <c r="H51" s="252">
        <f>SUMIFS('MTD Pivot'!I:I, 'MTD Pivot'!$A:$A, "Trả Góp Apple", 'MTD Pivot'!$C:$C, $B51)</f>
        <v/>
      </c>
      <c r="I51" s="252">
        <f>H51-G51</f>
        <v/>
      </c>
      <c r="J51" s="257" t="inlineStr"/>
      <c r="K51" s="252">
        <f>SUMIFS('Full month Pivot'!D:D, 'Full month Pivot'!$A:$A, "Trả Góp Apple", 'Full month Pivot'!$C:$C, $B51)</f>
        <v/>
      </c>
      <c r="L51" s="252">
        <f>SUMIFS('Full month Pivot'!E:E, 'Full month Pivot'!$A:$A, "Trả Góp Apple", 'Full month Pivot'!$C:$C, $B51)</f>
        <v/>
      </c>
      <c r="M51" s="252">
        <f>SUMIFS('Full month Pivot'!F:F, 'Full month Pivot'!$A:$A, "Trả Góp Apple", 'Full month Pivot'!$C:$C, $B51)</f>
        <v/>
      </c>
      <c r="N51" s="252">
        <f>SUMIFS('Full month Pivot'!G:G, 'Full month Pivot'!$A:$A, "Trả Góp Apple", 'Full month Pivot'!$C:$C, $B51)</f>
        <v/>
      </c>
      <c r="O51" s="252">
        <f>SUMIFS('Full month Pivot'!H:H, 'Full month Pivot'!$A:$A, "Trả Góp Apple", 'Full month Pivot'!$C:$C, $B51)</f>
        <v/>
      </c>
      <c r="P51" s="252">
        <f>SUMIFS('Full month Pivot'!I:I, 'Full month Pivot'!$A:$A, "Trả Góp Apple", 'Full month Pivot'!$C:$C, $B51)</f>
        <v/>
      </c>
      <c r="Q51" s="252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257" t="inlineStr"/>
      <c r="B52" s="257" t="inlineStr">
        <is>
          <t>Direct</t>
        </is>
      </c>
      <c r="C52" s="252">
        <f>SUMIFS('MTD Pivot'!D:D, 'MTD Pivot'!$A:$A, "Trả Góp Apple", 'MTD Pivot'!$C:$C, $B52)</f>
        <v/>
      </c>
      <c r="D52" s="252">
        <f>SUMIFS('MTD Pivot'!E:E, 'MTD Pivot'!$A:$A, "Trả Góp Apple", 'MTD Pivot'!$C:$C, $B52)</f>
        <v/>
      </c>
      <c r="E52" s="252">
        <f>SUMIFS('MTD Pivot'!F:F, 'MTD Pivot'!$A:$A, "Trả Góp Apple", 'MTD Pivot'!$C:$C, $B52)</f>
        <v/>
      </c>
      <c r="F52" s="252">
        <f>SUMIFS('MTD Pivot'!G:G, 'MTD Pivot'!$A:$A, "Trả Góp Apple", 'MTD Pivot'!$C:$C, $B52)</f>
        <v/>
      </c>
      <c r="G52" s="252">
        <f>SUMIFS('MTD Pivot'!H:H, 'MTD Pivot'!$A:$A, "Trả Góp Apple", 'MTD Pivot'!$C:$C, $B52)</f>
        <v/>
      </c>
      <c r="H52" s="252">
        <f>SUMIFS('MTD Pivot'!I:I, 'MTD Pivot'!$A:$A, "Trả Góp Apple", 'MTD Pivot'!$C:$C, $B52)</f>
        <v/>
      </c>
      <c r="I52" s="252">
        <f>H52-G52</f>
        <v/>
      </c>
      <c r="J52" s="257" t="inlineStr"/>
      <c r="K52" s="252">
        <f>SUMIFS('Full month Pivot'!D:D, 'Full month Pivot'!$A:$A, "Trả Góp Apple", 'Full month Pivot'!$C:$C, $B52)</f>
        <v/>
      </c>
      <c r="L52" s="252">
        <f>SUMIFS('Full month Pivot'!E:E, 'Full month Pivot'!$A:$A, "Trả Góp Apple", 'Full month Pivot'!$C:$C, $B52)</f>
        <v/>
      </c>
      <c r="M52" s="252">
        <f>SUMIFS('Full month Pivot'!F:F, 'Full month Pivot'!$A:$A, "Trả Góp Apple", 'Full month Pivot'!$C:$C, $B52)</f>
        <v/>
      </c>
      <c r="N52" s="252">
        <f>SUMIFS('Full month Pivot'!G:G, 'Full month Pivot'!$A:$A, "Trả Góp Apple", 'Full month Pivot'!$C:$C, $B52)</f>
        <v/>
      </c>
      <c r="O52" s="252">
        <f>SUMIFS('Full month Pivot'!H:H, 'Full month Pivot'!$A:$A, "Trả Góp Apple", 'Full month Pivot'!$C:$C, $B52)</f>
        <v/>
      </c>
      <c r="P52" s="252">
        <f>SUMIFS('Full month Pivot'!I:I, 'Full month Pivot'!$A:$A, "Trả Góp Apple", 'Full month Pivot'!$C:$C, $B52)</f>
        <v/>
      </c>
      <c r="Q52" s="252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257" t="inlineStr"/>
      <c r="B53" s="257" t="inlineStr">
        <is>
          <t>Referral</t>
        </is>
      </c>
      <c r="C53" s="252">
        <f>SUMIFS('MTD Pivot'!D:D, 'MTD Pivot'!$A:$A, "Trả Góp Apple", 'MTD Pivot'!$C:$C, $B53)</f>
        <v/>
      </c>
      <c r="D53" s="252">
        <f>SUMIFS('MTD Pivot'!E:E, 'MTD Pivot'!$A:$A, "Trả Góp Apple", 'MTD Pivot'!$C:$C, $B53)</f>
        <v/>
      </c>
      <c r="E53" s="252">
        <f>SUMIFS('MTD Pivot'!F:F, 'MTD Pivot'!$A:$A, "Trả Góp Apple", 'MTD Pivot'!$C:$C, $B53)</f>
        <v/>
      </c>
      <c r="F53" s="252">
        <f>SUMIFS('MTD Pivot'!G:G, 'MTD Pivot'!$A:$A, "Trả Góp Apple", 'MTD Pivot'!$C:$C, $B53)</f>
        <v/>
      </c>
      <c r="G53" s="252">
        <f>SUMIFS('MTD Pivot'!H:H, 'MTD Pivot'!$A:$A, "Trả Góp Apple", 'MTD Pivot'!$C:$C, $B53)</f>
        <v/>
      </c>
      <c r="H53" s="252">
        <f>SUMIFS('MTD Pivot'!I:I, 'MTD Pivot'!$A:$A, "Trả Góp Apple", 'MTD Pivot'!$C:$C, $B53)</f>
        <v/>
      </c>
      <c r="I53" s="252">
        <f>H53-G53</f>
        <v/>
      </c>
      <c r="J53" s="257" t="inlineStr"/>
      <c r="K53" s="252">
        <f>SUMIFS('Full month Pivot'!D:D, 'Full month Pivot'!$A:$A, "Trả Góp Apple", 'Full month Pivot'!$C:$C, $B53)</f>
        <v/>
      </c>
      <c r="L53" s="252">
        <f>SUMIFS('Full month Pivot'!E:E, 'Full month Pivot'!$A:$A, "Trả Góp Apple", 'Full month Pivot'!$C:$C, $B53)</f>
        <v/>
      </c>
      <c r="M53" s="252">
        <f>SUMIFS('Full month Pivot'!F:F, 'Full month Pivot'!$A:$A, "Trả Góp Apple", 'Full month Pivot'!$C:$C, $B53)</f>
        <v/>
      </c>
      <c r="N53" s="252">
        <f>SUMIFS('Full month Pivot'!G:G, 'Full month Pivot'!$A:$A, "Trả Góp Apple", 'Full month Pivot'!$C:$C, $B53)</f>
        <v/>
      </c>
      <c r="O53" s="252">
        <f>SUMIFS('Full month Pivot'!H:H, 'Full month Pivot'!$A:$A, "Trả Góp Apple", 'Full month Pivot'!$C:$C, $B53)</f>
        <v/>
      </c>
      <c r="P53" s="252">
        <f>SUMIFS('Full month Pivot'!I:I, 'Full month Pivot'!$A:$A, "Trả Góp Apple", 'Full month Pivot'!$C:$C, $B53)</f>
        <v/>
      </c>
      <c r="Q53" s="252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257" t="inlineStr"/>
      <c r="B54" s="257" t="inlineStr">
        <is>
          <t>Paid</t>
        </is>
      </c>
      <c r="C54" s="252">
        <f>SUMIFS('MTD Pivot'!D:D, 'MTD Pivot'!$A:$A, "Trả Góp Apple", 'MTD Pivot'!$C:$C, $B54)</f>
        <v/>
      </c>
      <c r="D54" s="252">
        <f>SUMIFS('MTD Pivot'!E:E, 'MTD Pivot'!$A:$A, "Trả Góp Apple", 'MTD Pivot'!$C:$C, $B54)</f>
        <v/>
      </c>
      <c r="E54" s="252">
        <f>SUMIFS('MTD Pivot'!F:F, 'MTD Pivot'!$A:$A, "Trả Góp Apple", 'MTD Pivot'!$C:$C, $B54)</f>
        <v/>
      </c>
      <c r="F54" s="252">
        <f>SUMIFS('MTD Pivot'!G:G, 'MTD Pivot'!$A:$A, "Trả Góp Apple", 'MTD Pivot'!$C:$C, $B54)</f>
        <v/>
      </c>
      <c r="G54" s="252">
        <f>SUMIFS('MTD Pivot'!H:H, 'MTD Pivot'!$A:$A, "Trả Góp Apple", 'MTD Pivot'!$C:$C, $B54)</f>
        <v/>
      </c>
      <c r="H54" s="252">
        <f>SUMIFS('MTD Pivot'!I:I, 'MTD Pivot'!$A:$A, "Trả Góp Apple", 'MTD Pivot'!$C:$C, $B54)</f>
        <v/>
      </c>
      <c r="I54" s="252">
        <f>H54-G54</f>
        <v/>
      </c>
      <c r="J54" s="257" t="inlineStr"/>
      <c r="K54" s="252">
        <f>SUMIFS('Full month Pivot'!D:D, 'Full month Pivot'!$A:$A, "Trả Góp Apple", 'Full month Pivot'!$C:$C, $B54)</f>
        <v/>
      </c>
      <c r="L54" s="252">
        <f>SUMIFS('Full month Pivot'!E:E, 'Full month Pivot'!$A:$A, "Trả Góp Apple", 'Full month Pivot'!$C:$C, $B54)</f>
        <v/>
      </c>
      <c r="M54" s="252">
        <f>SUMIFS('Full month Pivot'!F:F, 'Full month Pivot'!$A:$A, "Trả Góp Apple", 'Full month Pivot'!$C:$C, $B54)</f>
        <v/>
      </c>
      <c r="N54" s="252">
        <f>SUMIFS('Full month Pivot'!G:G, 'Full month Pivot'!$A:$A, "Trả Góp Apple", 'Full month Pivot'!$C:$C, $B54)</f>
        <v/>
      </c>
      <c r="O54" s="252">
        <f>SUMIFS('Full month Pivot'!H:H, 'Full month Pivot'!$A:$A, "Trả Góp Apple", 'Full month Pivot'!$C:$C, $B54)</f>
        <v/>
      </c>
      <c r="P54" s="252">
        <f>SUMIFS('Full month Pivot'!I:I, 'Full month Pivot'!$A:$A, "Trả Góp Apple", 'Full month Pivot'!$C:$C, $B54)</f>
        <v/>
      </c>
      <c r="Q54" s="252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257" t="inlineStr"/>
      <c r="B55" s="257" t="inlineStr">
        <is>
          <t>Others</t>
        </is>
      </c>
      <c r="C55" s="252">
        <f>SUMIFS('MTD Pivot'!D:D, 'MTD Pivot'!$A:$A, "Trả Góp Apple", 'MTD Pivot'!$C:$C, $B55)</f>
        <v/>
      </c>
      <c r="D55" s="252">
        <f>SUMIFS('MTD Pivot'!E:E, 'MTD Pivot'!$A:$A, "Trả Góp Apple", 'MTD Pivot'!$C:$C, $B55)</f>
        <v/>
      </c>
      <c r="E55" s="252">
        <f>SUMIFS('MTD Pivot'!F:F, 'MTD Pivot'!$A:$A, "Trả Góp Apple", 'MTD Pivot'!$C:$C, $B55)</f>
        <v/>
      </c>
      <c r="F55" s="252">
        <f>SUMIFS('MTD Pivot'!G:G, 'MTD Pivot'!$A:$A, "Trả Góp Apple", 'MTD Pivot'!$C:$C, $B55)</f>
        <v/>
      </c>
      <c r="G55" s="252">
        <f>SUMIFS('MTD Pivot'!H:H, 'MTD Pivot'!$A:$A, "Trả Góp Apple", 'MTD Pivot'!$C:$C, $B55)</f>
        <v/>
      </c>
      <c r="H55" s="252">
        <f>SUMIFS('MTD Pivot'!I:I, 'MTD Pivot'!$A:$A, "Trả Góp Apple", 'MTD Pivot'!$C:$C, $B55)</f>
        <v/>
      </c>
      <c r="I55" s="252">
        <f>H55-G55</f>
        <v/>
      </c>
      <c r="J55" s="257" t="inlineStr"/>
      <c r="K55" s="252">
        <f>SUMIFS('Full month Pivot'!D:D, 'Full month Pivot'!$A:$A, "Trả Góp Apple", 'Full month Pivot'!$C:$C, $B55)</f>
        <v/>
      </c>
      <c r="L55" s="252">
        <f>SUMIFS('Full month Pivot'!E:E, 'Full month Pivot'!$A:$A, "Trả Góp Apple", 'Full month Pivot'!$C:$C, $B55)</f>
        <v/>
      </c>
      <c r="M55" s="252">
        <f>SUMIFS('Full month Pivot'!F:F, 'Full month Pivot'!$A:$A, "Trả Góp Apple", 'Full month Pivot'!$C:$C, $B55)</f>
        <v/>
      </c>
      <c r="N55" s="252">
        <f>SUMIFS('Full month Pivot'!G:G, 'Full month Pivot'!$A:$A, "Trả Góp Apple", 'Full month Pivot'!$C:$C, $B55)</f>
        <v/>
      </c>
      <c r="O55" s="252">
        <f>SUMIFS('Full month Pivot'!H:H, 'Full month Pivot'!$A:$A, "Trả Góp Apple", 'Full month Pivot'!$C:$C, $B55)</f>
        <v/>
      </c>
      <c r="P55" s="252">
        <f>SUMIFS('Full month Pivot'!I:I, 'Full month Pivot'!$A:$A, "Trả Góp Apple", 'Full month Pivot'!$C:$C, $B55)</f>
        <v/>
      </c>
      <c r="Q55" s="252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256" t="inlineStr">
        <is>
          <t>Chứng Khoán</t>
        </is>
      </c>
      <c r="B57" s="257" t="inlineStr"/>
      <c r="C57" s="251">
        <f>sum(C58:C62)</f>
        <v/>
      </c>
      <c r="D57" s="251">
        <f>sum(D58:D62)</f>
        <v/>
      </c>
      <c r="E57" s="251">
        <f>sum(E58:E62)</f>
        <v/>
      </c>
      <c r="F57" s="251">
        <f>sum(F58:F62)</f>
        <v/>
      </c>
      <c r="G57" s="251">
        <f>sum(G58:G62)</f>
        <v/>
      </c>
      <c r="H57" s="251">
        <f>sum(H58:H62)</f>
        <v/>
      </c>
      <c r="I57" s="251">
        <f>H57-G57</f>
        <v/>
      </c>
      <c r="J57" s="257" t="inlineStr"/>
      <c r="K57" s="251">
        <f>sum(K58:K62)</f>
        <v/>
      </c>
      <c r="L57" s="251">
        <f>sum(L58:L62)</f>
        <v/>
      </c>
      <c r="M57" s="251">
        <f>sum(M58:M62)</f>
        <v/>
      </c>
      <c r="N57" s="251">
        <f>sum(N58:N62)</f>
        <v/>
      </c>
      <c r="O57" s="251">
        <f>sum(O58:O62)</f>
        <v/>
      </c>
      <c r="P57" s="251">
        <f>sum(P58:P62)</f>
        <v/>
      </c>
      <c r="Q57" s="251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257" t="inlineStr"/>
      <c r="B58" s="257" t="inlineStr">
        <is>
          <t>Organic</t>
        </is>
      </c>
      <c r="C58" s="252">
        <f>SUMIFS('MTD Pivot'!D:D, 'MTD Pivot'!$A:$A, "Chứng Khoán", 'MTD Pivot'!$C:$C, $B58)</f>
        <v/>
      </c>
      <c r="D58" s="252">
        <f>SUMIFS('MTD Pivot'!E:E, 'MTD Pivot'!$A:$A, "Chứng Khoán", 'MTD Pivot'!$C:$C, $B58)</f>
        <v/>
      </c>
      <c r="E58" s="252">
        <f>SUMIFS('MTD Pivot'!F:F, 'MTD Pivot'!$A:$A, "Chứng Khoán", 'MTD Pivot'!$C:$C, $B58)</f>
        <v/>
      </c>
      <c r="F58" s="252">
        <f>SUMIFS('MTD Pivot'!G:G, 'MTD Pivot'!$A:$A, "Chứng Khoán", 'MTD Pivot'!$C:$C, $B58)</f>
        <v/>
      </c>
      <c r="G58" s="252">
        <f>SUMIFS('MTD Pivot'!H:H, 'MTD Pivot'!$A:$A, "Chứng Khoán", 'MTD Pivot'!$C:$C, $B58)</f>
        <v/>
      </c>
      <c r="H58" s="252">
        <f>SUMIFS('MTD Pivot'!I:I, 'MTD Pivot'!$A:$A, "Chứng Khoán", 'MTD Pivot'!$C:$C, $B58)</f>
        <v/>
      </c>
      <c r="I58" s="252">
        <f>H58-G58</f>
        <v/>
      </c>
      <c r="J58" s="257" t="inlineStr"/>
      <c r="K58" s="252">
        <f>SUMIFS('Full month Pivot'!D:D, 'Full month Pivot'!$A:$A, "Chứng Khoán", 'Full month Pivot'!$C:$C, $B58)</f>
        <v/>
      </c>
      <c r="L58" s="252">
        <f>SUMIFS('Full month Pivot'!E:E, 'Full month Pivot'!$A:$A, "Chứng Khoán", 'Full month Pivot'!$C:$C, $B58)</f>
        <v/>
      </c>
      <c r="M58" s="252">
        <f>SUMIFS('Full month Pivot'!F:F, 'Full month Pivot'!$A:$A, "Chứng Khoán", 'Full month Pivot'!$C:$C, $B58)</f>
        <v/>
      </c>
      <c r="N58" s="252">
        <f>SUMIFS('Full month Pivot'!G:G, 'Full month Pivot'!$A:$A, "Chứng Khoán", 'Full month Pivot'!$C:$C, $B58)</f>
        <v/>
      </c>
      <c r="O58" s="252">
        <f>SUMIFS('Full month Pivot'!H:H, 'Full month Pivot'!$A:$A, "Chứng Khoán", 'Full month Pivot'!$C:$C, $B58)</f>
        <v/>
      </c>
      <c r="P58" s="252">
        <f>SUMIFS('Full month Pivot'!I:I, 'Full month Pivot'!$A:$A, "Chứng Khoán", 'Full month Pivot'!$C:$C, $B58)</f>
        <v/>
      </c>
      <c r="Q58" s="252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257" t="inlineStr"/>
      <c r="B59" s="257" t="inlineStr">
        <is>
          <t>Referral</t>
        </is>
      </c>
      <c r="C59" s="252">
        <f>SUMIFS('MTD Pivot'!D:D, 'MTD Pivot'!$A:$A, "Chứng Khoán", 'MTD Pivot'!$C:$C, $B59)</f>
        <v/>
      </c>
      <c r="D59" s="252">
        <f>SUMIFS('MTD Pivot'!E:E, 'MTD Pivot'!$A:$A, "Chứng Khoán", 'MTD Pivot'!$C:$C, $B59)</f>
        <v/>
      </c>
      <c r="E59" s="252">
        <f>SUMIFS('MTD Pivot'!F:F, 'MTD Pivot'!$A:$A, "Chứng Khoán", 'MTD Pivot'!$C:$C, $B59)</f>
        <v/>
      </c>
      <c r="F59" s="252">
        <f>SUMIFS('MTD Pivot'!G:G, 'MTD Pivot'!$A:$A, "Chứng Khoán", 'MTD Pivot'!$C:$C, $B59)</f>
        <v/>
      </c>
      <c r="G59" s="252">
        <f>SUMIFS('MTD Pivot'!H:H, 'MTD Pivot'!$A:$A, "Chứng Khoán", 'MTD Pivot'!$C:$C, $B59)</f>
        <v/>
      </c>
      <c r="H59" s="252">
        <f>SUMIFS('MTD Pivot'!I:I, 'MTD Pivot'!$A:$A, "Chứng Khoán", 'MTD Pivot'!$C:$C, $B59)</f>
        <v/>
      </c>
      <c r="I59" s="252">
        <f>H59-G59</f>
        <v/>
      </c>
      <c r="J59" s="257" t="inlineStr"/>
      <c r="K59" s="252">
        <f>SUMIFS('Full month Pivot'!D:D, 'Full month Pivot'!$A:$A, "Chứng Khoán", 'Full month Pivot'!$C:$C, $B59)</f>
        <v/>
      </c>
      <c r="L59" s="252">
        <f>SUMIFS('Full month Pivot'!E:E, 'Full month Pivot'!$A:$A, "Chứng Khoán", 'Full month Pivot'!$C:$C, $B59)</f>
        <v/>
      </c>
      <c r="M59" s="252">
        <f>SUMIFS('Full month Pivot'!F:F, 'Full month Pivot'!$A:$A, "Chứng Khoán", 'Full month Pivot'!$C:$C, $B59)</f>
        <v/>
      </c>
      <c r="N59" s="252">
        <f>SUMIFS('Full month Pivot'!G:G, 'Full month Pivot'!$A:$A, "Chứng Khoán", 'Full month Pivot'!$C:$C, $B59)</f>
        <v/>
      </c>
      <c r="O59" s="252">
        <f>SUMIFS('Full month Pivot'!H:H, 'Full month Pivot'!$A:$A, "Chứng Khoán", 'Full month Pivot'!$C:$C, $B59)</f>
        <v/>
      </c>
      <c r="P59" s="252">
        <f>SUMIFS('Full month Pivot'!I:I, 'Full month Pivot'!$A:$A, "Chứng Khoán", 'Full month Pivot'!$C:$C, $B59)</f>
        <v/>
      </c>
      <c r="Q59" s="252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257" t="inlineStr"/>
      <c r="B60" s="257" t="inlineStr">
        <is>
          <t>Direct</t>
        </is>
      </c>
      <c r="C60" s="252">
        <f>SUMIFS('MTD Pivot'!D:D, 'MTD Pivot'!$A:$A, "Chứng Khoán", 'MTD Pivot'!$C:$C, $B60)</f>
        <v/>
      </c>
      <c r="D60" s="252">
        <f>SUMIFS('MTD Pivot'!E:E, 'MTD Pivot'!$A:$A, "Chứng Khoán", 'MTD Pivot'!$C:$C, $B60)</f>
        <v/>
      </c>
      <c r="E60" s="252">
        <f>SUMIFS('MTD Pivot'!F:F, 'MTD Pivot'!$A:$A, "Chứng Khoán", 'MTD Pivot'!$C:$C, $B60)</f>
        <v/>
      </c>
      <c r="F60" s="252">
        <f>SUMIFS('MTD Pivot'!G:G, 'MTD Pivot'!$A:$A, "Chứng Khoán", 'MTD Pivot'!$C:$C, $B60)</f>
        <v/>
      </c>
      <c r="G60" s="252">
        <f>SUMIFS('MTD Pivot'!H:H, 'MTD Pivot'!$A:$A, "Chứng Khoán", 'MTD Pivot'!$C:$C, $B60)</f>
        <v/>
      </c>
      <c r="H60" s="252">
        <f>SUMIFS('MTD Pivot'!I:I, 'MTD Pivot'!$A:$A, "Chứng Khoán", 'MTD Pivot'!$C:$C, $B60)</f>
        <v/>
      </c>
      <c r="I60" s="252">
        <f>H60-G60</f>
        <v/>
      </c>
      <c r="J60" s="257" t="inlineStr"/>
      <c r="K60" s="252">
        <f>SUMIFS('Full month Pivot'!D:D, 'Full month Pivot'!$A:$A, "Chứng Khoán", 'Full month Pivot'!$C:$C, $B60)</f>
        <v/>
      </c>
      <c r="L60" s="252">
        <f>SUMIFS('Full month Pivot'!E:E, 'Full month Pivot'!$A:$A, "Chứng Khoán", 'Full month Pivot'!$C:$C, $B60)</f>
        <v/>
      </c>
      <c r="M60" s="252">
        <f>SUMIFS('Full month Pivot'!F:F, 'Full month Pivot'!$A:$A, "Chứng Khoán", 'Full month Pivot'!$C:$C, $B60)</f>
        <v/>
      </c>
      <c r="N60" s="252">
        <f>SUMIFS('Full month Pivot'!G:G, 'Full month Pivot'!$A:$A, "Chứng Khoán", 'Full month Pivot'!$C:$C, $B60)</f>
        <v/>
      </c>
      <c r="O60" s="252">
        <f>SUMIFS('Full month Pivot'!H:H, 'Full month Pivot'!$A:$A, "Chứng Khoán", 'Full month Pivot'!$C:$C, $B60)</f>
        <v/>
      </c>
      <c r="P60" s="252">
        <f>SUMIFS('Full month Pivot'!I:I, 'Full month Pivot'!$A:$A, "Chứng Khoán", 'Full month Pivot'!$C:$C, $B60)</f>
        <v/>
      </c>
      <c r="Q60" s="252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257" t="inlineStr"/>
      <c r="B61" s="257" t="inlineStr">
        <is>
          <t>Others</t>
        </is>
      </c>
      <c r="C61" s="252">
        <f>SUMIFS('MTD Pivot'!D:D, 'MTD Pivot'!$A:$A, "Chứng Khoán", 'MTD Pivot'!$C:$C, $B61)</f>
        <v/>
      </c>
      <c r="D61" s="252">
        <f>SUMIFS('MTD Pivot'!E:E, 'MTD Pivot'!$A:$A, "Chứng Khoán", 'MTD Pivot'!$C:$C, $B61)</f>
        <v/>
      </c>
      <c r="E61" s="252">
        <f>SUMIFS('MTD Pivot'!F:F, 'MTD Pivot'!$A:$A, "Chứng Khoán", 'MTD Pivot'!$C:$C, $B61)</f>
        <v/>
      </c>
      <c r="F61" s="252">
        <f>SUMIFS('MTD Pivot'!G:G, 'MTD Pivot'!$A:$A, "Chứng Khoán", 'MTD Pivot'!$C:$C, $B61)</f>
        <v/>
      </c>
      <c r="G61" s="252">
        <f>SUMIFS('MTD Pivot'!H:H, 'MTD Pivot'!$A:$A, "Chứng Khoán", 'MTD Pivot'!$C:$C, $B61)</f>
        <v/>
      </c>
      <c r="H61" s="252">
        <f>SUMIFS('MTD Pivot'!I:I, 'MTD Pivot'!$A:$A, "Chứng Khoán", 'MTD Pivot'!$C:$C, $B61)</f>
        <v/>
      </c>
      <c r="I61" s="252">
        <f>H61-G61</f>
        <v/>
      </c>
      <c r="J61" s="257" t="inlineStr"/>
      <c r="K61" s="252">
        <f>SUMIFS('Full month Pivot'!D:D, 'Full month Pivot'!$A:$A, "Chứng Khoán", 'Full month Pivot'!$C:$C, $B61)</f>
        <v/>
      </c>
      <c r="L61" s="252">
        <f>SUMIFS('Full month Pivot'!E:E, 'Full month Pivot'!$A:$A, "Chứng Khoán", 'Full month Pivot'!$C:$C, $B61)</f>
        <v/>
      </c>
      <c r="M61" s="252">
        <f>SUMIFS('Full month Pivot'!F:F, 'Full month Pivot'!$A:$A, "Chứng Khoán", 'Full month Pivot'!$C:$C, $B61)</f>
        <v/>
      </c>
      <c r="N61" s="252">
        <f>SUMIFS('Full month Pivot'!G:G, 'Full month Pivot'!$A:$A, "Chứng Khoán", 'Full month Pivot'!$C:$C, $B61)</f>
        <v/>
      </c>
      <c r="O61" s="252">
        <f>SUMIFS('Full month Pivot'!H:H, 'Full month Pivot'!$A:$A, "Chứng Khoán", 'Full month Pivot'!$C:$C, $B61)</f>
        <v/>
      </c>
      <c r="P61" s="252">
        <f>SUMIFS('Full month Pivot'!I:I, 'Full month Pivot'!$A:$A, "Chứng Khoán", 'Full month Pivot'!$C:$C, $B61)</f>
        <v/>
      </c>
      <c r="Q61" s="252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257" t="inlineStr"/>
      <c r="B62" s="257" t="inlineStr">
        <is>
          <t>Paid</t>
        </is>
      </c>
      <c r="C62" s="252">
        <f>SUMIFS('MTD Pivot'!D:D, 'MTD Pivot'!$A:$A, "Chứng Khoán", 'MTD Pivot'!$C:$C, $B62)</f>
        <v/>
      </c>
      <c r="D62" s="252">
        <f>SUMIFS('MTD Pivot'!E:E, 'MTD Pivot'!$A:$A, "Chứng Khoán", 'MTD Pivot'!$C:$C, $B62)</f>
        <v/>
      </c>
      <c r="E62" s="252">
        <f>SUMIFS('MTD Pivot'!F:F, 'MTD Pivot'!$A:$A, "Chứng Khoán", 'MTD Pivot'!$C:$C, $B62)</f>
        <v/>
      </c>
      <c r="F62" s="252">
        <f>SUMIFS('MTD Pivot'!G:G, 'MTD Pivot'!$A:$A, "Chứng Khoán", 'MTD Pivot'!$C:$C, $B62)</f>
        <v/>
      </c>
      <c r="G62" s="252">
        <f>SUMIFS('MTD Pivot'!H:H, 'MTD Pivot'!$A:$A, "Chứng Khoán", 'MTD Pivot'!$C:$C, $B62)</f>
        <v/>
      </c>
      <c r="H62" s="252">
        <f>SUMIFS('MTD Pivot'!I:I, 'MTD Pivot'!$A:$A, "Chứng Khoán", 'MTD Pivot'!$C:$C, $B62)</f>
        <v/>
      </c>
      <c r="I62" s="252">
        <f>H62-G62</f>
        <v/>
      </c>
      <c r="J62" s="257" t="inlineStr"/>
      <c r="K62" s="252">
        <f>SUMIFS('Full month Pivot'!D:D, 'Full month Pivot'!$A:$A, "Chứng Khoán", 'Full month Pivot'!$C:$C, $B62)</f>
        <v/>
      </c>
      <c r="L62" s="252">
        <f>SUMIFS('Full month Pivot'!E:E, 'Full month Pivot'!$A:$A, "Chứng Khoán", 'Full month Pivot'!$C:$C, $B62)</f>
        <v/>
      </c>
      <c r="M62" s="252">
        <f>SUMIFS('Full month Pivot'!F:F, 'Full month Pivot'!$A:$A, "Chứng Khoán", 'Full month Pivot'!$C:$C, $B62)</f>
        <v/>
      </c>
      <c r="N62" s="252">
        <f>SUMIFS('Full month Pivot'!G:G, 'Full month Pivot'!$A:$A, "Chứng Khoán", 'Full month Pivot'!$C:$C, $B62)</f>
        <v/>
      </c>
      <c r="O62" s="252">
        <f>SUMIFS('Full month Pivot'!H:H, 'Full month Pivot'!$A:$A, "Chứng Khoán", 'Full month Pivot'!$C:$C, $B62)</f>
        <v/>
      </c>
      <c r="P62" s="252">
        <f>SUMIFS('Full month Pivot'!I:I, 'Full month Pivot'!$A:$A, "Chứng Khoán", 'Full month Pivot'!$C:$C, $B62)</f>
        <v/>
      </c>
      <c r="Q62" s="252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256" t="inlineStr">
        <is>
          <t>Tiết Kiệm Online</t>
        </is>
      </c>
      <c r="B64" s="257" t="inlineStr"/>
      <c r="C64" s="251">
        <f>sum(C65:C69)</f>
        <v/>
      </c>
      <c r="D64" s="251">
        <f>sum(D65:D69)</f>
        <v/>
      </c>
      <c r="E64" s="251">
        <f>sum(E65:E69)</f>
        <v/>
      </c>
      <c r="F64" s="251">
        <f>sum(F65:F69)</f>
        <v/>
      </c>
      <c r="G64" s="251">
        <f>sum(G65:G69)</f>
        <v/>
      </c>
      <c r="H64" s="251">
        <f>sum(H65:H69)</f>
        <v/>
      </c>
      <c r="I64" s="251">
        <f>H64-G64</f>
        <v/>
      </c>
      <c r="J64" s="257" t="inlineStr"/>
      <c r="K64" s="251">
        <f>sum(K65:K69)</f>
        <v/>
      </c>
      <c r="L64" s="251">
        <f>sum(L65:L69)</f>
        <v/>
      </c>
      <c r="M64" s="251">
        <f>sum(M65:M69)</f>
        <v/>
      </c>
      <c r="N64" s="251">
        <f>sum(N65:N69)</f>
        <v/>
      </c>
      <c r="O64" s="251">
        <f>sum(O65:O69)</f>
        <v/>
      </c>
      <c r="P64" s="251">
        <f>sum(P65:P69)</f>
        <v/>
      </c>
      <c r="Q64" s="251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257" t="inlineStr"/>
      <c r="B65" s="257" t="inlineStr">
        <is>
          <t>Organic</t>
        </is>
      </c>
      <c r="C65" s="252">
        <f>SUMIFS('MTD Pivot'!D:D, 'MTD Pivot'!$A:$A, "Tiết Kiệm Online", 'MTD Pivot'!$C:$C, $B65)</f>
        <v/>
      </c>
      <c r="D65" s="252">
        <f>SUMIFS('MTD Pivot'!E:E, 'MTD Pivot'!$A:$A, "Tiết Kiệm Online", 'MTD Pivot'!$C:$C, $B65)</f>
        <v/>
      </c>
      <c r="E65" s="252">
        <f>SUMIFS('MTD Pivot'!F:F, 'MTD Pivot'!$A:$A, "Tiết Kiệm Online", 'MTD Pivot'!$C:$C, $B65)</f>
        <v/>
      </c>
      <c r="F65" s="252">
        <f>SUMIFS('MTD Pivot'!G:G, 'MTD Pivot'!$A:$A, "Tiết Kiệm Online", 'MTD Pivot'!$C:$C, $B65)</f>
        <v/>
      </c>
      <c r="G65" s="252">
        <f>SUMIFS('MTD Pivot'!H:H, 'MTD Pivot'!$A:$A, "Tiết Kiệm Online", 'MTD Pivot'!$C:$C, $B65)</f>
        <v/>
      </c>
      <c r="H65" s="252">
        <f>SUMIFS('MTD Pivot'!I:I, 'MTD Pivot'!$A:$A, "Tiết Kiệm Online", 'MTD Pivot'!$C:$C, $B65)</f>
        <v/>
      </c>
      <c r="I65" s="252">
        <f>H65-G65</f>
        <v/>
      </c>
      <c r="J65" s="257" t="inlineStr"/>
      <c r="K65" s="252">
        <f>SUMIFS('Full month Pivot'!D:D, 'Full month Pivot'!$A:$A, "Tiết Kiệm Online", 'Full month Pivot'!$C:$C, $B65)</f>
        <v/>
      </c>
      <c r="L65" s="252">
        <f>SUMIFS('Full month Pivot'!E:E, 'Full month Pivot'!$A:$A, "Tiết Kiệm Online", 'Full month Pivot'!$C:$C, $B65)</f>
        <v/>
      </c>
      <c r="M65" s="252">
        <f>SUMIFS('Full month Pivot'!F:F, 'Full month Pivot'!$A:$A, "Tiết Kiệm Online", 'Full month Pivot'!$C:$C, $B65)</f>
        <v/>
      </c>
      <c r="N65" s="252">
        <f>SUMIFS('Full month Pivot'!G:G, 'Full month Pivot'!$A:$A, "Tiết Kiệm Online", 'Full month Pivot'!$C:$C, $B65)</f>
        <v/>
      </c>
      <c r="O65" s="252">
        <f>SUMIFS('Full month Pivot'!H:H, 'Full month Pivot'!$A:$A, "Tiết Kiệm Online", 'Full month Pivot'!$C:$C, $B65)</f>
        <v/>
      </c>
      <c r="P65" s="252">
        <f>SUMIFS('Full month Pivot'!I:I, 'Full month Pivot'!$A:$A, "Tiết Kiệm Online", 'Full month Pivot'!$C:$C, $B65)</f>
        <v/>
      </c>
      <c r="Q65" s="252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257" t="inlineStr"/>
      <c r="B66" s="257" t="inlineStr">
        <is>
          <t>Referral</t>
        </is>
      </c>
      <c r="C66" s="252">
        <f>SUMIFS('MTD Pivot'!D:D, 'MTD Pivot'!$A:$A, "Tiết Kiệm Online", 'MTD Pivot'!$C:$C, $B66)</f>
        <v/>
      </c>
      <c r="D66" s="252">
        <f>SUMIFS('MTD Pivot'!E:E, 'MTD Pivot'!$A:$A, "Tiết Kiệm Online", 'MTD Pivot'!$C:$C, $B66)</f>
        <v/>
      </c>
      <c r="E66" s="252">
        <f>SUMIFS('MTD Pivot'!F:F, 'MTD Pivot'!$A:$A, "Tiết Kiệm Online", 'MTD Pivot'!$C:$C, $B66)</f>
        <v/>
      </c>
      <c r="F66" s="252">
        <f>SUMIFS('MTD Pivot'!G:G, 'MTD Pivot'!$A:$A, "Tiết Kiệm Online", 'MTD Pivot'!$C:$C, $B66)</f>
        <v/>
      </c>
      <c r="G66" s="252">
        <f>SUMIFS('MTD Pivot'!H:H, 'MTD Pivot'!$A:$A, "Tiết Kiệm Online", 'MTD Pivot'!$C:$C, $B66)</f>
        <v/>
      </c>
      <c r="H66" s="252">
        <f>SUMIFS('MTD Pivot'!I:I, 'MTD Pivot'!$A:$A, "Tiết Kiệm Online", 'MTD Pivot'!$C:$C, $B66)</f>
        <v/>
      </c>
      <c r="I66" s="252">
        <f>H66-G66</f>
        <v/>
      </c>
      <c r="J66" s="257" t="inlineStr"/>
      <c r="K66" s="252">
        <f>SUMIFS('Full month Pivot'!D:D, 'Full month Pivot'!$A:$A, "Tiết Kiệm Online", 'Full month Pivot'!$C:$C, $B66)</f>
        <v/>
      </c>
      <c r="L66" s="252">
        <f>SUMIFS('Full month Pivot'!E:E, 'Full month Pivot'!$A:$A, "Tiết Kiệm Online", 'Full month Pivot'!$C:$C, $B66)</f>
        <v/>
      </c>
      <c r="M66" s="252">
        <f>SUMIFS('Full month Pivot'!F:F, 'Full month Pivot'!$A:$A, "Tiết Kiệm Online", 'Full month Pivot'!$C:$C, $B66)</f>
        <v/>
      </c>
      <c r="N66" s="252">
        <f>SUMIFS('Full month Pivot'!G:G, 'Full month Pivot'!$A:$A, "Tiết Kiệm Online", 'Full month Pivot'!$C:$C, $B66)</f>
        <v/>
      </c>
      <c r="O66" s="252">
        <f>SUMIFS('Full month Pivot'!H:H, 'Full month Pivot'!$A:$A, "Tiết Kiệm Online", 'Full month Pivot'!$C:$C, $B66)</f>
        <v/>
      </c>
      <c r="P66" s="252">
        <f>SUMIFS('Full month Pivot'!I:I, 'Full month Pivot'!$A:$A, "Tiết Kiệm Online", 'Full month Pivot'!$C:$C, $B66)</f>
        <v/>
      </c>
      <c r="Q66" s="252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257" t="inlineStr"/>
      <c r="B67" s="257" t="inlineStr">
        <is>
          <t>Direct</t>
        </is>
      </c>
      <c r="C67" s="252">
        <f>SUMIFS('MTD Pivot'!D:D, 'MTD Pivot'!$A:$A, "Tiết Kiệm Online", 'MTD Pivot'!$C:$C, $B67)</f>
        <v/>
      </c>
      <c r="D67" s="252">
        <f>SUMIFS('MTD Pivot'!E:E, 'MTD Pivot'!$A:$A, "Tiết Kiệm Online", 'MTD Pivot'!$C:$C, $B67)</f>
        <v/>
      </c>
      <c r="E67" s="252">
        <f>SUMIFS('MTD Pivot'!F:F, 'MTD Pivot'!$A:$A, "Tiết Kiệm Online", 'MTD Pivot'!$C:$C, $B67)</f>
        <v/>
      </c>
      <c r="F67" s="252">
        <f>SUMIFS('MTD Pivot'!G:G, 'MTD Pivot'!$A:$A, "Tiết Kiệm Online", 'MTD Pivot'!$C:$C, $B67)</f>
        <v/>
      </c>
      <c r="G67" s="252">
        <f>SUMIFS('MTD Pivot'!H:H, 'MTD Pivot'!$A:$A, "Tiết Kiệm Online", 'MTD Pivot'!$C:$C, $B67)</f>
        <v/>
      </c>
      <c r="H67" s="252">
        <f>SUMIFS('MTD Pivot'!I:I, 'MTD Pivot'!$A:$A, "Tiết Kiệm Online", 'MTD Pivot'!$C:$C, $B67)</f>
        <v/>
      </c>
      <c r="I67" s="252">
        <f>H67-G67</f>
        <v/>
      </c>
      <c r="J67" s="257" t="inlineStr"/>
      <c r="K67" s="252">
        <f>SUMIFS('Full month Pivot'!D:D, 'Full month Pivot'!$A:$A, "Tiết Kiệm Online", 'Full month Pivot'!$C:$C, $B67)</f>
        <v/>
      </c>
      <c r="L67" s="252">
        <f>SUMIFS('Full month Pivot'!E:E, 'Full month Pivot'!$A:$A, "Tiết Kiệm Online", 'Full month Pivot'!$C:$C, $B67)</f>
        <v/>
      </c>
      <c r="M67" s="252">
        <f>SUMIFS('Full month Pivot'!F:F, 'Full month Pivot'!$A:$A, "Tiết Kiệm Online", 'Full month Pivot'!$C:$C, $B67)</f>
        <v/>
      </c>
      <c r="N67" s="252">
        <f>SUMIFS('Full month Pivot'!G:G, 'Full month Pivot'!$A:$A, "Tiết Kiệm Online", 'Full month Pivot'!$C:$C, $B67)</f>
        <v/>
      </c>
      <c r="O67" s="252">
        <f>SUMIFS('Full month Pivot'!H:H, 'Full month Pivot'!$A:$A, "Tiết Kiệm Online", 'Full month Pivot'!$C:$C, $B67)</f>
        <v/>
      </c>
      <c r="P67" s="252">
        <f>SUMIFS('Full month Pivot'!I:I, 'Full month Pivot'!$A:$A, "Tiết Kiệm Online", 'Full month Pivot'!$C:$C, $B67)</f>
        <v/>
      </c>
      <c r="Q67" s="252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257" t="inlineStr"/>
      <c r="B68" s="257" t="inlineStr">
        <is>
          <t>Others</t>
        </is>
      </c>
      <c r="C68" s="252">
        <f>SUMIFS('MTD Pivot'!D:D, 'MTD Pivot'!$A:$A, "Tiết Kiệm Online", 'MTD Pivot'!$C:$C, $B68)</f>
        <v/>
      </c>
      <c r="D68" s="252">
        <f>SUMIFS('MTD Pivot'!E:E, 'MTD Pivot'!$A:$A, "Tiết Kiệm Online", 'MTD Pivot'!$C:$C, $B68)</f>
        <v/>
      </c>
      <c r="E68" s="252">
        <f>SUMIFS('MTD Pivot'!F:F, 'MTD Pivot'!$A:$A, "Tiết Kiệm Online", 'MTD Pivot'!$C:$C, $B68)</f>
        <v/>
      </c>
      <c r="F68" s="252">
        <f>SUMIFS('MTD Pivot'!G:G, 'MTD Pivot'!$A:$A, "Tiết Kiệm Online", 'MTD Pivot'!$C:$C, $B68)</f>
        <v/>
      </c>
      <c r="G68" s="252">
        <f>SUMIFS('MTD Pivot'!H:H, 'MTD Pivot'!$A:$A, "Tiết Kiệm Online", 'MTD Pivot'!$C:$C, $B68)</f>
        <v/>
      </c>
      <c r="H68" s="252">
        <f>SUMIFS('MTD Pivot'!I:I, 'MTD Pivot'!$A:$A, "Tiết Kiệm Online", 'MTD Pivot'!$C:$C, $B68)</f>
        <v/>
      </c>
      <c r="I68" s="252">
        <f>H68-G68</f>
        <v/>
      </c>
      <c r="J68" s="257" t="inlineStr"/>
      <c r="K68" s="252">
        <f>SUMIFS('Full month Pivot'!D:D, 'Full month Pivot'!$A:$A, "Tiết Kiệm Online", 'Full month Pivot'!$C:$C, $B68)</f>
        <v/>
      </c>
      <c r="L68" s="252">
        <f>SUMIFS('Full month Pivot'!E:E, 'Full month Pivot'!$A:$A, "Tiết Kiệm Online", 'Full month Pivot'!$C:$C, $B68)</f>
        <v/>
      </c>
      <c r="M68" s="252">
        <f>SUMIFS('Full month Pivot'!F:F, 'Full month Pivot'!$A:$A, "Tiết Kiệm Online", 'Full month Pivot'!$C:$C, $B68)</f>
        <v/>
      </c>
      <c r="N68" s="252">
        <f>SUMIFS('Full month Pivot'!G:G, 'Full month Pivot'!$A:$A, "Tiết Kiệm Online", 'Full month Pivot'!$C:$C, $B68)</f>
        <v/>
      </c>
      <c r="O68" s="252">
        <f>SUMIFS('Full month Pivot'!H:H, 'Full month Pivot'!$A:$A, "Tiết Kiệm Online", 'Full month Pivot'!$C:$C, $B68)</f>
        <v/>
      </c>
      <c r="P68" s="252">
        <f>SUMIFS('Full month Pivot'!I:I, 'Full month Pivot'!$A:$A, "Tiết Kiệm Online", 'Full month Pivot'!$C:$C, $B68)</f>
        <v/>
      </c>
      <c r="Q68" s="252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257" t="inlineStr"/>
      <c r="B69" s="257" t="inlineStr">
        <is>
          <t>Paid</t>
        </is>
      </c>
      <c r="C69" s="252">
        <f>SUMIFS('MTD Pivot'!D:D, 'MTD Pivot'!$A:$A, "Tiết Kiệm Online", 'MTD Pivot'!$C:$C, $B69)</f>
        <v/>
      </c>
      <c r="D69" s="252">
        <f>SUMIFS('MTD Pivot'!E:E, 'MTD Pivot'!$A:$A, "Tiết Kiệm Online", 'MTD Pivot'!$C:$C, $B69)</f>
        <v/>
      </c>
      <c r="E69" s="252">
        <f>SUMIFS('MTD Pivot'!F:F, 'MTD Pivot'!$A:$A, "Tiết Kiệm Online", 'MTD Pivot'!$C:$C, $B69)</f>
        <v/>
      </c>
      <c r="F69" s="252">
        <f>SUMIFS('MTD Pivot'!G:G, 'MTD Pivot'!$A:$A, "Tiết Kiệm Online", 'MTD Pivot'!$C:$C, $B69)</f>
        <v/>
      </c>
      <c r="G69" s="252">
        <f>SUMIFS('MTD Pivot'!H:H, 'MTD Pivot'!$A:$A, "Tiết Kiệm Online", 'MTD Pivot'!$C:$C, $B69)</f>
        <v/>
      </c>
      <c r="H69" s="252">
        <f>SUMIFS('MTD Pivot'!I:I, 'MTD Pivot'!$A:$A, "Tiết Kiệm Online", 'MTD Pivot'!$C:$C, $B69)</f>
        <v/>
      </c>
      <c r="I69" s="252">
        <f>H69-G69</f>
        <v/>
      </c>
      <c r="J69" s="257" t="inlineStr"/>
      <c r="K69" s="252">
        <f>SUMIFS('Full month Pivot'!D:D, 'Full month Pivot'!$A:$A, "Tiết Kiệm Online", 'Full month Pivot'!$C:$C, $B69)</f>
        <v/>
      </c>
      <c r="L69" s="252">
        <f>SUMIFS('Full month Pivot'!E:E, 'Full month Pivot'!$A:$A, "Tiết Kiệm Online", 'Full month Pivot'!$C:$C, $B69)</f>
        <v/>
      </c>
      <c r="M69" s="252">
        <f>SUMIFS('Full month Pivot'!F:F, 'Full month Pivot'!$A:$A, "Tiết Kiệm Online", 'Full month Pivot'!$C:$C, $B69)</f>
        <v/>
      </c>
      <c r="N69" s="252">
        <f>SUMIFS('Full month Pivot'!G:G, 'Full month Pivot'!$A:$A, "Tiết Kiệm Online", 'Full month Pivot'!$C:$C, $B69)</f>
        <v/>
      </c>
      <c r="O69" s="252">
        <f>SUMIFS('Full month Pivot'!H:H, 'Full month Pivot'!$A:$A, "Tiết Kiệm Online", 'Full month Pivot'!$C:$C, $B69)</f>
        <v/>
      </c>
      <c r="P69" s="252">
        <f>SUMIFS('Full month Pivot'!I:I, 'Full month Pivot'!$A:$A, "Tiết Kiệm Online", 'Full month Pivot'!$C:$C, $B69)</f>
        <v/>
      </c>
      <c r="Q69" s="252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256" t="inlineStr">
        <is>
          <t>Thanh Toán Thẻ Tín Dụng</t>
        </is>
      </c>
      <c r="B71" s="257" t="inlineStr"/>
      <c r="C71" s="251">
        <f>sum(C72:C76)</f>
        <v/>
      </c>
      <c r="D71" s="251">
        <f>sum(D72:D76)</f>
        <v/>
      </c>
      <c r="E71" s="251">
        <f>sum(E72:E76)</f>
        <v/>
      </c>
      <c r="F71" s="251">
        <f>sum(F72:F76)</f>
        <v/>
      </c>
      <c r="G71" s="251">
        <f>sum(G72:G76)</f>
        <v/>
      </c>
      <c r="H71" s="251">
        <f>sum(H72:H76)</f>
        <v/>
      </c>
      <c r="I71" s="251">
        <f>H71-G71</f>
        <v/>
      </c>
      <c r="J71" s="257" t="inlineStr"/>
      <c r="K71" s="251">
        <f>sum(K72:K76)</f>
        <v/>
      </c>
      <c r="L71" s="251">
        <f>sum(L72:L76)</f>
        <v/>
      </c>
      <c r="M71" s="251">
        <f>sum(M72:M76)</f>
        <v/>
      </c>
      <c r="N71" s="251">
        <f>sum(N72:N76)</f>
        <v/>
      </c>
      <c r="O71" s="251">
        <f>sum(O72:O76)</f>
        <v/>
      </c>
      <c r="P71" s="251">
        <f>sum(P72:P76)</f>
        <v/>
      </c>
      <c r="Q71" s="251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257" t="inlineStr"/>
      <c r="B72" s="257" t="inlineStr">
        <is>
          <t>Organic</t>
        </is>
      </c>
      <c r="C72" s="252">
        <f>SUMIFS('MTD Pivot'!D:D, 'MTD Pivot'!$A:$A, "Thanh Toán Thẻ Tín Dụng", 'MTD Pivot'!$C:$C, $B72)</f>
        <v/>
      </c>
      <c r="D72" s="252">
        <f>SUMIFS('MTD Pivot'!E:E, 'MTD Pivot'!$A:$A, "Thanh Toán Thẻ Tín Dụng", 'MTD Pivot'!$C:$C, $B72)</f>
        <v/>
      </c>
      <c r="E72" s="252">
        <f>SUMIFS('MTD Pivot'!F:F, 'MTD Pivot'!$A:$A, "Thanh Toán Thẻ Tín Dụng", 'MTD Pivot'!$C:$C, $B72)</f>
        <v/>
      </c>
      <c r="F72" s="252">
        <f>SUMIFS('MTD Pivot'!G:G, 'MTD Pivot'!$A:$A, "Thanh Toán Thẻ Tín Dụng", 'MTD Pivot'!$C:$C, $B72)</f>
        <v/>
      </c>
      <c r="G72" s="252">
        <f>SUMIFS('MTD Pivot'!H:H, 'MTD Pivot'!$A:$A, "Thanh Toán Thẻ Tín Dụng", 'MTD Pivot'!$C:$C, $B72)</f>
        <v/>
      </c>
      <c r="H72" s="252">
        <f>SUMIFS('MTD Pivot'!I:I, 'MTD Pivot'!$A:$A, "Thanh Toán Thẻ Tín Dụng", 'MTD Pivot'!$C:$C, $B72)</f>
        <v/>
      </c>
      <c r="I72" s="252">
        <f>H72-G72</f>
        <v/>
      </c>
      <c r="J72" s="257" t="inlineStr"/>
      <c r="K72" s="252">
        <f>SUMIFS('Full month Pivot'!D:D, 'Full month Pivot'!$A:$A, "Thanh Toán Thẻ Tín Dụng", 'Full month Pivot'!$C:$C, $B72)</f>
        <v/>
      </c>
      <c r="L72" s="252">
        <f>SUMIFS('Full month Pivot'!E:E, 'Full month Pivot'!$A:$A, "Thanh Toán Thẻ Tín Dụng", 'Full month Pivot'!$C:$C, $B72)</f>
        <v/>
      </c>
      <c r="M72" s="252">
        <f>SUMIFS('Full month Pivot'!F:F, 'Full month Pivot'!$A:$A, "Thanh Toán Thẻ Tín Dụng", 'Full month Pivot'!$C:$C, $B72)</f>
        <v/>
      </c>
      <c r="N72" s="252">
        <f>SUMIFS('Full month Pivot'!G:G, 'Full month Pivot'!$A:$A, "Thanh Toán Thẻ Tín Dụng", 'Full month Pivot'!$C:$C, $B72)</f>
        <v/>
      </c>
      <c r="O72" s="252">
        <f>SUMIFS('Full month Pivot'!H:H, 'Full month Pivot'!$A:$A, "Thanh Toán Thẻ Tín Dụng", 'Full month Pivot'!$C:$C, $B72)</f>
        <v/>
      </c>
      <c r="P72" s="252">
        <f>SUMIFS('Full month Pivot'!I:I, 'Full month Pivot'!$A:$A, "Thanh Toán Thẻ Tín Dụng", 'Full month Pivot'!$C:$C, $B72)</f>
        <v/>
      </c>
      <c r="Q72" s="252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257" t="inlineStr"/>
      <c r="B73" s="257" t="inlineStr">
        <is>
          <t>Direct</t>
        </is>
      </c>
      <c r="C73" s="252">
        <f>SUMIFS('MTD Pivot'!D:D, 'MTD Pivot'!$A:$A, "Thanh Toán Thẻ Tín Dụng", 'MTD Pivot'!$C:$C, $B73)</f>
        <v/>
      </c>
      <c r="D73" s="252">
        <f>SUMIFS('MTD Pivot'!E:E, 'MTD Pivot'!$A:$A, "Thanh Toán Thẻ Tín Dụng", 'MTD Pivot'!$C:$C, $B73)</f>
        <v/>
      </c>
      <c r="E73" s="252">
        <f>SUMIFS('MTD Pivot'!F:F, 'MTD Pivot'!$A:$A, "Thanh Toán Thẻ Tín Dụng", 'MTD Pivot'!$C:$C, $B73)</f>
        <v/>
      </c>
      <c r="F73" s="252">
        <f>SUMIFS('MTD Pivot'!G:G, 'MTD Pivot'!$A:$A, "Thanh Toán Thẻ Tín Dụng", 'MTD Pivot'!$C:$C, $B73)</f>
        <v/>
      </c>
      <c r="G73" s="252">
        <f>SUMIFS('MTD Pivot'!H:H, 'MTD Pivot'!$A:$A, "Thanh Toán Thẻ Tín Dụng", 'MTD Pivot'!$C:$C, $B73)</f>
        <v/>
      </c>
      <c r="H73" s="252">
        <f>SUMIFS('MTD Pivot'!I:I, 'MTD Pivot'!$A:$A, "Thanh Toán Thẻ Tín Dụng", 'MTD Pivot'!$C:$C, $B73)</f>
        <v/>
      </c>
      <c r="I73" s="252">
        <f>H73-G73</f>
        <v/>
      </c>
      <c r="J73" s="257" t="inlineStr"/>
      <c r="K73" s="252">
        <f>SUMIFS('Full month Pivot'!D:D, 'Full month Pivot'!$A:$A, "Thanh Toán Thẻ Tín Dụng", 'Full month Pivot'!$C:$C, $B73)</f>
        <v/>
      </c>
      <c r="L73" s="252">
        <f>SUMIFS('Full month Pivot'!E:E, 'Full month Pivot'!$A:$A, "Thanh Toán Thẻ Tín Dụng", 'Full month Pivot'!$C:$C, $B73)</f>
        <v/>
      </c>
      <c r="M73" s="252">
        <f>SUMIFS('Full month Pivot'!F:F, 'Full month Pivot'!$A:$A, "Thanh Toán Thẻ Tín Dụng", 'Full month Pivot'!$C:$C, $B73)</f>
        <v/>
      </c>
      <c r="N73" s="252">
        <f>SUMIFS('Full month Pivot'!G:G, 'Full month Pivot'!$A:$A, "Thanh Toán Thẻ Tín Dụng", 'Full month Pivot'!$C:$C, $B73)</f>
        <v/>
      </c>
      <c r="O73" s="252">
        <f>SUMIFS('Full month Pivot'!H:H, 'Full month Pivot'!$A:$A, "Thanh Toán Thẻ Tín Dụng", 'Full month Pivot'!$C:$C, $B73)</f>
        <v/>
      </c>
      <c r="P73" s="252">
        <f>SUMIFS('Full month Pivot'!I:I, 'Full month Pivot'!$A:$A, "Thanh Toán Thẻ Tín Dụng", 'Full month Pivot'!$C:$C, $B73)</f>
        <v/>
      </c>
      <c r="Q73" s="252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257" t="inlineStr"/>
      <c r="B74" s="257" t="inlineStr">
        <is>
          <t>Referral</t>
        </is>
      </c>
      <c r="C74" s="252">
        <f>SUMIFS('MTD Pivot'!D:D, 'MTD Pivot'!$A:$A, "Thanh Toán Thẻ Tín Dụng", 'MTD Pivot'!$C:$C, $B74)</f>
        <v/>
      </c>
      <c r="D74" s="252">
        <f>SUMIFS('MTD Pivot'!E:E, 'MTD Pivot'!$A:$A, "Thanh Toán Thẻ Tín Dụng", 'MTD Pivot'!$C:$C, $B74)</f>
        <v/>
      </c>
      <c r="E74" s="252">
        <f>SUMIFS('MTD Pivot'!F:F, 'MTD Pivot'!$A:$A, "Thanh Toán Thẻ Tín Dụng", 'MTD Pivot'!$C:$C, $B74)</f>
        <v/>
      </c>
      <c r="F74" s="252">
        <f>SUMIFS('MTD Pivot'!G:G, 'MTD Pivot'!$A:$A, "Thanh Toán Thẻ Tín Dụng", 'MTD Pivot'!$C:$C, $B74)</f>
        <v/>
      </c>
      <c r="G74" s="252">
        <f>SUMIFS('MTD Pivot'!H:H, 'MTD Pivot'!$A:$A, "Thanh Toán Thẻ Tín Dụng", 'MTD Pivot'!$C:$C, $B74)</f>
        <v/>
      </c>
      <c r="H74" s="252">
        <f>SUMIFS('MTD Pivot'!I:I, 'MTD Pivot'!$A:$A, "Thanh Toán Thẻ Tín Dụng", 'MTD Pivot'!$C:$C, $B74)</f>
        <v/>
      </c>
      <c r="I74" s="252">
        <f>H74-G74</f>
        <v/>
      </c>
      <c r="J74" s="257" t="inlineStr"/>
      <c r="K74" s="252">
        <f>SUMIFS('Full month Pivot'!D:D, 'Full month Pivot'!$A:$A, "Thanh Toán Thẻ Tín Dụng", 'Full month Pivot'!$C:$C, $B74)</f>
        <v/>
      </c>
      <c r="L74" s="252">
        <f>SUMIFS('Full month Pivot'!E:E, 'Full month Pivot'!$A:$A, "Thanh Toán Thẻ Tín Dụng", 'Full month Pivot'!$C:$C, $B74)</f>
        <v/>
      </c>
      <c r="M74" s="252">
        <f>SUMIFS('Full month Pivot'!F:F, 'Full month Pivot'!$A:$A, "Thanh Toán Thẻ Tín Dụng", 'Full month Pivot'!$C:$C, $B74)</f>
        <v/>
      </c>
      <c r="N74" s="252">
        <f>SUMIFS('Full month Pivot'!G:G, 'Full month Pivot'!$A:$A, "Thanh Toán Thẻ Tín Dụng", 'Full month Pivot'!$C:$C, $B74)</f>
        <v/>
      </c>
      <c r="O74" s="252">
        <f>SUMIFS('Full month Pivot'!H:H, 'Full month Pivot'!$A:$A, "Thanh Toán Thẻ Tín Dụng", 'Full month Pivot'!$C:$C, $B74)</f>
        <v/>
      </c>
      <c r="P74" s="252">
        <f>SUMIFS('Full month Pivot'!I:I, 'Full month Pivot'!$A:$A, "Thanh Toán Thẻ Tín Dụng", 'Full month Pivot'!$C:$C, $B74)</f>
        <v/>
      </c>
      <c r="Q74" s="252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257" t="inlineStr"/>
      <c r="B75" s="257" t="inlineStr">
        <is>
          <t>Paid</t>
        </is>
      </c>
      <c r="C75" s="252">
        <f>SUMIFS('MTD Pivot'!D:D, 'MTD Pivot'!$A:$A, "Thanh Toán Thẻ Tín Dụng", 'MTD Pivot'!$C:$C, $B75)</f>
        <v/>
      </c>
      <c r="D75" s="252">
        <f>SUMIFS('MTD Pivot'!E:E, 'MTD Pivot'!$A:$A, "Thanh Toán Thẻ Tín Dụng", 'MTD Pivot'!$C:$C, $B75)</f>
        <v/>
      </c>
      <c r="E75" s="252">
        <f>SUMIFS('MTD Pivot'!F:F, 'MTD Pivot'!$A:$A, "Thanh Toán Thẻ Tín Dụng", 'MTD Pivot'!$C:$C, $B75)</f>
        <v/>
      </c>
      <c r="F75" s="252">
        <f>SUMIFS('MTD Pivot'!G:G, 'MTD Pivot'!$A:$A, "Thanh Toán Thẻ Tín Dụng", 'MTD Pivot'!$C:$C, $B75)</f>
        <v/>
      </c>
      <c r="G75" s="252">
        <f>SUMIFS('MTD Pivot'!H:H, 'MTD Pivot'!$A:$A, "Thanh Toán Thẻ Tín Dụng", 'MTD Pivot'!$C:$C, $B75)</f>
        <v/>
      </c>
      <c r="H75" s="252">
        <f>SUMIFS('MTD Pivot'!I:I, 'MTD Pivot'!$A:$A, "Thanh Toán Thẻ Tín Dụng", 'MTD Pivot'!$C:$C, $B75)</f>
        <v/>
      </c>
      <c r="I75" s="252">
        <f>H75-G75</f>
        <v/>
      </c>
      <c r="J75" s="257" t="inlineStr"/>
      <c r="K75" s="252">
        <f>SUMIFS('Full month Pivot'!D:D, 'Full month Pivot'!$A:$A, "Thanh Toán Thẻ Tín Dụng", 'Full month Pivot'!$C:$C, $B75)</f>
        <v/>
      </c>
      <c r="L75" s="252">
        <f>SUMIFS('Full month Pivot'!E:E, 'Full month Pivot'!$A:$A, "Thanh Toán Thẻ Tín Dụng", 'Full month Pivot'!$C:$C, $B75)</f>
        <v/>
      </c>
      <c r="M75" s="252">
        <f>SUMIFS('Full month Pivot'!F:F, 'Full month Pivot'!$A:$A, "Thanh Toán Thẻ Tín Dụng", 'Full month Pivot'!$C:$C, $B75)</f>
        <v/>
      </c>
      <c r="N75" s="252">
        <f>SUMIFS('Full month Pivot'!G:G, 'Full month Pivot'!$A:$A, "Thanh Toán Thẻ Tín Dụng", 'Full month Pivot'!$C:$C, $B75)</f>
        <v/>
      </c>
      <c r="O75" s="252">
        <f>SUMIFS('Full month Pivot'!H:H, 'Full month Pivot'!$A:$A, "Thanh Toán Thẻ Tín Dụng", 'Full month Pivot'!$C:$C, $B75)</f>
        <v/>
      </c>
      <c r="P75" s="252">
        <f>SUMIFS('Full month Pivot'!I:I, 'Full month Pivot'!$A:$A, "Thanh Toán Thẻ Tín Dụng", 'Full month Pivot'!$C:$C, $B75)</f>
        <v/>
      </c>
      <c r="Q75" s="252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257" t="inlineStr"/>
      <c r="B76" s="257" t="inlineStr">
        <is>
          <t>Others</t>
        </is>
      </c>
      <c r="C76" s="252">
        <f>SUMIFS('MTD Pivot'!D:D, 'MTD Pivot'!$A:$A, "Thanh Toán Thẻ Tín Dụng", 'MTD Pivot'!$C:$C, $B76)</f>
        <v/>
      </c>
      <c r="D76" s="252">
        <f>SUMIFS('MTD Pivot'!E:E, 'MTD Pivot'!$A:$A, "Thanh Toán Thẻ Tín Dụng", 'MTD Pivot'!$C:$C, $B76)</f>
        <v/>
      </c>
      <c r="E76" s="252">
        <f>SUMIFS('MTD Pivot'!F:F, 'MTD Pivot'!$A:$A, "Thanh Toán Thẻ Tín Dụng", 'MTD Pivot'!$C:$C, $B76)</f>
        <v/>
      </c>
      <c r="F76" s="252">
        <f>SUMIFS('MTD Pivot'!G:G, 'MTD Pivot'!$A:$A, "Thanh Toán Thẻ Tín Dụng", 'MTD Pivot'!$C:$C, $B76)</f>
        <v/>
      </c>
      <c r="G76" s="252">
        <f>SUMIFS('MTD Pivot'!H:H, 'MTD Pivot'!$A:$A, "Thanh Toán Thẻ Tín Dụng", 'MTD Pivot'!$C:$C, $B76)</f>
        <v/>
      </c>
      <c r="H76" s="252">
        <f>SUMIFS('MTD Pivot'!I:I, 'MTD Pivot'!$A:$A, "Thanh Toán Thẻ Tín Dụng", 'MTD Pivot'!$C:$C, $B76)</f>
        <v/>
      </c>
      <c r="I76" s="252">
        <f>H76-G76</f>
        <v/>
      </c>
      <c r="J76" s="257" t="inlineStr"/>
      <c r="K76" s="252">
        <f>SUMIFS('Full month Pivot'!D:D, 'Full month Pivot'!$A:$A, "Thanh Toán Thẻ Tín Dụng", 'Full month Pivot'!$C:$C, $B76)</f>
        <v/>
      </c>
      <c r="L76" s="252">
        <f>SUMIFS('Full month Pivot'!E:E, 'Full month Pivot'!$A:$A, "Thanh Toán Thẻ Tín Dụng", 'Full month Pivot'!$C:$C, $B76)</f>
        <v/>
      </c>
      <c r="M76" s="252">
        <f>SUMIFS('Full month Pivot'!F:F, 'Full month Pivot'!$A:$A, "Thanh Toán Thẻ Tín Dụng", 'Full month Pivot'!$C:$C, $B76)</f>
        <v/>
      </c>
      <c r="N76" s="252">
        <f>SUMIFS('Full month Pivot'!G:G, 'Full month Pivot'!$A:$A, "Thanh Toán Thẻ Tín Dụng", 'Full month Pivot'!$C:$C, $B76)</f>
        <v/>
      </c>
      <c r="O76" s="252">
        <f>SUMIFS('Full month Pivot'!H:H, 'Full month Pivot'!$A:$A, "Thanh Toán Thẻ Tín Dụng", 'Full month Pivot'!$C:$C, $B76)</f>
        <v/>
      </c>
      <c r="P76" s="252">
        <f>SUMIFS('Full month Pivot'!I:I, 'Full month Pivot'!$A:$A, "Thanh Toán Thẻ Tín Dụng", 'Full month Pivot'!$C:$C, $B76)</f>
        <v/>
      </c>
      <c r="Q76" s="252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256" t="inlineStr">
        <is>
          <t>Chứng Chỉ Quỹ</t>
        </is>
      </c>
      <c r="B78" s="257" t="inlineStr"/>
      <c r="C78" s="251">
        <f>sum(C79:C83)</f>
        <v/>
      </c>
      <c r="D78" s="251">
        <f>sum(D79:D83)</f>
        <v/>
      </c>
      <c r="E78" s="251">
        <f>sum(E79:E83)</f>
        <v/>
      </c>
      <c r="F78" s="251">
        <f>sum(F79:F83)</f>
        <v/>
      </c>
      <c r="G78" s="251">
        <f>sum(G79:G83)</f>
        <v/>
      </c>
      <c r="H78" s="251">
        <f>sum(H79:H83)</f>
        <v/>
      </c>
      <c r="I78" s="251">
        <f>H78-G78</f>
        <v/>
      </c>
      <c r="J78" s="257" t="inlineStr"/>
      <c r="K78" s="251">
        <f>sum(K79:K83)</f>
        <v/>
      </c>
      <c r="L78" s="251">
        <f>sum(L79:L83)</f>
        <v/>
      </c>
      <c r="M78" s="251">
        <f>sum(M79:M83)</f>
        <v/>
      </c>
      <c r="N78" s="251">
        <f>sum(N79:N83)</f>
        <v/>
      </c>
      <c r="O78" s="251">
        <f>sum(O79:O83)</f>
        <v/>
      </c>
      <c r="P78" s="251">
        <f>sum(P79:P83)</f>
        <v/>
      </c>
      <c r="Q78" s="251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257" t="inlineStr"/>
      <c r="B79" s="257" t="inlineStr">
        <is>
          <t>Organic</t>
        </is>
      </c>
      <c r="C79" s="252">
        <f>SUMIFS('MTD Pivot'!D:D, 'MTD Pivot'!$A:$A, "Chứng Chỉ Quỹ", 'MTD Pivot'!$C:$C, $B79)</f>
        <v/>
      </c>
      <c r="D79" s="252">
        <f>SUMIFS('MTD Pivot'!E:E, 'MTD Pivot'!$A:$A, "Chứng Chỉ Quỹ", 'MTD Pivot'!$C:$C, $B79)</f>
        <v/>
      </c>
      <c r="E79" s="252">
        <f>SUMIFS('MTD Pivot'!F:F, 'MTD Pivot'!$A:$A, "Chứng Chỉ Quỹ", 'MTD Pivot'!$C:$C, $B79)</f>
        <v/>
      </c>
      <c r="F79" s="252">
        <f>SUMIFS('MTD Pivot'!G:G, 'MTD Pivot'!$A:$A, "Chứng Chỉ Quỹ", 'MTD Pivot'!$C:$C, $B79)</f>
        <v/>
      </c>
      <c r="G79" s="252">
        <f>SUMIFS('MTD Pivot'!H:H, 'MTD Pivot'!$A:$A, "Chứng Chỉ Quỹ", 'MTD Pivot'!$C:$C, $B79)</f>
        <v/>
      </c>
      <c r="H79" s="252">
        <f>SUMIFS('MTD Pivot'!I:I, 'MTD Pivot'!$A:$A, "Chứng Chỉ Quỹ", 'MTD Pivot'!$C:$C, $B79)</f>
        <v/>
      </c>
      <c r="I79" s="252">
        <f>H79-G79</f>
        <v/>
      </c>
      <c r="J79" s="257" t="inlineStr"/>
      <c r="K79" s="252">
        <f>SUMIFS('Full month Pivot'!D:D, 'Full month Pivot'!$A:$A, "Chứng Chỉ Quỹ", 'Full month Pivot'!$C:$C, $B79)</f>
        <v/>
      </c>
      <c r="L79" s="252">
        <f>SUMIFS('Full month Pivot'!E:E, 'Full month Pivot'!$A:$A, "Chứng Chỉ Quỹ", 'Full month Pivot'!$C:$C, $B79)</f>
        <v/>
      </c>
      <c r="M79" s="252">
        <f>SUMIFS('Full month Pivot'!F:F, 'Full month Pivot'!$A:$A, "Chứng Chỉ Quỹ", 'Full month Pivot'!$C:$C, $B79)</f>
        <v/>
      </c>
      <c r="N79" s="252">
        <f>SUMIFS('Full month Pivot'!G:G, 'Full month Pivot'!$A:$A, "Chứng Chỉ Quỹ", 'Full month Pivot'!$C:$C, $B79)</f>
        <v/>
      </c>
      <c r="O79" s="252">
        <f>SUMIFS('Full month Pivot'!H:H, 'Full month Pivot'!$A:$A, "Chứng Chỉ Quỹ", 'Full month Pivot'!$C:$C, $B79)</f>
        <v/>
      </c>
      <c r="P79" s="252">
        <f>SUMIFS('Full month Pivot'!I:I, 'Full month Pivot'!$A:$A, "Chứng Chỉ Quỹ", 'Full month Pivot'!$C:$C, $B79)</f>
        <v/>
      </c>
      <c r="Q79" s="252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257" t="inlineStr"/>
      <c r="B80" s="257" t="inlineStr">
        <is>
          <t>Direct</t>
        </is>
      </c>
      <c r="C80" s="252">
        <f>SUMIFS('MTD Pivot'!D:D, 'MTD Pivot'!$A:$A, "Chứng Chỉ Quỹ", 'MTD Pivot'!$C:$C, $B80)</f>
        <v/>
      </c>
      <c r="D80" s="252">
        <f>SUMIFS('MTD Pivot'!E:E, 'MTD Pivot'!$A:$A, "Chứng Chỉ Quỹ", 'MTD Pivot'!$C:$C, $B80)</f>
        <v/>
      </c>
      <c r="E80" s="252">
        <f>SUMIFS('MTD Pivot'!F:F, 'MTD Pivot'!$A:$A, "Chứng Chỉ Quỹ", 'MTD Pivot'!$C:$C, $B80)</f>
        <v/>
      </c>
      <c r="F80" s="252">
        <f>SUMIFS('MTD Pivot'!G:G, 'MTD Pivot'!$A:$A, "Chứng Chỉ Quỹ", 'MTD Pivot'!$C:$C, $B80)</f>
        <v/>
      </c>
      <c r="G80" s="252">
        <f>SUMIFS('MTD Pivot'!H:H, 'MTD Pivot'!$A:$A, "Chứng Chỉ Quỹ", 'MTD Pivot'!$C:$C, $B80)</f>
        <v/>
      </c>
      <c r="H80" s="252">
        <f>SUMIFS('MTD Pivot'!I:I, 'MTD Pivot'!$A:$A, "Chứng Chỉ Quỹ", 'MTD Pivot'!$C:$C, $B80)</f>
        <v/>
      </c>
      <c r="I80" s="252">
        <f>H80-G80</f>
        <v/>
      </c>
      <c r="J80" s="257" t="inlineStr"/>
      <c r="K80" s="252">
        <f>SUMIFS('Full month Pivot'!D:D, 'Full month Pivot'!$A:$A, "Chứng Chỉ Quỹ", 'Full month Pivot'!$C:$C, $B80)</f>
        <v/>
      </c>
      <c r="L80" s="252">
        <f>SUMIFS('Full month Pivot'!E:E, 'Full month Pivot'!$A:$A, "Chứng Chỉ Quỹ", 'Full month Pivot'!$C:$C, $B80)</f>
        <v/>
      </c>
      <c r="M80" s="252">
        <f>SUMIFS('Full month Pivot'!F:F, 'Full month Pivot'!$A:$A, "Chứng Chỉ Quỹ", 'Full month Pivot'!$C:$C, $B80)</f>
        <v/>
      </c>
      <c r="N80" s="252">
        <f>SUMIFS('Full month Pivot'!G:G, 'Full month Pivot'!$A:$A, "Chứng Chỉ Quỹ", 'Full month Pivot'!$C:$C, $B80)</f>
        <v/>
      </c>
      <c r="O80" s="252">
        <f>SUMIFS('Full month Pivot'!H:H, 'Full month Pivot'!$A:$A, "Chứng Chỉ Quỹ", 'Full month Pivot'!$C:$C, $B80)</f>
        <v/>
      </c>
      <c r="P80" s="252">
        <f>SUMIFS('Full month Pivot'!I:I, 'Full month Pivot'!$A:$A, "Chứng Chỉ Quỹ", 'Full month Pivot'!$C:$C, $B80)</f>
        <v/>
      </c>
      <c r="Q80" s="252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257" t="inlineStr"/>
      <c r="B81" s="257" t="inlineStr">
        <is>
          <t>Referral</t>
        </is>
      </c>
      <c r="C81" s="252">
        <f>SUMIFS('MTD Pivot'!D:D, 'MTD Pivot'!$A:$A, "Chứng Chỉ Quỹ", 'MTD Pivot'!$C:$C, $B81)</f>
        <v/>
      </c>
      <c r="D81" s="252">
        <f>SUMIFS('MTD Pivot'!E:E, 'MTD Pivot'!$A:$A, "Chứng Chỉ Quỹ", 'MTD Pivot'!$C:$C, $B81)</f>
        <v/>
      </c>
      <c r="E81" s="252">
        <f>SUMIFS('MTD Pivot'!F:F, 'MTD Pivot'!$A:$A, "Chứng Chỉ Quỹ", 'MTD Pivot'!$C:$C, $B81)</f>
        <v/>
      </c>
      <c r="F81" s="252">
        <f>SUMIFS('MTD Pivot'!G:G, 'MTD Pivot'!$A:$A, "Chứng Chỉ Quỹ", 'MTD Pivot'!$C:$C, $B81)</f>
        <v/>
      </c>
      <c r="G81" s="252">
        <f>SUMIFS('MTD Pivot'!H:H, 'MTD Pivot'!$A:$A, "Chứng Chỉ Quỹ", 'MTD Pivot'!$C:$C, $B81)</f>
        <v/>
      </c>
      <c r="H81" s="252">
        <f>SUMIFS('MTD Pivot'!I:I, 'MTD Pivot'!$A:$A, "Chứng Chỉ Quỹ", 'MTD Pivot'!$C:$C, $B81)</f>
        <v/>
      </c>
      <c r="I81" s="252">
        <f>H81-G81</f>
        <v/>
      </c>
      <c r="J81" s="257" t="inlineStr"/>
      <c r="K81" s="252">
        <f>SUMIFS('Full month Pivot'!D:D, 'Full month Pivot'!$A:$A, "Chứng Chỉ Quỹ", 'Full month Pivot'!$C:$C, $B81)</f>
        <v/>
      </c>
      <c r="L81" s="252">
        <f>SUMIFS('Full month Pivot'!E:E, 'Full month Pivot'!$A:$A, "Chứng Chỉ Quỹ", 'Full month Pivot'!$C:$C, $B81)</f>
        <v/>
      </c>
      <c r="M81" s="252">
        <f>SUMIFS('Full month Pivot'!F:F, 'Full month Pivot'!$A:$A, "Chứng Chỉ Quỹ", 'Full month Pivot'!$C:$C, $B81)</f>
        <v/>
      </c>
      <c r="N81" s="252">
        <f>SUMIFS('Full month Pivot'!G:G, 'Full month Pivot'!$A:$A, "Chứng Chỉ Quỹ", 'Full month Pivot'!$C:$C, $B81)</f>
        <v/>
      </c>
      <c r="O81" s="252">
        <f>SUMIFS('Full month Pivot'!H:H, 'Full month Pivot'!$A:$A, "Chứng Chỉ Quỹ", 'Full month Pivot'!$C:$C, $B81)</f>
        <v/>
      </c>
      <c r="P81" s="252">
        <f>SUMIFS('Full month Pivot'!I:I, 'Full month Pivot'!$A:$A, "Chứng Chỉ Quỹ", 'Full month Pivot'!$C:$C, $B81)</f>
        <v/>
      </c>
      <c r="Q81" s="252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257" t="inlineStr"/>
      <c r="B82" s="257" t="inlineStr">
        <is>
          <t>Others</t>
        </is>
      </c>
      <c r="C82" s="252">
        <f>SUMIFS('MTD Pivot'!D:D, 'MTD Pivot'!$A:$A, "Chứng Chỉ Quỹ", 'MTD Pivot'!$C:$C, $B82)</f>
        <v/>
      </c>
      <c r="D82" s="252">
        <f>SUMIFS('MTD Pivot'!E:E, 'MTD Pivot'!$A:$A, "Chứng Chỉ Quỹ", 'MTD Pivot'!$C:$C, $B82)</f>
        <v/>
      </c>
      <c r="E82" s="252">
        <f>SUMIFS('MTD Pivot'!F:F, 'MTD Pivot'!$A:$A, "Chứng Chỉ Quỹ", 'MTD Pivot'!$C:$C, $B82)</f>
        <v/>
      </c>
      <c r="F82" s="252">
        <f>SUMIFS('MTD Pivot'!G:G, 'MTD Pivot'!$A:$A, "Chứng Chỉ Quỹ", 'MTD Pivot'!$C:$C, $B82)</f>
        <v/>
      </c>
      <c r="G82" s="252">
        <f>SUMIFS('MTD Pivot'!H:H, 'MTD Pivot'!$A:$A, "Chứng Chỉ Quỹ", 'MTD Pivot'!$C:$C, $B82)</f>
        <v/>
      </c>
      <c r="H82" s="252">
        <f>SUMIFS('MTD Pivot'!I:I, 'MTD Pivot'!$A:$A, "Chứng Chỉ Quỹ", 'MTD Pivot'!$C:$C, $B82)</f>
        <v/>
      </c>
      <c r="I82" s="252">
        <f>H82-G82</f>
        <v/>
      </c>
      <c r="J82" s="257" t="inlineStr"/>
      <c r="K82" s="252">
        <f>SUMIFS('Full month Pivot'!D:D, 'Full month Pivot'!$A:$A, "Chứng Chỉ Quỹ", 'Full month Pivot'!$C:$C, $B82)</f>
        <v/>
      </c>
      <c r="L82" s="252">
        <f>SUMIFS('Full month Pivot'!E:E, 'Full month Pivot'!$A:$A, "Chứng Chỉ Quỹ", 'Full month Pivot'!$C:$C, $B82)</f>
        <v/>
      </c>
      <c r="M82" s="252">
        <f>SUMIFS('Full month Pivot'!F:F, 'Full month Pivot'!$A:$A, "Chứng Chỉ Quỹ", 'Full month Pivot'!$C:$C, $B82)</f>
        <v/>
      </c>
      <c r="N82" s="252">
        <f>SUMIFS('Full month Pivot'!G:G, 'Full month Pivot'!$A:$A, "Chứng Chỉ Quỹ", 'Full month Pivot'!$C:$C, $B82)</f>
        <v/>
      </c>
      <c r="O82" s="252">
        <f>SUMIFS('Full month Pivot'!H:H, 'Full month Pivot'!$A:$A, "Chứng Chỉ Quỹ", 'Full month Pivot'!$C:$C, $B82)</f>
        <v/>
      </c>
      <c r="P82" s="252">
        <f>SUMIFS('Full month Pivot'!I:I, 'Full month Pivot'!$A:$A, "Chứng Chỉ Quỹ", 'Full month Pivot'!$C:$C, $B82)</f>
        <v/>
      </c>
      <c r="Q82" s="252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257" t="inlineStr"/>
      <c r="B83" s="257" t="inlineStr">
        <is>
          <t>Paid</t>
        </is>
      </c>
      <c r="C83" s="252">
        <f>SUMIFS('MTD Pivot'!D:D, 'MTD Pivot'!$A:$A, "Chứng Chỉ Quỹ", 'MTD Pivot'!$C:$C, $B83)</f>
        <v/>
      </c>
      <c r="D83" s="252">
        <f>SUMIFS('MTD Pivot'!E:E, 'MTD Pivot'!$A:$A, "Chứng Chỉ Quỹ", 'MTD Pivot'!$C:$C, $B83)</f>
        <v/>
      </c>
      <c r="E83" s="252">
        <f>SUMIFS('MTD Pivot'!F:F, 'MTD Pivot'!$A:$A, "Chứng Chỉ Quỹ", 'MTD Pivot'!$C:$C, $B83)</f>
        <v/>
      </c>
      <c r="F83" s="252">
        <f>SUMIFS('MTD Pivot'!G:G, 'MTD Pivot'!$A:$A, "Chứng Chỉ Quỹ", 'MTD Pivot'!$C:$C, $B83)</f>
        <v/>
      </c>
      <c r="G83" s="252">
        <f>SUMIFS('MTD Pivot'!H:H, 'MTD Pivot'!$A:$A, "Chứng Chỉ Quỹ", 'MTD Pivot'!$C:$C, $B83)</f>
        <v/>
      </c>
      <c r="H83" s="252">
        <f>SUMIFS('MTD Pivot'!I:I, 'MTD Pivot'!$A:$A, "Chứng Chỉ Quỹ", 'MTD Pivot'!$C:$C, $B83)</f>
        <v/>
      </c>
      <c r="I83" s="252">
        <f>H83-G83</f>
        <v/>
      </c>
      <c r="J83" s="257" t="inlineStr"/>
      <c r="K83" s="252">
        <f>SUMIFS('Full month Pivot'!D:D, 'Full month Pivot'!$A:$A, "Chứng Chỉ Quỹ", 'Full month Pivot'!$C:$C, $B83)</f>
        <v/>
      </c>
      <c r="L83" s="252">
        <f>SUMIFS('Full month Pivot'!E:E, 'Full month Pivot'!$A:$A, "Chứng Chỉ Quỹ", 'Full month Pivot'!$C:$C, $B83)</f>
        <v/>
      </c>
      <c r="M83" s="252">
        <f>SUMIFS('Full month Pivot'!F:F, 'Full month Pivot'!$A:$A, "Chứng Chỉ Quỹ", 'Full month Pivot'!$C:$C, $B83)</f>
        <v/>
      </c>
      <c r="N83" s="252">
        <f>SUMIFS('Full month Pivot'!G:G, 'Full month Pivot'!$A:$A, "Chứng Chỉ Quỹ", 'Full month Pivot'!$C:$C, $B83)</f>
        <v/>
      </c>
      <c r="O83" s="252">
        <f>SUMIFS('Full month Pivot'!H:H, 'Full month Pivot'!$A:$A, "Chứng Chỉ Quỹ", 'Full month Pivot'!$C:$C, $B83)</f>
        <v/>
      </c>
      <c r="P83" s="252">
        <f>SUMIFS('Full month Pivot'!I:I, 'Full month Pivot'!$A:$A, "Chứng Chỉ Quỹ", 'Full month Pivot'!$C:$C, $B83)</f>
        <v/>
      </c>
      <c r="Q83" s="252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256" t="inlineStr">
        <is>
          <t>Sàn đầu tư</t>
        </is>
      </c>
      <c r="B85" s="257" t="inlineStr"/>
      <c r="C85" s="251">
        <f>sum(C86:C90)</f>
        <v/>
      </c>
      <c r="D85" s="251">
        <f>sum(D86:D90)</f>
        <v/>
      </c>
      <c r="E85" s="251">
        <f>sum(E86:E90)</f>
        <v/>
      </c>
      <c r="F85" s="251">
        <f>sum(F86:F90)</f>
        <v/>
      </c>
      <c r="G85" s="251">
        <f>sum(G86:G90)</f>
        <v/>
      </c>
      <c r="H85" s="251">
        <f>sum(H86:H90)</f>
        <v/>
      </c>
      <c r="I85" s="251">
        <f>H85-G85</f>
        <v/>
      </c>
      <c r="J85" s="257" t="inlineStr"/>
      <c r="K85" s="251">
        <f>sum(K86:K89)</f>
        <v/>
      </c>
      <c r="L85" s="251">
        <f>sum(L86:L89)</f>
        <v/>
      </c>
      <c r="M85" s="251">
        <f>sum(M86:M89)</f>
        <v/>
      </c>
      <c r="N85" s="251">
        <f>sum(N86:N89)</f>
        <v/>
      </c>
      <c r="O85" s="251">
        <f>sum(O86:O89)</f>
        <v/>
      </c>
      <c r="P85" s="251">
        <f>sum(P86:P89)</f>
        <v/>
      </c>
      <c r="Q85" s="251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257" t="inlineStr"/>
      <c r="B86" s="257" t="inlineStr">
        <is>
          <t>Organic</t>
        </is>
      </c>
      <c r="C86" s="252">
        <f>SUMIFS('MTD Pivot'!D:D, 'MTD Pivot'!$A:$A, "Sàn đầu tư", 'MTD Pivot'!$C:$C, $B79)</f>
        <v/>
      </c>
      <c r="D86" s="252">
        <f>SUMIFS('MTD Pivot'!E:E, 'MTD Pivot'!$A:$A, "Sàn đầu tư", 'MTD Pivot'!$C:$C, $B79)</f>
        <v/>
      </c>
      <c r="E86" s="252">
        <f>SUMIFS('MTD Pivot'!F:F, 'MTD Pivot'!$A:$A, "Sàn đầu tư", 'MTD Pivot'!$C:$C, $B79)</f>
        <v/>
      </c>
      <c r="F86" s="252">
        <f>SUMIFS('MTD Pivot'!G:G, 'MTD Pivot'!$A:$A, "Sàn đầu tư", 'MTD Pivot'!$C:$C, $B79)</f>
        <v/>
      </c>
      <c r="G86" s="252">
        <f>SUMIFS('MTD Pivot'!H:H, 'MTD Pivot'!$A:$A, "Sàn đầu tư", 'MTD Pivot'!$C:$C, $B79)</f>
        <v/>
      </c>
      <c r="H86" s="252">
        <f>SUMIFS('MTD Pivot'!I:I, 'MTD Pivot'!$A:$A, "Sàn đầu tư", 'MTD Pivot'!$C:$C, $B79)</f>
        <v/>
      </c>
      <c r="I86" s="252">
        <f>H86-G86</f>
        <v/>
      </c>
      <c r="J86" s="257" t="inlineStr"/>
      <c r="K86" s="252">
        <f>SUMIFS('Full month Pivot'!D:D, 'Full month Pivot'!$A:$A, "Sàn đầu tư", 'Full month Pivot'!$C:$C, $B79)</f>
        <v/>
      </c>
      <c r="L86" s="252">
        <f>SUMIFS('Full month Pivot'!E:E, 'Full month Pivot'!$A:$A, "Sàn đầu tư", 'Full month Pivot'!$C:$C, $B79)</f>
        <v/>
      </c>
      <c r="M86" s="252">
        <f>SUMIFS('Full month Pivot'!F:F, 'Full month Pivot'!$A:$A, "Sàn đầu tư", 'Full month Pivot'!$C:$C, $B79)</f>
        <v/>
      </c>
      <c r="N86" s="252">
        <f>SUMIFS('Full month Pivot'!G:G, 'Full month Pivot'!$A:$A, "Sàn đầu tư", 'Full month Pivot'!$C:$C, $B79)</f>
        <v/>
      </c>
      <c r="O86" s="252">
        <f>SUMIFS('Full month Pivot'!H:H, 'Full month Pivot'!$A:$A, "Sàn đầu tư", 'Full month Pivot'!$C:$C, $B79)</f>
        <v/>
      </c>
      <c r="P86" s="252">
        <f>SUMIFS('Full month Pivot'!I:I, 'Full month Pivot'!$A:$A, "Sàn đầu tư", 'Full month Pivot'!$C:$C, $B79)</f>
        <v/>
      </c>
      <c r="Q86" s="252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257" t="inlineStr"/>
      <c r="B87" s="257" t="inlineStr">
        <is>
          <t>Direct</t>
        </is>
      </c>
      <c r="C87" s="252">
        <f>SUMIFS('MTD Pivot'!D:D, 'MTD Pivot'!$A:$A, "Sàn đầu tư", 'MTD Pivot'!$C:$C, $B80)</f>
        <v/>
      </c>
      <c r="D87" s="252">
        <f>SUMIFS('MTD Pivot'!E:E, 'MTD Pivot'!$A:$A, "Sàn đầu tư", 'MTD Pivot'!$C:$C, $B80)</f>
        <v/>
      </c>
      <c r="E87" s="252">
        <f>SUMIFS('MTD Pivot'!F:F, 'MTD Pivot'!$A:$A, "Sàn đầu tư", 'MTD Pivot'!$C:$C, $B80)</f>
        <v/>
      </c>
      <c r="F87" s="252">
        <f>SUMIFS('MTD Pivot'!G:G, 'MTD Pivot'!$A:$A, "Sàn đầu tư", 'MTD Pivot'!$C:$C, $B80)</f>
        <v/>
      </c>
      <c r="G87" s="252">
        <f>SUMIFS('MTD Pivot'!H:H, 'MTD Pivot'!$A:$A, "Sàn đầu tư", 'MTD Pivot'!$C:$C, $B80)</f>
        <v/>
      </c>
      <c r="H87" s="252">
        <f>SUMIFS('MTD Pivot'!I:I, 'MTD Pivot'!$A:$A, "Sàn đầu tư", 'MTD Pivot'!$C:$C, $B80)</f>
        <v/>
      </c>
      <c r="I87" s="252">
        <f>H87-G87</f>
        <v/>
      </c>
      <c r="J87" s="257" t="inlineStr"/>
      <c r="K87" s="252">
        <f>SUMIFS('Full month Pivot'!D:D, 'Full month Pivot'!$A:$A, "Sàn đầu tư", 'Full month Pivot'!$C:$C, $B80)</f>
        <v/>
      </c>
      <c r="L87" s="252">
        <f>SUMIFS('Full month Pivot'!E:E, 'Full month Pivot'!$A:$A, "Sàn đầu tư", 'Full month Pivot'!$C:$C, $B80)</f>
        <v/>
      </c>
      <c r="M87" s="252">
        <f>SUMIFS('Full month Pivot'!F:F, 'Full month Pivot'!$A:$A, "Sàn đầu tư", 'Full month Pivot'!$C:$C, $B80)</f>
        <v/>
      </c>
      <c r="N87" s="252">
        <f>SUMIFS('Full month Pivot'!G:G, 'Full month Pivot'!$A:$A, "Sàn đầu tư", 'Full month Pivot'!$C:$C, $B80)</f>
        <v/>
      </c>
      <c r="O87" s="252">
        <f>SUMIFS('Full month Pivot'!H:H, 'Full month Pivot'!$A:$A, "Sàn đầu tư", 'Full month Pivot'!$C:$C, $B80)</f>
        <v/>
      </c>
      <c r="P87" s="252">
        <f>SUMIFS('Full month Pivot'!I:I, 'Full month Pivot'!$A:$A, "Sàn đầu tư", 'Full month Pivot'!$C:$C, $B80)</f>
        <v/>
      </c>
      <c r="Q87" s="252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257" t="inlineStr"/>
      <c r="B88" s="257" t="inlineStr">
        <is>
          <t>Referral</t>
        </is>
      </c>
      <c r="C88" s="252">
        <f>SUMIFS('MTD Pivot'!D:D, 'MTD Pivot'!$A:$A, "Sàn đầu tư", 'MTD Pivot'!$C:$C, $B81)</f>
        <v/>
      </c>
      <c r="D88" s="252">
        <f>SUMIFS('MTD Pivot'!E:E, 'MTD Pivot'!$A:$A, "Sàn đầu tư", 'MTD Pivot'!$C:$C, $B81)</f>
        <v/>
      </c>
      <c r="E88" s="252">
        <f>SUMIFS('MTD Pivot'!F:F, 'MTD Pivot'!$A:$A, "Sàn đầu tư", 'MTD Pivot'!$C:$C, $B81)</f>
        <v/>
      </c>
      <c r="F88" s="252">
        <f>SUMIFS('MTD Pivot'!G:G, 'MTD Pivot'!$A:$A, "Sàn đầu tư", 'MTD Pivot'!$C:$C, $B81)</f>
        <v/>
      </c>
      <c r="G88" s="252">
        <f>SUMIFS('MTD Pivot'!H:H, 'MTD Pivot'!$A:$A, "Sàn đầu tư", 'MTD Pivot'!$C:$C, $B81)</f>
        <v/>
      </c>
      <c r="H88" s="252">
        <f>SUMIFS('MTD Pivot'!I:I, 'MTD Pivot'!$A:$A, "Sàn đầu tư", 'MTD Pivot'!$C:$C, $B81)</f>
        <v/>
      </c>
      <c r="I88" s="252">
        <f>H88-G88</f>
        <v/>
      </c>
      <c r="J88" s="257" t="inlineStr"/>
      <c r="K88" s="252">
        <f>SUMIFS('Full month Pivot'!D:D, 'Full month Pivot'!$A:$A, "Sàn đầu tư", 'Full month Pivot'!$C:$C, $B81)</f>
        <v/>
      </c>
      <c r="L88" s="252">
        <f>SUMIFS('Full month Pivot'!E:E, 'Full month Pivot'!$A:$A, "Sàn đầu tư", 'Full month Pivot'!$C:$C, $B81)</f>
        <v/>
      </c>
      <c r="M88" s="252">
        <f>SUMIFS('Full month Pivot'!F:F, 'Full month Pivot'!$A:$A, "Sàn đầu tư", 'Full month Pivot'!$C:$C, $B81)</f>
        <v/>
      </c>
      <c r="N88" s="252">
        <f>SUMIFS('Full month Pivot'!G:G, 'Full month Pivot'!$A:$A, "Sàn đầu tư", 'Full month Pivot'!$C:$C, $B81)</f>
        <v/>
      </c>
      <c r="O88" s="252">
        <f>SUMIFS('Full month Pivot'!H:H, 'Full month Pivot'!$A:$A, "Sàn đầu tư", 'Full month Pivot'!$C:$C, $B81)</f>
        <v/>
      </c>
      <c r="P88" s="252">
        <f>SUMIFS('Full month Pivot'!I:I, 'Full month Pivot'!$A:$A, "Sàn đầu tư", 'Full month Pivot'!$C:$C, $B81)</f>
        <v/>
      </c>
      <c r="Q88" s="252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257" t="inlineStr"/>
      <c r="B89" s="257" t="inlineStr">
        <is>
          <t>Others</t>
        </is>
      </c>
      <c r="C89" s="252">
        <f>SUMIFS('MTD Pivot'!D:D, 'MTD Pivot'!$A:$A, "Sàn đầu tư", 'MTD Pivot'!$C:$C, $B82)</f>
        <v/>
      </c>
      <c r="D89" s="252">
        <f>SUMIFS('MTD Pivot'!E:E, 'MTD Pivot'!$A:$A, "Sàn đầu tư", 'MTD Pivot'!$C:$C, $B82)</f>
        <v/>
      </c>
      <c r="E89" s="252">
        <f>SUMIFS('MTD Pivot'!F:F, 'MTD Pivot'!$A:$A, "Sàn đầu tư", 'MTD Pivot'!$C:$C, $B82)</f>
        <v/>
      </c>
      <c r="F89" s="252">
        <f>SUMIFS('MTD Pivot'!G:G, 'MTD Pivot'!$A:$A, "Sàn đầu tư", 'MTD Pivot'!$C:$C, $B82)</f>
        <v/>
      </c>
      <c r="G89" s="252">
        <f>SUMIFS('MTD Pivot'!H:H, 'MTD Pivot'!$A:$A, "Sàn đầu tư", 'MTD Pivot'!$C:$C, $B82)</f>
        <v/>
      </c>
      <c r="H89" s="252">
        <f>SUMIFS('MTD Pivot'!I:I, 'MTD Pivot'!$A:$A, "Sàn đầu tư", 'MTD Pivot'!$C:$C, $B82)</f>
        <v/>
      </c>
      <c r="I89" s="252">
        <f>H89-G89</f>
        <v/>
      </c>
      <c r="J89" s="257" t="inlineStr"/>
      <c r="K89" s="252">
        <f>SUMIFS('Full month Pivot'!D:D, 'Full month Pivot'!$A:$A, "Sàn đầu tư", 'Full month Pivot'!$C:$C, $B82)</f>
        <v/>
      </c>
      <c r="L89" s="252">
        <f>SUMIFS('Full month Pivot'!E:E, 'Full month Pivot'!$A:$A, "Sàn đầu tư", 'Full month Pivot'!$C:$C, $B82)</f>
        <v/>
      </c>
      <c r="M89" s="252">
        <f>SUMIFS('Full month Pivot'!F:F, 'Full month Pivot'!$A:$A, "Sàn đầu tư", 'Full month Pivot'!$C:$C, $B82)</f>
        <v/>
      </c>
      <c r="N89" s="252">
        <f>SUMIFS('Full month Pivot'!G:G, 'Full month Pivot'!$A:$A, "Sàn đầu tư", 'Full month Pivot'!$C:$C, $B82)</f>
        <v/>
      </c>
      <c r="O89" s="252">
        <f>SUMIFS('Full month Pivot'!H:H, 'Full month Pivot'!$A:$A, "Sàn đầu tư", 'Full month Pivot'!$C:$C, $B82)</f>
        <v/>
      </c>
      <c r="P89" s="252">
        <f>SUMIFS('Full month Pivot'!I:I, 'Full month Pivot'!$A:$A, "Sàn đầu tư", 'Full month Pivot'!$C:$C, $B82)</f>
        <v/>
      </c>
      <c r="Q89" s="252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257" t="inlineStr"/>
      <c r="B90" s="257" t="inlineStr">
        <is>
          <t>Paid</t>
        </is>
      </c>
      <c r="C90" s="252">
        <f>SUMIFS('MTD Pivot'!D:D, 'MTD Pivot'!$A:$A, "Sàn đầu tư", 'MTD Pivot'!$C:$C, $B83)</f>
        <v/>
      </c>
      <c r="D90" s="252">
        <f>SUMIFS('MTD Pivot'!E:E, 'MTD Pivot'!$A:$A, "Sàn đầu tư", 'MTD Pivot'!$C:$C, $B83)</f>
        <v/>
      </c>
      <c r="E90" s="252">
        <f>SUMIFS('MTD Pivot'!F:F, 'MTD Pivot'!$A:$A, "Sàn đầu tư", 'MTD Pivot'!$C:$C, $B83)</f>
        <v/>
      </c>
      <c r="F90" s="252">
        <f>SUMIFS('MTD Pivot'!G:G, 'MTD Pivot'!$A:$A, "Sàn đầu tư", 'MTD Pivot'!$C:$C, $B83)</f>
        <v/>
      </c>
      <c r="G90" s="252">
        <f>SUMIFS('MTD Pivot'!H:H, 'MTD Pivot'!$A:$A, "Sàn đầu tư", 'MTD Pivot'!$C:$C, $B83)</f>
        <v/>
      </c>
      <c r="H90" s="252">
        <f>SUMIFS('MTD Pivot'!I:I, 'MTD Pivot'!$A:$A, "Sàn đầu tư", 'MTD Pivot'!$C:$C, $B83)</f>
        <v/>
      </c>
      <c r="I90" s="252">
        <f>H90-G90</f>
        <v/>
      </c>
      <c r="J90" s="257" t="inlineStr"/>
      <c r="K90" s="252">
        <f>SUMIFS('Full month Pivot'!D:D, 'Full month Pivot'!$A:$A, "Sàn đầu tư", 'Full month Pivot'!$C:$C, $B83)</f>
        <v/>
      </c>
      <c r="L90" s="252">
        <f>SUMIFS('Full month Pivot'!E:E, 'Full month Pivot'!$A:$A, "Sàn đầu tư", 'Full month Pivot'!$C:$C, $B83)</f>
        <v/>
      </c>
      <c r="M90" s="252">
        <f>SUMIFS('Full month Pivot'!F:F, 'Full month Pivot'!$A:$A, "Sàn đầu tư", 'Full month Pivot'!$C:$C, $B83)</f>
        <v/>
      </c>
      <c r="N90" s="252">
        <f>SUMIFS('Full month Pivot'!G:G, 'Full month Pivot'!$A:$A, "Sàn đầu tư", 'Full month Pivot'!$C:$C, $B83)</f>
        <v/>
      </c>
      <c r="O90" s="252">
        <f>SUMIFS('Full month Pivot'!H:H, 'Full month Pivot'!$A:$A, "Sàn đầu tư", 'Full month Pivot'!$C:$C, $B83)</f>
        <v/>
      </c>
      <c r="P90" s="252">
        <f>SUMIFS('Full month Pivot'!I:I, 'Full month Pivot'!$A:$A, "Sàn đầu tư", 'Full month Pivot'!$C:$C, $B83)</f>
        <v/>
      </c>
      <c r="Q90" s="252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257" t="inlineStr"/>
      <c r="B91" s="257" t="inlineStr"/>
      <c r="C91" s="252">
        <f>sum(C92:C96)</f>
        <v/>
      </c>
      <c r="D91" s="252">
        <f>sum(D92:D96)</f>
        <v/>
      </c>
      <c r="E91" s="252">
        <f>sum(E92:E96)</f>
        <v/>
      </c>
      <c r="F91" s="252">
        <f>sum(F92:F96)</f>
        <v/>
      </c>
      <c r="G91" s="252">
        <f>sum(G92:G96)</f>
        <v/>
      </c>
      <c r="H91" s="252">
        <f>sum(H92:H96)</f>
        <v/>
      </c>
      <c r="I91" s="252">
        <f>H91-G91</f>
        <v/>
      </c>
      <c r="J91" s="257" t="inlineStr"/>
      <c r="K91" s="252">
        <f>sum(K92:K96)</f>
        <v/>
      </c>
      <c r="L91" s="252">
        <f>sum(L92:L96)</f>
        <v/>
      </c>
      <c r="M91" s="252">
        <f>sum(M92:M96)</f>
        <v/>
      </c>
      <c r="N91" s="252">
        <f>sum(N92:N96)</f>
        <v/>
      </c>
      <c r="O91" s="252">
        <f>sum(O92:O96)</f>
        <v/>
      </c>
      <c r="P91" s="252">
        <f>sum(P92:P96)</f>
        <v/>
      </c>
      <c r="Q91" s="252">
        <f>P91-O91</f>
        <v/>
      </c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256" t="inlineStr">
        <is>
          <t>Tiệm Vàng Online</t>
        </is>
      </c>
      <c r="B92" s="257" t="inlineStr">
        <is>
          <t>Organic</t>
        </is>
      </c>
      <c r="C92" s="251">
        <f>SUMIFS('MTD Pivot'!D:D, 'MTD Pivot'!$A:$A, "Tiệm Vàng Online", 'MTD Pivot'!$C:$C, $B$92:$B$96)</f>
        <v/>
      </c>
      <c r="D92" s="251">
        <f>SUMIFS('MTD Pivot'!E:E, 'MTD Pivot'!$A:$A, "Tiệm Vàng Online", 'MTD Pivot'!$C:$C, $B$92:$B$96)</f>
        <v/>
      </c>
      <c r="E92" s="251">
        <f>SUMIFS('MTD Pivot'!F:F, 'MTD Pivot'!$A:$A, "Tiệm Vàng Online", 'MTD Pivot'!$C:$C, $B$92:$B$96)</f>
        <v/>
      </c>
      <c r="F92" s="251">
        <f>SUMIFS('MTD Pivot'!G:G, 'MTD Pivot'!$A:$A, "Tiệm Vàng Online", 'MTD Pivot'!$C:$C, $B$92:$B$96)</f>
        <v/>
      </c>
      <c r="G92" s="251">
        <f>SUMIFS('MTD Pivot'!H:H, 'MTD Pivot'!$A:$A, "Tiệm Vàng Online", 'MTD Pivot'!$C:$C, $B$92:$B$96)</f>
        <v/>
      </c>
      <c r="H92" s="251">
        <f>SUMIFS('MTD Pivot'!I:I, 'MTD Pivot'!$A:$A, "Tiệm Vàng Online", 'MTD Pivot'!$C:$C, $B$92:$B$96)</f>
        <v/>
      </c>
      <c r="I92" s="251">
        <f>H92-G92</f>
        <v/>
      </c>
      <c r="J92" s="257" t="inlineStr"/>
      <c r="K92" s="251">
        <f>SUMIFS('Full month Pivot'!D:D, 'Full month Pivot'!$A:$A, "Tiệm Vàng Online", 'Full month Pivot'!$C:$C, $B$92:$B$96)</f>
        <v/>
      </c>
      <c r="L92" s="251">
        <f>SUMIFS('Full month Pivot'!E:E, 'Full month Pivot'!$A:$A, "Tiệm Vàng Online", 'Full month Pivot'!$C:$C, $B$92:$B$96)</f>
        <v/>
      </c>
      <c r="M92" s="251">
        <f>SUMIFS('Full month Pivot'!F:F, 'Full month Pivot'!$A:$A, "Tiệm Vàng Online", 'Full month Pivot'!$C:$C, $B$92:$B$96)</f>
        <v/>
      </c>
      <c r="N92" s="251">
        <f>SUMIFS('Full month Pivot'!G:G, 'Full month Pivot'!$A:$A, "Tiệm Vàng Online", 'Full month Pivot'!$C:$C, $B$92:$B$96)</f>
        <v/>
      </c>
      <c r="O92" s="251">
        <f>SUMIFS('Full month Pivot'!H:H, 'Full month Pivot'!$A:$A, "Tiệm Vàng Online", 'Full month Pivot'!$C:$C, $B$92:$B$96)</f>
        <v/>
      </c>
      <c r="P92" s="251">
        <f>SUMIFS('Full month Pivot'!I:I, 'Full month Pivot'!$A:$A, "Tiệm Vàng Online", 'Full month Pivot'!$C:$C, $B$92:$B$96)</f>
        <v/>
      </c>
      <c r="Q92" s="251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257" t="inlineStr"/>
      <c r="B93" s="257" t="inlineStr">
        <is>
          <t>Direct</t>
        </is>
      </c>
      <c r="C93" s="252">
        <f>SUMIFS('MTD Pivot'!D:D, 'MTD Pivot'!$A:$A, "Tiệm Vàng Online", 'MTD Pivot'!$C:$C, $B$92:$B$96)</f>
        <v/>
      </c>
      <c r="D93" s="252">
        <f>SUMIFS('MTD Pivot'!E:E, 'MTD Pivot'!$A:$A, "Tiệm Vàng Online", 'MTD Pivot'!$C:$C, $B$92:$B$96)</f>
        <v/>
      </c>
      <c r="E93" s="252">
        <f>SUMIFS('MTD Pivot'!F:F, 'MTD Pivot'!$A:$A, "Tiệm Vàng Online", 'MTD Pivot'!$C:$C, $B$92:$B$96)</f>
        <v/>
      </c>
      <c r="F93" s="252">
        <f>SUMIFS('MTD Pivot'!G:G, 'MTD Pivot'!$A:$A, "Tiệm Vàng Online", 'MTD Pivot'!$C:$C, $B$92:$B$96)</f>
        <v/>
      </c>
      <c r="G93" s="252">
        <f>SUMIFS('MTD Pivot'!H:H, 'MTD Pivot'!$A:$A, "Tiệm Vàng Online", 'MTD Pivot'!$C:$C, $B$92:$B$96)</f>
        <v/>
      </c>
      <c r="H93" s="252">
        <f>SUMIFS('MTD Pivot'!I:I, 'MTD Pivot'!$A:$A, "Tiệm Vàng Online", 'MTD Pivot'!$C:$C, $B$92:$B$96)</f>
        <v/>
      </c>
      <c r="I93" s="252">
        <f>H93-G93</f>
        <v/>
      </c>
      <c r="J93" s="257" t="inlineStr"/>
      <c r="K93" s="252">
        <f>SUMIFS('Full month Pivot'!D:D, 'Full month Pivot'!$A:$A, "Tiệm Vàng Online", 'Full month Pivot'!$C:$C, $B$92:$B$96)</f>
        <v/>
      </c>
      <c r="L93" s="252">
        <f>SUMIFS('Full month Pivot'!E:E, 'Full month Pivot'!$A:$A, "Tiệm Vàng Online", 'Full month Pivot'!$C:$C, $B$92:$B$96)</f>
        <v/>
      </c>
      <c r="M93" s="252">
        <f>SUMIFS('Full month Pivot'!F:F, 'Full month Pivot'!$A:$A, "Tiệm Vàng Online", 'Full month Pivot'!$C:$C, $B$92:$B$96)</f>
        <v/>
      </c>
      <c r="N93" s="252">
        <f>SUMIFS('Full month Pivot'!G:G, 'Full month Pivot'!$A:$A, "Tiệm Vàng Online", 'Full month Pivot'!$C:$C, $B$92:$B$96)</f>
        <v/>
      </c>
      <c r="O93" s="252">
        <f>SUMIFS('Full month Pivot'!H:H, 'Full month Pivot'!$A:$A, "Tiệm Vàng Online", 'Full month Pivot'!$C:$C, $B$92:$B$96)</f>
        <v/>
      </c>
      <c r="P93" s="252">
        <f>SUMIFS('Full month Pivot'!I:I, 'Full month Pivot'!$A:$A, "Tiệm Vàng Online", 'Full month Pivot'!$C:$C, $B$92:$B$96)</f>
        <v/>
      </c>
      <c r="Q93" s="252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257" t="inlineStr"/>
      <c r="B94" s="257" t="inlineStr">
        <is>
          <t>Referral</t>
        </is>
      </c>
      <c r="C94" s="252">
        <f>SUMIFS('MTD Pivot'!D:D, 'MTD Pivot'!$A:$A, "Tiệm Vàng Online", 'MTD Pivot'!$C:$C, $B$92:$B$96)</f>
        <v/>
      </c>
      <c r="D94" s="252">
        <f>SUMIFS('MTD Pivot'!E:E, 'MTD Pivot'!$A:$A, "Tiệm Vàng Online", 'MTD Pivot'!$C:$C, $B$92:$B$96)</f>
        <v/>
      </c>
      <c r="E94" s="252">
        <f>SUMIFS('MTD Pivot'!F:F, 'MTD Pivot'!$A:$A, "Tiệm Vàng Online", 'MTD Pivot'!$C:$C, $B$92:$B$96)</f>
        <v/>
      </c>
      <c r="F94" s="252">
        <f>SUMIFS('MTD Pivot'!G:G, 'MTD Pivot'!$A:$A, "Tiệm Vàng Online", 'MTD Pivot'!$C:$C, $B$92:$B$96)</f>
        <v/>
      </c>
      <c r="G94" s="252">
        <f>SUMIFS('MTD Pivot'!H:H, 'MTD Pivot'!$A:$A, "Tiệm Vàng Online", 'MTD Pivot'!$C:$C, $B$92:$B$96)</f>
        <v/>
      </c>
      <c r="H94" s="252">
        <f>SUMIFS('MTD Pivot'!I:I, 'MTD Pivot'!$A:$A, "Tiệm Vàng Online", 'MTD Pivot'!$C:$C, $B$92:$B$96)</f>
        <v/>
      </c>
      <c r="I94" s="252">
        <f>H94-G94</f>
        <v/>
      </c>
      <c r="J94" s="257" t="inlineStr"/>
      <c r="K94" s="252">
        <f>SUMIFS('Full month Pivot'!D:D, 'Full month Pivot'!$A:$A, "Tiệm Vàng Online", 'Full month Pivot'!$C:$C, $B$92:$B$96)</f>
        <v/>
      </c>
      <c r="L94" s="252">
        <f>SUMIFS('Full month Pivot'!E:E, 'Full month Pivot'!$A:$A, "Tiệm Vàng Online", 'Full month Pivot'!$C:$C, $B$92:$B$96)</f>
        <v/>
      </c>
      <c r="M94" s="252">
        <f>SUMIFS('Full month Pivot'!F:F, 'Full month Pivot'!$A:$A, "Tiệm Vàng Online", 'Full month Pivot'!$C:$C, $B$92:$B$96)</f>
        <v/>
      </c>
      <c r="N94" s="252">
        <f>SUMIFS('Full month Pivot'!G:G, 'Full month Pivot'!$A:$A, "Tiệm Vàng Online", 'Full month Pivot'!$C:$C, $B$92:$B$96)</f>
        <v/>
      </c>
      <c r="O94" s="252">
        <f>SUMIFS('Full month Pivot'!H:H, 'Full month Pivot'!$A:$A, "Tiệm Vàng Online", 'Full month Pivot'!$C:$C, $B$92:$B$96)</f>
        <v/>
      </c>
      <c r="P94" s="252">
        <f>SUMIFS('Full month Pivot'!I:I, 'Full month Pivot'!$A:$A, "Tiệm Vàng Online", 'Full month Pivot'!$C:$C, $B$92:$B$96)</f>
        <v/>
      </c>
      <c r="Q94" s="252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257" t="inlineStr"/>
      <c r="B95" s="257" t="inlineStr">
        <is>
          <t>Others</t>
        </is>
      </c>
      <c r="C95" s="252">
        <f>SUMIFS('MTD Pivot'!D:D, 'MTD Pivot'!$A:$A, "Tiệm Vàng Online", 'MTD Pivot'!$C:$C, $B$92:$B$96)</f>
        <v/>
      </c>
      <c r="D95" s="252">
        <f>SUMIFS('MTD Pivot'!E:E, 'MTD Pivot'!$A:$A, "Tiệm Vàng Online", 'MTD Pivot'!$C:$C, $B$92:$B$96)</f>
        <v/>
      </c>
      <c r="E95" s="252">
        <f>SUMIFS('MTD Pivot'!F:F, 'MTD Pivot'!$A:$A, "Tiệm Vàng Online", 'MTD Pivot'!$C:$C, $B$92:$B$96)</f>
        <v/>
      </c>
      <c r="F95" s="252">
        <f>SUMIFS('MTD Pivot'!G:G, 'MTD Pivot'!$A:$A, "Tiệm Vàng Online", 'MTD Pivot'!$C:$C, $B$92:$B$96)</f>
        <v/>
      </c>
      <c r="G95" s="252">
        <f>SUMIFS('MTD Pivot'!H:H, 'MTD Pivot'!$A:$A, "Tiệm Vàng Online", 'MTD Pivot'!$C:$C, $B$92:$B$96)</f>
        <v/>
      </c>
      <c r="H95" s="252">
        <f>SUMIFS('MTD Pivot'!I:I, 'MTD Pivot'!$A:$A, "Tiệm Vàng Online", 'MTD Pivot'!$C:$C, $B$92:$B$96)</f>
        <v/>
      </c>
      <c r="I95" s="252">
        <f>H95-G95</f>
        <v/>
      </c>
      <c r="J95" s="257" t="inlineStr"/>
      <c r="K95" s="252">
        <f>SUMIFS('Full month Pivot'!D:D, 'Full month Pivot'!$A:$A, "Tiệm Vàng Online", 'Full month Pivot'!$C:$C, $B$92:$B$96)</f>
        <v/>
      </c>
      <c r="L95" s="252">
        <f>SUMIFS('Full month Pivot'!E:E, 'Full month Pivot'!$A:$A, "Tiệm Vàng Online", 'Full month Pivot'!$C:$C, $B$92:$B$96)</f>
        <v/>
      </c>
      <c r="M95" s="252">
        <f>SUMIFS('Full month Pivot'!F:F, 'Full month Pivot'!$A:$A, "Tiệm Vàng Online", 'Full month Pivot'!$C:$C, $B$92:$B$96)</f>
        <v/>
      </c>
      <c r="N95" s="252">
        <f>SUMIFS('Full month Pivot'!G:G, 'Full month Pivot'!$A:$A, "Tiệm Vàng Online", 'Full month Pivot'!$C:$C, $B$92:$B$96)</f>
        <v/>
      </c>
      <c r="O95" s="252">
        <f>SUMIFS('Full month Pivot'!H:H, 'Full month Pivot'!$A:$A, "Tiệm Vàng Online", 'Full month Pivot'!$C:$C, $B$92:$B$96)</f>
        <v/>
      </c>
      <c r="P95" s="252">
        <f>SUMIFS('Full month Pivot'!I:I, 'Full month Pivot'!$A:$A, "Tiệm Vàng Online", 'Full month Pivot'!$C:$C, $B$92:$B$96)</f>
        <v/>
      </c>
      <c r="Q95" s="252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257" t="inlineStr"/>
      <c r="B96" s="257" t="inlineStr">
        <is>
          <t>Paid</t>
        </is>
      </c>
      <c r="C96" s="252">
        <f>SUMIFS('MTD Pivot'!D:D, 'MTD Pivot'!$A:$A, "Tiệm Vàng Online", 'MTD Pivot'!$C:$C, $B$92:$B$96)</f>
        <v/>
      </c>
      <c r="D96" s="252">
        <f>SUMIFS('MTD Pivot'!E:E, 'MTD Pivot'!$A:$A, "Tiệm Vàng Online", 'MTD Pivot'!$C:$C, $B$92:$B$96)</f>
        <v/>
      </c>
      <c r="E96" s="252">
        <f>SUMIFS('MTD Pivot'!F:F, 'MTD Pivot'!$A:$A, "Tiệm Vàng Online", 'MTD Pivot'!$C:$C, $B$92:$B$96)</f>
        <v/>
      </c>
      <c r="F96" s="252">
        <f>SUMIFS('MTD Pivot'!G:G, 'MTD Pivot'!$A:$A, "Tiệm Vàng Online", 'MTD Pivot'!$C:$C, $B$92:$B$96)</f>
        <v/>
      </c>
      <c r="G96" s="252">
        <f>SUMIFS('MTD Pivot'!H:H, 'MTD Pivot'!$A:$A, "Tiệm Vàng Online", 'MTD Pivot'!$C:$C, $B$92:$B$96)</f>
        <v/>
      </c>
      <c r="H96" s="252">
        <f>SUMIFS('MTD Pivot'!I:I, 'MTD Pivot'!$A:$A, "Tiệm Vàng Online", 'MTD Pivot'!$C:$C, $B$92:$B$96)</f>
        <v/>
      </c>
      <c r="I96" s="252">
        <f>H96-G96</f>
        <v/>
      </c>
      <c r="J96" s="257" t="inlineStr"/>
      <c r="K96" s="252">
        <f>SUMIFS('Full month Pivot'!D:D, 'Full month Pivot'!$A:$A, "Tiệm Vàng Online", 'Full month Pivot'!$C:$C, $B$92:$B$96)</f>
        <v/>
      </c>
      <c r="L96" s="252">
        <f>SUMIFS('Full month Pivot'!E:E, 'Full month Pivot'!$A:$A, "Tiệm Vàng Online", 'Full month Pivot'!$C:$C, $B$92:$B$96)</f>
        <v/>
      </c>
      <c r="M96" s="252">
        <f>SUMIFS('Full month Pivot'!F:F, 'Full month Pivot'!$A:$A, "Tiệm Vàng Online", 'Full month Pivot'!$C:$C, $B$92:$B$96)</f>
        <v/>
      </c>
      <c r="N96" s="252">
        <f>SUMIFS('Full month Pivot'!G:G, 'Full month Pivot'!$A:$A, "Tiệm Vàng Online", 'Full month Pivot'!$C:$C, $B$92:$B$96)</f>
        <v/>
      </c>
      <c r="O96" s="252">
        <f>SUMIFS('Full month Pivot'!H:H, 'Full month Pivot'!$A:$A, "Tiệm Vàng Online", 'Full month Pivot'!$C:$C, $B$92:$B$96)</f>
        <v/>
      </c>
      <c r="P96" s="252">
        <f>SUMIFS('Full month Pivot'!I:I, 'Full month Pivot'!$A:$A, "Tiệm Vàng Online", 'Full month Pivot'!$C:$C, $B$92:$B$96)</f>
        <v/>
      </c>
      <c r="Q96" s="252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256" t="inlineStr">
        <is>
          <t>Tỷ Giá (FX Rates)</t>
        </is>
      </c>
      <c r="B98" s="257" t="inlineStr"/>
      <c r="C98" s="251">
        <f>sum(C99:C103)</f>
        <v/>
      </c>
      <c r="D98" s="251">
        <f>sum(D99:D103)</f>
        <v/>
      </c>
      <c r="E98" s="251">
        <f>sum(E99:E103)</f>
        <v/>
      </c>
      <c r="F98" s="251">
        <f>sum(F99:F103)</f>
        <v/>
      </c>
      <c r="G98" s="251">
        <f>sum(G99:G103)</f>
        <v/>
      </c>
      <c r="H98" s="251">
        <f>sum(H99:H103)</f>
        <v/>
      </c>
      <c r="I98" s="251">
        <f>H98-G98</f>
        <v/>
      </c>
      <c r="J98" s="257" t="inlineStr"/>
      <c r="K98" s="251">
        <f>sum(K99:K103)</f>
        <v/>
      </c>
      <c r="L98" s="251">
        <f>sum(L99:L103)</f>
        <v/>
      </c>
      <c r="M98" s="251">
        <f>sum(M99:M103)</f>
        <v/>
      </c>
      <c r="N98" s="251">
        <f>sum(N99:N103)</f>
        <v/>
      </c>
      <c r="O98" s="251">
        <f>sum(O99:O103)</f>
        <v/>
      </c>
      <c r="P98" s="251">
        <f>sum(P99:P103)</f>
        <v/>
      </c>
      <c r="Q98" s="251">
        <f>P98-O98</f>
        <v/>
      </c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257" t="inlineStr"/>
      <c r="B99" s="257" t="inlineStr">
        <is>
          <t>Organic</t>
        </is>
      </c>
      <c r="C99" s="252" t="n">
        <v>0</v>
      </c>
      <c r="D99" s="252" t="n">
        <v>0</v>
      </c>
      <c r="E99" s="252" t="n">
        <v>0</v>
      </c>
      <c r="F99" s="252" t="n">
        <v>0</v>
      </c>
      <c r="G99" s="252" t="n">
        <v>85</v>
      </c>
      <c r="H99" s="252" t="n">
        <v>862</v>
      </c>
      <c r="I99" s="252">
        <f>H99-G99</f>
        <v/>
      </c>
      <c r="J99" s="257" t="inlineStr"/>
      <c r="K99" s="252" t="n">
        <v>0</v>
      </c>
      <c r="L99" s="252" t="n">
        <v>0</v>
      </c>
      <c r="M99" s="252" t="n">
        <v>0</v>
      </c>
      <c r="N99" s="252" t="n">
        <v>0</v>
      </c>
      <c r="O99" s="252" t="n">
        <v>82</v>
      </c>
      <c r="P99" s="252" t="n">
        <v>856</v>
      </c>
      <c r="Q99" s="252">
        <f>P99-O99</f>
        <v/>
      </c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257" t="inlineStr"/>
      <c r="B100" s="257" t="inlineStr">
        <is>
          <t>Direct</t>
        </is>
      </c>
      <c r="C100" s="252" t="n">
        <v>0</v>
      </c>
      <c r="D100" s="252" t="n">
        <v>0</v>
      </c>
      <c r="E100" s="252" t="n">
        <v>0</v>
      </c>
      <c r="F100" s="252" t="n">
        <v>0</v>
      </c>
      <c r="G100" s="252" t="n">
        <v>4</v>
      </c>
      <c r="H100" s="252" t="n">
        <v>39</v>
      </c>
      <c r="I100" s="252">
        <f>H100-G100</f>
        <v/>
      </c>
      <c r="J100" s="257" t="inlineStr"/>
      <c r="K100" s="252" t="n">
        <v>0</v>
      </c>
      <c r="L100" s="252" t="n">
        <v>0</v>
      </c>
      <c r="M100" s="252" t="n">
        <v>0</v>
      </c>
      <c r="N100" s="252" t="n">
        <v>0</v>
      </c>
      <c r="O100" s="252" t="n">
        <v>4</v>
      </c>
      <c r="P100" s="252" t="n">
        <v>39</v>
      </c>
      <c r="Q100" s="252">
        <f>P100-O100</f>
        <v/>
      </c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257" t="inlineStr"/>
      <c r="B101" s="257" t="inlineStr">
        <is>
          <t>Paid</t>
        </is>
      </c>
      <c r="C101" s="252" t="n">
        <v>0</v>
      </c>
      <c r="D101" s="252" t="n">
        <v>0</v>
      </c>
      <c r="E101" s="252" t="n">
        <v>0</v>
      </c>
      <c r="F101" s="252" t="n">
        <v>0</v>
      </c>
      <c r="G101" s="252" t="n">
        <v>0</v>
      </c>
      <c r="H101" s="252" t="n">
        <v>13</v>
      </c>
      <c r="I101" s="252">
        <f>H101-G101</f>
        <v/>
      </c>
      <c r="J101" s="257" t="inlineStr"/>
      <c r="K101" s="252" t="n">
        <v>0</v>
      </c>
      <c r="L101" s="252" t="n">
        <v>0</v>
      </c>
      <c r="M101" s="252" t="n">
        <v>0</v>
      </c>
      <c r="N101" s="252" t="n">
        <v>0</v>
      </c>
      <c r="O101" s="252" t="n">
        <v>0</v>
      </c>
      <c r="P101" s="252" t="n">
        <v>13</v>
      </c>
      <c r="Q101" s="252">
        <f>P101-O101</f>
        <v/>
      </c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257" t="inlineStr"/>
      <c r="B102" s="257" t="inlineStr">
        <is>
          <t>Referral</t>
        </is>
      </c>
      <c r="C102" s="252" t="n">
        <v>0</v>
      </c>
      <c r="D102" s="252" t="n">
        <v>0</v>
      </c>
      <c r="E102" s="252" t="n">
        <v>0</v>
      </c>
      <c r="F102" s="252" t="n">
        <v>0</v>
      </c>
      <c r="G102" s="252" t="n">
        <v>0</v>
      </c>
      <c r="H102" s="252" t="n">
        <v>38</v>
      </c>
      <c r="I102" s="252">
        <f>H102-G102</f>
        <v/>
      </c>
      <c r="J102" s="257" t="inlineStr"/>
      <c r="K102" s="252" t="n">
        <v>0</v>
      </c>
      <c r="L102" s="252" t="n">
        <v>0</v>
      </c>
      <c r="M102" s="252" t="n">
        <v>0</v>
      </c>
      <c r="N102" s="252" t="n">
        <v>0</v>
      </c>
      <c r="O102" s="252" t="n">
        <v>3</v>
      </c>
      <c r="P102" s="252" t="n">
        <v>46</v>
      </c>
      <c r="Q102" s="252">
        <f>P102-O102</f>
        <v/>
      </c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257" t="inlineStr"/>
      <c r="B103" s="257" t="inlineStr">
        <is>
          <t>Others</t>
        </is>
      </c>
      <c r="C103" s="252" t="n">
        <v>0</v>
      </c>
      <c r="D103" s="252" t="n">
        <v>0</v>
      </c>
      <c r="E103" s="252" t="n">
        <v>0</v>
      </c>
      <c r="F103" s="252" t="n">
        <v>0</v>
      </c>
      <c r="G103" s="252" t="n">
        <v>12</v>
      </c>
      <c r="H103" s="252" t="n">
        <v>11</v>
      </c>
      <c r="I103" s="252">
        <f>H103-G103</f>
        <v/>
      </c>
      <c r="J103" s="257" t="inlineStr"/>
      <c r="K103" s="252" t="n">
        <v>0</v>
      </c>
      <c r="L103" s="252" t="n">
        <v>0</v>
      </c>
      <c r="M103" s="252" t="n">
        <v>0</v>
      </c>
      <c r="N103" s="252" t="n">
        <v>0</v>
      </c>
      <c r="O103" s="252" t="n">
        <v>12</v>
      </c>
      <c r="P103" s="252" t="n">
        <v>9</v>
      </c>
      <c r="Q103" s="252">
        <f>P103-O103</f>
        <v/>
      </c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249" t="n"/>
      <c r="C104" s="250" t="n"/>
      <c r="D104" s="250" t="n"/>
      <c r="E104" s="250" t="n"/>
      <c r="F104" s="250" t="n"/>
      <c r="G104" s="250" t="n"/>
      <c r="H104" s="250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256" t="inlineStr">
        <is>
          <t>Giá Vàng (Gold Price)</t>
        </is>
      </c>
      <c r="B105" s="257" t="inlineStr"/>
      <c r="C105" s="251">
        <f>sum(C106:C110)</f>
        <v/>
      </c>
      <c r="D105" s="251">
        <f>sum(D106:D110)</f>
        <v/>
      </c>
      <c r="E105" s="251">
        <f>sum(E106:E110)</f>
        <v/>
      </c>
      <c r="F105" s="251">
        <f>sum(F106:F110)</f>
        <v/>
      </c>
      <c r="G105" s="251">
        <f>sum(G106:G110)</f>
        <v/>
      </c>
      <c r="H105" s="251">
        <f>sum(H106:H110)</f>
        <v/>
      </c>
      <c r="I105" s="251">
        <f>H105-G105</f>
        <v/>
      </c>
      <c r="J105" s="257" t="inlineStr"/>
      <c r="K105" s="251">
        <f>sum(K106:K110)</f>
        <v/>
      </c>
      <c r="L105" s="251">
        <f>sum(L106:L110)</f>
        <v/>
      </c>
      <c r="M105" s="251">
        <f>sum(M106:M110)</f>
        <v/>
      </c>
      <c r="N105" s="251">
        <f>sum(N106:N110)</f>
        <v/>
      </c>
      <c r="O105" s="251">
        <f>sum(O106:O110)</f>
        <v/>
      </c>
      <c r="P105" s="251">
        <f>sum(P106:P110)</f>
        <v/>
      </c>
      <c r="Q105" s="251">
        <f>P105-O105</f>
        <v/>
      </c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257" t="inlineStr"/>
      <c r="B106" s="257" t="inlineStr">
        <is>
          <t>Organic</t>
        </is>
      </c>
      <c r="C106" s="252" t="n">
        <v>0</v>
      </c>
      <c r="D106" s="252" t="n">
        <v>0</v>
      </c>
      <c r="E106" s="252" t="n">
        <v>0</v>
      </c>
      <c r="F106" s="252" t="n">
        <v>0</v>
      </c>
      <c r="G106" s="252" t="n">
        <v>52</v>
      </c>
      <c r="H106" s="252" t="n">
        <v>282</v>
      </c>
      <c r="I106" s="252">
        <f>H106-G106</f>
        <v/>
      </c>
      <c r="J106" s="257" t="inlineStr"/>
      <c r="K106" s="252" t="n">
        <v>0</v>
      </c>
      <c r="L106" s="252" t="n">
        <v>0</v>
      </c>
      <c r="M106" s="252" t="n">
        <v>0</v>
      </c>
      <c r="N106" s="252" t="n">
        <v>0</v>
      </c>
      <c r="O106" s="252" t="n">
        <v>44</v>
      </c>
      <c r="P106" s="252" t="n">
        <v>277</v>
      </c>
      <c r="Q106" s="252">
        <f>P106-O106</f>
        <v/>
      </c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257" t="inlineStr"/>
      <c r="B107" s="257" t="inlineStr">
        <is>
          <t>Direct</t>
        </is>
      </c>
      <c r="C107" s="252" t="n">
        <v>0</v>
      </c>
      <c r="D107" s="252" t="n">
        <v>0</v>
      </c>
      <c r="E107" s="252" t="n">
        <v>0</v>
      </c>
      <c r="F107" s="252" t="n">
        <v>0</v>
      </c>
      <c r="G107" s="252" t="n">
        <v>7</v>
      </c>
      <c r="H107" s="252" t="n">
        <v>44</v>
      </c>
      <c r="I107" s="252">
        <f>H107-G107</f>
        <v/>
      </c>
      <c r="J107" s="257" t="inlineStr"/>
      <c r="K107" s="252" t="n">
        <v>0</v>
      </c>
      <c r="L107" s="252" t="n">
        <v>0</v>
      </c>
      <c r="M107" s="252" t="n">
        <v>0</v>
      </c>
      <c r="N107" s="252" t="n">
        <v>0</v>
      </c>
      <c r="O107" s="252" t="n">
        <v>7</v>
      </c>
      <c r="P107" s="252" t="n">
        <v>44</v>
      </c>
      <c r="Q107" s="252">
        <f>P107-O107</f>
        <v/>
      </c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257" t="inlineStr"/>
      <c r="B108" s="257" t="inlineStr">
        <is>
          <t>Paid</t>
        </is>
      </c>
      <c r="C108" s="252" t="n">
        <v>0</v>
      </c>
      <c r="D108" s="252" t="n">
        <v>0</v>
      </c>
      <c r="E108" s="252" t="n">
        <v>0</v>
      </c>
      <c r="F108" s="252" t="n">
        <v>0</v>
      </c>
      <c r="G108" s="252" t="n">
        <v>0</v>
      </c>
      <c r="H108" s="252" t="n">
        <v>22</v>
      </c>
      <c r="I108" s="252">
        <f>H108-G108</f>
        <v/>
      </c>
      <c r="J108" s="257" t="inlineStr"/>
      <c r="K108" s="252" t="n">
        <v>0</v>
      </c>
      <c r="L108" s="252" t="n">
        <v>0</v>
      </c>
      <c r="M108" s="252" t="n">
        <v>0</v>
      </c>
      <c r="N108" s="252" t="n">
        <v>0</v>
      </c>
      <c r="O108" s="252" t="n">
        <v>0</v>
      </c>
      <c r="P108" s="252" t="n">
        <v>22</v>
      </c>
      <c r="Q108" s="252">
        <f>P108-O108</f>
        <v/>
      </c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257" t="inlineStr"/>
      <c r="B109" s="257" t="inlineStr">
        <is>
          <t>Referral</t>
        </is>
      </c>
      <c r="C109" s="252" t="n">
        <v>0</v>
      </c>
      <c r="D109" s="252" t="n">
        <v>0</v>
      </c>
      <c r="E109" s="252" t="n">
        <v>0</v>
      </c>
      <c r="F109" s="252" t="n">
        <v>0</v>
      </c>
      <c r="G109" s="252" t="n">
        <v>0</v>
      </c>
      <c r="H109" s="252" t="n">
        <v>15</v>
      </c>
      <c r="I109" s="252">
        <f>H109-G109</f>
        <v/>
      </c>
      <c r="J109" s="257" t="inlineStr"/>
      <c r="K109" s="252" t="n">
        <v>0</v>
      </c>
      <c r="L109" s="252" t="n">
        <v>0</v>
      </c>
      <c r="M109" s="252" t="n">
        <v>0</v>
      </c>
      <c r="N109" s="252" t="n">
        <v>0</v>
      </c>
      <c r="O109" s="252" t="n">
        <v>8</v>
      </c>
      <c r="P109" s="252" t="n">
        <v>20</v>
      </c>
      <c r="Q109" s="252">
        <f>P109-O109</f>
        <v/>
      </c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257" t="inlineStr"/>
      <c r="B110" s="257" t="inlineStr">
        <is>
          <t>Others</t>
        </is>
      </c>
      <c r="C110" s="252" t="n">
        <v>0</v>
      </c>
      <c r="D110" s="252" t="n">
        <v>0</v>
      </c>
      <c r="E110" s="252" t="n">
        <v>0</v>
      </c>
      <c r="F110" s="252" t="n">
        <v>0</v>
      </c>
      <c r="G110" s="252" t="n">
        <v>0</v>
      </c>
      <c r="H110" s="252" t="n">
        <v>24</v>
      </c>
      <c r="I110" s="252">
        <f>H110-G110</f>
        <v/>
      </c>
      <c r="J110" s="257" t="inlineStr"/>
      <c r="K110" s="252" t="n">
        <v>0</v>
      </c>
      <c r="L110" s="252" t="n">
        <v>0</v>
      </c>
      <c r="M110" s="252" t="n">
        <v>0</v>
      </c>
      <c r="N110" s="252" t="n">
        <v>0</v>
      </c>
      <c r="O110" s="252" t="n">
        <v>0</v>
      </c>
      <c r="P110" s="252" t="n">
        <v>24</v>
      </c>
      <c r="Q110" s="252">
        <f>P110-O110</f>
        <v/>
      </c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249" t="n"/>
      <c r="C111" s="250" t="n"/>
      <c r="D111" s="250" t="n"/>
      <c r="E111" s="250" t="n"/>
      <c r="F111" s="250" t="n"/>
      <c r="G111" s="250" t="n"/>
      <c r="H111" s="250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256" t="inlineStr">
        <is>
          <t>Lãi Suất (Interest Rates)</t>
        </is>
      </c>
      <c r="B112" s="257" t="inlineStr"/>
      <c r="C112" s="251">
        <f>sum(C113:C117)</f>
        <v/>
      </c>
      <c r="D112" s="251">
        <f>sum(D113:D117)</f>
        <v/>
      </c>
      <c r="E112" s="251">
        <f>sum(E113:E117)</f>
        <v/>
      </c>
      <c r="F112" s="251">
        <f>sum(F113:F117)</f>
        <v/>
      </c>
      <c r="G112" s="251">
        <f>sum(G113:G117)</f>
        <v/>
      </c>
      <c r="H112" s="251">
        <f>sum(H113:H117)</f>
        <v/>
      </c>
      <c r="I112" s="251">
        <f>H112-G112</f>
        <v/>
      </c>
      <c r="J112" s="257" t="inlineStr"/>
      <c r="K112" s="251">
        <f>sum(K113:K117)</f>
        <v/>
      </c>
      <c r="L112" s="251">
        <f>sum(L113:L117)</f>
        <v/>
      </c>
      <c r="M112" s="251">
        <f>sum(M113:M117)</f>
        <v/>
      </c>
      <c r="N112" s="251">
        <f>sum(N113:N117)</f>
        <v/>
      </c>
      <c r="O112" s="251">
        <f>sum(O113:O117)</f>
        <v/>
      </c>
      <c r="P112" s="251">
        <f>sum(P113:P117)</f>
        <v/>
      </c>
      <c r="Q112" s="251">
        <f>P112-O112</f>
        <v/>
      </c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257" t="inlineStr"/>
      <c r="B113" s="257" t="inlineStr">
        <is>
          <t>Organic</t>
        </is>
      </c>
      <c r="C113" s="252" t="n">
        <v>0</v>
      </c>
      <c r="D113" s="252" t="n">
        <v>0</v>
      </c>
      <c r="E113" s="252" t="n">
        <v>0</v>
      </c>
      <c r="F113" s="252" t="n">
        <v>0</v>
      </c>
      <c r="G113" s="252" t="n">
        <v>59</v>
      </c>
      <c r="H113" s="252" t="n">
        <v>609</v>
      </c>
      <c r="I113" s="252">
        <f>H113-G113</f>
        <v/>
      </c>
      <c r="J113" s="257" t="inlineStr"/>
      <c r="K113" s="252" t="n">
        <v>0</v>
      </c>
      <c r="L113" s="252" t="n">
        <v>0</v>
      </c>
      <c r="M113" s="252" t="n">
        <v>0</v>
      </c>
      <c r="N113" s="252" t="n">
        <v>0</v>
      </c>
      <c r="O113" s="252" t="n">
        <v>59</v>
      </c>
      <c r="P113" s="252" t="n">
        <v>605</v>
      </c>
      <c r="Q113" s="252">
        <f>P113-O113</f>
        <v/>
      </c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257" t="inlineStr"/>
      <c r="B114" s="257" t="inlineStr">
        <is>
          <t>Direct</t>
        </is>
      </c>
      <c r="C114" s="252" t="n">
        <v>0</v>
      </c>
      <c r="D114" s="252" t="n">
        <v>0</v>
      </c>
      <c r="E114" s="252" t="n">
        <v>0</v>
      </c>
      <c r="F114" s="252" t="n">
        <v>0</v>
      </c>
      <c r="G114" s="252" t="n">
        <v>4</v>
      </c>
      <c r="H114" s="252" t="n">
        <v>115</v>
      </c>
      <c r="I114" s="252">
        <f>H114-G114</f>
        <v/>
      </c>
      <c r="J114" s="257" t="inlineStr"/>
      <c r="K114" s="252" t="n">
        <v>0</v>
      </c>
      <c r="L114" s="252" t="n">
        <v>0</v>
      </c>
      <c r="M114" s="252" t="n">
        <v>0</v>
      </c>
      <c r="N114" s="252" t="n">
        <v>0</v>
      </c>
      <c r="O114" s="252" t="n">
        <v>4</v>
      </c>
      <c r="P114" s="252" t="n">
        <v>115</v>
      </c>
      <c r="Q114" s="252">
        <f>P114-O114</f>
        <v/>
      </c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257" t="inlineStr"/>
      <c r="B115" s="257" t="inlineStr">
        <is>
          <t>Paid</t>
        </is>
      </c>
      <c r="C115" s="252" t="n">
        <v>0</v>
      </c>
      <c r="D115" s="252" t="n">
        <v>0</v>
      </c>
      <c r="E115" s="252" t="n">
        <v>0</v>
      </c>
      <c r="F115" s="252" t="n">
        <v>0</v>
      </c>
      <c r="G115" s="252" t="n">
        <v>0</v>
      </c>
      <c r="H115" s="252" t="n">
        <v>3</v>
      </c>
      <c r="I115" s="252">
        <f>H115-G115</f>
        <v/>
      </c>
      <c r="J115" s="257" t="inlineStr"/>
      <c r="K115" s="252" t="n">
        <v>0</v>
      </c>
      <c r="L115" s="252" t="n">
        <v>0</v>
      </c>
      <c r="M115" s="252" t="n">
        <v>0</v>
      </c>
      <c r="N115" s="252" t="n">
        <v>0</v>
      </c>
      <c r="O115" s="252" t="n">
        <v>0</v>
      </c>
      <c r="P115" s="252" t="n">
        <v>3</v>
      </c>
      <c r="Q115" s="252">
        <f>P115-O115</f>
        <v/>
      </c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257" t="inlineStr"/>
      <c r="B116" s="257" t="inlineStr">
        <is>
          <t>Referral</t>
        </is>
      </c>
      <c r="C116" s="252" t="n">
        <v>0</v>
      </c>
      <c r="D116" s="252" t="n">
        <v>0</v>
      </c>
      <c r="E116" s="252" t="n">
        <v>0</v>
      </c>
      <c r="F116" s="252" t="n">
        <v>0</v>
      </c>
      <c r="G116" s="252" t="n">
        <v>13</v>
      </c>
      <c r="H116" s="252" t="n">
        <v>23</v>
      </c>
      <c r="I116" s="252">
        <f>H116-G116</f>
        <v/>
      </c>
      <c r="J116" s="257" t="inlineStr"/>
      <c r="K116" s="252" t="n">
        <v>0</v>
      </c>
      <c r="L116" s="252" t="n">
        <v>0</v>
      </c>
      <c r="M116" s="252" t="n">
        <v>0</v>
      </c>
      <c r="N116" s="252" t="n">
        <v>0</v>
      </c>
      <c r="O116" s="252" t="n">
        <v>13</v>
      </c>
      <c r="P116" s="252" t="n">
        <v>29</v>
      </c>
      <c r="Q116" s="252">
        <f>P116-O116</f>
        <v/>
      </c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257" t="inlineStr"/>
      <c r="B117" s="257" t="inlineStr">
        <is>
          <t>Others</t>
        </is>
      </c>
      <c r="C117" s="252" t="n">
        <v>0</v>
      </c>
      <c r="D117" s="252" t="n">
        <v>0</v>
      </c>
      <c r="E117" s="252" t="n">
        <v>0</v>
      </c>
      <c r="F117" s="252" t="n">
        <v>0</v>
      </c>
      <c r="G117" s="252" t="n">
        <v>1</v>
      </c>
      <c r="H117" s="252" t="n">
        <v>59</v>
      </c>
      <c r="I117" s="252">
        <f>H117-G117</f>
        <v/>
      </c>
      <c r="J117" s="257" t="inlineStr"/>
      <c r="K117" s="252" t="n">
        <v>0</v>
      </c>
      <c r="L117" s="252" t="n">
        <v>0</v>
      </c>
      <c r="M117" s="252" t="n">
        <v>0</v>
      </c>
      <c r="N117" s="252" t="n">
        <v>0</v>
      </c>
      <c r="O117" s="252" t="n">
        <v>1</v>
      </c>
      <c r="P117" s="252" t="n">
        <v>57</v>
      </c>
      <c r="Q117" s="252">
        <f>P117-O117</f>
        <v/>
      </c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249" t="n"/>
      <c r="C118" s="250" t="n"/>
      <c r="D118" s="250" t="n"/>
      <c r="E118" s="250" t="n"/>
      <c r="F118" s="250" t="n"/>
      <c r="G118" s="250" t="n"/>
      <c r="H118" s="250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256" t="inlineStr">
        <is>
          <t>Nhận Tiền Quốc Tế</t>
        </is>
      </c>
      <c r="B119" s="257" t="inlineStr"/>
      <c r="C119" s="251">
        <f>sum(C120:C124)</f>
        <v/>
      </c>
      <c r="D119" s="251">
        <f>sum(D120:D124)</f>
        <v/>
      </c>
      <c r="E119" s="251">
        <f>sum(E120:E124)</f>
        <v/>
      </c>
      <c r="F119" s="251">
        <f>sum(F120:F124)</f>
        <v/>
      </c>
      <c r="G119" s="251">
        <f>sum(G120:G124)</f>
        <v/>
      </c>
      <c r="H119" s="251">
        <f>sum(H120:H124)</f>
        <v/>
      </c>
      <c r="I119" s="251">
        <f>H119-G119</f>
        <v/>
      </c>
      <c r="J119" s="257" t="inlineStr"/>
      <c r="K119" s="251">
        <f>sum(K120:K124)</f>
        <v/>
      </c>
      <c r="L119" s="251">
        <f>sum(L120:L124)</f>
        <v/>
      </c>
      <c r="M119" s="251">
        <f>sum(M120:M124)</f>
        <v/>
      </c>
      <c r="N119" s="251">
        <f>sum(N120:N124)</f>
        <v/>
      </c>
      <c r="O119" s="251">
        <f>sum(O120:O124)</f>
        <v/>
      </c>
      <c r="P119" s="251">
        <f>sum(P120:P124)</f>
        <v/>
      </c>
      <c r="Q119" s="251">
        <f>P119-O119</f>
        <v/>
      </c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257" t="inlineStr"/>
      <c r="B120" s="257" t="inlineStr">
        <is>
          <t>Organic</t>
        </is>
      </c>
      <c r="C120" s="252" t="n">
        <v>1089</v>
      </c>
      <c r="D120" s="252" t="n">
        <v>828</v>
      </c>
      <c r="E120" s="252" t="n">
        <v>829</v>
      </c>
      <c r="F120" s="252" t="n">
        <v>802</v>
      </c>
      <c r="G120" s="252" t="n">
        <v>694</v>
      </c>
      <c r="H120" s="252" t="n">
        <v>620</v>
      </c>
      <c r="I120" s="252">
        <f>H120-G120</f>
        <v/>
      </c>
      <c r="J120" s="257" t="inlineStr"/>
      <c r="K120" s="252" t="n">
        <v>1073</v>
      </c>
      <c r="L120" s="252" t="n">
        <v>821</v>
      </c>
      <c r="M120" s="252" t="n">
        <v>818</v>
      </c>
      <c r="N120" s="252" t="n">
        <v>790</v>
      </c>
      <c r="O120" s="252" t="n">
        <v>689</v>
      </c>
      <c r="P120" s="252" t="n">
        <v>612</v>
      </c>
      <c r="Q120" s="252">
        <f>P120-O120</f>
        <v/>
      </c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257" t="inlineStr"/>
      <c r="B121" s="257" t="inlineStr">
        <is>
          <t>Direct</t>
        </is>
      </c>
      <c r="C121" s="252" t="n">
        <v>71</v>
      </c>
      <c r="D121" s="252" t="n">
        <v>53</v>
      </c>
      <c r="E121" s="252" t="n">
        <v>68</v>
      </c>
      <c r="F121" s="252" t="n">
        <v>72</v>
      </c>
      <c r="G121" s="252" t="n">
        <v>45</v>
      </c>
      <c r="H121" s="252" t="n">
        <v>76</v>
      </c>
      <c r="I121" s="252">
        <f>H121-G121</f>
        <v/>
      </c>
      <c r="J121" s="257" t="inlineStr"/>
      <c r="K121" s="252" t="n">
        <v>71</v>
      </c>
      <c r="L121" s="252" t="n">
        <v>53</v>
      </c>
      <c r="M121" s="252" t="n">
        <v>68</v>
      </c>
      <c r="N121" s="252" t="n">
        <v>72</v>
      </c>
      <c r="O121" s="252" t="n">
        <v>45</v>
      </c>
      <c r="P121" s="252" t="n">
        <v>76</v>
      </c>
      <c r="Q121" s="252">
        <f>P121-O121</f>
        <v/>
      </c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257" t="inlineStr"/>
      <c r="B122" s="257" t="inlineStr">
        <is>
          <t>Paid</t>
        </is>
      </c>
      <c r="C122" s="252" t="n">
        <v>6</v>
      </c>
      <c r="D122" s="252" t="n">
        <v>1</v>
      </c>
      <c r="E122" s="252" t="n">
        <v>15</v>
      </c>
      <c r="F122" s="252" t="n">
        <v>60</v>
      </c>
      <c r="G122" s="252" t="n">
        <v>75</v>
      </c>
      <c r="H122" s="252" t="n">
        <v>37</v>
      </c>
      <c r="I122" s="252">
        <f>H122-G122</f>
        <v/>
      </c>
      <c r="J122" s="257" t="inlineStr"/>
      <c r="K122" s="252" t="n">
        <v>6</v>
      </c>
      <c r="L122" s="252" t="n">
        <v>1</v>
      </c>
      <c r="M122" s="252" t="n">
        <v>15</v>
      </c>
      <c r="N122" s="252" t="n">
        <v>60</v>
      </c>
      <c r="O122" s="252" t="n">
        <v>75</v>
      </c>
      <c r="P122" s="252" t="n">
        <v>37</v>
      </c>
      <c r="Q122" s="252">
        <f>P122-O122</f>
        <v/>
      </c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257" t="inlineStr"/>
      <c r="B123" s="257" t="inlineStr">
        <is>
          <t>Referral</t>
        </is>
      </c>
      <c r="C123" s="252" t="n">
        <v>54</v>
      </c>
      <c r="D123" s="252" t="n">
        <v>48</v>
      </c>
      <c r="E123" s="252" t="n">
        <v>27</v>
      </c>
      <c r="F123" s="252" t="n">
        <v>36</v>
      </c>
      <c r="G123" s="252" t="n">
        <v>20</v>
      </c>
      <c r="H123" s="252" t="n">
        <v>31</v>
      </c>
      <c r="I123" s="252">
        <f>H123-G123</f>
        <v/>
      </c>
      <c r="J123" s="257" t="inlineStr"/>
      <c r="K123" s="252" t="n">
        <v>63</v>
      </c>
      <c r="L123" s="252" t="n">
        <v>49</v>
      </c>
      <c r="M123" s="252" t="n">
        <v>29</v>
      </c>
      <c r="N123" s="252" t="n">
        <v>37</v>
      </c>
      <c r="O123" s="252" t="n">
        <v>24</v>
      </c>
      <c r="P123" s="252" t="n">
        <v>35</v>
      </c>
      <c r="Q123" s="252">
        <f>P123-O123</f>
        <v/>
      </c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257" t="inlineStr"/>
      <c r="B124" s="257" t="inlineStr">
        <is>
          <t>Others</t>
        </is>
      </c>
      <c r="C124" s="252" t="n">
        <v>15</v>
      </c>
      <c r="D124" s="252" t="n">
        <v>18</v>
      </c>
      <c r="E124" s="252" t="n">
        <v>19</v>
      </c>
      <c r="F124" s="252" t="n">
        <v>24</v>
      </c>
      <c r="G124" s="252" t="n">
        <v>38</v>
      </c>
      <c r="H124" s="252" t="n">
        <v>54</v>
      </c>
      <c r="I124" s="252">
        <f>H124-G124</f>
        <v/>
      </c>
      <c r="J124" s="257" t="inlineStr"/>
      <c r="K124" s="252" t="n">
        <v>22</v>
      </c>
      <c r="L124" s="252" t="n">
        <v>24</v>
      </c>
      <c r="M124" s="252" t="n">
        <v>28</v>
      </c>
      <c r="N124" s="252" t="n">
        <v>35</v>
      </c>
      <c r="O124" s="252" t="n">
        <v>39</v>
      </c>
      <c r="P124" s="252" t="n">
        <v>58</v>
      </c>
      <c r="Q124" s="252">
        <f>P124-O124</f>
        <v/>
      </c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249" t="n"/>
      <c r="C125" s="252" t="n"/>
      <c r="D125" s="252" t="n"/>
      <c r="E125" s="252" t="n"/>
      <c r="F125" s="252" t="n"/>
      <c r="G125" s="252" t="n"/>
      <c r="H125" s="252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256" t="inlineStr">
        <is>
          <t>Quỹ Nhóm</t>
        </is>
      </c>
      <c r="B126" s="257" t="inlineStr"/>
      <c r="C126" s="251">
        <f>sum(C127:C131)</f>
        <v/>
      </c>
      <c r="D126" s="251">
        <f>sum(D127:D131)</f>
        <v/>
      </c>
      <c r="E126" s="251">
        <f>sum(E127:E131)</f>
        <v/>
      </c>
      <c r="F126" s="251">
        <f>sum(F127:F131)</f>
        <v/>
      </c>
      <c r="G126" s="251">
        <f>sum(G127:G131)</f>
        <v/>
      </c>
      <c r="H126" s="251">
        <f>sum(H127:H131)</f>
        <v/>
      </c>
      <c r="I126" s="251">
        <f>H126-G126</f>
        <v/>
      </c>
      <c r="J126" s="257" t="inlineStr"/>
      <c r="K126" s="251">
        <f>sum(K127:K131)</f>
        <v/>
      </c>
      <c r="L126" s="251">
        <f>sum(L127:L131)</f>
        <v/>
      </c>
      <c r="M126" s="251">
        <f>sum(M127:M131)</f>
        <v/>
      </c>
      <c r="N126" s="251">
        <f>sum(N127:N131)</f>
        <v/>
      </c>
      <c r="O126" s="251">
        <f>sum(O127:O131)</f>
        <v/>
      </c>
      <c r="P126" s="251">
        <f>sum(P127:P131)</f>
        <v/>
      </c>
      <c r="Q126" s="251">
        <f>P126-O126</f>
        <v/>
      </c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257" t="inlineStr"/>
      <c r="B127" s="257" t="inlineStr">
        <is>
          <t>Organic</t>
        </is>
      </c>
      <c r="C127" s="252" t="n">
        <v>1495</v>
      </c>
      <c r="D127" s="252" t="n">
        <v>1558</v>
      </c>
      <c r="E127" s="252" t="n">
        <v>1825</v>
      </c>
      <c r="F127" s="252" t="n">
        <v>1841</v>
      </c>
      <c r="G127" s="252" t="n">
        <v>1642</v>
      </c>
      <c r="H127" s="252" t="n">
        <v>1307</v>
      </c>
      <c r="I127" s="252">
        <f>H127-G127</f>
        <v/>
      </c>
      <c r="J127" s="257" t="inlineStr"/>
      <c r="K127" s="252" t="n">
        <v>1418</v>
      </c>
      <c r="L127" s="252" t="n">
        <v>1529</v>
      </c>
      <c r="M127" s="252" t="n">
        <v>1764</v>
      </c>
      <c r="N127" s="252" t="n">
        <v>1675</v>
      </c>
      <c r="O127" s="252" t="n">
        <v>1596</v>
      </c>
      <c r="P127" s="252" t="n">
        <v>1264</v>
      </c>
      <c r="Q127" s="252">
        <f>P127-O127</f>
        <v/>
      </c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257" t="inlineStr"/>
      <c r="B128" s="257" t="inlineStr">
        <is>
          <t>Direct</t>
        </is>
      </c>
      <c r="C128" s="252" t="n">
        <v>276</v>
      </c>
      <c r="D128" s="252" t="n">
        <v>115</v>
      </c>
      <c r="E128" s="252" t="n">
        <v>123</v>
      </c>
      <c r="F128" s="252" t="n">
        <v>380</v>
      </c>
      <c r="G128" s="252" t="n">
        <v>234</v>
      </c>
      <c r="H128" s="252" t="n">
        <v>122</v>
      </c>
      <c r="I128" s="252">
        <f>H128-G128</f>
        <v/>
      </c>
      <c r="J128" s="257" t="inlineStr"/>
      <c r="K128" s="252" t="n">
        <v>276</v>
      </c>
      <c r="L128" s="252" t="n">
        <v>115</v>
      </c>
      <c r="M128" s="252" t="n">
        <v>123</v>
      </c>
      <c r="N128" s="252" t="n">
        <v>380</v>
      </c>
      <c r="O128" s="252" t="n">
        <v>234</v>
      </c>
      <c r="P128" s="252" t="n">
        <v>122</v>
      </c>
      <c r="Q128" s="252">
        <f>P128-O128</f>
        <v/>
      </c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257" t="inlineStr"/>
      <c r="B129" s="257" t="inlineStr">
        <is>
          <t>Paid</t>
        </is>
      </c>
      <c r="C129" s="252" t="n">
        <v>4</v>
      </c>
      <c r="D129" s="252" t="n">
        <v>4</v>
      </c>
      <c r="E129" s="252" t="n">
        <v>663</v>
      </c>
      <c r="F129" s="252" t="n">
        <v>5451</v>
      </c>
      <c r="G129" s="252" t="n">
        <v>3529</v>
      </c>
      <c r="H129" s="252" t="n">
        <v>30</v>
      </c>
      <c r="I129" s="252">
        <f>H129-G129</f>
        <v/>
      </c>
      <c r="J129" s="257" t="inlineStr"/>
      <c r="K129" s="252" t="n">
        <v>5</v>
      </c>
      <c r="L129" s="252" t="n">
        <v>6</v>
      </c>
      <c r="M129" s="252" t="n">
        <v>665</v>
      </c>
      <c r="N129" s="252" t="n">
        <v>5453</v>
      </c>
      <c r="O129" s="252" t="n">
        <v>3529</v>
      </c>
      <c r="P129" s="252" t="n">
        <v>30</v>
      </c>
      <c r="Q129" s="252">
        <f>P129-O129</f>
        <v/>
      </c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257" t="inlineStr"/>
      <c r="B130" s="257" t="inlineStr">
        <is>
          <t>Referral</t>
        </is>
      </c>
      <c r="C130" s="252" t="n">
        <v>45</v>
      </c>
      <c r="D130" s="252" t="n">
        <v>37</v>
      </c>
      <c r="E130" s="252" t="n">
        <v>41</v>
      </c>
      <c r="F130" s="252" t="n">
        <v>79</v>
      </c>
      <c r="G130" s="252" t="n">
        <v>52</v>
      </c>
      <c r="H130" s="252" t="n">
        <v>66</v>
      </c>
      <c r="I130" s="252">
        <f>H130-G130</f>
        <v/>
      </c>
      <c r="J130" s="257" t="inlineStr"/>
      <c r="K130" s="252" t="n">
        <v>113</v>
      </c>
      <c r="L130" s="252" t="n">
        <v>52</v>
      </c>
      <c r="M130" s="252" t="n">
        <v>85</v>
      </c>
      <c r="N130" s="252" t="n">
        <v>224</v>
      </c>
      <c r="O130" s="252" t="n">
        <v>79</v>
      </c>
      <c r="P130" s="252" t="n">
        <v>101</v>
      </c>
      <c r="Q130" s="252">
        <f>P130-O130</f>
        <v/>
      </c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257" t="inlineStr"/>
      <c r="B131" s="257" t="inlineStr">
        <is>
          <t>Others</t>
        </is>
      </c>
      <c r="C131" s="252" t="n">
        <v>25</v>
      </c>
      <c r="D131" s="252" t="n">
        <v>23</v>
      </c>
      <c r="E131" s="252" t="n">
        <v>128</v>
      </c>
      <c r="F131" s="252" t="n">
        <v>837</v>
      </c>
      <c r="G131" s="252" t="n">
        <v>408</v>
      </c>
      <c r="H131" s="252" t="n">
        <v>183</v>
      </c>
      <c r="I131" s="252">
        <f>H131-G131</f>
        <v/>
      </c>
      <c r="J131" s="257" t="inlineStr"/>
      <c r="K131" s="252" t="n">
        <v>33</v>
      </c>
      <c r="L131" s="252" t="n">
        <v>35</v>
      </c>
      <c r="M131" s="252" t="n">
        <v>143</v>
      </c>
      <c r="N131" s="252" t="n">
        <v>856</v>
      </c>
      <c r="O131" s="252" t="n">
        <v>427</v>
      </c>
      <c r="P131" s="252" t="n">
        <v>191</v>
      </c>
      <c r="Q131" s="252">
        <f>P131-O131</f>
        <v/>
      </c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249" t="n"/>
      <c r="C132" s="252" t="n"/>
      <c r="D132" s="252" t="n"/>
      <c r="E132" s="252" t="n"/>
      <c r="F132" s="252" t="n"/>
      <c r="G132" s="252" t="n"/>
      <c r="H132" s="252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256" t="inlineStr">
        <is>
          <t>Quản Lý Chi Tiêu</t>
        </is>
      </c>
      <c r="B133" s="257" t="inlineStr"/>
      <c r="C133" s="251">
        <f>sum(C134:C138)</f>
        <v/>
      </c>
      <c r="D133" s="251">
        <f>sum(D134:D138)</f>
        <v/>
      </c>
      <c r="E133" s="251">
        <f>sum(E134:E138)</f>
        <v/>
      </c>
      <c r="F133" s="251">
        <f>sum(F134:F138)</f>
        <v/>
      </c>
      <c r="G133" s="251">
        <f>sum(G134:G138)</f>
        <v/>
      </c>
      <c r="H133" s="251">
        <f>sum(H134:H138)</f>
        <v/>
      </c>
      <c r="I133" s="251">
        <f>H133-G133</f>
        <v/>
      </c>
      <c r="J133" s="257" t="inlineStr"/>
      <c r="K133" s="251">
        <f>sum(K134:K138)</f>
        <v/>
      </c>
      <c r="L133" s="251">
        <f>sum(L134:L138)</f>
        <v/>
      </c>
      <c r="M133" s="251">
        <f>sum(M134:M138)</f>
        <v/>
      </c>
      <c r="N133" s="251">
        <f>sum(N134:N138)</f>
        <v/>
      </c>
      <c r="O133" s="251">
        <f>sum(O134:O138)</f>
        <v/>
      </c>
      <c r="P133" s="251">
        <f>sum(P134:P138)</f>
        <v/>
      </c>
      <c r="Q133" s="251">
        <f>P133-O133</f>
        <v/>
      </c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257" t="inlineStr"/>
      <c r="B134" s="257" t="inlineStr">
        <is>
          <t>Organic</t>
        </is>
      </c>
      <c r="C134" s="252" t="n">
        <v>865</v>
      </c>
      <c r="D134" s="252" t="n">
        <v>899</v>
      </c>
      <c r="E134" s="252" t="n">
        <v>750</v>
      </c>
      <c r="F134" s="252" t="n">
        <v>710</v>
      </c>
      <c r="G134" s="252" t="n">
        <v>706</v>
      </c>
      <c r="H134" s="252" t="n">
        <v>589</v>
      </c>
      <c r="I134" s="252">
        <f>H134-G134</f>
        <v/>
      </c>
      <c r="J134" s="257" t="inlineStr"/>
      <c r="K134" s="252" t="n">
        <v>840</v>
      </c>
      <c r="L134" s="252" t="n">
        <v>874</v>
      </c>
      <c r="M134" s="252" t="n">
        <v>724</v>
      </c>
      <c r="N134" s="252" t="n">
        <v>696</v>
      </c>
      <c r="O134" s="252" t="n">
        <v>699</v>
      </c>
      <c r="P134" s="252" t="n">
        <v>586</v>
      </c>
      <c r="Q134" s="252">
        <f>P134-O134</f>
        <v/>
      </c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257" t="inlineStr"/>
      <c r="B135" s="257" t="inlineStr">
        <is>
          <t>Direct</t>
        </is>
      </c>
      <c r="C135" s="252" t="n">
        <v>105</v>
      </c>
      <c r="D135" s="252" t="n">
        <v>107</v>
      </c>
      <c r="E135" s="252" t="n">
        <v>95</v>
      </c>
      <c r="F135" s="252" t="n">
        <v>110</v>
      </c>
      <c r="G135" s="252" t="n">
        <v>181</v>
      </c>
      <c r="H135" s="252" t="n">
        <v>113</v>
      </c>
      <c r="I135" s="252">
        <f>H135-G135</f>
        <v/>
      </c>
      <c r="J135" s="257" t="inlineStr"/>
      <c r="K135" s="252" t="n">
        <v>105</v>
      </c>
      <c r="L135" s="252" t="n">
        <v>107</v>
      </c>
      <c r="M135" s="252" t="n">
        <v>95</v>
      </c>
      <c r="N135" s="252" t="n">
        <v>110</v>
      </c>
      <c r="O135" s="252" t="n">
        <v>181</v>
      </c>
      <c r="P135" s="252" t="n">
        <v>114</v>
      </c>
      <c r="Q135" s="252">
        <f>P135-O135</f>
        <v/>
      </c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257" t="inlineStr"/>
      <c r="B136" s="257" t="inlineStr">
        <is>
          <t>Paid</t>
        </is>
      </c>
      <c r="C136" s="252" t="n">
        <v>4</v>
      </c>
      <c r="D136" s="252" t="n">
        <v>2</v>
      </c>
      <c r="E136" s="252" t="n">
        <v>7</v>
      </c>
      <c r="F136" s="252" t="n">
        <v>14</v>
      </c>
      <c r="G136" s="252" t="n">
        <v>11</v>
      </c>
      <c r="H136" s="252" t="n">
        <v>10</v>
      </c>
      <c r="I136" s="252">
        <f>H136-G136</f>
        <v/>
      </c>
      <c r="J136" s="257" t="inlineStr"/>
      <c r="K136" s="252" t="n">
        <v>4</v>
      </c>
      <c r="L136" s="252" t="n">
        <v>2</v>
      </c>
      <c r="M136" s="252" t="n">
        <v>9</v>
      </c>
      <c r="N136" s="252" t="n">
        <v>14</v>
      </c>
      <c r="O136" s="252" t="n">
        <v>11</v>
      </c>
      <c r="P136" s="252" t="n">
        <v>10</v>
      </c>
      <c r="Q136" s="252">
        <f>P136-O136</f>
        <v/>
      </c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257" t="inlineStr"/>
      <c r="B137" s="257" t="inlineStr">
        <is>
          <t>Referral</t>
        </is>
      </c>
      <c r="C137" s="252" t="n">
        <v>68</v>
      </c>
      <c r="D137" s="252" t="n">
        <v>46</v>
      </c>
      <c r="E137" s="252" t="n">
        <v>41</v>
      </c>
      <c r="F137" s="252" t="n">
        <v>44</v>
      </c>
      <c r="G137" s="252" t="n">
        <v>46</v>
      </c>
      <c r="H137" s="252" t="n">
        <v>34</v>
      </c>
      <c r="I137" s="252">
        <f>H137-G137</f>
        <v/>
      </c>
      <c r="J137" s="257" t="inlineStr"/>
      <c r="K137" s="252" t="n">
        <v>92</v>
      </c>
      <c r="L137" s="252" t="n">
        <v>68</v>
      </c>
      <c r="M137" s="252" t="n">
        <v>63</v>
      </c>
      <c r="N137" s="252" t="n">
        <v>56</v>
      </c>
      <c r="O137" s="252" t="n">
        <v>52</v>
      </c>
      <c r="P137" s="252" t="n">
        <v>37</v>
      </c>
      <c r="Q137" s="252">
        <f>P137-O137</f>
        <v/>
      </c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257" t="inlineStr"/>
      <c r="B138" s="257" t="inlineStr">
        <is>
          <t>Others</t>
        </is>
      </c>
      <c r="C138" s="252" t="n">
        <v>13</v>
      </c>
      <c r="D138" s="252" t="n">
        <v>27</v>
      </c>
      <c r="E138" s="252" t="n">
        <v>13</v>
      </c>
      <c r="F138" s="252" t="n">
        <v>81</v>
      </c>
      <c r="G138" s="252" t="n">
        <v>58</v>
      </c>
      <c r="H138" s="252" t="n">
        <v>46</v>
      </c>
      <c r="I138" s="252">
        <f>H138-G138</f>
        <v/>
      </c>
      <c r="J138" s="257" t="inlineStr"/>
      <c r="K138" s="252" t="n">
        <v>14</v>
      </c>
      <c r="L138" s="252" t="n">
        <v>30</v>
      </c>
      <c r="M138" s="252" t="n">
        <v>15</v>
      </c>
      <c r="N138" s="252" t="n">
        <v>83</v>
      </c>
      <c r="O138" s="252" t="n">
        <v>59</v>
      </c>
      <c r="P138" s="252" t="n">
        <v>45</v>
      </c>
      <c r="Q138" s="252">
        <f>P138-O138</f>
        <v/>
      </c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249" t="n"/>
      <c r="C139" s="252" t="n"/>
      <c r="D139" s="252" t="n"/>
      <c r="E139" s="252" t="n"/>
      <c r="F139" s="252" t="n"/>
      <c r="G139" s="252" t="n"/>
      <c r="H139" s="252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tabSelected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253" t="inlineStr">
        <is>
          <t>Project</t>
        </is>
      </c>
      <c r="B1" s="254">
        <f>"Update to: " &amp; DAY(NOW())</f>
        <v/>
      </c>
      <c r="C1" s="255" t="n">
        <v>46143</v>
      </c>
      <c r="D1" s="255" t="n">
        <v>46174</v>
      </c>
      <c r="E1" s="255" t="n">
        <v>46204</v>
      </c>
      <c r="F1" s="255" t="n">
        <v>46235</v>
      </c>
      <c r="G1" s="255" t="n">
        <v>46266</v>
      </c>
      <c r="H1" s="255" t="n">
        <v>46296</v>
      </c>
      <c r="I1" s="251" t="inlineStr">
        <is>
          <t>VS. SPLM</t>
        </is>
      </c>
      <c r="J1" s="254" t="inlineStr">
        <is>
          <t>Full Month</t>
        </is>
      </c>
      <c r="K1" s="255" t="n">
        <v>46143</v>
      </c>
      <c r="L1" s="255" t="n">
        <v>46174</v>
      </c>
      <c r="M1" s="255" t="n">
        <v>46204</v>
      </c>
      <c r="N1" s="255" t="n">
        <v>46235</v>
      </c>
      <c r="O1" s="255" t="n">
        <v>46266</v>
      </c>
      <c r="P1" s="255" t="n">
        <v>46296</v>
      </c>
      <c r="Q1" s="251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256" t="inlineStr">
        <is>
          <t>Traffic (Page Views)</t>
        </is>
      </c>
      <c r="B2" s="257" t="inlineStr"/>
      <c r="C2" s="251">
        <f>sum(C6,C13,C20,C27,C34,C41,C48,C55,C62,C69)</f>
        <v/>
      </c>
      <c r="D2" s="251">
        <f>sum(D6,D13,D20,D27,D34,D41,D48,D55,D62,D69)</f>
        <v/>
      </c>
      <c r="E2" s="251">
        <f>sum(E6,E13,E20,E27,E34,E41,E48,E55,E62,E69)</f>
        <v/>
      </c>
      <c r="F2" s="251">
        <f>sum(F6,F13,F20,F27,F34,F41,F48,F55,F62,F69)</f>
        <v/>
      </c>
      <c r="G2" s="251">
        <f>sum(G6,G13,G20,G27,G34,G41,G48,G55,G62,G69)</f>
        <v/>
      </c>
      <c r="H2" s="251">
        <f>sum(H6,H13,H20,H27,H34,H41,H48,H55,H62,H69)</f>
        <v/>
      </c>
      <c r="I2" s="251">
        <f>H2-G2</f>
        <v/>
      </c>
      <c r="J2" s="258" t="inlineStr"/>
      <c r="K2" s="251">
        <f>sum(K6,K13,K20,K27,K34,K41,K48,K55,K62,K69)</f>
        <v/>
      </c>
      <c r="L2" s="251">
        <f>sum(L6,L13,L20,L27,L34,L41,L48,L55,L62,L69)</f>
        <v/>
      </c>
      <c r="M2" s="251">
        <f>sum(M6,M13,M20,M27,M34,M41,M48,M55,M62,M69)</f>
        <v/>
      </c>
      <c r="N2" s="251">
        <f>sum(N6,N13,N20,N27,N34,N41,N48,N55,N62,N69)</f>
        <v/>
      </c>
      <c r="O2" s="251">
        <f>sum(O6,O13,O20,O27,O34,O41,O48,O55,O62,O69)</f>
        <v/>
      </c>
      <c r="P2" s="251">
        <f>sum(P6,P13,P20,P27,P34,P41,P48,P55,P62,P69)</f>
        <v/>
      </c>
      <c r="Q2" s="251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256" t="inlineStr">
        <is>
          <t xml:space="preserve">   Net change</t>
        </is>
      </c>
      <c r="B3" s="257" t="inlineStr"/>
      <c r="C3" s="251">
        <f>C2-0</f>
        <v/>
      </c>
      <c r="D3" s="251">
        <f>D2-C2</f>
        <v/>
      </c>
      <c r="E3" s="251">
        <f>E2-D2</f>
        <v/>
      </c>
      <c r="F3" s="251">
        <f>F2-E2</f>
        <v/>
      </c>
      <c r="G3" s="251">
        <f>G2-F2</f>
        <v/>
      </c>
      <c r="H3" s="251">
        <f>H2-G2</f>
        <v/>
      </c>
      <c r="I3" s="251">
        <f>H3-G3</f>
        <v/>
      </c>
      <c r="J3" s="258" t="inlineStr"/>
      <c r="K3" s="251">
        <f>K2-0</f>
        <v/>
      </c>
      <c r="L3" s="251">
        <f>L2-K2</f>
        <v/>
      </c>
      <c r="M3" s="251">
        <f>M2-L2</f>
        <v/>
      </c>
      <c r="N3" s="251">
        <f>N2-M2</f>
        <v/>
      </c>
      <c r="O3" s="251">
        <f>O2-N2</f>
        <v/>
      </c>
      <c r="P3" s="251">
        <f>P2-O2</f>
        <v/>
      </c>
      <c r="Q3" s="251">
        <f>P3-O3</f>
        <v/>
      </c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256" t="inlineStr">
        <is>
          <t xml:space="preserve">   Growth Rate (%)</t>
        </is>
      </c>
      <c r="B4" s="257" t="inlineStr"/>
      <c r="C4" s="259" t="inlineStr"/>
      <c r="D4" s="259">
        <f>(D2/C2)-1</f>
        <v/>
      </c>
      <c r="E4" s="259">
        <f>(E2/D2)-1</f>
        <v/>
      </c>
      <c r="F4" s="259">
        <f>(F2/E2)-1</f>
        <v/>
      </c>
      <c r="G4" s="259">
        <f>(G2/F2)-1</f>
        <v/>
      </c>
      <c r="H4" s="259">
        <f>(H2/G2)-1</f>
        <v/>
      </c>
      <c r="I4" s="259">
        <f>H4-G4</f>
        <v/>
      </c>
      <c r="J4" s="258" t="inlineStr"/>
      <c r="K4" s="259" t="inlineStr"/>
      <c r="L4" s="259">
        <f>(L2/K2)-1</f>
        <v/>
      </c>
      <c r="M4" s="259">
        <f>(M2/L2)-1</f>
        <v/>
      </c>
      <c r="N4" s="259">
        <f>(N2/M2)-1</f>
        <v/>
      </c>
      <c r="O4" s="259">
        <f>(O2/N2)-1</f>
        <v/>
      </c>
      <c r="P4" s="259">
        <f>(P2/O2)-1</f>
        <v/>
      </c>
      <c r="Q4" s="259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256" t="inlineStr">
        <is>
          <t>Tiện Ích Giao Thông</t>
        </is>
      </c>
      <c r="B6" s="257" t="inlineStr"/>
      <c r="C6" s="251">
        <f>sum(C7:C11)</f>
        <v/>
      </c>
      <c r="D6" s="251">
        <f>sum(D7:D11)</f>
        <v/>
      </c>
      <c r="E6" s="251">
        <f>sum(E7:E11)</f>
        <v/>
      </c>
      <c r="F6" s="251">
        <f>sum(F7:F11)</f>
        <v/>
      </c>
      <c r="G6" s="251">
        <f>sum(G7:G11)</f>
        <v/>
      </c>
      <c r="H6" s="251">
        <f>sum(H7:H11)</f>
        <v/>
      </c>
      <c r="I6" s="251">
        <f>H6-G6</f>
        <v/>
      </c>
      <c r="J6" s="257" t="inlineStr"/>
      <c r="K6" s="251">
        <f>sum(K7:K11)</f>
        <v/>
      </c>
      <c r="L6" s="251">
        <f>sum(L7:L11)</f>
        <v/>
      </c>
      <c r="M6" s="251">
        <f>sum(M7:M11)</f>
        <v/>
      </c>
      <c r="N6" s="251">
        <f>sum(N7:N11)</f>
        <v/>
      </c>
      <c r="O6" s="251">
        <f>sum(O7:O11)</f>
        <v/>
      </c>
      <c r="P6" s="251">
        <f>sum(P7:P11)</f>
        <v/>
      </c>
      <c r="Q6" s="251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257" t="inlineStr"/>
      <c r="B7" s="258" t="inlineStr">
        <is>
          <t>Organic</t>
        </is>
      </c>
      <c r="C7" s="252">
        <f>SUMIFS('MTD Pivot'!D:D, 'MTD Pivot'!$A:$A, "Tiện Ích Giao Thông", 'MTD Pivot'!$C:$C, $B7)</f>
        <v/>
      </c>
      <c r="D7" s="252">
        <f>SUMIFS('MTD Pivot'!E:E, 'MTD Pivot'!$A:$A, "Tiện Ích Giao Thông", 'MTD Pivot'!$C:$C, $B7)</f>
        <v/>
      </c>
      <c r="E7" s="252">
        <f>SUMIFS('MTD Pivot'!F:F, 'MTD Pivot'!$A:$A, "Tiện Ích Giao Thông", 'MTD Pivot'!$C:$C, $B7)</f>
        <v/>
      </c>
      <c r="F7" s="252">
        <f>SUMIFS('MTD Pivot'!G:G, 'MTD Pivot'!$A:$A, "Tiện Ích Giao Thông", 'MTD Pivot'!$C:$C, $B7)</f>
        <v/>
      </c>
      <c r="G7" s="252">
        <f>SUMIFS('MTD Pivot'!H:H, 'MTD Pivot'!$A:$A, "Tiện Ích Giao Thông", 'MTD Pivot'!$C:$C, $B7)</f>
        <v/>
      </c>
      <c r="H7" s="252">
        <f>SUMIFS('MTD Pivot'!I:I, 'MTD Pivot'!$A:$A, "Tiện Ích Giao Thông", 'MTD Pivot'!$C:$C, $B7)</f>
        <v/>
      </c>
      <c r="I7" s="252">
        <f>H7-G7</f>
        <v/>
      </c>
      <c r="J7" s="257" t="inlineStr"/>
      <c r="K7" s="252">
        <f>SUMIFS('Full month Pivot'!D:D, 'Full month Pivot'!$A:$A, "Tiện Ích Giao Thông", 'Full month Pivot'!$C:$C, $B7)</f>
        <v/>
      </c>
      <c r="L7" s="252">
        <f>SUMIFS('Full month Pivot'!E:E, 'Full month Pivot'!$A:$A, "Tiện Ích Giao Thông", 'Full month Pivot'!$C:$C, $B7)</f>
        <v/>
      </c>
      <c r="M7" s="252">
        <f>SUMIFS('Full month Pivot'!F:F, 'Full month Pivot'!$A:$A, "Tiện Ích Giao Thông", 'Full month Pivot'!$C:$C, $B7)</f>
        <v/>
      </c>
      <c r="N7" s="252">
        <f>SUMIFS('Full month Pivot'!G:G, 'Full month Pivot'!$A:$A, "Tiện Ích Giao Thông", 'Full month Pivot'!$C:$C, $B7)</f>
        <v/>
      </c>
      <c r="O7" s="252">
        <f>SUMIFS('Full month Pivot'!H:H, 'Full month Pivot'!$A:$A, "Tiện Ích Giao Thông", 'Full month Pivot'!$C:$C, $B7)</f>
        <v/>
      </c>
      <c r="P7" s="252">
        <f>SUMIFS('Full month Pivot'!I:I, 'Full month Pivot'!$A:$A, "Tiện Ích Giao Thông", 'Full month Pivot'!$C:$C, $B7)</f>
        <v/>
      </c>
      <c r="Q7" s="252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257" t="inlineStr"/>
      <c r="B8" s="258" t="inlineStr">
        <is>
          <t>Direct</t>
        </is>
      </c>
      <c r="C8" s="252">
        <f>SUMIFS('MTD Pivot'!D:D, 'MTD Pivot'!$A:$A, "Tiện Ích Giao Thông", 'MTD Pivot'!$C:$C, $B8)</f>
        <v/>
      </c>
      <c r="D8" s="252">
        <f>SUMIFS('MTD Pivot'!E:E, 'MTD Pivot'!$A:$A, "Tiện Ích Giao Thông", 'MTD Pivot'!$C:$C, $B8)</f>
        <v/>
      </c>
      <c r="E8" s="252">
        <f>SUMIFS('MTD Pivot'!F:F, 'MTD Pivot'!$A:$A, "Tiện Ích Giao Thông", 'MTD Pivot'!$C:$C, $B8)</f>
        <v/>
      </c>
      <c r="F8" s="252">
        <f>SUMIFS('MTD Pivot'!G:G, 'MTD Pivot'!$A:$A, "Tiện Ích Giao Thông", 'MTD Pivot'!$C:$C, $B8)</f>
        <v/>
      </c>
      <c r="G8" s="252">
        <f>SUMIFS('MTD Pivot'!H:H, 'MTD Pivot'!$A:$A, "Tiện Ích Giao Thông", 'MTD Pivot'!$C:$C, $B8)</f>
        <v/>
      </c>
      <c r="H8" s="252">
        <f>SUMIFS('MTD Pivot'!I:I, 'MTD Pivot'!$A:$A, "Tiện Ích Giao Thông", 'MTD Pivot'!$C:$C, $B8)</f>
        <v/>
      </c>
      <c r="I8" s="252">
        <f>H8-G8</f>
        <v/>
      </c>
      <c r="J8" s="257" t="inlineStr"/>
      <c r="K8" s="252">
        <f>SUMIFS('Full month Pivot'!D:D, 'Full month Pivot'!$A:$A, "Tiện Ích Giao Thông", 'Full month Pivot'!$C:$C, $B8)</f>
        <v/>
      </c>
      <c r="L8" s="252">
        <f>SUMIFS('Full month Pivot'!E:E, 'Full month Pivot'!$A:$A, "Tiện Ích Giao Thông", 'Full month Pivot'!$C:$C, $B8)</f>
        <v/>
      </c>
      <c r="M8" s="252">
        <f>SUMIFS('Full month Pivot'!F:F, 'Full month Pivot'!$A:$A, "Tiện Ích Giao Thông", 'Full month Pivot'!$C:$C, $B8)</f>
        <v/>
      </c>
      <c r="N8" s="252">
        <f>SUMIFS('Full month Pivot'!G:G, 'Full month Pivot'!$A:$A, "Tiện Ích Giao Thông", 'Full month Pivot'!$C:$C, $B8)</f>
        <v/>
      </c>
      <c r="O8" s="252">
        <f>SUMIFS('Full month Pivot'!H:H, 'Full month Pivot'!$A:$A, "Tiện Ích Giao Thông", 'Full month Pivot'!$C:$C, $B8)</f>
        <v/>
      </c>
      <c r="P8" s="252">
        <f>SUMIFS('Full month Pivot'!I:I, 'Full month Pivot'!$A:$A, "Tiện Ích Giao Thông", 'Full month Pivot'!$C:$C, $B8)</f>
        <v/>
      </c>
      <c r="Q8" s="252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257" t="inlineStr"/>
      <c r="B9" s="258" t="inlineStr">
        <is>
          <t>Referral</t>
        </is>
      </c>
      <c r="C9" s="252">
        <f>SUMIFS('MTD Pivot'!D:D, 'MTD Pivot'!$A:$A, "Tiện Ích Giao Thông", 'MTD Pivot'!$C:$C, $B9)</f>
        <v/>
      </c>
      <c r="D9" s="252">
        <f>SUMIFS('MTD Pivot'!E:E, 'MTD Pivot'!$A:$A, "Tiện Ích Giao Thông", 'MTD Pivot'!$C:$C, $B9)</f>
        <v/>
      </c>
      <c r="E9" s="252">
        <f>SUMIFS('MTD Pivot'!F:F, 'MTD Pivot'!$A:$A, "Tiện Ích Giao Thông", 'MTD Pivot'!$C:$C, $B9)</f>
        <v/>
      </c>
      <c r="F9" s="252">
        <f>SUMIFS('MTD Pivot'!G:G, 'MTD Pivot'!$A:$A, "Tiện Ích Giao Thông", 'MTD Pivot'!$C:$C, $B9)</f>
        <v/>
      </c>
      <c r="G9" s="252">
        <f>SUMIFS('MTD Pivot'!H:H, 'MTD Pivot'!$A:$A, "Tiện Ích Giao Thông", 'MTD Pivot'!$C:$C, $B9)</f>
        <v/>
      </c>
      <c r="H9" s="252">
        <f>SUMIFS('MTD Pivot'!I:I, 'MTD Pivot'!$A:$A, "Tiện Ích Giao Thông", 'MTD Pivot'!$C:$C, $B9)</f>
        <v/>
      </c>
      <c r="I9" s="252">
        <f>H9-G9</f>
        <v/>
      </c>
      <c r="J9" s="257" t="inlineStr"/>
      <c r="K9" s="252">
        <f>SUMIFS('Full month Pivot'!D:D, 'Full month Pivot'!$A:$A, "Tiện Ích Giao Thông", 'Full month Pivot'!$C:$C, $B9)</f>
        <v/>
      </c>
      <c r="L9" s="252">
        <f>SUMIFS('Full month Pivot'!E:E, 'Full month Pivot'!$A:$A, "Tiện Ích Giao Thông", 'Full month Pivot'!$C:$C, $B9)</f>
        <v/>
      </c>
      <c r="M9" s="252">
        <f>SUMIFS('Full month Pivot'!F:F, 'Full month Pivot'!$A:$A, "Tiện Ích Giao Thông", 'Full month Pivot'!$C:$C, $B9)</f>
        <v/>
      </c>
      <c r="N9" s="252">
        <f>SUMIFS('Full month Pivot'!G:G, 'Full month Pivot'!$A:$A, "Tiện Ích Giao Thông", 'Full month Pivot'!$C:$C, $B9)</f>
        <v/>
      </c>
      <c r="O9" s="252">
        <f>SUMIFS('Full month Pivot'!H:H, 'Full month Pivot'!$A:$A, "Tiện Ích Giao Thông", 'Full month Pivot'!$C:$C, $B9)</f>
        <v/>
      </c>
      <c r="P9" s="252">
        <f>SUMIFS('Full month Pivot'!I:I, 'Full month Pivot'!$A:$A, "Tiện Ích Giao Thông", 'Full month Pivot'!$C:$C, $B9)</f>
        <v/>
      </c>
      <c r="Q9" s="252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257" t="inlineStr"/>
      <c r="B10" s="258" t="inlineStr">
        <is>
          <t>Paid</t>
        </is>
      </c>
      <c r="C10" s="252">
        <f>SUMIFS('MTD Pivot'!D:D, 'MTD Pivot'!$A:$A, "Tiện Ích Giao Thông", 'MTD Pivot'!$C:$C, $B10)</f>
        <v/>
      </c>
      <c r="D10" s="252">
        <f>SUMIFS('MTD Pivot'!E:E, 'MTD Pivot'!$A:$A, "Tiện Ích Giao Thông", 'MTD Pivot'!$C:$C, $B10)</f>
        <v/>
      </c>
      <c r="E10" s="252">
        <f>SUMIFS('MTD Pivot'!F:F, 'MTD Pivot'!$A:$A, "Tiện Ích Giao Thông", 'MTD Pivot'!$C:$C, $B10)</f>
        <v/>
      </c>
      <c r="F10" s="252">
        <f>SUMIFS('MTD Pivot'!G:G, 'MTD Pivot'!$A:$A, "Tiện Ích Giao Thông", 'MTD Pivot'!$C:$C, $B10)</f>
        <v/>
      </c>
      <c r="G10" s="252">
        <f>SUMIFS('MTD Pivot'!H:H, 'MTD Pivot'!$A:$A, "Tiện Ích Giao Thông", 'MTD Pivot'!$C:$C, $B10)</f>
        <v/>
      </c>
      <c r="H10" s="252">
        <f>SUMIFS('MTD Pivot'!I:I, 'MTD Pivot'!$A:$A, "Tiện Ích Giao Thông", 'MTD Pivot'!$C:$C, $B10)</f>
        <v/>
      </c>
      <c r="I10" s="252">
        <f>H10-G10</f>
        <v/>
      </c>
      <c r="J10" s="257" t="inlineStr"/>
      <c r="K10" s="252">
        <f>SUMIFS('Full month Pivot'!D:D, 'Full month Pivot'!$A:$A, "Tiện Ích Giao Thông", 'Full month Pivot'!$C:$C, $B10)</f>
        <v/>
      </c>
      <c r="L10" s="252">
        <f>SUMIFS('Full month Pivot'!E:E, 'Full month Pivot'!$A:$A, "Tiện Ích Giao Thông", 'Full month Pivot'!$C:$C, $B10)</f>
        <v/>
      </c>
      <c r="M10" s="252">
        <f>SUMIFS('Full month Pivot'!F:F, 'Full month Pivot'!$A:$A, "Tiện Ích Giao Thông", 'Full month Pivot'!$C:$C, $B10)</f>
        <v/>
      </c>
      <c r="N10" s="252">
        <f>SUMIFS('Full month Pivot'!G:G, 'Full month Pivot'!$A:$A, "Tiện Ích Giao Thông", 'Full month Pivot'!$C:$C, $B10)</f>
        <v/>
      </c>
      <c r="O10" s="252">
        <f>SUMIFS('Full month Pivot'!H:H, 'Full month Pivot'!$A:$A, "Tiện Ích Giao Thông", 'Full month Pivot'!$C:$C, $B10)</f>
        <v/>
      </c>
      <c r="P10" s="252">
        <f>SUMIFS('Full month Pivot'!I:I, 'Full month Pivot'!$A:$A, "Tiện Ích Giao Thông", 'Full month Pivot'!$C:$C, $B10)</f>
        <v/>
      </c>
      <c r="Q10" s="252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257" t="inlineStr"/>
      <c r="B11" s="258" t="inlineStr">
        <is>
          <t>Others</t>
        </is>
      </c>
      <c r="C11" s="252">
        <f>SUMIFS('MTD Pivot'!D:D, 'MTD Pivot'!$A:$A, "Tiện Ích Giao Thông", 'MTD Pivot'!$C:$C, $B11)</f>
        <v/>
      </c>
      <c r="D11" s="252">
        <f>SUMIFS('MTD Pivot'!E:E, 'MTD Pivot'!$A:$A, "Tiện Ích Giao Thông", 'MTD Pivot'!$C:$C, $B11)</f>
        <v/>
      </c>
      <c r="E11" s="252">
        <f>SUMIFS('MTD Pivot'!F:F, 'MTD Pivot'!$A:$A, "Tiện Ích Giao Thông", 'MTD Pivot'!$C:$C, $B11)</f>
        <v/>
      </c>
      <c r="F11" s="252">
        <f>SUMIFS('MTD Pivot'!G:G, 'MTD Pivot'!$A:$A, "Tiện Ích Giao Thông", 'MTD Pivot'!$C:$C, $B11)</f>
        <v/>
      </c>
      <c r="G11" s="252">
        <f>SUMIFS('MTD Pivot'!H:H, 'MTD Pivot'!$A:$A, "Tiện Ích Giao Thông", 'MTD Pivot'!$C:$C, $B11)</f>
        <v/>
      </c>
      <c r="H11" s="252">
        <f>SUMIFS('MTD Pivot'!I:I, 'MTD Pivot'!$A:$A, "Tiện Ích Giao Thông", 'MTD Pivot'!$C:$C, $B11)</f>
        <v/>
      </c>
      <c r="I11" s="252">
        <f>H11-G11</f>
        <v/>
      </c>
      <c r="J11" s="257" t="inlineStr"/>
      <c r="K11" s="252">
        <f>SUMIFS('Full month Pivot'!D:D, 'Full month Pivot'!$A:$A, "Tiện Ích Giao Thông", 'Full month Pivot'!$C:$C, $B11)</f>
        <v/>
      </c>
      <c r="L11" s="252">
        <f>SUMIFS('Full month Pivot'!E:E, 'Full month Pivot'!$A:$A, "Tiện Ích Giao Thông", 'Full month Pivot'!$C:$C, $B11)</f>
        <v/>
      </c>
      <c r="M11" s="252">
        <f>SUMIFS('Full month Pivot'!F:F, 'Full month Pivot'!$A:$A, "Tiện Ích Giao Thông", 'Full month Pivot'!$C:$C, $B11)</f>
        <v/>
      </c>
      <c r="N11" s="252">
        <f>SUMIFS('Full month Pivot'!G:G, 'Full month Pivot'!$A:$A, "Tiện Ích Giao Thông", 'Full month Pivot'!$C:$C, $B11)</f>
        <v/>
      </c>
      <c r="O11" s="252">
        <f>SUMIFS('Full month Pivot'!H:H, 'Full month Pivot'!$A:$A, "Tiện Ích Giao Thông", 'Full month Pivot'!$C:$C, $B11)</f>
        <v/>
      </c>
      <c r="P11" s="252">
        <f>SUMIFS('Full month Pivot'!I:I, 'Full month Pivot'!$A:$A, "Tiện Ích Giao Thông", 'Full month Pivot'!$C:$C, $B11)</f>
        <v/>
      </c>
      <c r="Q11" s="252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256" t="inlineStr">
        <is>
          <t>Giá Xăng</t>
        </is>
      </c>
      <c r="B13" s="258" t="inlineStr"/>
      <c r="C13" s="251">
        <f>sum(C14:C18)</f>
        <v/>
      </c>
      <c r="D13" s="251">
        <f>sum(D14:D18)</f>
        <v/>
      </c>
      <c r="E13" s="251">
        <f>sum(E14:E18)</f>
        <v/>
      </c>
      <c r="F13" s="251">
        <f>sum(F14:F18)</f>
        <v/>
      </c>
      <c r="G13" s="251">
        <f>sum(G14:G18)</f>
        <v/>
      </c>
      <c r="H13" s="251">
        <f>sum(H14:H18)</f>
        <v/>
      </c>
      <c r="I13" s="251">
        <f>H13-G13</f>
        <v/>
      </c>
      <c r="J13" s="257" t="inlineStr"/>
      <c r="K13" s="251">
        <f>sum(K14:K18)</f>
        <v/>
      </c>
      <c r="L13" s="251">
        <f>sum(L14:L18)</f>
        <v/>
      </c>
      <c r="M13" s="251">
        <f>sum(M14:M18)</f>
        <v/>
      </c>
      <c r="N13" s="251">
        <f>sum(N14:N18)</f>
        <v/>
      </c>
      <c r="O13" s="251">
        <f>sum(O14:O18)</f>
        <v/>
      </c>
      <c r="P13" s="251">
        <f>sum(P14:P18)</f>
        <v/>
      </c>
      <c r="Q13" s="251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257" t="inlineStr"/>
      <c r="B14" s="258" t="inlineStr">
        <is>
          <t>Organic</t>
        </is>
      </c>
      <c r="C14" s="252" t="n">
        <v>0</v>
      </c>
      <c r="D14" s="252" t="n">
        <v>0</v>
      </c>
      <c r="E14" s="252" t="n">
        <v>0</v>
      </c>
      <c r="F14" s="252" t="n">
        <v>0</v>
      </c>
      <c r="G14" s="252" t="n">
        <v>127</v>
      </c>
      <c r="H14" s="252" t="n">
        <v>3388</v>
      </c>
      <c r="I14" s="252">
        <f>H14-G14</f>
        <v/>
      </c>
      <c r="J14" s="257" t="inlineStr"/>
      <c r="K14" s="252" t="n">
        <v>0</v>
      </c>
      <c r="L14" s="252" t="n">
        <v>0</v>
      </c>
      <c r="M14" s="252" t="n">
        <v>0</v>
      </c>
      <c r="N14" s="252" t="n">
        <v>0</v>
      </c>
      <c r="O14" s="252" t="n">
        <v>382</v>
      </c>
      <c r="P14" s="252" t="n">
        <v>3388</v>
      </c>
      <c r="Q14" s="252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257" t="inlineStr"/>
      <c r="B15" s="258" t="inlineStr">
        <is>
          <t>Direct</t>
        </is>
      </c>
      <c r="C15" s="252" t="n">
        <v>0</v>
      </c>
      <c r="D15" s="252" t="n">
        <v>0</v>
      </c>
      <c r="E15" s="252" t="n">
        <v>0</v>
      </c>
      <c r="F15" s="252" t="n">
        <v>0</v>
      </c>
      <c r="G15" s="252" t="n">
        <v>30</v>
      </c>
      <c r="H15" s="252" t="n">
        <v>102</v>
      </c>
      <c r="I15" s="252">
        <f>H15-G15</f>
        <v/>
      </c>
      <c r="J15" s="257" t="inlineStr"/>
      <c r="K15" s="252" t="n">
        <v>0</v>
      </c>
      <c r="L15" s="252" t="n">
        <v>0</v>
      </c>
      <c r="M15" s="252" t="n">
        <v>0</v>
      </c>
      <c r="N15" s="252" t="n">
        <v>0</v>
      </c>
      <c r="O15" s="252" t="n">
        <v>41</v>
      </c>
      <c r="P15" s="252" t="n">
        <v>102</v>
      </c>
      <c r="Q15" s="252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257" t="inlineStr"/>
      <c r="B16" s="258" t="inlineStr">
        <is>
          <t>Paid</t>
        </is>
      </c>
      <c r="C16" s="252" t="n">
        <v>0</v>
      </c>
      <c r="D16" s="252" t="n">
        <v>0</v>
      </c>
      <c r="E16" s="252" t="n">
        <v>0</v>
      </c>
      <c r="F16" s="252" t="n">
        <v>0</v>
      </c>
      <c r="G16" s="252" t="n">
        <v>1</v>
      </c>
      <c r="H16" s="252" t="n">
        <v>1</v>
      </c>
      <c r="I16" s="252">
        <f>H16-G16</f>
        <v/>
      </c>
      <c r="J16" s="257" t="inlineStr"/>
      <c r="K16" s="252" t="n">
        <v>0</v>
      </c>
      <c r="L16" s="252" t="n">
        <v>0</v>
      </c>
      <c r="M16" s="252" t="n">
        <v>0</v>
      </c>
      <c r="N16" s="252" t="n">
        <v>0</v>
      </c>
      <c r="O16" s="252" t="n">
        <v>1</v>
      </c>
      <c r="P16" s="252" t="n">
        <v>1</v>
      </c>
      <c r="Q16" s="252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257" t="inlineStr"/>
      <c r="B17" s="258" t="inlineStr">
        <is>
          <t>Referral</t>
        </is>
      </c>
      <c r="C17" s="252" t="n">
        <v>0</v>
      </c>
      <c r="D17" s="252" t="n">
        <v>0</v>
      </c>
      <c r="E17" s="252" t="n">
        <v>0</v>
      </c>
      <c r="F17" s="252" t="n">
        <v>0</v>
      </c>
      <c r="G17" s="252" t="n">
        <v>26</v>
      </c>
      <c r="H17" s="252" t="n">
        <v>654</v>
      </c>
      <c r="I17" s="252">
        <f>H17-G17</f>
        <v/>
      </c>
      <c r="J17" s="257" t="inlineStr"/>
      <c r="K17" s="252" t="n">
        <v>0</v>
      </c>
      <c r="L17" s="252" t="n">
        <v>0</v>
      </c>
      <c r="M17" s="252" t="n">
        <v>0</v>
      </c>
      <c r="N17" s="252" t="n">
        <v>0</v>
      </c>
      <c r="O17" s="252" t="n">
        <v>72</v>
      </c>
      <c r="P17" s="252" t="n">
        <v>654</v>
      </c>
      <c r="Q17" s="252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257" t="inlineStr"/>
      <c r="B18" s="258" t="inlineStr">
        <is>
          <t>Others</t>
        </is>
      </c>
      <c r="C18" s="252" t="n">
        <v>0</v>
      </c>
      <c r="D18" s="252" t="n">
        <v>0</v>
      </c>
      <c r="E18" s="252" t="n">
        <v>0</v>
      </c>
      <c r="F18" s="252" t="n">
        <v>0</v>
      </c>
      <c r="G18" s="252" t="n">
        <v>9</v>
      </c>
      <c r="H18" s="252" t="n">
        <v>21</v>
      </c>
      <c r="I18" s="252">
        <f>H18-G18</f>
        <v/>
      </c>
      <c r="J18" s="257" t="inlineStr"/>
      <c r="K18" s="252" t="n">
        <v>0</v>
      </c>
      <c r="L18" s="252" t="n">
        <v>0</v>
      </c>
      <c r="M18" s="252" t="n">
        <v>0</v>
      </c>
      <c r="N18" s="252" t="n">
        <v>0</v>
      </c>
      <c r="O18" s="252" t="n">
        <v>11</v>
      </c>
      <c r="P18" s="252" t="n">
        <v>21</v>
      </c>
      <c r="Q18" s="252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256" t="inlineStr">
        <is>
          <t>Garage</t>
        </is>
      </c>
      <c r="B20" s="257" t="inlineStr"/>
      <c r="C20" s="251">
        <f>sum(C21:C25)</f>
        <v/>
      </c>
      <c r="D20" s="251">
        <f>sum(D21:D25)</f>
        <v/>
      </c>
      <c r="E20" s="251">
        <f>sum(E21:E25)</f>
        <v/>
      </c>
      <c r="F20" s="251">
        <f>sum(F21:F25)</f>
        <v/>
      </c>
      <c r="G20" s="251">
        <f>sum(G21:G25)</f>
        <v/>
      </c>
      <c r="H20" s="251">
        <f>sum(H21:H25)</f>
        <v/>
      </c>
      <c r="I20" s="251">
        <f>H20-G20</f>
        <v/>
      </c>
      <c r="J20" s="257" t="inlineStr"/>
      <c r="K20" s="251">
        <f>sum(K21:K25)</f>
        <v/>
      </c>
      <c r="L20" s="251">
        <f>sum(L21:L25)</f>
        <v/>
      </c>
      <c r="M20" s="251">
        <f>sum(M21:M25)</f>
        <v/>
      </c>
      <c r="N20" s="251">
        <f>sum(N21:N25)</f>
        <v/>
      </c>
      <c r="O20" s="251">
        <f>sum(O21:O25)</f>
        <v/>
      </c>
      <c r="P20" s="251">
        <f>sum(P21:P25)</f>
        <v/>
      </c>
      <c r="Q20" s="251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257" t="inlineStr"/>
      <c r="B21" s="258" t="inlineStr">
        <is>
          <t>Organic</t>
        </is>
      </c>
      <c r="C21" s="252" t="n">
        <v>0</v>
      </c>
      <c r="D21" s="252" t="n">
        <v>0</v>
      </c>
      <c r="E21" s="252" t="n">
        <v>0</v>
      </c>
      <c r="F21" s="252" t="n">
        <v>0</v>
      </c>
      <c r="G21" s="252" t="n">
        <v>0</v>
      </c>
      <c r="H21" s="252" t="n">
        <v>68</v>
      </c>
      <c r="I21" s="252">
        <f>H21-G21</f>
        <v/>
      </c>
      <c r="J21" s="257" t="inlineStr"/>
      <c r="K21" s="252" t="n">
        <v>0</v>
      </c>
      <c r="L21" s="252" t="n">
        <v>0</v>
      </c>
      <c r="M21" s="252" t="n">
        <v>0</v>
      </c>
      <c r="N21" s="252" t="n">
        <v>0</v>
      </c>
      <c r="O21" s="252" t="n">
        <v>1</v>
      </c>
      <c r="P21" s="252" t="n">
        <v>68</v>
      </c>
      <c r="Q21" s="252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257" t="inlineStr"/>
      <c r="B22" s="258" t="inlineStr">
        <is>
          <t>Direct</t>
        </is>
      </c>
      <c r="C22" s="252" t="n">
        <v>0</v>
      </c>
      <c r="D22" s="252" t="n">
        <v>0</v>
      </c>
      <c r="E22" s="252" t="n">
        <v>0</v>
      </c>
      <c r="F22" s="252" t="n">
        <v>0</v>
      </c>
      <c r="G22" s="252" t="n">
        <v>0</v>
      </c>
      <c r="H22" s="252" t="n">
        <v>8</v>
      </c>
      <c r="I22" s="252">
        <f>H22-G22</f>
        <v/>
      </c>
      <c r="J22" s="257" t="inlineStr"/>
      <c r="K22" s="252" t="n">
        <v>0</v>
      </c>
      <c r="L22" s="252" t="n">
        <v>0</v>
      </c>
      <c r="M22" s="252" t="n">
        <v>0</v>
      </c>
      <c r="N22" s="252" t="n">
        <v>0</v>
      </c>
      <c r="O22" s="252" t="n">
        <v>0</v>
      </c>
      <c r="P22" s="252" t="n">
        <v>8</v>
      </c>
      <c r="Q22" s="252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257" t="inlineStr"/>
      <c r="B23" s="258" t="inlineStr">
        <is>
          <t>Paid</t>
        </is>
      </c>
      <c r="C23" s="252" t="n">
        <v>0</v>
      </c>
      <c r="D23" s="252" t="n">
        <v>0</v>
      </c>
      <c r="E23" s="252" t="n">
        <v>0</v>
      </c>
      <c r="F23" s="252" t="n">
        <v>0</v>
      </c>
      <c r="G23" s="252" t="n">
        <v>0</v>
      </c>
      <c r="H23" s="252" t="n">
        <v>0</v>
      </c>
      <c r="I23" s="252">
        <f>H23-G23</f>
        <v/>
      </c>
      <c r="J23" s="257" t="inlineStr"/>
      <c r="K23" s="252" t="n">
        <v>0</v>
      </c>
      <c r="L23" s="252" t="n">
        <v>0</v>
      </c>
      <c r="M23" s="252" t="n">
        <v>0</v>
      </c>
      <c r="N23" s="252" t="n">
        <v>0</v>
      </c>
      <c r="O23" s="252" t="n">
        <v>0</v>
      </c>
      <c r="P23" s="252" t="n">
        <v>0</v>
      </c>
      <c r="Q23" s="252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257" t="inlineStr"/>
      <c r="B24" s="258" t="inlineStr">
        <is>
          <t>Referral</t>
        </is>
      </c>
      <c r="C24" s="252" t="n">
        <v>0</v>
      </c>
      <c r="D24" s="252" t="n">
        <v>0</v>
      </c>
      <c r="E24" s="252" t="n">
        <v>0</v>
      </c>
      <c r="F24" s="252" t="n">
        <v>0</v>
      </c>
      <c r="G24" s="252" t="n">
        <v>0</v>
      </c>
      <c r="H24" s="252" t="n">
        <v>3</v>
      </c>
      <c r="I24" s="252">
        <f>H24-G24</f>
        <v/>
      </c>
      <c r="J24" s="257" t="inlineStr"/>
      <c r="K24" s="252" t="n">
        <v>0</v>
      </c>
      <c r="L24" s="252" t="n">
        <v>0</v>
      </c>
      <c r="M24" s="252" t="n">
        <v>0</v>
      </c>
      <c r="N24" s="252" t="n">
        <v>0</v>
      </c>
      <c r="O24" s="252" t="n">
        <v>0</v>
      </c>
      <c r="P24" s="252" t="n">
        <v>3</v>
      </c>
      <c r="Q24" s="252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257" t="inlineStr"/>
      <c r="B25" s="258" t="inlineStr">
        <is>
          <t>Others</t>
        </is>
      </c>
      <c r="C25" s="252" t="n">
        <v>0</v>
      </c>
      <c r="D25" s="252" t="n">
        <v>0</v>
      </c>
      <c r="E25" s="252" t="n">
        <v>0</v>
      </c>
      <c r="F25" s="252" t="n">
        <v>0</v>
      </c>
      <c r="G25" s="252" t="n">
        <v>0</v>
      </c>
      <c r="H25" s="252" t="n">
        <v>3</v>
      </c>
      <c r="I25" s="252">
        <f>H25-G25</f>
        <v/>
      </c>
      <c r="J25" s="257" t="inlineStr"/>
      <c r="K25" s="252" t="n">
        <v>0</v>
      </c>
      <c r="L25" s="252" t="n">
        <v>0</v>
      </c>
      <c r="M25" s="252" t="n">
        <v>0</v>
      </c>
      <c r="N25" s="252" t="n">
        <v>0</v>
      </c>
      <c r="O25" s="252" t="n">
        <v>0</v>
      </c>
      <c r="P25" s="252" t="n">
        <v>3</v>
      </c>
      <c r="Q25" s="252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256" t="inlineStr">
        <is>
          <t>Cây Xăng</t>
        </is>
      </c>
      <c r="B27" s="257" t="inlineStr"/>
      <c r="C27" s="251">
        <f>sum(C28:C32)</f>
        <v/>
      </c>
      <c r="D27" s="251">
        <f>sum(D28:D32)</f>
        <v/>
      </c>
      <c r="E27" s="251">
        <f>sum(E28:E32)</f>
        <v/>
      </c>
      <c r="F27" s="251">
        <f>sum(F28:F32)</f>
        <v/>
      </c>
      <c r="G27" s="251">
        <f>sum(G28:G32)</f>
        <v/>
      </c>
      <c r="H27" s="251">
        <f>sum(H28:H32)</f>
        <v/>
      </c>
      <c r="I27" s="251">
        <f>H27-G27</f>
        <v/>
      </c>
      <c r="J27" s="257" t="inlineStr"/>
      <c r="K27" s="251">
        <f>sum(K28:K32)</f>
        <v/>
      </c>
      <c r="L27" s="251">
        <f>sum(L28:L32)</f>
        <v/>
      </c>
      <c r="M27" s="251">
        <f>sum(M28:M32)</f>
        <v/>
      </c>
      <c r="N27" s="251">
        <f>sum(N28:N32)</f>
        <v/>
      </c>
      <c r="O27" s="251">
        <f>sum(O28:O32)</f>
        <v/>
      </c>
      <c r="P27" s="251">
        <f>sum(P28:P32)</f>
        <v/>
      </c>
      <c r="Q27" s="251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257" t="inlineStr"/>
      <c r="B28" s="258" t="inlineStr">
        <is>
          <t>Organic</t>
        </is>
      </c>
      <c r="C28" s="252" t="n">
        <v>0</v>
      </c>
      <c r="D28" s="252" t="n">
        <v>0</v>
      </c>
      <c r="E28" s="252" t="n">
        <v>0</v>
      </c>
      <c r="F28" s="252" t="n">
        <v>0</v>
      </c>
      <c r="G28" s="252" t="n">
        <v>141</v>
      </c>
      <c r="H28" s="252" t="n">
        <v>477</v>
      </c>
      <c r="I28" s="252">
        <f>H28-G28</f>
        <v/>
      </c>
      <c r="J28" s="257" t="inlineStr"/>
      <c r="K28" s="252" t="n">
        <v>0</v>
      </c>
      <c r="L28" s="252" t="n">
        <v>0</v>
      </c>
      <c r="M28" s="252" t="n">
        <v>0</v>
      </c>
      <c r="N28" s="252" t="n">
        <v>0</v>
      </c>
      <c r="O28" s="252" t="n">
        <v>298</v>
      </c>
      <c r="P28" s="252" t="n">
        <v>477</v>
      </c>
      <c r="Q28" s="252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257" t="inlineStr"/>
      <c r="B29" s="258" t="inlineStr">
        <is>
          <t>Direct</t>
        </is>
      </c>
      <c r="C29" s="252" t="n">
        <v>0</v>
      </c>
      <c r="D29" s="252" t="n">
        <v>0</v>
      </c>
      <c r="E29" s="252" t="n">
        <v>0</v>
      </c>
      <c r="F29" s="252" t="n">
        <v>0</v>
      </c>
      <c r="G29" s="252" t="n">
        <v>16</v>
      </c>
      <c r="H29" s="252" t="n">
        <v>33</v>
      </c>
      <c r="I29" s="252">
        <f>H29-G29</f>
        <v/>
      </c>
      <c r="J29" s="257" t="inlineStr"/>
      <c r="K29" s="252" t="n">
        <v>0</v>
      </c>
      <c r="L29" s="252" t="n">
        <v>0</v>
      </c>
      <c r="M29" s="252" t="n">
        <v>0</v>
      </c>
      <c r="N29" s="252" t="n">
        <v>0</v>
      </c>
      <c r="O29" s="252" t="n">
        <v>30</v>
      </c>
      <c r="P29" s="252" t="n">
        <v>33</v>
      </c>
      <c r="Q29" s="252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257" t="inlineStr"/>
      <c r="B30" s="258" t="inlineStr">
        <is>
          <t>Paid</t>
        </is>
      </c>
      <c r="C30" s="252" t="n">
        <v>0</v>
      </c>
      <c r="D30" s="252" t="n">
        <v>0</v>
      </c>
      <c r="E30" s="252" t="n">
        <v>0</v>
      </c>
      <c r="F30" s="252" t="n">
        <v>0</v>
      </c>
      <c r="G30" s="252" t="n">
        <v>3</v>
      </c>
      <c r="H30" s="252" t="n">
        <v>5</v>
      </c>
      <c r="I30" s="252">
        <f>H30-G30</f>
        <v/>
      </c>
      <c r="J30" s="257" t="inlineStr"/>
      <c r="K30" s="252" t="n">
        <v>0</v>
      </c>
      <c r="L30" s="252" t="n">
        <v>0</v>
      </c>
      <c r="M30" s="252" t="n">
        <v>0</v>
      </c>
      <c r="N30" s="252" t="n">
        <v>0</v>
      </c>
      <c r="O30" s="252" t="n">
        <v>3</v>
      </c>
      <c r="P30" s="252" t="n">
        <v>5</v>
      </c>
      <c r="Q30" s="252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257" t="inlineStr"/>
      <c r="B31" s="258" t="inlineStr">
        <is>
          <t>Referral</t>
        </is>
      </c>
      <c r="C31" s="252" t="n">
        <v>0</v>
      </c>
      <c r="D31" s="252" t="n">
        <v>0</v>
      </c>
      <c r="E31" s="252" t="n">
        <v>0</v>
      </c>
      <c r="F31" s="252" t="n">
        <v>0</v>
      </c>
      <c r="G31" s="252" t="n">
        <v>22</v>
      </c>
      <c r="H31" s="252" t="n">
        <v>35</v>
      </c>
      <c r="I31" s="252">
        <f>H31-G31</f>
        <v/>
      </c>
      <c r="J31" s="257" t="inlineStr"/>
      <c r="K31" s="252" t="n">
        <v>0</v>
      </c>
      <c r="L31" s="252" t="n">
        <v>0</v>
      </c>
      <c r="M31" s="252" t="n">
        <v>0</v>
      </c>
      <c r="N31" s="252" t="n">
        <v>0</v>
      </c>
      <c r="O31" s="252" t="n">
        <v>30</v>
      </c>
      <c r="P31" s="252" t="n">
        <v>35</v>
      </c>
      <c r="Q31" s="252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257" t="inlineStr"/>
      <c r="B32" s="258" t="inlineStr">
        <is>
          <t>Others</t>
        </is>
      </c>
      <c r="C32" s="252" t="n">
        <v>0</v>
      </c>
      <c r="D32" s="252" t="n">
        <v>0</v>
      </c>
      <c r="E32" s="252" t="n">
        <v>0</v>
      </c>
      <c r="F32" s="252" t="n">
        <v>0</v>
      </c>
      <c r="G32" s="252" t="n">
        <v>5</v>
      </c>
      <c r="H32" s="252" t="n">
        <v>13</v>
      </c>
      <c r="I32" s="252">
        <f>H32-G32</f>
        <v/>
      </c>
      <c r="J32" s="257" t="inlineStr"/>
      <c r="K32" s="252" t="n">
        <v>0</v>
      </c>
      <c r="L32" s="252" t="n">
        <v>0</v>
      </c>
      <c r="M32" s="252" t="n">
        <v>0</v>
      </c>
      <c r="N32" s="252" t="n">
        <v>0</v>
      </c>
      <c r="O32" s="252" t="n">
        <v>8</v>
      </c>
      <c r="P32" s="252" t="n">
        <v>13</v>
      </c>
      <c r="Q32" s="252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256" t="inlineStr">
        <is>
          <t>Trạm Sạc</t>
        </is>
      </c>
      <c r="B34" s="257" t="inlineStr"/>
      <c r="C34" s="251">
        <f>sum(C35:C39)</f>
        <v/>
      </c>
      <c r="D34" s="251">
        <f>sum(D35:D39)</f>
        <v/>
      </c>
      <c r="E34" s="251">
        <f>sum(E35:E39)</f>
        <v/>
      </c>
      <c r="F34" s="251">
        <f>sum(F35:F39)</f>
        <v/>
      </c>
      <c r="G34" s="251">
        <f>sum(G35:G39)</f>
        <v/>
      </c>
      <c r="H34" s="251">
        <f>sum(H35:H39)</f>
        <v/>
      </c>
      <c r="I34" s="251">
        <f>H34-G34</f>
        <v/>
      </c>
      <c r="J34" s="257" t="inlineStr"/>
      <c r="K34" s="251">
        <f>sum(K35:K39)</f>
        <v/>
      </c>
      <c r="L34" s="251">
        <f>sum(L35:L39)</f>
        <v/>
      </c>
      <c r="M34" s="251">
        <f>sum(M35:M39)</f>
        <v/>
      </c>
      <c r="N34" s="251">
        <f>sum(N35:N39)</f>
        <v/>
      </c>
      <c r="O34" s="251">
        <f>sum(O35:O39)</f>
        <v/>
      </c>
      <c r="P34" s="251">
        <f>sum(P35:P39)</f>
        <v/>
      </c>
      <c r="Q34" s="251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257" t="inlineStr"/>
      <c r="B35" s="258" t="inlineStr">
        <is>
          <t>Organic</t>
        </is>
      </c>
      <c r="C35" s="252" t="n">
        <v>0</v>
      </c>
      <c r="D35" s="252" t="n">
        <v>0</v>
      </c>
      <c r="E35" s="252" t="n">
        <v>0</v>
      </c>
      <c r="F35" s="252" t="n">
        <v>0</v>
      </c>
      <c r="G35" s="252" t="n">
        <v>42</v>
      </c>
      <c r="H35" s="252" t="n">
        <v>21</v>
      </c>
      <c r="I35" s="252">
        <f>H35-G35</f>
        <v/>
      </c>
      <c r="J35" s="257" t="inlineStr"/>
      <c r="K35" s="252" t="n">
        <v>0</v>
      </c>
      <c r="L35" s="252" t="n">
        <v>0</v>
      </c>
      <c r="M35" s="252" t="n">
        <v>0</v>
      </c>
      <c r="N35" s="252" t="n">
        <v>0</v>
      </c>
      <c r="O35" s="252" t="n">
        <v>43</v>
      </c>
      <c r="P35" s="252" t="n">
        <v>21</v>
      </c>
      <c r="Q35" s="252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257" t="inlineStr"/>
      <c r="B36" s="258" t="inlineStr">
        <is>
          <t>Direct</t>
        </is>
      </c>
      <c r="C36" s="252" t="n">
        <v>0</v>
      </c>
      <c r="D36" s="252" t="n">
        <v>0</v>
      </c>
      <c r="E36" s="252" t="n">
        <v>0</v>
      </c>
      <c r="F36" s="252" t="n">
        <v>0</v>
      </c>
      <c r="G36" s="252" t="n">
        <v>2</v>
      </c>
      <c r="H36" s="252" t="n">
        <v>7</v>
      </c>
      <c r="I36" s="252">
        <f>H36-G36</f>
        <v/>
      </c>
      <c r="J36" s="257" t="inlineStr"/>
      <c r="K36" s="252" t="n">
        <v>0</v>
      </c>
      <c r="L36" s="252" t="n">
        <v>0</v>
      </c>
      <c r="M36" s="252" t="n">
        <v>0</v>
      </c>
      <c r="N36" s="252" t="n">
        <v>0</v>
      </c>
      <c r="O36" s="252" t="n">
        <v>2</v>
      </c>
      <c r="P36" s="252" t="n">
        <v>7</v>
      </c>
      <c r="Q36" s="252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257" t="inlineStr"/>
      <c r="B37" s="258" t="inlineStr">
        <is>
          <t>Paid</t>
        </is>
      </c>
      <c r="C37" s="252" t="n">
        <v>0</v>
      </c>
      <c r="D37" s="252" t="n">
        <v>0</v>
      </c>
      <c r="E37" s="252" t="n">
        <v>0</v>
      </c>
      <c r="F37" s="252" t="n">
        <v>0</v>
      </c>
      <c r="G37" s="252" t="n">
        <v>5</v>
      </c>
      <c r="H37" s="252" t="n">
        <v>4</v>
      </c>
      <c r="I37" s="252">
        <f>H37-G37</f>
        <v/>
      </c>
      <c r="J37" s="257" t="inlineStr"/>
      <c r="K37" s="252" t="n">
        <v>0</v>
      </c>
      <c r="L37" s="252" t="n">
        <v>0</v>
      </c>
      <c r="M37" s="252" t="n">
        <v>0</v>
      </c>
      <c r="N37" s="252" t="n">
        <v>0</v>
      </c>
      <c r="O37" s="252" t="n">
        <v>5</v>
      </c>
      <c r="P37" s="252" t="n">
        <v>4</v>
      </c>
      <c r="Q37" s="252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257" t="inlineStr"/>
      <c r="B38" s="258" t="inlineStr">
        <is>
          <t>Referral</t>
        </is>
      </c>
      <c r="C38" s="252" t="n">
        <v>0</v>
      </c>
      <c r="D38" s="252" t="n">
        <v>0</v>
      </c>
      <c r="E38" s="252" t="n">
        <v>0</v>
      </c>
      <c r="F38" s="252" t="n">
        <v>0</v>
      </c>
      <c r="G38" s="252" t="n">
        <v>5</v>
      </c>
      <c r="H38" s="252" t="n">
        <v>2</v>
      </c>
      <c r="I38" s="252">
        <f>H38-G38</f>
        <v/>
      </c>
      <c r="J38" s="257" t="inlineStr"/>
      <c r="K38" s="252" t="n">
        <v>0</v>
      </c>
      <c r="L38" s="252" t="n">
        <v>0</v>
      </c>
      <c r="M38" s="252" t="n">
        <v>0</v>
      </c>
      <c r="N38" s="252" t="n">
        <v>0</v>
      </c>
      <c r="O38" s="252" t="n">
        <v>5</v>
      </c>
      <c r="P38" s="252" t="n">
        <v>2</v>
      </c>
      <c r="Q38" s="252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257" t="inlineStr"/>
      <c r="B39" s="258" t="inlineStr">
        <is>
          <t>Others</t>
        </is>
      </c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1</v>
      </c>
      <c r="H39" s="252" t="n">
        <v>2</v>
      </c>
      <c r="I39" s="252">
        <f>H39-G39</f>
        <v/>
      </c>
      <c r="J39" s="257" t="inlineStr"/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3</v>
      </c>
      <c r="P39" s="252" t="n">
        <v>2</v>
      </c>
      <c r="Q39" s="252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256" t="inlineStr">
        <is>
          <t>Hãng Xe (VinFast)</t>
        </is>
      </c>
      <c r="B41" s="257" t="inlineStr"/>
      <c r="C41" s="251">
        <f>sum(C42:C46)</f>
        <v/>
      </c>
      <c r="D41" s="251">
        <f>sum(D42:D46)</f>
        <v/>
      </c>
      <c r="E41" s="251">
        <f>sum(E42:E46)</f>
        <v/>
      </c>
      <c r="F41" s="251">
        <f>sum(F42:F46)</f>
        <v/>
      </c>
      <c r="G41" s="251">
        <f>sum(G42:G46)</f>
        <v/>
      </c>
      <c r="H41" s="251">
        <f>sum(H42:H46)</f>
        <v/>
      </c>
      <c r="I41" s="251">
        <f>H41-G41</f>
        <v/>
      </c>
      <c r="J41" s="257" t="inlineStr"/>
      <c r="K41" s="251">
        <f>sum(K42:K46)</f>
        <v/>
      </c>
      <c r="L41" s="251">
        <f>sum(L42:L46)</f>
        <v/>
      </c>
      <c r="M41" s="251">
        <f>sum(M42:M46)</f>
        <v/>
      </c>
      <c r="N41" s="251">
        <f>sum(N42:N46)</f>
        <v/>
      </c>
      <c r="O41" s="251">
        <f>sum(O42:O46)</f>
        <v/>
      </c>
      <c r="P41" s="251">
        <f>sum(P42:P46)</f>
        <v/>
      </c>
      <c r="Q41" s="251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257" t="inlineStr"/>
      <c r="B42" s="257" t="inlineStr">
        <is>
          <t>Organic</t>
        </is>
      </c>
      <c r="C42" s="252" t="n">
        <v>0</v>
      </c>
      <c r="D42" s="252" t="n">
        <v>0</v>
      </c>
      <c r="E42" s="252" t="n">
        <v>0</v>
      </c>
      <c r="F42" s="252" t="n">
        <v>0</v>
      </c>
      <c r="G42" s="252" t="n">
        <v>0</v>
      </c>
      <c r="H42" s="252" t="n">
        <v>86</v>
      </c>
      <c r="I42" s="252">
        <f>H42-G42</f>
        <v/>
      </c>
      <c r="J42" s="257" t="inlineStr"/>
      <c r="K42" s="252" t="n">
        <v>0</v>
      </c>
      <c r="L42" s="252" t="n">
        <v>0</v>
      </c>
      <c r="M42" s="252" t="n">
        <v>0</v>
      </c>
      <c r="N42" s="252" t="n">
        <v>0</v>
      </c>
      <c r="O42" s="252" t="n">
        <v>0</v>
      </c>
      <c r="P42" s="252" t="n">
        <v>86</v>
      </c>
      <c r="Q42" s="252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257" t="inlineStr"/>
      <c r="B43" s="257" t="inlineStr">
        <is>
          <t>Direct</t>
        </is>
      </c>
      <c r="C43" s="252" t="n">
        <v>0</v>
      </c>
      <c r="D43" s="252" t="n">
        <v>0</v>
      </c>
      <c r="E43" s="252" t="n">
        <v>0</v>
      </c>
      <c r="F43" s="252" t="n">
        <v>0</v>
      </c>
      <c r="G43" s="252" t="n">
        <v>0</v>
      </c>
      <c r="H43" s="252" t="n">
        <v>8</v>
      </c>
      <c r="I43" s="252">
        <f>H43-G43</f>
        <v/>
      </c>
      <c r="J43" s="257" t="inlineStr"/>
      <c r="K43" s="252" t="n">
        <v>0</v>
      </c>
      <c r="L43" s="252" t="n">
        <v>0</v>
      </c>
      <c r="M43" s="252" t="n">
        <v>0</v>
      </c>
      <c r="N43" s="252" t="n">
        <v>0</v>
      </c>
      <c r="O43" s="252" t="n">
        <v>0</v>
      </c>
      <c r="P43" s="252" t="n">
        <v>8</v>
      </c>
      <c r="Q43" s="252">
        <f>P43-O43</f>
        <v/>
      </c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257" t="inlineStr"/>
      <c r="B44" s="257" t="inlineStr">
        <is>
          <t>Paid</t>
        </is>
      </c>
      <c r="C44" s="252" t="n">
        <v>0</v>
      </c>
      <c r="D44" s="252" t="n">
        <v>0</v>
      </c>
      <c r="E44" s="252" t="n">
        <v>0</v>
      </c>
      <c r="F44" s="252" t="n">
        <v>0</v>
      </c>
      <c r="G44" s="252" t="n">
        <v>0</v>
      </c>
      <c r="H44" s="252" t="n">
        <v>0</v>
      </c>
      <c r="I44" s="252">
        <f>H44-G44</f>
        <v/>
      </c>
      <c r="J44" s="257" t="inlineStr"/>
      <c r="K44" s="252" t="n">
        <v>0</v>
      </c>
      <c r="L44" s="252" t="n">
        <v>0</v>
      </c>
      <c r="M44" s="252" t="n">
        <v>0</v>
      </c>
      <c r="N44" s="252" t="n">
        <v>0</v>
      </c>
      <c r="O44" s="252" t="n">
        <v>0</v>
      </c>
      <c r="P44" s="252" t="n">
        <v>0</v>
      </c>
      <c r="Q44" s="252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257" t="inlineStr"/>
      <c r="B45" s="257" t="inlineStr">
        <is>
          <t>Referral</t>
        </is>
      </c>
      <c r="C45" s="252" t="n">
        <v>0</v>
      </c>
      <c r="D45" s="252" t="n">
        <v>0</v>
      </c>
      <c r="E45" s="252" t="n">
        <v>0</v>
      </c>
      <c r="F45" s="252" t="n">
        <v>0</v>
      </c>
      <c r="G45" s="252" t="n">
        <v>0</v>
      </c>
      <c r="H45" s="252" t="n">
        <v>2</v>
      </c>
      <c r="I45" s="252">
        <f>H45-G45</f>
        <v/>
      </c>
      <c r="J45" s="257" t="inlineStr"/>
      <c r="K45" s="252" t="n">
        <v>0</v>
      </c>
      <c r="L45" s="252" t="n">
        <v>0</v>
      </c>
      <c r="M45" s="252" t="n">
        <v>0</v>
      </c>
      <c r="N45" s="252" t="n">
        <v>0</v>
      </c>
      <c r="O45" s="252" t="n">
        <v>0</v>
      </c>
      <c r="P45" s="252" t="n">
        <v>2</v>
      </c>
      <c r="Q45" s="252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257" t="inlineStr"/>
      <c r="B46" s="257" t="inlineStr">
        <is>
          <t>Others</t>
        </is>
      </c>
      <c r="C46" s="252" t="n">
        <v>0</v>
      </c>
      <c r="D46" s="252" t="n">
        <v>0</v>
      </c>
      <c r="E46" s="252" t="n">
        <v>0</v>
      </c>
      <c r="F46" s="252" t="n">
        <v>0</v>
      </c>
      <c r="G46" s="252" t="n">
        <v>0</v>
      </c>
      <c r="H46" s="252" t="n">
        <v>0</v>
      </c>
      <c r="I46" s="252">
        <f>H46-G46</f>
        <v/>
      </c>
      <c r="J46" s="257" t="inlineStr"/>
      <c r="K46" s="252" t="n">
        <v>0</v>
      </c>
      <c r="L46" s="252" t="n">
        <v>0</v>
      </c>
      <c r="M46" s="252" t="n">
        <v>0</v>
      </c>
      <c r="N46" s="252" t="n">
        <v>0</v>
      </c>
      <c r="O46" s="252" t="n">
        <v>0</v>
      </c>
      <c r="P46" s="252" t="n">
        <v>0</v>
      </c>
      <c r="Q46" s="252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256" t="inlineStr">
        <is>
          <t>Phạt Nguội</t>
        </is>
      </c>
      <c r="B48" s="257" t="inlineStr"/>
      <c r="C48" s="251">
        <f>sum(C49:C53)</f>
        <v/>
      </c>
      <c r="D48" s="251">
        <f>sum(D49:D53)</f>
        <v/>
      </c>
      <c r="E48" s="251">
        <f>sum(E49:E53)</f>
        <v/>
      </c>
      <c r="F48" s="251">
        <f>sum(F49:F53)</f>
        <v/>
      </c>
      <c r="G48" s="251">
        <f>sum(G49:G53)</f>
        <v/>
      </c>
      <c r="H48" s="251">
        <f>sum(H49:H53)</f>
        <v/>
      </c>
      <c r="I48" s="251">
        <f>H48-G48</f>
        <v/>
      </c>
      <c r="J48" s="257" t="inlineStr"/>
      <c r="K48" s="251">
        <f>sum(K49:K53)</f>
        <v/>
      </c>
      <c r="L48" s="251">
        <f>sum(L49:L53)</f>
        <v/>
      </c>
      <c r="M48" s="251">
        <f>sum(M49:M53)</f>
        <v/>
      </c>
      <c r="N48" s="251">
        <f>sum(N49:N53)</f>
        <v/>
      </c>
      <c r="O48" s="251">
        <f>sum(O49:O53)</f>
        <v/>
      </c>
      <c r="P48" s="251">
        <f>sum(P49:P53)</f>
        <v/>
      </c>
      <c r="Q48" s="251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257" t="inlineStr"/>
      <c r="B49" s="257" t="inlineStr">
        <is>
          <t>Paid</t>
        </is>
      </c>
      <c r="C49" s="252">
        <f>SUMIFS('MTD Pivot'!D:D, 'MTD Pivot'!$A:$A, "Phạt Nguội", 'MTD Pivot'!$C:$C, $B49)</f>
        <v/>
      </c>
      <c r="D49" s="252">
        <f>SUMIFS('MTD Pivot'!E:E, 'MTD Pivot'!$A:$A, "Phạt Nguội", 'MTD Pivot'!$C:$C, $B49)</f>
        <v/>
      </c>
      <c r="E49" s="252">
        <f>SUMIFS('MTD Pivot'!F:F, 'MTD Pivot'!$A:$A, "Phạt Nguội", 'MTD Pivot'!$C:$C, $B49)</f>
        <v/>
      </c>
      <c r="F49" s="252">
        <f>SUMIFS('MTD Pivot'!G:G, 'MTD Pivot'!$A:$A, "Phạt Nguội", 'MTD Pivot'!$C:$C, $B49)</f>
        <v/>
      </c>
      <c r="G49" s="252">
        <f>SUMIFS('MTD Pivot'!H:H, 'MTD Pivot'!$A:$A, "Phạt Nguội", 'MTD Pivot'!$C:$C, $B49)</f>
        <v/>
      </c>
      <c r="H49" s="252">
        <f>SUMIFS('MTD Pivot'!I:I, 'MTD Pivot'!$A:$A, "Phạt Nguội", 'MTD Pivot'!$C:$C, $B49)</f>
        <v/>
      </c>
      <c r="I49" s="252">
        <f>H49-G49</f>
        <v/>
      </c>
      <c r="J49" s="257" t="inlineStr"/>
      <c r="K49" s="252">
        <f>SUMIFS('Full month Pivot'!D:D, 'Full month Pivot'!$A:$A, "Phạt Nguội", 'Full month Pivot'!$C:$C, $B49)</f>
        <v/>
      </c>
      <c r="L49" s="252">
        <f>SUMIFS('Full month Pivot'!E:E, 'Full month Pivot'!$A:$A, "Phạt Nguội", 'Full month Pivot'!$C:$C, $B49)</f>
        <v/>
      </c>
      <c r="M49" s="252">
        <f>SUMIFS('Full month Pivot'!F:F, 'Full month Pivot'!$A:$A, "Phạt Nguội", 'Full month Pivot'!$C:$C, $B49)</f>
        <v/>
      </c>
      <c r="N49" s="252">
        <f>SUMIFS('Full month Pivot'!G:G, 'Full month Pivot'!$A:$A, "Phạt Nguội", 'Full month Pivot'!$C:$C, $B49)</f>
        <v/>
      </c>
      <c r="O49" s="252">
        <f>SUMIFS('Full month Pivot'!H:H, 'Full month Pivot'!$A:$A, "Phạt Nguội", 'Full month Pivot'!$C:$C, $B49)</f>
        <v/>
      </c>
      <c r="P49" s="252">
        <f>SUMIFS('Full month Pivot'!I:I, 'Full month Pivot'!$A:$A, "Phạt Nguội", 'Full month Pivot'!$C:$C, $B49)</f>
        <v/>
      </c>
      <c r="Q49" s="252">
        <f>P49-O49</f>
        <v/>
      </c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257" t="inlineStr"/>
      <c r="B50" s="257" t="inlineStr">
        <is>
          <t>Direct</t>
        </is>
      </c>
      <c r="C50" s="252">
        <f>SUMIFS('MTD Pivot'!D:D, 'MTD Pivot'!$A:$A, "Phạt Nguội", 'MTD Pivot'!$C:$C, $B50)</f>
        <v/>
      </c>
      <c r="D50" s="252">
        <f>SUMIFS('MTD Pivot'!E:E, 'MTD Pivot'!$A:$A, "Phạt Nguội", 'MTD Pivot'!$C:$C, $B50)</f>
        <v/>
      </c>
      <c r="E50" s="252">
        <f>SUMIFS('MTD Pivot'!F:F, 'MTD Pivot'!$A:$A, "Phạt Nguội", 'MTD Pivot'!$C:$C, $B50)</f>
        <v/>
      </c>
      <c r="F50" s="252">
        <f>SUMIFS('MTD Pivot'!G:G, 'MTD Pivot'!$A:$A, "Phạt Nguội", 'MTD Pivot'!$C:$C, $B50)</f>
        <v/>
      </c>
      <c r="G50" s="252">
        <f>SUMIFS('MTD Pivot'!H:H, 'MTD Pivot'!$A:$A, "Phạt Nguội", 'MTD Pivot'!$C:$C, $B50)</f>
        <v/>
      </c>
      <c r="H50" s="252">
        <f>SUMIFS('MTD Pivot'!I:I, 'MTD Pivot'!$A:$A, "Phạt Nguội", 'MTD Pivot'!$C:$C, $B50)</f>
        <v/>
      </c>
      <c r="I50" s="252">
        <f>H50-G50</f>
        <v/>
      </c>
      <c r="J50" s="257" t="inlineStr"/>
      <c r="K50" s="252">
        <f>SUMIFS('Full month Pivot'!D:D, 'Full month Pivot'!$A:$A, "Phạt Nguội", 'Full month Pivot'!$C:$C, $B50)</f>
        <v/>
      </c>
      <c r="L50" s="252">
        <f>SUMIFS('Full month Pivot'!E:E, 'Full month Pivot'!$A:$A, "Phạt Nguội", 'Full month Pivot'!$C:$C, $B50)</f>
        <v/>
      </c>
      <c r="M50" s="252">
        <f>SUMIFS('Full month Pivot'!F:F, 'Full month Pivot'!$A:$A, "Phạt Nguội", 'Full month Pivot'!$C:$C, $B50)</f>
        <v/>
      </c>
      <c r="N50" s="252">
        <f>SUMIFS('Full month Pivot'!G:G, 'Full month Pivot'!$A:$A, "Phạt Nguội", 'Full month Pivot'!$C:$C, $B50)</f>
        <v/>
      </c>
      <c r="O50" s="252">
        <f>SUMIFS('Full month Pivot'!H:H, 'Full month Pivot'!$A:$A, "Phạt Nguội", 'Full month Pivot'!$C:$C, $B50)</f>
        <v/>
      </c>
      <c r="P50" s="252">
        <f>SUMIFS('Full month Pivot'!I:I, 'Full month Pivot'!$A:$A, "Phạt Nguội", 'Full month Pivot'!$C:$C, $B50)</f>
        <v/>
      </c>
      <c r="Q50" s="252">
        <f>P50-O50</f>
        <v/>
      </c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257" t="inlineStr"/>
      <c r="B51" s="257" t="inlineStr">
        <is>
          <t>Organic</t>
        </is>
      </c>
      <c r="C51" s="252">
        <f>SUMIFS('MTD Pivot'!D:D, 'MTD Pivot'!$A:$A, "Phạt Nguội", 'MTD Pivot'!$C:$C, $B51)</f>
        <v/>
      </c>
      <c r="D51" s="252">
        <f>SUMIFS('MTD Pivot'!E:E, 'MTD Pivot'!$A:$A, "Phạt Nguội", 'MTD Pivot'!$C:$C, $B51)</f>
        <v/>
      </c>
      <c r="E51" s="252">
        <f>SUMIFS('MTD Pivot'!F:F, 'MTD Pivot'!$A:$A, "Phạt Nguội", 'MTD Pivot'!$C:$C, $B51)</f>
        <v/>
      </c>
      <c r="F51" s="252">
        <f>SUMIFS('MTD Pivot'!G:G, 'MTD Pivot'!$A:$A, "Phạt Nguội", 'MTD Pivot'!$C:$C, $B51)</f>
        <v/>
      </c>
      <c r="G51" s="252">
        <f>SUMIFS('MTD Pivot'!H:H, 'MTD Pivot'!$A:$A, "Phạt Nguội", 'MTD Pivot'!$C:$C, $B51)</f>
        <v/>
      </c>
      <c r="H51" s="252">
        <f>SUMIFS('MTD Pivot'!I:I, 'MTD Pivot'!$A:$A, "Phạt Nguội", 'MTD Pivot'!$C:$C, $B51)</f>
        <v/>
      </c>
      <c r="I51" s="252">
        <f>H51-G51</f>
        <v/>
      </c>
      <c r="J51" s="257" t="inlineStr"/>
      <c r="K51" s="252">
        <f>SUMIFS('Full month Pivot'!D:D, 'Full month Pivot'!$A:$A, "Phạt Nguội", 'Full month Pivot'!$C:$C, $B51)</f>
        <v/>
      </c>
      <c r="L51" s="252">
        <f>SUMIFS('Full month Pivot'!E:E, 'Full month Pivot'!$A:$A, "Phạt Nguội", 'Full month Pivot'!$C:$C, $B51)</f>
        <v/>
      </c>
      <c r="M51" s="252">
        <f>SUMIFS('Full month Pivot'!F:F, 'Full month Pivot'!$A:$A, "Phạt Nguội", 'Full month Pivot'!$C:$C, $B51)</f>
        <v/>
      </c>
      <c r="N51" s="252">
        <f>SUMIFS('Full month Pivot'!G:G, 'Full month Pivot'!$A:$A, "Phạt Nguội", 'Full month Pivot'!$C:$C, $B51)</f>
        <v/>
      </c>
      <c r="O51" s="252">
        <f>SUMIFS('Full month Pivot'!H:H, 'Full month Pivot'!$A:$A, "Phạt Nguội", 'Full month Pivot'!$C:$C, $B51)</f>
        <v/>
      </c>
      <c r="P51" s="252">
        <f>SUMIFS('Full month Pivot'!I:I, 'Full month Pivot'!$A:$A, "Phạt Nguội", 'Full month Pivot'!$C:$C, $B51)</f>
        <v/>
      </c>
      <c r="Q51" s="252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257" t="inlineStr"/>
      <c r="B52" s="257" t="inlineStr">
        <is>
          <t>Others</t>
        </is>
      </c>
      <c r="C52" s="252">
        <f>SUMIFS('MTD Pivot'!D:D, 'MTD Pivot'!$A:$A, "Phạt Nguội", 'MTD Pivot'!$C:$C, $B52)</f>
        <v/>
      </c>
      <c r="D52" s="252">
        <f>SUMIFS('MTD Pivot'!E:E, 'MTD Pivot'!$A:$A, "Phạt Nguội", 'MTD Pivot'!$C:$C, $B52)</f>
        <v/>
      </c>
      <c r="E52" s="252">
        <f>SUMIFS('MTD Pivot'!F:F, 'MTD Pivot'!$A:$A, "Phạt Nguội", 'MTD Pivot'!$C:$C, $B52)</f>
        <v/>
      </c>
      <c r="F52" s="252">
        <f>SUMIFS('MTD Pivot'!G:G, 'MTD Pivot'!$A:$A, "Phạt Nguội", 'MTD Pivot'!$C:$C, $B52)</f>
        <v/>
      </c>
      <c r="G52" s="252">
        <f>SUMIFS('MTD Pivot'!H:H, 'MTD Pivot'!$A:$A, "Phạt Nguội", 'MTD Pivot'!$C:$C, $B52)</f>
        <v/>
      </c>
      <c r="H52" s="252">
        <f>SUMIFS('MTD Pivot'!I:I, 'MTD Pivot'!$A:$A, "Phạt Nguội", 'MTD Pivot'!$C:$C, $B52)</f>
        <v/>
      </c>
      <c r="I52" s="252">
        <f>H52-G52</f>
        <v/>
      </c>
      <c r="J52" s="257" t="inlineStr"/>
      <c r="K52" s="252">
        <f>SUMIFS('Full month Pivot'!D:D, 'Full month Pivot'!$A:$A, "Phạt Nguội", 'Full month Pivot'!$C:$C, $B52)</f>
        <v/>
      </c>
      <c r="L52" s="252">
        <f>SUMIFS('Full month Pivot'!E:E, 'Full month Pivot'!$A:$A, "Phạt Nguội", 'Full month Pivot'!$C:$C, $B52)</f>
        <v/>
      </c>
      <c r="M52" s="252">
        <f>SUMIFS('Full month Pivot'!F:F, 'Full month Pivot'!$A:$A, "Phạt Nguội", 'Full month Pivot'!$C:$C, $B52)</f>
        <v/>
      </c>
      <c r="N52" s="252">
        <f>SUMIFS('Full month Pivot'!G:G, 'Full month Pivot'!$A:$A, "Phạt Nguội", 'Full month Pivot'!$C:$C, $B52)</f>
        <v/>
      </c>
      <c r="O52" s="252">
        <f>SUMIFS('Full month Pivot'!H:H, 'Full month Pivot'!$A:$A, "Phạt Nguội", 'Full month Pivot'!$C:$C, $B52)</f>
        <v/>
      </c>
      <c r="P52" s="252">
        <f>SUMIFS('Full month Pivot'!I:I, 'Full month Pivot'!$A:$A, "Phạt Nguội", 'Full month Pivot'!$C:$C, $B52)</f>
        <v/>
      </c>
      <c r="Q52" s="252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257" t="inlineStr"/>
      <c r="B53" s="257" t="inlineStr">
        <is>
          <t>Referral</t>
        </is>
      </c>
      <c r="C53" s="252">
        <f>SUMIFS('MTD Pivot'!D:D, 'MTD Pivot'!$A:$A, "Phạt Nguội", 'MTD Pivot'!$C:$C, $B53)</f>
        <v/>
      </c>
      <c r="D53" s="252">
        <f>SUMIFS('MTD Pivot'!E:E, 'MTD Pivot'!$A:$A, "Phạt Nguội", 'MTD Pivot'!$C:$C, $B53)</f>
        <v/>
      </c>
      <c r="E53" s="252">
        <f>SUMIFS('MTD Pivot'!F:F, 'MTD Pivot'!$A:$A, "Phạt Nguội", 'MTD Pivot'!$C:$C, $B53)</f>
        <v/>
      </c>
      <c r="F53" s="252">
        <f>SUMIFS('MTD Pivot'!G:G, 'MTD Pivot'!$A:$A, "Phạt Nguội", 'MTD Pivot'!$C:$C, $B53)</f>
        <v/>
      </c>
      <c r="G53" s="252">
        <f>SUMIFS('MTD Pivot'!H:H, 'MTD Pivot'!$A:$A, "Phạt Nguội", 'MTD Pivot'!$C:$C, $B53)</f>
        <v/>
      </c>
      <c r="H53" s="252">
        <f>SUMIFS('MTD Pivot'!I:I, 'MTD Pivot'!$A:$A, "Phạt Nguội", 'MTD Pivot'!$C:$C, $B53)</f>
        <v/>
      </c>
      <c r="I53" s="252">
        <f>H53-G53</f>
        <v/>
      </c>
      <c r="J53" s="257" t="inlineStr"/>
      <c r="K53" s="252">
        <f>SUMIFS('Full month Pivot'!D:D, 'Full month Pivot'!$A:$A, "Phạt Nguội", 'Full month Pivot'!$C:$C, $B53)</f>
        <v/>
      </c>
      <c r="L53" s="252">
        <f>SUMIFS('Full month Pivot'!E:E, 'Full month Pivot'!$A:$A, "Phạt Nguội", 'Full month Pivot'!$C:$C, $B53)</f>
        <v/>
      </c>
      <c r="M53" s="252">
        <f>SUMIFS('Full month Pivot'!F:F, 'Full month Pivot'!$A:$A, "Phạt Nguội", 'Full month Pivot'!$C:$C, $B53)</f>
        <v/>
      </c>
      <c r="N53" s="252">
        <f>SUMIFS('Full month Pivot'!G:G, 'Full month Pivot'!$A:$A, "Phạt Nguội", 'Full month Pivot'!$C:$C, $B53)</f>
        <v/>
      </c>
      <c r="O53" s="252">
        <f>SUMIFS('Full month Pivot'!H:H, 'Full month Pivot'!$A:$A, "Phạt Nguội", 'Full month Pivot'!$C:$C, $B53)</f>
        <v/>
      </c>
      <c r="P53" s="252">
        <f>SUMIFS('Full month Pivot'!I:I, 'Full month Pivot'!$A:$A, "Phạt Nguội", 'Full month Pivot'!$C:$C, $B53)</f>
        <v/>
      </c>
      <c r="Q53" s="252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256" t="inlineStr">
        <is>
          <t>Bảo Hiểm Ô Tô</t>
        </is>
      </c>
      <c r="B55" s="257" t="inlineStr"/>
      <c r="C55" s="251">
        <f>sum(C56:C60)</f>
        <v/>
      </c>
      <c r="D55" s="251">
        <f>sum(D56:D60)</f>
        <v/>
      </c>
      <c r="E55" s="251">
        <f>sum(E56:E60)</f>
        <v/>
      </c>
      <c r="F55" s="251">
        <f>sum(F56:F60)</f>
        <v/>
      </c>
      <c r="G55" s="251">
        <f>sum(G56:G60)</f>
        <v/>
      </c>
      <c r="H55" s="251">
        <f>sum(H56:H60)</f>
        <v/>
      </c>
      <c r="I55" s="251">
        <f>H55-G55</f>
        <v/>
      </c>
      <c r="J55" s="257" t="inlineStr"/>
      <c r="K55" s="251">
        <f>sum(K56:K60)</f>
        <v/>
      </c>
      <c r="L55" s="251">
        <f>sum(L56:L60)</f>
        <v/>
      </c>
      <c r="M55" s="251">
        <f>sum(M56:M60)</f>
        <v/>
      </c>
      <c r="N55" s="251">
        <f>sum(N56:N60)</f>
        <v/>
      </c>
      <c r="O55" s="251">
        <f>sum(O56:O60)</f>
        <v/>
      </c>
      <c r="P55" s="251">
        <f>sum(P56:P60)</f>
        <v/>
      </c>
      <c r="Q55" s="251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257" t="inlineStr"/>
      <c r="B56" s="257" t="inlineStr">
        <is>
          <t>Organic</t>
        </is>
      </c>
      <c r="C56" s="252">
        <f>SUMIFS('MTD Pivot'!D:D, 'MTD Pivot'!$A:$A, "Bảo Hiểm Ô Tô", 'MTD Pivot'!$C:$C, $B56)</f>
        <v/>
      </c>
      <c r="D56" s="252">
        <f>SUMIFS('MTD Pivot'!E:E, 'MTD Pivot'!$A:$A, "Bảo Hiểm Ô Tô", 'MTD Pivot'!$C:$C, $B56)</f>
        <v/>
      </c>
      <c r="E56" s="252">
        <f>SUMIFS('MTD Pivot'!F:F, 'MTD Pivot'!$A:$A, "Bảo Hiểm Ô Tô", 'MTD Pivot'!$C:$C, $B56)</f>
        <v/>
      </c>
      <c r="F56" s="252">
        <f>SUMIFS('MTD Pivot'!G:G, 'MTD Pivot'!$A:$A, "Bảo Hiểm Ô Tô", 'MTD Pivot'!$C:$C, $B56)</f>
        <v/>
      </c>
      <c r="G56" s="252">
        <f>SUMIFS('MTD Pivot'!H:H, 'MTD Pivot'!$A:$A, "Bảo Hiểm Ô Tô", 'MTD Pivot'!$C:$C, $B56)</f>
        <v/>
      </c>
      <c r="H56" s="252">
        <f>SUMIFS('MTD Pivot'!I:I, 'MTD Pivot'!$A:$A, "Bảo Hiểm Ô Tô", 'MTD Pivot'!$C:$C, $B56)</f>
        <v/>
      </c>
      <c r="I56" s="252">
        <f>H56-G56</f>
        <v/>
      </c>
      <c r="J56" s="257" t="inlineStr"/>
      <c r="K56" s="252">
        <f>SUMIFS('Full month Pivot'!D:D, 'Full month Pivot'!$A:$A, "Bảo Hiểm Ô Tô", 'Full month Pivot'!$C:$C, $B56)</f>
        <v/>
      </c>
      <c r="L56" s="252">
        <f>SUMIFS('Full month Pivot'!E:E, 'Full month Pivot'!$A:$A, "Bảo Hiểm Ô Tô", 'Full month Pivot'!$C:$C, $B56)</f>
        <v/>
      </c>
      <c r="M56" s="252">
        <f>SUMIFS('Full month Pivot'!F:F, 'Full month Pivot'!$A:$A, "Bảo Hiểm Ô Tô", 'Full month Pivot'!$C:$C, $B56)</f>
        <v/>
      </c>
      <c r="N56" s="252">
        <f>SUMIFS('Full month Pivot'!G:G, 'Full month Pivot'!$A:$A, "Bảo Hiểm Ô Tô", 'Full month Pivot'!$C:$C, $B56)</f>
        <v/>
      </c>
      <c r="O56" s="252">
        <f>SUMIFS('Full month Pivot'!H:H, 'Full month Pivot'!$A:$A, "Bảo Hiểm Ô Tô", 'Full month Pivot'!$C:$C, $B56)</f>
        <v/>
      </c>
      <c r="P56" s="252">
        <f>SUMIFS('Full month Pivot'!I:I, 'Full month Pivot'!$A:$A, "Bảo Hiểm Ô Tô", 'Full month Pivot'!$C:$C, $B56)</f>
        <v/>
      </c>
      <c r="Q56" s="252">
        <f>P56-O56</f>
        <v/>
      </c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257" t="inlineStr"/>
      <c r="B57" s="257" t="inlineStr">
        <is>
          <t>Direct</t>
        </is>
      </c>
      <c r="C57" s="252">
        <f>SUMIFS('MTD Pivot'!D:D, 'MTD Pivot'!$A:$A, "Bảo Hiểm Ô Tô", 'MTD Pivot'!$C:$C, $B57)</f>
        <v/>
      </c>
      <c r="D57" s="252">
        <f>SUMIFS('MTD Pivot'!E:E, 'MTD Pivot'!$A:$A, "Bảo Hiểm Ô Tô", 'MTD Pivot'!$C:$C, $B57)</f>
        <v/>
      </c>
      <c r="E57" s="252">
        <f>SUMIFS('MTD Pivot'!F:F, 'MTD Pivot'!$A:$A, "Bảo Hiểm Ô Tô", 'MTD Pivot'!$C:$C, $B57)</f>
        <v/>
      </c>
      <c r="F57" s="252">
        <f>SUMIFS('MTD Pivot'!G:G, 'MTD Pivot'!$A:$A, "Bảo Hiểm Ô Tô", 'MTD Pivot'!$C:$C, $B57)</f>
        <v/>
      </c>
      <c r="G57" s="252">
        <f>SUMIFS('MTD Pivot'!H:H, 'MTD Pivot'!$A:$A, "Bảo Hiểm Ô Tô", 'MTD Pivot'!$C:$C, $B57)</f>
        <v/>
      </c>
      <c r="H57" s="252">
        <f>SUMIFS('MTD Pivot'!I:I, 'MTD Pivot'!$A:$A, "Bảo Hiểm Ô Tô", 'MTD Pivot'!$C:$C, $B57)</f>
        <v/>
      </c>
      <c r="I57" s="252">
        <f>H57-G57</f>
        <v/>
      </c>
      <c r="J57" s="257" t="inlineStr"/>
      <c r="K57" s="252">
        <f>SUMIFS('Full month Pivot'!D:D, 'Full month Pivot'!$A:$A, "Bảo Hiểm Ô Tô", 'Full month Pivot'!$C:$C, $B57)</f>
        <v/>
      </c>
      <c r="L57" s="252">
        <f>SUMIFS('Full month Pivot'!E:E, 'Full month Pivot'!$A:$A, "Bảo Hiểm Ô Tô", 'Full month Pivot'!$C:$C, $B57)</f>
        <v/>
      </c>
      <c r="M57" s="252">
        <f>SUMIFS('Full month Pivot'!F:F, 'Full month Pivot'!$A:$A, "Bảo Hiểm Ô Tô", 'Full month Pivot'!$C:$C, $B57)</f>
        <v/>
      </c>
      <c r="N57" s="252">
        <f>SUMIFS('Full month Pivot'!G:G, 'Full month Pivot'!$A:$A, "Bảo Hiểm Ô Tô", 'Full month Pivot'!$C:$C, $B57)</f>
        <v/>
      </c>
      <c r="O57" s="252">
        <f>SUMIFS('Full month Pivot'!H:H, 'Full month Pivot'!$A:$A, "Bảo Hiểm Ô Tô", 'Full month Pivot'!$C:$C, $B57)</f>
        <v/>
      </c>
      <c r="P57" s="252">
        <f>SUMIFS('Full month Pivot'!I:I, 'Full month Pivot'!$A:$A, "Bảo Hiểm Ô Tô", 'Full month Pivot'!$C:$C, $B57)</f>
        <v/>
      </c>
      <c r="Q57" s="252">
        <f>P57-O57</f>
        <v/>
      </c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257" t="inlineStr"/>
      <c r="B58" s="257" t="inlineStr">
        <is>
          <t>Referral</t>
        </is>
      </c>
      <c r="C58" s="252">
        <f>SUMIFS('MTD Pivot'!D:D, 'MTD Pivot'!$A:$A, "Bảo Hiểm Ô Tô", 'MTD Pivot'!$C:$C, $B58)</f>
        <v/>
      </c>
      <c r="D58" s="252">
        <f>SUMIFS('MTD Pivot'!E:E, 'MTD Pivot'!$A:$A, "Bảo Hiểm Ô Tô", 'MTD Pivot'!$C:$C, $B58)</f>
        <v/>
      </c>
      <c r="E58" s="252">
        <f>SUMIFS('MTD Pivot'!F:F, 'MTD Pivot'!$A:$A, "Bảo Hiểm Ô Tô", 'MTD Pivot'!$C:$C, $B58)</f>
        <v/>
      </c>
      <c r="F58" s="252">
        <f>SUMIFS('MTD Pivot'!G:G, 'MTD Pivot'!$A:$A, "Bảo Hiểm Ô Tô", 'MTD Pivot'!$C:$C, $B58)</f>
        <v/>
      </c>
      <c r="G58" s="252">
        <f>SUMIFS('MTD Pivot'!H:H, 'MTD Pivot'!$A:$A, "Bảo Hiểm Ô Tô", 'MTD Pivot'!$C:$C, $B58)</f>
        <v/>
      </c>
      <c r="H58" s="252">
        <f>SUMIFS('MTD Pivot'!I:I, 'MTD Pivot'!$A:$A, "Bảo Hiểm Ô Tô", 'MTD Pivot'!$C:$C, $B58)</f>
        <v/>
      </c>
      <c r="I58" s="252">
        <f>H58-G58</f>
        <v/>
      </c>
      <c r="J58" s="257" t="inlineStr"/>
      <c r="K58" s="252">
        <f>SUMIFS('Full month Pivot'!D:D, 'Full month Pivot'!$A:$A, "Bảo Hiểm Ô Tô", 'Full month Pivot'!$C:$C, $B58)</f>
        <v/>
      </c>
      <c r="L58" s="252">
        <f>SUMIFS('Full month Pivot'!E:E, 'Full month Pivot'!$A:$A, "Bảo Hiểm Ô Tô", 'Full month Pivot'!$C:$C, $B58)</f>
        <v/>
      </c>
      <c r="M58" s="252">
        <f>SUMIFS('Full month Pivot'!F:F, 'Full month Pivot'!$A:$A, "Bảo Hiểm Ô Tô", 'Full month Pivot'!$C:$C, $B58)</f>
        <v/>
      </c>
      <c r="N58" s="252">
        <f>SUMIFS('Full month Pivot'!G:G, 'Full month Pivot'!$A:$A, "Bảo Hiểm Ô Tô", 'Full month Pivot'!$C:$C, $B58)</f>
        <v/>
      </c>
      <c r="O58" s="252">
        <f>SUMIFS('Full month Pivot'!H:H, 'Full month Pivot'!$A:$A, "Bảo Hiểm Ô Tô", 'Full month Pivot'!$C:$C, $B58)</f>
        <v/>
      </c>
      <c r="P58" s="252">
        <f>SUMIFS('Full month Pivot'!I:I, 'Full month Pivot'!$A:$A, "Bảo Hiểm Ô Tô", 'Full month Pivot'!$C:$C, $B58)</f>
        <v/>
      </c>
      <c r="Q58" s="252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257" t="inlineStr"/>
      <c r="B59" s="257" t="inlineStr">
        <is>
          <t>Paid</t>
        </is>
      </c>
      <c r="C59" s="252">
        <f>SUMIFS('MTD Pivot'!D:D, 'MTD Pivot'!$A:$A, "Bảo Hiểm Ô Tô", 'MTD Pivot'!$C:$C, $B59)</f>
        <v/>
      </c>
      <c r="D59" s="252">
        <f>SUMIFS('MTD Pivot'!E:E, 'MTD Pivot'!$A:$A, "Bảo Hiểm Ô Tô", 'MTD Pivot'!$C:$C, $B59)</f>
        <v/>
      </c>
      <c r="E59" s="252">
        <f>SUMIFS('MTD Pivot'!F:F, 'MTD Pivot'!$A:$A, "Bảo Hiểm Ô Tô", 'MTD Pivot'!$C:$C, $B59)</f>
        <v/>
      </c>
      <c r="F59" s="252">
        <f>SUMIFS('MTD Pivot'!G:G, 'MTD Pivot'!$A:$A, "Bảo Hiểm Ô Tô", 'MTD Pivot'!$C:$C, $B59)</f>
        <v/>
      </c>
      <c r="G59" s="252">
        <f>SUMIFS('MTD Pivot'!H:H, 'MTD Pivot'!$A:$A, "Bảo Hiểm Ô Tô", 'MTD Pivot'!$C:$C, $B59)</f>
        <v/>
      </c>
      <c r="H59" s="252">
        <f>SUMIFS('MTD Pivot'!I:I, 'MTD Pivot'!$A:$A, "Bảo Hiểm Ô Tô", 'MTD Pivot'!$C:$C, $B59)</f>
        <v/>
      </c>
      <c r="I59" s="252">
        <f>H59-G59</f>
        <v/>
      </c>
      <c r="J59" s="257" t="inlineStr"/>
      <c r="K59" s="252">
        <f>SUMIFS('Full month Pivot'!D:D, 'Full month Pivot'!$A:$A, "Bảo Hiểm Ô Tô", 'Full month Pivot'!$C:$C, $B59)</f>
        <v/>
      </c>
      <c r="L59" s="252">
        <f>SUMIFS('Full month Pivot'!E:E, 'Full month Pivot'!$A:$A, "Bảo Hiểm Ô Tô", 'Full month Pivot'!$C:$C, $B59)</f>
        <v/>
      </c>
      <c r="M59" s="252">
        <f>SUMIFS('Full month Pivot'!F:F, 'Full month Pivot'!$A:$A, "Bảo Hiểm Ô Tô", 'Full month Pivot'!$C:$C, $B59)</f>
        <v/>
      </c>
      <c r="N59" s="252">
        <f>SUMIFS('Full month Pivot'!G:G, 'Full month Pivot'!$A:$A, "Bảo Hiểm Ô Tô", 'Full month Pivot'!$C:$C, $B59)</f>
        <v/>
      </c>
      <c r="O59" s="252">
        <f>SUMIFS('Full month Pivot'!H:H, 'Full month Pivot'!$A:$A, "Bảo Hiểm Ô Tô", 'Full month Pivot'!$C:$C, $B59)</f>
        <v/>
      </c>
      <c r="P59" s="252">
        <f>SUMIFS('Full month Pivot'!I:I, 'Full month Pivot'!$A:$A, "Bảo Hiểm Ô Tô", 'Full month Pivot'!$C:$C, $B59)</f>
        <v/>
      </c>
      <c r="Q59" s="252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257" t="inlineStr"/>
      <c r="B60" s="257" t="inlineStr">
        <is>
          <t>Others</t>
        </is>
      </c>
      <c r="C60" s="252">
        <f>SUMIFS('MTD Pivot'!D:D, 'MTD Pivot'!$A:$A, "Bảo Hiểm Ô Tô", 'MTD Pivot'!$C:$C, $B60)</f>
        <v/>
      </c>
      <c r="D60" s="252">
        <f>SUMIFS('MTD Pivot'!E:E, 'MTD Pivot'!$A:$A, "Bảo Hiểm Ô Tô", 'MTD Pivot'!$C:$C, $B60)</f>
        <v/>
      </c>
      <c r="E60" s="252">
        <f>SUMIFS('MTD Pivot'!F:F, 'MTD Pivot'!$A:$A, "Bảo Hiểm Ô Tô", 'MTD Pivot'!$C:$C, $B60)</f>
        <v/>
      </c>
      <c r="F60" s="252">
        <f>SUMIFS('MTD Pivot'!G:G, 'MTD Pivot'!$A:$A, "Bảo Hiểm Ô Tô", 'MTD Pivot'!$C:$C, $B60)</f>
        <v/>
      </c>
      <c r="G60" s="252">
        <f>SUMIFS('MTD Pivot'!H:H, 'MTD Pivot'!$A:$A, "Bảo Hiểm Ô Tô", 'MTD Pivot'!$C:$C, $B60)</f>
        <v/>
      </c>
      <c r="H60" s="252">
        <f>SUMIFS('MTD Pivot'!I:I, 'MTD Pivot'!$A:$A, "Bảo Hiểm Ô Tô", 'MTD Pivot'!$C:$C, $B60)</f>
        <v/>
      </c>
      <c r="I60" s="252">
        <f>H60-G60</f>
        <v/>
      </c>
      <c r="J60" s="257" t="inlineStr"/>
      <c r="K60" s="252">
        <f>SUMIFS('Full month Pivot'!D:D, 'Full month Pivot'!$A:$A, "Bảo Hiểm Ô Tô", 'Full month Pivot'!$C:$C, $B60)</f>
        <v/>
      </c>
      <c r="L60" s="252">
        <f>SUMIFS('Full month Pivot'!E:E, 'Full month Pivot'!$A:$A, "Bảo Hiểm Ô Tô", 'Full month Pivot'!$C:$C, $B60)</f>
        <v/>
      </c>
      <c r="M60" s="252">
        <f>SUMIFS('Full month Pivot'!F:F, 'Full month Pivot'!$A:$A, "Bảo Hiểm Ô Tô", 'Full month Pivot'!$C:$C, $B60)</f>
        <v/>
      </c>
      <c r="N60" s="252">
        <f>SUMIFS('Full month Pivot'!G:G, 'Full month Pivot'!$A:$A, "Bảo Hiểm Ô Tô", 'Full month Pivot'!$C:$C, $B60)</f>
        <v/>
      </c>
      <c r="O60" s="252">
        <f>SUMIFS('Full month Pivot'!H:H, 'Full month Pivot'!$A:$A, "Bảo Hiểm Ô Tô", 'Full month Pivot'!$C:$C, $B60)</f>
        <v/>
      </c>
      <c r="P60" s="252">
        <f>SUMIFS('Full month Pivot'!I:I, 'Full month Pivot'!$A:$A, "Bảo Hiểm Ô Tô", 'Full month Pivot'!$C:$C, $B60)</f>
        <v/>
      </c>
      <c r="Q60" s="252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256" t="inlineStr">
        <is>
          <t>Bảo Hiểm Xe Máy</t>
        </is>
      </c>
      <c r="B62" s="257" t="inlineStr"/>
      <c r="C62" s="251">
        <f>sum(C63:C67)</f>
        <v/>
      </c>
      <c r="D62" s="251">
        <f>sum(D63:D67)</f>
        <v/>
      </c>
      <c r="E62" s="251">
        <f>sum(E63:E67)</f>
        <v/>
      </c>
      <c r="F62" s="251">
        <f>sum(F63:F67)</f>
        <v/>
      </c>
      <c r="G62" s="251">
        <f>sum(G63:G67)</f>
        <v/>
      </c>
      <c r="H62" s="251">
        <f>sum(H63:H67)</f>
        <v/>
      </c>
      <c r="I62" s="251">
        <f>H62-G62</f>
        <v/>
      </c>
      <c r="J62" s="257" t="inlineStr"/>
      <c r="K62" s="251">
        <f>sum(K63:K67)</f>
        <v/>
      </c>
      <c r="L62" s="251">
        <f>sum(L63:L67)</f>
        <v/>
      </c>
      <c r="M62" s="251">
        <f>sum(M63:M67)</f>
        <v/>
      </c>
      <c r="N62" s="251">
        <f>sum(N63:N67)</f>
        <v/>
      </c>
      <c r="O62" s="251">
        <f>sum(O63:O67)</f>
        <v/>
      </c>
      <c r="P62" s="251">
        <f>sum(P63:P67)</f>
        <v/>
      </c>
      <c r="Q62" s="251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257" t="inlineStr"/>
      <c r="B63" s="257" t="inlineStr">
        <is>
          <t>Organic</t>
        </is>
      </c>
      <c r="C63" s="252">
        <f>SUMIFS('MTD Pivot'!D:D, 'MTD Pivot'!$A:$A, "Bảo Hiểm Xe Máy", 'MTD Pivot'!$C:$C, $B63)</f>
        <v/>
      </c>
      <c r="D63" s="252">
        <f>SUMIFS('MTD Pivot'!E:E, 'MTD Pivot'!$A:$A, "Bảo Hiểm Xe Máy", 'MTD Pivot'!$C:$C, $B63)</f>
        <v/>
      </c>
      <c r="E63" s="252">
        <f>SUMIFS('MTD Pivot'!F:F, 'MTD Pivot'!$A:$A, "Bảo Hiểm Xe Máy", 'MTD Pivot'!$C:$C, $B63)</f>
        <v/>
      </c>
      <c r="F63" s="252">
        <f>SUMIFS('MTD Pivot'!G:G, 'MTD Pivot'!$A:$A, "Bảo Hiểm Xe Máy", 'MTD Pivot'!$C:$C, $B63)</f>
        <v/>
      </c>
      <c r="G63" s="252">
        <f>SUMIFS('MTD Pivot'!H:H, 'MTD Pivot'!$A:$A, "Bảo Hiểm Xe Máy", 'MTD Pivot'!$C:$C, $B63)</f>
        <v/>
      </c>
      <c r="H63" s="252">
        <f>SUMIFS('MTD Pivot'!I:I, 'MTD Pivot'!$A:$A, "Bảo Hiểm Xe Máy", 'MTD Pivot'!$C:$C, $B63)</f>
        <v/>
      </c>
      <c r="I63" s="252">
        <f>H63-G63</f>
        <v/>
      </c>
      <c r="J63" s="257" t="inlineStr"/>
      <c r="K63" s="252">
        <f>SUMIFS('Full month Pivot'!D:D, 'Full month Pivot'!$A:$A, "Bảo Hiểm Xe Máy", 'Full month Pivot'!$C:$C, $B63)</f>
        <v/>
      </c>
      <c r="L63" s="252">
        <f>SUMIFS('Full month Pivot'!E:E, 'Full month Pivot'!$A:$A, "Bảo Hiểm Xe Máy", 'Full month Pivot'!$C:$C, $B63)</f>
        <v/>
      </c>
      <c r="M63" s="252">
        <f>SUMIFS('Full month Pivot'!F:F, 'Full month Pivot'!$A:$A, "Bảo Hiểm Xe Máy", 'Full month Pivot'!$C:$C, $B63)</f>
        <v/>
      </c>
      <c r="N63" s="252">
        <f>SUMIFS('Full month Pivot'!G:G, 'Full month Pivot'!$A:$A, "Bảo Hiểm Xe Máy", 'Full month Pivot'!$C:$C, $B63)</f>
        <v/>
      </c>
      <c r="O63" s="252">
        <f>SUMIFS('Full month Pivot'!H:H, 'Full month Pivot'!$A:$A, "Bảo Hiểm Xe Máy", 'Full month Pivot'!$C:$C, $B63)</f>
        <v/>
      </c>
      <c r="P63" s="252">
        <f>SUMIFS('Full month Pivot'!I:I, 'Full month Pivot'!$A:$A, "Bảo Hiểm Xe Máy", 'Full month Pivot'!$C:$C, $B63)</f>
        <v/>
      </c>
      <c r="Q63" s="252">
        <f>P63-O63</f>
        <v/>
      </c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257" t="inlineStr"/>
      <c r="B64" s="257" t="inlineStr">
        <is>
          <t>Direct</t>
        </is>
      </c>
      <c r="C64" s="252">
        <f>SUMIFS('MTD Pivot'!D:D, 'MTD Pivot'!$A:$A, "Bảo Hiểm Xe Máy", 'MTD Pivot'!$C:$C, $B64)</f>
        <v/>
      </c>
      <c r="D64" s="252">
        <f>SUMIFS('MTD Pivot'!E:E, 'MTD Pivot'!$A:$A, "Bảo Hiểm Xe Máy", 'MTD Pivot'!$C:$C, $B64)</f>
        <v/>
      </c>
      <c r="E64" s="252">
        <f>SUMIFS('MTD Pivot'!F:F, 'MTD Pivot'!$A:$A, "Bảo Hiểm Xe Máy", 'MTD Pivot'!$C:$C, $B64)</f>
        <v/>
      </c>
      <c r="F64" s="252">
        <f>SUMIFS('MTD Pivot'!G:G, 'MTD Pivot'!$A:$A, "Bảo Hiểm Xe Máy", 'MTD Pivot'!$C:$C, $B64)</f>
        <v/>
      </c>
      <c r="G64" s="252">
        <f>SUMIFS('MTD Pivot'!H:H, 'MTD Pivot'!$A:$A, "Bảo Hiểm Xe Máy", 'MTD Pivot'!$C:$C, $B64)</f>
        <v/>
      </c>
      <c r="H64" s="252">
        <f>SUMIFS('MTD Pivot'!I:I, 'MTD Pivot'!$A:$A, "Bảo Hiểm Xe Máy", 'MTD Pivot'!$C:$C, $B64)</f>
        <v/>
      </c>
      <c r="I64" s="252">
        <f>H64-G64</f>
        <v/>
      </c>
      <c r="J64" s="257" t="inlineStr"/>
      <c r="K64" s="252">
        <f>SUMIFS('Full month Pivot'!D:D, 'Full month Pivot'!$A:$A, "Bảo Hiểm Xe Máy", 'Full month Pivot'!$C:$C, $B64)</f>
        <v/>
      </c>
      <c r="L64" s="252">
        <f>SUMIFS('Full month Pivot'!E:E, 'Full month Pivot'!$A:$A, "Bảo Hiểm Xe Máy", 'Full month Pivot'!$C:$C, $B64)</f>
        <v/>
      </c>
      <c r="M64" s="252">
        <f>SUMIFS('Full month Pivot'!F:F, 'Full month Pivot'!$A:$A, "Bảo Hiểm Xe Máy", 'Full month Pivot'!$C:$C, $B64)</f>
        <v/>
      </c>
      <c r="N64" s="252">
        <f>SUMIFS('Full month Pivot'!G:G, 'Full month Pivot'!$A:$A, "Bảo Hiểm Xe Máy", 'Full month Pivot'!$C:$C, $B64)</f>
        <v/>
      </c>
      <c r="O64" s="252">
        <f>SUMIFS('Full month Pivot'!H:H, 'Full month Pivot'!$A:$A, "Bảo Hiểm Xe Máy", 'Full month Pivot'!$C:$C, $B64)</f>
        <v/>
      </c>
      <c r="P64" s="252">
        <f>SUMIFS('Full month Pivot'!I:I, 'Full month Pivot'!$A:$A, "Bảo Hiểm Xe Máy", 'Full month Pivot'!$C:$C, $B64)</f>
        <v/>
      </c>
      <c r="Q64" s="252">
        <f>P64-O64</f>
        <v/>
      </c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257" t="inlineStr"/>
      <c r="B65" s="257" t="inlineStr">
        <is>
          <t>Referral</t>
        </is>
      </c>
      <c r="C65" s="252">
        <f>SUMIFS('MTD Pivot'!D:D, 'MTD Pivot'!$A:$A, "Bảo Hiểm Xe Máy", 'MTD Pivot'!$C:$C, $B65)</f>
        <v/>
      </c>
      <c r="D65" s="252">
        <f>SUMIFS('MTD Pivot'!E:E, 'MTD Pivot'!$A:$A, "Bảo Hiểm Xe Máy", 'MTD Pivot'!$C:$C, $B65)</f>
        <v/>
      </c>
      <c r="E65" s="252">
        <f>SUMIFS('MTD Pivot'!F:F, 'MTD Pivot'!$A:$A, "Bảo Hiểm Xe Máy", 'MTD Pivot'!$C:$C, $B65)</f>
        <v/>
      </c>
      <c r="F65" s="252">
        <f>SUMIFS('MTD Pivot'!G:G, 'MTD Pivot'!$A:$A, "Bảo Hiểm Xe Máy", 'MTD Pivot'!$C:$C, $B65)</f>
        <v/>
      </c>
      <c r="G65" s="252">
        <f>SUMIFS('MTD Pivot'!H:H, 'MTD Pivot'!$A:$A, "Bảo Hiểm Xe Máy", 'MTD Pivot'!$C:$C, $B65)</f>
        <v/>
      </c>
      <c r="H65" s="252">
        <f>SUMIFS('MTD Pivot'!I:I, 'MTD Pivot'!$A:$A, "Bảo Hiểm Xe Máy", 'MTD Pivot'!$C:$C, $B65)</f>
        <v/>
      </c>
      <c r="I65" s="252">
        <f>H65-G65</f>
        <v/>
      </c>
      <c r="J65" s="257" t="inlineStr"/>
      <c r="K65" s="252">
        <f>SUMIFS('Full month Pivot'!D:D, 'Full month Pivot'!$A:$A, "Bảo Hiểm Xe Máy", 'Full month Pivot'!$C:$C, $B65)</f>
        <v/>
      </c>
      <c r="L65" s="252">
        <f>SUMIFS('Full month Pivot'!E:E, 'Full month Pivot'!$A:$A, "Bảo Hiểm Xe Máy", 'Full month Pivot'!$C:$C, $B65)</f>
        <v/>
      </c>
      <c r="M65" s="252">
        <f>SUMIFS('Full month Pivot'!F:F, 'Full month Pivot'!$A:$A, "Bảo Hiểm Xe Máy", 'Full month Pivot'!$C:$C, $B65)</f>
        <v/>
      </c>
      <c r="N65" s="252">
        <f>SUMIFS('Full month Pivot'!G:G, 'Full month Pivot'!$A:$A, "Bảo Hiểm Xe Máy", 'Full month Pivot'!$C:$C, $B65)</f>
        <v/>
      </c>
      <c r="O65" s="252">
        <f>SUMIFS('Full month Pivot'!H:H, 'Full month Pivot'!$A:$A, "Bảo Hiểm Xe Máy", 'Full month Pivot'!$C:$C, $B65)</f>
        <v/>
      </c>
      <c r="P65" s="252">
        <f>SUMIFS('Full month Pivot'!I:I, 'Full month Pivot'!$A:$A, "Bảo Hiểm Xe Máy", 'Full month Pivot'!$C:$C, $B65)</f>
        <v/>
      </c>
      <c r="Q65" s="252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257" t="inlineStr"/>
      <c r="B66" s="257" t="inlineStr">
        <is>
          <t>Paid</t>
        </is>
      </c>
      <c r="C66" s="252">
        <f>SUMIFS('MTD Pivot'!D:D, 'MTD Pivot'!$A:$A, "Bảo Hiểm Xe Máy", 'MTD Pivot'!$C:$C, $B66)</f>
        <v/>
      </c>
      <c r="D66" s="252">
        <f>SUMIFS('MTD Pivot'!E:E, 'MTD Pivot'!$A:$A, "Bảo Hiểm Xe Máy", 'MTD Pivot'!$C:$C, $B66)</f>
        <v/>
      </c>
      <c r="E66" s="252">
        <f>SUMIFS('MTD Pivot'!F:F, 'MTD Pivot'!$A:$A, "Bảo Hiểm Xe Máy", 'MTD Pivot'!$C:$C, $B66)</f>
        <v/>
      </c>
      <c r="F66" s="252">
        <f>SUMIFS('MTD Pivot'!G:G, 'MTD Pivot'!$A:$A, "Bảo Hiểm Xe Máy", 'MTD Pivot'!$C:$C, $B66)</f>
        <v/>
      </c>
      <c r="G66" s="252">
        <f>SUMIFS('MTD Pivot'!H:H, 'MTD Pivot'!$A:$A, "Bảo Hiểm Xe Máy", 'MTD Pivot'!$C:$C, $B66)</f>
        <v/>
      </c>
      <c r="H66" s="252">
        <f>SUMIFS('MTD Pivot'!I:I, 'MTD Pivot'!$A:$A, "Bảo Hiểm Xe Máy", 'MTD Pivot'!$C:$C, $B66)</f>
        <v/>
      </c>
      <c r="I66" s="252">
        <f>H66-G66</f>
        <v/>
      </c>
      <c r="J66" s="257" t="inlineStr"/>
      <c r="K66" s="252">
        <f>SUMIFS('Full month Pivot'!D:D, 'Full month Pivot'!$A:$A, "Bảo Hiểm Xe Máy", 'Full month Pivot'!$C:$C, $B66)</f>
        <v/>
      </c>
      <c r="L66" s="252">
        <f>SUMIFS('Full month Pivot'!E:E, 'Full month Pivot'!$A:$A, "Bảo Hiểm Xe Máy", 'Full month Pivot'!$C:$C, $B66)</f>
        <v/>
      </c>
      <c r="M66" s="252">
        <f>SUMIFS('Full month Pivot'!F:F, 'Full month Pivot'!$A:$A, "Bảo Hiểm Xe Máy", 'Full month Pivot'!$C:$C, $B66)</f>
        <v/>
      </c>
      <c r="N66" s="252">
        <f>SUMIFS('Full month Pivot'!G:G, 'Full month Pivot'!$A:$A, "Bảo Hiểm Xe Máy", 'Full month Pivot'!$C:$C, $B66)</f>
        <v/>
      </c>
      <c r="O66" s="252">
        <f>SUMIFS('Full month Pivot'!H:H, 'Full month Pivot'!$A:$A, "Bảo Hiểm Xe Máy", 'Full month Pivot'!$C:$C, $B66)</f>
        <v/>
      </c>
      <c r="P66" s="252">
        <f>SUMIFS('Full month Pivot'!I:I, 'Full month Pivot'!$A:$A, "Bảo Hiểm Xe Máy", 'Full month Pivot'!$C:$C, $B66)</f>
        <v/>
      </c>
      <c r="Q66" s="252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257" t="inlineStr"/>
      <c r="B67" s="257" t="inlineStr">
        <is>
          <t>Others</t>
        </is>
      </c>
      <c r="C67" s="252">
        <f>SUMIFS('MTD Pivot'!D:D, 'MTD Pivot'!$A:$A, "Bảo Hiểm Xe Máy", 'MTD Pivot'!$C:$C, $B67)</f>
        <v/>
      </c>
      <c r="D67" s="252">
        <f>SUMIFS('MTD Pivot'!E:E, 'MTD Pivot'!$A:$A, "Bảo Hiểm Xe Máy", 'MTD Pivot'!$C:$C, $B67)</f>
        <v/>
      </c>
      <c r="E67" s="252">
        <f>SUMIFS('MTD Pivot'!F:F, 'MTD Pivot'!$A:$A, "Bảo Hiểm Xe Máy", 'MTD Pivot'!$C:$C, $B67)</f>
        <v/>
      </c>
      <c r="F67" s="252">
        <f>SUMIFS('MTD Pivot'!G:G, 'MTD Pivot'!$A:$A, "Bảo Hiểm Xe Máy", 'MTD Pivot'!$C:$C, $B67)</f>
        <v/>
      </c>
      <c r="G67" s="252">
        <f>SUMIFS('MTD Pivot'!H:H, 'MTD Pivot'!$A:$A, "Bảo Hiểm Xe Máy", 'MTD Pivot'!$C:$C, $B67)</f>
        <v/>
      </c>
      <c r="H67" s="252">
        <f>SUMIFS('MTD Pivot'!I:I, 'MTD Pivot'!$A:$A, "Bảo Hiểm Xe Máy", 'MTD Pivot'!$C:$C, $B67)</f>
        <v/>
      </c>
      <c r="I67" s="252">
        <f>H67-G67</f>
        <v/>
      </c>
      <c r="J67" s="257" t="inlineStr"/>
      <c r="K67" s="252">
        <f>SUMIFS('Full month Pivot'!D:D, 'Full month Pivot'!$A:$A, "Bảo Hiểm Xe Máy", 'Full month Pivot'!$C:$C, $B67)</f>
        <v/>
      </c>
      <c r="L67" s="252">
        <f>SUMIFS('Full month Pivot'!E:E, 'Full month Pivot'!$A:$A, "Bảo Hiểm Xe Máy", 'Full month Pivot'!$C:$C, $B67)</f>
        <v/>
      </c>
      <c r="M67" s="252">
        <f>SUMIFS('Full month Pivot'!F:F, 'Full month Pivot'!$A:$A, "Bảo Hiểm Xe Máy", 'Full month Pivot'!$C:$C, $B67)</f>
        <v/>
      </c>
      <c r="N67" s="252">
        <f>SUMIFS('Full month Pivot'!G:G, 'Full month Pivot'!$A:$A, "Bảo Hiểm Xe Máy", 'Full month Pivot'!$C:$C, $B67)</f>
        <v/>
      </c>
      <c r="O67" s="252">
        <f>SUMIFS('Full month Pivot'!H:H, 'Full month Pivot'!$A:$A, "Bảo Hiểm Xe Máy", 'Full month Pivot'!$C:$C, $B67)</f>
        <v/>
      </c>
      <c r="P67" s="252">
        <f>SUMIFS('Full month Pivot'!I:I, 'Full month Pivot'!$A:$A, "Bảo Hiểm Xe Máy", 'Full month Pivot'!$C:$C, $B67)</f>
        <v/>
      </c>
      <c r="Q67" s="252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256" t="inlineStr">
        <is>
          <t>Phí Không Dừng</t>
        </is>
      </c>
      <c r="B69" s="257" t="inlineStr"/>
      <c r="C69" s="251">
        <f>sum(C70:C74)</f>
        <v/>
      </c>
      <c r="D69" s="251">
        <f>sum(D70:D74)</f>
        <v/>
      </c>
      <c r="E69" s="251">
        <f>sum(E70:E74)</f>
        <v/>
      </c>
      <c r="F69" s="251">
        <f>sum(F70:F74)</f>
        <v/>
      </c>
      <c r="G69" s="251">
        <f>sum(G70:G74)</f>
        <v/>
      </c>
      <c r="H69" s="251">
        <f>sum(H70:H74)</f>
        <v/>
      </c>
      <c r="I69" s="251">
        <f>H69-G69</f>
        <v/>
      </c>
      <c r="J69" s="257" t="inlineStr"/>
      <c r="K69" s="251">
        <f>sum(K70:K74)</f>
        <v/>
      </c>
      <c r="L69" s="251">
        <f>sum(L70:L74)</f>
        <v/>
      </c>
      <c r="M69" s="251">
        <f>sum(M70:M74)</f>
        <v/>
      </c>
      <c r="N69" s="251">
        <f>sum(N70:N74)</f>
        <v/>
      </c>
      <c r="O69" s="251">
        <f>sum(O70:O74)</f>
        <v/>
      </c>
      <c r="P69" s="251">
        <f>sum(P70:P74)</f>
        <v/>
      </c>
      <c r="Q69" s="251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257" t="inlineStr"/>
      <c r="B70" s="257" t="inlineStr">
        <is>
          <t>Organic</t>
        </is>
      </c>
      <c r="C70" s="252">
        <f>SUMIFS('MTD Pivot'!D:D, 'MTD Pivot'!$A:$A, "Phí Không Dừng", 'MTD Pivot'!$C:$C, $B70)</f>
        <v/>
      </c>
      <c r="D70" s="252">
        <f>SUMIFS('MTD Pivot'!E:E, 'MTD Pivot'!$A:$A, "Phí Không Dừng", 'MTD Pivot'!$C:$C, $B70)</f>
        <v/>
      </c>
      <c r="E70" s="252">
        <f>SUMIFS('MTD Pivot'!F:F, 'MTD Pivot'!$A:$A, "Phí Không Dừng", 'MTD Pivot'!$C:$C, $B70)</f>
        <v/>
      </c>
      <c r="F70" s="252">
        <f>SUMIFS('MTD Pivot'!G:G, 'MTD Pivot'!$A:$A, "Phí Không Dừng", 'MTD Pivot'!$C:$C, $B70)</f>
        <v/>
      </c>
      <c r="G70" s="252">
        <f>SUMIFS('MTD Pivot'!H:H, 'MTD Pivot'!$A:$A, "Phí Không Dừng", 'MTD Pivot'!$C:$C, $B70)</f>
        <v/>
      </c>
      <c r="H70" s="252">
        <f>SUMIFS('MTD Pivot'!I:I, 'MTD Pivot'!$A:$A, "Phí Không Dừng", 'MTD Pivot'!$C:$C, $B70)</f>
        <v/>
      </c>
      <c r="I70" s="252">
        <f>H70-G70</f>
        <v/>
      </c>
      <c r="J70" s="257" t="inlineStr"/>
      <c r="K70" s="252">
        <f>SUMIFS('Full month Pivot'!D:D, 'Full month Pivot'!$A:$A, "Phí Không Dừng", 'Full month Pivot'!$C:$C, $B70)</f>
        <v/>
      </c>
      <c r="L70" s="252">
        <f>SUMIFS('Full month Pivot'!E:E, 'Full month Pivot'!$A:$A, "Phí Không Dừng", 'Full month Pivot'!$C:$C, $B70)</f>
        <v/>
      </c>
      <c r="M70" s="252">
        <f>SUMIFS('Full month Pivot'!F:F, 'Full month Pivot'!$A:$A, "Phí Không Dừng", 'Full month Pivot'!$C:$C, $B70)</f>
        <v/>
      </c>
      <c r="N70" s="252">
        <f>SUMIFS('Full month Pivot'!G:G, 'Full month Pivot'!$A:$A, "Phí Không Dừng", 'Full month Pivot'!$C:$C, $B70)</f>
        <v/>
      </c>
      <c r="O70" s="252">
        <f>SUMIFS('Full month Pivot'!H:H, 'Full month Pivot'!$A:$A, "Phí Không Dừng", 'Full month Pivot'!$C:$C, $B70)</f>
        <v/>
      </c>
      <c r="P70" s="252">
        <f>SUMIFS('Full month Pivot'!I:I, 'Full month Pivot'!$A:$A, "Phí Không Dừng", 'Full month Pivot'!$C:$C, $B70)</f>
        <v/>
      </c>
      <c r="Q70" s="252">
        <f>P70-O70</f>
        <v/>
      </c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257" t="inlineStr"/>
      <c r="B71" s="257" t="inlineStr">
        <is>
          <t>Direct</t>
        </is>
      </c>
      <c r="C71" s="252">
        <f>SUMIFS('MTD Pivot'!D:D, 'MTD Pivot'!$A:$A, "Phí Không Dừng", 'MTD Pivot'!$C:$C, $B71)</f>
        <v/>
      </c>
      <c r="D71" s="252">
        <f>SUMIFS('MTD Pivot'!E:E, 'MTD Pivot'!$A:$A, "Phí Không Dừng", 'MTD Pivot'!$C:$C, $B71)</f>
        <v/>
      </c>
      <c r="E71" s="252">
        <f>SUMIFS('MTD Pivot'!F:F, 'MTD Pivot'!$A:$A, "Phí Không Dừng", 'MTD Pivot'!$C:$C, $B71)</f>
        <v/>
      </c>
      <c r="F71" s="252">
        <f>SUMIFS('MTD Pivot'!G:G, 'MTD Pivot'!$A:$A, "Phí Không Dừng", 'MTD Pivot'!$C:$C, $B71)</f>
        <v/>
      </c>
      <c r="G71" s="252">
        <f>SUMIFS('MTD Pivot'!H:H, 'MTD Pivot'!$A:$A, "Phí Không Dừng", 'MTD Pivot'!$C:$C, $B71)</f>
        <v/>
      </c>
      <c r="H71" s="252">
        <f>SUMIFS('MTD Pivot'!I:I, 'MTD Pivot'!$A:$A, "Phí Không Dừng", 'MTD Pivot'!$C:$C, $B71)</f>
        <v/>
      </c>
      <c r="I71" s="252">
        <f>H71-G71</f>
        <v/>
      </c>
      <c r="J71" s="257" t="inlineStr"/>
      <c r="K71" s="252">
        <f>SUMIFS('Full month Pivot'!D:D, 'Full month Pivot'!$A:$A, "Phí Không Dừng", 'Full month Pivot'!$C:$C, $B71)</f>
        <v/>
      </c>
      <c r="L71" s="252">
        <f>SUMIFS('Full month Pivot'!E:E, 'Full month Pivot'!$A:$A, "Phí Không Dừng", 'Full month Pivot'!$C:$C, $B71)</f>
        <v/>
      </c>
      <c r="M71" s="252">
        <f>SUMIFS('Full month Pivot'!F:F, 'Full month Pivot'!$A:$A, "Phí Không Dừng", 'Full month Pivot'!$C:$C, $B71)</f>
        <v/>
      </c>
      <c r="N71" s="252">
        <f>SUMIFS('Full month Pivot'!G:G, 'Full month Pivot'!$A:$A, "Phí Không Dừng", 'Full month Pivot'!$C:$C, $B71)</f>
        <v/>
      </c>
      <c r="O71" s="252">
        <f>SUMIFS('Full month Pivot'!H:H, 'Full month Pivot'!$A:$A, "Phí Không Dừng", 'Full month Pivot'!$C:$C, $B71)</f>
        <v/>
      </c>
      <c r="P71" s="252">
        <f>SUMIFS('Full month Pivot'!I:I, 'Full month Pivot'!$A:$A, "Phí Không Dừng", 'Full month Pivot'!$C:$C, $B71)</f>
        <v/>
      </c>
      <c r="Q71" s="252">
        <f>P71-O71</f>
        <v/>
      </c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257" t="inlineStr"/>
      <c r="B72" s="257" t="inlineStr">
        <is>
          <t>Referral</t>
        </is>
      </c>
      <c r="C72" s="252">
        <f>SUMIFS('MTD Pivot'!D:D, 'MTD Pivot'!$A:$A, "Phí Không Dừng", 'MTD Pivot'!$C:$C, $B72)</f>
        <v/>
      </c>
      <c r="D72" s="252">
        <f>SUMIFS('MTD Pivot'!E:E, 'MTD Pivot'!$A:$A, "Phí Không Dừng", 'MTD Pivot'!$C:$C, $B72)</f>
        <v/>
      </c>
      <c r="E72" s="252">
        <f>SUMIFS('MTD Pivot'!F:F, 'MTD Pivot'!$A:$A, "Phí Không Dừng", 'MTD Pivot'!$C:$C, $B72)</f>
        <v/>
      </c>
      <c r="F72" s="252">
        <f>SUMIFS('MTD Pivot'!G:G, 'MTD Pivot'!$A:$A, "Phí Không Dừng", 'MTD Pivot'!$C:$C, $B72)</f>
        <v/>
      </c>
      <c r="G72" s="252">
        <f>SUMIFS('MTD Pivot'!H:H, 'MTD Pivot'!$A:$A, "Phí Không Dừng", 'MTD Pivot'!$C:$C, $B72)</f>
        <v/>
      </c>
      <c r="H72" s="252">
        <f>SUMIFS('MTD Pivot'!I:I, 'MTD Pivot'!$A:$A, "Phí Không Dừng", 'MTD Pivot'!$C:$C, $B72)</f>
        <v/>
      </c>
      <c r="I72" s="252">
        <f>H72-G72</f>
        <v/>
      </c>
      <c r="J72" s="257" t="inlineStr"/>
      <c r="K72" s="252">
        <f>SUMIFS('Full month Pivot'!D:D, 'Full month Pivot'!$A:$A, "Phí Không Dừng", 'Full month Pivot'!$C:$C, $B72)</f>
        <v/>
      </c>
      <c r="L72" s="252">
        <f>SUMIFS('Full month Pivot'!E:E, 'Full month Pivot'!$A:$A, "Phí Không Dừng", 'Full month Pivot'!$C:$C, $B72)</f>
        <v/>
      </c>
      <c r="M72" s="252">
        <f>SUMIFS('Full month Pivot'!F:F, 'Full month Pivot'!$A:$A, "Phí Không Dừng", 'Full month Pivot'!$C:$C, $B72)</f>
        <v/>
      </c>
      <c r="N72" s="252">
        <f>SUMIFS('Full month Pivot'!G:G, 'Full month Pivot'!$A:$A, "Phí Không Dừng", 'Full month Pivot'!$C:$C, $B72)</f>
        <v/>
      </c>
      <c r="O72" s="252">
        <f>SUMIFS('Full month Pivot'!H:H, 'Full month Pivot'!$A:$A, "Phí Không Dừng", 'Full month Pivot'!$C:$C, $B72)</f>
        <v/>
      </c>
      <c r="P72" s="252">
        <f>SUMIFS('Full month Pivot'!I:I, 'Full month Pivot'!$A:$A, "Phí Không Dừng", 'Full month Pivot'!$C:$C, $B72)</f>
        <v/>
      </c>
      <c r="Q72" s="252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257" t="inlineStr"/>
      <c r="B73" s="257" t="inlineStr">
        <is>
          <t>Paid</t>
        </is>
      </c>
      <c r="C73" s="252">
        <f>SUMIFS('MTD Pivot'!D:D, 'MTD Pivot'!$A:$A, "Phí Không Dừng", 'MTD Pivot'!$C:$C, $B73)</f>
        <v/>
      </c>
      <c r="D73" s="252">
        <f>SUMIFS('MTD Pivot'!E:E, 'MTD Pivot'!$A:$A, "Phí Không Dừng", 'MTD Pivot'!$C:$C, $B73)</f>
        <v/>
      </c>
      <c r="E73" s="252">
        <f>SUMIFS('MTD Pivot'!F:F, 'MTD Pivot'!$A:$A, "Phí Không Dừng", 'MTD Pivot'!$C:$C, $B73)</f>
        <v/>
      </c>
      <c r="F73" s="252">
        <f>SUMIFS('MTD Pivot'!G:G, 'MTD Pivot'!$A:$A, "Phí Không Dừng", 'MTD Pivot'!$C:$C, $B73)</f>
        <v/>
      </c>
      <c r="G73" s="252">
        <f>SUMIFS('MTD Pivot'!H:H, 'MTD Pivot'!$A:$A, "Phí Không Dừng", 'MTD Pivot'!$C:$C, $B73)</f>
        <v/>
      </c>
      <c r="H73" s="252">
        <f>SUMIFS('MTD Pivot'!I:I, 'MTD Pivot'!$A:$A, "Phí Không Dừng", 'MTD Pivot'!$C:$C, $B73)</f>
        <v/>
      </c>
      <c r="I73" s="252">
        <f>H73-G73</f>
        <v/>
      </c>
      <c r="J73" s="257" t="inlineStr"/>
      <c r="K73" s="252">
        <f>SUMIFS('Full month Pivot'!D:D, 'Full month Pivot'!$A:$A, "Phí Không Dừng", 'Full month Pivot'!$C:$C, $B73)</f>
        <v/>
      </c>
      <c r="L73" s="252">
        <f>SUMIFS('Full month Pivot'!E:E, 'Full month Pivot'!$A:$A, "Phí Không Dừng", 'Full month Pivot'!$C:$C, $B73)</f>
        <v/>
      </c>
      <c r="M73" s="252">
        <f>SUMIFS('Full month Pivot'!F:F, 'Full month Pivot'!$A:$A, "Phí Không Dừng", 'Full month Pivot'!$C:$C, $B73)</f>
        <v/>
      </c>
      <c r="N73" s="252">
        <f>SUMIFS('Full month Pivot'!G:G, 'Full month Pivot'!$A:$A, "Phí Không Dừng", 'Full month Pivot'!$C:$C, $B73)</f>
        <v/>
      </c>
      <c r="O73" s="252">
        <f>SUMIFS('Full month Pivot'!H:H, 'Full month Pivot'!$A:$A, "Phí Không Dừng", 'Full month Pivot'!$C:$C, $B73)</f>
        <v/>
      </c>
      <c r="P73" s="252">
        <f>SUMIFS('Full month Pivot'!I:I, 'Full month Pivot'!$A:$A, "Phí Không Dừng", 'Full month Pivot'!$C:$C, $B73)</f>
        <v/>
      </c>
      <c r="Q73" s="252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257" t="inlineStr"/>
      <c r="B74" s="257" t="inlineStr">
        <is>
          <t>Others</t>
        </is>
      </c>
      <c r="C74" s="252">
        <f>SUMIFS('MTD Pivot'!D:D, 'MTD Pivot'!$A:$A, "Phí Không Dừng", 'MTD Pivot'!$C:$C, $B74)</f>
        <v/>
      </c>
      <c r="D74" s="252">
        <f>SUMIFS('MTD Pivot'!E:E, 'MTD Pivot'!$A:$A, "Phí Không Dừng", 'MTD Pivot'!$C:$C, $B74)</f>
        <v/>
      </c>
      <c r="E74" s="252">
        <f>SUMIFS('MTD Pivot'!F:F, 'MTD Pivot'!$A:$A, "Phí Không Dừng", 'MTD Pivot'!$C:$C, $B74)</f>
        <v/>
      </c>
      <c r="F74" s="252">
        <f>SUMIFS('MTD Pivot'!G:G, 'MTD Pivot'!$A:$A, "Phí Không Dừng", 'MTD Pivot'!$C:$C, $B74)</f>
        <v/>
      </c>
      <c r="G74" s="252">
        <f>SUMIFS('MTD Pivot'!H:H, 'MTD Pivot'!$A:$A, "Phí Không Dừng", 'MTD Pivot'!$C:$C, $B74)</f>
        <v/>
      </c>
      <c r="H74" s="252">
        <f>SUMIFS('MTD Pivot'!I:I, 'MTD Pivot'!$A:$A, "Phí Không Dừng", 'MTD Pivot'!$C:$C, $B74)</f>
        <v/>
      </c>
      <c r="I74" s="252">
        <f>H74-G74</f>
        <v/>
      </c>
      <c r="J74" s="257" t="inlineStr"/>
      <c r="K74" s="252">
        <f>SUMIFS('Full month Pivot'!D:D, 'Full month Pivot'!$A:$A, "Phí Không Dừng", 'Full month Pivot'!$C:$C, $B74)</f>
        <v/>
      </c>
      <c r="L74" s="252">
        <f>SUMIFS('Full month Pivot'!E:E, 'Full month Pivot'!$A:$A, "Phí Không Dừng", 'Full month Pivot'!$C:$C, $B74)</f>
        <v/>
      </c>
      <c r="M74" s="252">
        <f>SUMIFS('Full month Pivot'!F:F, 'Full month Pivot'!$A:$A, "Phí Không Dừng", 'Full month Pivot'!$C:$C, $B74)</f>
        <v/>
      </c>
      <c r="N74" s="252">
        <f>SUMIFS('Full month Pivot'!G:G, 'Full month Pivot'!$A:$A, "Phí Không Dừng", 'Full month Pivot'!$C:$C, $B74)</f>
        <v/>
      </c>
      <c r="O74" s="252">
        <f>SUMIFS('Full month Pivot'!H:H, 'Full month Pivot'!$A:$A, "Phí Không Dừng", 'Full month Pivot'!$C:$C, $B74)</f>
        <v/>
      </c>
      <c r="P74" s="252">
        <f>SUMIFS('Full month Pivot'!I:I, 'Full month Pivot'!$A:$A, "Phí Không Dừng", 'Full month Pivot'!$C:$C, $B74)</f>
        <v/>
      </c>
      <c r="Q74" s="252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23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597040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20402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11756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5009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14940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307061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6242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33125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6451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1238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80315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9994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14191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1414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1175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132538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46638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40156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3956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2040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116712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165620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34289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40864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15392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2404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5464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11201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115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470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106803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72960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5146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770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437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5539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156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131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64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51828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9710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2014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229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149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52402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10787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2387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1124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372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65530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7225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4672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1573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378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14475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1832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1291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78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87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311121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50896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3973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3215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532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62388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7037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597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368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254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26070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3229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2067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1282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81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25489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5154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880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424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165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38679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4590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1998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6267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1047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17747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7974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24348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14750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6052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1365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268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9412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1667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628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234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34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317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5092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2248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573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79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6523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7690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6641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570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657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23539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1983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987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754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147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12682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2526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9859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844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192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4927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1646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778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750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55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567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1802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1710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295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30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6219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10979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1445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429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649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1435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3059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5295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181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193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14301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4823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274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108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34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11817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2229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507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495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128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3528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5852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1107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410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109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1381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120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85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54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578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4437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323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220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33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5011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1862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166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175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33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4878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1029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604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260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59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37420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2114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148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116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60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2379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982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336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230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32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3314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106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365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66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21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471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819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22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87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17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2459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197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239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22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1962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153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122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31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2165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1181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89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89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22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1072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180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626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155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1582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135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158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6352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2704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2094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871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224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2295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408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138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140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19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8493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1606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131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180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96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31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363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55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48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1263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89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127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204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18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415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24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48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22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1905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1530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1019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571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85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913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192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236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48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2585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305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114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75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338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22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20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21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768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23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62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32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1338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475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232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55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606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28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34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293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26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20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61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1285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164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80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39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181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51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341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128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184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17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171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26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18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146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20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56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24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37738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8363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1073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2703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917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15613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8052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5352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2185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2371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829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197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153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3408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386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234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179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57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3181254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23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20402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597040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14940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11756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5009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33125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307061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1238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6242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6451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80315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14191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1414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1175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9994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3956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40156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2040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46638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132538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165620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116712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15392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40864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34289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5464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11201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115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2404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470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5146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72960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437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106803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770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156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5539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64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131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9710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51828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229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149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2014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10787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52402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372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1124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2387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311121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3973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3215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532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50896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7225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65530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378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1573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4672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1291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14475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78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87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1832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597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7037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254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62388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368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3229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26070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81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1282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2067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5154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25489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165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424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880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6267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38679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1047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4590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1998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17747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7974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24348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14750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268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6052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1365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628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9412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34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1667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234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5092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2248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79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317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573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6641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6523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657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570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7690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778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4927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55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1646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750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987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23539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147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1983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754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1445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6219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649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10979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429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9859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2526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192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12682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844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1710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1802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30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567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295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2229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11817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128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495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507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274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4823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34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14301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108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5295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3059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193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181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1435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1107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3528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109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5852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410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578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4437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33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220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323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120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1381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85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54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5011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1862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33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175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166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37420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2114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148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60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116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1029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4878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59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260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604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336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2379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32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982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230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365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3314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21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106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66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471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819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17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22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87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239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2459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22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197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153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1962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31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122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1181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2165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89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22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89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2704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6352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224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871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2094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626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1072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180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155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8493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1606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131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96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180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158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1582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135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140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2295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19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408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138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31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55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363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48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1530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1905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571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85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1019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127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1263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18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204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89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48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415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22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24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192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913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236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48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114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2585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305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75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22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338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21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20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475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1338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55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232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62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768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23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32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164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1285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39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80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34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606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28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26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293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61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20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51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181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341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128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19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184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17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171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26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146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20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18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56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24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2703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37738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917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1073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8363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5352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15613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2371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8052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2185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153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197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829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386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3408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57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179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234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3181254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0"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2026-10-28T00:15:40Z</dcterms:modified>
</cp:coreProperties>
</file>