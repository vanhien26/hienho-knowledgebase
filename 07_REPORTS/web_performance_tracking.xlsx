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71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Momo Trust Sans"/>
      <color rgb="00666666"/>
      <sz val="11"/>
    </font>
    <font>
      <name val="Momo Trust Sans"/>
      <b val="1"/>
      <sz val="11"/>
    </font>
    <font>
      <name val="Momo Trust Sans"/>
      <sz val="11"/>
    </font>
  </fonts>
  <fills count="3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FFFFFF"/>
        <bgColor rgb="00FFFFFF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60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  <xf numFmtId="166" fontId="68" fillId="30" borderId="0" applyAlignment="1" pivotButton="0" quotePrefix="0" xfId="0">
      <alignment horizontal="right" vertical="center"/>
    </xf>
    <xf numFmtId="10" fontId="68" fillId="30" borderId="0" applyAlignment="1" pivotButton="0" quotePrefix="0" xfId="0">
      <alignment horizontal="right" vertical="center"/>
    </xf>
    <xf numFmtId="0" fontId="69" fillId="0" borderId="0" applyAlignment="1" pivotButton="0" quotePrefix="0" xfId="0">
      <alignment vertical="center"/>
    </xf>
    <xf numFmtId="3" fontId="69" fillId="0" borderId="0" applyAlignment="1" pivotButton="0" quotePrefix="0" xfId="0">
      <alignment horizontal="right" vertical="center"/>
    </xf>
    <xf numFmtId="0" fontId="70" fillId="0" borderId="0" applyAlignment="1" pivotButton="0" quotePrefix="0" xfId="0">
      <alignment vertical="center"/>
    </xf>
    <xf numFmtId="3" fontId="70" fillId="0" borderId="0" applyAlignment="1" pivotButton="0" quotePrefix="0" xfId="0">
      <alignment horizontal="right" vertical="center"/>
    </xf>
    <xf numFmtId="3" fontId="69" fillId="0" borderId="0" applyAlignment="1" pivotButton="0" quotePrefix="0" xfId="0">
      <alignment horizontal="right"/>
    </xf>
    <xf numFmtId="3" fontId="70" fillId="0" borderId="0" applyAlignment="1" pivotButton="0" quotePrefix="0" xfId="0">
      <alignment horizontal="right"/>
    </xf>
    <xf numFmtId="0" fontId="69" fillId="3" borderId="0" applyAlignment="1" pivotButton="0" quotePrefix="0" xfId="0">
      <alignment horizontal="left"/>
    </xf>
    <xf numFmtId="0" fontId="70" fillId="3" borderId="0" applyAlignment="1" pivotButton="0" quotePrefix="0" xfId="0">
      <alignment horizontal="left"/>
    </xf>
    <xf numFmtId="3" fontId="69" fillId="3" borderId="0" applyAlignment="1" pivotButton="0" quotePrefix="0" xfId="0">
      <alignment horizontal="right"/>
    </xf>
    <xf numFmtId="0" fontId="69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/>
    </xf>
    <xf numFmtId="3" fontId="70" fillId="0" borderId="0" applyAlignment="1" pivotButton="0" quotePrefix="0" xfId="0">
      <alignment horizontal="left"/>
    </xf>
    <xf numFmtId="166" fontId="69" fillId="0" borderId="0" applyAlignment="1" pivotButton="0" quotePrefix="0" xfId="0">
      <alignment horizontal="right"/>
    </xf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>
        <f>"Update to: " &amp; DAY(NOW())</f>
        <v/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/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/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/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 t="n">
        <v>1488502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 t="n">
        <v>1488502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 t="n">
        <v>373251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 t="n">
        <v>373251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 t="n">
        <v>808278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 t="n">
        <v>808278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 t="n">
        <v>294981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 t="n">
        <v>294981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 t="n">
        <v>111779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 t="n">
        <v>111779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245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246">
        <f>T9/$T$5</f>
        <v/>
      </c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245">
        <f>K10/$K$5</f>
        <v/>
      </c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246">
        <f>T10/$T$5</f>
        <v/>
      </c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245">
        <f>K11/$K$5</f>
        <v/>
      </c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246">
        <f>T11/$T$5</f>
        <v/>
      </c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245">
        <f>K12/$K$5</f>
        <v/>
      </c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246">
        <f>T12/$T$5</f>
        <v/>
      </c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245">
        <f>K13/$K$5</f>
        <v/>
      </c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246">
        <f>T13/$T$5</f>
        <v/>
      </c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245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>
        <f>"Update to: " &amp; DAY(NOW())</f>
        <v/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/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/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 t="n">
        <v>1488502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 t="n">
        <v>808278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 t="n">
        <v>294981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 t="n">
        <v>111779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 t="n">
        <v>373251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>
        <f>"Update to: " &amp; DAY(NOW())</f>
        <v/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/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/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/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>
        <f>IFERROR(REPT("█", ROUND(K6/K3*4,0)) &amp; " " &amp; TEXT(K6/K3,"0%"), "")</f>
        <v/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 t="n">
        <v>1488502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 t="n">
        <v>373251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 t="n">
        <v>808278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 t="n">
        <v>294981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 t="n">
        <v>111779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 t="array" ref="Q3">INDEX('Full month Pivot'!$D$3:$K$400, MATCH("Grand Total", 'Full month Pivot'!$A$3:$A$400, 0), MATCH(Q$2, 'Full month Pivot'!$D$2:$K$2, 0))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inlineStr">
        <is>
          <t>Click to app by Project (Web-to-App OneLink Clicks)</t>
        </is>
      </c>
      <c r="B111" s="112" t="inlineStr"/>
      <c r="C111" s="112" t="inlineStr"/>
      <c r="D111" s="112" t="inlineStr"/>
      <c r="E111" s="112" t="inlineStr"/>
      <c r="F111" s="112" t="inlineStr"/>
      <c r="G111" s="112" t="inlineStr"/>
      <c r="H111" s="112" t="inlineStr"/>
      <c r="I111" s="112" t="inlineStr"/>
      <c r="J111" s="112" t="inlineStr"/>
      <c r="K111" s="112" t="inlineStr"/>
      <c r="L111" s="112" t="inlineStr"/>
      <c r="M111" s="112" t="inlineStr"/>
      <c r="N111" s="112" t="inlineStr"/>
      <c r="O111" s="112" t="inlineStr"/>
      <c r="P111" s="112" t="inlineStr"/>
      <c r="Q111" s="99" t="inlineStr"/>
      <c r="R111" s="99" t="inlineStr"/>
      <c r="S111" s="99" t="inlineStr"/>
      <c r="T111" s="99" t="inlineStr"/>
      <c r="U111" s="99" t="n"/>
      <c r="V111" s="99" t="n"/>
      <c r="W111" s="99" t="n"/>
    </row>
    <row r="112">
      <c r="A112" s="112" t="inlineStr">
        <is>
          <t>Projects</t>
        </is>
      </c>
      <c r="B112" s="112" t="inlineStr">
        <is>
          <t>May 26</t>
        </is>
      </c>
      <c r="C112" s="112" t="inlineStr">
        <is>
          <t>Jun 26</t>
        </is>
      </c>
      <c r="D112" s="112" t="inlineStr">
        <is>
          <t>Jul 26</t>
        </is>
      </c>
      <c r="E112" s="112" t="inlineStr">
        <is>
          <t>Aug 26</t>
        </is>
      </c>
      <c r="F112" s="112" t="inlineStr">
        <is>
          <t>Sep 26 (MTD)</t>
        </is>
      </c>
      <c r="G112" s="112" t="inlineStr">
        <is>
          <t>Oct 26 (MTD)</t>
        </is>
      </c>
      <c r="H112" s="112" t="inlineStr">
        <is>
          <t>Nov 26</t>
        </is>
      </c>
      <c r="I112" s="112" t="inlineStr">
        <is>
          <t>Dec 26</t>
        </is>
      </c>
      <c r="J112" s="112" t="inlineStr">
        <is>
          <t>VS. SPLM</t>
        </is>
      </c>
      <c r="K112" s="112" t="inlineStr">
        <is>
          <t>Oct CVR %</t>
        </is>
      </c>
      <c r="L112" s="112" t="inlineStr">
        <is>
          <t>May 26</t>
        </is>
      </c>
      <c r="M112" s="112" t="inlineStr">
        <is>
          <t>Jun 26</t>
        </is>
      </c>
      <c r="N112" s="112" t="inlineStr">
        <is>
          <t>Jul 26</t>
        </is>
      </c>
      <c r="O112" s="112" t="inlineStr">
        <is>
          <t>Aug 26</t>
        </is>
      </c>
      <c r="P112" s="112" t="inlineStr">
        <is>
          <t>Sep 26 (Full)</t>
        </is>
      </c>
      <c r="Q112" s="99" t="inlineStr">
        <is>
          <t>Oct 26</t>
        </is>
      </c>
      <c r="R112" s="99" t="inlineStr">
        <is>
          <t>Nov 26</t>
        </is>
      </c>
      <c r="S112" s="99" t="inlineStr">
        <is>
          <t>Dec 26</t>
        </is>
      </c>
      <c r="T112" s="99" t="inlineStr">
        <is>
          <t>Sep CVR %</t>
        </is>
      </c>
      <c r="U112" s="99" t="n"/>
      <c r="V112" s="99" t="n"/>
      <c r="W112" s="99" t="n"/>
    </row>
    <row r="113">
      <c r="A113" s="112" t="inlineStr">
        <is>
          <t>Total Click to app</t>
        </is>
      </c>
      <c r="B113" s="112" t="inlineStr"/>
      <c r="C113" s="112" t="inlineStr"/>
      <c r="D113" s="112" t="inlineStr"/>
      <c r="E113" s="112" t="inlineStr"/>
      <c r="F113" s="112">
        <f>SUM(F114, F121:F123, F124, F139, F144:F168, F169, F172:F178)</f>
        <v/>
      </c>
      <c r="G113" s="112">
        <f>SUM(G114, G121:G123, G124, G139, G144:G168, G169, G172:G178)</f>
        <v/>
      </c>
      <c r="H113" s="112" t="inlineStr"/>
      <c r="I113" s="112" t="inlineStr"/>
      <c r="J113" s="112">
        <f>G113-F113</f>
        <v/>
      </c>
      <c r="K113" s="112">
        <f>IF(G3&gt;0, G113/G3, 0)</f>
        <v/>
      </c>
      <c r="L113" s="112" t="inlineStr"/>
      <c r="M113" s="112" t="inlineStr"/>
      <c r="N113" s="112" t="inlineStr"/>
      <c r="O113" s="112" t="inlineStr"/>
      <c r="P113" s="112">
        <f>SUM(P114, P121:P123, P124, P139, P144:P168, P169, P172:P178)</f>
        <v/>
      </c>
      <c r="Q113" s="99" t="inlineStr"/>
      <c r="R113" s="99" t="inlineStr"/>
      <c r="S113" s="99" t="inlineStr"/>
      <c r="T113" s="99">
        <f>IF(P3&gt;0, P113/P3, 0)</f>
        <v/>
      </c>
      <c r="U113" s="99" t="n"/>
      <c r="V113" s="99" t="n"/>
      <c r="W113" s="99" t="n"/>
    </row>
    <row r="114">
      <c r="A114" s="112" t="inlineStr">
        <is>
          <t>Cinema Hub</t>
        </is>
      </c>
      <c r="B114" s="112" t="inlineStr"/>
      <c r="C114" s="112" t="inlineStr"/>
      <c r="D114" s="112" t="inlineStr"/>
      <c r="E114" s="112" t="inlineStr"/>
      <c r="F114" s="112">
        <f>SUM(F115:F120)</f>
        <v/>
      </c>
      <c r="G114" s="112">
        <f>SUM(G115:G120)</f>
        <v/>
      </c>
      <c r="H114" s="112" t="inlineStr"/>
      <c r="I114" s="112" t="inlineStr"/>
      <c r="J114" s="112">
        <f>G114-F114</f>
        <v/>
      </c>
      <c r="K114" s="112">
        <f>IF(G8&gt;0, G114/G8, 0)</f>
        <v/>
      </c>
      <c r="L114" s="112" t="inlineStr"/>
      <c r="M114" s="112" t="inlineStr"/>
      <c r="N114" s="112" t="inlineStr"/>
      <c r="O114" s="112" t="inlineStr"/>
      <c r="P114" s="112">
        <f>SUM(P115:P120)</f>
        <v/>
      </c>
      <c r="Q114" s="99" t="inlineStr"/>
      <c r="R114" s="99" t="inlineStr"/>
      <c r="S114" s="99" t="inlineStr"/>
      <c r="T114" s="99">
        <f>IF(P8&gt;0, P114/P8, 0)</f>
        <v/>
      </c>
      <c r="U114" s="99" t="n"/>
      <c r="V114" s="99" t="n"/>
      <c r="W114" s="99" t="n"/>
    </row>
    <row r="115">
      <c r="A115" s="112" t="inlineStr">
        <is>
          <t>Cinema_Cineplex Page</t>
        </is>
      </c>
      <c r="B115" s="112" t="inlineStr"/>
      <c r="C115" s="112" t="inlineStr"/>
      <c r="D115" s="112" t="inlineStr"/>
      <c r="E115" s="112" t="inlineStr"/>
      <c r="F115" s="112" t="n">
        <v>4531</v>
      </c>
      <c r="G115" s="112" t="n">
        <v>7527</v>
      </c>
      <c r="H115" s="112" t="inlineStr"/>
      <c r="I115" s="112" t="inlineStr"/>
      <c r="J115" s="112">
        <f>G115-F115</f>
        <v/>
      </c>
      <c r="K115" s="112">
        <f>IF(G9&gt;0, G115/G9, 0)</f>
        <v/>
      </c>
      <c r="L115" s="112" t="inlineStr"/>
      <c r="M115" s="112" t="inlineStr"/>
      <c r="N115" s="112" t="inlineStr"/>
      <c r="O115" s="112" t="inlineStr"/>
      <c r="P115" s="112" t="n">
        <v>6250</v>
      </c>
      <c r="Q115" s="99" t="inlineStr"/>
      <c r="R115" s="99" t="inlineStr"/>
      <c r="S115" s="99" t="inlineStr"/>
      <c r="T115" s="99">
        <f>IF(P9&gt;0, P115/P9, 0)</f>
        <v/>
      </c>
      <c r="U115" s="99" t="n"/>
      <c r="V115" s="99" t="n"/>
      <c r="W115" s="99" t="n"/>
    </row>
    <row r="116">
      <c r="A116" s="112" t="inlineStr">
        <is>
          <t>Cinema_Page</t>
        </is>
      </c>
      <c r="B116" s="112" t="inlineStr"/>
      <c r="C116" s="112" t="inlineStr"/>
      <c r="D116" s="112" t="inlineStr"/>
      <c r="E116" s="112" t="inlineStr"/>
      <c r="F116" s="112" t="n">
        <v>1321</v>
      </c>
      <c r="G116" s="112" t="n">
        <v>2312</v>
      </c>
      <c r="H116" s="112" t="inlineStr"/>
      <c r="I116" s="112" t="inlineStr"/>
      <c r="J116" s="112">
        <f>G116-F116</f>
        <v/>
      </c>
      <c r="K116" s="112">
        <f>IF(G10&gt;0, G116/G10, 0)</f>
        <v/>
      </c>
      <c r="L116" s="112" t="inlineStr"/>
      <c r="M116" s="112" t="inlineStr"/>
      <c r="N116" s="112" t="inlineStr"/>
      <c r="O116" s="112" t="inlineStr"/>
      <c r="P116" s="112" t="n">
        <v>1562</v>
      </c>
      <c r="Q116" s="99" t="inlineStr"/>
      <c r="R116" s="99" t="inlineStr"/>
      <c r="S116" s="99" t="inlineStr"/>
      <c r="T116" s="99">
        <f>IF(P10&gt;0, P116/P10, 0)</f>
        <v/>
      </c>
      <c r="U116" s="99" t="n"/>
      <c r="V116" s="99" t="n"/>
      <c r="W116" s="99" t="n"/>
    </row>
    <row r="117">
      <c r="A117" s="112" t="inlineStr">
        <is>
          <t>Cinema_Blog</t>
        </is>
      </c>
      <c r="B117" s="112" t="inlineStr"/>
      <c r="C117" s="112" t="inlineStr"/>
      <c r="D117" s="112" t="inlineStr"/>
      <c r="E117" s="112" t="inlineStr"/>
      <c r="F117" s="112" t="n">
        <v>281</v>
      </c>
      <c r="G117" s="112" t="n">
        <v>110</v>
      </c>
      <c r="H117" s="112" t="inlineStr"/>
      <c r="I117" s="112" t="inlineStr"/>
      <c r="J117" s="112">
        <f>G117-F117</f>
        <v/>
      </c>
      <c r="K117" s="112">
        <f>IF(G11&gt;0, G117/G11, 0)</f>
        <v/>
      </c>
      <c r="L117" s="112" t="inlineStr"/>
      <c r="M117" s="112" t="inlineStr"/>
      <c r="N117" s="112" t="inlineStr"/>
      <c r="O117" s="112" t="inlineStr"/>
      <c r="P117" s="112" t="n">
        <v>295</v>
      </c>
      <c r="Q117" s="99" t="inlineStr"/>
      <c r="R117" s="99" t="inlineStr"/>
      <c r="S117" s="99" t="inlineStr"/>
      <c r="T117" s="99">
        <f>IF(P11&gt;0, P117/P11, 0)</f>
        <v/>
      </c>
      <c r="U117" s="99" t="n"/>
      <c r="V117" s="99" t="n"/>
      <c r="W117" s="99" t="n"/>
    </row>
    <row r="118">
      <c r="A118" s="112" t="inlineStr">
        <is>
          <t>Cinema_Home Page</t>
        </is>
      </c>
      <c r="B118" s="112" t="inlineStr"/>
      <c r="C118" s="112" t="inlineStr"/>
      <c r="D118" s="112" t="inlineStr"/>
      <c r="E118" s="112" t="inlineStr"/>
      <c r="F118" s="112" t="n">
        <v>156</v>
      </c>
      <c r="G118" s="112" t="n">
        <v>255</v>
      </c>
      <c r="H118" s="112" t="inlineStr"/>
      <c r="I118" s="112" t="inlineStr"/>
      <c r="J118" s="112">
        <f>G118-F118</f>
        <v/>
      </c>
      <c r="K118" s="112">
        <f>IF(G12&gt;0, G118/G12, 0)</f>
        <v/>
      </c>
      <c r="L118" s="112" t="inlineStr"/>
      <c r="M118" s="112" t="inlineStr"/>
      <c r="N118" s="112" t="inlineStr"/>
      <c r="O118" s="112" t="inlineStr"/>
      <c r="P118" s="112" t="n">
        <v>225</v>
      </c>
      <c r="Q118" s="99" t="inlineStr"/>
      <c r="R118" s="99" t="inlineStr"/>
      <c r="S118" s="99" t="inlineStr"/>
      <c r="T118" s="99">
        <f>IF(P12&gt;0, P118/P12, 0)</f>
        <v/>
      </c>
      <c r="U118" s="99" t="n"/>
      <c r="V118" s="99" t="n"/>
      <c r="W118" s="99" t="n"/>
    </row>
    <row r="119">
      <c r="A119" s="112" t="inlineStr">
        <is>
          <t>Cinema_News</t>
        </is>
      </c>
      <c r="B119" s="112" t="inlineStr"/>
      <c r="C119" s="112" t="inlineStr"/>
      <c r="D119" s="112" t="inlineStr"/>
      <c r="E119" s="112" t="inlineStr"/>
      <c r="F119" s="112" t="n">
        <v>165</v>
      </c>
      <c r="G119" s="112" t="n">
        <v>172</v>
      </c>
      <c r="H119" s="112" t="inlineStr"/>
      <c r="I119" s="112" t="inlineStr"/>
      <c r="J119" s="112">
        <f>G119-F119</f>
        <v/>
      </c>
      <c r="K119" s="112">
        <f>IF(G13&gt;0, G119/G13, 0)</f>
        <v/>
      </c>
      <c r="L119" s="112" t="inlineStr"/>
      <c r="M119" s="112" t="inlineStr"/>
      <c r="N119" s="112" t="inlineStr"/>
      <c r="O119" s="112" t="inlineStr"/>
      <c r="P119" s="112" t="n">
        <v>200</v>
      </c>
      <c r="Q119" s="99" t="inlineStr"/>
      <c r="R119" s="99" t="inlineStr"/>
      <c r="S119" s="99" t="inlineStr"/>
      <c r="T119" s="99">
        <f>IF(P13&gt;0, P119/P13, 0)</f>
        <v/>
      </c>
      <c r="U119" s="99" t="n"/>
      <c r="V119" s="99" t="n"/>
      <c r="W119" s="99" t="n"/>
    </row>
    <row r="120">
      <c r="A120" s="112" t="inlineStr">
        <is>
          <t>Cinema_Landing Page</t>
        </is>
      </c>
      <c r="B120" s="112" t="inlineStr"/>
      <c r="C120" s="112" t="inlineStr"/>
      <c r="D120" s="112" t="inlineStr"/>
      <c r="E120" s="112" t="inlineStr"/>
      <c r="F120" s="112" t="n">
        <v>54</v>
      </c>
      <c r="G120" s="112" t="n">
        <v>50</v>
      </c>
      <c r="H120" s="112" t="inlineStr"/>
      <c r="I120" s="112" t="inlineStr"/>
      <c r="J120" s="112">
        <f>G120-F120</f>
        <v/>
      </c>
      <c r="K120" s="112">
        <f>IF(G14&gt;0, G120/G14, 0)</f>
        <v/>
      </c>
      <c r="L120" s="112" t="inlineStr"/>
      <c r="M120" s="112" t="inlineStr"/>
      <c r="N120" s="112" t="inlineStr"/>
      <c r="O120" s="112" t="inlineStr"/>
      <c r="P120" s="112" t="n">
        <v>58</v>
      </c>
      <c r="Q120" s="99" t="inlineStr"/>
      <c r="R120" s="99" t="inlineStr"/>
      <c r="S120" s="99" t="inlineStr"/>
      <c r="T120" s="99">
        <f>IF(P14&gt;0, P120/P14, 0)</f>
        <v/>
      </c>
      <c r="U120" s="99" t="n"/>
      <c r="V120" s="99" t="n"/>
      <c r="W120" s="99" t="n"/>
    </row>
    <row r="121">
      <c r="A121" s="112" t="inlineStr">
        <is>
          <t>Home MoMo</t>
        </is>
      </c>
      <c r="B121" s="112" t="inlineStr"/>
      <c r="C121" s="112" t="inlineStr"/>
      <c r="D121" s="112" t="inlineStr"/>
      <c r="E121" s="112" t="inlineStr"/>
      <c r="F121" s="112" t="n">
        <v>18307</v>
      </c>
      <c r="G121" s="112" t="n">
        <v>25643</v>
      </c>
      <c r="H121" s="112" t="inlineStr"/>
      <c r="I121" s="112" t="inlineStr"/>
      <c r="J121" s="112">
        <f>G121-F121</f>
        <v/>
      </c>
      <c r="K121" s="112">
        <f>IF(G15&gt;0, G121/G15, 0)</f>
        <v/>
      </c>
      <c r="L121" s="112" t="inlineStr"/>
      <c r="M121" s="112" t="inlineStr"/>
      <c r="N121" s="112" t="inlineStr"/>
      <c r="O121" s="112" t="inlineStr"/>
      <c r="P121" s="112" t="n">
        <v>21343</v>
      </c>
      <c r="Q121" s="99" t="inlineStr"/>
      <c r="R121" s="99" t="inlineStr"/>
      <c r="S121" s="99" t="inlineStr"/>
      <c r="T121" s="99">
        <f>IF(P15&gt;0, P121/P15, 0)</f>
        <v/>
      </c>
      <c r="U121" s="99" t="n"/>
      <c r="V121" s="99" t="n"/>
      <c r="W121" s="99" t="n"/>
    </row>
    <row r="122">
      <c r="A122" s="112" t="inlineStr">
        <is>
          <t>Tìm Kiếm</t>
        </is>
      </c>
      <c r="B122" s="112" t="inlineStr"/>
      <c r="C122" s="112" t="inlineStr"/>
      <c r="D122" s="112" t="inlineStr"/>
      <c r="E122" s="112" t="inlineStr"/>
      <c r="F122" s="112" t="n">
        <v>65</v>
      </c>
      <c r="G122" s="112" t="n">
        <v>99</v>
      </c>
      <c r="H122" s="112" t="inlineStr"/>
      <c r="I122" s="112" t="inlineStr"/>
      <c r="J122" s="112">
        <f>G122-F122</f>
        <v/>
      </c>
      <c r="K122" s="112">
        <f>IF(G16&gt;0, G122/G16, 0)</f>
        <v/>
      </c>
      <c r="L122" s="112" t="inlineStr"/>
      <c r="M122" s="112" t="inlineStr"/>
      <c r="N122" s="112" t="inlineStr"/>
      <c r="O122" s="112" t="inlineStr"/>
      <c r="P122" s="112" t="n">
        <v>86</v>
      </c>
      <c r="Q122" s="99" t="inlineStr"/>
      <c r="R122" s="99" t="inlineStr"/>
      <c r="S122" s="99" t="inlineStr"/>
      <c r="T122" s="99">
        <f>IF(P16&gt;0, P122/P16, 0)</f>
        <v/>
      </c>
      <c r="U122" s="99" t="n"/>
      <c r="V122" s="99" t="n"/>
      <c r="W122" s="99" t="n"/>
    </row>
    <row r="123">
      <c r="A123" s="112" t="inlineStr">
        <is>
          <t>Tiktok</t>
        </is>
      </c>
      <c r="B123" s="112" t="inlineStr"/>
      <c r="C123" s="112" t="inlineStr"/>
      <c r="D123" s="112" t="inlineStr"/>
      <c r="E123" s="112" t="inlineStr"/>
      <c r="F123" s="112" t="n">
        <v>6463</v>
      </c>
      <c r="G123" s="112" t="n">
        <v>5366</v>
      </c>
      <c r="H123" s="112" t="inlineStr"/>
      <c r="I123" s="112" t="inlineStr"/>
      <c r="J123" s="112">
        <f>G123-F123</f>
        <v/>
      </c>
      <c r="K123" s="112">
        <f>IF(G17&gt;0, G123/G17, 0)</f>
        <v/>
      </c>
      <c r="L123" s="112" t="inlineStr"/>
      <c r="M123" s="112" t="inlineStr"/>
      <c r="N123" s="112" t="inlineStr"/>
      <c r="O123" s="112" t="inlineStr"/>
      <c r="P123" s="112" t="n">
        <v>7237</v>
      </c>
      <c r="Q123" s="99" t="inlineStr"/>
      <c r="R123" s="99" t="inlineStr"/>
      <c r="S123" s="99" t="inlineStr"/>
      <c r="T123" s="99">
        <f>IF(P17&gt;0, P123/P17, 0)</f>
        <v/>
      </c>
      <c r="U123" s="99" t="n"/>
      <c r="V123" s="99" t="n"/>
      <c r="W123" s="99" t="n"/>
    </row>
    <row r="124">
      <c r="A124" s="112" t="inlineStr">
        <is>
          <t>Financial Hub</t>
        </is>
      </c>
      <c r="B124" s="112" t="inlineStr"/>
      <c r="C124" s="112" t="inlineStr"/>
      <c r="D124" s="112" t="inlineStr"/>
      <c r="E124" s="112" t="inlineStr"/>
      <c r="F124" s="112">
        <f>SUM(F125:F138)</f>
        <v/>
      </c>
      <c r="G124" s="112">
        <f>SUM(G125:G138)</f>
        <v/>
      </c>
      <c r="H124" s="112" t="inlineStr"/>
      <c r="I124" s="112" t="inlineStr"/>
      <c r="J124" s="112">
        <f>G124-F124</f>
        <v/>
      </c>
      <c r="K124" s="112">
        <f>IF(G18&gt;0, G124/G18, 0)</f>
        <v/>
      </c>
      <c r="L124" s="112" t="inlineStr"/>
      <c r="M124" s="112" t="inlineStr"/>
      <c r="N124" s="112" t="inlineStr"/>
      <c r="O124" s="112" t="inlineStr"/>
      <c r="P124" s="112">
        <f>SUM(P125:P138)</f>
        <v/>
      </c>
      <c r="Q124" s="99" t="inlineStr"/>
      <c r="R124" s="99" t="inlineStr"/>
      <c r="S124" s="99" t="inlineStr"/>
      <c r="T124" s="99">
        <f>IF(P18&gt;0, P124/P18, 0)</f>
        <v/>
      </c>
      <c r="U124" s="99" t="n"/>
      <c r="V124" s="99" t="n"/>
      <c r="W124" s="99" t="n"/>
    </row>
    <row r="125">
      <c r="A125" s="112" t="inlineStr">
        <is>
          <t>Vay Nhanh</t>
        </is>
      </c>
      <c r="B125" s="112" t="inlineStr"/>
      <c r="C125" s="112" t="inlineStr"/>
      <c r="D125" s="112" t="inlineStr"/>
      <c r="E125" s="112" t="inlineStr"/>
      <c r="F125" s="112" t="n">
        <v>3736</v>
      </c>
      <c r="G125" s="112" t="n">
        <v>1111</v>
      </c>
      <c r="H125" s="112" t="inlineStr"/>
      <c r="I125" s="112" t="inlineStr"/>
      <c r="J125" s="112">
        <f>G125-F125</f>
        <v/>
      </c>
      <c r="K125" s="112">
        <f>IF(G19&gt;0, G125/G19, 0)</f>
        <v/>
      </c>
      <c r="L125" s="112" t="inlineStr"/>
      <c r="M125" s="112" t="inlineStr"/>
      <c r="N125" s="112" t="inlineStr"/>
      <c r="O125" s="112" t="inlineStr"/>
      <c r="P125" s="112" t="n">
        <v>4375</v>
      </c>
      <c r="Q125" s="99" t="inlineStr"/>
      <c r="R125" s="99" t="inlineStr"/>
      <c r="S125" s="99" t="inlineStr"/>
      <c r="T125" s="99">
        <f>IF(P19&gt;0, P125/P19, 0)</f>
        <v/>
      </c>
      <c r="U125" s="99" t="n"/>
      <c r="V125" s="99" t="n"/>
      <c r="W125" s="99" t="n"/>
    </row>
    <row r="126">
      <c r="A126" s="112" t="inlineStr">
        <is>
          <t>Điểm Tín Dụng</t>
        </is>
      </c>
      <c r="B126" s="112" t="inlineStr"/>
      <c r="C126" s="112" t="inlineStr"/>
      <c r="D126" s="112" t="inlineStr"/>
      <c r="E126" s="112" t="inlineStr"/>
      <c r="F126" s="112" t="n">
        <v>554</v>
      </c>
      <c r="G126" s="112" t="n">
        <v>742</v>
      </c>
      <c r="H126" s="112" t="inlineStr"/>
      <c r="I126" s="112" t="inlineStr"/>
      <c r="J126" s="112">
        <f>G126-F126</f>
        <v/>
      </c>
      <c r="K126" s="112">
        <f>IF(G20&gt;0, G126/G20, 0)</f>
        <v/>
      </c>
      <c r="L126" s="112" t="inlineStr"/>
      <c r="M126" s="112" t="inlineStr"/>
      <c r="N126" s="112" t="inlineStr"/>
      <c r="O126" s="112" t="inlineStr"/>
      <c r="P126" s="112" t="n">
        <v>674</v>
      </c>
      <c r="Q126" s="99" t="inlineStr"/>
      <c r="R126" s="99" t="inlineStr"/>
      <c r="S126" s="99" t="inlineStr"/>
      <c r="T126" s="99">
        <f>IF(P20&gt;0, P126/P20, 0)</f>
        <v/>
      </c>
      <c r="U126" s="99" t="n"/>
      <c r="V126" s="99" t="n"/>
      <c r="W126" s="99" t="n"/>
    </row>
    <row r="127">
      <c r="A127" s="112" t="inlineStr">
        <is>
          <t>Ví Trả Sau</t>
        </is>
      </c>
      <c r="B127" s="112" t="inlineStr"/>
      <c r="C127" s="112" t="inlineStr"/>
      <c r="D127" s="112" t="inlineStr"/>
      <c r="E127" s="112" t="inlineStr"/>
      <c r="F127" s="112" t="n">
        <v>5834</v>
      </c>
      <c r="G127" s="112" t="n">
        <v>3113</v>
      </c>
      <c r="H127" s="112" t="inlineStr"/>
      <c r="I127" s="112" t="inlineStr"/>
      <c r="J127" s="112">
        <f>G127-F127</f>
        <v/>
      </c>
      <c r="K127" s="112">
        <f>IF(G21&gt;0, G127/G21, 0)</f>
        <v/>
      </c>
      <c r="L127" s="112" t="inlineStr"/>
      <c r="M127" s="112" t="inlineStr"/>
      <c r="N127" s="112" t="inlineStr"/>
      <c r="O127" s="112" t="inlineStr"/>
      <c r="P127" s="112" t="n">
        <v>6450</v>
      </c>
      <c r="Q127" s="99" t="inlineStr"/>
      <c r="R127" s="99" t="inlineStr"/>
      <c r="S127" s="99" t="inlineStr"/>
      <c r="T127" s="99">
        <f>IF(P21&gt;0, P127/P21, 0)</f>
        <v/>
      </c>
      <c r="U127" s="99" t="n"/>
      <c r="V127" s="99" t="n"/>
      <c r="W127" s="99" t="n"/>
    </row>
    <row r="128">
      <c r="A128" s="112" t="inlineStr">
        <is>
          <t>Túi Thần Tài</t>
        </is>
      </c>
      <c r="B128" s="112" t="inlineStr"/>
      <c r="C128" s="112" t="inlineStr"/>
      <c r="D128" s="112" t="inlineStr"/>
      <c r="E128" s="112" t="inlineStr"/>
      <c r="F128" s="112" t="n">
        <v>39</v>
      </c>
      <c r="G128" s="112" t="n">
        <v>25</v>
      </c>
      <c r="H128" s="112" t="inlineStr"/>
      <c r="I128" s="112" t="inlineStr"/>
      <c r="J128" s="112">
        <f>G128-F128</f>
        <v/>
      </c>
      <c r="K128" s="112">
        <f>IF(G22&gt;0, G128/G22, 0)</f>
        <v/>
      </c>
      <c r="L128" s="112" t="inlineStr"/>
      <c r="M128" s="112" t="inlineStr"/>
      <c r="N128" s="112" t="inlineStr"/>
      <c r="O128" s="112" t="inlineStr"/>
      <c r="P128" s="112" t="n">
        <v>40</v>
      </c>
      <c r="Q128" s="99" t="inlineStr"/>
      <c r="R128" s="99" t="inlineStr"/>
      <c r="S128" s="99" t="inlineStr"/>
      <c r="T128" s="99">
        <f>IF(P22&gt;0, P128/P22, 0)</f>
        <v/>
      </c>
      <c r="U128" s="99" t="n"/>
      <c r="V128" s="99" t="n"/>
      <c r="W128" s="99" t="n"/>
    </row>
    <row r="129">
      <c r="A129" s="112" t="inlineStr">
        <is>
          <t>Mở Thẻ Tín Dụng</t>
        </is>
      </c>
      <c r="B129" s="112" t="inlineStr"/>
      <c r="C129" s="112" t="inlineStr"/>
      <c r="D129" s="112" t="inlineStr"/>
      <c r="E129" s="112" t="inlineStr"/>
      <c r="F129" s="112" t="n">
        <v>19</v>
      </c>
      <c r="G129" s="112" t="n">
        <v>14</v>
      </c>
      <c r="H129" s="112" t="inlineStr"/>
      <c r="I129" s="112" t="inlineStr"/>
      <c r="J129" s="112">
        <f>G129-F129</f>
        <v/>
      </c>
      <c r="K129" s="112">
        <f>IF(G23&gt;0, G129/G23, 0)</f>
        <v/>
      </c>
      <c r="L129" s="112" t="inlineStr"/>
      <c r="M129" s="112" t="inlineStr"/>
      <c r="N129" s="112" t="inlineStr"/>
      <c r="O129" s="112" t="inlineStr"/>
      <c r="P129" s="112" t="n">
        <v>20</v>
      </c>
      <c r="Q129" s="99" t="inlineStr"/>
      <c r="R129" s="99" t="inlineStr"/>
      <c r="S129" s="99" t="inlineStr"/>
      <c r="T129" s="99">
        <f>IF(P23&gt;0, P129/P23, 0)</f>
        <v/>
      </c>
      <c r="U129" s="99" t="n"/>
      <c r="V129" s="99" t="n"/>
      <c r="W129" s="99" t="n"/>
    </row>
    <row r="130">
      <c r="A130" s="112" t="inlineStr">
        <is>
          <t>Quản Lý Chi Tiêu</t>
        </is>
      </c>
      <c r="B130" s="112" t="inlineStr"/>
      <c r="C130" s="112" t="inlineStr"/>
      <c r="D130" s="112" t="inlineStr"/>
      <c r="E130" s="112" t="inlineStr"/>
      <c r="F130" s="112" t="n">
        <v>336</v>
      </c>
      <c r="G130" s="112" t="n">
        <v>160</v>
      </c>
      <c r="H130" s="112" t="inlineStr"/>
      <c r="I130" s="112" t="inlineStr"/>
      <c r="J130" s="112">
        <f>G130-F130</f>
        <v/>
      </c>
      <c r="K130" s="112">
        <f>IF(G24&gt;0, G130/G24, 0)</f>
        <v/>
      </c>
      <c r="L130" s="112" t="inlineStr"/>
      <c r="M130" s="112" t="inlineStr"/>
      <c r="N130" s="112" t="inlineStr"/>
      <c r="O130" s="112" t="inlineStr"/>
      <c r="P130" s="112" t="n">
        <v>380</v>
      </c>
      <c r="Q130" s="99" t="inlineStr"/>
      <c r="R130" s="99" t="inlineStr"/>
      <c r="S130" s="99" t="inlineStr"/>
      <c r="T130" s="99">
        <f>IF(P24&gt;0, P130/P24, 0)</f>
        <v/>
      </c>
      <c r="U130" s="99" t="n"/>
      <c r="V130" s="99" t="n"/>
      <c r="W130" s="99" t="n"/>
    </row>
    <row r="131">
      <c r="A131" s="112" t="inlineStr">
        <is>
          <t>Trả Góp Apple</t>
        </is>
      </c>
      <c r="B131" s="112" t="inlineStr"/>
      <c r="C131" s="112" t="inlineStr"/>
      <c r="D131" s="112" t="inlineStr"/>
      <c r="E131" s="112" t="inlineStr"/>
      <c r="F131" s="112" t="n">
        <v>8</v>
      </c>
      <c r="G131" s="112" t="n">
        <v>2</v>
      </c>
      <c r="H131" s="112" t="inlineStr"/>
      <c r="I131" s="112" t="inlineStr"/>
      <c r="J131" s="112">
        <f>G131-F131</f>
        <v/>
      </c>
      <c r="K131" s="112">
        <f>IF(G25&gt;0, G131/G25, 0)</f>
        <v/>
      </c>
      <c r="L131" s="112" t="inlineStr"/>
      <c r="M131" s="112" t="inlineStr"/>
      <c r="N131" s="112" t="inlineStr"/>
      <c r="O131" s="112" t="inlineStr"/>
      <c r="P131" s="112" t="n">
        <v>8</v>
      </c>
      <c r="Q131" s="99" t="inlineStr"/>
      <c r="R131" s="99" t="inlineStr"/>
      <c r="S131" s="99" t="inlineStr"/>
      <c r="T131" s="99">
        <f>IF(P25&gt;0, P131/P25, 0)</f>
        <v/>
      </c>
      <c r="U131" s="99" t="n"/>
      <c r="V131" s="99" t="n"/>
      <c r="W131" s="99" t="n"/>
    </row>
    <row r="132">
      <c r="A132" s="112" t="inlineStr">
        <is>
          <t>Thanh Toán Khoản Vay</t>
        </is>
      </c>
      <c r="B132" s="112" t="inlineStr"/>
      <c r="C132" s="112" t="inlineStr"/>
      <c r="D132" s="112" t="inlineStr"/>
      <c r="E132" s="112" t="inlineStr"/>
      <c r="F132" s="112" t="n">
        <v>1</v>
      </c>
      <c r="G132" s="112" t="n">
        <v>1</v>
      </c>
      <c r="H132" s="112" t="inlineStr"/>
      <c r="I132" s="112" t="inlineStr"/>
      <c r="J132" s="112">
        <f>G132-F132</f>
        <v/>
      </c>
      <c r="K132" s="112">
        <f>IF(G26&gt;0, G132/G26, 0)</f>
        <v/>
      </c>
      <c r="L132" s="112" t="inlineStr"/>
      <c r="M132" s="112" t="inlineStr"/>
      <c r="N132" s="112" t="inlineStr"/>
      <c r="O132" s="112" t="inlineStr"/>
      <c r="P132" s="112" t="n">
        <v>1</v>
      </c>
      <c r="Q132" s="99" t="inlineStr"/>
      <c r="R132" s="99" t="inlineStr"/>
      <c r="S132" s="99" t="inlineStr"/>
      <c r="T132" s="99">
        <f>IF(P26&gt;0, P132/P26, 0)</f>
        <v/>
      </c>
      <c r="U132" s="99" t="n"/>
      <c r="V132" s="99" t="n"/>
      <c r="W132" s="99" t="n"/>
    </row>
    <row r="133">
      <c r="A133" s="112" t="inlineStr">
        <is>
          <t>Chứng Khoán</t>
        </is>
      </c>
      <c r="B133" s="112" t="inlineStr"/>
      <c r="C133" s="112" t="inlineStr"/>
      <c r="D133" s="112" t="inlineStr"/>
      <c r="E133" s="112" t="inlineStr"/>
      <c r="F133" s="112" t="n">
        <v>6</v>
      </c>
      <c r="G133" s="112" t="n">
        <v>6</v>
      </c>
      <c r="H133" s="112" t="inlineStr"/>
      <c r="I133" s="112" t="inlineStr"/>
      <c r="J133" s="112">
        <f>G133-F133</f>
        <v/>
      </c>
      <c r="K133" s="112">
        <f>IF(G27&gt;0, G133/G27, 0)</f>
        <v/>
      </c>
      <c r="L133" s="112" t="inlineStr"/>
      <c r="M133" s="112" t="inlineStr"/>
      <c r="N133" s="112" t="inlineStr"/>
      <c r="O133" s="112" t="inlineStr"/>
      <c r="P133" s="112" t="n">
        <v>6</v>
      </c>
      <c r="Q133" s="99" t="inlineStr"/>
      <c r="R133" s="99" t="inlineStr"/>
      <c r="S133" s="99" t="inlineStr"/>
      <c r="T133" s="99">
        <f>IF(P27&gt;0, P133/P27, 0)</f>
        <v/>
      </c>
      <c r="U133" s="99" t="n"/>
      <c r="V133" s="99" t="n"/>
      <c r="W133" s="99" t="n"/>
    </row>
    <row r="134">
      <c r="A134" s="112" t="inlineStr">
        <is>
          <t>Tiết Kiệm Online</t>
        </is>
      </c>
      <c r="B134" s="112" t="inlineStr"/>
      <c r="C134" s="112" t="inlineStr"/>
      <c r="D134" s="112" t="inlineStr"/>
      <c r="E134" s="112" t="inlineStr"/>
      <c r="F134" s="112" t="n">
        <v>23</v>
      </c>
      <c r="G134" s="112" t="n">
        <v>11</v>
      </c>
      <c r="H134" s="112" t="inlineStr"/>
      <c r="I134" s="112" t="inlineStr"/>
      <c r="J134" s="112">
        <f>G134-F134</f>
        <v/>
      </c>
      <c r="K134" s="112">
        <f>IF(G28&gt;0, G134/G28, 0)</f>
        <v/>
      </c>
      <c r="L134" s="112" t="inlineStr"/>
      <c r="M134" s="112" t="inlineStr"/>
      <c r="N134" s="112" t="inlineStr"/>
      <c r="O134" s="112" t="inlineStr"/>
      <c r="P134" s="112" t="n">
        <v>23</v>
      </c>
      <c r="Q134" s="99" t="inlineStr"/>
      <c r="R134" s="99" t="inlineStr"/>
      <c r="S134" s="99" t="inlineStr"/>
      <c r="T134" s="99">
        <f>IF(P28&gt;0, P134/P28, 0)</f>
        <v/>
      </c>
      <c r="U134" s="99" t="n"/>
      <c r="V134" s="99" t="n"/>
      <c r="W134" s="99" t="n"/>
    </row>
    <row r="135">
      <c r="A135" s="112" t="inlineStr">
        <is>
          <t>Thanh Toán Thẻ Tín Dụng</t>
        </is>
      </c>
      <c r="B135" s="112" t="inlineStr"/>
      <c r="C135" s="112" t="inlineStr"/>
      <c r="D135" s="112" t="inlineStr"/>
      <c r="E135" s="112" t="inlineStr"/>
      <c r="F135" s="112" t="n">
        <v>3</v>
      </c>
      <c r="G135" s="112" t="n">
        <v>1</v>
      </c>
      <c r="H135" s="112" t="inlineStr"/>
      <c r="I135" s="112" t="inlineStr"/>
      <c r="J135" s="112">
        <f>G135-F135</f>
        <v/>
      </c>
      <c r="K135" s="112">
        <f>IF(G29&gt;0, G135/G29, 0)</f>
        <v/>
      </c>
      <c r="L135" s="112" t="inlineStr"/>
      <c r="M135" s="112" t="inlineStr"/>
      <c r="N135" s="112" t="inlineStr"/>
      <c r="O135" s="112" t="inlineStr"/>
      <c r="P135" s="112" t="n">
        <v>3</v>
      </c>
      <c r="Q135" s="99" t="inlineStr"/>
      <c r="R135" s="99" t="inlineStr"/>
      <c r="S135" s="99" t="inlineStr"/>
      <c r="T135" s="99">
        <f>IF(P29&gt;0, P135/P29, 0)</f>
        <v/>
      </c>
      <c r="U135" s="99" t="n"/>
      <c r="V135" s="99" t="n"/>
      <c r="W135" s="99" t="n"/>
    </row>
    <row r="136">
      <c r="A136" s="112" t="inlineStr">
        <is>
          <t>Chứng Chỉ Quỹ</t>
        </is>
      </c>
      <c r="B136" s="112" t="inlineStr"/>
      <c r="C136" s="112" t="inlineStr"/>
      <c r="D136" s="112" t="inlineStr"/>
      <c r="E136" s="112" t="inlineStr"/>
      <c r="F136" s="112" t="n">
        <v>0</v>
      </c>
      <c r="G136" s="112" t="n">
        <v>2</v>
      </c>
      <c r="H136" s="112" t="inlineStr"/>
      <c r="I136" s="112" t="inlineStr"/>
      <c r="J136" s="112">
        <f>G136-F136</f>
        <v/>
      </c>
      <c r="K136" s="112">
        <f>IF(G30&gt;0, G136/G30, 0)</f>
        <v/>
      </c>
      <c r="L136" s="112" t="inlineStr"/>
      <c r="M136" s="112" t="inlineStr"/>
      <c r="N136" s="112" t="inlineStr"/>
      <c r="O136" s="112" t="inlineStr"/>
      <c r="P136" s="112" t="n">
        <v>0</v>
      </c>
      <c r="Q136" s="99" t="inlineStr"/>
      <c r="R136" s="99" t="inlineStr"/>
      <c r="S136" s="99" t="inlineStr"/>
      <c r="T136" s="99">
        <f>IF(P30&gt;0, P136/P30, 0)</f>
        <v/>
      </c>
      <c r="U136" s="99" t="n"/>
      <c r="V136" s="99" t="n"/>
      <c r="W136" s="99" t="n"/>
    </row>
    <row r="137">
      <c r="A137" s="112" t="inlineStr">
        <is>
          <t>Trung Tâm Tài Chính</t>
        </is>
      </c>
      <c r="B137" s="112" t="inlineStr"/>
      <c r="C137" s="112" t="inlineStr"/>
      <c r="D137" s="112" t="inlineStr"/>
      <c r="E137" s="112" t="inlineStr"/>
      <c r="F137" s="112" t="n">
        <v>58</v>
      </c>
      <c r="G137" s="112" t="n">
        <v>276</v>
      </c>
      <c r="H137" s="112" t="inlineStr"/>
      <c r="I137" s="112" t="inlineStr"/>
      <c r="J137" s="112">
        <f>G137-F137</f>
        <v/>
      </c>
      <c r="K137" s="112">
        <f>IF(G31&gt;0, G137/G31, 0)</f>
        <v/>
      </c>
      <c r="L137" s="112" t="inlineStr"/>
      <c r="M137" s="112" t="inlineStr"/>
      <c r="N137" s="112" t="inlineStr"/>
      <c r="O137" s="112" t="inlineStr"/>
      <c r="P137" s="112" t="n">
        <v>61</v>
      </c>
      <c r="Q137" s="99" t="inlineStr"/>
      <c r="R137" s="99" t="inlineStr"/>
      <c r="S137" s="99" t="inlineStr"/>
      <c r="T137" s="99">
        <f>IF(P31&gt;0, P137/P31, 0)</f>
        <v/>
      </c>
      <c r="U137" s="99" t="n"/>
      <c r="V137" s="99" t="n"/>
      <c r="W137" s="99" t="n"/>
    </row>
    <row r="138">
      <c r="A138" s="112" t="inlineStr">
        <is>
          <t>Sàn Đầu Tư</t>
        </is>
      </c>
      <c r="B138" s="112" t="inlineStr"/>
      <c r="C138" s="112" t="inlineStr"/>
      <c r="D138" s="112" t="inlineStr"/>
      <c r="E138" s="112" t="inlineStr"/>
      <c r="F138" s="112" t="n">
        <v>1</v>
      </c>
      <c r="G138" s="112" t="n">
        <v>0</v>
      </c>
      <c r="H138" s="112" t="inlineStr"/>
      <c r="I138" s="112" t="inlineStr"/>
      <c r="J138" s="112">
        <f>G138-F138</f>
        <v/>
      </c>
      <c r="K138" s="112">
        <f>IF(G32&gt;0, G138/G32, 0)</f>
        <v/>
      </c>
      <c r="L138" s="112" t="inlineStr"/>
      <c r="M138" s="112" t="inlineStr"/>
      <c r="N138" s="112" t="inlineStr"/>
      <c r="O138" s="112" t="inlineStr"/>
      <c r="P138" s="112" t="n">
        <v>1</v>
      </c>
      <c r="Q138" s="99" t="inlineStr"/>
      <c r="R138" s="99" t="inlineStr"/>
      <c r="S138" s="99" t="inlineStr"/>
      <c r="T138" s="99">
        <f>IF(P32&gt;0, P138/P32, 0)</f>
        <v/>
      </c>
      <c r="U138" s="99" t="n"/>
      <c r="V138" s="99" t="n"/>
      <c r="W138" s="99" t="n"/>
    </row>
    <row r="139">
      <c r="A139" s="112" t="inlineStr">
        <is>
          <t>Vehicle Hub</t>
        </is>
      </c>
      <c r="B139" s="112" t="inlineStr"/>
      <c r="C139" s="112" t="inlineStr"/>
      <c r="D139" s="112" t="inlineStr"/>
      <c r="E139" s="112" t="inlineStr"/>
      <c r="F139" s="112">
        <f>SUM(F140:F143)</f>
        <v/>
      </c>
      <c r="G139" s="112">
        <f>SUM(G140:G143)</f>
        <v/>
      </c>
      <c r="H139" s="112" t="inlineStr"/>
      <c r="I139" s="112" t="inlineStr"/>
      <c r="J139" s="112">
        <f>G139-F139</f>
        <v/>
      </c>
      <c r="K139" s="112">
        <f>IF(G33&gt;0, G139/G33, 0)</f>
        <v/>
      </c>
      <c r="L139" s="112" t="inlineStr"/>
      <c r="M139" s="112" t="inlineStr"/>
      <c r="N139" s="112" t="inlineStr"/>
      <c r="O139" s="112" t="inlineStr"/>
      <c r="P139" s="112">
        <f>SUM(P140:P143)</f>
        <v/>
      </c>
      <c r="Q139" s="99" t="inlineStr"/>
      <c r="R139" s="99" t="inlineStr"/>
      <c r="S139" s="99" t="inlineStr"/>
      <c r="T139" s="99">
        <f>IF(P33&gt;0, P139/P33, 0)</f>
        <v/>
      </c>
      <c r="U139" s="99" t="n"/>
      <c r="V139" s="99" t="n"/>
      <c r="W139" s="99" t="n"/>
    </row>
    <row r="140">
      <c r="A140" s="112" t="inlineStr">
        <is>
          <t>Phạt nguội</t>
        </is>
      </c>
      <c r="B140" s="112" t="inlineStr"/>
      <c r="C140" s="112" t="inlineStr"/>
      <c r="D140" s="112" t="inlineStr"/>
      <c r="E140" s="112" t="inlineStr"/>
      <c r="F140" s="112" t="n">
        <v>385</v>
      </c>
      <c r="G140" s="112" t="n">
        <v>844</v>
      </c>
      <c r="H140" s="112" t="inlineStr"/>
      <c r="I140" s="112" t="inlineStr"/>
      <c r="J140" s="112">
        <f>G140-F140</f>
        <v/>
      </c>
      <c r="K140" s="112">
        <f>IF(G34&gt;0, G140/G34, 0)</f>
        <v/>
      </c>
      <c r="L140" s="112" t="inlineStr"/>
      <c r="M140" s="112" t="inlineStr"/>
      <c r="N140" s="112" t="inlineStr"/>
      <c r="O140" s="112" t="inlineStr"/>
      <c r="P140" s="112" t="n">
        <v>472</v>
      </c>
      <c r="Q140" s="99" t="inlineStr"/>
      <c r="R140" s="99" t="inlineStr"/>
      <c r="S140" s="99" t="inlineStr"/>
      <c r="T140" s="99">
        <f>IF(P34&gt;0, P140/P34, 0)</f>
        <v/>
      </c>
      <c r="U140" s="99" t="n"/>
      <c r="V140" s="99" t="n"/>
      <c r="W140" s="99" t="n"/>
    </row>
    <row r="141">
      <c r="A141" s="112" t="inlineStr">
        <is>
          <t>Bảo hiểm ô tô</t>
        </is>
      </c>
      <c r="B141" s="112" t="inlineStr"/>
      <c r="C141" s="112" t="inlineStr"/>
      <c r="D141" s="112" t="inlineStr"/>
      <c r="E141" s="112" t="inlineStr"/>
      <c r="F141" s="112" t="n">
        <v>17</v>
      </c>
      <c r="G141" s="112" t="n">
        <v>31</v>
      </c>
      <c r="H141" s="112" t="inlineStr"/>
      <c r="I141" s="112" t="inlineStr"/>
      <c r="J141" s="112">
        <f>G141-F141</f>
        <v/>
      </c>
      <c r="K141" s="112">
        <f>IF(G35&gt;0, G141/G35, 0)</f>
        <v/>
      </c>
      <c r="L141" s="112" t="inlineStr"/>
      <c r="M141" s="112" t="inlineStr"/>
      <c r="N141" s="112" t="inlineStr"/>
      <c r="O141" s="112" t="inlineStr"/>
      <c r="P141" s="112" t="n">
        <v>22</v>
      </c>
      <c r="Q141" s="99" t="inlineStr"/>
      <c r="R141" s="99" t="inlineStr"/>
      <c r="S141" s="99" t="inlineStr"/>
      <c r="T141" s="99">
        <f>IF(P35&gt;0, P141/P35, 0)</f>
        <v/>
      </c>
      <c r="U141" s="99" t="n"/>
      <c r="V141" s="99" t="n"/>
      <c r="W141" s="99" t="n"/>
    </row>
    <row r="142">
      <c r="A142" s="112" t="inlineStr">
        <is>
          <t>Bảo hiểm xe máy</t>
        </is>
      </c>
      <c r="B142" s="112" t="inlineStr"/>
      <c r="C142" s="112" t="inlineStr"/>
      <c r="D142" s="112" t="inlineStr"/>
      <c r="E142" s="112" t="inlineStr"/>
      <c r="F142" s="112" t="n">
        <v>101</v>
      </c>
      <c r="G142" s="112" t="n">
        <v>150</v>
      </c>
      <c r="H142" s="112" t="inlineStr"/>
      <c r="I142" s="112" t="inlineStr"/>
      <c r="J142" s="112">
        <f>G142-F142</f>
        <v/>
      </c>
      <c r="K142" s="112">
        <f>IF(G36&gt;0, G142/G36, 0)</f>
        <v/>
      </c>
      <c r="L142" s="112" t="inlineStr"/>
      <c r="M142" s="112" t="inlineStr"/>
      <c r="N142" s="112" t="inlineStr"/>
      <c r="O142" s="112" t="inlineStr"/>
      <c r="P142" s="112" t="n">
        <v>127</v>
      </c>
      <c r="Q142" s="99" t="inlineStr"/>
      <c r="R142" s="99" t="inlineStr"/>
      <c r="S142" s="99" t="inlineStr"/>
      <c r="T142" s="99">
        <f>IF(P36&gt;0, P142/P36, 0)</f>
        <v/>
      </c>
      <c r="U142" s="99" t="n"/>
      <c r="V142" s="99" t="n"/>
      <c r="W142" s="99" t="n"/>
    </row>
    <row r="143">
      <c r="A143" s="112" t="inlineStr">
        <is>
          <t>Tiện ích giao thông</t>
        </is>
      </c>
      <c r="B143" s="112" t="inlineStr"/>
      <c r="C143" s="112" t="inlineStr"/>
      <c r="D143" s="112" t="inlineStr"/>
      <c r="E143" s="112" t="inlineStr"/>
      <c r="F143" s="112" t="n">
        <v>19</v>
      </c>
      <c r="G143" s="112" t="n">
        <v>1217</v>
      </c>
      <c r="H143" s="112" t="inlineStr"/>
      <c r="I143" s="112" t="inlineStr"/>
      <c r="J143" s="112">
        <f>G143-F143</f>
        <v/>
      </c>
      <c r="K143" s="112">
        <f>IF(G37&gt;0, G143/G37, 0)</f>
        <v/>
      </c>
      <c r="L143" s="112" t="inlineStr"/>
      <c r="M143" s="112" t="inlineStr"/>
      <c r="N143" s="112" t="inlineStr"/>
      <c r="O143" s="112" t="inlineStr"/>
      <c r="P143" s="112" t="n">
        <v>26</v>
      </c>
      <c r="Q143" s="99" t="inlineStr"/>
      <c r="R143" s="99" t="inlineStr"/>
      <c r="S143" s="99" t="inlineStr"/>
      <c r="T143" s="99">
        <f>IF(P37&gt;0, P143/P37, 0)</f>
        <v/>
      </c>
      <c r="U143" s="99" t="n"/>
      <c r="V143" s="99" t="n"/>
      <c r="W143" s="99" t="n"/>
    </row>
    <row r="144">
      <c r="A144" s="112" t="inlineStr">
        <is>
          <t>Vé Xe</t>
        </is>
      </c>
      <c r="B144" s="112" t="inlineStr"/>
      <c r="C144" s="112" t="inlineStr"/>
      <c r="D144" s="112" t="inlineStr"/>
      <c r="E144" s="112" t="inlineStr"/>
      <c r="F144" s="112" t="n">
        <v>92</v>
      </c>
      <c r="G144" s="112" t="n">
        <v>66</v>
      </c>
      <c r="H144" s="112" t="inlineStr"/>
      <c r="I144" s="112" t="inlineStr"/>
      <c r="J144" s="112">
        <f>G144-F144</f>
        <v/>
      </c>
      <c r="K144" s="112">
        <f>IF(G38&gt;0, G144/G38, 0)</f>
        <v/>
      </c>
      <c r="L144" s="112" t="inlineStr"/>
      <c r="M144" s="112" t="inlineStr"/>
      <c r="N144" s="112" t="inlineStr"/>
      <c r="O144" s="112" t="inlineStr"/>
      <c r="P144" s="112" t="n">
        <v>98</v>
      </c>
      <c r="Q144" s="99" t="inlineStr"/>
      <c r="R144" s="99" t="inlineStr"/>
      <c r="S144" s="99" t="inlineStr"/>
      <c r="T144" s="99">
        <f>IF(P38&gt;0, P144/P38, 0)</f>
        <v/>
      </c>
      <c r="U144" s="99" t="n"/>
      <c r="V144" s="99" t="n"/>
      <c r="W144" s="99" t="n"/>
    </row>
    <row r="145">
      <c r="A145" s="112" t="inlineStr">
        <is>
          <t>OTA</t>
        </is>
      </c>
      <c r="B145" s="112" t="inlineStr"/>
      <c r="C145" s="112" t="inlineStr"/>
      <c r="D145" s="112" t="inlineStr"/>
      <c r="E145" s="112" t="inlineStr"/>
      <c r="F145" s="112" t="n">
        <v>129</v>
      </c>
      <c r="G145" s="112" t="n">
        <v>123</v>
      </c>
      <c r="H145" s="112" t="inlineStr"/>
      <c r="I145" s="112" t="inlineStr"/>
      <c r="J145" s="112">
        <f>G145-F145</f>
        <v/>
      </c>
      <c r="K145" s="112">
        <f>IF(G39&gt;0, G145/G39, 0)</f>
        <v/>
      </c>
      <c r="L145" s="112" t="inlineStr"/>
      <c r="M145" s="112" t="inlineStr"/>
      <c r="N145" s="112" t="inlineStr"/>
      <c r="O145" s="112" t="inlineStr"/>
      <c r="P145" s="112" t="n">
        <v>169</v>
      </c>
      <c r="Q145" s="99" t="inlineStr"/>
      <c r="R145" s="99" t="inlineStr"/>
      <c r="S145" s="99" t="inlineStr"/>
      <c r="T145" s="99">
        <f>IF(P39&gt;0, P145/P39, 0)</f>
        <v/>
      </c>
      <c r="U145" s="99" t="n"/>
      <c r="V145" s="99" t="n"/>
      <c r="W145" s="99" t="n"/>
    </row>
    <row r="146">
      <c r="A146" s="112" t="inlineStr">
        <is>
          <t>Merchant</t>
        </is>
      </c>
      <c r="B146" s="112" t="inlineStr"/>
      <c r="C146" s="112" t="inlineStr"/>
      <c r="D146" s="112" t="inlineStr"/>
      <c r="E146" s="112" t="inlineStr"/>
      <c r="F146" s="112" t="n">
        <v>665</v>
      </c>
      <c r="G146" s="112" t="n">
        <v>709</v>
      </c>
      <c r="H146" s="112" t="inlineStr"/>
      <c r="I146" s="112" t="inlineStr"/>
      <c r="J146" s="112">
        <f>G146-F146</f>
        <v/>
      </c>
      <c r="K146" s="112">
        <f>IF(G40&gt;0, G146/G40, 0)</f>
        <v/>
      </c>
      <c r="L146" s="112" t="inlineStr"/>
      <c r="M146" s="112" t="inlineStr"/>
      <c r="N146" s="112" t="inlineStr"/>
      <c r="O146" s="112" t="inlineStr"/>
      <c r="P146" s="112" t="n">
        <v>732</v>
      </c>
      <c r="Q146" s="99" t="inlineStr"/>
      <c r="R146" s="99" t="inlineStr"/>
      <c r="S146" s="99" t="inlineStr"/>
      <c r="T146" s="99">
        <f>IF(P40&gt;0, P146/P40, 0)</f>
        <v/>
      </c>
      <c r="U146" s="99" t="n"/>
      <c r="V146" s="99" t="n"/>
      <c r="W146" s="99" t="n"/>
    </row>
    <row r="147">
      <c r="A147" s="112" t="inlineStr">
        <is>
          <t>Sim</t>
        </is>
      </c>
      <c r="B147" s="112" t="inlineStr"/>
      <c r="C147" s="112" t="inlineStr"/>
      <c r="D147" s="112" t="inlineStr"/>
      <c r="E147" s="112" t="inlineStr"/>
      <c r="F147" s="112" t="n">
        <v>54</v>
      </c>
      <c r="G147" s="112" t="n">
        <v>38</v>
      </c>
      <c r="H147" s="112" t="inlineStr"/>
      <c r="I147" s="112" t="inlineStr"/>
      <c r="J147" s="112">
        <f>G147-F147</f>
        <v/>
      </c>
      <c r="K147" s="112">
        <f>IF(G41&gt;0, G147/G41, 0)</f>
        <v/>
      </c>
      <c r="L147" s="112" t="inlineStr"/>
      <c r="M147" s="112" t="inlineStr"/>
      <c r="N147" s="112" t="inlineStr"/>
      <c r="O147" s="112" t="inlineStr"/>
      <c r="P147" s="112" t="n">
        <v>61</v>
      </c>
      <c r="Q147" s="99" t="inlineStr"/>
      <c r="R147" s="99" t="inlineStr"/>
      <c r="S147" s="99" t="inlineStr"/>
      <c r="T147" s="99">
        <f>IF(P41&gt;0, P147/P41, 0)</f>
        <v/>
      </c>
      <c r="U147" s="99" t="n"/>
      <c r="V147" s="99" t="n"/>
      <c r="W147" s="99" t="n"/>
    </row>
    <row r="148">
      <c r="A148" s="112" t="inlineStr">
        <is>
          <t>Sim</t>
        </is>
      </c>
      <c r="B148" s="112" t="inlineStr"/>
      <c r="C148" s="112" t="inlineStr"/>
      <c r="D148" s="112" t="inlineStr"/>
      <c r="E148" s="112" t="inlineStr"/>
      <c r="F148" s="112" t="n">
        <v>54</v>
      </c>
      <c r="G148" s="112" t="n">
        <v>38</v>
      </c>
      <c r="H148" s="112" t="inlineStr"/>
      <c r="I148" s="112" t="inlineStr"/>
      <c r="J148" s="112">
        <f>G148-F148</f>
        <v/>
      </c>
      <c r="K148" s="112">
        <f>IF(G42&gt;0, G148/G42, 0)</f>
        <v/>
      </c>
      <c r="L148" s="112" t="inlineStr"/>
      <c r="M148" s="112" t="inlineStr"/>
      <c r="N148" s="112" t="inlineStr"/>
      <c r="O148" s="112" t="inlineStr"/>
      <c r="P148" s="112" t="n">
        <v>61</v>
      </c>
      <c r="Q148" s="99" t="inlineStr"/>
      <c r="R148" s="99" t="inlineStr"/>
      <c r="S148" s="99" t="inlineStr"/>
      <c r="T148" s="99">
        <f>IF(P42&gt;0, P148/P42, 0)</f>
        <v/>
      </c>
      <c r="U148" s="99" t="n"/>
      <c r="V148" s="99" t="n"/>
      <c r="W148" s="99" t="n"/>
    </row>
    <row r="149">
      <c r="A149" s="112" t="inlineStr">
        <is>
          <t>Esim</t>
        </is>
      </c>
      <c r="B149" s="112" t="inlineStr"/>
      <c r="C149" s="112" t="inlineStr"/>
      <c r="D149" s="112" t="inlineStr"/>
      <c r="E149" s="112" t="inlineStr"/>
      <c r="F149" s="112" t="n">
        <v>58</v>
      </c>
      <c r="G149" s="112" t="n">
        <v>15</v>
      </c>
      <c r="H149" s="112" t="inlineStr"/>
      <c r="I149" s="112" t="inlineStr"/>
      <c r="J149" s="112">
        <f>G149-F149</f>
        <v/>
      </c>
      <c r="K149" s="112">
        <f>IF(G43&gt;0, G149/G43, 0)</f>
        <v/>
      </c>
      <c r="L149" s="112" t="inlineStr"/>
      <c r="M149" s="112" t="inlineStr"/>
      <c r="N149" s="112" t="inlineStr"/>
      <c r="O149" s="112" t="inlineStr"/>
      <c r="P149" s="112" t="n">
        <v>70</v>
      </c>
      <c r="Q149" s="99" t="inlineStr"/>
      <c r="R149" s="99" t="inlineStr"/>
      <c r="S149" s="99" t="inlineStr"/>
      <c r="T149" s="99">
        <f>IF(P43&gt;0, P149/P43, 0)</f>
        <v/>
      </c>
      <c r="U149" s="99" t="n"/>
      <c r="V149" s="99" t="n"/>
      <c r="W149" s="99" t="n"/>
    </row>
    <row r="150">
      <c r="A150" s="112" t="inlineStr">
        <is>
          <t>Game</t>
        </is>
      </c>
      <c r="B150" s="112" t="inlineStr"/>
      <c r="C150" s="112" t="inlineStr"/>
      <c r="D150" s="112" t="inlineStr"/>
      <c r="E150" s="112" t="inlineStr"/>
      <c r="F150" s="112" t="n">
        <v>23961</v>
      </c>
      <c r="G150" s="112" t="n">
        <v>29984</v>
      </c>
      <c r="H150" s="112" t="inlineStr"/>
      <c r="I150" s="112" t="inlineStr"/>
      <c r="J150" s="112">
        <f>G150-F150</f>
        <v/>
      </c>
      <c r="K150" s="112">
        <f>IF(G44&gt;0, G150/G44, 0)</f>
        <v/>
      </c>
      <c r="L150" s="112" t="inlineStr"/>
      <c r="M150" s="112" t="inlineStr"/>
      <c r="N150" s="112" t="inlineStr"/>
      <c r="O150" s="112" t="inlineStr"/>
      <c r="P150" s="112" t="n">
        <v>24733</v>
      </c>
      <c r="Q150" s="99" t="inlineStr"/>
      <c r="R150" s="99" t="inlineStr"/>
      <c r="S150" s="99" t="inlineStr"/>
      <c r="T150" s="99">
        <f>IF(P44&gt;0, P150/P44, 0)</f>
        <v/>
      </c>
      <c r="U150" s="99" t="n"/>
      <c r="V150" s="99" t="n"/>
      <c r="W150" s="99" t="n"/>
    </row>
    <row r="151">
      <c r="A151" s="112" t="inlineStr">
        <is>
          <t>Bảo hiểm y tế</t>
        </is>
      </c>
      <c r="B151" s="112" t="inlineStr"/>
      <c r="C151" s="112" t="inlineStr"/>
      <c r="D151" s="112" t="inlineStr"/>
      <c r="E151" s="112" t="inlineStr"/>
      <c r="F151" s="112" t="n">
        <v>213</v>
      </c>
      <c r="G151" s="112" t="n">
        <v>207</v>
      </c>
      <c r="H151" s="112" t="inlineStr"/>
      <c r="I151" s="112" t="inlineStr"/>
      <c r="J151" s="112">
        <f>G151-F151</f>
        <v/>
      </c>
      <c r="K151" s="112">
        <f>IF(G45&gt;0, G151/G45, 0)</f>
        <v/>
      </c>
      <c r="L151" s="112" t="inlineStr"/>
      <c r="M151" s="112" t="inlineStr"/>
      <c r="N151" s="112" t="inlineStr"/>
      <c r="O151" s="112" t="inlineStr"/>
      <c r="P151" s="112" t="n">
        <v>238</v>
      </c>
      <c r="Q151" s="99" t="inlineStr"/>
      <c r="R151" s="99" t="inlineStr"/>
      <c r="S151" s="99" t="inlineStr"/>
      <c r="T151" s="99">
        <f>IF(P45&gt;0, P151/P45, 0)</f>
        <v/>
      </c>
      <c r="U151" s="99" t="n"/>
      <c r="V151" s="99" t="n"/>
      <c r="W151" s="99" t="n"/>
    </row>
    <row r="152">
      <c r="A152" s="112" t="inlineStr">
        <is>
          <t>Data</t>
        </is>
      </c>
      <c r="B152" s="112" t="inlineStr"/>
      <c r="C152" s="112" t="inlineStr"/>
      <c r="D152" s="112" t="inlineStr"/>
      <c r="E152" s="112" t="inlineStr"/>
      <c r="F152" s="112" t="n">
        <v>38</v>
      </c>
      <c r="G152" s="112" t="n">
        <v>28</v>
      </c>
      <c r="H152" s="112" t="inlineStr"/>
      <c r="I152" s="112" t="inlineStr"/>
      <c r="J152" s="112">
        <f>G152-F152</f>
        <v/>
      </c>
      <c r="K152" s="112">
        <f>IF(G46&gt;0, G152/G46, 0)</f>
        <v/>
      </c>
      <c r="L152" s="112" t="inlineStr"/>
      <c r="M152" s="112" t="inlineStr"/>
      <c r="N152" s="112" t="inlineStr"/>
      <c r="O152" s="112" t="inlineStr"/>
      <c r="P152" s="112" t="n">
        <v>38</v>
      </c>
      <c r="Q152" s="99" t="inlineStr"/>
      <c r="R152" s="99" t="inlineStr"/>
      <c r="S152" s="99" t="inlineStr"/>
      <c r="T152" s="99">
        <f>IF(P46&gt;0, P152/P46, 0)</f>
        <v/>
      </c>
      <c r="U152" s="99" t="n"/>
      <c r="V152" s="99" t="n"/>
      <c r="W152" s="99" t="n"/>
    </row>
    <row r="153">
      <c r="A153" s="112" t="inlineStr">
        <is>
          <t>Soundbox</t>
        </is>
      </c>
      <c r="B153" s="112" t="inlineStr"/>
      <c r="C153" s="112" t="inlineStr"/>
      <c r="D153" s="112" t="inlineStr"/>
      <c r="E153" s="112" t="inlineStr"/>
      <c r="F153" s="112" t="n">
        <v>52</v>
      </c>
      <c r="G153" s="112" t="n">
        <v>30</v>
      </c>
      <c r="H153" s="112" t="inlineStr"/>
      <c r="I153" s="112" t="inlineStr"/>
      <c r="J153" s="112">
        <f>G153-F153</f>
        <v/>
      </c>
      <c r="K153" s="112">
        <f>IF(G47&gt;0, G153/G47, 0)</f>
        <v/>
      </c>
      <c r="L153" s="112" t="inlineStr"/>
      <c r="M153" s="112" t="inlineStr"/>
      <c r="N153" s="112" t="inlineStr"/>
      <c r="O153" s="112" t="inlineStr"/>
      <c r="P153" s="112" t="n">
        <v>57</v>
      </c>
      <c r="Q153" s="99" t="inlineStr"/>
      <c r="R153" s="99" t="inlineStr"/>
      <c r="S153" s="99" t="inlineStr"/>
      <c r="T153" s="99">
        <f>IF(P47&gt;0, P153/P47, 0)</f>
        <v/>
      </c>
      <c r="U153" s="99" t="n"/>
      <c r="V153" s="99" t="n"/>
      <c r="W153" s="99" t="n"/>
    </row>
    <row r="154">
      <c r="A154" s="112" t="inlineStr">
        <is>
          <t>New User</t>
        </is>
      </c>
      <c r="B154" s="112" t="inlineStr"/>
      <c r="C154" s="112" t="inlineStr"/>
      <c r="D154" s="112" t="inlineStr"/>
      <c r="E154" s="112" t="inlineStr"/>
      <c r="F154" s="112" t="n">
        <v>3774</v>
      </c>
      <c r="G154" s="112" t="n">
        <v>5351</v>
      </c>
      <c r="H154" s="112" t="inlineStr"/>
      <c r="I154" s="112" t="inlineStr"/>
      <c r="J154" s="112">
        <f>G154-F154</f>
        <v/>
      </c>
      <c r="K154" s="112">
        <f>IF(G48&gt;0, G154/G48, 0)</f>
        <v/>
      </c>
      <c r="L154" s="112" t="inlineStr"/>
      <c r="M154" s="112" t="inlineStr"/>
      <c r="N154" s="112" t="inlineStr"/>
      <c r="O154" s="112" t="inlineStr"/>
      <c r="P154" s="112" t="n">
        <v>4131</v>
      </c>
      <c r="Q154" s="99" t="inlineStr"/>
      <c r="R154" s="99" t="inlineStr"/>
      <c r="S154" s="99" t="inlineStr"/>
      <c r="T154" s="99">
        <f>IF(P48&gt;0, P154/P48, 0)</f>
        <v/>
      </c>
      <c r="U154" s="99" t="n"/>
      <c r="V154" s="99" t="n"/>
      <c r="W154" s="99" t="n"/>
    </row>
    <row r="155">
      <c r="A155" s="112" t="inlineStr">
        <is>
          <t>Hỏi đáp</t>
        </is>
      </c>
      <c r="B155" s="112" t="inlineStr"/>
      <c r="C155" s="112" t="inlineStr"/>
      <c r="D155" s="112" t="inlineStr"/>
      <c r="E155" s="112" t="inlineStr"/>
      <c r="F155" s="112" t="n">
        <v>1479</v>
      </c>
      <c r="G155" s="112" t="n">
        <v>1567</v>
      </c>
      <c r="H155" s="112" t="inlineStr"/>
      <c r="I155" s="112" t="inlineStr"/>
      <c r="J155" s="112">
        <f>G155-F155</f>
        <v/>
      </c>
      <c r="K155" s="112">
        <f>IF(G49&gt;0, G155/G49, 0)</f>
        <v/>
      </c>
      <c r="L155" s="112" t="inlineStr"/>
      <c r="M155" s="112" t="inlineStr"/>
      <c r="N155" s="112" t="inlineStr"/>
      <c r="O155" s="112" t="inlineStr"/>
      <c r="P155" s="112" t="n">
        <v>1712</v>
      </c>
      <c r="Q155" s="99" t="inlineStr"/>
      <c r="R155" s="99" t="inlineStr"/>
      <c r="S155" s="99" t="inlineStr"/>
      <c r="T155" s="99">
        <f>IF(P49&gt;0, P155/P49, 0)</f>
        <v/>
      </c>
      <c r="U155" s="99" t="n"/>
      <c r="V155" s="99" t="n"/>
      <c r="W155" s="99" t="n"/>
    </row>
    <row r="156">
      <c r="A156" s="112" t="inlineStr">
        <is>
          <t>TnC</t>
        </is>
      </c>
      <c r="B156" s="112" t="inlineStr"/>
      <c r="C156" s="112" t="inlineStr"/>
      <c r="D156" s="112" t="inlineStr"/>
      <c r="E156" s="112" t="inlineStr"/>
      <c r="F156" s="112" t="n">
        <v>303</v>
      </c>
      <c r="G156" s="112" t="n">
        <v>345</v>
      </c>
      <c r="H156" s="112" t="inlineStr"/>
      <c r="I156" s="112" t="inlineStr"/>
      <c r="J156" s="112">
        <f>G156-F156</f>
        <v/>
      </c>
      <c r="K156" s="112">
        <f>IF(G50&gt;0, G156/G50, 0)</f>
        <v/>
      </c>
      <c r="L156" s="112" t="inlineStr"/>
      <c r="M156" s="112" t="inlineStr"/>
      <c r="N156" s="112" t="inlineStr"/>
      <c r="O156" s="112" t="inlineStr"/>
      <c r="P156" s="112" t="n">
        <v>357</v>
      </c>
      <c r="Q156" s="99" t="inlineStr"/>
      <c r="R156" s="99" t="inlineStr"/>
      <c r="S156" s="99" t="inlineStr"/>
      <c r="T156" s="99">
        <f>IF(P50&gt;0, P156/P50, 0)</f>
        <v/>
      </c>
      <c r="U156" s="99" t="n"/>
      <c r="V156" s="99" t="n"/>
      <c r="W156" s="99" t="n"/>
    </row>
    <row r="157">
      <c r="A157" s="112" t="inlineStr">
        <is>
          <t>Trust</t>
        </is>
      </c>
      <c r="B157" s="112" t="inlineStr"/>
      <c r="C157" s="112" t="inlineStr"/>
      <c r="D157" s="112" t="inlineStr"/>
      <c r="E157" s="112" t="inlineStr"/>
      <c r="F157" s="112" t="n">
        <v>1319</v>
      </c>
      <c r="G157" s="112" t="n">
        <v>1402</v>
      </c>
      <c r="H157" s="112" t="inlineStr"/>
      <c r="I157" s="112" t="inlineStr"/>
      <c r="J157" s="112">
        <f>G157-F157</f>
        <v/>
      </c>
      <c r="K157" s="112">
        <f>IF(G51&gt;0, G157/G51, 0)</f>
        <v/>
      </c>
      <c r="L157" s="112" t="inlineStr"/>
      <c r="M157" s="112" t="inlineStr"/>
      <c r="N157" s="112" t="inlineStr"/>
      <c r="O157" s="112" t="inlineStr"/>
      <c r="P157" s="112" t="n">
        <v>1495</v>
      </c>
      <c r="Q157" s="99" t="inlineStr"/>
      <c r="R157" s="99" t="inlineStr"/>
      <c r="S157" s="99" t="inlineStr"/>
      <c r="T157" s="99">
        <f>IF(P51&gt;0, P157/P51, 0)</f>
        <v/>
      </c>
      <c r="U157" s="99" t="n"/>
      <c r="V157" s="99" t="n"/>
      <c r="W157" s="99" t="n"/>
    </row>
    <row r="158">
      <c r="A158" s="112" t="inlineStr">
        <is>
          <t>Guide</t>
        </is>
      </c>
      <c r="B158" s="112" t="inlineStr"/>
      <c r="C158" s="112" t="inlineStr"/>
      <c r="D158" s="112" t="inlineStr"/>
      <c r="E158" s="112" t="inlineStr"/>
      <c r="F158" s="112" t="n">
        <v>1585</v>
      </c>
      <c r="G158" s="112" t="n">
        <v>2589</v>
      </c>
      <c r="H158" s="112" t="inlineStr"/>
      <c r="I158" s="112" t="inlineStr"/>
      <c r="J158" s="112">
        <f>G158-F158</f>
        <v/>
      </c>
      <c r="K158" s="112">
        <f>IF(G52&gt;0, G158/G52, 0)</f>
        <v/>
      </c>
      <c r="L158" s="112" t="inlineStr"/>
      <c r="M158" s="112" t="inlineStr"/>
      <c r="N158" s="112" t="inlineStr"/>
      <c r="O158" s="112" t="inlineStr"/>
      <c r="P158" s="112" t="n">
        <v>1876</v>
      </c>
      <c r="Q158" s="99" t="inlineStr"/>
      <c r="R158" s="99" t="inlineStr"/>
      <c r="S158" s="99" t="inlineStr"/>
      <c r="T158" s="99">
        <f>IF(P52&gt;0, P158/P52, 0)</f>
        <v/>
      </c>
      <c r="U158" s="99" t="n"/>
      <c r="V158" s="99" t="n"/>
      <c r="W158" s="99" t="n"/>
    </row>
    <row r="159">
      <c r="A159" s="112" t="inlineStr">
        <is>
          <t>Khuyến mãi</t>
        </is>
      </c>
      <c r="B159" s="112" t="inlineStr"/>
      <c r="C159" s="112" t="inlineStr"/>
      <c r="D159" s="112" t="inlineStr"/>
      <c r="E159" s="112" t="inlineStr"/>
      <c r="F159" s="112" t="n">
        <v>635</v>
      </c>
      <c r="G159" s="112" t="n">
        <v>546</v>
      </c>
      <c r="H159" s="112" t="inlineStr"/>
      <c r="I159" s="112" t="inlineStr"/>
      <c r="J159" s="112">
        <f>G159-F159</f>
        <v/>
      </c>
      <c r="K159" s="112">
        <f>IF(G53&gt;0, G159/G53, 0)</f>
        <v/>
      </c>
      <c r="L159" s="112" t="inlineStr"/>
      <c r="M159" s="112" t="inlineStr"/>
      <c r="N159" s="112" t="inlineStr"/>
      <c r="O159" s="112" t="inlineStr"/>
      <c r="P159" s="112" t="n">
        <v>711</v>
      </c>
      <c r="Q159" s="99" t="inlineStr"/>
      <c r="R159" s="99" t="inlineStr"/>
      <c r="S159" s="99" t="inlineStr"/>
      <c r="T159" s="99">
        <f>IF(P53&gt;0, P159/P53, 0)</f>
        <v/>
      </c>
      <c r="U159" s="99" t="n"/>
      <c r="V159" s="99" t="n"/>
      <c r="W159" s="99" t="n"/>
    </row>
    <row r="160">
      <c r="A160" s="112" t="inlineStr">
        <is>
          <t>Tin Tức</t>
        </is>
      </c>
      <c r="B160" s="112" t="inlineStr"/>
      <c r="C160" s="112" t="inlineStr"/>
      <c r="D160" s="112" t="inlineStr"/>
      <c r="E160" s="112" t="inlineStr"/>
      <c r="F160" s="112" t="n">
        <v>2739</v>
      </c>
      <c r="G160" s="112" t="n">
        <v>1337</v>
      </c>
      <c r="H160" s="112" t="inlineStr"/>
      <c r="I160" s="112" t="inlineStr"/>
      <c r="J160" s="112">
        <f>G160-F160</f>
        <v/>
      </c>
      <c r="K160" s="112">
        <f>IF(G54&gt;0, G160/G54, 0)</f>
        <v/>
      </c>
      <c r="L160" s="112" t="inlineStr"/>
      <c r="M160" s="112" t="inlineStr"/>
      <c r="N160" s="112" t="inlineStr"/>
      <c r="O160" s="112" t="inlineStr"/>
      <c r="P160" s="112" t="n">
        <v>3008</v>
      </c>
      <c r="Q160" s="99" t="inlineStr"/>
      <c r="R160" s="99" t="inlineStr"/>
      <c r="S160" s="99" t="inlineStr"/>
      <c r="T160" s="99">
        <f>IF(P54&gt;0, P160/P54, 0)</f>
        <v/>
      </c>
      <c r="U160" s="99" t="n"/>
      <c r="V160" s="99" t="n"/>
      <c r="W160" s="99" t="n"/>
    </row>
    <row r="161">
      <c r="A161" s="112" t="inlineStr">
        <is>
          <t>Campaign</t>
        </is>
      </c>
      <c r="B161" s="112" t="inlineStr"/>
      <c r="C161" s="112" t="inlineStr"/>
      <c r="D161" s="112" t="inlineStr"/>
      <c r="E161" s="112" t="inlineStr"/>
      <c r="F161" s="112" t="n">
        <v>138</v>
      </c>
      <c r="G161" s="112" t="n">
        <v>244</v>
      </c>
      <c r="H161" s="112" t="inlineStr"/>
      <c r="I161" s="112" t="inlineStr"/>
      <c r="J161" s="112">
        <f>G161-F161</f>
        <v/>
      </c>
      <c r="K161" s="112">
        <f>IF(G55&gt;0, G161/G55, 0)</f>
        <v/>
      </c>
      <c r="L161" s="112" t="inlineStr"/>
      <c r="M161" s="112" t="inlineStr"/>
      <c r="N161" s="112" t="inlineStr"/>
      <c r="O161" s="112" t="inlineStr"/>
      <c r="P161" s="112" t="n">
        <v>180</v>
      </c>
      <c r="Q161" s="99" t="inlineStr"/>
      <c r="R161" s="99" t="inlineStr"/>
      <c r="S161" s="99" t="inlineStr"/>
      <c r="T161" s="99">
        <f>IF(P55&gt;0, P161/P55, 0)</f>
        <v/>
      </c>
      <c r="U161" s="99" t="n"/>
      <c r="V161" s="99" t="n"/>
      <c r="W161" s="99" t="n"/>
    </row>
    <row r="162">
      <c r="A162" s="112" t="inlineStr">
        <is>
          <t>Blog</t>
        </is>
      </c>
      <c r="B162" s="112" t="inlineStr"/>
      <c r="C162" s="112" t="inlineStr"/>
      <c r="D162" s="112" t="inlineStr"/>
      <c r="E162" s="112" t="inlineStr"/>
      <c r="F162" s="112" t="n">
        <v>173</v>
      </c>
      <c r="G162" s="112" t="n">
        <v>240</v>
      </c>
      <c r="H162" s="112" t="inlineStr"/>
      <c r="I162" s="112" t="inlineStr"/>
      <c r="J162" s="112">
        <f>G162-F162</f>
        <v/>
      </c>
      <c r="K162" s="112">
        <f>IF(G56&gt;0, G162/G56, 0)</f>
        <v/>
      </c>
      <c r="L162" s="112" t="inlineStr"/>
      <c r="M162" s="112" t="inlineStr"/>
      <c r="N162" s="112" t="inlineStr"/>
      <c r="O162" s="112" t="inlineStr"/>
      <c r="P162" s="112" t="n">
        <v>192</v>
      </c>
      <c r="Q162" s="99" t="inlineStr"/>
      <c r="R162" s="99" t="inlineStr"/>
      <c r="S162" s="99" t="inlineStr"/>
      <c r="T162" s="99">
        <f>IF(P56&gt;0, P162/P56, 0)</f>
        <v/>
      </c>
      <c r="U162" s="99" t="n"/>
      <c r="V162" s="99" t="n"/>
      <c r="W162" s="99" t="n"/>
    </row>
    <row r="163">
      <c r="A163" s="112" t="inlineStr">
        <is>
          <t>Application Store</t>
        </is>
      </c>
      <c r="B163" s="112" t="inlineStr"/>
      <c r="C163" s="112" t="inlineStr"/>
      <c r="D163" s="112" t="inlineStr"/>
      <c r="E163" s="112" t="inlineStr"/>
      <c r="F163" s="112" t="n">
        <v>271</v>
      </c>
      <c r="G163" s="112" t="n">
        <v>455</v>
      </c>
      <c r="H163" s="112" t="inlineStr"/>
      <c r="I163" s="112" t="inlineStr"/>
      <c r="J163" s="112">
        <f>G163-F163</f>
        <v/>
      </c>
      <c r="K163" s="112">
        <f>IF(G57&gt;0, G163/G57, 0)</f>
        <v/>
      </c>
      <c r="L163" s="112" t="inlineStr"/>
      <c r="M163" s="112" t="inlineStr"/>
      <c r="N163" s="112" t="inlineStr"/>
      <c r="O163" s="112" t="inlineStr"/>
      <c r="P163" s="112" t="n">
        <v>287</v>
      </c>
      <c r="Q163" s="99" t="inlineStr"/>
      <c r="R163" s="99" t="inlineStr"/>
      <c r="S163" s="99" t="inlineStr"/>
      <c r="T163" s="99">
        <f>IF(P57&gt;0, P163/P57, 0)</f>
        <v/>
      </c>
      <c r="U163" s="99" t="n"/>
      <c r="V163" s="99" t="n"/>
      <c r="W163" s="99" t="n"/>
    </row>
    <row r="164">
      <c r="A164" s="112" t="inlineStr">
        <is>
          <t>Vé số</t>
        </is>
      </c>
      <c r="B164" s="112" t="inlineStr"/>
      <c r="C164" s="112" t="inlineStr"/>
      <c r="D164" s="112" t="inlineStr"/>
      <c r="E164" s="112" t="inlineStr"/>
      <c r="F164" s="112" t="n">
        <v>98</v>
      </c>
      <c r="G164" s="112" t="n">
        <v>276</v>
      </c>
      <c r="H164" s="112" t="inlineStr"/>
      <c r="I164" s="112" t="inlineStr"/>
      <c r="J164" s="112">
        <f>G164-F164</f>
        <v/>
      </c>
      <c r="K164" s="112">
        <f>IF(G58&gt;0, G164/G58, 0)</f>
        <v/>
      </c>
      <c r="L164" s="112" t="inlineStr"/>
      <c r="M164" s="112" t="inlineStr"/>
      <c r="N164" s="112" t="inlineStr"/>
      <c r="O164" s="112" t="inlineStr"/>
      <c r="P164" s="112" t="n">
        <v>117</v>
      </c>
      <c r="Q164" s="99" t="inlineStr"/>
      <c r="R164" s="99" t="inlineStr"/>
      <c r="S164" s="99" t="inlineStr"/>
      <c r="T164" s="99">
        <f>IF(P58&gt;0, P164/P58, 0)</f>
        <v/>
      </c>
      <c r="U164" s="99" t="n"/>
      <c r="V164" s="99" t="n"/>
      <c r="W164" s="99" t="n"/>
    </row>
    <row r="165">
      <c r="A165" s="112" t="inlineStr">
        <is>
          <t>Dịch vụ liên kết</t>
        </is>
      </c>
      <c r="B165" s="112" t="inlineStr"/>
      <c r="C165" s="112" t="inlineStr"/>
      <c r="D165" s="112" t="inlineStr"/>
      <c r="E165" s="112" t="inlineStr"/>
      <c r="F165" s="112" t="n">
        <v>86</v>
      </c>
      <c r="G165" s="112" t="n">
        <v>70</v>
      </c>
      <c r="H165" s="112" t="inlineStr"/>
      <c r="I165" s="112" t="inlineStr"/>
      <c r="J165" s="112">
        <f>G165-F165</f>
        <v/>
      </c>
      <c r="K165" s="112">
        <f>IF(G59&gt;0, G165/G59, 0)</f>
        <v/>
      </c>
      <c r="L165" s="112" t="inlineStr"/>
      <c r="M165" s="112" t="inlineStr"/>
      <c r="N165" s="112" t="inlineStr"/>
      <c r="O165" s="112" t="inlineStr"/>
      <c r="P165" s="112" t="n">
        <v>93</v>
      </c>
      <c r="Q165" s="99" t="inlineStr"/>
      <c r="R165" s="99" t="inlineStr"/>
      <c r="S165" s="99" t="inlineStr"/>
      <c r="T165" s="99">
        <f>IF(P59&gt;0, P165/P59, 0)</f>
        <v/>
      </c>
      <c r="U165" s="99" t="n"/>
      <c r="V165" s="99" t="n"/>
      <c r="W165" s="99" t="n"/>
    </row>
    <row r="166">
      <c r="A166" s="112" t="inlineStr">
        <is>
          <t>Billpay</t>
        </is>
      </c>
      <c r="B166" s="112" t="inlineStr"/>
      <c r="C166" s="112" t="inlineStr"/>
      <c r="D166" s="112" t="inlineStr"/>
      <c r="E166" s="112" t="inlineStr"/>
      <c r="F166" s="112" t="n">
        <v>115</v>
      </c>
      <c r="G166" s="112" t="n">
        <v>148</v>
      </c>
      <c r="H166" s="112" t="inlineStr"/>
      <c r="I166" s="112" t="inlineStr"/>
      <c r="J166" s="112">
        <f>G166-F166</f>
        <v/>
      </c>
      <c r="K166" s="112">
        <f>IF(G60&gt;0, G166/G60, 0)</f>
        <v/>
      </c>
      <c r="L166" s="112" t="inlineStr"/>
      <c r="M166" s="112" t="inlineStr"/>
      <c r="N166" s="112" t="inlineStr"/>
      <c r="O166" s="112" t="inlineStr"/>
      <c r="P166" s="112" t="n">
        <v>133</v>
      </c>
      <c r="Q166" s="99" t="inlineStr"/>
      <c r="R166" s="99" t="inlineStr"/>
      <c r="S166" s="99" t="inlineStr"/>
      <c r="T166" s="99">
        <f>IF(P60&gt;0, P166/P60, 0)</f>
        <v/>
      </c>
      <c r="U166" s="99" t="n"/>
      <c r="V166" s="99" t="n"/>
      <c r="W166" s="99" t="n"/>
    </row>
    <row r="167">
      <c r="A167" s="112" t="inlineStr">
        <is>
          <t>P2P</t>
        </is>
      </c>
      <c r="B167" s="112" t="inlineStr"/>
      <c r="C167" s="112" t="inlineStr"/>
      <c r="D167" s="112" t="inlineStr"/>
      <c r="E167" s="112" t="inlineStr"/>
      <c r="F167" s="112" t="n">
        <v>325</v>
      </c>
      <c r="G167" s="112" t="n">
        <v>310</v>
      </c>
      <c r="H167" s="112" t="inlineStr"/>
      <c r="I167" s="112" t="inlineStr"/>
      <c r="J167" s="112">
        <f>G167-F167</f>
        <v/>
      </c>
      <c r="K167" s="112">
        <f>IF(G61&gt;0, G167/G61, 0)</f>
        <v/>
      </c>
      <c r="L167" s="112" t="inlineStr"/>
      <c r="M167" s="112" t="inlineStr"/>
      <c r="N167" s="112" t="inlineStr"/>
      <c r="O167" s="112" t="inlineStr"/>
      <c r="P167" s="112" t="n">
        <v>354</v>
      </c>
      <c r="Q167" s="99" t="inlineStr"/>
      <c r="R167" s="99" t="inlineStr"/>
      <c r="S167" s="99" t="inlineStr"/>
      <c r="T167" s="99">
        <f>IF(P61&gt;0, P167/P61, 0)</f>
        <v/>
      </c>
      <c r="U167" s="99" t="n"/>
      <c r="V167" s="99" t="n"/>
      <c r="W167" s="99" t="n"/>
    </row>
    <row r="168">
      <c r="A168" s="112" t="inlineStr">
        <is>
          <t>Điện</t>
        </is>
      </c>
      <c r="B168" s="112" t="inlineStr"/>
      <c r="C168" s="112" t="inlineStr"/>
      <c r="D168" s="112" t="inlineStr"/>
      <c r="E168" s="112" t="inlineStr"/>
      <c r="F168" s="112" t="n">
        <v>11</v>
      </c>
      <c r="G168" s="112" t="n">
        <v>9</v>
      </c>
      <c r="H168" s="112" t="inlineStr"/>
      <c r="I168" s="112" t="inlineStr"/>
      <c r="J168" s="112">
        <f>G168-F168</f>
        <v/>
      </c>
      <c r="K168" s="112">
        <f>IF(G62&gt;0, G168/G62, 0)</f>
        <v/>
      </c>
      <c r="L168" s="112" t="inlineStr"/>
      <c r="M168" s="112" t="inlineStr"/>
      <c r="N168" s="112" t="inlineStr"/>
      <c r="O168" s="112" t="inlineStr"/>
      <c r="P168" s="112" t="n">
        <v>13</v>
      </c>
      <c r="Q168" s="99" t="inlineStr"/>
      <c r="R168" s="99" t="inlineStr"/>
      <c r="S168" s="99" t="inlineStr"/>
      <c r="T168" s="99">
        <f>IF(P62&gt;0, P168/P62, 0)</f>
        <v/>
      </c>
      <c r="U168" s="99" t="n"/>
      <c r="V168" s="99" t="n"/>
      <c r="W168" s="99" t="n"/>
    </row>
    <row r="169">
      <c r="A169" s="112" t="inlineStr">
        <is>
          <t>Student Hub</t>
        </is>
      </c>
      <c r="B169" s="112" t="inlineStr"/>
      <c r="C169" s="112" t="inlineStr"/>
      <c r="D169" s="112" t="inlineStr"/>
      <c r="E169" s="112" t="inlineStr"/>
      <c r="F169" s="112">
        <f>SUM(F170:F171)</f>
        <v/>
      </c>
      <c r="G169" s="112">
        <f>SUM(G170:G171)</f>
        <v/>
      </c>
      <c r="H169" s="112" t="inlineStr"/>
      <c r="I169" s="112" t="inlineStr"/>
      <c r="J169" s="112">
        <f>G169-F169</f>
        <v/>
      </c>
      <c r="K169" s="112">
        <f>IF(G63&gt;0, G169/G63, 0)</f>
        <v/>
      </c>
      <c r="L169" s="112" t="inlineStr"/>
      <c r="M169" s="112" t="inlineStr"/>
      <c r="N169" s="112" t="inlineStr"/>
      <c r="O169" s="112" t="inlineStr"/>
      <c r="P169" s="112">
        <f>SUM(P170:P171)</f>
        <v/>
      </c>
      <c r="Q169" s="99" t="inlineStr"/>
      <c r="R169" s="99" t="inlineStr"/>
      <c r="S169" s="99" t="inlineStr"/>
      <c r="T169" s="99">
        <f>IF(P63&gt;0, P169/P63, 0)</f>
        <v/>
      </c>
      <c r="U169" s="99" t="n"/>
      <c r="V169" s="99" t="n"/>
      <c r="W169" s="99" t="n"/>
    </row>
    <row r="170">
      <c r="A170" s="112" t="inlineStr">
        <is>
          <t>Student Pass</t>
        </is>
      </c>
      <c r="B170" s="112" t="inlineStr"/>
      <c r="C170" s="112" t="inlineStr"/>
      <c r="D170" s="112" t="inlineStr"/>
      <c r="E170" s="112" t="inlineStr"/>
      <c r="F170" s="112" t="n">
        <v>229</v>
      </c>
      <c r="G170" s="112" t="n">
        <v>63</v>
      </c>
      <c r="H170" s="112" t="inlineStr"/>
      <c r="I170" s="112" t="inlineStr"/>
      <c r="J170" s="112">
        <f>G170-F170</f>
        <v/>
      </c>
      <c r="K170" s="112">
        <f>IF(G64&gt;0, G170/G64, 0)</f>
        <v/>
      </c>
      <c r="L170" s="112" t="inlineStr"/>
      <c r="M170" s="112" t="inlineStr"/>
      <c r="N170" s="112" t="inlineStr"/>
      <c r="O170" s="112" t="inlineStr"/>
      <c r="P170" s="112" t="n">
        <v>243</v>
      </c>
      <c r="Q170" s="99" t="inlineStr"/>
      <c r="R170" s="99" t="inlineStr"/>
      <c r="S170" s="99" t="inlineStr"/>
      <c r="T170" s="99">
        <f>IF(P64&gt;0, P170/P64, 0)</f>
        <v/>
      </c>
      <c r="U170" s="99" t="n"/>
      <c r="V170" s="99" t="n"/>
      <c r="W170" s="99" t="n"/>
    </row>
    <row r="171">
      <c r="A171" s="112" t="inlineStr">
        <is>
          <t>Student Hub</t>
        </is>
      </c>
      <c r="B171" s="112" t="inlineStr"/>
      <c r="C171" s="112" t="inlineStr"/>
      <c r="D171" s="112" t="inlineStr"/>
      <c r="E171" s="112" t="inlineStr"/>
      <c r="F171" s="112" t="n">
        <v>3</v>
      </c>
      <c r="G171" s="112" t="n">
        <v>0</v>
      </c>
      <c r="H171" s="112" t="inlineStr"/>
      <c r="I171" s="112" t="inlineStr"/>
      <c r="J171" s="112">
        <f>G171-F171</f>
        <v/>
      </c>
      <c r="K171" s="112">
        <f>IF(G65&gt;0, G171/G65, 0)</f>
        <v/>
      </c>
      <c r="L171" s="112" t="inlineStr"/>
      <c r="M171" s="112" t="inlineStr"/>
      <c r="N171" s="112" t="inlineStr"/>
      <c r="O171" s="112" t="inlineStr"/>
      <c r="P171" s="112" t="n">
        <v>3</v>
      </c>
      <c r="Q171" s="99" t="inlineStr"/>
      <c r="R171" s="99" t="inlineStr"/>
      <c r="S171" s="99" t="inlineStr"/>
      <c r="T171" s="99">
        <f>IF(P65&gt;0, P171/P65, 0)</f>
        <v/>
      </c>
      <c r="U171" s="99" t="n"/>
      <c r="V171" s="99" t="n"/>
      <c r="W171" s="99" t="n"/>
    </row>
    <row r="172">
      <c r="A172" s="112" t="inlineStr">
        <is>
          <t>Cross Border</t>
        </is>
      </c>
      <c r="B172" s="112" t="inlineStr"/>
      <c r="C172" s="112" t="inlineStr"/>
      <c r="D172" s="112" t="inlineStr"/>
      <c r="E172" s="112" t="inlineStr"/>
      <c r="F172" s="112" t="n">
        <v>15</v>
      </c>
      <c r="G172" s="112" t="n">
        <v>34</v>
      </c>
      <c r="H172" s="112" t="inlineStr"/>
      <c r="I172" s="112" t="inlineStr"/>
      <c r="J172" s="112">
        <f>G172-F172</f>
        <v/>
      </c>
      <c r="K172" s="112">
        <f>IF(G66&gt;0, G172/G66, 0)</f>
        <v/>
      </c>
      <c r="L172" s="112" t="inlineStr"/>
      <c r="M172" s="112" t="inlineStr"/>
      <c r="N172" s="112" t="inlineStr"/>
      <c r="O172" s="112" t="inlineStr"/>
      <c r="P172" s="112" t="n">
        <v>16</v>
      </c>
      <c r="Q172" s="99" t="inlineStr"/>
      <c r="R172" s="99" t="inlineStr"/>
      <c r="S172" s="99" t="inlineStr"/>
      <c r="T172" s="99">
        <f>IF(P66&gt;0, P172/P66, 0)</f>
        <v/>
      </c>
      <c r="U172" s="99" t="n"/>
      <c r="V172" s="99" t="n"/>
      <c r="W172" s="99" t="n"/>
    </row>
    <row r="173">
      <c r="A173" s="112" t="inlineStr">
        <is>
          <t>Hoàn Tiền Mua Sắm</t>
        </is>
      </c>
      <c r="B173" s="112" t="inlineStr"/>
      <c r="C173" s="112" t="inlineStr"/>
      <c r="D173" s="112" t="inlineStr"/>
      <c r="E173" s="112" t="inlineStr"/>
      <c r="F173" s="112" t="n">
        <v>109</v>
      </c>
      <c r="G173" s="112" t="n">
        <v>204</v>
      </c>
      <c r="H173" s="112" t="inlineStr"/>
      <c r="I173" s="112" t="inlineStr"/>
      <c r="J173" s="112">
        <f>G173-F173</f>
        <v/>
      </c>
      <c r="K173" s="112">
        <f>IF(G67&gt;0, G173/G67, 0)</f>
        <v/>
      </c>
      <c r="L173" s="112" t="inlineStr"/>
      <c r="M173" s="112" t="inlineStr"/>
      <c r="N173" s="112" t="inlineStr"/>
      <c r="O173" s="112" t="inlineStr"/>
      <c r="P173" s="112" t="n">
        <v>117</v>
      </c>
      <c r="Q173" s="99" t="inlineStr"/>
      <c r="R173" s="99" t="inlineStr"/>
      <c r="S173" s="99" t="inlineStr"/>
      <c r="T173" s="99">
        <f>IF(P67&gt;0, P173/P67, 0)</f>
        <v/>
      </c>
      <c r="U173" s="99" t="n"/>
      <c r="V173" s="99" t="n"/>
      <c r="W173" s="99" t="n"/>
    </row>
    <row r="174">
      <c r="A174" s="112" t="inlineStr">
        <is>
          <t>Bảo Hiểm Sức Khỏe</t>
        </is>
      </c>
      <c r="B174" s="112" t="inlineStr"/>
      <c r="C174" s="112" t="inlineStr"/>
      <c r="D174" s="112" t="inlineStr"/>
      <c r="E174" s="112" t="inlineStr"/>
      <c r="F174" s="112" t="n">
        <v>4</v>
      </c>
      <c r="G174" s="112" t="n">
        <v>4</v>
      </c>
      <c r="H174" s="112" t="inlineStr"/>
      <c r="I174" s="112" t="inlineStr"/>
      <c r="J174" s="112">
        <f>G174-F174</f>
        <v/>
      </c>
      <c r="K174" s="112">
        <f>IF(G68&gt;0, G174/G68, 0)</f>
        <v/>
      </c>
      <c r="L174" s="112" t="inlineStr"/>
      <c r="M174" s="112" t="inlineStr"/>
      <c r="N174" s="112" t="inlineStr"/>
      <c r="O174" s="112" t="inlineStr"/>
      <c r="P174" s="112" t="n">
        <v>4</v>
      </c>
      <c r="Q174" s="99" t="inlineStr"/>
      <c r="R174" s="99" t="inlineStr"/>
      <c r="S174" s="99" t="inlineStr"/>
      <c r="T174" s="99">
        <f>IF(P68&gt;0, P174/P68, 0)</f>
        <v/>
      </c>
      <c r="U174" s="99" t="n"/>
      <c r="V174" s="99" t="n"/>
      <c r="W174" s="99" t="n"/>
    </row>
    <row r="175">
      <c r="A175" s="112" t="inlineStr">
        <is>
          <t>Mở tài khoản ngân hàng</t>
        </is>
      </c>
      <c r="B175" s="112" t="inlineStr"/>
      <c r="C175" s="112" t="inlineStr"/>
      <c r="D175" s="112" t="inlineStr"/>
      <c r="E175" s="112" t="inlineStr"/>
      <c r="F175" s="112" t="n">
        <v>173</v>
      </c>
      <c r="G175" s="112" t="n">
        <v>106</v>
      </c>
      <c r="H175" s="112" t="inlineStr"/>
      <c r="I175" s="112" t="inlineStr"/>
      <c r="J175" s="112">
        <f>G175-F175</f>
        <v/>
      </c>
      <c r="K175" s="112">
        <f>IF(G69&gt;0, G175/G69, 0)</f>
        <v/>
      </c>
      <c r="L175" s="112" t="inlineStr"/>
      <c r="M175" s="112" t="inlineStr"/>
      <c r="N175" s="112" t="inlineStr"/>
      <c r="O175" s="112" t="inlineStr"/>
      <c r="P175" s="112" t="n">
        <v>183</v>
      </c>
      <c r="Q175" s="99" t="inlineStr"/>
      <c r="R175" s="99" t="inlineStr"/>
      <c r="S175" s="99" t="inlineStr"/>
      <c r="T175" s="99">
        <f>IF(P69&gt;0, P175/P69, 0)</f>
        <v/>
      </c>
      <c r="U175" s="99" t="n"/>
      <c r="V175" s="99" t="n"/>
      <c r="W175" s="99" t="n"/>
    </row>
    <row r="176">
      <c r="A176" s="112" t="inlineStr">
        <is>
          <t>Download</t>
        </is>
      </c>
      <c r="B176" s="112" t="inlineStr"/>
      <c r="C176" s="112" t="inlineStr"/>
      <c r="D176" s="112" t="inlineStr"/>
      <c r="E176" s="112" t="inlineStr"/>
      <c r="F176" s="112" t="n">
        <v>135</v>
      </c>
      <c r="G176" s="112" t="n">
        <v>153</v>
      </c>
      <c r="H176" s="112" t="inlineStr"/>
      <c r="I176" s="112" t="inlineStr"/>
      <c r="J176" s="112">
        <f>G176-F176</f>
        <v/>
      </c>
      <c r="K176" s="112">
        <f>IF(G70&gt;0, G176/G70, 0)</f>
        <v/>
      </c>
      <c r="L176" s="112" t="inlineStr"/>
      <c r="M176" s="112" t="inlineStr"/>
      <c r="N176" s="112" t="inlineStr"/>
      <c r="O176" s="112" t="inlineStr"/>
      <c r="P176" s="112" t="n">
        <v>187</v>
      </c>
      <c r="Q176" s="99" t="inlineStr"/>
      <c r="R176" s="99" t="inlineStr"/>
      <c r="S176" s="99" t="inlineStr"/>
      <c r="T176" s="99">
        <f>IF(P70&gt;0, P176/P70, 0)</f>
        <v/>
      </c>
      <c r="U176" s="99" t="n"/>
      <c r="V176" s="99" t="n"/>
      <c r="W176" s="99" t="n"/>
    </row>
    <row r="177">
      <c r="A177" s="112" t="inlineStr">
        <is>
          <t>Nước</t>
        </is>
      </c>
      <c r="B177" s="112" t="inlineStr"/>
      <c r="C177" s="112" t="inlineStr"/>
      <c r="D177" s="112" t="inlineStr"/>
      <c r="E177" s="112" t="inlineStr"/>
      <c r="F177" s="112" t="n">
        <v>2829</v>
      </c>
      <c r="G177" s="112" t="n">
        <v>3132</v>
      </c>
      <c r="H177" s="112" t="inlineStr"/>
      <c r="I177" s="112" t="inlineStr"/>
      <c r="J177" s="112">
        <f>G177-F177</f>
        <v/>
      </c>
      <c r="K177" s="112">
        <f>IF(G71&gt;0, G177/G71, 0)</f>
        <v/>
      </c>
      <c r="L177" s="112" t="inlineStr"/>
      <c r="M177" s="112" t="inlineStr"/>
      <c r="N177" s="112" t="inlineStr"/>
      <c r="O177" s="112" t="inlineStr"/>
      <c r="P177" s="112" t="n">
        <v>3000</v>
      </c>
      <c r="Q177" s="99" t="inlineStr"/>
      <c r="R177" s="99" t="inlineStr"/>
      <c r="S177" s="99" t="inlineStr"/>
      <c r="T177" s="99">
        <f>IF(P71&gt;0, P177/P71, 0)</f>
        <v/>
      </c>
      <c r="U177" s="99" t="n"/>
      <c r="V177" s="99" t="n"/>
      <c r="W177" s="99" t="n"/>
    </row>
    <row r="178">
      <c r="A178" s="112" t="inlineStr">
        <is>
          <t>Others</t>
        </is>
      </c>
      <c r="B178" s="112" t="inlineStr"/>
      <c r="C178" s="112" t="inlineStr"/>
      <c r="D178" s="112" t="inlineStr"/>
      <c r="E178" s="112" t="inlineStr"/>
      <c r="F178" s="112" t="n">
        <v>2</v>
      </c>
      <c r="G178" s="112" t="n">
        <v>3</v>
      </c>
      <c r="H178" s="112" t="inlineStr"/>
      <c r="I178" s="112" t="inlineStr"/>
      <c r="J178" s="112">
        <f>G178-F178</f>
        <v/>
      </c>
      <c r="K178" s="112">
        <f>IF(G72&gt;0, G178/G72, 0)</f>
        <v/>
      </c>
      <c r="L178" s="112" t="inlineStr"/>
      <c r="M178" s="112" t="inlineStr"/>
      <c r="N178" s="112" t="inlineStr"/>
      <c r="O178" s="112" t="inlineStr"/>
      <c r="P178" s="112" t="n">
        <v>2</v>
      </c>
      <c r="Q178" s="99" t="inlineStr"/>
      <c r="R178" s="99" t="inlineStr"/>
      <c r="S178" s="99" t="inlineStr"/>
      <c r="T178" s="99">
        <f>IF(P72&gt;0, P178/P72, 0)</f>
        <v/>
      </c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/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/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Trang Rạp phim (Cinema_Cineplex)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 t="n">
        <v>726016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Trang phim chi tiết (Cinema_Page)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 t="n">
        <v>122242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Blog Phim (Cinema_Blog)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 t="n">
        <v>42977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Trang chủ Cinema (Cinema_Home)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 t="n">
        <v>22140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Tin tức (Cinema_News)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 t="n">
        <v>644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Landing Page (Cinema_LP)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255" t="n">
        <v>46327</v>
      </c>
      <c r="S1" s="255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256" t="inlineStr">
        <is>
          <t xml:space="preserve">     Target</t>
        </is>
      </c>
      <c r="B2" s="257" t="inlineStr"/>
      <c r="C2" s="251" t="inlineStr"/>
      <c r="D2" s="251" t="inlineStr"/>
      <c r="E2" s="251" t="inlineStr"/>
      <c r="F2" s="251" t="inlineStr"/>
      <c r="G2" s="251" t="inlineStr"/>
      <c r="H2" s="251" t="inlineStr"/>
      <c r="I2" s="251" t="inlineStr"/>
      <c r="J2" s="257" t="inlineStr"/>
      <c r="K2" s="251" t="inlineStr"/>
      <c r="L2" s="251" t="inlineStr"/>
      <c r="M2" s="251" t="inlineStr"/>
      <c r="N2" s="251" t="inlineStr"/>
      <c r="O2" s="251" t="n">
        <v>250000</v>
      </c>
      <c r="P2" s="251" t="n">
        <v>450000</v>
      </c>
      <c r="Q2" s="251" t="inlineStr"/>
      <c r="R2" s="251" t="n">
        <v>700000</v>
      </c>
      <c r="S2" s="251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256" t="inlineStr">
        <is>
          <t xml:space="preserve">    Actual Traffic (Page Views)</t>
        </is>
      </c>
      <c r="B3" s="257" t="inlineStr"/>
      <c r="C3" s="251">
        <f>sum(C8,C15,C22,C29,C36,C43,C50,C57,C64,C71,C78,C85,C91,C98,C105,C112,C119,C126,C133)</f>
        <v/>
      </c>
      <c r="D3" s="251">
        <f>sum(D8,D15,D22,D29,D36,D43,D50,D57,D64,D71,D78,D85,D91,D98,D105,D112,D119,D126,D133)</f>
        <v/>
      </c>
      <c r="E3" s="251">
        <f>sum(E8,E15,E22,E29,E36,E43,E50,E57,E64,E71,E78,E85,E91,E98,E105,E112,E119,E126,E133)</f>
        <v/>
      </c>
      <c r="F3" s="251">
        <f>sum(F8,F15,F22,F29,F36,F43,F50,F57,F64,F71,F78,F85,F91,F98,F105,F112,F119,F126,F133)</f>
        <v/>
      </c>
      <c r="G3" s="251">
        <f>sum(G8,G15,G22,G29,G36,G43,G50,G57,G64,G71,G78,G85,G91,G98,G105,G112,G119,G126,G133)</f>
        <v/>
      </c>
      <c r="H3" s="251">
        <f>sum(H8,H15,H22,H29,H36,H43,H50,H57,H64,H71,H78,H85,H91,H98,H105,H112,H119,H126,H133)</f>
        <v/>
      </c>
      <c r="I3" s="251">
        <f>H3-G3</f>
        <v/>
      </c>
      <c r="J3" s="257" t="inlineStr"/>
      <c r="K3" s="251">
        <f>sum(K8,K15,K22,K29,K36,K43,K50,K57,K64,K71,K78,K85,K91,K98,K105,K112,K119,K126,K133)</f>
        <v/>
      </c>
      <c r="L3" s="251">
        <f>sum(L8,L15,L22,L29,L36,L43,L50,L57,L64,L71,L78,L85,L91,L98,L105,L112,L119,L126,L133)</f>
        <v/>
      </c>
      <c r="M3" s="251">
        <f>sum(M8,M15,M22,M29,M36,M43,M50,M57,M64,M71,M78,M85,M91,M98,M105,M112,M119,M126,M133)</f>
        <v/>
      </c>
      <c r="N3" s="251">
        <f>sum(N8,N15,N22,N29,N36,N43,N50,N57,N64,N71,N78,N85,N91,N98,N105,N112,N119,N126,N133)</f>
        <v/>
      </c>
      <c r="O3" s="251">
        <f>sum(O8,O15,O22,O29,O36,O43,O50,O57,O64,O71,O78,O85,O91,O98,O105,O112,O119,O126,O133)</f>
        <v/>
      </c>
      <c r="P3" s="251">
        <f>sum(P8,P15,P22,P29,P36,P43,P50,P57,P64,P71,P78,P85,P91,P98,P105,P112,P119,P126,P133)</f>
        <v/>
      </c>
      <c r="Q3" s="251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256" t="inlineStr">
        <is>
          <t xml:space="preserve">   Net change (Target)</t>
        </is>
      </c>
      <c r="B4" s="257" t="inlineStr"/>
      <c r="C4" s="251">
        <f>C3-0</f>
        <v/>
      </c>
      <c r="D4" s="251">
        <f>D3-C3</f>
        <v/>
      </c>
      <c r="E4" s="251">
        <f>E3-D3</f>
        <v/>
      </c>
      <c r="F4" s="251">
        <f>F3-E3</f>
        <v/>
      </c>
      <c r="G4" s="251">
        <f>G3-F3</f>
        <v/>
      </c>
      <c r="H4" s="251">
        <f>H3-G3</f>
        <v/>
      </c>
      <c r="I4" s="251">
        <f>H4-G4</f>
        <v/>
      </c>
      <c r="J4" s="257" t="inlineStr"/>
      <c r="K4" s="251">
        <f>K3-0</f>
        <v/>
      </c>
      <c r="L4" s="251">
        <f>L3-K3</f>
        <v/>
      </c>
      <c r="M4" s="251">
        <f>M3-L3</f>
        <v/>
      </c>
      <c r="N4" s="251">
        <f>N3-M3</f>
        <v/>
      </c>
      <c r="O4" s="251">
        <f>O3-N3</f>
        <v/>
      </c>
      <c r="P4" s="251">
        <f>P3-O3</f>
        <v/>
      </c>
      <c r="Q4" s="251">
        <f>P4-O4</f>
        <v/>
      </c>
      <c r="R4" s="251">
        <f>R2-P2</f>
        <v/>
      </c>
      <c r="S4" s="251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256" t="inlineStr">
        <is>
          <t xml:space="preserve">   Growth Rate (Target)</t>
        </is>
      </c>
      <c r="B5" s="257" t="inlineStr"/>
      <c r="C5" s="251" t="inlineStr"/>
      <c r="D5" s="251">
        <f>(D3/C3)-1</f>
        <v/>
      </c>
      <c r="E5" s="251">
        <f>(E3/D3)-1</f>
        <v/>
      </c>
      <c r="F5" s="251">
        <f>(F3/E3)-1</f>
        <v/>
      </c>
      <c r="G5" s="251">
        <f>(G3/F3)-1</f>
        <v/>
      </c>
      <c r="H5" s="251">
        <f>(H3/G3)-1</f>
        <v/>
      </c>
      <c r="I5" s="251">
        <f>H5-G5</f>
        <v/>
      </c>
      <c r="J5" s="257" t="inlineStr"/>
      <c r="K5" s="251" t="inlineStr"/>
      <c r="L5" s="251">
        <f>(L3/K3)-1</f>
        <v/>
      </c>
      <c r="M5" s="251">
        <f>(M3/L3)-1</f>
        <v/>
      </c>
      <c r="N5" s="251">
        <f>(N3/M3)-1</f>
        <v/>
      </c>
      <c r="O5" s="251">
        <f>(O3/N3)-1</f>
        <v/>
      </c>
      <c r="P5" s="251">
        <f>(P3/O3)-1</f>
        <v/>
      </c>
      <c r="Q5" s="251">
        <f>P5-O5</f>
        <v/>
      </c>
      <c r="R5" s="251">
        <f>R2/P2-1</f>
        <v/>
      </c>
      <c r="S5" s="251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256" t="inlineStr">
        <is>
          <t xml:space="preserve">   Progress Rate</t>
        </is>
      </c>
      <c r="B6" s="257" t="inlineStr"/>
      <c r="C6" s="251" t="inlineStr"/>
      <c r="D6" s="251" t="inlineStr"/>
      <c r="E6" s="251" t="inlineStr"/>
      <c r="F6" s="251" t="inlineStr"/>
      <c r="G6" s="251" t="inlineStr"/>
      <c r="H6" s="251" t="inlineStr"/>
      <c r="I6" s="251" t="inlineStr"/>
      <c r="J6" s="257" t="inlineStr"/>
      <c r="K6" s="251" t="inlineStr"/>
      <c r="L6" s="251" t="inlineStr"/>
      <c r="M6" s="251" t="inlineStr"/>
      <c r="N6" s="251" t="inlineStr"/>
      <c r="O6" s="251">
        <f>O3/O2</f>
        <v/>
      </c>
      <c r="P6" s="251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257" t="inlineStr"/>
      <c r="B8" s="257" t="inlineStr"/>
      <c r="C8" s="252">
        <f>sum(C9:C13)</f>
        <v/>
      </c>
      <c r="D8" s="252">
        <f>sum(D9:D13)</f>
        <v/>
      </c>
      <c r="E8" s="252">
        <f>sum(E9:E13)</f>
        <v/>
      </c>
      <c r="F8" s="252">
        <f>sum(F9:F13)</f>
        <v/>
      </c>
      <c r="G8" s="252">
        <f>sum(G9:G13)</f>
        <v/>
      </c>
      <c r="H8" s="252">
        <f>sum(H9:H13)</f>
        <v/>
      </c>
      <c r="I8" s="252">
        <f>H8-G8</f>
        <v/>
      </c>
      <c r="J8" s="257" t="inlineStr"/>
      <c r="K8" s="252">
        <f>sum(K9:K13)</f>
        <v/>
      </c>
      <c r="L8" s="252">
        <f>sum(L9:L13)</f>
        <v/>
      </c>
      <c r="M8" s="252">
        <f>sum(M9:M13)</f>
        <v/>
      </c>
      <c r="N8" s="252">
        <f>sum(N9:N13)</f>
        <v/>
      </c>
      <c r="O8" s="252">
        <f>sum(O9:O13)</f>
        <v/>
      </c>
      <c r="P8" s="252">
        <f>sum(P9:P13)</f>
        <v/>
      </c>
      <c r="Q8" s="252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256" t="inlineStr">
        <is>
          <t>Tài Chính (Hub)</t>
        </is>
      </c>
      <c r="B9" s="257" t="inlineStr">
        <is>
          <t>Organic</t>
        </is>
      </c>
      <c r="C9" s="251">
        <f>SUMIFS('MTD Pivot'!D:D, 'MTD Pivot'!$A:$A, "Trung Tâm Tài Chính", 'MTD Pivot'!$C:$C, $B$9:$B$13)</f>
        <v/>
      </c>
      <c r="D9" s="251">
        <f>SUMIFS('MTD Pivot'!E:E, 'MTD Pivot'!$A:$A, "Trung Tâm Tài Chính", 'MTD Pivot'!$C:$C, $B$9:$B$13)</f>
        <v/>
      </c>
      <c r="E9" s="251">
        <f>SUMIFS('MTD Pivot'!F:F, 'MTD Pivot'!$A:$A, "Trung Tâm Tài Chính", 'MTD Pivot'!$C:$C, $B$9:$B$13)</f>
        <v/>
      </c>
      <c r="F9" s="251">
        <f>SUMIFS('MTD Pivot'!G:G, 'MTD Pivot'!$A:$A, "Trung Tâm Tài Chính", 'MTD Pivot'!$C:$C, $B$9:$B$13)</f>
        <v/>
      </c>
      <c r="G9" s="251">
        <f>SUMIFS('MTD Pivot'!H:H, 'MTD Pivot'!$A:$A, "Trung Tâm Tài Chính", 'MTD Pivot'!$C:$C, $B$9:$B$13)</f>
        <v/>
      </c>
      <c r="H9" s="251">
        <f>SUMIFS('MTD Pivot'!I:I, 'MTD Pivot'!$A:$A, "Trung Tâm Tài Chính", 'MTD Pivot'!$C:$C, $B$9:$B$13)</f>
        <v/>
      </c>
      <c r="I9" s="251">
        <f>H9-G9</f>
        <v/>
      </c>
      <c r="J9" s="257" t="inlineStr"/>
      <c r="K9" s="251">
        <f>SUMIFS('Full month Pivot'!D:D, 'Full month Pivot'!$A:$A, "Trung Tâm Tài Chính", 'Full month Pivot'!$C:$C, $B79)</f>
        <v/>
      </c>
      <c r="L9" s="251">
        <f>SUMIFS('Full month Pivot'!E:E, 'Full month Pivot'!$A:$A, "Trung Tâm Tài Chính", 'Full month Pivot'!$C:$C, $B79)</f>
        <v/>
      </c>
      <c r="M9" s="251">
        <f>SUMIFS('Full month Pivot'!F:F, 'Full month Pivot'!$A:$A, "Trung Tâm Tài Chính", 'Full month Pivot'!$C:$C, $B79)</f>
        <v/>
      </c>
      <c r="N9" s="251">
        <f>SUMIFS('Full month Pivot'!G:G, 'Full month Pivot'!$A:$A, "Trung Tâm Tài Chính", 'Full month Pivot'!$C:$C, $B79)</f>
        <v/>
      </c>
      <c r="O9" s="251">
        <f>SUMIFS('Full month Pivot'!H:H, 'Full month Pivot'!$A:$A, "Trung Tâm Tài Chính", 'Full month Pivot'!$C:$C, $B79)</f>
        <v/>
      </c>
      <c r="P9" s="251">
        <f>SUMIFS('Full month Pivot'!I:I, 'Full month Pivot'!$A:$A, "Trung Tâm Tài Chính", 'Full month Pivot'!$C:$C, $B79)</f>
        <v/>
      </c>
      <c r="Q9" s="251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257" t="inlineStr"/>
      <c r="B10" s="257" t="inlineStr">
        <is>
          <t>Direct</t>
        </is>
      </c>
      <c r="C10" s="252">
        <f>SUMIFS('MTD Pivot'!D:D, 'MTD Pivot'!$A:$A, "Trung Tâm Tài Chính", 'MTD Pivot'!$C:$C, $B$9:$B$13)</f>
        <v/>
      </c>
      <c r="D10" s="252">
        <f>SUMIFS('MTD Pivot'!E:E, 'MTD Pivot'!$A:$A, "Trung Tâm Tài Chính", 'MTD Pivot'!$C:$C, $B$9:$B$13)</f>
        <v/>
      </c>
      <c r="E10" s="252">
        <f>SUMIFS('MTD Pivot'!F:F, 'MTD Pivot'!$A:$A, "Trung Tâm Tài Chính", 'MTD Pivot'!$C:$C, $B$9:$B$13)</f>
        <v/>
      </c>
      <c r="F10" s="252">
        <f>SUMIFS('MTD Pivot'!G:G, 'MTD Pivot'!$A:$A, "Trung Tâm Tài Chính", 'MTD Pivot'!$C:$C, $B$9:$B$13)</f>
        <v/>
      </c>
      <c r="G10" s="252">
        <f>SUMIFS('MTD Pivot'!H:H, 'MTD Pivot'!$A:$A, "Trung Tâm Tài Chính", 'MTD Pivot'!$C:$C, $B$9:$B$13)</f>
        <v/>
      </c>
      <c r="H10" s="252">
        <f>SUMIFS('MTD Pivot'!I:I, 'MTD Pivot'!$A:$A, "Trung Tâm Tài Chính", 'MTD Pivot'!$C:$C, $B$9:$B$13)</f>
        <v/>
      </c>
      <c r="I10" s="252">
        <f>H10-G10</f>
        <v/>
      </c>
      <c r="J10" s="257" t="inlineStr"/>
      <c r="K10" s="252">
        <f>SUMIFS('Full month Pivot'!D:D, 'Full month Pivot'!$A:$A, "Trung Tâm Tài Chính", 'Full month Pivot'!$C:$C, $B80)</f>
        <v/>
      </c>
      <c r="L10" s="252">
        <f>SUMIFS('Full month Pivot'!E:E, 'Full month Pivot'!$A:$A, "Trung Tâm Tài Chính", 'Full month Pivot'!$C:$C, $B80)</f>
        <v/>
      </c>
      <c r="M10" s="252">
        <f>SUMIFS('Full month Pivot'!F:F, 'Full month Pivot'!$A:$A, "Trung Tâm Tài Chính", 'Full month Pivot'!$C:$C, $B80)</f>
        <v/>
      </c>
      <c r="N10" s="252">
        <f>SUMIFS('Full month Pivot'!G:G, 'Full month Pivot'!$A:$A, "Trung Tâm Tài Chính", 'Full month Pivot'!$C:$C, $B80)</f>
        <v/>
      </c>
      <c r="O10" s="252">
        <f>SUMIFS('Full month Pivot'!H:H, 'Full month Pivot'!$A:$A, "Trung Tâm Tài Chính", 'Full month Pivot'!$C:$C, $B80)</f>
        <v/>
      </c>
      <c r="P10" s="252">
        <f>SUMIFS('Full month Pivot'!I:I, 'Full month Pivot'!$A:$A, "Trung Tâm Tài Chính", 'Full month Pivot'!$C:$C, $B80)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257" t="inlineStr"/>
      <c r="B11" s="257" t="inlineStr">
        <is>
          <t>Referral</t>
        </is>
      </c>
      <c r="C11" s="252">
        <f>SUMIFS('MTD Pivot'!D:D, 'MTD Pivot'!$A:$A, "Trung Tâm Tài Chính", 'MTD Pivot'!$C:$C, $B$9:$B$13)</f>
        <v/>
      </c>
      <c r="D11" s="252">
        <f>SUMIFS('MTD Pivot'!E:E, 'MTD Pivot'!$A:$A, "Trung Tâm Tài Chính", 'MTD Pivot'!$C:$C, $B$9:$B$13)</f>
        <v/>
      </c>
      <c r="E11" s="252">
        <f>SUMIFS('MTD Pivot'!F:F, 'MTD Pivot'!$A:$A, "Trung Tâm Tài Chính", 'MTD Pivot'!$C:$C, $B$9:$B$13)</f>
        <v/>
      </c>
      <c r="F11" s="252">
        <f>SUMIFS('MTD Pivot'!G:G, 'MTD Pivot'!$A:$A, "Trung Tâm Tài Chính", 'MTD Pivot'!$C:$C, $B$9:$B$13)</f>
        <v/>
      </c>
      <c r="G11" s="252">
        <f>SUMIFS('MTD Pivot'!H:H, 'MTD Pivot'!$A:$A, "Trung Tâm Tài Chính", 'MTD Pivot'!$C:$C, $B$9:$B$13)</f>
        <v/>
      </c>
      <c r="H11" s="252">
        <f>SUMIFS('MTD Pivot'!I:I, 'MTD Pivot'!$A:$A, "Trung Tâm Tài Chính", 'MTD Pivot'!$C:$C, $B$9:$B$13)</f>
        <v/>
      </c>
      <c r="I11" s="252">
        <f>H11-G11</f>
        <v/>
      </c>
      <c r="J11" s="257" t="inlineStr"/>
      <c r="K11" s="252">
        <f>SUMIFS('Full month Pivot'!D:D, 'Full month Pivot'!$A:$A, "Trung Tâm Tài Chính", 'Full month Pivot'!$C:$C, $B81)</f>
        <v/>
      </c>
      <c r="L11" s="252">
        <f>SUMIFS('Full month Pivot'!E:E, 'Full month Pivot'!$A:$A, "Trung Tâm Tài Chính", 'Full month Pivot'!$C:$C, $B81)</f>
        <v/>
      </c>
      <c r="M11" s="252">
        <f>SUMIFS('Full month Pivot'!F:F, 'Full month Pivot'!$A:$A, "Trung Tâm Tài Chính", 'Full month Pivot'!$C:$C, $B81)</f>
        <v/>
      </c>
      <c r="N11" s="252">
        <f>SUMIFS('Full month Pivot'!G:G, 'Full month Pivot'!$A:$A, "Trung Tâm Tài Chính", 'Full month Pivot'!$C:$C, $B81)</f>
        <v/>
      </c>
      <c r="O11" s="252">
        <f>SUMIFS('Full month Pivot'!H:H, 'Full month Pivot'!$A:$A, "Trung Tâm Tài Chính", 'Full month Pivot'!$C:$C, $B81)</f>
        <v/>
      </c>
      <c r="P11" s="252">
        <f>SUMIFS('Full month Pivot'!I:I, 'Full month Pivot'!$A:$A, "Trung Tâm Tài Chính", 'Full month Pivot'!$C:$C, $B81)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257" t="inlineStr"/>
      <c r="B12" s="257" t="inlineStr">
        <is>
          <t>Others</t>
        </is>
      </c>
      <c r="C12" s="252">
        <f>SUMIFS('MTD Pivot'!D:D, 'MTD Pivot'!$A:$A, "Trung Tâm Tài Chính", 'MTD Pivot'!$C:$C, $B$9:$B$13)</f>
        <v/>
      </c>
      <c r="D12" s="252">
        <f>SUMIFS('MTD Pivot'!E:E, 'MTD Pivot'!$A:$A, "Trung Tâm Tài Chính", 'MTD Pivot'!$C:$C, $B$9:$B$13)</f>
        <v/>
      </c>
      <c r="E12" s="252">
        <f>SUMIFS('MTD Pivot'!F:F, 'MTD Pivot'!$A:$A, "Trung Tâm Tài Chính", 'MTD Pivot'!$C:$C, $B$9:$B$13)</f>
        <v/>
      </c>
      <c r="F12" s="252">
        <f>SUMIFS('MTD Pivot'!G:G, 'MTD Pivot'!$A:$A, "Trung Tâm Tài Chính", 'MTD Pivot'!$C:$C, $B$9:$B$13)</f>
        <v/>
      </c>
      <c r="G12" s="252">
        <f>SUMIFS('MTD Pivot'!H:H, 'MTD Pivot'!$A:$A, "Trung Tâm Tài Chính", 'MTD Pivot'!$C:$C, $B$9:$B$13)</f>
        <v/>
      </c>
      <c r="H12" s="252">
        <f>SUMIFS('MTD Pivot'!I:I, 'MTD Pivot'!$A:$A, "Trung Tâm Tài Chính", 'MTD Pivot'!$C:$C, $B$9:$B$13)</f>
        <v/>
      </c>
      <c r="I12" s="252">
        <f>H12-G12</f>
        <v/>
      </c>
      <c r="J12" s="257" t="inlineStr"/>
      <c r="K12" s="252">
        <f>SUMIFS('Full month Pivot'!D:D, 'Full month Pivot'!$A:$A, "Trung Tâm Tài Chính", 'Full month Pivot'!$C:$C, $B82)</f>
        <v/>
      </c>
      <c r="L12" s="252">
        <f>SUMIFS('Full month Pivot'!E:E, 'Full month Pivot'!$A:$A, "Trung Tâm Tài Chính", 'Full month Pivot'!$C:$C, $B82)</f>
        <v/>
      </c>
      <c r="M12" s="252">
        <f>SUMIFS('Full month Pivot'!F:F, 'Full month Pivot'!$A:$A, "Trung Tâm Tài Chính", 'Full month Pivot'!$C:$C, $B82)</f>
        <v/>
      </c>
      <c r="N12" s="252">
        <f>SUMIFS('Full month Pivot'!G:G, 'Full month Pivot'!$A:$A, "Trung Tâm Tài Chính", 'Full month Pivot'!$C:$C, $B82)</f>
        <v/>
      </c>
      <c r="O12" s="252">
        <f>SUMIFS('Full month Pivot'!H:H, 'Full month Pivot'!$A:$A, "Trung Tâm Tài Chính", 'Full month Pivot'!$C:$C, $B82)</f>
        <v/>
      </c>
      <c r="P12" s="252">
        <f>SUMIFS('Full month Pivot'!I:I, 'Full month Pivot'!$A:$A, "Trung Tâm Tài Chính", 'Full month Pivot'!$C:$C, $B82)</f>
        <v/>
      </c>
      <c r="Q12" s="252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257" t="inlineStr"/>
      <c r="B13" s="257" t="inlineStr">
        <is>
          <t>Paid</t>
        </is>
      </c>
      <c r="C13" s="252">
        <f>SUMIFS('MTD Pivot'!D:D, 'MTD Pivot'!$A:$A, "Trung Tâm Tài Chính", 'MTD Pivot'!$C:$C, $B$9:$B$13)</f>
        <v/>
      </c>
      <c r="D13" s="252">
        <f>SUMIFS('MTD Pivot'!E:E, 'MTD Pivot'!$A:$A, "Trung Tâm Tài Chính", 'MTD Pivot'!$C:$C, $B$9:$B$13)</f>
        <v/>
      </c>
      <c r="E13" s="252">
        <f>SUMIFS('MTD Pivot'!F:F, 'MTD Pivot'!$A:$A, "Trung Tâm Tài Chính", 'MTD Pivot'!$C:$C, $B$9:$B$13)</f>
        <v/>
      </c>
      <c r="F13" s="252">
        <f>SUMIFS('MTD Pivot'!G:G, 'MTD Pivot'!$A:$A, "Trung Tâm Tài Chính", 'MTD Pivot'!$C:$C, $B$9:$B$13)</f>
        <v/>
      </c>
      <c r="G13" s="252">
        <f>SUMIFS('MTD Pivot'!H:H, 'MTD Pivot'!$A:$A, "Trung Tâm Tài Chính", 'MTD Pivot'!$C:$C, $B$9:$B$13)</f>
        <v/>
      </c>
      <c r="H13" s="252">
        <f>SUMIFS('MTD Pivot'!I:I, 'MTD Pivot'!$A:$A, "Trung Tâm Tài Chính", 'MTD Pivot'!$C:$C, $B$9:$B$13)</f>
        <v/>
      </c>
      <c r="I13" s="252">
        <f>H13-G13</f>
        <v/>
      </c>
      <c r="J13" s="257" t="inlineStr"/>
      <c r="K13" s="252">
        <f>SUMIFS('Full month Pivot'!D:D, 'Full month Pivot'!$A:$A, "Trung Tâm Tài Chính", 'Full month Pivot'!$C:$C, $B83)</f>
        <v/>
      </c>
      <c r="L13" s="252">
        <f>SUMIFS('Full month Pivot'!E:E, 'Full month Pivot'!$A:$A, "Trung Tâm Tài Chính", 'Full month Pivot'!$C:$C, $B83)</f>
        <v/>
      </c>
      <c r="M13" s="252">
        <f>SUMIFS('Full month Pivot'!F:F, 'Full month Pivot'!$A:$A, "Trung Tâm Tài Chính", 'Full month Pivot'!$C:$C, $B83)</f>
        <v/>
      </c>
      <c r="N13" s="252">
        <f>SUMIFS('Full month Pivot'!G:G, 'Full month Pivot'!$A:$A, "Trung Tâm Tài Chính", 'Full month Pivot'!$C:$C, $B83)</f>
        <v/>
      </c>
      <c r="O13" s="252">
        <f>SUMIFS('Full month Pivot'!H:H, 'Full month Pivot'!$A:$A, "Trung Tâm Tài Chính", 'Full month Pivot'!$C:$C, $B83)</f>
        <v/>
      </c>
      <c r="P13" s="252">
        <f>SUMIFS('Full month Pivot'!I:I, 'Full month Pivot'!$A:$A, "Trung Tâm Tài Chính", 'Full month Pivot'!$C:$C, $B83)</f>
        <v/>
      </c>
      <c r="Q13" s="252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256" t="inlineStr">
        <is>
          <t>Vay Nhanh</t>
        </is>
      </c>
      <c r="B15" s="257" t="inlineStr"/>
      <c r="C15" s="251">
        <f>sum(C16:C20)</f>
        <v/>
      </c>
      <c r="D15" s="251">
        <f>sum(D16:D20)</f>
        <v/>
      </c>
      <c r="E15" s="251">
        <f>sum(E16:E20)</f>
        <v/>
      </c>
      <c r="F15" s="251">
        <f>sum(F16:F20)</f>
        <v/>
      </c>
      <c r="G15" s="251">
        <f>sum(G16:G20)</f>
        <v/>
      </c>
      <c r="H15" s="251">
        <f>sum(H16:H20)</f>
        <v/>
      </c>
      <c r="I15" s="251">
        <f>H15-G15</f>
        <v/>
      </c>
      <c r="J15" s="257" t="inlineStr"/>
      <c r="K15" s="251">
        <f>sum(K16:K20)</f>
        <v/>
      </c>
      <c r="L15" s="251">
        <f>sum(L16:L20)</f>
        <v/>
      </c>
      <c r="M15" s="251">
        <f>sum(M16:M20)</f>
        <v/>
      </c>
      <c r="N15" s="251">
        <f>sum(N16:N20)</f>
        <v/>
      </c>
      <c r="O15" s="251">
        <f>sum(O16:O20)</f>
        <v/>
      </c>
      <c r="P15" s="251">
        <f>sum(P16:P20)</f>
        <v/>
      </c>
      <c r="Q15" s="251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257" t="inlineStr"/>
      <c r="B16" s="257" t="inlineStr">
        <is>
          <t>Organic</t>
        </is>
      </c>
      <c r="C16" s="252">
        <f>SUMIFS('MTD Pivot'!D:D, 'MTD Pivot'!$A:$A, $A$15, 'MTD Pivot'!$C:$C, $B16)</f>
        <v/>
      </c>
      <c r="D16" s="252">
        <f>SUMIFS('MTD Pivot'!E:E, 'MTD Pivot'!$A:$A, $A$15, 'MTD Pivot'!$C:$C, $B16)</f>
        <v/>
      </c>
      <c r="E16" s="252">
        <f>SUMIFS('MTD Pivot'!F:F, 'MTD Pivot'!$A:$A, $A$15, 'MTD Pivot'!$C:$C, $B16)</f>
        <v/>
      </c>
      <c r="F16" s="252">
        <f>SUMIFS('MTD Pivot'!G:G, 'MTD Pivot'!$A:$A, $A$15, 'MTD Pivot'!$C:$C, $B16)</f>
        <v/>
      </c>
      <c r="G16" s="252">
        <f>SUMIFS('MTD Pivot'!H:H, 'MTD Pivot'!$A:$A, $A$15, 'MTD Pivot'!$C:$C, $B16)</f>
        <v/>
      </c>
      <c r="H16" s="252">
        <f>SUMIFS('MTD Pivot'!I:I, 'MTD Pivot'!$A:$A, $A$15, 'MTD Pivot'!$C:$C, $B16)</f>
        <v/>
      </c>
      <c r="I16" s="252">
        <f>H16-G16</f>
        <v/>
      </c>
      <c r="J16" s="257" t="inlineStr"/>
      <c r="K16" s="252">
        <f>SUMIFS('Full month Pivot'!D:D, 'Full month Pivot'!$A:$A, "Vay Nhanh", 'Full month Pivot'!$C:$C, $B16)</f>
        <v/>
      </c>
      <c r="L16" s="252">
        <f>SUMIFS('Full month Pivot'!E:E, 'Full month Pivot'!$A:$A, "Vay Nhanh", 'Full month Pivot'!$C:$C, $B16)</f>
        <v/>
      </c>
      <c r="M16" s="252">
        <f>SUMIFS('Full month Pivot'!F:F, 'Full month Pivot'!$A:$A, "Vay Nhanh", 'Full month Pivot'!$C:$C, $B16)</f>
        <v/>
      </c>
      <c r="N16" s="252">
        <f>SUMIFS('Full month Pivot'!G:G, 'Full month Pivot'!$A:$A, "Vay Nhanh", 'Full month Pivot'!$C:$C, $B16)</f>
        <v/>
      </c>
      <c r="O16" s="252">
        <f>SUMIFS('Full month Pivot'!H:H, 'Full month Pivot'!$A:$A, "Vay Nhanh", 'Full month Pivot'!$C:$C, $B16)</f>
        <v/>
      </c>
      <c r="P16" s="252">
        <f>SUMIFS('Full month Pivot'!I:I, 'Full month Pivot'!$A:$A, "Vay Nhanh", 'Full month Pivot'!$C:$C, $B16)</f>
        <v/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257" t="inlineStr"/>
      <c r="B17" s="257" t="inlineStr">
        <is>
          <t>Paid</t>
        </is>
      </c>
      <c r="C17" s="252">
        <f>SUMIFS('MTD Pivot'!D:D, 'MTD Pivot'!$A:$A, $A$15, 'MTD Pivot'!$C:$C, $B17)</f>
        <v/>
      </c>
      <c r="D17" s="252">
        <f>SUMIFS('MTD Pivot'!E:E, 'MTD Pivot'!$A:$A, $A$15, 'MTD Pivot'!$C:$C, $B17)</f>
        <v/>
      </c>
      <c r="E17" s="252">
        <f>SUMIFS('MTD Pivot'!F:F, 'MTD Pivot'!$A:$A, $A$15, 'MTD Pivot'!$C:$C, $B17)</f>
        <v/>
      </c>
      <c r="F17" s="252">
        <f>SUMIFS('MTD Pivot'!G:G, 'MTD Pivot'!$A:$A, $A$15, 'MTD Pivot'!$C:$C, $B17)</f>
        <v/>
      </c>
      <c r="G17" s="252">
        <f>SUMIFS('MTD Pivot'!H:H, 'MTD Pivot'!$A:$A, $A$15, 'MTD Pivot'!$C:$C, $B17)</f>
        <v/>
      </c>
      <c r="H17" s="252">
        <f>SUMIFS('MTD Pivot'!I:I, 'MTD Pivot'!$A:$A, $A$15, 'MTD Pivot'!$C:$C, $B17)</f>
        <v/>
      </c>
      <c r="I17" s="252">
        <f>H17-G17</f>
        <v/>
      </c>
      <c r="J17" s="257" t="inlineStr"/>
      <c r="K17" s="252">
        <f>SUMIFS('Full month Pivot'!D:D, 'Full month Pivot'!$A:$A, "Vay Nhanh", 'Full month Pivot'!$C:$C, $B17)</f>
        <v/>
      </c>
      <c r="L17" s="252">
        <f>SUMIFS('Full month Pivot'!E:E, 'Full month Pivot'!$A:$A, "Vay Nhanh", 'Full month Pivot'!$C:$C, $B17)</f>
        <v/>
      </c>
      <c r="M17" s="252">
        <f>SUMIFS('Full month Pivot'!F:F, 'Full month Pivot'!$A:$A, "Vay Nhanh", 'Full month Pivot'!$C:$C, $B17)</f>
        <v/>
      </c>
      <c r="N17" s="252">
        <f>SUMIFS('Full month Pivot'!G:G, 'Full month Pivot'!$A:$A, "Vay Nhanh", 'Full month Pivot'!$C:$C, $B17)</f>
        <v/>
      </c>
      <c r="O17" s="252">
        <f>SUMIFS('Full month Pivot'!H:H, 'Full month Pivot'!$A:$A, "Vay Nhanh", 'Full month Pivot'!$C:$C, $B17)</f>
        <v/>
      </c>
      <c r="P17" s="252">
        <f>SUMIFS('Full month Pivot'!I:I, 'Full month Pivot'!$A:$A, "Vay Nhanh", 'Full month Pivot'!$C:$C, $B17)</f>
        <v/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257" t="inlineStr"/>
      <c r="B18" s="257" t="inlineStr">
        <is>
          <t>Referral</t>
        </is>
      </c>
      <c r="C18" s="252">
        <f>SUMIFS('MTD Pivot'!D:D, 'MTD Pivot'!$A:$A, $A$15, 'MTD Pivot'!$C:$C, $B18)</f>
        <v/>
      </c>
      <c r="D18" s="252">
        <f>SUMIFS('MTD Pivot'!E:E, 'MTD Pivot'!$A:$A, $A$15, 'MTD Pivot'!$C:$C, $B18)</f>
        <v/>
      </c>
      <c r="E18" s="252">
        <f>SUMIFS('MTD Pivot'!F:F, 'MTD Pivot'!$A:$A, $A$15, 'MTD Pivot'!$C:$C, $B18)</f>
        <v/>
      </c>
      <c r="F18" s="252">
        <f>SUMIFS('MTD Pivot'!G:G, 'MTD Pivot'!$A:$A, $A$15, 'MTD Pivot'!$C:$C, $B18)</f>
        <v/>
      </c>
      <c r="G18" s="252">
        <f>SUMIFS('MTD Pivot'!H:H, 'MTD Pivot'!$A:$A, $A$15, 'MTD Pivot'!$C:$C, $B18)</f>
        <v/>
      </c>
      <c r="H18" s="252">
        <f>SUMIFS('MTD Pivot'!I:I, 'MTD Pivot'!$A:$A, $A$15, 'MTD Pivot'!$C:$C, $B18)</f>
        <v/>
      </c>
      <c r="I18" s="252">
        <f>H18-G18</f>
        <v/>
      </c>
      <c r="J18" s="257" t="inlineStr"/>
      <c r="K18" s="252">
        <f>SUMIFS('Full month Pivot'!D:D, 'Full month Pivot'!$A:$A, "Vay Nhanh", 'Full month Pivot'!$C:$C, $B18)</f>
        <v/>
      </c>
      <c r="L18" s="252">
        <f>SUMIFS('Full month Pivot'!E:E, 'Full month Pivot'!$A:$A, "Vay Nhanh", 'Full month Pivot'!$C:$C, $B18)</f>
        <v/>
      </c>
      <c r="M18" s="252">
        <f>SUMIFS('Full month Pivot'!F:F, 'Full month Pivot'!$A:$A, "Vay Nhanh", 'Full month Pivot'!$C:$C, $B18)</f>
        <v/>
      </c>
      <c r="N18" s="252">
        <f>SUMIFS('Full month Pivot'!G:G, 'Full month Pivot'!$A:$A, "Vay Nhanh", 'Full month Pivot'!$C:$C, $B18)</f>
        <v/>
      </c>
      <c r="O18" s="252">
        <f>SUMIFS('Full month Pivot'!H:H, 'Full month Pivot'!$A:$A, "Vay Nhanh", 'Full month Pivot'!$C:$C, $B18)</f>
        <v/>
      </c>
      <c r="P18" s="252">
        <f>SUMIFS('Full month Pivot'!I:I, 'Full month Pivot'!$A:$A, "Vay Nhanh", 'Full month Pivot'!$C:$C, $B18)</f>
        <v/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257" t="inlineStr"/>
      <c r="B19" s="257" t="inlineStr">
        <is>
          <t>Direct</t>
        </is>
      </c>
      <c r="C19" s="252">
        <f>SUMIFS('MTD Pivot'!D:D, 'MTD Pivot'!$A:$A, $A$15, 'MTD Pivot'!$C:$C, $B19)</f>
        <v/>
      </c>
      <c r="D19" s="252">
        <f>SUMIFS('MTD Pivot'!E:E, 'MTD Pivot'!$A:$A, $A$15, 'MTD Pivot'!$C:$C, $B19)</f>
        <v/>
      </c>
      <c r="E19" s="252">
        <f>SUMIFS('MTD Pivot'!F:F, 'MTD Pivot'!$A:$A, $A$15, 'MTD Pivot'!$C:$C, $B19)</f>
        <v/>
      </c>
      <c r="F19" s="252">
        <f>SUMIFS('MTD Pivot'!G:G, 'MTD Pivot'!$A:$A, $A$15, 'MTD Pivot'!$C:$C, $B19)</f>
        <v/>
      </c>
      <c r="G19" s="252">
        <f>SUMIFS('MTD Pivot'!H:H, 'MTD Pivot'!$A:$A, $A$15, 'MTD Pivot'!$C:$C, $B19)</f>
        <v/>
      </c>
      <c r="H19" s="252">
        <f>SUMIFS('MTD Pivot'!I:I, 'MTD Pivot'!$A:$A, $A$15, 'MTD Pivot'!$C:$C, $B19)</f>
        <v/>
      </c>
      <c r="I19" s="252">
        <f>H19-G19</f>
        <v/>
      </c>
      <c r="J19" s="257" t="inlineStr"/>
      <c r="K19" s="252">
        <f>SUMIFS('Full month Pivot'!D:D, 'Full month Pivot'!$A:$A, "Vay Nhanh", 'Full month Pivot'!$C:$C, $B19)</f>
        <v/>
      </c>
      <c r="L19" s="252">
        <f>SUMIFS('Full month Pivot'!E:E, 'Full month Pivot'!$A:$A, "Vay Nhanh", 'Full month Pivot'!$C:$C, $B19)</f>
        <v/>
      </c>
      <c r="M19" s="252">
        <f>SUMIFS('Full month Pivot'!F:F, 'Full month Pivot'!$A:$A, "Vay Nhanh", 'Full month Pivot'!$C:$C, $B19)</f>
        <v/>
      </c>
      <c r="N19" s="252">
        <f>SUMIFS('Full month Pivot'!G:G, 'Full month Pivot'!$A:$A, "Vay Nhanh", 'Full month Pivot'!$C:$C, $B19)</f>
        <v/>
      </c>
      <c r="O19" s="252">
        <f>SUMIFS('Full month Pivot'!H:H, 'Full month Pivot'!$A:$A, "Vay Nhanh", 'Full month Pivot'!$C:$C, $B19)</f>
        <v/>
      </c>
      <c r="P19" s="252">
        <f>SUMIFS('Full month Pivot'!I:I, 'Full month Pivot'!$A:$A, "Vay Nhanh", 'Full month Pivot'!$C:$C, $B19)</f>
        <v/>
      </c>
      <c r="Q19" s="252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257" t="inlineStr"/>
      <c r="B20" s="257" t="inlineStr">
        <is>
          <t>Others</t>
        </is>
      </c>
      <c r="C20" s="252">
        <f>SUMIFS('MTD Pivot'!D:D, 'MTD Pivot'!$A:$A, $A$15, 'MTD Pivot'!$C:$C, $B20)</f>
        <v/>
      </c>
      <c r="D20" s="252">
        <f>SUMIFS('MTD Pivot'!E:E, 'MTD Pivot'!$A:$A, $A$15, 'MTD Pivot'!$C:$C, $B20)</f>
        <v/>
      </c>
      <c r="E20" s="252">
        <f>SUMIFS('MTD Pivot'!F:F, 'MTD Pivot'!$A:$A, $A$15, 'MTD Pivot'!$C:$C, $B20)</f>
        <v/>
      </c>
      <c r="F20" s="252">
        <f>SUMIFS('MTD Pivot'!G:G, 'MTD Pivot'!$A:$A, $A$15, 'MTD Pivot'!$C:$C, $B20)</f>
        <v/>
      </c>
      <c r="G20" s="252">
        <f>SUMIFS('MTD Pivot'!H:H, 'MTD Pivot'!$A:$A, $A$15, 'MTD Pivot'!$C:$C, $B20)</f>
        <v/>
      </c>
      <c r="H20" s="252">
        <f>SUMIFS('MTD Pivot'!I:I, 'MTD Pivot'!$A:$A, $A$15, 'MTD Pivot'!$C:$C, $B20)</f>
        <v/>
      </c>
      <c r="I20" s="252">
        <f>H20-G20</f>
        <v/>
      </c>
      <c r="J20" s="257" t="inlineStr"/>
      <c r="K20" s="252">
        <f>SUMIFS('Full month Pivot'!D:D, 'Full month Pivot'!$A:$A, "Vay Nhanh", 'Full month Pivot'!$C:$C, $B20)</f>
        <v/>
      </c>
      <c r="L20" s="252">
        <f>SUMIFS('Full month Pivot'!E:E, 'Full month Pivot'!$A:$A, "Vay Nhanh", 'Full month Pivot'!$C:$C, $B20)</f>
        <v/>
      </c>
      <c r="M20" s="252">
        <f>SUMIFS('Full month Pivot'!F:F, 'Full month Pivot'!$A:$A, "Vay Nhanh", 'Full month Pivot'!$C:$C, $B20)</f>
        <v/>
      </c>
      <c r="N20" s="252">
        <f>SUMIFS('Full month Pivot'!G:G, 'Full month Pivot'!$A:$A, "Vay Nhanh", 'Full month Pivot'!$C:$C, $B20)</f>
        <v/>
      </c>
      <c r="O20" s="252">
        <f>SUMIFS('Full month Pivot'!H:H, 'Full month Pivot'!$A:$A, "Vay Nhanh", 'Full month Pivot'!$C:$C, $B20)</f>
        <v/>
      </c>
      <c r="P20" s="252">
        <f>SUMIFS('Full month Pivot'!I:I, 'Full month Pivot'!$A:$A, "Vay Nhanh", 'Full month Pivot'!$C:$C, $B20)</f>
        <v/>
      </c>
      <c r="Q20" s="252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256" t="inlineStr">
        <is>
          <t>Điểm Tín Dụng</t>
        </is>
      </c>
      <c r="B22" s="257" t="inlineStr"/>
      <c r="C22" s="251">
        <f>sum(C23:C27)</f>
        <v/>
      </c>
      <c r="D22" s="251">
        <f>sum(D23:D27)</f>
        <v/>
      </c>
      <c r="E22" s="251">
        <f>sum(E23:E27)</f>
        <v/>
      </c>
      <c r="F22" s="251">
        <f>sum(F23:F27)</f>
        <v/>
      </c>
      <c r="G22" s="251">
        <f>sum(G23:G27)</f>
        <v/>
      </c>
      <c r="H22" s="251">
        <f>sum(H23:H27)</f>
        <v/>
      </c>
      <c r="I22" s="251">
        <f>H22-G22</f>
        <v/>
      </c>
      <c r="J22" s="257" t="inlineStr"/>
      <c r="K22" s="251">
        <f>sum(K23:K25)</f>
        <v/>
      </c>
      <c r="L22" s="251">
        <f>sum(L23:L25)</f>
        <v/>
      </c>
      <c r="M22" s="251">
        <f>sum(M23:M25)</f>
        <v/>
      </c>
      <c r="N22" s="251">
        <f>sum(N23:N25)</f>
        <v/>
      </c>
      <c r="O22" s="251">
        <f>sum(O23:O27)</f>
        <v/>
      </c>
      <c r="P22" s="251">
        <f>sum(P23:P27)</f>
        <v/>
      </c>
      <c r="Q22" s="251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257" t="inlineStr"/>
      <c r="B23" s="257" t="inlineStr">
        <is>
          <t>Paid</t>
        </is>
      </c>
      <c r="C23" s="252">
        <f>SUMIFS('MTD Pivot'!D:D, 'MTD Pivot'!$A:$A, "Điểm Tín Dụng", 'MTD Pivot'!$C:$C, $B23)</f>
        <v/>
      </c>
      <c r="D23" s="252">
        <f>SUMIFS('MTD Pivot'!E:E, 'MTD Pivot'!$A:$A, "Điểm Tín Dụng", 'MTD Pivot'!$C:$C, $B23)</f>
        <v/>
      </c>
      <c r="E23" s="252">
        <f>SUMIFS('MTD Pivot'!F:F, 'MTD Pivot'!$A:$A, "Điểm Tín Dụng", 'MTD Pivot'!$C:$C, $B23)</f>
        <v/>
      </c>
      <c r="F23" s="252">
        <f>SUMIFS('MTD Pivot'!G:G, 'MTD Pivot'!$A:$A, "Điểm Tín Dụng", 'MTD Pivot'!$C:$C, $B23)</f>
        <v/>
      </c>
      <c r="G23" s="252">
        <f>SUMIFS('MTD Pivot'!H:H, 'MTD Pivot'!$A:$A, "Điểm Tín Dụng", 'MTD Pivot'!$C:$C, $B23)</f>
        <v/>
      </c>
      <c r="H23" s="252">
        <f>SUMIFS('MTD Pivot'!I:I, 'MTD Pivot'!$A:$A, "Điểm Tín Dụng", 'MTD Pivot'!$C:$C, $B23)</f>
        <v/>
      </c>
      <c r="I23" s="252">
        <f>H23-G23</f>
        <v/>
      </c>
      <c r="J23" s="257" t="inlineStr"/>
      <c r="K23" s="252">
        <f>SUMIFS('Full month Pivot'!D:D, 'Full month Pivot'!$A:$A, "Điểm Tín Dụng", 'Full month Pivot'!$C:$C, $B23)</f>
        <v/>
      </c>
      <c r="L23" s="252">
        <f>SUMIFS('Full month Pivot'!E:E, 'Full month Pivot'!$A:$A, "Điểm Tín Dụng", 'Full month Pivot'!$C:$C, $B23)</f>
        <v/>
      </c>
      <c r="M23" s="252">
        <f>SUMIFS('Full month Pivot'!F:F, 'Full month Pivot'!$A:$A, "Điểm Tín Dụng", 'Full month Pivot'!$C:$C, $B23)</f>
        <v/>
      </c>
      <c r="N23" s="252">
        <f>SUMIFS('Full month Pivot'!G:G, 'Full month Pivot'!$A:$A, "Điểm Tín Dụng", 'Full month Pivot'!$C:$C, $B23)</f>
        <v/>
      </c>
      <c r="O23" s="252">
        <f>SUMIFS('Full month Pivot'!H:H, 'Full month Pivot'!$A:$A, "Điểm Tín Dụng", 'Full month Pivot'!$C:$C, $B23)</f>
        <v/>
      </c>
      <c r="P23" s="252">
        <f>SUMIFS('Full month Pivot'!I:I, 'Full month Pivot'!$A:$A, "Điểm Tín Dụng", 'Full month Pivot'!$C:$C, $B23)</f>
        <v/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257" t="inlineStr"/>
      <c r="B24" s="257" t="inlineStr">
        <is>
          <t>Organic</t>
        </is>
      </c>
      <c r="C24" s="252">
        <f>SUMIFS('MTD Pivot'!D:D, 'MTD Pivot'!$A:$A, "Điểm Tín Dụng", 'MTD Pivot'!$C:$C, $B24)</f>
        <v/>
      </c>
      <c r="D24" s="252">
        <f>SUMIFS('MTD Pivot'!E:E, 'MTD Pivot'!$A:$A, "Điểm Tín Dụng", 'MTD Pivot'!$C:$C, $B24)</f>
        <v/>
      </c>
      <c r="E24" s="252">
        <f>SUMIFS('MTD Pivot'!F:F, 'MTD Pivot'!$A:$A, "Điểm Tín Dụng", 'MTD Pivot'!$C:$C, $B24)</f>
        <v/>
      </c>
      <c r="F24" s="252">
        <f>SUMIFS('MTD Pivot'!G:G, 'MTD Pivot'!$A:$A, "Điểm Tín Dụng", 'MTD Pivot'!$C:$C, $B24)</f>
        <v/>
      </c>
      <c r="G24" s="252">
        <f>SUMIFS('MTD Pivot'!H:H, 'MTD Pivot'!$A:$A, "Điểm Tín Dụng", 'MTD Pivot'!$C:$C, $B24)</f>
        <v/>
      </c>
      <c r="H24" s="252">
        <f>SUMIFS('MTD Pivot'!I:I, 'MTD Pivot'!$A:$A, "Điểm Tín Dụng", 'MTD Pivot'!$C:$C, $B24)</f>
        <v/>
      </c>
      <c r="I24" s="252">
        <f>H24-G24</f>
        <v/>
      </c>
      <c r="J24" s="257" t="inlineStr"/>
      <c r="K24" s="252">
        <f>SUMIFS('Full month Pivot'!D:D, 'Full month Pivot'!$A:$A, "Điểm Tín Dụng", 'Full month Pivot'!$C:$C, $B24)</f>
        <v/>
      </c>
      <c r="L24" s="252">
        <f>SUMIFS('Full month Pivot'!E:E, 'Full month Pivot'!$A:$A, "Điểm Tín Dụng", 'Full month Pivot'!$C:$C, $B24)</f>
        <v/>
      </c>
      <c r="M24" s="252">
        <f>SUMIFS('Full month Pivot'!F:F, 'Full month Pivot'!$A:$A, "Điểm Tín Dụng", 'Full month Pivot'!$C:$C, $B24)</f>
        <v/>
      </c>
      <c r="N24" s="252">
        <f>SUMIFS('Full month Pivot'!G:G, 'Full month Pivot'!$A:$A, "Điểm Tín Dụng", 'Full month Pivot'!$C:$C, $B24)</f>
        <v/>
      </c>
      <c r="O24" s="252">
        <f>SUMIFS('Full month Pivot'!H:H, 'Full month Pivot'!$A:$A, "Điểm Tín Dụng", 'Full month Pivot'!$C:$C, $B24)</f>
        <v/>
      </c>
      <c r="P24" s="252">
        <f>SUMIFS('Full month Pivot'!I:I, 'Full month Pivot'!$A:$A, "Điểm Tín Dụng", 'Full month Pivot'!$C:$C, $B24)</f>
        <v/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257" t="inlineStr"/>
      <c r="B25" s="257" t="inlineStr">
        <is>
          <t>Direct</t>
        </is>
      </c>
      <c r="C25" s="252">
        <f>SUMIFS('MTD Pivot'!D:D, 'MTD Pivot'!$A:$A, "Điểm Tín Dụng", 'MTD Pivot'!$C:$C, $B25)</f>
        <v/>
      </c>
      <c r="D25" s="252">
        <f>SUMIFS('MTD Pivot'!E:E, 'MTD Pivot'!$A:$A, "Điểm Tín Dụng", 'MTD Pivot'!$C:$C, $B25)</f>
        <v/>
      </c>
      <c r="E25" s="252">
        <f>SUMIFS('MTD Pivot'!F:F, 'MTD Pivot'!$A:$A, "Điểm Tín Dụng", 'MTD Pivot'!$C:$C, $B25)</f>
        <v/>
      </c>
      <c r="F25" s="252">
        <f>SUMIFS('MTD Pivot'!G:G, 'MTD Pivot'!$A:$A, "Điểm Tín Dụng", 'MTD Pivot'!$C:$C, $B25)</f>
        <v/>
      </c>
      <c r="G25" s="252">
        <f>SUMIFS('MTD Pivot'!H:H, 'MTD Pivot'!$A:$A, "Điểm Tín Dụng", 'MTD Pivot'!$C:$C, $B25)</f>
        <v/>
      </c>
      <c r="H25" s="252">
        <f>SUMIFS('MTD Pivot'!I:I, 'MTD Pivot'!$A:$A, "Điểm Tín Dụng", 'MTD Pivot'!$C:$C, $B25)</f>
        <v/>
      </c>
      <c r="I25" s="252">
        <f>H25-G25</f>
        <v/>
      </c>
      <c r="J25" s="257" t="inlineStr"/>
      <c r="K25" s="252">
        <f>SUMIFS('Full month Pivot'!D:D, 'Full month Pivot'!$A:$A, "Điểm Tín Dụng", 'Full month Pivot'!$C:$C, $B25)</f>
        <v/>
      </c>
      <c r="L25" s="252">
        <f>SUMIFS('Full month Pivot'!E:E, 'Full month Pivot'!$A:$A, "Điểm Tín Dụng", 'Full month Pivot'!$C:$C, $B25)</f>
        <v/>
      </c>
      <c r="M25" s="252">
        <f>SUMIFS('Full month Pivot'!F:F, 'Full month Pivot'!$A:$A, "Điểm Tín Dụng", 'Full month Pivot'!$C:$C, $B25)</f>
        <v/>
      </c>
      <c r="N25" s="252">
        <f>SUMIFS('Full month Pivot'!G:G, 'Full month Pivot'!$A:$A, "Điểm Tín Dụng", 'Full month Pivot'!$C:$C, $B25)</f>
        <v/>
      </c>
      <c r="O25" s="252">
        <f>SUMIFS('Full month Pivot'!H:H, 'Full month Pivot'!$A:$A, "Điểm Tín Dụng", 'Full month Pivot'!$C:$C, $B25)</f>
        <v/>
      </c>
      <c r="P25" s="252">
        <f>SUMIFS('Full month Pivot'!I:I, 'Full month Pivot'!$A:$A, "Điểm Tín Dụng", 'Full month Pivot'!$C:$C, $B25)</f>
        <v/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257" t="inlineStr"/>
      <c r="B26" s="257" t="inlineStr">
        <is>
          <t>Referral</t>
        </is>
      </c>
      <c r="C26" s="252">
        <f>SUMIFS('MTD Pivot'!D:D, 'MTD Pivot'!$A:$A, "Điểm Tín Dụng", 'MTD Pivot'!$C:$C, $B26)</f>
        <v/>
      </c>
      <c r="D26" s="252">
        <f>SUMIFS('MTD Pivot'!E:E, 'MTD Pivot'!$A:$A, "Điểm Tín Dụng", 'MTD Pivot'!$C:$C, $B26)</f>
        <v/>
      </c>
      <c r="E26" s="252">
        <f>SUMIFS('MTD Pivot'!F:F, 'MTD Pivot'!$A:$A, "Điểm Tín Dụng", 'MTD Pivot'!$C:$C, $B26)</f>
        <v/>
      </c>
      <c r="F26" s="252">
        <f>SUMIFS('MTD Pivot'!G:G, 'MTD Pivot'!$A:$A, "Điểm Tín Dụng", 'MTD Pivot'!$C:$C, $B26)</f>
        <v/>
      </c>
      <c r="G26" s="252">
        <f>SUMIFS('MTD Pivot'!H:H, 'MTD Pivot'!$A:$A, "Điểm Tín Dụng", 'MTD Pivot'!$C:$C, $B26)</f>
        <v/>
      </c>
      <c r="H26" s="252">
        <f>SUMIFS('MTD Pivot'!I:I, 'MTD Pivot'!$A:$A, "Điểm Tín Dụng", 'MTD Pivot'!$C:$C, $B26)</f>
        <v/>
      </c>
      <c r="I26" s="252">
        <f>H26-G26</f>
        <v/>
      </c>
      <c r="J26" s="257" t="inlineStr"/>
      <c r="K26" s="252">
        <f>SUMIFS('Full month Pivot'!D:D, 'Full month Pivot'!$A:$A, "Điểm Tín Dụng", 'Full month Pivot'!$C:$C, $B26)</f>
        <v/>
      </c>
      <c r="L26" s="252">
        <f>SUMIFS('Full month Pivot'!E:E, 'Full month Pivot'!$A:$A, "Điểm Tín Dụng", 'Full month Pivot'!$C:$C, $B26)</f>
        <v/>
      </c>
      <c r="M26" s="252">
        <f>SUMIFS('Full month Pivot'!F:F, 'Full month Pivot'!$A:$A, "Điểm Tín Dụng", 'Full month Pivot'!$C:$C, $B26)</f>
        <v/>
      </c>
      <c r="N26" s="252">
        <f>SUMIFS('Full month Pivot'!G:G, 'Full month Pivot'!$A:$A, "Điểm Tín Dụng", 'Full month Pivot'!$C:$C, $B26)</f>
        <v/>
      </c>
      <c r="O26" s="252">
        <f>SUMIFS('Full month Pivot'!H:H, 'Full month Pivot'!$A:$A, "Điểm Tín Dụng", 'Full month Pivot'!$C:$C, $B26)</f>
        <v/>
      </c>
      <c r="P26" s="252">
        <f>SUMIFS('Full month Pivot'!I:I, 'Full month Pivot'!$A:$A, "Điểm Tín Dụng", 'Full month Pivot'!$C:$C, $B26)</f>
        <v/>
      </c>
      <c r="Q26" s="252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257" t="inlineStr"/>
      <c r="B27" s="257" t="inlineStr">
        <is>
          <t>Others</t>
        </is>
      </c>
      <c r="C27" s="252">
        <f>SUMIFS('MTD Pivot'!D:D, 'MTD Pivot'!$A:$A, "Điểm Tín Dụng", 'MTD Pivot'!$C:$C, $B27)</f>
        <v/>
      </c>
      <c r="D27" s="252">
        <f>SUMIFS('MTD Pivot'!E:E, 'MTD Pivot'!$A:$A, "Điểm Tín Dụng", 'MTD Pivot'!$C:$C, $B27)</f>
        <v/>
      </c>
      <c r="E27" s="252">
        <f>SUMIFS('MTD Pivot'!F:F, 'MTD Pivot'!$A:$A, "Điểm Tín Dụng", 'MTD Pivot'!$C:$C, $B27)</f>
        <v/>
      </c>
      <c r="F27" s="252">
        <f>SUMIFS('MTD Pivot'!G:G, 'MTD Pivot'!$A:$A, "Điểm Tín Dụng", 'MTD Pivot'!$C:$C, $B27)</f>
        <v/>
      </c>
      <c r="G27" s="252">
        <f>SUMIFS('MTD Pivot'!H:H, 'MTD Pivot'!$A:$A, "Điểm Tín Dụng", 'MTD Pivot'!$C:$C, $B27)</f>
        <v/>
      </c>
      <c r="H27" s="252">
        <f>SUMIFS('MTD Pivot'!I:I, 'MTD Pivot'!$A:$A, "Điểm Tín Dụng", 'MTD Pivot'!$C:$C, $B27)</f>
        <v/>
      </c>
      <c r="I27" s="252">
        <f>H27-G27</f>
        <v/>
      </c>
      <c r="J27" s="257" t="inlineStr"/>
      <c r="K27" s="252">
        <f>SUMIFS('Full month Pivot'!D:D, 'Full month Pivot'!$A:$A, "Điểm Tín Dụng", 'Full month Pivot'!$C:$C, $B27)</f>
        <v/>
      </c>
      <c r="L27" s="252">
        <f>SUMIFS('Full month Pivot'!E:E, 'Full month Pivot'!$A:$A, "Điểm Tín Dụng", 'Full month Pivot'!$C:$C, $B27)</f>
        <v/>
      </c>
      <c r="M27" s="252">
        <f>SUMIFS('Full month Pivot'!F:F, 'Full month Pivot'!$A:$A, "Điểm Tín Dụng", 'Full month Pivot'!$C:$C, $B27)</f>
        <v/>
      </c>
      <c r="N27" s="252">
        <f>SUMIFS('Full month Pivot'!G:G, 'Full month Pivot'!$A:$A, "Điểm Tín Dụng", 'Full month Pivot'!$C:$C, $B27)</f>
        <v/>
      </c>
      <c r="O27" s="252">
        <f>SUMIFS('Full month Pivot'!H:H, 'Full month Pivot'!$A:$A, "Điểm Tín Dụng", 'Full month Pivot'!$C:$C, $B27)</f>
        <v/>
      </c>
      <c r="P27" s="252">
        <f>SUMIFS('Full month Pivot'!I:I, 'Full month Pivot'!$A:$A, "Điểm Tín Dụng", 'Full month Pivot'!$C:$C, $B27)</f>
        <v/>
      </c>
      <c r="Q27" s="252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256" t="inlineStr">
        <is>
          <t>Ví Trả Sau</t>
        </is>
      </c>
      <c r="B29" s="257" t="inlineStr"/>
      <c r="C29" s="251">
        <f>sum(C30:C34)</f>
        <v/>
      </c>
      <c r="D29" s="251">
        <f>sum(D30:D34)</f>
        <v/>
      </c>
      <c r="E29" s="251">
        <f>sum(E30:E34)</f>
        <v/>
      </c>
      <c r="F29" s="251">
        <f>sum(F30:F34)</f>
        <v/>
      </c>
      <c r="G29" s="251">
        <f>sum(G30:G34)</f>
        <v/>
      </c>
      <c r="H29" s="251">
        <f>sum(H30:H34)</f>
        <v/>
      </c>
      <c r="I29" s="251">
        <f>H29-G29</f>
        <v/>
      </c>
      <c r="J29" s="257" t="inlineStr"/>
      <c r="K29" s="251">
        <f>sum(K30:K34)</f>
        <v/>
      </c>
      <c r="L29" s="251">
        <f>sum(L30:L34)</f>
        <v/>
      </c>
      <c r="M29" s="251">
        <f>sum(M30:M34)</f>
        <v/>
      </c>
      <c r="N29" s="251">
        <f>sum(N30:N34)</f>
        <v/>
      </c>
      <c r="O29" s="251">
        <f>sum(O30:O34)</f>
        <v/>
      </c>
      <c r="P29" s="251">
        <f>sum(P30:P34)</f>
        <v/>
      </c>
      <c r="Q29" s="251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257" t="inlineStr"/>
      <c r="B30" s="257" t="inlineStr">
        <is>
          <t>Paid</t>
        </is>
      </c>
      <c r="C30" s="252">
        <f>SUMIFS('MTD Pivot'!D:D, 'MTD Pivot'!$A:$A, "Ví Trả Sau", 'MTD Pivot'!$C:$C, $B30)</f>
        <v/>
      </c>
      <c r="D30" s="252">
        <f>SUMIFS('MTD Pivot'!E:E, 'MTD Pivot'!$A:$A, "Ví Trả Sau", 'MTD Pivot'!$C:$C, $B30)</f>
        <v/>
      </c>
      <c r="E30" s="252">
        <f>SUMIFS('MTD Pivot'!F:F, 'MTD Pivot'!$A:$A, "Ví Trả Sau", 'MTD Pivot'!$C:$C, $B30)</f>
        <v/>
      </c>
      <c r="F30" s="252">
        <f>SUMIFS('MTD Pivot'!G:G, 'MTD Pivot'!$A:$A, "Ví Trả Sau", 'MTD Pivot'!$C:$C, $B30)</f>
        <v/>
      </c>
      <c r="G30" s="252">
        <f>SUMIFS('MTD Pivot'!H:H, 'MTD Pivot'!$A:$A, "Ví Trả Sau", 'MTD Pivot'!$C:$C, $B30)</f>
        <v/>
      </c>
      <c r="H30" s="252">
        <f>SUMIFS('MTD Pivot'!I:I, 'MTD Pivot'!$A:$A, "Ví Trả Sau", 'MTD Pivot'!$C:$C, $B30)</f>
        <v/>
      </c>
      <c r="I30" s="252">
        <f>H30-G30</f>
        <v/>
      </c>
      <c r="J30" s="257" t="inlineStr"/>
      <c r="K30" s="252">
        <f>SUMIFS('Full month Pivot'!D:D, 'Full month Pivot'!$A:$A, "Ví Trả Sau", 'Full month Pivot'!$C:$C, $B30)</f>
        <v/>
      </c>
      <c r="L30" s="252">
        <f>SUMIFS('Full month Pivot'!E:E, 'Full month Pivot'!$A:$A, "Ví Trả Sau", 'Full month Pivot'!$C:$C, $B30)</f>
        <v/>
      </c>
      <c r="M30" s="252">
        <f>SUMIFS('Full month Pivot'!F:F, 'Full month Pivot'!$A:$A, "Ví Trả Sau", 'Full month Pivot'!$C:$C, $B30)</f>
        <v/>
      </c>
      <c r="N30" s="252">
        <f>SUMIFS('Full month Pivot'!G:G, 'Full month Pivot'!$A:$A, "Ví Trả Sau", 'Full month Pivot'!$C:$C, $B30)</f>
        <v/>
      </c>
      <c r="O30" s="252">
        <f>SUMIFS('Full month Pivot'!H:H, 'Full month Pivot'!$A:$A, "Ví Trả Sau", 'Full month Pivot'!$C:$C, $B30)</f>
        <v/>
      </c>
      <c r="P30" s="252">
        <f>SUMIFS('Full month Pivot'!I:I, 'Full month Pivot'!$A:$A, "Ví Trả Sau", 'Full month Pivot'!$C:$C, $B30)</f>
        <v/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257" t="inlineStr"/>
      <c r="B31" s="257" t="inlineStr">
        <is>
          <t>Organic</t>
        </is>
      </c>
      <c r="C31" s="252">
        <f>SUMIFS('MTD Pivot'!D:D, 'MTD Pivot'!$A:$A, "Ví Trả Sau", 'MTD Pivot'!$C:$C, $B31)</f>
        <v/>
      </c>
      <c r="D31" s="252">
        <f>SUMIFS('MTD Pivot'!E:E, 'MTD Pivot'!$A:$A, "Ví Trả Sau", 'MTD Pivot'!$C:$C, $B31)</f>
        <v/>
      </c>
      <c r="E31" s="252">
        <f>SUMIFS('MTD Pivot'!F:F, 'MTD Pivot'!$A:$A, "Ví Trả Sau", 'MTD Pivot'!$C:$C, $B31)</f>
        <v/>
      </c>
      <c r="F31" s="252">
        <f>SUMIFS('MTD Pivot'!G:G, 'MTD Pivot'!$A:$A, "Ví Trả Sau", 'MTD Pivot'!$C:$C, $B31)</f>
        <v/>
      </c>
      <c r="G31" s="252">
        <f>SUMIFS('MTD Pivot'!H:H, 'MTD Pivot'!$A:$A, "Ví Trả Sau", 'MTD Pivot'!$C:$C, $B31)</f>
        <v/>
      </c>
      <c r="H31" s="252">
        <f>SUMIFS('MTD Pivot'!I:I, 'MTD Pivot'!$A:$A, "Ví Trả Sau", 'MTD Pivot'!$C:$C, $B31)</f>
        <v/>
      </c>
      <c r="I31" s="252">
        <f>H31-G31</f>
        <v/>
      </c>
      <c r="J31" s="257" t="inlineStr"/>
      <c r="K31" s="252">
        <f>SUMIFS('Full month Pivot'!D:D, 'Full month Pivot'!$A:$A, "Ví Trả Sau", 'Full month Pivot'!$C:$C, $B31)</f>
        <v/>
      </c>
      <c r="L31" s="252">
        <f>SUMIFS('Full month Pivot'!E:E, 'Full month Pivot'!$A:$A, "Ví Trả Sau", 'Full month Pivot'!$C:$C, $B31)</f>
        <v/>
      </c>
      <c r="M31" s="252">
        <f>SUMIFS('Full month Pivot'!F:F, 'Full month Pivot'!$A:$A, "Ví Trả Sau", 'Full month Pivot'!$C:$C, $B31)</f>
        <v/>
      </c>
      <c r="N31" s="252">
        <f>SUMIFS('Full month Pivot'!G:G, 'Full month Pivot'!$A:$A, "Ví Trả Sau", 'Full month Pivot'!$C:$C, $B31)</f>
        <v/>
      </c>
      <c r="O31" s="252">
        <f>SUMIFS('Full month Pivot'!H:H, 'Full month Pivot'!$A:$A, "Ví Trả Sau", 'Full month Pivot'!$C:$C, $B31)</f>
        <v/>
      </c>
      <c r="P31" s="252">
        <f>SUMIFS('Full month Pivot'!I:I, 'Full month Pivot'!$A:$A, "Ví Trả Sau", 'Full month Pivot'!$C:$C, $B31)</f>
        <v/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257" t="inlineStr"/>
      <c r="B32" s="257" t="inlineStr">
        <is>
          <t>Referral</t>
        </is>
      </c>
      <c r="C32" s="252">
        <f>SUMIFS('MTD Pivot'!D:D, 'MTD Pivot'!$A:$A, "Ví Trả Sau", 'MTD Pivot'!$C:$C, $B32)</f>
        <v/>
      </c>
      <c r="D32" s="252">
        <f>SUMIFS('MTD Pivot'!E:E, 'MTD Pivot'!$A:$A, "Ví Trả Sau", 'MTD Pivot'!$C:$C, $B32)</f>
        <v/>
      </c>
      <c r="E32" s="252">
        <f>SUMIFS('MTD Pivot'!F:F, 'MTD Pivot'!$A:$A, "Ví Trả Sau", 'MTD Pivot'!$C:$C, $B32)</f>
        <v/>
      </c>
      <c r="F32" s="252">
        <f>SUMIFS('MTD Pivot'!G:G, 'MTD Pivot'!$A:$A, "Ví Trả Sau", 'MTD Pivot'!$C:$C, $B32)</f>
        <v/>
      </c>
      <c r="G32" s="252">
        <f>SUMIFS('MTD Pivot'!H:H, 'MTD Pivot'!$A:$A, "Ví Trả Sau", 'MTD Pivot'!$C:$C, $B32)</f>
        <v/>
      </c>
      <c r="H32" s="252">
        <f>SUMIFS('MTD Pivot'!I:I, 'MTD Pivot'!$A:$A, "Ví Trả Sau", 'MTD Pivot'!$C:$C, $B32)</f>
        <v/>
      </c>
      <c r="I32" s="252">
        <f>H32-G32</f>
        <v/>
      </c>
      <c r="J32" s="257" t="inlineStr"/>
      <c r="K32" s="252">
        <f>SUMIFS('Full month Pivot'!D:D, 'Full month Pivot'!$A:$A, "Ví Trả Sau", 'Full month Pivot'!$C:$C, $B32)</f>
        <v/>
      </c>
      <c r="L32" s="252">
        <f>SUMIFS('Full month Pivot'!E:E, 'Full month Pivot'!$A:$A, "Ví Trả Sau", 'Full month Pivot'!$C:$C, $B32)</f>
        <v/>
      </c>
      <c r="M32" s="252">
        <f>SUMIFS('Full month Pivot'!F:F, 'Full month Pivot'!$A:$A, "Ví Trả Sau", 'Full month Pivot'!$C:$C, $B32)</f>
        <v/>
      </c>
      <c r="N32" s="252">
        <f>SUMIFS('Full month Pivot'!G:G, 'Full month Pivot'!$A:$A, "Ví Trả Sau", 'Full month Pivot'!$C:$C, $B32)</f>
        <v/>
      </c>
      <c r="O32" s="252">
        <f>SUMIFS('Full month Pivot'!H:H, 'Full month Pivot'!$A:$A, "Ví Trả Sau", 'Full month Pivot'!$C:$C, $B32)</f>
        <v/>
      </c>
      <c r="P32" s="252">
        <f>SUMIFS('Full month Pivot'!I:I, 'Full month Pivot'!$A:$A, "Ví Trả Sau", 'Full month Pivot'!$C:$C, $B32)</f>
        <v/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257" t="inlineStr"/>
      <c r="B33" s="257" t="inlineStr">
        <is>
          <t>Direct</t>
        </is>
      </c>
      <c r="C33" s="252">
        <f>SUMIFS('MTD Pivot'!D:D, 'MTD Pivot'!$A:$A, "Ví Trả Sau", 'MTD Pivot'!$C:$C, $B33)</f>
        <v/>
      </c>
      <c r="D33" s="252">
        <f>SUMIFS('MTD Pivot'!E:E, 'MTD Pivot'!$A:$A, "Ví Trả Sau", 'MTD Pivot'!$C:$C, $B33)</f>
        <v/>
      </c>
      <c r="E33" s="252">
        <f>SUMIFS('MTD Pivot'!F:F, 'MTD Pivot'!$A:$A, "Ví Trả Sau", 'MTD Pivot'!$C:$C, $B33)</f>
        <v/>
      </c>
      <c r="F33" s="252">
        <f>SUMIFS('MTD Pivot'!G:G, 'MTD Pivot'!$A:$A, "Ví Trả Sau", 'MTD Pivot'!$C:$C, $B33)</f>
        <v/>
      </c>
      <c r="G33" s="252">
        <f>SUMIFS('MTD Pivot'!H:H, 'MTD Pivot'!$A:$A, "Ví Trả Sau", 'MTD Pivot'!$C:$C, $B33)</f>
        <v/>
      </c>
      <c r="H33" s="252">
        <f>SUMIFS('MTD Pivot'!I:I, 'MTD Pivot'!$A:$A, "Ví Trả Sau", 'MTD Pivot'!$C:$C, $B33)</f>
        <v/>
      </c>
      <c r="I33" s="252">
        <f>H33-G33</f>
        <v/>
      </c>
      <c r="J33" s="257" t="inlineStr"/>
      <c r="K33" s="252">
        <f>SUMIFS('Full month Pivot'!D:D, 'Full month Pivot'!$A:$A, "Ví Trả Sau", 'Full month Pivot'!$C:$C, $B33)</f>
        <v/>
      </c>
      <c r="L33" s="252">
        <f>SUMIFS('Full month Pivot'!E:E, 'Full month Pivot'!$A:$A, "Ví Trả Sau", 'Full month Pivot'!$C:$C, $B33)</f>
        <v/>
      </c>
      <c r="M33" s="252">
        <f>SUMIFS('Full month Pivot'!F:F, 'Full month Pivot'!$A:$A, "Ví Trả Sau", 'Full month Pivot'!$C:$C, $B33)</f>
        <v/>
      </c>
      <c r="N33" s="252">
        <f>SUMIFS('Full month Pivot'!G:G, 'Full month Pivot'!$A:$A, "Ví Trả Sau", 'Full month Pivot'!$C:$C, $B33)</f>
        <v/>
      </c>
      <c r="O33" s="252">
        <f>SUMIFS('Full month Pivot'!H:H, 'Full month Pivot'!$A:$A, "Ví Trả Sau", 'Full month Pivot'!$C:$C, $B33)</f>
        <v/>
      </c>
      <c r="P33" s="252">
        <f>SUMIFS('Full month Pivot'!I:I, 'Full month Pivot'!$A:$A, "Ví Trả Sau", 'Full month Pivot'!$C:$C, $B33)</f>
        <v/>
      </c>
      <c r="Q33" s="252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257" t="inlineStr"/>
      <c r="B34" s="257" t="inlineStr">
        <is>
          <t>Others</t>
        </is>
      </c>
      <c r="C34" s="252">
        <f>SUMIFS('MTD Pivot'!D:D, 'MTD Pivot'!$A:$A, "Ví Trả Sau", 'MTD Pivot'!$C:$C, $B34)</f>
        <v/>
      </c>
      <c r="D34" s="252">
        <f>SUMIFS('MTD Pivot'!E:E, 'MTD Pivot'!$A:$A, "Ví Trả Sau", 'MTD Pivot'!$C:$C, $B34)</f>
        <v/>
      </c>
      <c r="E34" s="252">
        <f>SUMIFS('MTD Pivot'!F:F, 'MTD Pivot'!$A:$A, "Ví Trả Sau", 'MTD Pivot'!$C:$C, $B34)</f>
        <v/>
      </c>
      <c r="F34" s="252">
        <f>SUMIFS('MTD Pivot'!G:G, 'MTD Pivot'!$A:$A, "Ví Trả Sau", 'MTD Pivot'!$C:$C, $B34)</f>
        <v/>
      </c>
      <c r="G34" s="252">
        <f>SUMIFS('MTD Pivot'!H:H, 'MTD Pivot'!$A:$A, "Ví Trả Sau", 'MTD Pivot'!$C:$C, $B34)</f>
        <v/>
      </c>
      <c r="H34" s="252">
        <f>SUMIFS('MTD Pivot'!I:I, 'MTD Pivot'!$A:$A, "Ví Trả Sau", 'MTD Pivot'!$C:$C, $B34)</f>
        <v/>
      </c>
      <c r="I34" s="252">
        <f>H34-G34</f>
        <v/>
      </c>
      <c r="J34" s="257" t="inlineStr"/>
      <c r="K34" s="252">
        <f>SUMIFS('Full month Pivot'!D:D, 'Full month Pivot'!$A:$A, "Ví Trả Sau", 'Full month Pivot'!$C:$C, $B34)</f>
        <v/>
      </c>
      <c r="L34" s="252">
        <f>SUMIFS('Full month Pivot'!E:E, 'Full month Pivot'!$A:$A, "Ví Trả Sau", 'Full month Pivot'!$C:$C, $B34)</f>
        <v/>
      </c>
      <c r="M34" s="252">
        <f>SUMIFS('Full month Pivot'!F:F, 'Full month Pivot'!$A:$A, "Ví Trả Sau", 'Full month Pivot'!$C:$C, $B34)</f>
        <v/>
      </c>
      <c r="N34" s="252">
        <f>SUMIFS('Full month Pivot'!G:G, 'Full month Pivot'!$A:$A, "Ví Trả Sau", 'Full month Pivot'!$C:$C, $B34)</f>
        <v/>
      </c>
      <c r="O34" s="252">
        <f>SUMIFS('Full month Pivot'!H:H, 'Full month Pivot'!$A:$A, "Ví Trả Sau", 'Full month Pivot'!$C:$C, $B34)</f>
        <v/>
      </c>
      <c r="P34" s="252">
        <f>SUMIFS('Full month Pivot'!I:I, 'Full month Pivot'!$A:$A, "Ví Trả Sau", 'Full month Pivot'!$C:$C, $B34)</f>
        <v/>
      </c>
      <c r="Q34" s="252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256" t="inlineStr">
        <is>
          <t>Túi Thần Tài</t>
        </is>
      </c>
      <c r="B36" s="257" t="inlineStr"/>
      <c r="C36" s="251" t="n">
        <v>864</v>
      </c>
      <c r="D36" s="251" t="n">
        <v>795</v>
      </c>
      <c r="E36" s="251" t="n">
        <v>1786</v>
      </c>
      <c r="F36" s="251" t="n">
        <v>1809</v>
      </c>
      <c r="G36" s="251">
        <f>sum(G37:G41)</f>
        <v/>
      </c>
      <c r="H36" s="251">
        <f>sum(H37:H41)</f>
        <v/>
      </c>
      <c r="I36" s="251">
        <f>H36-G36</f>
        <v/>
      </c>
      <c r="J36" s="257" t="inlineStr"/>
      <c r="K36" s="251">
        <f>sum(K37:K40)</f>
        <v/>
      </c>
      <c r="L36" s="251">
        <f>sum(L37:L40)</f>
        <v/>
      </c>
      <c r="M36" s="251">
        <f>sum(M37:M40)</f>
        <v/>
      </c>
      <c r="N36" s="251">
        <f>sum(N37:N40)</f>
        <v/>
      </c>
      <c r="O36" s="251">
        <f>sum(O37:O41)</f>
        <v/>
      </c>
      <c r="P36" s="251">
        <f>sum(P37:P41)</f>
        <v/>
      </c>
      <c r="Q36" s="251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257" t="inlineStr"/>
      <c r="B37" s="257" t="inlineStr">
        <is>
          <t>Organic</t>
        </is>
      </c>
      <c r="C37" s="252">
        <f>SUMIFS('MTD Pivot'!D:D, 'MTD Pivot'!$A:$A, "Túi Thần Tài", 'MTD Pivot'!$C:$C, $B37)</f>
        <v/>
      </c>
      <c r="D37" s="252">
        <f>SUMIFS('MTD Pivot'!E:E, 'MTD Pivot'!$A:$A, "Túi Thần Tài", 'MTD Pivot'!$C:$C, $B37)</f>
        <v/>
      </c>
      <c r="E37" s="252">
        <f>SUMIFS('MTD Pivot'!F:F, 'MTD Pivot'!$A:$A, "Túi Thần Tài", 'MTD Pivot'!$C:$C, $B37)</f>
        <v/>
      </c>
      <c r="F37" s="252">
        <f>SUMIFS('MTD Pivot'!G:G, 'MTD Pivot'!$A:$A, "Túi Thần Tài", 'MTD Pivot'!$C:$C, $B37)</f>
        <v/>
      </c>
      <c r="G37" s="252">
        <f>SUMIFS('MTD Pivot'!H:H, 'MTD Pivot'!$A:$A, "Túi Thần Tài", 'MTD Pivot'!$C:$C, $B37)</f>
        <v/>
      </c>
      <c r="H37" s="252">
        <f>SUMIFS('MTD Pivot'!I:I, 'MTD Pivot'!$A:$A, "Túi Thần Tài", 'MTD Pivot'!$C:$C, $B37)</f>
        <v/>
      </c>
      <c r="I37" s="252">
        <f>H37-G37</f>
        <v/>
      </c>
      <c r="J37" s="257" t="inlineStr"/>
      <c r="K37" s="252">
        <f>SUMIFS('Full month Pivot'!D:D, 'Full month Pivot'!$A:$A, "Túi Thần Tài", 'Full month Pivot'!$C:$C, $B37)</f>
        <v/>
      </c>
      <c r="L37" s="252">
        <f>SUMIFS('Full month Pivot'!E:E, 'Full month Pivot'!$A:$A, "Túi Thần Tài", 'Full month Pivot'!$C:$C, $B37)</f>
        <v/>
      </c>
      <c r="M37" s="252">
        <f>SUMIFS('Full month Pivot'!F:F, 'Full month Pivot'!$A:$A, "Túi Thần Tài", 'Full month Pivot'!$C:$C, $B37)</f>
        <v/>
      </c>
      <c r="N37" s="252">
        <f>SUMIFS('Full month Pivot'!G:G, 'Full month Pivot'!$A:$A, "Túi Thần Tài", 'Full month Pivot'!$C:$C, $B37)</f>
        <v/>
      </c>
      <c r="O37" s="252">
        <f>SUMIFS('Full month Pivot'!H:H, 'Full month Pivot'!$A:$A, "Túi Thần Tài", 'Full month Pivot'!$C:$C, $B37)</f>
        <v/>
      </c>
      <c r="P37" s="252">
        <f>SUMIFS('Full month Pivot'!I:I, 'Full month Pivot'!$A:$A, "Túi Thần Tài", 'Full month Pivot'!$C:$C, $B37)</f>
        <v/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257" t="inlineStr"/>
      <c r="B38" s="257" t="inlineStr">
        <is>
          <t>Referral</t>
        </is>
      </c>
      <c r="C38" s="252">
        <f>SUMIFS('MTD Pivot'!D:D, 'MTD Pivot'!$A:$A, "Túi Thần Tài", 'MTD Pivot'!$C:$C, $B38)</f>
        <v/>
      </c>
      <c r="D38" s="252">
        <f>SUMIFS('MTD Pivot'!E:E, 'MTD Pivot'!$A:$A, "Túi Thần Tài", 'MTD Pivot'!$C:$C, $B38)</f>
        <v/>
      </c>
      <c r="E38" s="252">
        <f>SUMIFS('MTD Pivot'!F:F, 'MTD Pivot'!$A:$A, "Túi Thần Tài", 'MTD Pivot'!$C:$C, $B38)</f>
        <v/>
      </c>
      <c r="F38" s="252">
        <f>SUMIFS('MTD Pivot'!G:G, 'MTD Pivot'!$A:$A, "Túi Thần Tài", 'MTD Pivot'!$C:$C, $B38)</f>
        <v/>
      </c>
      <c r="G38" s="252">
        <f>SUMIFS('MTD Pivot'!H:H, 'MTD Pivot'!$A:$A, "Túi Thần Tài", 'MTD Pivot'!$C:$C, $B38)</f>
        <v/>
      </c>
      <c r="H38" s="252">
        <f>SUMIFS('MTD Pivot'!I:I, 'MTD Pivot'!$A:$A, "Túi Thần Tài", 'MTD Pivot'!$C:$C, $B38)</f>
        <v/>
      </c>
      <c r="I38" s="252">
        <f>H38-G38</f>
        <v/>
      </c>
      <c r="J38" s="257" t="inlineStr"/>
      <c r="K38" s="252">
        <f>SUMIFS('Full month Pivot'!D:D, 'Full month Pivot'!$A:$A, "Túi Thần Tài", 'Full month Pivot'!$C:$C, $B38)</f>
        <v/>
      </c>
      <c r="L38" s="252">
        <f>SUMIFS('Full month Pivot'!E:E, 'Full month Pivot'!$A:$A, "Túi Thần Tài", 'Full month Pivot'!$C:$C, $B38)</f>
        <v/>
      </c>
      <c r="M38" s="252">
        <f>SUMIFS('Full month Pivot'!F:F, 'Full month Pivot'!$A:$A, "Túi Thần Tài", 'Full month Pivot'!$C:$C, $B38)</f>
        <v/>
      </c>
      <c r="N38" s="252">
        <f>SUMIFS('Full month Pivot'!G:G, 'Full month Pivot'!$A:$A, "Túi Thần Tài", 'Full month Pivot'!$C:$C, $B38)</f>
        <v/>
      </c>
      <c r="O38" s="252">
        <f>SUMIFS('Full month Pivot'!H:H, 'Full month Pivot'!$A:$A, "Túi Thần Tài", 'Full month Pivot'!$C:$C, $B38)</f>
        <v/>
      </c>
      <c r="P38" s="252">
        <f>SUMIFS('Full month Pivot'!I:I, 'Full month Pivot'!$A:$A, "Túi Thần Tài", 'Full month Pivot'!$C:$C, $B38)</f>
        <v/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257" t="inlineStr"/>
      <c r="B39" s="257" t="inlineStr">
        <is>
          <t>Direct</t>
        </is>
      </c>
      <c r="C39" s="252">
        <f>SUMIFS('MTD Pivot'!D:D, 'MTD Pivot'!$A:$A, "Túi Thần Tài", 'MTD Pivot'!$C:$C, $B39)</f>
        <v/>
      </c>
      <c r="D39" s="252">
        <f>SUMIFS('MTD Pivot'!E:E, 'MTD Pivot'!$A:$A, "Túi Thần Tài", 'MTD Pivot'!$C:$C, $B39)</f>
        <v/>
      </c>
      <c r="E39" s="252">
        <f>SUMIFS('MTD Pivot'!F:F, 'MTD Pivot'!$A:$A, "Túi Thần Tài", 'MTD Pivot'!$C:$C, $B39)</f>
        <v/>
      </c>
      <c r="F39" s="252">
        <f>SUMIFS('MTD Pivot'!G:G, 'MTD Pivot'!$A:$A, "Túi Thần Tài", 'MTD Pivot'!$C:$C, $B39)</f>
        <v/>
      </c>
      <c r="G39" s="252">
        <f>SUMIFS('MTD Pivot'!H:H, 'MTD Pivot'!$A:$A, "Túi Thần Tài", 'MTD Pivot'!$C:$C, $B39)</f>
        <v/>
      </c>
      <c r="H39" s="252">
        <f>SUMIFS('MTD Pivot'!I:I, 'MTD Pivot'!$A:$A, "Túi Thần Tài", 'MTD Pivot'!$C:$C, $B39)</f>
        <v/>
      </c>
      <c r="I39" s="252">
        <f>H39-G39</f>
        <v/>
      </c>
      <c r="J39" s="257" t="inlineStr"/>
      <c r="K39" s="252">
        <f>SUMIFS('Full month Pivot'!D:D, 'Full month Pivot'!$A:$A, "Túi Thần Tài", 'Full month Pivot'!$C:$C, $B39)</f>
        <v/>
      </c>
      <c r="L39" s="252">
        <f>SUMIFS('Full month Pivot'!E:E, 'Full month Pivot'!$A:$A, "Túi Thần Tài", 'Full month Pivot'!$C:$C, $B39)</f>
        <v/>
      </c>
      <c r="M39" s="252">
        <f>SUMIFS('Full month Pivot'!F:F, 'Full month Pivot'!$A:$A, "Túi Thần Tài", 'Full month Pivot'!$C:$C, $B39)</f>
        <v/>
      </c>
      <c r="N39" s="252">
        <f>SUMIFS('Full month Pivot'!G:G, 'Full month Pivot'!$A:$A, "Túi Thần Tài", 'Full month Pivot'!$C:$C, $B39)</f>
        <v/>
      </c>
      <c r="O39" s="252">
        <f>SUMIFS('Full month Pivot'!H:H, 'Full month Pivot'!$A:$A, "Túi Thần Tài", 'Full month Pivot'!$C:$C, $B39)</f>
        <v/>
      </c>
      <c r="P39" s="252">
        <f>SUMIFS('Full month Pivot'!I:I, 'Full month Pivot'!$A:$A, "Túi Thần Tài", 'Full month Pivot'!$C:$C, $B39)</f>
        <v/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257" t="inlineStr"/>
      <c r="B40" s="257" t="inlineStr">
        <is>
          <t>Others</t>
        </is>
      </c>
      <c r="C40" s="252">
        <f>SUMIFS('MTD Pivot'!D:D, 'MTD Pivot'!$A:$A, "Túi Thần Tài", 'MTD Pivot'!$C:$C, $B40)</f>
        <v/>
      </c>
      <c r="D40" s="252">
        <f>SUMIFS('MTD Pivot'!E:E, 'MTD Pivot'!$A:$A, "Túi Thần Tài", 'MTD Pivot'!$C:$C, $B40)</f>
        <v/>
      </c>
      <c r="E40" s="252">
        <f>SUMIFS('MTD Pivot'!F:F, 'MTD Pivot'!$A:$A, "Túi Thần Tài", 'MTD Pivot'!$C:$C, $B40)</f>
        <v/>
      </c>
      <c r="F40" s="252">
        <f>SUMIFS('MTD Pivot'!G:G, 'MTD Pivot'!$A:$A, "Túi Thần Tài", 'MTD Pivot'!$C:$C, $B40)</f>
        <v/>
      </c>
      <c r="G40" s="252">
        <f>SUMIFS('MTD Pivot'!H:H, 'MTD Pivot'!$A:$A, "Túi Thần Tài", 'MTD Pivot'!$C:$C, $B40)</f>
        <v/>
      </c>
      <c r="H40" s="252">
        <f>SUMIFS('MTD Pivot'!I:I, 'MTD Pivot'!$A:$A, "Túi Thần Tài", 'MTD Pivot'!$C:$C, $B40)</f>
        <v/>
      </c>
      <c r="I40" s="252">
        <f>H40-G40</f>
        <v/>
      </c>
      <c r="J40" s="257" t="inlineStr"/>
      <c r="K40" s="252">
        <f>SUMIFS('Full month Pivot'!D:D, 'Full month Pivot'!$A:$A, "Túi Thần Tài", 'Full month Pivot'!$C:$C, $B40)</f>
        <v/>
      </c>
      <c r="L40" s="252">
        <f>SUMIFS('Full month Pivot'!E:E, 'Full month Pivot'!$A:$A, "Túi Thần Tài", 'Full month Pivot'!$C:$C, $B40)</f>
        <v/>
      </c>
      <c r="M40" s="252">
        <f>SUMIFS('Full month Pivot'!F:F, 'Full month Pivot'!$A:$A, "Túi Thần Tài", 'Full month Pivot'!$C:$C, $B40)</f>
        <v/>
      </c>
      <c r="N40" s="252">
        <f>SUMIFS('Full month Pivot'!G:G, 'Full month Pivot'!$A:$A, "Túi Thần Tài", 'Full month Pivot'!$C:$C, $B40)</f>
        <v/>
      </c>
      <c r="O40" s="252">
        <f>SUMIFS('Full month Pivot'!H:H, 'Full month Pivot'!$A:$A, "Túi Thần Tài", 'Full month Pivot'!$C:$C, $B40)</f>
        <v/>
      </c>
      <c r="P40" s="252">
        <f>SUMIFS('Full month Pivot'!I:I, 'Full month Pivot'!$A:$A, "Túi Thần Tài", 'Full month Pivot'!$C:$C, $B40)</f>
        <v/>
      </c>
      <c r="Q40" s="252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257" t="inlineStr"/>
      <c r="B41" s="257" t="inlineStr">
        <is>
          <t>Paid</t>
        </is>
      </c>
      <c r="C41" s="252">
        <f>SUMIFS('MTD Pivot'!D:D, 'MTD Pivot'!$A:$A, "Túi Thần Tài", 'MTD Pivot'!$C:$C, $B41)</f>
        <v/>
      </c>
      <c r="D41" s="252">
        <f>SUMIFS('MTD Pivot'!E:E, 'MTD Pivot'!$A:$A, "Túi Thần Tài", 'MTD Pivot'!$C:$C, $B41)</f>
        <v/>
      </c>
      <c r="E41" s="252">
        <f>SUMIFS('MTD Pivot'!F:F, 'MTD Pivot'!$A:$A, "Túi Thần Tài", 'MTD Pivot'!$C:$C, $B41)</f>
        <v/>
      </c>
      <c r="F41" s="252">
        <f>SUMIFS('MTD Pivot'!G:G, 'MTD Pivot'!$A:$A, "Túi Thần Tài", 'MTD Pivot'!$C:$C, $B41)</f>
        <v/>
      </c>
      <c r="G41" s="252">
        <f>SUMIFS('MTD Pivot'!H:H, 'MTD Pivot'!$A:$A, "Túi Thần Tài", 'MTD Pivot'!$C:$C, $B41)</f>
        <v/>
      </c>
      <c r="H41" s="252">
        <f>SUMIFS('MTD Pivot'!I:I, 'MTD Pivot'!$A:$A, "Túi Thần Tài", 'MTD Pivot'!$C:$C, $B41)</f>
        <v/>
      </c>
      <c r="I41" s="252">
        <f>H41-G41</f>
        <v/>
      </c>
      <c r="J41" s="257" t="inlineStr"/>
      <c r="K41" s="252">
        <f>SUMIFS('Full month Pivot'!D:D, 'Full month Pivot'!$A:$A, "Túi Thần Tài", 'Full month Pivot'!$C:$C, $B41)</f>
        <v/>
      </c>
      <c r="L41" s="252">
        <f>SUMIFS('Full month Pivot'!E:E, 'Full month Pivot'!$A:$A, "Túi Thần Tài", 'Full month Pivot'!$C:$C, $B41)</f>
        <v/>
      </c>
      <c r="M41" s="252">
        <f>SUMIFS('Full month Pivot'!F:F, 'Full month Pivot'!$A:$A, "Túi Thần Tài", 'Full month Pivot'!$C:$C, $B41)</f>
        <v/>
      </c>
      <c r="N41" s="252">
        <f>SUMIFS('Full month Pivot'!G:G, 'Full month Pivot'!$A:$A, "Túi Thần Tài", 'Full month Pivot'!$C:$C, $B41)</f>
        <v/>
      </c>
      <c r="O41" s="252">
        <f>SUMIFS('Full month Pivot'!H:H, 'Full month Pivot'!$A:$A, "Túi Thần Tài", 'Full month Pivot'!$C:$C, $B41)</f>
        <v/>
      </c>
      <c r="P41" s="252">
        <f>SUMIFS('Full month Pivot'!I:I, 'Full month Pivot'!$A:$A, "Túi Thần Tài", 'Full month Pivot'!$C:$C, $B41)</f>
        <v/>
      </c>
      <c r="Q41" s="252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256" t="inlineStr">
        <is>
          <t>Mở Thẻ Tín Dụng</t>
        </is>
      </c>
      <c r="B43" s="257" t="inlineStr"/>
      <c r="C43" s="251">
        <f>sum(C44:C48)</f>
        <v/>
      </c>
      <c r="D43" s="251">
        <f>sum(D44:D48)</f>
        <v/>
      </c>
      <c r="E43" s="251">
        <f>sum(E44:E48)</f>
        <v/>
      </c>
      <c r="F43" s="251">
        <f>sum(F44:F48)</f>
        <v/>
      </c>
      <c r="G43" s="251">
        <f>sum(G44:G48)</f>
        <v/>
      </c>
      <c r="H43" s="251">
        <f>sum(H44:H48)</f>
        <v/>
      </c>
      <c r="I43" s="251">
        <f>H43-G43</f>
        <v/>
      </c>
      <c r="J43" s="257" t="inlineStr"/>
      <c r="K43" s="251">
        <f>sum(K44:K48)</f>
        <v/>
      </c>
      <c r="L43" s="251">
        <f>sum(L44:L48)</f>
        <v/>
      </c>
      <c r="M43" s="251">
        <f>sum(M44:M48)</f>
        <v/>
      </c>
      <c r="N43" s="251">
        <f>sum(N44:N48)</f>
        <v/>
      </c>
      <c r="O43" s="251">
        <f>sum(O44:O48)</f>
        <v/>
      </c>
      <c r="P43" s="251">
        <f>sum(P44:P48)</f>
        <v/>
      </c>
      <c r="Q43" s="251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257" t="inlineStr"/>
      <c r="B44" s="257" t="inlineStr">
        <is>
          <t>Organic</t>
        </is>
      </c>
      <c r="C44" s="252">
        <f>SUMIFS('MTD Pivot'!D:D, 'MTD Pivot'!$A:$A, "Mở Thẻ Tín Dụng", 'MTD Pivot'!$C:$C, $B44)</f>
        <v/>
      </c>
      <c r="D44" s="252">
        <f>SUMIFS('MTD Pivot'!E:E, 'MTD Pivot'!$A:$A, "Mở Thẻ Tín Dụng", 'MTD Pivot'!$C:$C, $B44)</f>
        <v/>
      </c>
      <c r="E44" s="252">
        <f>SUMIFS('MTD Pivot'!F:F, 'MTD Pivot'!$A:$A, "Mở Thẻ Tín Dụng", 'MTD Pivot'!$C:$C, $B44)</f>
        <v/>
      </c>
      <c r="F44" s="252">
        <f>SUMIFS('MTD Pivot'!G:G, 'MTD Pivot'!$A:$A, "Mở Thẻ Tín Dụng", 'MTD Pivot'!$C:$C, $B44)</f>
        <v/>
      </c>
      <c r="G44" s="252">
        <f>SUMIFS('MTD Pivot'!H:H, 'MTD Pivot'!$A:$A, "Mở Thẻ Tín Dụng", 'MTD Pivot'!$C:$C, $B44)</f>
        <v/>
      </c>
      <c r="H44" s="252">
        <f>SUMIFS('MTD Pivot'!I:I, 'MTD Pivot'!$A:$A, "Mở Thẻ Tín Dụng", 'MTD Pivot'!$C:$C, $B44)</f>
        <v/>
      </c>
      <c r="I44" s="252">
        <f>H44-G44</f>
        <v/>
      </c>
      <c r="J44" s="257" t="inlineStr"/>
      <c r="K44" s="252">
        <f>SUMIFS('Full month Pivot'!D:D, 'Full month Pivot'!$A:$A, "Mở Thẻ Tín Dụng", 'Full month Pivot'!$C:$C, $B44)</f>
        <v/>
      </c>
      <c r="L44" s="252">
        <f>SUMIFS('Full month Pivot'!E:E, 'Full month Pivot'!$A:$A, "Mở Thẻ Tín Dụng", 'Full month Pivot'!$C:$C, $B44)</f>
        <v/>
      </c>
      <c r="M44" s="252">
        <f>SUMIFS('Full month Pivot'!F:F, 'Full month Pivot'!$A:$A, "Mở Thẻ Tín Dụng", 'Full month Pivot'!$C:$C, $B44)</f>
        <v/>
      </c>
      <c r="N44" s="252">
        <f>SUMIFS('Full month Pivot'!G:G, 'Full month Pivot'!$A:$A, "Mở Thẻ Tín Dụng", 'Full month Pivot'!$C:$C, $B44)</f>
        <v/>
      </c>
      <c r="O44" s="252">
        <f>SUMIFS('Full month Pivot'!H:H, 'Full month Pivot'!$A:$A, "Mở Thẻ Tín Dụng", 'Full month Pivot'!$C:$C, $B44)</f>
        <v/>
      </c>
      <c r="P44" s="252">
        <f>SUMIFS('Full month Pivot'!I:I, 'Full month Pivot'!$A:$A, "Mở Thẻ Tín Dụng", 'Full month Pivot'!$C:$C, $B44)</f>
        <v/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257" t="inlineStr"/>
      <c r="B45" s="257" t="inlineStr">
        <is>
          <t>Referral</t>
        </is>
      </c>
      <c r="C45" s="252">
        <f>SUMIFS('MTD Pivot'!D:D, 'MTD Pivot'!$A:$A, "Mở Thẻ Tín Dụng", 'MTD Pivot'!$C:$C, $B45)</f>
        <v/>
      </c>
      <c r="D45" s="252">
        <f>SUMIFS('MTD Pivot'!E:E, 'MTD Pivot'!$A:$A, "Mở Thẻ Tín Dụng", 'MTD Pivot'!$C:$C, $B45)</f>
        <v/>
      </c>
      <c r="E45" s="252">
        <f>SUMIFS('MTD Pivot'!F:F, 'MTD Pivot'!$A:$A, "Mở Thẻ Tín Dụng", 'MTD Pivot'!$C:$C, $B45)</f>
        <v/>
      </c>
      <c r="F45" s="252">
        <f>SUMIFS('MTD Pivot'!G:G, 'MTD Pivot'!$A:$A, "Mở Thẻ Tín Dụng", 'MTD Pivot'!$C:$C, $B45)</f>
        <v/>
      </c>
      <c r="G45" s="252">
        <f>SUMIFS('MTD Pivot'!H:H, 'MTD Pivot'!$A:$A, "Mở Thẻ Tín Dụng", 'MTD Pivot'!$C:$C, $B45)</f>
        <v/>
      </c>
      <c r="H45" s="252">
        <f>SUMIFS('MTD Pivot'!I:I, 'MTD Pivot'!$A:$A, "Mở Thẻ Tín Dụng", 'MTD Pivot'!$C:$C, $B45)</f>
        <v/>
      </c>
      <c r="I45" s="252">
        <f>H45-G45</f>
        <v/>
      </c>
      <c r="J45" s="257" t="inlineStr"/>
      <c r="K45" s="252">
        <f>SUMIFS('Full month Pivot'!D:D, 'Full month Pivot'!$A:$A, "Mở Thẻ Tín Dụng", 'Full month Pivot'!$C:$C, $B45)</f>
        <v/>
      </c>
      <c r="L45" s="252">
        <f>SUMIFS('Full month Pivot'!E:E, 'Full month Pivot'!$A:$A, "Mở Thẻ Tín Dụng", 'Full month Pivot'!$C:$C, $B45)</f>
        <v/>
      </c>
      <c r="M45" s="252">
        <f>SUMIFS('Full month Pivot'!F:F, 'Full month Pivot'!$A:$A, "Mở Thẻ Tín Dụng", 'Full month Pivot'!$C:$C, $B45)</f>
        <v/>
      </c>
      <c r="N45" s="252">
        <f>SUMIFS('Full month Pivot'!G:G, 'Full month Pivot'!$A:$A, "Mở Thẻ Tín Dụng", 'Full month Pivot'!$C:$C, $B45)</f>
        <v/>
      </c>
      <c r="O45" s="252">
        <f>SUMIFS('Full month Pivot'!H:H, 'Full month Pivot'!$A:$A, "Mở Thẻ Tín Dụng", 'Full month Pivot'!$C:$C, $B45)</f>
        <v/>
      </c>
      <c r="P45" s="252">
        <f>SUMIFS('Full month Pivot'!I:I, 'Full month Pivot'!$A:$A, "Mở Thẻ Tín Dụng", 'Full month Pivot'!$C:$C, $B45)</f>
        <v/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257" t="inlineStr"/>
      <c r="B46" s="257" t="inlineStr">
        <is>
          <t>Direct</t>
        </is>
      </c>
      <c r="C46" s="252">
        <f>SUMIFS('MTD Pivot'!D:D, 'MTD Pivot'!$A:$A, "Mở Thẻ Tín Dụng", 'MTD Pivot'!$C:$C, $B46)</f>
        <v/>
      </c>
      <c r="D46" s="252">
        <f>SUMIFS('MTD Pivot'!E:E, 'MTD Pivot'!$A:$A, "Mở Thẻ Tín Dụng", 'MTD Pivot'!$C:$C, $B46)</f>
        <v/>
      </c>
      <c r="E46" s="252">
        <f>SUMIFS('MTD Pivot'!F:F, 'MTD Pivot'!$A:$A, "Mở Thẻ Tín Dụng", 'MTD Pivot'!$C:$C, $B46)</f>
        <v/>
      </c>
      <c r="F46" s="252">
        <f>SUMIFS('MTD Pivot'!G:G, 'MTD Pivot'!$A:$A, "Mở Thẻ Tín Dụng", 'MTD Pivot'!$C:$C, $B46)</f>
        <v/>
      </c>
      <c r="G46" s="252">
        <f>SUMIFS('MTD Pivot'!H:H, 'MTD Pivot'!$A:$A, "Mở Thẻ Tín Dụng", 'MTD Pivot'!$C:$C, $B46)</f>
        <v/>
      </c>
      <c r="H46" s="252">
        <f>SUMIFS('MTD Pivot'!I:I, 'MTD Pivot'!$A:$A, "Mở Thẻ Tín Dụng", 'MTD Pivot'!$C:$C, $B46)</f>
        <v/>
      </c>
      <c r="I46" s="252">
        <f>H46-G46</f>
        <v/>
      </c>
      <c r="J46" s="257" t="inlineStr"/>
      <c r="K46" s="252">
        <f>SUMIFS('Full month Pivot'!D:D, 'Full month Pivot'!$A:$A, "Mở Thẻ Tín Dụng", 'Full month Pivot'!$C:$C, $B46)</f>
        <v/>
      </c>
      <c r="L46" s="252">
        <f>SUMIFS('Full month Pivot'!E:E, 'Full month Pivot'!$A:$A, "Mở Thẻ Tín Dụng", 'Full month Pivot'!$C:$C, $B46)</f>
        <v/>
      </c>
      <c r="M46" s="252">
        <f>SUMIFS('Full month Pivot'!F:F, 'Full month Pivot'!$A:$A, "Mở Thẻ Tín Dụng", 'Full month Pivot'!$C:$C, $B46)</f>
        <v/>
      </c>
      <c r="N46" s="252">
        <f>SUMIFS('Full month Pivot'!G:G, 'Full month Pivot'!$A:$A, "Mở Thẻ Tín Dụng", 'Full month Pivot'!$C:$C, $B46)</f>
        <v/>
      </c>
      <c r="O46" s="252">
        <f>SUMIFS('Full month Pivot'!H:H, 'Full month Pivot'!$A:$A, "Mở Thẻ Tín Dụng", 'Full month Pivot'!$C:$C, $B46)</f>
        <v/>
      </c>
      <c r="P46" s="252">
        <f>SUMIFS('Full month Pivot'!I:I, 'Full month Pivot'!$A:$A, "Mở Thẻ Tín Dụng", 'Full month Pivot'!$C:$C, $B46)</f>
        <v/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257" t="inlineStr"/>
      <c r="B47" s="257" t="inlineStr">
        <is>
          <t>Paid</t>
        </is>
      </c>
      <c r="C47" s="252">
        <f>SUMIFS('MTD Pivot'!D:D, 'MTD Pivot'!$A:$A, "Mở Thẻ Tín Dụng", 'MTD Pivot'!$C:$C, $B47)</f>
        <v/>
      </c>
      <c r="D47" s="252">
        <f>SUMIFS('MTD Pivot'!E:E, 'MTD Pivot'!$A:$A, "Mở Thẻ Tín Dụng", 'MTD Pivot'!$C:$C, $B47)</f>
        <v/>
      </c>
      <c r="E47" s="252">
        <f>SUMIFS('MTD Pivot'!F:F, 'MTD Pivot'!$A:$A, "Mở Thẻ Tín Dụng", 'MTD Pivot'!$C:$C, $B47)</f>
        <v/>
      </c>
      <c r="F47" s="252">
        <f>SUMIFS('MTD Pivot'!G:G, 'MTD Pivot'!$A:$A, "Mở Thẻ Tín Dụng", 'MTD Pivot'!$C:$C, $B47)</f>
        <v/>
      </c>
      <c r="G47" s="252">
        <f>SUMIFS('MTD Pivot'!H:H, 'MTD Pivot'!$A:$A, "Mở Thẻ Tín Dụng", 'MTD Pivot'!$C:$C, $B47)</f>
        <v/>
      </c>
      <c r="H47" s="252">
        <f>SUMIFS('MTD Pivot'!I:I, 'MTD Pivot'!$A:$A, "Mở Thẻ Tín Dụng", 'MTD Pivot'!$C:$C, $B47)</f>
        <v/>
      </c>
      <c r="I47" s="252">
        <f>H47-G47</f>
        <v/>
      </c>
      <c r="J47" s="257" t="inlineStr"/>
      <c r="K47" s="252">
        <f>SUMIFS('Full month Pivot'!D:D, 'Full month Pivot'!$A:$A, "Mở Thẻ Tín Dụng", 'Full month Pivot'!$C:$C, $B47)</f>
        <v/>
      </c>
      <c r="L47" s="252">
        <f>SUMIFS('Full month Pivot'!E:E, 'Full month Pivot'!$A:$A, "Mở Thẻ Tín Dụng", 'Full month Pivot'!$C:$C, $B47)</f>
        <v/>
      </c>
      <c r="M47" s="252">
        <f>SUMIFS('Full month Pivot'!F:F, 'Full month Pivot'!$A:$A, "Mở Thẻ Tín Dụng", 'Full month Pivot'!$C:$C, $B47)</f>
        <v/>
      </c>
      <c r="N47" s="252">
        <f>SUMIFS('Full month Pivot'!G:G, 'Full month Pivot'!$A:$A, "Mở Thẻ Tín Dụng", 'Full month Pivot'!$C:$C, $B47)</f>
        <v/>
      </c>
      <c r="O47" s="252">
        <f>SUMIFS('Full month Pivot'!H:H, 'Full month Pivot'!$A:$A, "Mở Thẻ Tín Dụng", 'Full month Pivot'!$C:$C, $B47)</f>
        <v/>
      </c>
      <c r="P47" s="252">
        <f>SUMIFS('Full month Pivot'!I:I, 'Full month Pivot'!$A:$A, "Mở Thẻ Tín Dụng", 'Full month Pivot'!$C:$C, $B47)</f>
        <v/>
      </c>
      <c r="Q47" s="252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257" t="inlineStr"/>
      <c r="B48" s="257" t="inlineStr">
        <is>
          <t>Others</t>
        </is>
      </c>
      <c r="C48" s="252">
        <f>SUMIFS('MTD Pivot'!D:D, 'MTD Pivot'!$A:$A, "Mở Thẻ Tín Dụng", 'MTD Pivot'!$C:$C, $B48)</f>
        <v/>
      </c>
      <c r="D48" s="252">
        <f>SUMIFS('MTD Pivot'!E:E, 'MTD Pivot'!$A:$A, "Mở Thẻ Tín Dụng", 'MTD Pivot'!$C:$C, $B48)</f>
        <v/>
      </c>
      <c r="E48" s="252">
        <f>SUMIFS('MTD Pivot'!F:F, 'MTD Pivot'!$A:$A, "Mở Thẻ Tín Dụng", 'MTD Pivot'!$C:$C, $B48)</f>
        <v/>
      </c>
      <c r="F48" s="252">
        <f>SUMIFS('MTD Pivot'!G:G, 'MTD Pivot'!$A:$A, "Mở Thẻ Tín Dụng", 'MTD Pivot'!$C:$C, $B48)</f>
        <v/>
      </c>
      <c r="G48" s="252">
        <f>SUMIFS('MTD Pivot'!H:H, 'MTD Pivot'!$A:$A, "Mở Thẻ Tín Dụng", 'MTD Pivot'!$C:$C, $B48)</f>
        <v/>
      </c>
      <c r="H48" s="252">
        <f>SUMIFS('MTD Pivot'!I:I, 'MTD Pivot'!$A:$A, "Mở Thẻ Tín Dụng", 'MTD Pivot'!$C:$C, $B48)</f>
        <v/>
      </c>
      <c r="I48" s="252">
        <f>H48-G48</f>
        <v/>
      </c>
      <c r="J48" s="257" t="inlineStr"/>
      <c r="K48" s="252">
        <f>SUMIFS('Full month Pivot'!D:D, 'Full month Pivot'!$A:$A, "Mở Thẻ Tín Dụng", 'Full month Pivot'!$C:$C, $B48)</f>
        <v/>
      </c>
      <c r="L48" s="252">
        <f>SUMIFS('Full month Pivot'!E:E, 'Full month Pivot'!$A:$A, "Mở Thẻ Tín Dụng", 'Full month Pivot'!$C:$C, $B48)</f>
        <v/>
      </c>
      <c r="M48" s="252">
        <f>SUMIFS('Full month Pivot'!F:F, 'Full month Pivot'!$A:$A, "Mở Thẻ Tín Dụng", 'Full month Pivot'!$C:$C, $B48)</f>
        <v/>
      </c>
      <c r="N48" s="252">
        <f>SUMIFS('Full month Pivot'!G:G, 'Full month Pivot'!$A:$A, "Mở Thẻ Tín Dụng", 'Full month Pivot'!$C:$C, $B48)</f>
        <v/>
      </c>
      <c r="O48" s="252">
        <f>SUMIFS('Full month Pivot'!H:H, 'Full month Pivot'!$A:$A, "Mở Thẻ Tín Dụng", 'Full month Pivot'!$C:$C, $B48)</f>
        <v/>
      </c>
      <c r="P48" s="252">
        <f>SUMIFS('Full month Pivot'!I:I, 'Full month Pivot'!$A:$A, "Mở Thẻ Tín Dụng", 'Full month Pivot'!$C:$C, $B48)</f>
        <v/>
      </c>
      <c r="Q48" s="252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256" t="inlineStr">
        <is>
          <t>Trả Góp Apple</t>
        </is>
      </c>
      <c r="B50" s="257" t="inlineStr"/>
      <c r="C50" s="251">
        <f>sum(C51:C55)</f>
        <v/>
      </c>
      <c r="D50" s="251">
        <f>sum(D51:D55)</f>
        <v/>
      </c>
      <c r="E50" s="251">
        <f>sum(E51:E55)</f>
        <v/>
      </c>
      <c r="F50" s="251">
        <f>sum(F51:F55)</f>
        <v/>
      </c>
      <c r="G50" s="251">
        <f>sum(G51:G55)</f>
        <v/>
      </c>
      <c r="H50" s="251">
        <f>sum(H51:H55)</f>
        <v/>
      </c>
      <c r="I50" s="251">
        <f>H50-G50</f>
        <v/>
      </c>
      <c r="J50" s="257" t="inlineStr"/>
      <c r="K50" s="251">
        <f>sum(K51:K55)</f>
        <v/>
      </c>
      <c r="L50" s="251">
        <f>sum(L51:L55)</f>
        <v/>
      </c>
      <c r="M50" s="251">
        <f>sum(M51:M55)</f>
        <v/>
      </c>
      <c r="N50" s="251">
        <f>sum(N51:N55)</f>
        <v/>
      </c>
      <c r="O50" s="251">
        <f>sum(O51:O55)</f>
        <v/>
      </c>
      <c r="P50" s="251">
        <f>sum(P51:P55)</f>
        <v/>
      </c>
      <c r="Q50" s="251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257" t="inlineStr"/>
      <c r="B51" s="257" t="inlineStr">
        <is>
          <t>Organic</t>
        </is>
      </c>
      <c r="C51" s="252">
        <f>SUMIFS('MTD Pivot'!D:D, 'MTD Pivot'!$A:$A, "Trả Góp Apple", 'MTD Pivot'!$C:$C, $B51)</f>
        <v/>
      </c>
      <c r="D51" s="252">
        <f>SUMIFS('MTD Pivot'!E:E, 'MTD Pivot'!$A:$A, "Trả Góp Apple", 'MTD Pivot'!$C:$C, $B51)</f>
        <v/>
      </c>
      <c r="E51" s="252">
        <f>SUMIFS('MTD Pivot'!F:F, 'MTD Pivot'!$A:$A, "Trả Góp Apple", 'MTD Pivot'!$C:$C, $B51)</f>
        <v/>
      </c>
      <c r="F51" s="252">
        <f>SUMIFS('MTD Pivot'!G:G, 'MTD Pivot'!$A:$A, "Trả Góp Apple", 'MTD Pivot'!$C:$C, $B51)</f>
        <v/>
      </c>
      <c r="G51" s="252">
        <f>SUMIFS('MTD Pivot'!H:H, 'MTD Pivot'!$A:$A, "Trả Góp Apple", 'MTD Pivot'!$C:$C, $B51)</f>
        <v/>
      </c>
      <c r="H51" s="252">
        <f>SUMIFS('MTD Pivot'!I:I, 'MTD Pivot'!$A:$A, "Trả Góp Apple", 'MTD Pivot'!$C:$C, $B51)</f>
        <v/>
      </c>
      <c r="I51" s="252">
        <f>H51-G51</f>
        <v/>
      </c>
      <c r="J51" s="257" t="inlineStr"/>
      <c r="K51" s="252">
        <f>SUMIFS('Full month Pivot'!D:D, 'Full month Pivot'!$A:$A, "Trả Góp Apple", 'Full month Pivot'!$C:$C, $B51)</f>
        <v/>
      </c>
      <c r="L51" s="252">
        <f>SUMIFS('Full month Pivot'!E:E, 'Full month Pivot'!$A:$A, "Trả Góp Apple", 'Full month Pivot'!$C:$C, $B51)</f>
        <v/>
      </c>
      <c r="M51" s="252">
        <f>SUMIFS('Full month Pivot'!F:F, 'Full month Pivot'!$A:$A, "Trả Góp Apple", 'Full month Pivot'!$C:$C, $B51)</f>
        <v/>
      </c>
      <c r="N51" s="252">
        <f>SUMIFS('Full month Pivot'!G:G, 'Full month Pivot'!$A:$A, "Trả Góp Apple", 'Full month Pivot'!$C:$C, $B51)</f>
        <v/>
      </c>
      <c r="O51" s="252">
        <f>SUMIFS('Full month Pivot'!H:H, 'Full month Pivot'!$A:$A, "Trả Góp Apple", 'Full month Pivot'!$C:$C, $B51)</f>
        <v/>
      </c>
      <c r="P51" s="252">
        <f>SUMIFS('Full month Pivot'!I:I, 'Full month Pivot'!$A:$A, "Trả Góp Apple",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257" t="inlineStr"/>
      <c r="B52" s="257" t="inlineStr">
        <is>
          <t>Direct</t>
        </is>
      </c>
      <c r="C52" s="252">
        <f>SUMIFS('MTD Pivot'!D:D, 'MTD Pivot'!$A:$A, "Trả Góp Apple", 'MTD Pivot'!$C:$C, $B52)</f>
        <v/>
      </c>
      <c r="D52" s="252">
        <f>SUMIFS('MTD Pivot'!E:E, 'MTD Pivot'!$A:$A, "Trả Góp Apple", 'MTD Pivot'!$C:$C, $B52)</f>
        <v/>
      </c>
      <c r="E52" s="252">
        <f>SUMIFS('MTD Pivot'!F:F, 'MTD Pivot'!$A:$A, "Trả Góp Apple", 'MTD Pivot'!$C:$C, $B52)</f>
        <v/>
      </c>
      <c r="F52" s="252">
        <f>SUMIFS('MTD Pivot'!G:G, 'MTD Pivot'!$A:$A, "Trả Góp Apple", 'MTD Pivot'!$C:$C, $B52)</f>
        <v/>
      </c>
      <c r="G52" s="252">
        <f>SUMIFS('MTD Pivot'!H:H, 'MTD Pivot'!$A:$A, "Trả Góp Apple", 'MTD Pivot'!$C:$C, $B52)</f>
        <v/>
      </c>
      <c r="H52" s="252">
        <f>SUMIFS('MTD Pivot'!I:I, 'MTD Pivot'!$A:$A, "Trả Góp Apple", 'MTD Pivot'!$C:$C, $B52)</f>
        <v/>
      </c>
      <c r="I52" s="252">
        <f>H52-G52</f>
        <v/>
      </c>
      <c r="J52" s="257" t="inlineStr"/>
      <c r="K52" s="252">
        <f>SUMIFS('Full month Pivot'!D:D, 'Full month Pivot'!$A:$A, "Trả Góp Apple", 'Full month Pivot'!$C:$C, $B52)</f>
        <v/>
      </c>
      <c r="L52" s="252">
        <f>SUMIFS('Full month Pivot'!E:E, 'Full month Pivot'!$A:$A, "Trả Góp Apple", 'Full month Pivot'!$C:$C, $B52)</f>
        <v/>
      </c>
      <c r="M52" s="252">
        <f>SUMIFS('Full month Pivot'!F:F, 'Full month Pivot'!$A:$A, "Trả Góp Apple", 'Full month Pivot'!$C:$C, $B52)</f>
        <v/>
      </c>
      <c r="N52" s="252">
        <f>SUMIFS('Full month Pivot'!G:G, 'Full month Pivot'!$A:$A, "Trả Góp Apple", 'Full month Pivot'!$C:$C, $B52)</f>
        <v/>
      </c>
      <c r="O52" s="252">
        <f>SUMIFS('Full month Pivot'!H:H, 'Full month Pivot'!$A:$A, "Trả Góp Apple", 'Full month Pivot'!$C:$C, $B52)</f>
        <v/>
      </c>
      <c r="P52" s="252">
        <f>SUMIFS('Full month Pivot'!I:I, 'Full month Pivot'!$A:$A, "Trả Góp Apple",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257" t="inlineStr"/>
      <c r="B53" s="257" t="inlineStr">
        <is>
          <t>Referral</t>
        </is>
      </c>
      <c r="C53" s="252">
        <f>SUMIFS('MTD Pivot'!D:D, 'MTD Pivot'!$A:$A, "Trả Góp Apple", 'MTD Pivot'!$C:$C, $B53)</f>
        <v/>
      </c>
      <c r="D53" s="252">
        <f>SUMIFS('MTD Pivot'!E:E, 'MTD Pivot'!$A:$A, "Trả Góp Apple", 'MTD Pivot'!$C:$C, $B53)</f>
        <v/>
      </c>
      <c r="E53" s="252">
        <f>SUMIFS('MTD Pivot'!F:F, 'MTD Pivot'!$A:$A, "Trả Góp Apple", 'MTD Pivot'!$C:$C, $B53)</f>
        <v/>
      </c>
      <c r="F53" s="252">
        <f>SUMIFS('MTD Pivot'!G:G, 'MTD Pivot'!$A:$A, "Trả Góp Apple", 'MTD Pivot'!$C:$C, $B53)</f>
        <v/>
      </c>
      <c r="G53" s="252">
        <f>SUMIFS('MTD Pivot'!H:H, 'MTD Pivot'!$A:$A, "Trả Góp Apple", 'MTD Pivot'!$C:$C, $B53)</f>
        <v/>
      </c>
      <c r="H53" s="252">
        <f>SUMIFS('MTD Pivot'!I:I, 'MTD Pivot'!$A:$A, "Trả Góp Apple", 'MTD Pivot'!$C:$C, $B53)</f>
        <v/>
      </c>
      <c r="I53" s="252">
        <f>H53-G53</f>
        <v/>
      </c>
      <c r="J53" s="257" t="inlineStr"/>
      <c r="K53" s="252">
        <f>SUMIFS('Full month Pivot'!D:D, 'Full month Pivot'!$A:$A, "Trả Góp Apple", 'Full month Pivot'!$C:$C, $B53)</f>
        <v/>
      </c>
      <c r="L53" s="252">
        <f>SUMIFS('Full month Pivot'!E:E, 'Full month Pivot'!$A:$A, "Trả Góp Apple", 'Full month Pivot'!$C:$C, $B53)</f>
        <v/>
      </c>
      <c r="M53" s="252">
        <f>SUMIFS('Full month Pivot'!F:F, 'Full month Pivot'!$A:$A, "Trả Góp Apple", 'Full month Pivot'!$C:$C, $B53)</f>
        <v/>
      </c>
      <c r="N53" s="252">
        <f>SUMIFS('Full month Pivot'!G:G, 'Full month Pivot'!$A:$A, "Trả Góp Apple", 'Full month Pivot'!$C:$C, $B53)</f>
        <v/>
      </c>
      <c r="O53" s="252">
        <f>SUMIFS('Full month Pivot'!H:H, 'Full month Pivot'!$A:$A, "Trả Góp Apple", 'Full month Pivot'!$C:$C, $B53)</f>
        <v/>
      </c>
      <c r="P53" s="252">
        <f>SUMIFS('Full month Pivot'!I:I, 'Full month Pivot'!$A:$A, "Trả Góp Apple",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257" t="inlineStr"/>
      <c r="B54" s="257" t="inlineStr">
        <is>
          <t>Paid</t>
        </is>
      </c>
      <c r="C54" s="252">
        <f>SUMIFS('MTD Pivot'!D:D, 'MTD Pivot'!$A:$A, "Trả Góp Apple", 'MTD Pivot'!$C:$C, $B54)</f>
        <v/>
      </c>
      <c r="D54" s="252">
        <f>SUMIFS('MTD Pivot'!E:E, 'MTD Pivot'!$A:$A, "Trả Góp Apple", 'MTD Pivot'!$C:$C, $B54)</f>
        <v/>
      </c>
      <c r="E54" s="252">
        <f>SUMIFS('MTD Pivot'!F:F, 'MTD Pivot'!$A:$A, "Trả Góp Apple", 'MTD Pivot'!$C:$C, $B54)</f>
        <v/>
      </c>
      <c r="F54" s="252">
        <f>SUMIFS('MTD Pivot'!G:G, 'MTD Pivot'!$A:$A, "Trả Góp Apple", 'MTD Pivot'!$C:$C, $B54)</f>
        <v/>
      </c>
      <c r="G54" s="252">
        <f>SUMIFS('MTD Pivot'!H:H, 'MTD Pivot'!$A:$A, "Trả Góp Apple", 'MTD Pivot'!$C:$C, $B54)</f>
        <v/>
      </c>
      <c r="H54" s="252">
        <f>SUMIFS('MTD Pivot'!I:I, 'MTD Pivot'!$A:$A, "Trả Góp Apple", 'MTD Pivot'!$C:$C, $B54)</f>
        <v/>
      </c>
      <c r="I54" s="252">
        <f>H54-G54</f>
        <v/>
      </c>
      <c r="J54" s="257" t="inlineStr"/>
      <c r="K54" s="252">
        <f>SUMIFS('Full month Pivot'!D:D, 'Full month Pivot'!$A:$A, "Trả Góp Apple", 'Full month Pivot'!$C:$C, $B54)</f>
        <v/>
      </c>
      <c r="L54" s="252">
        <f>SUMIFS('Full month Pivot'!E:E, 'Full month Pivot'!$A:$A, "Trả Góp Apple", 'Full month Pivot'!$C:$C, $B54)</f>
        <v/>
      </c>
      <c r="M54" s="252">
        <f>SUMIFS('Full month Pivot'!F:F, 'Full month Pivot'!$A:$A, "Trả Góp Apple", 'Full month Pivot'!$C:$C, $B54)</f>
        <v/>
      </c>
      <c r="N54" s="252">
        <f>SUMIFS('Full month Pivot'!G:G, 'Full month Pivot'!$A:$A, "Trả Góp Apple", 'Full month Pivot'!$C:$C, $B54)</f>
        <v/>
      </c>
      <c r="O54" s="252">
        <f>SUMIFS('Full month Pivot'!H:H, 'Full month Pivot'!$A:$A, "Trả Góp Apple", 'Full month Pivot'!$C:$C, $B54)</f>
        <v/>
      </c>
      <c r="P54" s="252">
        <f>SUMIFS('Full month Pivot'!I:I, 'Full month Pivot'!$A:$A, "Trả Góp Apple", 'Full month Pivot'!$C:$C, $B54)</f>
        <v/>
      </c>
      <c r="Q54" s="252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257" t="inlineStr"/>
      <c r="B55" s="257" t="inlineStr">
        <is>
          <t>Others</t>
        </is>
      </c>
      <c r="C55" s="252">
        <f>SUMIFS('MTD Pivot'!D:D, 'MTD Pivot'!$A:$A, "Trả Góp Apple", 'MTD Pivot'!$C:$C, $B55)</f>
        <v/>
      </c>
      <c r="D55" s="252">
        <f>SUMIFS('MTD Pivot'!E:E, 'MTD Pivot'!$A:$A, "Trả Góp Apple", 'MTD Pivot'!$C:$C, $B55)</f>
        <v/>
      </c>
      <c r="E55" s="252">
        <f>SUMIFS('MTD Pivot'!F:F, 'MTD Pivot'!$A:$A, "Trả Góp Apple", 'MTD Pivot'!$C:$C, $B55)</f>
        <v/>
      </c>
      <c r="F55" s="252">
        <f>SUMIFS('MTD Pivot'!G:G, 'MTD Pivot'!$A:$A, "Trả Góp Apple", 'MTD Pivot'!$C:$C, $B55)</f>
        <v/>
      </c>
      <c r="G55" s="252">
        <f>SUMIFS('MTD Pivot'!H:H, 'MTD Pivot'!$A:$A, "Trả Góp Apple", 'MTD Pivot'!$C:$C, $B55)</f>
        <v/>
      </c>
      <c r="H55" s="252">
        <f>SUMIFS('MTD Pivot'!I:I, 'MTD Pivot'!$A:$A, "Trả Góp Apple", 'MTD Pivot'!$C:$C, $B55)</f>
        <v/>
      </c>
      <c r="I55" s="252">
        <f>H55-G55</f>
        <v/>
      </c>
      <c r="J55" s="257" t="inlineStr"/>
      <c r="K55" s="252">
        <f>SUMIFS('Full month Pivot'!D:D, 'Full month Pivot'!$A:$A, "Trả Góp Apple", 'Full month Pivot'!$C:$C, $B55)</f>
        <v/>
      </c>
      <c r="L55" s="252">
        <f>SUMIFS('Full month Pivot'!E:E, 'Full month Pivot'!$A:$A, "Trả Góp Apple", 'Full month Pivot'!$C:$C, $B55)</f>
        <v/>
      </c>
      <c r="M55" s="252">
        <f>SUMIFS('Full month Pivot'!F:F, 'Full month Pivot'!$A:$A, "Trả Góp Apple", 'Full month Pivot'!$C:$C, $B55)</f>
        <v/>
      </c>
      <c r="N55" s="252">
        <f>SUMIFS('Full month Pivot'!G:G, 'Full month Pivot'!$A:$A, "Trả Góp Apple", 'Full month Pivot'!$C:$C, $B55)</f>
        <v/>
      </c>
      <c r="O55" s="252">
        <f>SUMIFS('Full month Pivot'!H:H, 'Full month Pivot'!$A:$A, "Trả Góp Apple", 'Full month Pivot'!$C:$C, $B55)</f>
        <v/>
      </c>
      <c r="P55" s="252">
        <f>SUMIFS('Full month Pivot'!I:I, 'Full month Pivot'!$A:$A, "Trả Góp Apple", 'Full month Pivot'!$C:$C, $B55)</f>
        <v/>
      </c>
      <c r="Q55" s="252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256" t="inlineStr">
        <is>
          <t>Chứng Khoán</t>
        </is>
      </c>
      <c r="B57" s="257" t="inlineStr"/>
      <c r="C57" s="251">
        <f>sum(C58:C62)</f>
        <v/>
      </c>
      <c r="D57" s="251">
        <f>sum(D58:D62)</f>
        <v/>
      </c>
      <c r="E57" s="251">
        <f>sum(E58:E62)</f>
        <v/>
      </c>
      <c r="F57" s="251">
        <f>sum(F58:F62)</f>
        <v/>
      </c>
      <c r="G57" s="251">
        <f>sum(G58:G62)</f>
        <v/>
      </c>
      <c r="H57" s="251">
        <f>sum(H58:H62)</f>
        <v/>
      </c>
      <c r="I57" s="251">
        <f>H57-G57</f>
        <v/>
      </c>
      <c r="J57" s="257" t="inlineStr"/>
      <c r="K57" s="251">
        <f>sum(K58:K62)</f>
        <v/>
      </c>
      <c r="L57" s="251">
        <f>sum(L58:L62)</f>
        <v/>
      </c>
      <c r="M57" s="251">
        <f>sum(M58:M62)</f>
        <v/>
      </c>
      <c r="N57" s="251">
        <f>sum(N58:N62)</f>
        <v/>
      </c>
      <c r="O57" s="251">
        <f>sum(O58:O62)</f>
        <v/>
      </c>
      <c r="P57" s="251">
        <f>sum(P58:P62)</f>
        <v/>
      </c>
      <c r="Q57" s="251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257" t="inlineStr"/>
      <c r="B58" s="257" t="inlineStr">
        <is>
          <t>Organic</t>
        </is>
      </c>
      <c r="C58" s="252">
        <f>SUMIFS('MTD Pivot'!D:D, 'MTD Pivot'!$A:$A, "Chứng Khoán", 'MTD Pivot'!$C:$C, $B58)</f>
        <v/>
      </c>
      <c r="D58" s="252">
        <f>SUMIFS('MTD Pivot'!E:E, 'MTD Pivot'!$A:$A, "Chứng Khoán", 'MTD Pivot'!$C:$C, $B58)</f>
        <v/>
      </c>
      <c r="E58" s="252">
        <f>SUMIFS('MTD Pivot'!F:F, 'MTD Pivot'!$A:$A, "Chứng Khoán", 'MTD Pivot'!$C:$C, $B58)</f>
        <v/>
      </c>
      <c r="F58" s="252">
        <f>SUMIFS('MTD Pivot'!G:G, 'MTD Pivot'!$A:$A, "Chứng Khoán", 'MTD Pivot'!$C:$C, $B58)</f>
        <v/>
      </c>
      <c r="G58" s="252">
        <f>SUMIFS('MTD Pivot'!H:H, 'MTD Pivot'!$A:$A, "Chứng Khoán", 'MTD Pivot'!$C:$C, $B58)</f>
        <v/>
      </c>
      <c r="H58" s="252">
        <f>SUMIFS('MTD Pivot'!I:I, 'MTD Pivot'!$A:$A, "Chứng Khoán", 'MTD Pivot'!$C:$C, $B58)</f>
        <v/>
      </c>
      <c r="I58" s="252">
        <f>H58-G58</f>
        <v/>
      </c>
      <c r="J58" s="257" t="inlineStr"/>
      <c r="K58" s="252">
        <f>SUMIFS('Full month Pivot'!D:D, 'Full month Pivot'!$A:$A, "Chứng Khoán", 'Full month Pivot'!$C:$C, $B58)</f>
        <v/>
      </c>
      <c r="L58" s="252">
        <f>SUMIFS('Full month Pivot'!E:E, 'Full month Pivot'!$A:$A, "Chứng Khoán", 'Full month Pivot'!$C:$C, $B58)</f>
        <v/>
      </c>
      <c r="M58" s="252">
        <f>SUMIFS('Full month Pivot'!F:F, 'Full month Pivot'!$A:$A, "Chứng Khoán", 'Full month Pivot'!$C:$C, $B58)</f>
        <v/>
      </c>
      <c r="N58" s="252">
        <f>SUMIFS('Full month Pivot'!G:G, 'Full month Pivot'!$A:$A, "Chứng Khoán", 'Full month Pivot'!$C:$C, $B58)</f>
        <v/>
      </c>
      <c r="O58" s="252">
        <f>SUMIFS('Full month Pivot'!H:H, 'Full month Pivot'!$A:$A, "Chứng Khoán", 'Full month Pivot'!$C:$C, $B58)</f>
        <v/>
      </c>
      <c r="P58" s="252">
        <f>SUMIFS('Full month Pivot'!I:I, 'Full month Pivot'!$A:$A, "Chứng Khoán",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257" t="inlineStr"/>
      <c r="B59" s="257" t="inlineStr">
        <is>
          <t>Referral</t>
        </is>
      </c>
      <c r="C59" s="252">
        <f>SUMIFS('MTD Pivot'!D:D, 'MTD Pivot'!$A:$A, "Chứng Khoán", 'MTD Pivot'!$C:$C, $B59)</f>
        <v/>
      </c>
      <c r="D59" s="252">
        <f>SUMIFS('MTD Pivot'!E:E, 'MTD Pivot'!$A:$A, "Chứng Khoán", 'MTD Pivot'!$C:$C, $B59)</f>
        <v/>
      </c>
      <c r="E59" s="252">
        <f>SUMIFS('MTD Pivot'!F:F, 'MTD Pivot'!$A:$A, "Chứng Khoán", 'MTD Pivot'!$C:$C, $B59)</f>
        <v/>
      </c>
      <c r="F59" s="252">
        <f>SUMIFS('MTD Pivot'!G:G, 'MTD Pivot'!$A:$A, "Chứng Khoán", 'MTD Pivot'!$C:$C, $B59)</f>
        <v/>
      </c>
      <c r="G59" s="252">
        <f>SUMIFS('MTD Pivot'!H:H, 'MTD Pivot'!$A:$A, "Chứng Khoán", 'MTD Pivot'!$C:$C, $B59)</f>
        <v/>
      </c>
      <c r="H59" s="252">
        <f>SUMIFS('MTD Pivot'!I:I, 'MTD Pivot'!$A:$A, "Chứng Khoán", 'MTD Pivot'!$C:$C, $B59)</f>
        <v/>
      </c>
      <c r="I59" s="252">
        <f>H59-G59</f>
        <v/>
      </c>
      <c r="J59" s="257" t="inlineStr"/>
      <c r="K59" s="252">
        <f>SUMIFS('Full month Pivot'!D:D, 'Full month Pivot'!$A:$A, "Chứng Khoán", 'Full month Pivot'!$C:$C, $B59)</f>
        <v/>
      </c>
      <c r="L59" s="252">
        <f>SUMIFS('Full month Pivot'!E:E, 'Full month Pivot'!$A:$A, "Chứng Khoán", 'Full month Pivot'!$C:$C, $B59)</f>
        <v/>
      </c>
      <c r="M59" s="252">
        <f>SUMIFS('Full month Pivot'!F:F, 'Full month Pivot'!$A:$A, "Chứng Khoán", 'Full month Pivot'!$C:$C, $B59)</f>
        <v/>
      </c>
      <c r="N59" s="252">
        <f>SUMIFS('Full month Pivot'!G:G, 'Full month Pivot'!$A:$A, "Chứng Khoán", 'Full month Pivot'!$C:$C, $B59)</f>
        <v/>
      </c>
      <c r="O59" s="252">
        <f>SUMIFS('Full month Pivot'!H:H, 'Full month Pivot'!$A:$A, "Chứng Khoán", 'Full month Pivot'!$C:$C, $B59)</f>
        <v/>
      </c>
      <c r="P59" s="252">
        <f>SUMIFS('Full month Pivot'!I:I, 'Full month Pivot'!$A:$A, "Chứng Khoán",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257" t="inlineStr"/>
      <c r="B60" s="257" t="inlineStr">
        <is>
          <t>Direct</t>
        </is>
      </c>
      <c r="C60" s="252">
        <f>SUMIFS('MTD Pivot'!D:D, 'MTD Pivot'!$A:$A, "Chứng Khoán", 'MTD Pivot'!$C:$C, $B60)</f>
        <v/>
      </c>
      <c r="D60" s="252">
        <f>SUMIFS('MTD Pivot'!E:E, 'MTD Pivot'!$A:$A, "Chứng Khoán", 'MTD Pivot'!$C:$C, $B60)</f>
        <v/>
      </c>
      <c r="E60" s="252">
        <f>SUMIFS('MTD Pivot'!F:F, 'MTD Pivot'!$A:$A, "Chứng Khoán", 'MTD Pivot'!$C:$C, $B60)</f>
        <v/>
      </c>
      <c r="F60" s="252">
        <f>SUMIFS('MTD Pivot'!G:G, 'MTD Pivot'!$A:$A, "Chứng Khoán", 'MTD Pivot'!$C:$C, $B60)</f>
        <v/>
      </c>
      <c r="G60" s="252">
        <f>SUMIFS('MTD Pivot'!H:H, 'MTD Pivot'!$A:$A, "Chứng Khoán", 'MTD Pivot'!$C:$C, $B60)</f>
        <v/>
      </c>
      <c r="H60" s="252">
        <f>SUMIFS('MTD Pivot'!I:I, 'MTD Pivot'!$A:$A, "Chứng Khoán", 'MTD Pivot'!$C:$C, $B60)</f>
        <v/>
      </c>
      <c r="I60" s="252">
        <f>H60-G60</f>
        <v/>
      </c>
      <c r="J60" s="257" t="inlineStr"/>
      <c r="K60" s="252">
        <f>SUMIFS('Full month Pivot'!D:D, 'Full month Pivot'!$A:$A, "Chứng Khoán", 'Full month Pivot'!$C:$C, $B60)</f>
        <v/>
      </c>
      <c r="L60" s="252">
        <f>SUMIFS('Full month Pivot'!E:E, 'Full month Pivot'!$A:$A, "Chứng Khoán", 'Full month Pivot'!$C:$C, $B60)</f>
        <v/>
      </c>
      <c r="M60" s="252">
        <f>SUMIFS('Full month Pivot'!F:F, 'Full month Pivot'!$A:$A, "Chứng Khoán", 'Full month Pivot'!$C:$C, $B60)</f>
        <v/>
      </c>
      <c r="N60" s="252">
        <f>SUMIFS('Full month Pivot'!G:G, 'Full month Pivot'!$A:$A, "Chứng Khoán", 'Full month Pivot'!$C:$C, $B60)</f>
        <v/>
      </c>
      <c r="O60" s="252">
        <f>SUMIFS('Full month Pivot'!H:H, 'Full month Pivot'!$A:$A, "Chứng Khoán", 'Full month Pivot'!$C:$C, $B60)</f>
        <v/>
      </c>
      <c r="P60" s="252">
        <f>SUMIFS('Full month Pivot'!I:I, 'Full month Pivot'!$A:$A, "Chứng Khoán",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257" t="inlineStr"/>
      <c r="B61" s="257" t="inlineStr">
        <is>
          <t>Others</t>
        </is>
      </c>
      <c r="C61" s="252">
        <f>SUMIFS('MTD Pivot'!D:D, 'MTD Pivot'!$A:$A, "Chứng Khoán", 'MTD Pivot'!$C:$C, $B61)</f>
        <v/>
      </c>
      <c r="D61" s="252">
        <f>SUMIFS('MTD Pivot'!E:E, 'MTD Pivot'!$A:$A, "Chứng Khoán", 'MTD Pivot'!$C:$C, $B61)</f>
        <v/>
      </c>
      <c r="E61" s="252">
        <f>SUMIFS('MTD Pivot'!F:F, 'MTD Pivot'!$A:$A, "Chứng Khoán", 'MTD Pivot'!$C:$C, $B61)</f>
        <v/>
      </c>
      <c r="F61" s="252">
        <f>SUMIFS('MTD Pivot'!G:G, 'MTD Pivot'!$A:$A, "Chứng Khoán", 'MTD Pivot'!$C:$C, $B61)</f>
        <v/>
      </c>
      <c r="G61" s="252">
        <f>SUMIFS('MTD Pivot'!H:H, 'MTD Pivot'!$A:$A, "Chứng Khoán", 'MTD Pivot'!$C:$C, $B61)</f>
        <v/>
      </c>
      <c r="H61" s="252">
        <f>SUMIFS('MTD Pivot'!I:I, 'MTD Pivot'!$A:$A, "Chứng Khoán", 'MTD Pivot'!$C:$C, $B61)</f>
        <v/>
      </c>
      <c r="I61" s="252">
        <f>H61-G61</f>
        <v/>
      </c>
      <c r="J61" s="257" t="inlineStr"/>
      <c r="K61" s="252">
        <f>SUMIFS('Full month Pivot'!D:D, 'Full month Pivot'!$A:$A, "Chứng Khoán", 'Full month Pivot'!$C:$C, $B61)</f>
        <v/>
      </c>
      <c r="L61" s="252">
        <f>SUMIFS('Full month Pivot'!E:E, 'Full month Pivot'!$A:$A, "Chứng Khoán", 'Full month Pivot'!$C:$C, $B61)</f>
        <v/>
      </c>
      <c r="M61" s="252">
        <f>SUMIFS('Full month Pivot'!F:F, 'Full month Pivot'!$A:$A, "Chứng Khoán", 'Full month Pivot'!$C:$C, $B61)</f>
        <v/>
      </c>
      <c r="N61" s="252">
        <f>SUMIFS('Full month Pivot'!G:G, 'Full month Pivot'!$A:$A, "Chứng Khoán", 'Full month Pivot'!$C:$C, $B61)</f>
        <v/>
      </c>
      <c r="O61" s="252">
        <f>SUMIFS('Full month Pivot'!H:H, 'Full month Pivot'!$A:$A, "Chứng Khoán", 'Full month Pivot'!$C:$C, $B61)</f>
        <v/>
      </c>
      <c r="P61" s="252">
        <f>SUMIFS('Full month Pivot'!I:I, 'Full month Pivot'!$A:$A, "Chứng Khoán", 'Full month Pivot'!$C:$C, $B61)</f>
        <v/>
      </c>
      <c r="Q61" s="252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257" t="inlineStr"/>
      <c r="B62" s="257" t="inlineStr">
        <is>
          <t>Paid</t>
        </is>
      </c>
      <c r="C62" s="252">
        <f>SUMIFS('MTD Pivot'!D:D, 'MTD Pivot'!$A:$A, "Chứng Khoán", 'MTD Pivot'!$C:$C, $B62)</f>
        <v/>
      </c>
      <c r="D62" s="252">
        <f>SUMIFS('MTD Pivot'!E:E, 'MTD Pivot'!$A:$A, "Chứng Khoán", 'MTD Pivot'!$C:$C, $B62)</f>
        <v/>
      </c>
      <c r="E62" s="252">
        <f>SUMIFS('MTD Pivot'!F:F, 'MTD Pivot'!$A:$A, "Chứng Khoán", 'MTD Pivot'!$C:$C, $B62)</f>
        <v/>
      </c>
      <c r="F62" s="252">
        <f>SUMIFS('MTD Pivot'!G:G, 'MTD Pivot'!$A:$A, "Chứng Khoán", 'MTD Pivot'!$C:$C, $B62)</f>
        <v/>
      </c>
      <c r="G62" s="252">
        <f>SUMIFS('MTD Pivot'!H:H, 'MTD Pivot'!$A:$A, "Chứng Khoán", 'MTD Pivot'!$C:$C, $B62)</f>
        <v/>
      </c>
      <c r="H62" s="252">
        <f>SUMIFS('MTD Pivot'!I:I, 'MTD Pivot'!$A:$A, "Chứng Khoán", 'MTD Pivot'!$C:$C, $B62)</f>
        <v/>
      </c>
      <c r="I62" s="252">
        <f>H62-G62</f>
        <v/>
      </c>
      <c r="J62" s="257" t="inlineStr"/>
      <c r="K62" s="252">
        <f>SUMIFS('Full month Pivot'!D:D, 'Full month Pivot'!$A:$A, "Chứng Khoán", 'Full month Pivot'!$C:$C, $B62)</f>
        <v/>
      </c>
      <c r="L62" s="252">
        <f>SUMIFS('Full month Pivot'!E:E, 'Full month Pivot'!$A:$A, "Chứng Khoán", 'Full month Pivot'!$C:$C, $B62)</f>
        <v/>
      </c>
      <c r="M62" s="252">
        <f>SUMIFS('Full month Pivot'!F:F, 'Full month Pivot'!$A:$A, "Chứng Khoán", 'Full month Pivot'!$C:$C, $B62)</f>
        <v/>
      </c>
      <c r="N62" s="252">
        <f>SUMIFS('Full month Pivot'!G:G, 'Full month Pivot'!$A:$A, "Chứng Khoán", 'Full month Pivot'!$C:$C, $B62)</f>
        <v/>
      </c>
      <c r="O62" s="252">
        <f>SUMIFS('Full month Pivot'!H:H, 'Full month Pivot'!$A:$A, "Chứng Khoán", 'Full month Pivot'!$C:$C, $B62)</f>
        <v/>
      </c>
      <c r="P62" s="252">
        <f>SUMIFS('Full month Pivot'!I:I, 'Full month Pivot'!$A:$A, "Chứng Khoán", 'Full month Pivot'!$C:$C, $B62)</f>
        <v/>
      </c>
      <c r="Q62" s="252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256" t="inlineStr">
        <is>
          <t>Tiết Kiệm Online</t>
        </is>
      </c>
      <c r="B64" s="257" t="inlineStr"/>
      <c r="C64" s="251">
        <f>sum(C65:C69)</f>
        <v/>
      </c>
      <c r="D64" s="251">
        <f>sum(D65:D69)</f>
        <v/>
      </c>
      <c r="E64" s="251">
        <f>sum(E65:E69)</f>
        <v/>
      </c>
      <c r="F64" s="251">
        <f>sum(F65:F69)</f>
        <v/>
      </c>
      <c r="G64" s="251">
        <f>sum(G65:G69)</f>
        <v/>
      </c>
      <c r="H64" s="251">
        <f>sum(H65:H69)</f>
        <v/>
      </c>
      <c r="I64" s="251">
        <f>H64-G64</f>
        <v/>
      </c>
      <c r="J64" s="257" t="inlineStr"/>
      <c r="K64" s="251">
        <f>sum(K65:K69)</f>
        <v/>
      </c>
      <c r="L64" s="251">
        <f>sum(L65:L69)</f>
        <v/>
      </c>
      <c r="M64" s="251">
        <f>sum(M65:M69)</f>
        <v/>
      </c>
      <c r="N64" s="251">
        <f>sum(N65:N69)</f>
        <v/>
      </c>
      <c r="O64" s="251">
        <f>sum(O65:O69)</f>
        <v/>
      </c>
      <c r="P64" s="251">
        <f>sum(P65:P69)</f>
        <v/>
      </c>
      <c r="Q64" s="251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257" t="inlineStr"/>
      <c r="B65" s="257" t="inlineStr">
        <is>
          <t>Organic</t>
        </is>
      </c>
      <c r="C65" s="252">
        <f>SUMIFS('MTD Pivot'!D:D, 'MTD Pivot'!$A:$A, "Tiết Kiệm Online", 'MTD Pivot'!$C:$C, $B65)</f>
        <v/>
      </c>
      <c r="D65" s="252">
        <f>SUMIFS('MTD Pivot'!E:E, 'MTD Pivot'!$A:$A, "Tiết Kiệm Online", 'MTD Pivot'!$C:$C, $B65)</f>
        <v/>
      </c>
      <c r="E65" s="252">
        <f>SUMIFS('MTD Pivot'!F:F, 'MTD Pivot'!$A:$A, "Tiết Kiệm Online", 'MTD Pivot'!$C:$C, $B65)</f>
        <v/>
      </c>
      <c r="F65" s="252">
        <f>SUMIFS('MTD Pivot'!G:G, 'MTD Pivot'!$A:$A, "Tiết Kiệm Online", 'MTD Pivot'!$C:$C, $B65)</f>
        <v/>
      </c>
      <c r="G65" s="252">
        <f>SUMIFS('MTD Pivot'!H:H, 'MTD Pivot'!$A:$A, "Tiết Kiệm Online", 'MTD Pivot'!$C:$C, $B65)</f>
        <v/>
      </c>
      <c r="H65" s="252">
        <f>SUMIFS('MTD Pivot'!I:I, 'MTD Pivot'!$A:$A, "Tiết Kiệm Online", 'MTD Pivot'!$C:$C, $B65)</f>
        <v/>
      </c>
      <c r="I65" s="252">
        <f>H65-G65</f>
        <v/>
      </c>
      <c r="J65" s="257" t="inlineStr"/>
      <c r="K65" s="252">
        <f>SUMIFS('Full month Pivot'!D:D, 'Full month Pivot'!$A:$A, "Tiết Kiệm Online", 'Full month Pivot'!$C:$C, $B65)</f>
        <v/>
      </c>
      <c r="L65" s="252">
        <f>SUMIFS('Full month Pivot'!E:E, 'Full month Pivot'!$A:$A, "Tiết Kiệm Online", 'Full month Pivot'!$C:$C, $B65)</f>
        <v/>
      </c>
      <c r="M65" s="252">
        <f>SUMIFS('Full month Pivot'!F:F, 'Full month Pivot'!$A:$A, "Tiết Kiệm Online", 'Full month Pivot'!$C:$C, $B65)</f>
        <v/>
      </c>
      <c r="N65" s="252">
        <f>SUMIFS('Full month Pivot'!G:G, 'Full month Pivot'!$A:$A, "Tiết Kiệm Online", 'Full month Pivot'!$C:$C, $B65)</f>
        <v/>
      </c>
      <c r="O65" s="252">
        <f>SUMIFS('Full month Pivot'!H:H, 'Full month Pivot'!$A:$A, "Tiết Kiệm Online", 'Full month Pivot'!$C:$C, $B65)</f>
        <v/>
      </c>
      <c r="P65" s="252">
        <f>SUMIFS('Full month Pivot'!I:I, 'Full month Pivot'!$A:$A, "Tiết Kiệm Online",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257" t="inlineStr"/>
      <c r="B66" s="257" t="inlineStr">
        <is>
          <t>Referral</t>
        </is>
      </c>
      <c r="C66" s="252">
        <f>SUMIFS('MTD Pivot'!D:D, 'MTD Pivot'!$A:$A, "Tiết Kiệm Online", 'MTD Pivot'!$C:$C, $B66)</f>
        <v/>
      </c>
      <c r="D66" s="252">
        <f>SUMIFS('MTD Pivot'!E:E, 'MTD Pivot'!$A:$A, "Tiết Kiệm Online", 'MTD Pivot'!$C:$C, $B66)</f>
        <v/>
      </c>
      <c r="E66" s="252">
        <f>SUMIFS('MTD Pivot'!F:F, 'MTD Pivot'!$A:$A, "Tiết Kiệm Online", 'MTD Pivot'!$C:$C, $B66)</f>
        <v/>
      </c>
      <c r="F66" s="252">
        <f>SUMIFS('MTD Pivot'!G:G, 'MTD Pivot'!$A:$A, "Tiết Kiệm Online", 'MTD Pivot'!$C:$C, $B66)</f>
        <v/>
      </c>
      <c r="G66" s="252">
        <f>SUMIFS('MTD Pivot'!H:H, 'MTD Pivot'!$A:$A, "Tiết Kiệm Online", 'MTD Pivot'!$C:$C, $B66)</f>
        <v/>
      </c>
      <c r="H66" s="252">
        <f>SUMIFS('MTD Pivot'!I:I, 'MTD Pivot'!$A:$A, "Tiết Kiệm Online", 'MTD Pivot'!$C:$C, $B66)</f>
        <v/>
      </c>
      <c r="I66" s="252">
        <f>H66-G66</f>
        <v/>
      </c>
      <c r="J66" s="257" t="inlineStr"/>
      <c r="K66" s="252">
        <f>SUMIFS('Full month Pivot'!D:D, 'Full month Pivot'!$A:$A, "Tiết Kiệm Online", 'Full month Pivot'!$C:$C, $B66)</f>
        <v/>
      </c>
      <c r="L66" s="252">
        <f>SUMIFS('Full month Pivot'!E:E, 'Full month Pivot'!$A:$A, "Tiết Kiệm Online", 'Full month Pivot'!$C:$C, $B66)</f>
        <v/>
      </c>
      <c r="M66" s="252">
        <f>SUMIFS('Full month Pivot'!F:F, 'Full month Pivot'!$A:$A, "Tiết Kiệm Online", 'Full month Pivot'!$C:$C, $B66)</f>
        <v/>
      </c>
      <c r="N66" s="252">
        <f>SUMIFS('Full month Pivot'!G:G, 'Full month Pivot'!$A:$A, "Tiết Kiệm Online", 'Full month Pivot'!$C:$C, $B66)</f>
        <v/>
      </c>
      <c r="O66" s="252">
        <f>SUMIFS('Full month Pivot'!H:H, 'Full month Pivot'!$A:$A, "Tiết Kiệm Online", 'Full month Pivot'!$C:$C, $B66)</f>
        <v/>
      </c>
      <c r="P66" s="252">
        <f>SUMIFS('Full month Pivot'!I:I, 'Full month Pivot'!$A:$A, "Tiết Kiệm Online",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257" t="inlineStr"/>
      <c r="B67" s="257" t="inlineStr">
        <is>
          <t>Direct</t>
        </is>
      </c>
      <c r="C67" s="252">
        <f>SUMIFS('MTD Pivot'!D:D, 'MTD Pivot'!$A:$A, "Tiết Kiệm Online", 'MTD Pivot'!$C:$C, $B67)</f>
        <v/>
      </c>
      <c r="D67" s="252">
        <f>SUMIFS('MTD Pivot'!E:E, 'MTD Pivot'!$A:$A, "Tiết Kiệm Online", 'MTD Pivot'!$C:$C, $B67)</f>
        <v/>
      </c>
      <c r="E67" s="252">
        <f>SUMIFS('MTD Pivot'!F:F, 'MTD Pivot'!$A:$A, "Tiết Kiệm Online", 'MTD Pivot'!$C:$C, $B67)</f>
        <v/>
      </c>
      <c r="F67" s="252">
        <f>SUMIFS('MTD Pivot'!G:G, 'MTD Pivot'!$A:$A, "Tiết Kiệm Online", 'MTD Pivot'!$C:$C, $B67)</f>
        <v/>
      </c>
      <c r="G67" s="252">
        <f>SUMIFS('MTD Pivot'!H:H, 'MTD Pivot'!$A:$A, "Tiết Kiệm Online", 'MTD Pivot'!$C:$C, $B67)</f>
        <v/>
      </c>
      <c r="H67" s="252">
        <f>SUMIFS('MTD Pivot'!I:I, 'MTD Pivot'!$A:$A, "Tiết Kiệm Online", 'MTD Pivot'!$C:$C, $B67)</f>
        <v/>
      </c>
      <c r="I67" s="252">
        <f>H67-G67</f>
        <v/>
      </c>
      <c r="J67" s="257" t="inlineStr"/>
      <c r="K67" s="252">
        <f>SUMIFS('Full month Pivot'!D:D, 'Full month Pivot'!$A:$A, "Tiết Kiệm Online", 'Full month Pivot'!$C:$C, $B67)</f>
        <v/>
      </c>
      <c r="L67" s="252">
        <f>SUMIFS('Full month Pivot'!E:E, 'Full month Pivot'!$A:$A, "Tiết Kiệm Online", 'Full month Pivot'!$C:$C, $B67)</f>
        <v/>
      </c>
      <c r="M67" s="252">
        <f>SUMIFS('Full month Pivot'!F:F, 'Full month Pivot'!$A:$A, "Tiết Kiệm Online", 'Full month Pivot'!$C:$C, $B67)</f>
        <v/>
      </c>
      <c r="N67" s="252">
        <f>SUMIFS('Full month Pivot'!G:G, 'Full month Pivot'!$A:$A, "Tiết Kiệm Online", 'Full month Pivot'!$C:$C, $B67)</f>
        <v/>
      </c>
      <c r="O67" s="252">
        <f>SUMIFS('Full month Pivot'!H:H, 'Full month Pivot'!$A:$A, "Tiết Kiệm Online", 'Full month Pivot'!$C:$C, $B67)</f>
        <v/>
      </c>
      <c r="P67" s="252">
        <f>SUMIFS('Full month Pivot'!I:I, 'Full month Pivot'!$A:$A, "Tiết Kiệm Online",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257" t="inlineStr"/>
      <c r="B68" s="257" t="inlineStr">
        <is>
          <t>Others</t>
        </is>
      </c>
      <c r="C68" s="252">
        <f>SUMIFS('MTD Pivot'!D:D, 'MTD Pivot'!$A:$A, "Tiết Kiệm Online", 'MTD Pivot'!$C:$C, $B68)</f>
        <v/>
      </c>
      <c r="D68" s="252">
        <f>SUMIFS('MTD Pivot'!E:E, 'MTD Pivot'!$A:$A, "Tiết Kiệm Online", 'MTD Pivot'!$C:$C, $B68)</f>
        <v/>
      </c>
      <c r="E68" s="252">
        <f>SUMIFS('MTD Pivot'!F:F, 'MTD Pivot'!$A:$A, "Tiết Kiệm Online", 'MTD Pivot'!$C:$C, $B68)</f>
        <v/>
      </c>
      <c r="F68" s="252">
        <f>SUMIFS('MTD Pivot'!G:G, 'MTD Pivot'!$A:$A, "Tiết Kiệm Online", 'MTD Pivot'!$C:$C, $B68)</f>
        <v/>
      </c>
      <c r="G68" s="252">
        <f>SUMIFS('MTD Pivot'!H:H, 'MTD Pivot'!$A:$A, "Tiết Kiệm Online", 'MTD Pivot'!$C:$C, $B68)</f>
        <v/>
      </c>
      <c r="H68" s="252">
        <f>SUMIFS('MTD Pivot'!I:I, 'MTD Pivot'!$A:$A, "Tiết Kiệm Online", 'MTD Pivot'!$C:$C, $B68)</f>
        <v/>
      </c>
      <c r="I68" s="252">
        <f>H68-G68</f>
        <v/>
      </c>
      <c r="J68" s="257" t="inlineStr"/>
      <c r="K68" s="252">
        <f>SUMIFS('Full month Pivot'!D:D, 'Full month Pivot'!$A:$A, "Tiết Kiệm Online", 'Full month Pivot'!$C:$C, $B68)</f>
        <v/>
      </c>
      <c r="L68" s="252">
        <f>SUMIFS('Full month Pivot'!E:E, 'Full month Pivot'!$A:$A, "Tiết Kiệm Online", 'Full month Pivot'!$C:$C, $B68)</f>
        <v/>
      </c>
      <c r="M68" s="252">
        <f>SUMIFS('Full month Pivot'!F:F, 'Full month Pivot'!$A:$A, "Tiết Kiệm Online", 'Full month Pivot'!$C:$C, $B68)</f>
        <v/>
      </c>
      <c r="N68" s="252">
        <f>SUMIFS('Full month Pivot'!G:G, 'Full month Pivot'!$A:$A, "Tiết Kiệm Online", 'Full month Pivot'!$C:$C, $B68)</f>
        <v/>
      </c>
      <c r="O68" s="252">
        <f>SUMIFS('Full month Pivot'!H:H, 'Full month Pivot'!$A:$A, "Tiết Kiệm Online", 'Full month Pivot'!$C:$C, $B68)</f>
        <v/>
      </c>
      <c r="P68" s="252">
        <f>SUMIFS('Full month Pivot'!I:I, 'Full month Pivot'!$A:$A, "Tiết Kiệm Online", 'Full month Pivot'!$C:$C, $B68)</f>
        <v/>
      </c>
      <c r="Q68" s="252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257" t="inlineStr"/>
      <c r="B69" s="257" t="inlineStr">
        <is>
          <t>Paid</t>
        </is>
      </c>
      <c r="C69" s="252">
        <f>SUMIFS('MTD Pivot'!D:D, 'MTD Pivot'!$A:$A, "Tiết Kiệm Online", 'MTD Pivot'!$C:$C, $B69)</f>
        <v/>
      </c>
      <c r="D69" s="252">
        <f>SUMIFS('MTD Pivot'!E:E, 'MTD Pivot'!$A:$A, "Tiết Kiệm Online", 'MTD Pivot'!$C:$C, $B69)</f>
        <v/>
      </c>
      <c r="E69" s="252">
        <f>SUMIFS('MTD Pivot'!F:F, 'MTD Pivot'!$A:$A, "Tiết Kiệm Online", 'MTD Pivot'!$C:$C, $B69)</f>
        <v/>
      </c>
      <c r="F69" s="252">
        <f>SUMIFS('MTD Pivot'!G:G, 'MTD Pivot'!$A:$A, "Tiết Kiệm Online", 'MTD Pivot'!$C:$C, $B69)</f>
        <v/>
      </c>
      <c r="G69" s="252">
        <f>SUMIFS('MTD Pivot'!H:H, 'MTD Pivot'!$A:$A, "Tiết Kiệm Online", 'MTD Pivot'!$C:$C, $B69)</f>
        <v/>
      </c>
      <c r="H69" s="252">
        <f>SUMIFS('MTD Pivot'!I:I, 'MTD Pivot'!$A:$A, "Tiết Kiệm Online", 'MTD Pivot'!$C:$C, $B69)</f>
        <v/>
      </c>
      <c r="I69" s="252">
        <f>H69-G69</f>
        <v/>
      </c>
      <c r="J69" s="257" t="inlineStr"/>
      <c r="K69" s="252">
        <f>SUMIFS('Full month Pivot'!D:D, 'Full month Pivot'!$A:$A, "Tiết Kiệm Online", 'Full month Pivot'!$C:$C, $B69)</f>
        <v/>
      </c>
      <c r="L69" s="252">
        <f>SUMIFS('Full month Pivot'!E:E, 'Full month Pivot'!$A:$A, "Tiết Kiệm Online", 'Full month Pivot'!$C:$C, $B69)</f>
        <v/>
      </c>
      <c r="M69" s="252">
        <f>SUMIFS('Full month Pivot'!F:F, 'Full month Pivot'!$A:$A, "Tiết Kiệm Online", 'Full month Pivot'!$C:$C, $B69)</f>
        <v/>
      </c>
      <c r="N69" s="252">
        <f>SUMIFS('Full month Pivot'!G:G, 'Full month Pivot'!$A:$A, "Tiết Kiệm Online", 'Full month Pivot'!$C:$C, $B69)</f>
        <v/>
      </c>
      <c r="O69" s="252">
        <f>SUMIFS('Full month Pivot'!H:H, 'Full month Pivot'!$A:$A, "Tiết Kiệm Online", 'Full month Pivot'!$C:$C, $B69)</f>
        <v/>
      </c>
      <c r="P69" s="252">
        <f>SUMIFS('Full month Pivot'!I:I, 'Full month Pivot'!$A:$A, "Tiết Kiệm Online", 'Full month Pivot'!$C:$C, $B69)</f>
        <v/>
      </c>
      <c r="Q69" s="252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256" t="inlineStr">
        <is>
          <t>Thanh Toán Thẻ Tín Dụng</t>
        </is>
      </c>
      <c r="B71" s="257" t="inlineStr"/>
      <c r="C71" s="251">
        <f>sum(C72:C76)</f>
        <v/>
      </c>
      <c r="D71" s="251">
        <f>sum(D72:D76)</f>
        <v/>
      </c>
      <c r="E71" s="251">
        <f>sum(E72:E76)</f>
        <v/>
      </c>
      <c r="F71" s="251">
        <f>sum(F72:F76)</f>
        <v/>
      </c>
      <c r="G71" s="251">
        <f>sum(G72:G76)</f>
        <v/>
      </c>
      <c r="H71" s="251">
        <f>sum(H72:H76)</f>
        <v/>
      </c>
      <c r="I71" s="251">
        <f>H71-G71</f>
        <v/>
      </c>
      <c r="J71" s="257" t="inlineStr"/>
      <c r="K71" s="251">
        <f>sum(K72:K76)</f>
        <v/>
      </c>
      <c r="L71" s="251">
        <f>sum(L72:L76)</f>
        <v/>
      </c>
      <c r="M71" s="251">
        <f>sum(M72:M76)</f>
        <v/>
      </c>
      <c r="N71" s="251">
        <f>sum(N72:N76)</f>
        <v/>
      </c>
      <c r="O71" s="251">
        <f>sum(O72:O76)</f>
        <v/>
      </c>
      <c r="P71" s="251">
        <f>sum(P72:P76)</f>
        <v/>
      </c>
      <c r="Q71" s="251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257" t="inlineStr"/>
      <c r="B72" s="257" t="inlineStr">
        <is>
          <t>Organic</t>
        </is>
      </c>
      <c r="C72" s="252">
        <f>SUMIFS('MTD Pivot'!D:D, 'MTD Pivot'!$A:$A, "Thanh Toán Thẻ Tín Dụng", 'MTD Pivot'!$C:$C, $B72)</f>
        <v/>
      </c>
      <c r="D72" s="252">
        <f>SUMIFS('MTD Pivot'!E:E, 'MTD Pivot'!$A:$A, "Thanh Toán Thẻ Tín Dụng", 'MTD Pivot'!$C:$C, $B72)</f>
        <v/>
      </c>
      <c r="E72" s="252">
        <f>SUMIFS('MTD Pivot'!F:F, 'MTD Pivot'!$A:$A, "Thanh Toán Thẻ Tín Dụng", 'MTD Pivot'!$C:$C, $B72)</f>
        <v/>
      </c>
      <c r="F72" s="252">
        <f>SUMIFS('MTD Pivot'!G:G, 'MTD Pivot'!$A:$A, "Thanh Toán Thẻ Tín Dụng", 'MTD Pivot'!$C:$C, $B72)</f>
        <v/>
      </c>
      <c r="G72" s="252">
        <f>SUMIFS('MTD Pivot'!H:H, 'MTD Pivot'!$A:$A, "Thanh Toán Thẻ Tín Dụng", 'MTD Pivot'!$C:$C, $B72)</f>
        <v/>
      </c>
      <c r="H72" s="252">
        <f>SUMIFS('MTD Pivot'!I:I, 'MTD Pivot'!$A:$A, "Thanh Toán Thẻ Tín Dụng", 'MTD Pivot'!$C:$C, $B72)</f>
        <v/>
      </c>
      <c r="I72" s="252">
        <f>H72-G72</f>
        <v/>
      </c>
      <c r="J72" s="257" t="inlineStr"/>
      <c r="K72" s="252">
        <f>SUMIFS('Full month Pivot'!D:D, 'Full month Pivot'!$A:$A, "Thanh Toán Thẻ Tín Dụng", 'Full month Pivot'!$C:$C, $B72)</f>
        <v/>
      </c>
      <c r="L72" s="252">
        <f>SUMIFS('Full month Pivot'!E:E, 'Full month Pivot'!$A:$A, "Thanh Toán Thẻ Tín Dụng", 'Full month Pivot'!$C:$C, $B72)</f>
        <v/>
      </c>
      <c r="M72" s="252">
        <f>SUMIFS('Full month Pivot'!F:F, 'Full month Pivot'!$A:$A, "Thanh Toán Thẻ Tín Dụng", 'Full month Pivot'!$C:$C, $B72)</f>
        <v/>
      </c>
      <c r="N72" s="252">
        <f>SUMIFS('Full month Pivot'!G:G, 'Full month Pivot'!$A:$A, "Thanh Toán Thẻ Tín Dụng", 'Full month Pivot'!$C:$C, $B72)</f>
        <v/>
      </c>
      <c r="O72" s="252">
        <f>SUMIFS('Full month Pivot'!H:H, 'Full month Pivot'!$A:$A, "Thanh Toán Thẻ Tín Dụng", 'Full month Pivot'!$C:$C, $B72)</f>
        <v/>
      </c>
      <c r="P72" s="252">
        <f>SUMIFS('Full month Pivot'!I:I, 'Full month Pivot'!$A:$A, "Thanh Toán Thẻ Tín Dụng",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257" t="inlineStr"/>
      <c r="B73" s="257" t="inlineStr">
        <is>
          <t>Direct</t>
        </is>
      </c>
      <c r="C73" s="252">
        <f>SUMIFS('MTD Pivot'!D:D, 'MTD Pivot'!$A:$A, "Thanh Toán Thẻ Tín Dụng", 'MTD Pivot'!$C:$C, $B73)</f>
        <v/>
      </c>
      <c r="D73" s="252">
        <f>SUMIFS('MTD Pivot'!E:E, 'MTD Pivot'!$A:$A, "Thanh Toán Thẻ Tín Dụng", 'MTD Pivot'!$C:$C, $B73)</f>
        <v/>
      </c>
      <c r="E73" s="252">
        <f>SUMIFS('MTD Pivot'!F:F, 'MTD Pivot'!$A:$A, "Thanh Toán Thẻ Tín Dụng", 'MTD Pivot'!$C:$C, $B73)</f>
        <v/>
      </c>
      <c r="F73" s="252">
        <f>SUMIFS('MTD Pivot'!G:G, 'MTD Pivot'!$A:$A, "Thanh Toán Thẻ Tín Dụng", 'MTD Pivot'!$C:$C, $B73)</f>
        <v/>
      </c>
      <c r="G73" s="252">
        <f>SUMIFS('MTD Pivot'!H:H, 'MTD Pivot'!$A:$A, "Thanh Toán Thẻ Tín Dụng", 'MTD Pivot'!$C:$C, $B73)</f>
        <v/>
      </c>
      <c r="H73" s="252">
        <f>SUMIFS('MTD Pivot'!I:I, 'MTD Pivot'!$A:$A, "Thanh Toán Thẻ Tín Dụng", 'MTD Pivot'!$C:$C, $B73)</f>
        <v/>
      </c>
      <c r="I73" s="252">
        <f>H73-G73</f>
        <v/>
      </c>
      <c r="J73" s="257" t="inlineStr"/>
      <c r="K73" s="252">
        <f>SUMIFS('Full month Pivot'!D:D, 'Full month Pivot'!$A:$A, "Thanh Toán Thẻ Tín Dụng", 'Full month Pivot'!$C:$C, $B73)</f>
        <v/>
      </c>
      <c r="L73" s="252">
        <f>SUMIFS('Full month Pivot'!E:E, 'Full month Pivot'!$A:$A, "Thanh Toán Thẻ Tín Dụng", 'Full month Pivot'!$C:$C, $B73)</f>
        <v/>
      </c>
      <c r="M73" s="252">
        <f>SUMIFS('Full month Pivot'!F:F, 'Full month Pivot'!$A:$A, "Thanh Toán Thẻ Tín Dụng", 'Full month Pivot'!$C:$C, $B73)</f>
        <v/>
      </c>
      <c r="N73" s="252">
        <f>SUMIFS('Full month Pivot'!G:G, 'Full month Pivot'!$A:$A, "Thanh Toán Thẻ Tín Dụng", 'Full month Pivot'!$C:$C, $B73)</f>
        <v/>
      </c>
      <c r="O73" s="252">
        <f>SUMIFS('Full month Pivot'!H:H, 'Full month Pivot'!$A:$A, "Thanh Toán Thẻ Tín Dụng", 'Full month Pivot'!$C:$C, $B73)</f>
        <v/>
      </c>
      <c r="P73" s="252">
        <f>SUMIFS('Full month Pivot'!I:I, 'Full month Pivot'!$A:$A, "Thanh Toán Thẻ Tín Dụng",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257" t="inlineStr"/>
      <c r="B74" s="257" t="inlineStr">
        <is>
          <t>Referral</t>
        </is>
      </c>
      <c r="C74" s="252">
        <f>SUMIFS('MTD Pivot'!D:D, 'MTD Pivot'!$A:$A, "Thanh Toán Thẻ Tín Dụng", 'MTD Pivot'!$C:$C, $B74)</f>
        <v/>
      </c>
      <c r="D74" s="252">
        <f>SUMIFS('MTD Pivot'!E:E, 'MTD Pivot'!$A:$A, "Thanh Toán Thẻ Tín Dụng", 'MTD Pivot'!$C:$C, $B74)</f>
        <v/>
      </c>
      <c r="E74" s="252">
        <f>SUMIFS('MTD Pivot'!F:F, 'MTD Pivot'!$A:$A, "Thanh Toán Thẻ Tín Dụng", 'MTD Pivot'!$C:$C, $B74)</f>
        <v/>
      </c>
      <c r="F74" s="252">
        <f>SUMIFS('MTD Pivot'!G:G, 'MTD Pivot'!$A:$A, "Thanh Toán Thẻ Tín Dụng", 'MTD Pivot'!$C:$C, $B74)</f>
        <v/>
      </c>
      <c r="G74" s="252">
        <f>SUMIFS('MTD Pivot'!H:H, 'MTD Pivot'!$A:$A, "Thanh Toán Thẻ Tín Dụng", 'MTD Pivot'!$C:$C, $B74)</f>
        <v/>
      </c>
      <c r="H74" s="252">
        <f>SUMIFS('MTD Pivot'!I:I, 'MTD Pivot'!$A:$A, "Thanh Toán Thẻ Tín Dụng", 'MTD Pivot'!$C:$C, $B74)</f>
        <v/>
      </c>
      <c r="I74" s="252">
        <f>H74-G74</f>
        <v/>
      </c>
      <c r="J74" s="257" t="inlineStr"/>
      <c r="K74" s="252">
        <f>SUMIFS('Full month Pivot'!D:D, 'Full month Pivot'!$A:$A, "Thanh Toán Thẻ Tín Dụng", 'Full month Pivot'!$C:$C, $B74)</f>
        <v/>
      </c>
      <c r="L74" s="252">
        <f>SUMIFS('Full month Pivot'!E:E, 'Full month Pivot'!$A:$A, "Thanh Toán Thẻ Tín Dụng", 'Full month Pivot'!$C:$C, $B74)</f>
        <v/>
      </c>
      <c r="M74" s="252">
        <f>SUMIFS('Full month Pivot'!F:F, 'Full month Pivot'!$A:$A, "Thanh Toán Thẻ Tín Dụng", 'Full month Pivot'!$C:$C, $B74)</f>
        <v/>
      </c>
      <c r="N74" s="252">
        <f>SUMIFS('Full month Pivot'!G:G, 'Full month Pivot'!$A:$A, "Thanh Toán Thẻ Tín Dụng", 'Full month Pivot'!$C:$C, $B74)</f>
        <v/>
      </c>
      <c r="O74" s="252">
        <f>SUMIFS('Full month Pivot'!H:H, 'Full month Pivot'!$A:$A, "Thanh Toán Thẻ Tín Dụng", 'Full month Pivot'!$C:$C, $B74)</f>
        <v/>
      </c>
      <c r="P74" s="252">
        <f>SUMIFS('Full month Pivot'!I:I, 'Full month Pivot'!$A:$A, "Thanh Toán Thẻ Tín Dụng",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257" t="inlineStr"/>
      <c r="B75" s="257" t="inlineStr">
        <is>
          <t>Paid</t>
        </is>
      </c>
      <c r="C75" s="252">
        <f>SUMIFS('MTD Pivot'!D:D, 'MTD Pivot'!$A:$A, "Thanh Toán Thẻ Tín Dụng", 'MTD Pivot'!$C:$C, $B75)</f>
        <v/>
      </c>
      <c r="D75" s="252">
        <f>SUMIFS('MTD Pivot'!E:E, 'MTD Pivot'!$A:$A, "Thanh Toán Thẻ Tín Dụng", 'MTD Pivot'!$C:$C, $B75)</f>
        <v/>
      </c>
      <c r="E75" s="252">
        <f>SUMIFS('MTD Pivot'!F:F, 'MTD Pivot'!$A:$A, "Thanh Toán Thẻ Tín Dụng", 'MTD Pivot'!$C:$C, $B75)</f>
        <v/>
      </c>
      <c r="F75" s="252">
        <f>SUMIFS('MTD Pivot'!G:G, 'MTD Pivot'!$A:$A, "Thanh Toán Thẻ Tín Dụng", 'MTD Pivot'!$C:$C, $B75)</f>
        <v/>
      </c>
      <c r="G75" s="252">
        <f>SUMIFS('MTD Pivot'!H:H, 'MTD Pivot'!$A:$A, "Thanh Toán Thẻ Tín Dụng", 'MTD Pivot'!$C:$C, $B75)</f>
        <v/>
      </c>
      <c r="H75" s="252">
        <f>SUMIFS('MTD Pivot'!I:I, 'MTD Pivot'!$A:$A, "Thanh Toán Thẻ Tín Dụng", 'MTD Pivot'!$C:$C, $B75)</f>
        <v/>
      </c>
      <c r="I75" s="252">
        <f>H75-G75</f>
        <v/>
      </c>
      <c r="J75" s="257" t="inlineStr"/>
      <c r="K75" s="252">
        <f>SUMIFS('Full month Pivot'!D:D, 'Full month Pivot'!$A:$A, "Thanh Toán Thẻ Tín Dụng", 'Full month Pivot'!$C:$C, $B75)</f>
        <v/>
      </c>
      <c r="L75" s="252">
        <f>SUMIFS('Full month Pivot'!E:E, 'Full month Pivot'!$A:$A, "Thanh Toán Thẻ Tín Dụng", 'Full month Pivot'!$C:$C, $B75)</f>
        <v/>
      </c>
      <c r="M75" s="252">
        <f>SUMIFS('Full month Pivot'!F:F, 'Full month Pivot'!$A:$A, "Thanh Toán Thẻ Tín Dụng", 'Full month Pivot'!$C:$C, $B75)</f>
        <v/>
      </c>
      <c r="N75" s="252">
        <f>SUMIFS('Full month Pivot'!G:G, 'Full month Pivot'!$A:$A, "Thanh Toán Thẻ Tín Dụng", 'Full month Pivot'!$C:$C, $B75)</f>
        <v/>
      </c>
      <c r="O75" s="252">
        <f>SUMIFS('Full month Pivot'!H:H, 'Full month Pivot'!$A:$A, "Thanh Toán Thẻ Tín Dụng", 'Full month Pivot'!$C:$C, $B75)</f>
        <v/>
      </c>
      <c r="P75" s="252">
        <f>SUMIFS('Full month Pivot'!I:I, 'Full month Pivot'!$A:$A, "Thanh Toán Thẻ Tín Dụng", 'Full month Pivot'!$C:$C, $B75)</f>
        <v/>
      </c>
      <c r="Q75" s="252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257" t="inlineStr"/>
      <c r="B76" s="257" t="inlineStr">
        <is>
          <t>Others</t>
        </is>
      </c>
      <c r="C76" s="252">
        <f>SUMIFS('MTD Pivot'!D:D, 'MTD Pivot'!$A:$A, "Thanh Toán Thẻ Tín Dụng", 'MTD Pivot'!$C:$C, $B76)</f>
        <v/>
      </c>
      <c r="D76" s="252">
        <f>SUMIFS('MTD Pivot'!E:E, 'MTD Pivot'!$A:$A, "Thanh Toán Thẻ Tín Dụng", 'MTD Pivot'!$C:$C, $B76)</f>
        <v/>
      </c>
      <c r="E76" s="252">
        <f>SUMIFS('MTD Pivot'!F:F, 'MTD Pivot'!$A:$A, "Thanh Toán Thẻ Tín Dụng", 'MTD Pivot'!$C:$C, $B76)</f>
        <v/>
      </c>
      <c r="F76" s="252">
        <f>SUMIFS('MTD Pivot'!G:G, 'MTD Pivot'!$A:$A, "Thanh Toán Thẻ Tín Dụng", 'MTD Pivot'!$C:$C, $B76)</f>
        <v/>
      </c>
      <c r="G76" s="252">
        <f>SUMIFS('MTD Pivot'!H:H, 'MTD Pivot'!$A:$A, "Thanh Toán Thẻ Tín Dụng", 'MTD Pivot'!$C:$C, $B76)</f>
        <v/>
      </c>
      <c r="H76" s="252">
        <f>SUMIFS('MTD Pivot'!I:I, 'MTD Pivot'!$A:$A, "Thanh Toán Thẻ Tín Dụng", 'MTD Pivot'!$C:$C, $B76)</f>
        <v/>
      </c>
      <c r="I76" s="252">
        <f>H76-G76</f>
        <v/>
      </c>
      <c r="J76" s="257" t="inlineStr"/>
      <c r="K76" s="252">
        <f>SUMIFS('Full month Pivot'!D:D, 'Full month Pivot'!$A:$A, "Thanh Toán Thẻ Tín Dụng", 'Full month Pivot'!$C:$C, $B76)</f>
        <v/>
      </c>
      <c r="L76" s="252">
        <f>SUMIFS('Full month Pivot'!E:E, 'Full month Pivot'!$A:$A, "Thanh Toán Thẻ Tín Dụng", 'Full month Pivot'!$C:$C, $B76)</f>
        <v/>
      </c>
      <c r="M76" s="252">
        <f>SUMIFS('Full month Pivot'!F:F, 'Full month Pivot'!$A:$A, "Thanh Toán Thẻ Tín Dụng", 'Full month Pivot'!$C:$C, $B76)</f>
        <v/>
      </c>
      <c r="N76" s="252">
        <f>SUMIFS('Full month Pivot'!G:G, 'Full month Pivot'!$A:$A, "Thanh Toán Thẻ Tín Dụng", 'Full month Pivot'!$C:$C, $B76)</f>
        <v/>
      </c>
      <c r="O76" s="252">
        <f>SUMIFS('Full month Pivot'!H:H, 'Full month Pivot'!$A:$A, "Thanh Toán Thẻ Tín Dụng", 'Full month Pivot'!$C:$C, $B76)</f>
        <v/>
      </c>
      <c r="P76" s="252">
        <f>SUMIFS('Full month Pivot'!I:I, 'Full month Pivot'!$A:$A, "Thanh Toán Thẻ Tín Dụng", 'Full month Pivot'!$C:$C, $B76)</f>
        <v/>
      </c>
      <c r="Q76" s="252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256" t="inlineStr">
        <is>
          <t>Chứng Chỉ Quỹ</t>
        </is>
      </c>
      <c r="B78" s="257" t="inlineStr"/>
      <c r="C78" s="251">
        <f>sum(C79:C83)</f>
        <v/>
      </c>
      <c r="D78" s="251">
        <f>sum(D79:D83)</f>
        <v/>
      </c>
      <c r="E78" s="251">
        <f>sum(E79:E83)</f>
        <v/>
      </c>
      <c r="F78" s="251">
        <f>sum(F79:F83)</f>
        <v/>
      </c>
      <c r="G78" s="251">
        <f>sum(G79:G83)</f>
        <v/>
      </c>
      <c r="H78" s="251">
        <f>sum(H79:H83)</f>
        <v/>
      </c>
      <c r="I78" s="251">
        <f>H78-G78</f>
        <v/>
      </c>
      <c r="J78" s="257" t="inlineStr"/>
      <c r="K78" s="251">
        <f>sum(K79:K83)</f>
        <v/>
      </c>
      <c r="L78" s="251">
        <f>sum(L79:L83)</f>
        <v/>
      </c>
      <c r="M78" s="251">
        <f>sum(M79:M83)</f>
        <v/>
      </c>
      <c r="N78" s="251">
        <f>sum(N79:N83)</f>
        <v/>
      </c>
      <c r="O78" s="251">
        <f>sum(O79:O83)</f>
        <v/>
      </c>
      <c r="P78" s="251">
        <f>sum(P79:P83)</f>
        <v/>
      </c>
      <c r="Q78" s="251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257" t="inlineStr"/>
      <c r="B79" s="257" t="inlineStr">
        <is>
          <t>Organic</t>
        </is>
      </c>
      <c r="C79" s="252">
        <f>SUMIFS('MTD Pivot'!D:D, 'MTD Pivot'!$A:$A, "Chứng Chỉ Quỹ", 'MTD Pivot'!$C:$C, $B79)</f>
        <v/>
      </c>
      <c r="D79" s="252">
        <f>SUMIFS('MTD Pivot'!E:E, 'MTD Pivot'!$A:$A, "Chứng Chỉ Quỹ", 'MTD Pivot'!$C:$C, $B79)</f>
        <v/>
      </c>
      <c r="E79" s="252">
        <f>SUMIFS('MTD Pivot'!F:F, 'MTD Pivot'!$A:$A, "Chứng Chỉ Quỹ", 'MTD Pivot'!$C:$C, $B79)</f>
        <v/>
      </c>
      <c r="F79" s="252">
        <f>SUMIFS('MTD Pivot'!G:G, 'MTD Pivot'!$A:$A, "Chứng Chỉ Quỹ", 'MTD Pivot'!$C:$C, $B79)</f>
        <v/>
      </c>
      <c r="G79" s="252">
        <f>SUMIFS('MTD Pivot'!H:H, 'MTD Pivot'!$A:$A, "Chứng Chỉ Quỹ", 'MTD Pivot'!$C:$C, $B79)</f>
        <v/>
      </c>
      <c r="H79" s="252">
        <f>SUMIFS('MTD Pivot'!I:I, 'MTD Pivot'!$A:$A, "Chứng Chỉ Quỹ", 'MTD Pivot'!$C:$C, $B79)</f>
        <v/>
      </c>
      <c r="I79" s="252">
        <f>H79-G79</f>
        <v/>
      </c>
      <c r="J79" s="257" t="inlineStr"/>
      <c r="K79" s="252">
        <f>SUMIFS('Full month Pivot'!D:D, 'Full month Pivot'!$A:$A, "Chứng Chỉ Quỹ", 'Full month Pivot'!$C:$C, $B79)</f>
        <v/>
      </c>
      <c r="L79" s="252">
        <f>SUMIFS('Full month Pivot'!E:E, 'Full month Pivot'!$A:$A, "Chứng Chỉ Quỹ", 'Full month Pivot'!$C:$C, $B79)</f>
        <v/>
      </c>
      <c r="M79" s="252">
        <f>SUMIFS('Full month Pivot'!F:F, 'Full month Pivot'!$A:$A, "Chứng Chỉ Quỹ", 'Full month Pivot'!$C:$C, $B79)</f>
        <v/>
      </c>
      <c r="N79" s="252">
        <f>SUMIFS('Full month Pivot'!G:G, 'Full month Pivot'!$A:$A, "Chứng Chỉ Quỹ", 'Full month Pivot'!$C:$C, $B79)</f>
        <v/>
      </c>
      <c r="O79" s="252">
        <f>SUMIFS('Full month Pivot'!H:H, 'Full month Pivot'!$A:$A, "Chứng Chỉ Quỹ", 'Full month Pivot'!$C:$C, $B79)</f>
        <v/>
      </c>
      <c r="P79" s="252">
        <f>SUMIFS('Full month Pivot'!I:I, 'Full month Pivot'!$A:$A, "Chứng Chỉ Quỹ", 'Full month Pivot'!$C:$C, $B79)</f>
        <v/>
      </c>
      <c r="Q79" s="252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257" t="inlineStr"/>
      <c r="B80" s="257" t="inlineStr">
        <is>
          <t>Direct</t>
        </is>
      </c>
      <c r="C80" s="252">
        <f>SUMIFS('MTD Pivot'!D:D, 'MTD Pivot'!$A:$A, "Chứng Chỉ Quỹ", 'MTD Pivot'!$C:$C, $B80)</f>
        <v/>
      </c>
      <c r="D80" s="252">
        <f>SUMIFS('MTD Pivot'!E:E, 'MTD Pivot'!$A:$A, "Chứng Chỉ Quỹ", 'MTD Pivot'!$C:$C, $B80)</f>
        <v/>
      </c>
      <c r="E80" s="252">
        <f>SUMIFS('MTD Pivot'!F:F, 'MTD Pivot'!$A:$A, "Chứng Chỉ Quỹ", 'MTD Pivot'!$C:$C, $B80)</f>
        <v/>
      </c>
      <c r="F80" s="252">
        <f>SUMIFS('MTD Pivot'!G:G, 'MTD Pivot'!$A:$A, "Chứng Chỉ Quỹ", 'MTD Pivot'!$C:$C, $B80)</f>
        <v/>
      </c>
      <c r="G80" s="252">
        <f>SUMIFS('MTD Pivot'!H:H, 'MTD Pivot'!$A:$A, "Chứng Chỉ Quỹ", 'MTD Pivot'!$C:$C, $B80)</f>
        <v/>
      </c>
      <c r="H80" s="252">
        <f>SUMIFS('MTD Pivot'!I:I, 'MTD Pivot'!$A:$A, "Chứng Chỉ Quỹ", 'MTD Pivot'!$C:$C, $B80)</f>
        <v/>
      </c>
      <c r="I80" s="252">
        <f>H80-G80</f>
        <v/>
      </c>
      <c r="J80" s="257" t="inlineStr"/>
      <c r="K80" s="252">
        <f>SUMIFS('Full month Pivot'!D:D, 'Full month Pivot'!$A:$A, "Chứng Chỉ Quỹ", 'Full month Pivot'!$C:$C, $B80)</f>
        <v/>
      </c>
      <c r="L80" s="252">
        <f>SUMIFS('Full month Pivot'!E:E, 'Full month Pivot'!$A:$A, "Chứng Chỉ Quỹ", 'Full month Pivot'!$C:$C, $B80)</f>
        <v/>
      </c>
      <c r="M80" s="252">
        <f>SUMIFS('Full month Pivot'!F:F, 'Full month Pivot'!$A:$A, "Chứng Chỉ Quỹ", 'Full month Pivot'!$C:$C, $B80)</f>
        <v/>
      </c>
      <c r="N80" s="252">
        <f>SUMIFS('Full month Pivot'!G:G, 'Full month Pivot'!$A:$A, "Chứng Chỉ Quỹ", 'Full month Pivot'!$C:$C, $B80)</f>
        <v/>
      </c>
      <c r="O80" s="252">
        <f>SUMIFS('Full month Pivot'!H:H, 'Full month Pivot'!$A:$A, "Chứng Chỉ Quỹ", 'Full month Pivot'!$C:$C, $B80)</f>
        <v/>
      </c>
      <c r="P80" s="252">
        <f>SUMIFS('Full month Pivot'!I:I, 'Full month Pivot'!$A:$A, "Chứng Chỉ Quỹ", 'Full month Pivot'!$C:$C, $B80)</f>
        <v/>
      </c>
      <c r="Q80" s="252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257" t="inlineStr"/>
      <c r="B81" s="257" t="inlineStr">
        <is>
          <t>Referral</t>
        </is>
      </c>
      <c r="C81" s="252">
        <f>SUMIFS('MTD Pivot'!D:D, 'MTD Pivot'!$A:$A, "Chứng Chỉ Quỹ", 'MTD Pivot'!$C:$C, $B81)</f>
        <v/>
      </c>
      <c r="D81" s="252">
        <f>SUMIFS('MTD Pivot'!E:E, 'MTD Pivot'!$A:$A, "Chứng Chỉ Quỹ", 'MTD Pivot'!$C:$C, $B81)</f>
        <v/>
      </c>
      <c r="E81" s="252">
        <f>SUMIFS('MTD Pivot'!F:F, 'MTD Pivot'!$A:$A, "Chứng Chỉ Quỹ", 'MTD Pivot'!$C:$C, $B81)</f>
        <v/>
      </c>
      <c r="F81" s="252">
        <f>SUMIFS('MTD Pivot'!G:G, 'MTD Pivot'!$A:$A, "Chứng Chỉ Quỹ", 'MTD Pivot'!$C:$C, $B81)</f>
        <v/>
      </c>
      <c r="G81" s="252">
        <f>SUMIFS('MTD Pivot'!H:H, 'MTD Pivot'!$A:$A, "Chứng Chỉ Quỹ", 'MTD Pivot'!$C:$C, $B81)</f>
        <v/>
      </c>
      <c r="H81" s="252">
        <f>SUMIFS('MTD Pivot'!I:I, 'MTD Pivot'!$A:$A, "Chứng Chỉ Quỹ", 'MTD Pivot'!$C:$C, $B81)</f>
        <v/>
      </c>
      <c r="I81" s="252">
        <f>H81-G81</f>
        <v/>
      </c>
      <c r="J81" s="257" t="inlineStr"/>
      <c r="K81" s="252">
        <f>SUMIFS('Full month Pivot'!D:D, 'Full month Pivot'!$A:$A, "Chứng Chỉ Quỹ", 'Full month Pivot'!$C:$C, $B81)</f>
        <v/>
      </c>
      <c r="L81" s="252">
        <f>SUMIFS('Full month Pivot'!E:E, 'Full month Pivot'!$A:$A, "Chứng Chỉ Quỹ", 'Full month Pivot'!$C:$C, $B81)</f>
        <v/>
      </c>
      <c r="M81" s="252">
        <f>SUMIFS('Full month Pivot'!F:F, 'Full month Pivot'!$A:$A, "Chứng Chỉ Quỹ", 'Full month Pivot'!$C:$C, $B81)</f>
        <v/>
      </c>
      <c r="N81" s="252">
        <f>SUMIFS('Full month Pivot'!G:G, 'Full month Pivot'!$A:$A, "Chứng Chỉ Quỹ", 'Full month Pivot'!$C:$C, $B81)</f>
        <v/>
      </c>
      <c r="O81" s="252">
        <f>SUMIFS('Full month Pivot'!H:H, 'Full month Pivot'!$A:$A, "Chứng Chỉ Quỹ", 'Full month Pivot'!$C:$C, $B81)</f>
        <v/>
      </c>
      <c r="P81" s="252">
        <f>SUMIFS('Full month Pivot'!I:I, 'Full month Pivot'!$A:$A, "Chứng Chỉ Quỹ", 'Full month Pivot'!$C:$C, $B81)</f>
        <v/>
      </c>
      <c r="Q81" s="252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257" t="inlineStr"/>
      <c r="B82" s="257" t="inlineStr">
        <is>
          <t>Others</t>
        </is>
      </c>
      <c r="C82" s="252">
        <f>SUMIFS('MTD Pivot'!D:D, 'MTD Pivot'!$A:$A, "Chứng Chỉ Quỹ", 'MTD Pivot'!$C:$C, $B82)</f>
        <v/>
      </c>
      <c r="D82" s="252">
        <f>SUMIFS('MTD Pivot'!E:E, 'MTD Pivot'!$A:$A, "Chứng Chỉ Quỹ", 'MTD Pivot'!$C:$C, $B82)</f>
        <v/>
      </c>
      <c r="E82" s="252">
        <f>SUMIFS('MTD Pivot'!F:F, 'MTD Pivot'!$A:$A, "Chứng Chỉ Quỹ", 'MTD Pivot'!$C:$C, $B82)</f>
        <v/>
      </c>
      <c r="F82" s="252">
        <f>SUMIFS('MTD Pivot'!G:G, 'MTD Pivot'!$A:$A, "Chứng Chỉ Quỹ", 'MTD Pivot'!$C:$C, $B82)</f>
        <v/>
      </c>
      <c r="G82" s="252">
        <f>SUMIFS('MTD Pivot'!H:H, 'MTD Pivot'!$A:$A, "Chứng Chỉ Quỹ", 'MTD Pivot'!$C:$C, $B82)</f>
        <v/>
      </c>
      <c r="H82" s="252">
        <f>SUMIFS('MTD Pivot'!I:I, 'MTD Pivot'!$A:$A, "Chứng Chỉ Quỹ", 'MTD Pivot'!$C:$C, $B82)</f>
        <v/>
      </c>
      <c r="I82" s="252">
        <f>H82-G82</f>
        <v/>
      </c>
      <c r="J82" s="257" t="inlineStr"/>
      <c r="K82" s="252">
        <f>SUMIFS('Full month Pivot'!D:D, 'Full month Pivot'!$A:$A, "Chứng Chỉ Quỹ", 'Full month Pivot'!$C:$C, $B82)</f>
        <v/>
      </c>
      <c r="L82" s="252">
        <f>SUMIFS('Full month Pivot'!E:E, 'Full month Pivot'!$A:$A, "Chứng Chỉ Quỹ", 'Full month Pivot'!$C:$C, $B82)</f>
        <v/>
      </c>
      <c r="M82" s="252">
        <f>SUMIFS('Full month Pivot'!F:F, 'Full month Pivot'!$A:$A, "Chứng Chỉ Quỹ", 'Full month Pivot'!$C:$C, $B82)</f>
        <v/>
      </c>
      <c r="N82" s="252">
        <f>SUMIFS('Full month Pivot'!G:G, 'Full month Pivot'!$A:$A, "Chứng Chỉ Quỹ", 'Full month Pivot'!$C:$C, $B82)</f>
        <v/>
      </c>
      <c r="O82" s="252">
        <f>SUMIFS('Full month Pivot'!H:H, 'Full month Pivot'!$A:$A, "Chứng Chỉ Quỹ", 'Full month Pivot'!$C:$C, $B82)</f>
        <v/>
      </c>
      <c r="P82" s="252">
        <f>SUMIFS('Full month Pivot'!I:I, 'Full month Pivot'!$A:$A, "Chứng Chỉ Quỹ", 'Full month Pivot'!$C:$C, $B82)</f>
        <v/>
      </c>
      <c r="Q82" s="252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257" t="inlineStr"/>
      <c r="B83" s="257" t="inlineStr">
        <is>
          <t>Paid</t>
        </is>
      </c>
      <c r="C83" s="252">
        <f>SUMIFS('MTD Pivot'!D:D, 'MTD Pivot'!$A:$A, "Chứng Chỉ Quỹ", 'MTD Pivot'!$C:$C, $B83)</f>
        <v/>
      </c>
      <c r="D83" s="252">
        <f>SUMIFS('MTD Pivot'!E:E, 'MTD Pivot'!$A:$A, "Chứng Chỉ Quỹ", 'MTD Pivot'!$C:$C, $B83)</f>
        <v/>
      </c>
      <c r="E83" s="252">
        <f>SUMIFS('MTD Pivot'!F:F, 'MTD Pivot'!$A:$A, "Chứng Chỉ Quỹ", 'MTD Pivot'!$C:$C, $B83)</f>
        <v/>
      </c>
      <c r="F83" s="252">
        <f>SUMIFS('MTD Pivot'!G:G, 'MTD Pivot'!$A:$A, "Chứng Chỉ Quỹ", 'MTD Pivot'!$C:$C, $B83)</f>
        <v/>
      </c>
      <c r="G83" s="252">
        <f>SUMIFS('MTD Pivot'!H:H, 'MTD Pivot'!$A:$A, "Chứng Chỉ Quỹ", 'MTD Pivot'!$C:$C, $B83)</f>
        <v/>
      </c>
      <c r="H83" s="252">
        <f>SUMIFS('MTD Pivot'!I:I, 'MTD Pivot'!$A:$A, "Chứng Chỉ Quỹ", 'MTD Pivot'!$C:$C, $B83)</f>
        <v/>
      </c>
      <c r="I83" s="252">
        <f>H83-G83</f>
        <v/>
      </c>
      <c r="J83" s="257" t="inlineStr"/>
      <c r="K83" s="252">
        <f>SUMIFS('Full month Pivot'!D:D, 'Full month Pivot'!$A:$A, "Chứng Chỉ Quỹ", 'Full month Pivot'!$C:$C, $B83)</f>
        <v/>
      </c>
      <c r="L83" s="252">
        <f>SUMIFS('Full month Pivot'!E:E, 'Full month Pivot'!$A:$A, "Chứng Chỉ Quỹ", 'Full month Pivot'!$C:$C, $B83)</f>
        <v/>
      </c>
      <c r="M83" s="252">
        <f>SUMIFS('Full month Pivot'!F:F, 'Full month Pivot'!$A:$A, "Chứng Chỉ Quỹ", 'Full month Pivot'!$C:$C, $B83)</f>
        <v/>
      </c>
      <c r="N83" s="252">
        <f>SUMIFS('Full month Pivot'!G:G, 'Full month Pivot'!$A:$A, "Chứng Chỉ Quỹ", 'Full month Pivot'!$C:$C, $B83)</f>
        <v/>
      </c>
      <c r="O83" s="252">
        <f>SUMIFS('Full month Pivot'!H:H, 'Full month Pivot'!$A:$A, "Chứng Chỉ Quỹ", 'Full month Pivot'!$C:$C, $B83)</f>
        <v/>
      </c>
      <c r="P83" s="252">
        <f>SUMIFS('Full month Pivot'!I:I, 'Full month Pivot'!$A:$A, "Chứng Chỉ Quỹ", 'Full month Pivot'!$C:$C, $B83)</f>
        <v/>
      </c>
      <c r="Q83" s="252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256" t="inlineStr">
        <is>
          <t>Sàn đầu tư</t>
        </is>
      </c>
      <c r="B85" s="257" t="inlineStr"/>
      <c r="C85" s="251">
        <f>sum(C86:C90)</f>
        <v/>
      </c>
      <c r="D85" s="251">
        <f>sum(D86:D90)</f>
        <v/>
      </c>
      <c r="E85" s="251">
        <f>sum(E86:E90)</f>
        <v/>
      </c>
      <c r="F85" s="251">
        <f>sum(F86:F90)</f>
        <v/>
      </c>
      <c r="G85" s="251">
        <f>sum(G86:G90)</f>
        <v/>
      </c>
      <c r="H85" s="251">
        <f>sum(H86:H90)</f>
        <v/>
      </c>
      <c r="I85" s="251">
        <f>H85-G85</f>
        <v/>
      </c>
      <c r="J85" s="257" t="inlineStr"/>
      <c r="K85" s="251">
        <f>sum(K86:K89)</f>
        <v/>
      </c>
      <c r="L85" s="251">
        <f>sum(L86:L89)</f>
        <v/>
      </c>
      <c r="M85" s="251">
        <f>sum(M86:M89)</f>
        <v/>
      </c>
      <c r="N85" s="251">
        <f>sum(N86:N89)</f>
        <v/>
      </c>
      <c r="O85" s="251">
        <f>sum(O86:O89)</f>
        <v/>
      </c>
      <c r="P85" s="251">
        <f>sum(P86:P89)</f>
        <v/>
      </c>
      <c r="Q85" s="251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257" t="inlineStr"/>
      <c r="B86" s="257" t="inlineStr">
        <is>
          <t>Organic</t>
        </is>
      </c>
      <c r="C86" s="252">
        <f>SUMIFS('MTD Pivot'!D:D, 'MTD Pivot'!$A:$A, "Sàn đầu tư", 'MTD Pivot'!$C:$C, $B79)</f>
        <v/>
      </c>
      <c r="D86" s="252">
        <f>SUMIFS('MTD Pivot'!E:E, 'MTD Pivot'!$A:$A, "Sàn đầu tư", 'MTD Pivot'!$C:$C, $B79)</f>
        <v/>
      </c>
      <c r="E86" s="252">
        <f>SUMIFS('MTD Pivot'!F:F, 'MTD Pivot'!$A:$A, "Sàn đầu tư", 'MTD Pivot'!$C:$C, $B79)</f>
        <v/>
      </c>
      <c r="F86" s="252">
        <f>SUMIFS('MTD Pivot'!G:G, 'MTD Pivot'!$A:$A, "Sàn đầu tư", 'MTD Pivot'!$C:$C, $B79)</f>
        <v/>
      </c>
      <c r="G86" s="252">
        <f>SUMIFS('MTD Pivot'!H:H, 'MTD Pivot'!$A:$A, "Sàn đầu tư", 'MTD Pivot'!$C:$C, $B79)</f>
        <v/>
      </c>
      <c r="H86" s="252">
        <f>SUMIFS('MTD Pivot'!I:I, 'MTD Pivot'!$A:$A, "Sàn đầu tư", 'MTD Pivot'!$C:$C, $B79)</f>
        <v/>
      </c>
      <c r="I86" s="252">
        <f>H86-G86</f>
        <v/>
      </c>
      <c r="J86" s="257" t="inlineStr"/>
      <c r="K86" s="252">
        <f>SUMIFS('Full month Pivot'!D:D, 'Full month Pivot'!$A:$A, "Sàn đầu tư", 'Full month Pivot'!$C:$C, $B79)</f>
        <v/>
      </c>
      <c r="L86" s="252">
        <f>SUMIFS('Full month Pivot'!E:E, 'Full month Pivot'!$A:$A, "Sàn đầu tư", 'Full month Pivot'!$C:$C, $B79)</f>
        <v/>
      </c>
      <c r="M86" s="252">
        <f>SUMIFS('Full month Pivot'!F:F, 'Full month Pivot'!$A:$A, "Sàn đầu tư", 'Full month Pivot'!$C:$C, $B79)</f>
        <v/>
      </c>
      <c r="N86" s="252">
        <f>SUMIFS('Full month Pivot'!G:G, 'Full month Pivot'!$A:$A, "Sàn đầu tư", 'Full month Pivot'!$C:$C, $B79)</f>
        <v/>
      </c>
      <c r="O86" s="252">
        <f>SUMIFS('Full month Pivot'!H:H, 'Full month Pivot'!$A:$A, "Sàn đầu tư", 'Full month Pivot'!$C:$C, $B79)</f>
        <v/>
      </c>
      <c r="P86" s="252">
        <f>SUMIFS('Full month Pivot'!I:I, 'Full month Pivot'!$A:$A, "Sàn đầu tư", 'Full month Pivot'!$C:$C, $B79)</f>
        <v/>
      </c>
      <c r="Q86" s="252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257" t="inlineStr"/>
      <c r="B87" s="257" t="inlineStr">
        <is>
          <t>Direct</t>
        </is>
      </c>
      <c r="C87" s="252">
        <f>SUMIFS('MTD Pivot'!D:D, 'MTD Pivot'!$A:$A, "Sàn đầu tư", 'MTD Pivot'!$C:$C, $B80)</f>
        <v/>
      </c>
      <c r="D87" s="252">
        <f>SUMIFS('MTD Pivot'!E:E, 'MTD Pivot'!$A:$A, "Sàn đầu tư", 'MTD Pivot'!$C:$C, $B80)</f>
        <v/>
      </c>
      <c r="E87" s="252">
        <f>SUMIFS('MTD Pivot'!F:F, 'MTD Pivot'!$A:$A, "Sàn đầu tư", 'MTD Pivot'!$C:$C, $B80)</f>
        <v/>
      </c>
      <c r="F87" s="252">
        <f>SUMIFS('MTD Pivot'!G:G, 'MTD Pivot'!$A:$A, "Sàn đầu tư", 'MTD Pivot'!$C:$C, $B80)</f>
        <v/>
      </c>
      <c r="G87" s="252">
        <f>SUMIFS('MTD Pivot'!H:H, 'MTD Pivot'!$A:$A, "Sàn đầu tư", 'MTD Pivot'!$C:$C, $B80)</f>
        <v/>
      </c>
      <c r="H87" s="252">
        <f>SUMIFS('MTD Pivot'!I:I, 'MTD Pivot'!$A:$A, "Sàn đầu tư", 'MTD Pivot'!$C:$C, $B80)</f>
        <v/>
      </c>
      <c r="I87" s="252">
        <f>H87-G87</f>
        <v/>
      </c>
      <c r="J87" s="257" t="inlineStr"/>
      <c r="K87" s="252">
        <f>SUMIFS('Full month Pivot'!D:D, 'Full month Pivot'!$A:$A, "Sàn đầu tư", 'Full month Pivot'!$C:$C, $B80)</f>
        <v/>
      </c>
      <c r="L87" s="252">
        <f>SUMIFS('Full month Pivot'!E:E, 'Full month Pivot'!$A:$A, "Sàn đầu tư", 'Full month Pivot'!$C:$C, $B80)</f>
        <v/>
      </c>
      <c r="M87" s="252">
        <f>SUMIFS('Full month Pivot'!F:F, 'Full month Pivot'!$A:$A, "Sàn đầu tư", 'Full month Pivot'!$C:$C, $B80)</f>
        <v/>
      </c>
      <c r="N87" s="252">
        <f>SUMIFS('Full month Pivot'!G:G, 'Full month Pivot'!$A:$A, "Sàn đầu tư", 'Full month Pivot'!$C:$C, $B80)</f>
        <v/>
      </c>
      <c r="O87" s="252">
        <f>SUMIFS('Full month Pivot'!H:H, 'Full month Pivot'!$A:$A, "Sàn đầu tư", 'Full month Pivot'!$C:$C, $B80)</f>
        <v/>
      </c>
      <c r="P87" s="252">
        <f>SUMIFS('Full month Pivot'!I:I, 'Full month Pivot'!$A:$A, "Sàn đầu tư", 'Full month Pivot'!$C:$C, $B80)</f>
        <v/>
      </c>
      <c r="Q87" s="252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257" t="inlineStr"/>
      <c r="B88" s="257" t="inlineStr">
        <is>
          <t>Referral</t>
        </is>
      </c>
      <c r="C88" s="252">
        <f>SUMIFS('MTD Pivot'!D:D, 'MTD Pivot'!$A:$A, "Sàn đầu tư", 'MTD Pivot'!$C:$C, $B81)</f>
        <v/>
      </c>
      <c r="D88" s="252">
        <f>SUMIFS('MTD Pivot'!E:E, 'MTD Pivot'!$A:$A, "Sàn đầu tư", 'MTD Pivot'!$C:$C, $B81)</f>
        <v/>
      </c>
      <c r="E88" s="252">
        <f>SUMIFS('MTD Pivot'!F:F, 'MTD Pivot'!$A:$A, "Sàn đầu tư", 'MTD Pivot'!$C:$C, $B81)</f>
        <v/>
      </c>
      <c r="F88" s="252">
        <f>SUMIFS('MTD Pivot'!G:G, 'MTD Pivot'!$A:$A, "Sàn đầu tư", 'MTD Pivot'!$C:$C, $B81)</f>
        <v/>
      </c>
      <c r="G88" s="252">
        <f>SUMIFS('MTD Pivot'!H:H, 'MTD Pivot'!$A:$A, "Sàn đầu tư", 'MTD Pivot'!$C:$C, $B81)</f>
        <v/>
      </c>
      <c r="H88" s="252">
        <f>SUMIFS('MTD Pivot'!I:I, 'MTD Pivot'!$A:$A, "Sàn đầu tư", 'MTD Pivot'!$C:$C, $B81)</f>
        <v/>
      </c>
      <c r="I88" s="252">
        <f>H88-G88</f>
        <v/>
      </c>
      <c r="J88" s="257" t="inlineStr"/>
      <c r="K88" s="252">
        <f>SUMIFS('Full month Pivot'!D:D, 'Full month Pivot'!$A:$A, "Sàn đầu tư", 'Full month Pivot'!$C:$C, $B81)</f>
        <v/>
      </c>
      <c r="L88" s="252">
        <f>SUMIFS('Full month Pivot'!E:E, 'Full month Pivot'!$A:$A, "Sàn đầu tư", 'Full month Pivot'!$C:$C, $B81)</f>
        <v/>
      </c>
      <c r="M88" s="252">
        <f>SUMIFS('Full month Pivot'!F:F, 'Full month Pivot'!$A:$A, "Sàn đầu tư", 'Full month Pivot'!$C:$C, $B81)</f>
        <v/>
      </c>
      <c r="N88" s="252">
        <f>SUMIFS('Full month Pivot'!G:G, 'Full month Pivot'!$A:$A, "Sàn đầu tư", 'Full month Pivot'!$C:$C, $B81)</f>
        <v/>
      </c>
      <c r="O88" s="252">
        <f>SUMIFS('Full month Pivot'!H:H, 'Full month Pivot'!$A:$A, "Sàn đầu tư", 'Full month Pivot'!$C:$C, $B81)</f>
        <v/>
      </c>
      <c r="P88" s="252">
        <f>SUMIFS('Full month Pivot'!I:I, 'Full month Pivot'!$A:$A, "Sàn đầu tư", 'Full month Pivot'!$C:$C, $B81)</f>
        <v/>
      </c>
      <c r="Q88" s="252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257" t="inlineStr"/>
      <c r="B89" s="257" t="inlineStr">
        <is>
          <t>Others</t>
        </is>
      </c>
      <c r="C89" s="252">
        <f>SUMIFS('MTD Pivot'!D:D, 'MTD Pivot'!$A:$A, "Sàn đầu tư", 'MTD Pivot'!$C:$C, $B82)</f>
        <v/>
      </c>
      <c r="D89" s="252">
        <f>SUMIFS('MTD Pivot'!E:E, 'MTD Pivot'!$A:$A, "Sàn đầu tư", 'MTD Pivot'!$C:$C, $B82)</f>
        <v/>
      </c>
      <c r="E89" s="252">
        <f>SUMIFS('MTD Pivot'!F:F, 'MTD Pivot'!$A:$A, "Sàn đầu tư", 'MTD Pivot'!$C:$C, $B82)</f>
        <v/>
      </c>
      <c r="F89" s="252">
        <f>SUMIFS('MTD Pivot'!G:G, 'MTD Pivot'!$A:$A, "Sàn đầu tư", 'MTD Pivot'!$C:$C, $B82)</f>
        <v/>
      </c>
      <c r="G89" s="252">
        <f>SUMIFS('MTD Pivot'!H:H, 'MTD Pivot'!$A:$A, "Sàn đầu tư", 'MTD Pivot'!$C:$C, $B82)</f>
        <v/>
      </c>
      <c r="H89" s="252">
        <f>SUMIFS('MTD Pivot'!I:I, 'MTD Pivot'!$A:$A, "Sàn đầu tư", 'MTD Pivot'!$C:$C, $B82)</f>
        <v/>
      </c>
      <c r="I89" s="252">
        <f>H89-G89</f>
        <v/>
      </c>
      <c r="J89" s="257" t="inlineStr"/>
      <c r="K89" s="252">
        <f>SUMIFS('Full month Pivot'!D:D, 'Full month Pivot'!$A:$A, "Sàn đầu tư", 'Full month Pivot'!$C:$C, $B82)</f>
        <v/>
      </c>
      <c r="L89" s="252">
        <f>SUMIFS('Full month Pivot'!E:E, 'Full month Pivot'!$A:$A, "Sàn đầu tư", 'Full month Pivot'!$C:$C, $B82)</f>
        <v/>
      </c>
      <c r="M89" s="252">
        <f>SUMIFS('Full month Pivot'!F:F, 'Full month Pivot'!$A:$A, "Sàn đầu tư", 'Full month Pivot'!$C:$C, $B82)</f>
        <v/>
      </c>
      <c r="N89" s="252">
        <f>SUMIFS('Full month Pivot'!G:G, 'Full month Pivot'!$A:$A, "Sàn đầu tư", 'Full month Pivot'!$C:$C, $B82)</f>
        <v/>
      </c>
      <c r="O89" s="252">
        <f>SUMIFS('Full month Pivot'!H:H, 'Full month Pivot'!$A:$A, "Sàn đầu tư", 'Full month Pivot'!$C:$C, $B82)</f>
        <v/>
      </c>
      <c r="P89" s="252">
        <f>SUMIFS('Full month Pivot'!I:I, 'Full month Pivot'!$A:$A, "Sàn đầu tư", 'Full month Pivot'!$C:$C, $B82)</f>
        <v/>
      </c>
      <c r="Q89" s="252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257" t="inlineStr"/>
      <c r="B90" s="257" t="inlineStr">
        <is>
          <t>Paid</t>
        </is>
      </c>
      <c r="C90" s="252">
        <f>SUMIFS('MTD Pivot'!D:D, 'MTD Pivot'!$A:$A, "Sàn đầu tư", 'MTD Pivot'!$C:$C, $B83)</f>
        <v/>
      </c>
      <c r="D90" s="252">
        <f>SUMIFS('MTD Pivot'!E:E, 'MTD Pivot'!$A:$A, "Sàn đầu tư", 'MTD Pivot'!$C:$C, $B83)</f>
        <v/>
      </c>
      <c r="E90" s="252">
        <f>SUMIFS('MTD Pivot'!F:F, 'MTD Pivot'!$A:$A, "Sàn đầu tư", 'MTD Pivot'!$C:$C, $B83)</f>
        <v/>
      </c>
      <c r="F90" s="252">
        <f>SUMIFS('MTD Pivot'!G:G, 'MTD Pivot'!$A:$A, "Sàn đầu tư", 'MTD Pivot'!$C:$C, $B83)</f>
        <v/>
      </c>
      <c r="G90" s="252">
        <f>SUMIFS('MTD Pivot'!H:H, 'MTD Pivot'!$A:$A, "Sàn đầu tư", 'MTD Pivot'!$C:$C, $B83)</f>
        <v/>
      </c>
      <c r="H90" s="252">
        <f>SUMIFS('MTD Pivot'!I:I, 'MTD Pivot'!$A:$A, "Sàn đầu tư", 'MTD Pivot'!$C:$C, $B83)</f>
        <v/>
      </c>
      <c r="I90" s="252">
        <f>H90-G90</f>
        <v/>
      </c>
      <c r="J90" s="257" t="inlineStr"/>
      <c r="K90" s="252">
        <f>SUMIFS('Full month Pivot'!D:D, 'Full month Pivot'!$A:$A, "Sàn đầu tư", 'Full month Pivot'!$C:$C, $B83)</f>
        <v/>
      </c>
      <c r="L90" s="252">
        <f>SUMIFS('Full month Pivot'!E:E, 'Full month Pivot'!$A:$A, "Sàn đầu tư", 'Full month Pivot'!$C:$C, $B83)</f>
        <v/>
      </c>
      <c r="M90" s="252">
        <f>SUMIFS('Full month Pivot'!F:F, 'Full month Pivot'!$A:$A, "Sàn đầu tư", 'Full month Pivot'!$C:$C, $B83)</f>
        <v/>
      </c>
      <c r="N90" s="252">
        <f>SUMIFS('Full month Pivot'!G:G, 'Full month Pivot'!$A:$A, "Sàn đầu tư", 'Full month Pivot'!$C:$C, $B83)</f>
        <v/>
      </c>
      <c r="O90" s="252">
        <f>SUMIFS('Full month Pivot'!H:H, 'Full month Pivot'!$A:$A, "Sàn đầu tư", 'Full month Pivot'!$C:$C, $B83)</f>
        <v/>
      </c>
      <c r="P90" s="252">
        <f>SUMIFS('Full month Pivot'!I:I, 'Full month Pivot'!$A:$A, "Sàn đầu tư", 'Full month Pivot'!$C:$C, $B83)</f>
        <v/>
      </c>
      <c r="Q90" s="252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257" t="inlineStr"/>
      <c r="B91" s="257" t="inlineStr"/>
      <c r="C91" s="252">
        <f>sum(C92:C96)</f>
        <v/>
      </c>
      <c r="D91" s="252">
        <f>sum(D92:D96)</f>
        <v/>
      </c>
      <c r="E91" s="252">
        <f>sum(E92:E96)</f>
        <v/>
      </c>
      <c r="F91" s="252">
        <f>sum(F92:F96)</f>
        <v/>
      </c>
      <c r="G91" s="252">
        <f>sum(G92:G96)</f>
        <v/>
      </c>
      <c r="H91" s="252">
        <f>sum(H92:H96)</f>
        <v/>
      </c>
      <c r="I91" s="252">
        <f>H91-G91</f>
        <v/>
      </c>
      <c r="J91" s="257" t="inlineStr"/>
      <c r="K91" s="252">
        <f>sum(K92:K96)</f>
        <v/>
      </c>
      <c r="L91" s="252">
        <f>sum(L92:L96)</f>
        <v/>
      </c>
      <c r="M91" s="252">
        <f>sum(M92:M96)</f>
        <v/>
      </c>
      <c r="N91" s="252">
        <f>sum(N92:N96)</f>
        <v/>
      </c>
      <c r="O91" s="252">
        <f>sum(O92:O96)</f>
        <v/>
      </c>
      <c r="P91" s="252">
        <f>sum(P92:P96)</f>
        <v/>
      </c>
      <c r="Q91" s="252">
        <f>P91-O91</f>
        <v/>
      </c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256" t="inlineStr">
        <is>
          <t>Tiệm Vàng Online</t>
        </is>
      </c>
      <c r="B92" s="257" t="inlineStr">
        <is>
          <t>Organic</t>
        </is>
      </c>
      <c r="C92" s="251">
        <f>SUMIFS('MTD Pivot'!D:D, 'MTD Pivot'!$A:$A, "Tiệm Vàng Online", 'MTD Pivot'!$C:$C, $B$92:$B$96)</f>
        <v/>
      </c>
      <c r="D92" s="251">
        <f>SUMIFS('MTD Pivot'!E:E, 'MTD Pivot'!$A:$A, "Tiệm Vàng Online", 'MTD Pivot'!$C:$C, $B$92:$B$96)</f>
        <v/>
      </c>
      <c r="E92" s="251">
        <f>SUMIFS('MTD Pivot'!F:F, 'MTD Pivot'!$A:$A, "Tiệm Vàng Online", 'MTD Pivot'!$C:$C, $B$92:$B$96)</f>
        <v/>
      </c>
      <c r="F92" s="251">
        <f>SUMIFS('MTD Pivot'!G:G, 'MTD Pivot'!$A:$A, "Tiệm Vàng Online", 'MTD Pivot'!$C:$C, $B$92:$B$96)</f>
        <v/>
      </c>
      <c r="G92" s="251">
        <f>SUMIFS('MTD Pivot'!H:H, 'MTD Pivot'!$A:$A, "Tiệm Vàng Online", 'MTD Pivot'!$C:$C, $B$92:$B$96)</f>
        <v/>
      </c>
      <c r="H92" s="251">
        <f>SUMIFS('MTD Pivot'!I:I, 'MTD Pivot'!$A:$A, "Tiệm Vàng Online", 'MTD Pivot'!$C:$C, $B$92:$B$96)</f>
        <v/>
      </c>
      <c r="I92" s="251">
        <f>H92-G92</f>
        <v/>
      </c>
      <c r="J92" s="257" t="inlineStr"/>
      <c r="K92" s="251">
        <f>SUMIFS('Full month Pivot'!D:D, 'Full month Pivot'!$A:$A, "Tiệm Vàng Online", 'Full month Pivot'!$C:$C, $B$92:$B$96)</f>
        <v/>
      </c>
      <c r="L92" s="251">
        <f>SUMIFS('Full month Pivot'!E:E, 'Full month Pivot'!$A:$A, "Tiệm Vàng Online", 'Full month Pivot'!$C:$C, $B$92:$B$96)</f>
        <v/>
      </c>
      <c r="M92" s="251">
        <f>SUMIFS('Full month Pivot'!F:F, 'Full month Pivot'!$A:$A, "Tiệm Vàng Online", 'Full month Pivot'!$C:$C, $B$92:$B$96)</f>
        <v/>
      </c>
      <c r="N92" s="251">
        <f>SUMIFS('Full month Pivot'!G:G, 'Full month Pivot'!$A:$A, "Tiệm Vàng Online", 'Full month Pivot'!$C:$C, $B$92:$B$96)</f>
        <v/>
      </c>
      <c r="O92" s="251">
        <f>SUMIFS('Full month Pivot'!H:H, 'Full month Pivot'!$A:$A, "Tiệm Vàng Online", 'Full month Pivot'!$C:$C, $B$92:$B$96)</f>
        <v/>
      </c>
      <c r="P92" s="251">
        <f>SUMIFS('Full month Pivot'!I:I, 'Full month Pivot'!$A:$A, "Tiệm Vàng Online", 'Full month Pivot'!$C:$C, $B$92:$B$96)</f>
        <v/>
      </c>
      <c r="Q92" s="251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257" t="inlineStr"/>
      <c r="B93" s="257" t="inlineStr">
        <is>
          <t>Direct</t>
        </is>
      </c>
      <c r="C93" s="252">
        <f>SUMIFS('MTD Pivot'!D:D, 'MTD Pivot'!$A:$A, "Tiệm Vàng Online", 'MTD Pivot'!$C:$C, $B$92:$B$96)</f>
        <v/>
      </c>
      <c r="D93" s="252">
        <f>SUMIFS('MTD Pivot'!E:E, 'MTD Pivot'!$A:$A, "Tiệm Vàng Online", 'MTD Pivot'!$C:$C, $B$92:$B$96)</f>
        <v/>
      </c>
      <c r="E93" s="252">
        <f>SUMIFS('MTD Pivot'!F:F, 'MTD Pivot'!$A:$A, "Tiệm Vàng Online", 'MTD Pivot'!$C:$C, $B$92:$B$96)</f>
        <v/>
      </c>
      <c r="F93" s="252">
        <f>SUMIFS('MTD Pivot'!G:G, 'MTD Pivot'!$A:$A, "Tiệm Vàng Online", 'MTD Pivot'!$C:$C, $B$92:$B$96)</f>
        <v/>
      </c>
      <c r="G93" s="252">
        <f>SUMIFS('MTD Pivot'!H:H, 'MTD Pivot'!$A:$A, "Tiệm Vàng Online", 'MTD Pivot'!$C:$C, $B$92:$B$96)</f>
        <v/>
      </c>
      <c r="H93" s="252">
        <f>SUMIFS('MTD Pivot'!I:I, 'MTD Pivot'!$A:$A, "Tiệm Vàng Online", 'MTD Pivot'!$C:$C, $B$92:$B$96)</f>
        <v/>
      </c>
      <c r="I93" s="252">
        <f>H93-G93</f>
        <v/>
      </c>
      <c r="J93" s="257" t="inlineStr"/>
      <c r="K93" s="252">
        <f>SUMIFS('Full month Pivot'!D:D, 'Full month Pivot'!$A:$A, "Tiệm Vàng Online", 'Full month Pivot'!$C:$C, $B$92:$B$96)</f>
        <v/>
      </c>
      <c r="L93" s="252">
        <f>SUMIFS('Full month Pivot'!E:E, 'Full month Pivot'!$A:$A, "Tiệm Vàng Online", 'Full month Pivot'!$C:$C, $B$92:$B$96)</f>
        <v/>
      </c>
      <c r="M93" s="252">
        <f>SUMIFS('Full month Pivot'!F:F, 'Full month Pivot'!$A:$A, "Tiệm Vàng Online", 'Full month Pivot'!$C:$C, $B$92:$B$96)</f>
        <v/>
      </c>
      <c r="N93" s="252">
        <f>SUMIFS('Full month Pivot'!G:G, 'Full month Pivot'!$A:$A, "Tiệm Vàng Online", 'Full month Pivot'!$C:$C, $B$92:$B$96)</f>
        <v/>
      </c>
      <c r="O93" s="252">
        <f>SUMIFS('Full month Pivot'!H:H, 'Full month Pivot'!$A:$A, "Tiệm Vàng Online", 'Full month Pivot'!$C:$C, $B$92:$B$96)</f>
        <v/>
      </c>
      <c r="P93" s="252">
        <f>SUMIFS('Full month Pivot'!I:I, 'Full month Pivot'!$A:$A, "Tiệm Vàng Online", 'Full month Pivot'!$C:$C, $B$92:$B$96)</f>
        <v/>
      </c>
      <c r="Q93" s="252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257" t="inlineStr"/>
      <c r="B94" s="257" t="inlineStr">
        <is>
          <t>Referral</t>
        </is>
      </c>
      <c r="C94" s="252">
        <f>SUMIFS('MTD Pivot'!D:D, 'MTD Pivot'!$A:$A, "Tiệm Vàng Online", 'MTD Pivot'!$C:$C, $B$92:$B$96)</f>
        <v/>
      </c>
      <c r="D94" s="252">
        <f>SUMIFS('MTD Pivot'!E:E, 'MTD Pivot'!$A:$A, "Tiệm Vàng Online", 'MTD Pivot'!$C:$C, $B$92:$B$96)</f>
        <v/>
      </c>
      <c r="E94" s="252">
        <f>SUMIFS('MTD Pivot'!F:F, 'MTD Pivot'!$A:$A, "Tiệm Vàng Online", 'MTD Pivot'!$C:$C, $B$92:$B$96)</f>
        <v/>
      </c>
      <c r="F94" s="252">
        <f>SUMIFS('MTD Pivot'!G:G, 'MTD Pivot'!$A:$A, "Tiệm Vàng Online", 'MTD Pivot'!$C:$C, $B$92:$B$96)</f>
        <v/>
      </c>
      <c r="G94" s="252">
        <f>SUMIFS('MTD Pivot'!H:H, 'MTD Pivot'!$A:$A, "Tiệm Vàng Online", 'MTD Pivot'!$C:$C, $B$92:$B$96)</f>
        <v/>
      </c>
      <c r="H94" s="252">
        <f>SUMIFS('MTD Pivot'!I:I, 'MTD Pivot'!$A:$A, "Tiệm Vàng Online", 'MTD Pivot'!$C:$C, $B$92:$B$96)</f>
        <v/>
      </c>
      <c r="I94" s="252">
        <f>H94-G94</f>
        <v/>
      </c>
      <c r="J94" s="257" t="inlineStr"/>
      <c r="K94" s="252">
        <f>SUMIFS('Full month Pivot'!D:D, 'Full month Pivot'!$A:$A, "Tiệm Vàng Online", 'Full month Pivot'!$C:$C, $B$92:$B$96)</f>
        <v/>
      </c>
      <c r="L94" s="252">
        <f>SUMIFS('Full month Pivot'!E:E, 'Full month Pivot'!$A:$A, "Tiệm Vàng Online", 'Full month Pivot'!$C:$C, $B$92:$B$96)</f>
        <v/>
      </c>
      <c r="M94" s="252">
        <f>SUMIFS('Full month Pivot'!F:F, 'Full month Pivot'!$A:$A, "Tiệm Vàng Online", 'Full month Pivot'!$C:$C, $B$92:$B$96)</f>
        <v/>
      </c>
      <c r="N94" s="252">
        <f>SUMIFS('Full month Pivot'!G:G, 'Full month Pivot'!$A:$A, "Tiệm Vàng Online", 'Full month Pivot'!$C:$C, $B$92:$B$96)</f>
        <v/>
      </c>
      <c r="O94" s="252">
        <f>SUMIFS('Full month Pivot'!H:H, 'Full month Pivot'!$A:$A, "Tiệm Vàng Online", 'Full month Pivot'!$C:$C, $B$92:$B$96)</f>
        <v/>
      </c>
      <c r="P94" s="252">
        <f>SUMIFS('Full month Pivot'!I:I, 'Full month Pivot'!$A:$A, "Tiệm Vàng Online", 'Full month Pivot'!$C:$C, $B$92:$B$96)</f>
        <v/>
      </c>
      <c r="Q94" s="252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257" t="inlineStr"/>
      <c r="B95" s="257" t="inlineStr">
        <is>
          <t>Others</t>
        </is>
      </c>
      <c r="C95" s="252">
        <f>SUMIFS('MTD Pivot'!D:D, 'MTD Pivot'!$A:$A, "Tiệm Vàng Online", 'MTD Pivot'!$C:$C, $B$92:$B$96)</f>
        <v/>
      </c>
      <c r="D95" s="252">
        <f>SUMIFS('MTD Pivot'!E:E, 'MTD Pivot'!$A:$A, "Tiệm Vàng Online", 'MTD Pivot'!$C:$C, $B$92:$B$96)</f>
        <v/>
      </c>
      <c r="E95" s="252">
        <f>SUMIFS('MTD Pivot'!F:F, 'MTD Pivot'!$A:$A, "Tiệm Vàng Online", 'MTD Pivot'!$C:$C, $B$92:$B$96)</f>
        <v/>
      </c>
      <c r="F95" s="252">
        <f>SUMIFS('MTD Pivot'!G:G, 'MTD Pivot'!$A:$A, "Tiệm Vàng Online", 'MTD Pivot'!$C:$C, $B$92:$B$96)</f>
        <v/>
      </c>
      <c r="G95" s="252">
        <f>SUMIFS('MTD Pivot'!H:H, 'MTD Pivot'!$A:$A, "Tiệm Vàng Online", 'MTD Pivot'!$C:$C, $B$92:$B$96)</f>
        <v/>
      </c>
      <c r="H95" s="252">
        <f>SUMIFS('MTD Pivot'!I:I, 'MTD Pivot'!$A:$A, "Tiệm Vàng Online", 'MTD Pivot'!$C:$C, $B$92:$B$96)</f>
        <v/>
      </c>
      <c r="I95" s="252">
        <f>H95-G95</f>
        <v/>
      </c>
      <c r="J95" s="257" t="inlineStr"/>
      <c r="K95" s="252">
        <f>SUMIFS('Full month Pivot'!D:D, 'Full month Pivot'!$A:$A, "Tiệm Vàng Online", 'Full month Pivot'!$C:$C, $B$92:$B$96)</f>
        <v/>
      </c>
      <c r="L95" s="252">
        <f>SUMIFS('Full month Pivot'!E:E, 'Full month Pivot'!$A:$A, "Tiệm Vàng Online", 'Full month Pivot'!$C:$C, $B$92:$B$96)</f>
        <v/>
      </c>
      <c r="M95" s="252">
        <f>SUMIFS('Full month Pivot'!F:F, 'Full month Pivot'!$A:$A, "Tiệm Vàng Online", 'Full month Pivot'!$C:$C, $B$92:$B$96)</f>
        <v/>
      </c>
      <c r="N95" s="252">
        <f>SUMIFS('Full month Pivot'!G:G, 'Full month Pivot'!$A:$A, "Tiệm Vàng Online", 'Full month Pivot'!$C:$C, $B$92:$B$96)</f>
        <v/>
      </c>
      <c r="O95" s="252">
        <f>SUMIFS('Full month Pivot'!H:H, 'Full month Pivot'!$A:$A, "Tiệm Vàng Online", 'Full month Pivot'!$C:$C, $B$92:$B$96)</f>
        <v/>
      </c>
      <c r="P95" s="252">
        <f>SUMIFS('Full month Pivot'!I:I, 'Full month Pivot'!$A:$A, "Tiệm Vàng Online", 'Full month Pivot'!$C:$C, $B$92:$B$96)</f>
        <v/>
      </c>
      <c r="Q95" s="252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257" t="inlineStr"/>
      <c r="B96" s="257" t="inlineStr">
        <is>
          <t>Paid</t>
        </is>
      </c>
      <c r="C96" s="252">
        <f>SUMIFS('MTD Pivot'!D:D, 'MTD Pivot'!$A:$A, "Tiệm Vàng Online", 'MTD Pivot'!$C:$C, $B$92:$B$96)</f>
        <v/>
      </c>
      <c r="D96" s="252">
        <f>SUMIFS('MTD Pivot'!E:E, 'MTD Pivot'!$A:$A, "Tiệm Vàng Online", 'MTD Pivot'!$C:$C, $B$92:$B$96)</f>
        <v/>
      </c>
      <c r="E96" s="252">
        <f>SUMIFS('MTD Pivot'!F:F, 'MTD Pivot'!$A:$A, "Tiệm Vàng Online", 'MTD Pivot'!$C:$C, $B$92:$B$96)</f>
        <v/>
      </c>
      <c r="F96" s="252">
        <f>SUMIFS('MTD Pivot'!G:G, 'MTD Pivot'!$A:$A, "Tiệm Vàng Online", 'MTD Pivot'!$C:$C, $B$92:$B$96)</f>
        <v/>
      </c>
      <c r="G96" s="252">
        <f>SUMIFS('MTD Pivot'!H:H, 'MTD Pivot'!$A:$A, "Tiệm Vàng Online", 'MTD Pivot'!$C:$C, $B$92:$B$96)</f>
        <v/>
      </c>
      <c r="H96" s="252">
        <f>SUMIFS('MTD Pivot'!I:I, 'MTD Pivot'!$A:$A, "Tiệm Vàng Online", 'MTD Pivot'!$C:$C, $B$92:$B$96)</f>
        <v/>
      </c>
      <c r="I96" s="252">
        <f>H96-G96</f>
        <v/>
      </c>
      <c r="J96" s="257" t="inlineStr"/>
      <c r="K96" s="252">
        <f>SUMIFS('Full month Pivot'!D:D, 'Full month Pivot'!$A:$A, "Tiệm Vàng Online", 'Full month Pivot'!$C:$C, $B$92:$B$96)</f>
        <v/>
      </c>
      <c r="L96" s="252">
        <f>SUMIFS('Full month Pivot'!E:E, 'Full month Pivot'!$A:$A, "Tiệm Vàng Online", 'Full month Pivot'!$C:$C, $B$92:$B$96)</f>
        <v/>
      </c>
      <c r="M96" s="252">
        <f>SUMIFS('Full month Pivot'!F:F, 'Full month Pivot'!$A:$A, "Tiệm Vàng Online", 'Full month Pivot'!$C:$C, $B$92:$B$96)</f>
        <v/>
      </c>
      <c r="N96" s="252">
        <f>SUMIFS('Full month Pivot'!G:G, 'Full month Pivot'!$A:$A, "Tiệm Vàng Online", 'Full month Pivot'!$C:$C, $B$92:$B$96)</f>
        <v/>
      </c>
      <c r="O96" s="252">
        <f>SUMIFS('Full month Pivot'!H:H, 'Full month Pivot'!$A:$A, "Tiệm Vàng Online", 'Full month Pivot'!$C:$C, $B$92:$B$96)</f>
        <v/>
      </c>
      <c r="P96" s="252">
        <f>SUMIFS('Full month Pivot'!I:I, 'Full month Pivot'!$A:$A, "Tiệm Vàng Online", 'Full month Pivot'!$C:$C, $B$92:$B$96)</f>
        <v/>
      </c>
      <c r="Q96" s="252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256" t="inlineStr">
        <is>
          <t>Tỷ Giá (FX Rates)</t>
        </is>
      </c>
      <c r="B98" s="257" t="inlineStr"/>
      <c r="C98" s="251">
        <f>sum(C99:C103)</f>
        <v/>
      </c>
      <c r="D98" s="251">
        <f>sum(D99:D103)</f>
        <v/>
      </c>
      <c r="E98" s="251">
        <f>sum(E99:E103)</f>
        <v/>
      </c>
      <c r="F98" s="251">
        <f>sum(F99:F103)</f>
        <v/>
      </c>
      <c r="G98" s="251">
        <f>sum(G99:G103)</f>
        <v/>
      </c>
      <c r="H98" s="251">
        <f>sum(H99:H103)</f>
        <v/>
      </c>
      <c r="I98" s="251">
        <f>H98-G98</f>
        <v/>
      </c>
      <c r="J98" s="257" t="inlineStr"/>
      <c r="K98" s="251">
        <f>sum(K99:K103)</f>
        <v/>
      </c>
      <c r="L98" s="251">
        <f>sum(L99:L103)</f>
        <v/>
      </c>
      <c r="M98" s="251">
        <f>sum(M99:M103)</f>
        <v/>
      </c>
      <c r="N98" s="251">
        <f>sum(N99:N103)</f>
        <v/>
      </c>
      <c r="O98" s="251">
        <f>sum(O99:O103)</f>
        <v/>
      </c>
      <c r="P98" s="251">
        <f>sum(P99:P103)</f>
        <v/>
      </c>
      <c r="Q98" s="251">
        <f>P98-O98</f>
        <v/>
      </c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257" t="inlineStr"/>
      <c r="B99" s="257" t="inlineStr">
        <is>
          <t>Organic</t>
        </is>
      </c>
      <c r="C99" s="252" t="n">
        <v>0</v>
      </c>
      <c r="D99" s="252" t="n">
        <v>0</v>
      </c>
      <c r="E99" s="252" t="n">
        <v>0</v>
      </c>
      <c r="F99" s="252" t="n">
        <v>0</v>
      </c>
      <c r="G99" s="252" t="n">
        <v>85</v>
      </c>
      <c r="H99" s="252" t="n">
        <v>862</v>
      </c>
      <c r="I99" s="252">
        <f>H99-G99</f>
        <v/>
      </c>
      <c r="J99" s="257" t="inlineStr"/>
      <c r="K99" s="252" t="n">
        <v>0</v>
      </c>
      <c r="L99" s="252" t="n">
        <v>0</v>
      </c>
      <c r="M99" s="252" t="n">
        <v>0</v>
      </c>
      <c r="N99" s="252" t="n">
        <v>0</v>
      </c>
      <c r="O99" s="252" t="n">
        <v>82</v>
      </c>
      <c r="P99" s="252" t="n">
        <v>856</v>
      </c>
      <c r="Q99" s="252">
        <f>P99-O99</f>
        <v/>
      </c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257" t="inlineStr"/>
      <c r="B100" s="257" t="inlineStr">
        <is>
          <t>Direct</t>
        </is>
      </c>
      <c r="C100" s="252" t="n">
        <v>0</v>
      </c>
      <c r="D100" s="252" t="n">
        <v>0</v>
      </c>
      <c r="E100" s="252" t="n">
        <v>0</v>
      </c>
      <c r="F100" s="252" t="n">
        <v>0</v>
      </c>
      <c r="G100" s="252" t="n">
        <v>4</v>
      </c>
      <c r="H100" s="252" t="n">
        <v>39</v>
      </c>
      <c r="I100" s="252">
        <f>H100-G100</f>
        <v/>
      </c>
      <c r="J100" s="257" t="inlineStr"/>
      <c r="K100" s="252" t="n">
        <v>0</v>
      </c>
      <c r="L100" s="252" t="n">
        <v>0</v>
      </c>
      <c r="M100" s="252" t="n">
        <v>0</v>
      </c>
      <c r="N100" s="252" t="n">
        <v>0</v>
      </c>
      <c r="O100" s="252" t="n">
        <v>4</v>
      </c>
      <c r="P100" s="252" t="n">
        <v>39</v>
      </c>
      <c r="Q100" s="252">
        <f>P100-O100</f>
        <v/>
      </c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257" t="inlineStr"/>
      <c r="B101" s="257" t="inlineStr">
        <is>
          <t>Paid</t>
        </is>
      </c>
      <c r="C101" s="252" t="n">
        <v>0</v>
      </c>
      <c r="D101" s="252" t="n">
        <v>0</v>
      </c>
      <c r="E101" s="252" t="n">
        <v>0</v>
      </c>
      <c r="F101" s="252" t="n">
        <v>0</v>
      </c>
      <c r="G101" s="252" t="n">
        <v>0</v>
      </c>
      <c r="H101" s="252" t="n">
        <v>13</v>
      </c>
      <c r="I101" s="252">
        <f>H101-G101</f>
        <v/>
      </c>
      <c r="J101" s="257" t="inlineStr"/>
      <c r="K101" s="252" t="n">
        <v>0</v>
      </c>
      <c r="L101" s="252" t="n">
        <v>0</v>
      </c>
      <c r="M101" s="252" t="n">
        <v>0</v>
      </c>
      <c r="N101" s="252" t="n">
        <v>0</v>
      </c>
      <c r="O101" s="252" t="n">
        <v>0</v>
      </c>
      <c r="P101" s="252" t="n">
        <v>13</v>
      </c>
      <c r="Q101" s="252">
        <f>P101-O101</f>
        <v/>
      </c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257" t="inlineStr"/>
      <c r="B102" s="257" t="inlineStr">
        <is>
          <t>Referral</t>
        </is>
      </c>
      <c r="C102" s="252" t="n">
        <v>0</v>
      </c>
      <c r="D102" s="252" t="n">
        <v>0</v>
      </c>
      <c r="E102" s="252" t="n">
        <v>0</v>
      </c>
      <c r="F102" s="252" t="n">
        <v>0</v>
      </c>
      <c r="G102" s="252" t="n">
        <v>0</v>
      </c>
      <c r="H102" s="252" t="n">
        <v>38</v>
      </c>
      <c r="I102" s="252">
        <f>H102-G102</f>
        <v/>
      </c>
      <c r="J102" s="257" t="inlineStr"/>
      <c r="K102" s="252" t="n">
        <v>0</v>
      </c>
      <c r="L102" s="252" t="n">
        <v>0</v>
      </c>
      <c r="M102" s="252" t="n">
        <v>0</v>
      </c>
      <c r="N102" s="252" t="n">
        <v>0</v>
      </c>
      <c r="O102" s="252" t="n">
        <v>3</v>
      </c>
      <c r="P102" s="252" t="n">
        <v>46</v>
      </c>
      <c r="Q102" s="252">
        <f>P102-O102</f>
        <v/>
      </c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257" t="inlineStr"/>
      <c r="B103" s="257" t="inlineStr">
        <is>
          <t>Others</t>
        </is>
      </c>
      <c r="C103" s="252" t="n">
        <v>0</v>
      </c>
      <c r="D103" s="252" t="n">
        <v>0</v>
      </c>
      <c r="E103" s="252" t="n">
        <v>0</v>
      </c>
      <c r="F103" s="252" t="n">
        <v>0</v>
      </c>
      <c r="G103" s="252" t="n">
        <v>12</v>
      </c>
      <c r="H103" s="252" t="n">
        <v>11</v>
      </c>
      <c r="I103" s="252">
        <f>H103-G103</f>
        <v/>
      </c>
      <c r="J103" s="257" t="inlineStr"/>
      <c r="K103" s="252" t="n">
        <v>0</v>
      </c>
      <c r="L103" s="252" t="n">
        <v>0</v>
      </c>
      <c r="M103" s="252" t="n">
        <v>0</v>
      </c>
      <c r="N103" s="252" t="n">
        <v>0</v>
      </c>
      <c r="O103" s="252" t="n">
        <v>12</v>
      </c>
      <c r="P103" s="252" t="n">
        <v>9</v>
      </c>
      <c r="Q103" s="252">
        <f>P103-O103</f>
        <v/>
      </c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249" t="n"/>
      <c r="C104" s="250" t="n"/>
      <c r="D104" s="250" t="n"/>
      <c r="E104" s="250" t="n"/>
      <c r="F104" s="250" t="n"/>
      <c r="G104" s="250" t="n"/>
      <c r="H104" s="250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256" t="inlineStr">
        <is>
          <t>Giá Vàng (Gold Price)</t>
        </is>
      </c>
      <c r="B105" s="257" t="inlineStr"/>
      <c r="C105" s="251">
        <f>sum(C106:C110)</f>
        <v/>
      </c>
      <c r="D105" s="251">
        <f>sum(D106:D110)</f>
        <v/>
      </c>
      <c r="E105" s="251">
        <f>sum(E106:E110)</f>
        <v/>
      </c>
      <c r="F105" s="251">
        <f>sum(F106:F110)</f>
        <v/>
      </c>
      <c r="G105" s="251">
        <f>sum(G106:G110)</f>
        <v/>
      </c>
      <c r="H105" s="251">
        <f>sum(H106:H110)</f>
        <v/>
      </c>
      <c r="I105" s="251">
        <f>H105-G105</f>
        <v/>
      </c>
      <c r="J105" s="257" t="inlineStr"/>
      <c r="K105" s="251">
        <f>sum(K106:K110)</f>
        <v/>
      </c>
      <c r="L105" s="251">
        <f>sum(L106:L110)</f>
        <v/>
      </c>
      <c r="M105" s="251">
        <f>sum(M106:M110)</f>
        <v/>
      </c>
      <c r="N105" s="251">
        <f>sum(N106:N110)</f>
        <v/>
      </c>
      <c r="O105" s="251">
        <f>sum(O106:O110)</f>
        <v/>
      </c>
      <c r="P105" s="251">
        <f>sum(P106:P110)</f>
        <v/>
      </c>
      <c r="Q105" s="251">
        <f>P105-O105</f>
        <v/>
      </c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257" t="inlineStr"/>
      <c r="B106" s="257" t="inlineStr">
        <is>
          <t>Organic</t>
        </is>
      </c>
      <c r="C106" s="252" t="n">
        <v>0</v>
      </c>
      <c r="D106" s="252" t="n">
        <v>0</v>
      </c>
      <c r="E106" s="252" t="n">
        <v>0</v>
      </c>
      <c r="F106" s="252" t="n">
        <v>0</v>
      </c>
      <c r="G106" s="252" t="n">
        <v>52</v>
      </c>
      <c r="H106" s="252" t="n">
        <v>282</v>
      </c>
      <c r="I106" s="252">
        <f>H106-G106</f>
        <v/>
      </c>
      <c r="J106" s="257" t="inlineStr"/>
      <c r="K106" s="252" t="n">
        <v>0</v>
      </c>
      <c r="L106" s="252" t="n">
        <v>0</v>
      </c>
      <c r="M106" s="252" t="n">
        <v>0</v>
      </c>
      <c r="N106" s="252" t="n">
        <v>0</v>
      </c>
      <c r="O106" s="252" t="n">
        <v>44</v>
      </c>
      <c r="P106" s="252" t="n">
        <v>277</v>
      </c>
      <c r="Q106" s="252">
        <f>P106-O106</f>
        <v/>
      </c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257" t="inlineStr"/>
      <c r="B107" s="257" t="inlineStr">
        <is>
          <t>Direct</t>
        </is>
      </c>
      <c r="C107" s="252" t="n">
        <v>0</v>
      </c>
      <c r="D107" s="252" t="n">
        <v>0</v>
      </c>
      <c r="E107" s="252" t="n">
        <v>0</v>
      </c>
      <c r="F107" s="252" t="n">
        <v>0</v>
      </c>
      <c r="G107" s="252" t="n">
        <v>7</v>
      </c>
      <c r="H107" s="252" t="n">
        <v>44</v>
      </c>
      <c r="I107" s="252">
        <f>H107-G107</f>
        <v/>
      </c>
      <c r="J107" s="257" t="inlineStr"/>
      <c r="K107" s="252" t="n">
        <v>0</v>
      </c>
      <c r="L107" s="252" t="n">
        <v>0</v>
      </c>
      <c r="M107" s="252" t="n">
        <v>0</v>
      </c>
      <c r="N107" s="252" t="n">
        <v>0</v>
      </c>
      <c r="O107" s="252" t="n">
        <v>7</v>
      </c>
      <c r="P107" s="252" t="n">
        <v>44</v>
      </c>
      <c r="Q107" s="252">
        <f>P107-O107</f>
        <v/>
      </c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257" t="inlineStr"/>
      <c r="B108" s="257" t="inlineStr">
        <is>
          <t>Paid</t>
        </is>
      </c>
      <c r="C108" s="252" t="n">
        <v>0</v>
      </c>
      <c r="D108" s="252" t="n">
        <v>0</v>
      </c>
      <c r="E108" s="252" t="n">
        <v>0</v>
      </c>
      <c r="F108" s="252" t="n">
        <v>0</v>
      </c>
      <c r="G108" s="252" t="n">
        <v>0</v>
      </c>
      <c r="H108" s="252" t="n">
        <v>22</v>
      </c>
      <c r="I108" s="252">
        <f>H108-G108</f>
        <v/>
      </c>
      <c r="J108" s="257" t="inlineStr"/>
      <c r="K108" s="252" t="n">
        <v>0</v>
      </c>
      <c r="L108" s="252" t="n">
        <v>0</v>
      </c>
      <c r="M108" s="252" t="n">
        <v>0</v>
      </c>
      <c r="N108" s="252" t="n">
        <v>0</v>
      </c>
      <c r="O108" s="252" t="n">
        <v>0</v>
      </c>
      <c r="P108" s="252" t="n">
        <v>22</v>
      </c>
      <c r="Q108" s="252">
        <f>P108-O108</f>
        <v/>
      </c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257" t="inlineStr"/>
      <c r="B109" s="257" t="inlineStr">
        <is>
          <t>Referral</t>
        </is>
      </c>
      <c r="C109" s="252" t="n">
        <v>0</v>
      </c>
      <c r="D109" s="252" t="n">
        <v>0</v>
      </c>
      <c r="E109" s="252" t="n">
        <v>0</v>
      </c>
      <c r="F109" s="252" t="n">
        <v>0</v>
      </c>
      <c r="G109" s="252" t="n">
        <v>0</v>
      </c>
      <c r="H109" s="252" t="n">
        <v>15</v>
      </c>
      <c r="I109" s="252">
        <f>H109-G109</f>
        <v/>
      </c>
      <c r="J109" s="257" t="inlineStr"/>
      <c r="K109" s="252" t="n">
        <v>0</v>
      </c>
      <c r="L109" s="252" t="n">
        <v>0</v>
      </c>
      <c r="M109" s="252" t="n">
        <v>0</v>
      </c>
      <c r="N109" s="252" t="n">
        <v>0</v>
      </c>
      <c r="O109" s="252" t="n">
        <v>8</v>
      </c>
      <c r="P109" s="252" t="n">
        <v>20</v>
      </c>
      <c r="Q109" s="252">
        <f>P109-O109</f>
        <v/>
      </c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257" t="inlineStr"/>
      <c r="B110" s="257" t="inlineStr">
        <is>
          <t>Others</t>
        </is>
      </c>
      <c r="C110" s="252" t="n">
        <v>0</v>
      </c>
      <c r="D110" s="252" t="n">
        <v>0</v>
      </c>
      <c r="E110" s="252" t="n">
        <v>0</v>
      </c>
      <c r="F110" s="252" t="n">
        <v>0</v>
      </c>
      <c r="G110" s="252" t="n">
        <v>0</v>
      </c>
      <c r="H110" s="252" t="n">
        <v>24</v>
      </c>
      <c r="I110" s="252">
        <f>H110-G110</f>
        <v/>
      </c>
      <c r="J110" s="257" t="inlineStr"/>
      <c r="K110" s="252" t="n">
        <v>0</v>
      </c>
      <c r="L110" s="252" t="n">
        <v>0</v>
      </c>
      <c r="M110" s="252" t="n">
        <v>0</v>
      </c>
      <c r="N110" s="252" t="n">
        <v>0</v>
      </c>
      <c r="O110" s="252" t="n">
        <v>0</v>
      </c>
      <c r="P110" s="252" t="n">
        <v>24</v>
      </c>
      <c r="Q110" s="252">
        <f>P110-O110</f>
        <v/>
      </c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249" t="n"/>
      <c r="C111" s="250" t="n"/>
      <c r="D111" s="250" t="n"/>
      <c r="E111" s="250" t="n"/>
      <c r="F111" s="250" t="n"/>
      <c r="G111" s="250" t="n"/>
      <c r="H111" s="250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256" t="inlineStr">
        <is>
          <t>Lãi Suất (Interest Rates)</t>
        </is>
      </c>
      <c r="B112" s="257" t="inlineStr"/>
      <c r="C112" s="251">
        <f>sum(C113:C117)</f>
        <v/>
      </c>
      <c r="D112" s="251">
        <f>sum(D113:D117)</f>
        <v/>
      </c>
      <c r="E112" s="251">
        <f>sum(E113:E117)</f>
        <v/>
      </c>
      <c r="F112" s="251">
        <f>sum(F113:F117)</f>
        <v/>
      </c>
      <c r="G112" s="251">
        <f>sum(G113:G117)</f>
        <v/>
      </c>
      <c r="H112" s="251">
        <f>sum(H113:H117)</f>
        <v/>
      </c>
      <c r="I112" s="251">
        <f>H112-G112</f>
        <v/>
      </c>
      <c r="J112" s="257" t="inlineStr"/>
      <c r="K112" s="251">
        <f>sum(K113:K117)</f>
        <v/>
      </c>
      <c r="L112" s="251">
        <f>sum(L113:L117)</f>
        <v/>
      </c>
      <c r="M112" s="251">
        <f>sum(M113:M117)</f>
        <v/>
      </c>
      <c r="N112" s="251">
        <f>sum(N113:N117)</f>
        <v/>
      </c>
      <c r="O112" s="251">
        <f>sum(O113:O117)</f>
        <v/>
      </c>
      <c r="P112" s="251">
        <f>sum(P113:P117)</f>
        <v/>
      </c>
      <c r="Q112" s="251">
        <f>P112-O112</f>
        <v/>
      </c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257" t="inlineStr"/>
      <c r="B113" s="257" t="inlineStr">
        <is>
          <t>Organic</t>
        </is>
      </c>
      <c r="C113" s="252" t="n">
        <v>0</v>
      </c>
      <c r="D113" s="252" t="n">
        <v>0</v>
      </c>
      <c r="E113" s="252" t="n">
        <v>0</v>
      </c>
      <c r="F113" s="252" t="n">
        <v>0</v>
      </c>
      <c r="G113" s="252" t="n">
        <v>59</v>
      </c>
      <c r="H113" s="252" t="n">
        <v>609</v>
      </c>
      <c r="I113" s="252">
        <f>H113-G113</f>
        <v/>
      </c>
      <c r="J113" s="257" t="inlineStr"/>
      <c r="K113" s="252" t="n">
        <v>0</v>
      </c>
      <c r="L113" s="252" t="n">
        <v>0</v>
      </c>
      <c r="M113" s="252" t="n">
        <v>0</v>
      </c>
      <c r="N113" s="252" t="n">
        <v>0</v>
      </c>
      <c r="O113" s="252" t="n">
        <v>59</v>
      </c>
      <c r="P113" s="252" t="n">
        <v>605</v>
      </c>
      <c r="Q113" s="252">
        <f>P113-O113</f>
        <v/>
      </c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257" t="inlineStr"/>
      <c r="B114" s="257" t="inlineStr">
        <is>
          <t>Direct</t>
        </is>
      </c>
      <c r="C114" s="252" t="n">
        <v>0</v>
      </c>
      <c r="D114" s="252" t="n">
        <v>0</v>
      </c>
      <c r="E114" s="252" t="n">
        <v>0</v>
      </c>
      <c r="F114" s="252" t="n">
        <v>0</v>
      </c>
      <c r="G114" s="252" t="n">
        <v>4</v>
      </c>
      <c r="H114" s="252" t="n">
        <v>115</v>
      </c>
      <c r="I114" s="252">
        <f>H114-G114</f>
        <v/>
      </c>
      <c r="J114" s="257" t="inlineStr"/>
      <c r="K114" s="252" t="n">
        <v>0</v>
      </c>
      <c r="L114" s="252" t="n">
        <v>0</v>
      </c>
      <c r="M114" s="252" t="n">
        <v>0</v>
      </c>
      <c r="N114" s="252" t="n">
        <v>0</v>
      </c>
      <c r="O114" s="252" t="n">
        <v>4</v>
      </c>
      <c r="P114" s="252" t="n">
        <v>115</v>
      </c>
      <c r="Q114" s="252">
        <f>P114-O114</f>
        <v/>
      </c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257" t="inlineStr"/>
      <c r="B115" s="257" t="inlineStr">
        <is>
          <t>Paid</t>
        </is>
      </c>
      <c r="C115" s="252" t="n">
        <v>0</v>
      </c>
      <c r="D115" s="252" t="n">
        <v>0</v>
      </c>
      <c r="E115" s="252" t="n">
        <v>0</v>
      </c>
      <c r="F115" s="252" t="n">
        <v>0</v>
      </c>
      <c r="G115" s="252" t="n">
        <v>0</v>
      </c>
      <c r="H115" s="252" t="n">
        <v>3</v>
      </c>
      <c r="I115" s="252">
        <f>H115-G115</f>
        <v/>
      </c>
      <c r="J115" s="257" t="inlineStr"/>
      <c r="K115" s="252" t="n">
        <v>0</v>
      </c>
      <c r="L115" s="252" t="n">
        <v>0</v>
      </c>
      <c r="M115" s="252" t="n">
        <v>0</v>
      </c>
      <c r="N115" s="252" t="n">
        <v>0</v>
      </c>
      <c r="O115" s="252" t="n">
        <v>0</v>
      </c>
      <c r="P115" s="252" t="n">
        <v>3</v>
      </c>
      <c r="Q115" s="252">
        <f>P115-O115</f>
        <v/>
      </c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257" t="inlineStr"/>
      <c r="B116" s="257" t="inlineStr">
        <is>
          <t>Referral</t>
        </is>
      </c>
      <c r="C116" s="252" t="n">
        <v>0</v>
      </c>
      <c r="D116" s="252" t="n">
        <v>0</v>
      </c>
      <c r="E116" s="252" t="n">
        <v>0</v>
      </c>
      <c r="F116" s="252" t="n">
        <v>0</v>
      </c>
      <c r="G116" s="252" t="n">
        <v>13</v>
      </c>
      <c r="H116" s="252" t="n">
        <v>23</v>
      </c>
      <c r="I116" s="252">
        <f>H116-G116</f>
        <v/>
      </c>
      <c r="J116" s="257" t="inlineStr"/>
      <c r="K116" s="252" t="n">
        <v>0</v>
      </c>
      <c r="L116" s="252" t="n">
        <v>0</v>
      </c>
      <c r="M116" s="252" t="n">
        <v>0</v>
      </c>
      <c r="N116" s="252" t="n">
        <v>0</v>
      </c>
      <c r="O116" s="252" t="n">
        <v>13</v>
      </c>
      <c r="P116" s="252" t="n">
        <v>29</v>
      </c>
      <c r="Q116" s="252">
        <f>P116-O116</f>
        <v/>
      </c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257" t="inlineStr"/>
      <c r="B117" s="257" t="inlineStr">
        <is>
          <t>Others</t>
        </is>
      </c>
      <c r="C117" s="252" t="n">
        <v>0</v>
      </c>
      <c r="D117" s="252" t="n">
        <v>0</v>
      </c>
      <c r="E117" s="252" t="n">
        <v>0</v>
      </c>
      <c r="F117" s="252" t="n">
        <v>0</v>
      </c>
      <c r="G117" s="252" t="n">
        <v>1</v>
      </c>
      <c r="H117" s="252" t="n">
        <v>59</v>
      </c>
      <c r="I117" s="252">
        <f>H117-G117</f>
        <v/>
      </c>
      <c r="J117" s="257" t="inlineStr"/>
      <c r="K117" s="252" t="n">
        <v>0</v>
      </c>
      <c r="L117" s="252" t="n">
        <v>0</v>
      </c>
      <c r="M117" s="252" t="n">
        <v>0</v>
      </c>
      <c r="N117" s="252" t="n">
        <v>0</v>
      </c>
      <c r="O117" s="252" t="n">
        <v>1</v>
      </c>
      <c r="P117" s="252" t="n">
        <v>57</v>
      </c>
      <c r="Q117" s="252">
        <f>P117-O117</f>
        <v/>
      </c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249" t="n"/>
      <c r="C118" s="250" t="n"/>
      <c r="D118" s="250" t="n"/>
      <c r="E118" s="250" t="n"/>
      <c r="F118" s="250" t="n"/>
      <c r="G118" s="250" t="n"/>
      <c r="H118" s="250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256" t="inlineStr">
        <is>
          <t>Nhận Tiền Quốc Tế</t>
        </is>
      </c>
      <c r="B119" s="257" t="inlineStr"/>
      <c r="C119" s="251">
        <f>sum(C120:C124)</f>
        <v/>
      </c>
      <c r="D119" s="251">
        <f>sum(D120:D124)</f>
        <v/>
      </c>
      <c r="E119" s="251">
        <f>sum(E120:E124)</f>
        <v/>
      </c>
      <c r="F119" s="251">
        <f>sum(F120:F124)</f>
        <v/>
      </c>
      <c r="G119" s="251">
        <f>sum(G120:G124)</f>
        <v/>
      </c>
      <c r="H119" s="251">
        <f>sum(H120:H124)</f>
        <v/>
      </c>
      <c r="I119" s="251">
        <f>H119-G119</f>
        <v/>
      </c>
      <c r="J119" s="257" t="inlineStr"/>
      <c r="K119" s="251">
        <f>sum(K120:K124)</f>
        <v/>
      </c>
      <c r="L119" s="251">
        <f>sum(L120:L124)</f>
        <v/>
      </c>
      <c r="M119" s="251">
        <f>sum(M120:M124)</f>
        <v/>
      </c>
      <c r="N119" s="251">
        <f>sum(N120:N124)</f>
        <v/>
      </c>
      <c r="O119" s="251">
        <f>sum(O120:O124)</f>
        <v/>
      </c>
      <c r="P119" s="251">
        <f>sum(P120:P124)</f>
        <v/>
      </c>
      <c r="Q119" s="251">
        <f>P119-O119</f>
        <v/>
      </c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257" t="inlineStr"/>
      <c r="B120" s="257" t="inlineStr">
        <is>
          <t>Organic</t>
        </is>
      </c>
      <c r="C120" s="252" t="n">
        <v>1089</v>
      </c>
      <c r="D120" s="252" t="n">
        <v>828</v>
      </c>
      <c r="E120" s="252" t="n">
        <v>829</v>
      </c>
      <c r="F120" s="252" t="n">
        <v>802</v>
      </c>
      <c r="G120" s="252" t="n">
        <v>694</v>
      </c>
      <c r="H120" s="252" t="n">
        <v>620</v>
      </c>
      <c r="I120" s="252">
        <f>H120-G120</f>
        <v/>
      </c>
      <c r="J120" s="257" t="inlineStr"/>
      <c r="K120" s="252" t="n">
        <v>1073</v>
      </c>
      <c r="L120" s="252" t="n">
        <v>821</v>
      </c>
      <c r="M120" s="252" t="n">
        <v>818</v>
      </c>
      <c r="N120" s="252" t="n">
        <v>790</v>
      </c>
      <c r="O120" s="252" t="n">
        <v>689</v>
      </c>
      <c r="P120" s="252" t="n">
        <v>612</v>
      </c>
      <c r="Q120" s="252">
        <f>P120-O120</f>
        <v/>
      </c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257" t="inlineStr"/>
      <c r="B121" s="257" t="inlineStr">
        <is>
          <t>Direct</t>
        </is>
      </c>
      <c r="C121" s="252" t="n">
        <v>71</v>
      </c>
      <c r="D121" s="252" t="n">
        <v>53</v>
      </c>
      <c r="E121" s="252" t="n">
        <v>68</v>
      </c>
      <c r="F121" s="252" t="n">
        <v>72</v>
      </c>
      <c r="G121" s="252" t="n">
        <v>45</v>
      </c>
      <c r="H121" s="252" t="n">
        <v>76</v>
      </c>
      <c r="I121" s="252">
        <f>H121-G121</f>
        <v/>
      </c>
      <c r="J121" s="257" t="inlineStr"/>
      <c r="K121" s="252" t="n">
        <v>71</v>
      </c>
      <c r="L121" s="252" t="n">
        <v>53</v>
      </c>
      <c r="M121" s="252" t="n">
        <v>68</v>
      </c>
      <c r="N121" s="252" t="n">
        <v>72</v>
      </c>
      <c r="O121" s="252" t="n">
        <v>45</v>
      </c>
      <c r="P121" s="252" t="n">
        <v>76</v>
      </c>
      <c r="Q121" s="252">
        <f>P121-O121</f>
        <v/>
      </c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257" t="inlineStr"/>
      <c r="B122" s="257" t="inlineStr">
        <is>
          <t>Paid</t>
        </is>
      </c>
      <c r="C122" s="252" t="n">
        <v>6</v>
      </c>
      <c r="D122" s="252" t="n">
        <v>1</v>
      </c>
      <c r="E122" s="252" t="n">
        <v>15</v>
      </c>
      <c r="F122" s="252" t="n">
        <v>60</v>
      </c>
      <c r="G122" s="252" t="n">
        <v>75</v>
      </c>
      <c r="H122" s="252" t="n">
        <v>37</v>
      </c>
      <c r="I122" s="252">
        <f>H122-G122</f>
        <v/>
      </c>
      <c r="J122" s="257" t="inlineStr"/>
      <c r="K122" s="252" t="n">
        <v>6</v>
      </c>
      <c r="L122" s="252" t="n">
        <v>1</v>
      </c>
      <c r="M122" s="252" t="n">
        <v>15</v>
      </c>
      <c r="N122" s="252" t="n">
        <v>60</v>
      </c>
      <c r="O122" s="252" t="n">
        <v>75</v>
      </c>
      <c r="P122" s="252" t="n">
        <v>37</v>
      </c>
      <c r="Q122" s="252">
        <f>P122-O122</f>
        <v/>
      </c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257" t="inlineStr"/>
      <c r="B123" s="257" t="inlineStr">
        <is>
          <t>Referral</t>
        </is>
      </c>
      <c r="C123" s="252" t="n">
        <v>54</v>
      </c>
      <c r="D123" s="252" t="n">
        <v>48</v>
      </c>
      <c r="E123" s="252" t="n">
        <v>27</v>
      </c>
      <c r="F123" s="252" t="n">
        <v>36</v>
      </c>
      <c r="G123" s="252" t="n">
        <v>20</v>
      </c>
      <c r="H123" s="252" t="n">
        <v>31</v>
      </c>
      <c r="I123" s="252">
        <f>H123-G123</f>
        <v/>
      </c>
      <c r="J123" s="257" t="inlineStr"/>
      <c r="K123" s="252" t="n">
        <v>63</v>
      </c>
      <c r="L123" s="252" t="n">
        <v>49</v>
      </c>
      <c r="M123" s="252" t="n">
        <v>29</v>
      </c>
      <c r="N123" s="252" t="n">
        <v>37</v>
      </c>
      <c r="O123" s="252" t="n">
        <v>24</v>
      </c>
      <c r="P123" s="252" t="n">
        <v>35</v>
      </c>
      <c r="Q123" s="252">
        <f>P123-O123</f>
        <v/>
      </c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257" t="inlineStr"/>
      <c r="B124" s="257" t="inlineStr">
        <is>
          <t>Others</t>
        </is>
      </c>
      <c r="C124" s="252" t="n">
        <v>15</v>
      </c>
      <c r="D124" s="252" t="n">
        <v>18</v>
      </c>
      <c r="E124" s="252" t="n">
        <v>19</v>
      </c>
      <c r="F124" s="252" t="n">
        <v>24</v>
      </c>
      <c r="G124" s="252" t="n">
        <v>38</v>
      </c>
      <c r="H124" s="252" t="n">
        <v>54</v>
      </c>
      <c r="I124" s="252">
        <f>H124-G124</f>
        <v/>
      </c>
      <c r="J124" s="257" t="inlineStr"/>
      <c r="K124" s="252" t="n">
        <v>22</v>
      </c>
      <c r="L124" s="252" t="n">
        <v>24</v>
      </c>
      <c r="M124" s="252" t="n">
        <v>28</v>
      </c>
      <c r="N124" s="252" t="n">
        <v>35</v>
      </c>
      <c r="O124" s="252" t="n">
        <v>39</v>
      </c>
      <c r="P124" s="252" t="n">
        <v>58</v>
      </c>
      <c r="Q124" s="252">
        <f>P124-O124</f>
        <v/>
      </c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249" t="n"/>
      <c r="C125" s="252" t="n"/>
      <c r="D125" s="252" t="n"/>
      <c r="E125" s="252" t="n"/>
      <c r="F125" s="252" t="n"/>
      <c r="G125" s="252" t="n"/>
      <c r="H125" s="252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256" t="inlineStr">
        <is>
          <t>Quỹ Nhóm</t>
        </is>
      </c>
      <c r="B126" s="257" t="inlineStr"/>
      <c r="C126" s="251">
        <f>sum(C127:C131)</f>
        <v/>
      </c>
      <c r="D126" s="251">
        <f>sum(D127:D131)</f>
        <v/>
      </c>
      <c r="E126" s="251">
        <f>sum(E127:E131)</f>
        <v/>
      </c>
      <c r="F126" s="251">
        <f>sum(F127:F131)</f>
        <v/>
      </c>
      <c r="G126" s="251">
        <f>sum(G127:G131)</f>
        <v/>
      </c>
      <c r="H126" s="251">
        <f>sum(H127:H131)</f>
        <v/>
      </c>
      <c r="I126" s="251">
        <f>H126-G126</f>
        <v/>
      </c>
      <c r="J126" s="257" t="inlineStr"/>
      <c r="K126" s="251">
        <f>sum(K127:K131)</f>
        <v/>
      </c>
      <c r="L126" s="251">
        <f>sum(L127:L131)</f>
        <v/>
      </c>
      <c r="M126" s="251">
        <f>sum(M127:M131)</f>
        <v/>
      </c>
      <c r="N126" s="251">
        <f>sum(N127:N131)</f>
        <v/>
      </c>
      <c r="O126" s="251">
        <f>sum(O127:O131)</f>
        <v/>
      </c>
      <c r="P126" s="251">
        <f>sum(P127:P131)</f>
        <v/>
      </c>
      <c r="Q126" s="251">
        <f>P126-O126</f>
        <v/>
      </c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257" t="inlineStr"/>
      <c r="B127" s="257" t="inlineStr">
        <is>
          <t>Organic</t>
        </is>
      </c>
      <c r="C127" s="252" t="n">
        <v>1495</v>
      </c>
      <c r="D127" s="252" t="n">
        <v>1558</v>
      </c>
      <c r="E127" s="252" t="n">
        <v>1825</v>
      </c>
      <c r="F127" s="252" t="n">
        <v>1841</v>
      </c>
      <c r="G127" s="252" t="n">
        <v>1642</v>
      </c>
      <c r="H127" s="252" t="n">
        <v>1307</v>
      </c>
      <c r="I127" s="252">
        <f>H127-G127</f>
        <v/>
      </c>
      <c r="J127" s="257" t="inlineStr"/>
      <c r="K127" s="252" t="n">
        <v>1418</v>
      </c>
      <c r="L127" s="252" t="n">
        <v>1529</v>
      </c>
      <c r="M127" s="252" t="n">
        <v>1764</v>
      </c>
      <c r="N127" s="252" t="n">
        <v>1675</v>
      </c>
      <c r="O127" s="252" t="n">
        <v>1596</v>
      </c>
      <c r="P127" s="252" t="n">
        <v>1264</v>
      </c>
      <c r="Q127" s="252">
        <f>P127-O127</f>
        <v/>
      </c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257" t="inlineStr"/>
      <c r="B128" s="257" t="inlineStr">
        <is>
          <t>Direct</t>
        </is>
      </c>
      <c r="C128" s="252" t="n">
        <v>276</v>
      </c>
      <c r="D128" s="252" t="n">
        <v>115</v>
      </c>
      <c r="E128" s="252" t="n">
        <v>123</v>
      </c>
      <c r="F128" s="252" t="n">
        <v>380</v>
      </c>
      <c r="G128" s="252" t="n">
        <v>234</v>
      </c>
      <c r="H128" s="252" t="n">
        <v>122</v>
      </c>
      <c r="I128" s="252">
        <f>H128-G128</f>
        <v/>
      </c>
      <c r="J128" s="257" t="inlineStr"/>
      <c r="K128" s="252" t="n">
        <v>276</v>
      </c>
      <c r="L128" s="252" t="n">
        <v>115</v>
      </c>
      <c r="M128" s="252" t="n">
        <v>123</v>
      </c>
      <c r="N128" s="252" t="n">
        <v>380</v>
      </c>
      <c r="O128" s="252" t="n">
        <v>234</v>
      </c>
      <c r="P128" s="252" t="n">
        <v>122</v>
      </c>
      <c r="Q128" s="252">
        <f>P128-O128</f>
        <v/>
      </c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257" t="inlineStr"/>
      <c r="B129" s="257" t="inlineStr">
        <is>
          <t>Paid</t>
        </is>
      </c>
      <c r="C129" s="252" t="n">
        <v>4</v>
      </c>
      <c r="D129" s="252" t="n">
        <v>4</v>
      </c>
      <c r="E129" s="252" t="n">
        <v>663</v>
      </c>
      <c r="F129" s="252" t="n">
        <v>5451</v>
      </c>
      <c r="G129" s="252" t="n">
        <v>3529</v>
      </c>
      <c r="H129" s="252" t="n">
        <v>30</v>
      </c>
      <c r="I129" s="252">
        <f>H129-G129</f>
        <v/>
      </c>
      <c r="J129" s="257" t="inlineStr"/>
      <c r="K129" s="252" t="n">
        <v>5</v>
      </c>
      <c r="L129" s="252" t="n">
        <v>6</v>
      </c>
      <c r="M129" s="252" t="n">
        <v>665</v>
      </c>
      <c r="N129" s="252" t="n">
        <v>5453</v>
      </c>
      <c r="O129" s="252" t="n">
        <v>3529</v>
      </c>
      <c r="P129" s="252" t="n">
        <v>30</v>
      </c>
      <c r="Q129" s="252">
        <f>P129-O129</f>
        <v/>
      </c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257" t="inlineStr"/>
      <c r="B130" s="257" t="inlineStr">
        <is>
          <t>Referral</t>
        </is>
      </c>
      <c r="C130" s="252" t="n">
        <v>45</v>
      </c>
      <c r="D130" s="252" t="n">
        <v>37</v>
      </c>
      <c r="E130" s="252" t="n">
        <v>41</v>
      </c>
      <c r="F130" s="252" t="n">
        <v>79</v>
      </c>
      <c r="G130" s="252" t="n">
        <v>52</v>
      </c>
      <c r="H130" s="252" t="n">
        <v>66</v>
      </c>
      <c r="I130" s="252">
        <f>H130-G130</f>
        <v/>
      </c>
      <c r="J130" s="257" t="inlineStr"/>
      <c r="K130" s="252" t="n">
        <v>113</v>
      </c>
      <c r="L130" s="252" t="n">
        <v>52</v>
      </c>
      <c r="M130" s="252" t="n">
        <v>85</v>
      </c>
      <c r="N130" s="252" t="n">
        <v>224</v>
      </c>
      <c r="O130" s="252" t="n">
        <v>79</v>
      </c>
      <c r="P130" s="252" t="n">
        <v>101</v>
      </c>
      <c r="Q130" s="252">
        <f>P130-O130</f>
        <v/>
      </c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257" t="inlineStr"/>
      <c r="B131" s="257" t="inlineStr">
        <is>
          <t>Others</t>
        </is>
      </c>
      <c r="C131" s="252" t="n">
        <v>25</v>
      </c>
      <c r="D131" s="252" t="n">
        <v>23</v>
      </c>
      <c r="E131" s="252" t="n">
        <v>128</v>
      </c>
      <c r="F131" s="252" t="n">
        <v>837</v>
      </c>
      <c r="G131" s="252" t="n">
        <v>408</v>
      </c>
      <c r="H131" s="252" t="n">
        <v>183</v>
      </c>
      <c r="I131" s="252">
        <f>H131-G131</f>
        <v/>
      </c>
      <c r="J131" s="257" t="inlineStr"/>
      <c r="K131" s="252" t="n">
        <v>33</v>
      </c>
      <c r="L131" s="252" t="n">
        <v>35</v>
      </c>
      <c r="M131" s="252" t="n">
        <v>143</v>
      </c>
      <c r="N131" s="252" t="n">
        <v>856</v>
      </c>
      <c r="O131" s="252" t="n">
        <v>427</v>
      </c>
      <c r="P131" s="252" t="n">
        <v>191</v>
      </c>
      <c r="Q131" s="252">
        <f>P131-O131</f>
        <v/>
      </c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249" t="n"/>
      <c r="C132" s="252" t="n"/>
      <c r="D132" s="252" t="n"/>
      <c r="E132" s="252" t="n"/>
      <c r="F132" s="252" t="n"/>
      <c r="G132" s="252" t="n"/>
      <c r="H132" s="252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256" t="inlineStr">
        <is>
          <t>Quản Lý Chi Tiêu</t>
        </is>
      </c>
      <c r="B133" s="257" t="inlineStr"/>
      <c r="C133" s="251">
        <f>sum(C134:C138)</f>
        <v/>
      </c>
      <c r="D133" s="251">
        <f>sum(D134:D138)</f>
        <v/>
      </c>
      <c r="E133" s="251">
        <f>sum(E134:E138)</f>
        <v/>
      </c>
      <c r="F133" s="251">
        <f>sum(F134:F138)</f>
        <v/>
      </c>
      <c r="G133" s="251">
        <f>sum(G134:G138)</f>
        <v/>
      </c>
      <c r="H133" s="251">
        <f>sum(H134:H138)</f>
        <v/>
      </c>
      <c r="I133" s="251">
        <f>H133-G133</f>
        <v/>
      </c>
      <c r="J133" s="257" t="inlineStr"/>
      <c r="K133" s="251">
        <f>sum(K134:K138)</f>
        <v/>
      </c>
      <c r="L133" s="251">
        <f>sum(L134:L138)</f>
        <v/>
      </c>
      <c r="M133" s="251">
        <f>sum(M134:M138)</f>
        <v/>
      </c>
      <c r="N133" s="251">
        <f>sum(N134:N138)</f>
        <v/>
      </c>
      <c r="O133" s="251">
        <f>sum(O134:O138)</f>
        <v/>
      </c>
      <c r="P133" s="251">
        <f>sum(P134:P138)</f>
        <v/>
      </c>
      <c r="Q133" s="251">
        <f>P133-O133</f>
        <v/>
      </c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257" t="inlineStr"/>
      <c r="B134" s="257" t="inlineStr">
        <is>
          <t>Organic</t>
        </is>
      </c>
      <c r="C134" s="252" t="n">
        <v>865</v>
      </c>
      <c r="D134" s="252" t="n">
        <v>899</v>
      </c>
      <c r="E134" s="252" t="n">
        <v>750</v>
      </c>
      <c r="F134" s="252" t="n">
        <v>710</v>
      </c>
      <c r="G134" s="252" t="n">
        <v>706</v>
      </c>
      <c r="H134" s="252" t="n">
        <v>589</v>
      </c>
      <c r="I134" s="252">
        <f>H134-G134</f>
        <v/>
      </c>
      <c r="J134" s="257" t="inlineStr"/>
      <c r="K134" s="252" t="n">
        <v>840</v>
      </c>
      <c r="L134" s="252" t="n">
        <v>874</v>
      </c>
      <c r="M134" s="252" t="n">
        <v>724</v>
      </c>
      <c r="N134" s="252" t="n">
        <v>696</v>
      </c>
      <c r="O134" s="252" t="n">
        <v>699</v>
      </c>
      <c r="P134" s="252" t="n">
        <v>586</v>
      </c>
      <c r="Q134" s="252">
        <f>P134-O134</f>
        <v/>
      </c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257" t="inlineStr"/>
      <c r="B135" s="257" t="inlineStr">
        <is>
          <t>Direct</t>
        </is>
      </c>
      <c r="C135" s="252" t="n">
        <v>105</v>
      </c>
      <c r="D135" s="252" t="n">
        <v>107</v>
      </c>
      <c r="E135" s="252" t="n">
        <v>95</v>
      </c>
      <c r="F135" s="252" t="n">
        <v>110</v>
      </c>
      <c r="G135" s="252" t="n">
        <v>181</v>
      </c>
      <c r="H135" s="252" t="n">
        <v>113</v>
      </c>
      <c r="I135" s="252">
        <f>H135-G135</f>
        <v/>
      </c>
      <c r="J135" s="257" t="inlineStr"/>
      <c r="K135" s="252" t="n">
        <v>105</v>
      </c>
      <c r="L135" s="252" t="n">
        <v>107</v>
      </c>
      <c r="M135" s="252" t="n">
        <v>95</v>
      </c>
      <c r="N135" s="252" t="n">
        <v>110</v>
      </c>
      <c r="O135" s="252" t="n">
        <v>181</v>
      </c>
      <c r="P135" s="252" t="n">
        <v>114</v>
      </c>
      <c r="Q135" s="252">
        <f>P135-O135</f>
        <v/>
      </c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257" t="inlineStr"/>
      <c r="B136" s="257" t="inlineStr">
        <is>
          <t>Paid</t>
        </is>
      </c>
      <c r="C136" s="252" t="n">
        <v>4</v>
      </c>
      <c r="D136" s="252" t="n">
        <v>2</v>
      </c>
      <c r="E136" s="252" t="n">
        <v>7</v>
      </c>
      <c r="F136" s="252" t="n">
        <v>14</v>
      </c>
      <c r="G136" s="252" t="n">
        <v>11</v>
      </c>
      <c r="H136" s="252" t="n">
        <v>10</v>
      </c>
      <c r="I136" s="252">
        <f>H136-G136</f>
        <v/>
      </c>
      <c r="J136" s="257" t="inlineStr"/>
      <c r="K136" s="252" t="n">
        <v>4</v>
      </c>
      <c r="L136" s="252" t="n">
        <v>2</v>
      </c>
      <c r="M136" s="252" t="n">
        <v>9</v>
      </c>
      <c r="N136" s="252" t="n">
        <v>14</v>
      </c>
      <c r="O136" s="252" t="n">
        <v>11</v>
      </c>
      <c r="P136" s="252" t="n">
        <v>10</v>
      </c>
      <c r="Q136" s="252">
        <f>P136-O136</f>
        <v/>
      </c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257" t="inlineStr"/>
      <c r="B137" s="257" t="inlineStr">
        <is>
          <t>Referral</t>
        </is>
      </c>
      <c r="C137" s="252" t="n">
        <v>68</v>
      </c>
      <c r="D137" s="252" t="n">
        <v>46</v>
      </c>
      <c r="E137" s="252" t="n">
        <v>41</v>
      </c>
      <c r="F137" s="252" t="n">
        <v>44</v>
      </c>
      <c r="G137" s="252" t="n">
        <v>46</v>
      </c>
      <c r="H137" s="252" t="n">
        <v>34</v>
      </c>
      <c r="I137" s="252">
        <f>H137-G137</f>
        <v/>
      </c>
      <c r="J137" s="257" t="inlineStr"/>
      <c r="K137" s="252" t="n">
        <v>92</v>
      </c>
      <c r="L137" s="252" t="n">
        <v>68</v>
      </c>
      <c r="M137" s="252" t="n">
        <v>63</v>
      </c>
      <c r="N137" s="252" t="n">
        <v>56</v>
      </c>
      <c r="O137" s="252" t="n">
        <v>52</v>
      </c>
      <c r="P137" s="252" t="n">
        <v>37</v>
      </c>
      <c r="Q137" s="252">
        <f>P137-O137</f>
        <v/>
      </c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257" t="inlineStr"/>
      <c r="B138" s="257" t="inlineStr">
        <is>
          <t>Others</t>
        </is>
      </c>
      <c r="C138" s="252" t="n">
        <v>13</v>
      </c>
      <c r="D138" s="252" t="n">
        <v>27</v>
      </c>
      <c r="E138" s="252" t="n">
        <v>13</v>
      </c>
      <c r="F138" s="252" t="n">
        <v>81</v>
      </c>
      <c r="G138" s="252" t="n">
        <v>58</v>
      </c>
      <c r="H138" s="252" t="n">
        <v>46</v>
      </c>
      <c r="I138" s="252">
        <f>H138-G138</f>
        <v/>
      </c>
      <c r="J138" s="257" t="inlineStr"/>
      <c r="K138" s="252" t="n">
        <v>14</v>
      </c>
      <c r="L138" s="252" t="n">
        <v>30</v>
      </c>
      <c r="M138" s="252" t="n">
        <v>15</v>
      </c>
      <c r="N138" s="252" t="n">
        <v>83</v>
      </c>
      <c r="O138" s="252" t="n">
        <v>59</v>
      </c>
      <c r="P138" s="252" t="n">
        <v>45</v>
      </c>
      <c r="Q138" s="252">
        <f>P138-O138</f>
        <v/>
      </c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249" t="n"/>
      <c r="C139" s="252" t="n"/>
      <c r="D139" s="252" t="n"/>
      <c r="E139" s="252" t="n"/>
      <c r="F139" s="252" t="n"/>
      <c r="G139" s="252" t="n"/>
      <c r="H139" s="252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256" t="inlineStr">
        <is>
          <t>Traffic (Page Views)</t>
        </is>
      </c>
      <c r="B2" s="257" t="inlineStr"/>
      <c r="C2" s="251">
        <f>sum(C6,C13,C20,C27,C34,C41,C48,C55,C62,C69)</f>
        <v/>
      </c>
      <c r="D2" s="251">
        <f>sum(D6,D13,D20,D27,D34,D41,D48,D55,D62,D69)</f>
        <v/>
      </c>
      <c r="E2" s="251">
        <f>sum(E6,E13,E20,E27,E34,E41,E48,E55,E62,E69)</f>
        <v/>
      </c>
      <c r="F2" s="251">
        <f>sum(F6,F13,F20,F27,F34,F41,F48,F55,F62,F69)</f>
        <v/>
      </c>
      <c r="G2" s="251">
        <f>sum(G6,G13,G20,G27,G34,G41,G48,G55,G62,G69)</f>
        <v/>
      </c>
      <c r="H2" s="251">
        <f>sum(H6,H13,H20,H27,H34,H41,H48,H55,H62,H69)</f>
        <v/>
      </c>
      <c r="I2" s="251">
        <f>H2-G2</f>
        <v/>
      </c>
      <c r="J2" s="258" t="inlineStr"/>
      <c r="K2" s="251">
        <f>sum(K6,K13,K20,K27,K34,K41,K48,K55,K62,K69)</f>
        <v/>
      </c>
      <c r="L2" s="251">
        <f>sum(L6,L13,L20,L27,L34,L41,L48,L55,L62,L69)</f>
        <v/>
      </c>
      <c r="M2" s="251">
        <f>sum(M6,M13,M20,M27,M34,M41,M48,M55,M62,M69)</f>
        <v/>
      </c>
      <c r="N2" s="251">
        <f>sum(N6,N13,N20,N27,N34,N41,N48,N55,N62,N69)</f>
        <v/>
      </c>
      <c r="O2" s="251">
        <f>sum(O6,O13,O20,O27,O34,O41,O48,O55,O62,O69)</f>
        <v/>
      </c>
      <c r="P2" s="251">
        <f>sum(P6,P13,P20,P27,P34,P41,P48,P55,P62,P69)</f>
        <v/>
      </c>
      <c r="Q2" s="251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256" t="inlineStr">
        <is>
          <t xml:space="preserve">   Net change</t>
        </is>
      </c>
      <c r="B3" s="257" t="inlineStr"/>
      <c r="C3" s="251">
        <f>C2-0</f>
        <v/>
      </c>
      <c r="D3" s="251">
        <f>D2-C2</f>
        <v/>
      </c>
      <c r="E3" s="251">
        <f>E2-D2</f>
        <v/>
      </c>
      <c r="F3" s="251">
        <f>F2-E2</f>
        <v/>
      </c>
      <c r="G3" s="251">
        <f>G2-F2</f>
        <v/>
      </c>
      <c r="H3" s="251">
        <f>H2-G2</f>
        <v/>
      </c>
      <c r="I3" s="251">
        <f>H3-G3</f>
        <v/>
      </c>
      <c r="J3" s="258" t="inlineStr"/>
      <c r="K3" s="251">
        <f>K2-0</f>
        <v/>
      </c>
      <c r="L3" s="251">
        <f>L2-K2</f>
        <v/>
      </c>
      <c r="M3" s="251">
        <f>M2-L2</f>
        <v/>
      </c>
      <c r="N3" s="251">
        <f>N2-M2</f>
        <v/>
      </c>
      <c r="O3" s="251">
        <f>O2-N2</f>
        <v/>
      </c>
      <c r="P3" s="251">
        <f>P2-O2</f>
        <v/>
      </c>
      <c r="Q3" s="251">
        <f>P3-O3</f>
        <v/>
      </c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256" t="inlineStr">
        <is>
          <t xml:space="preserve">   Growth Rate (%)</t>
        </is>
      </c>
      <c r="B4" s="257" t="inlineStr"/>
      <c r="C4" s="259" t="inlineStr"/>
      <c r="D4" s="259">
        <f>(D2/C2)-1</f>
        <v/>
      </c>
      <c r="E4" s="259">
        <f>(E2/D2)-1</f>
        <v/>
      </c>
      <c r="F4" s="259">
        <f>(F2/E2)-1</f>
        <v/>
      </c>
      <c r="G4" s="259">
        <f>(G2/F2)-1</f>
        <v/>
      </c>
      <c r="H4" s="259">
        <f>(H2/G2)-1</f>
        <v/>
      </c>
      <c r="I4" s="259">
        <f>H4-G4</f>
        <v/>
      </c>
      <c r="J4" s="258" t="inlineStr"/>
      <c r="K4" s="259" t="inlineStr"/>
      <c r="L4" s="259">
        <f>(L2/K2)-1</f>
        <v/>
      </c>
      <c r="M4" s="259">
        <f>(M2/L2)-1</f>
        <v/>
      </c>
      <c r="N4" s="259">
        <f>(N2/M2)-1</f>
        <v/>
      </c>
      <c r="O4" s="259">
        <f>(O2/N2)-1</f>
        <v/>
      </c>
      <c r="P4" s="259">
        <f>(P2/O2)-1</f>
        <v/>
      </c>
      <c r="Q4" s="259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256" t="inlineStr">
        <is>
          <t>Tiện Ích Giao Thông</t>
        </is>
      </c>
      <c r="B6" s="257" t="inlineStr"/>
      <c r="C6" s="251">
        <f>sum(C7:C11)</f>
        <v/>
      </c>
      <c r="D6" s="251">
        <f>sum(D7:D11)</f>
        <v/>
      </c>
      <c r="E6" s="251">
        <f>sum(E7:E11)</f>
        <v/>
      </c>
      <c r="F6" s="251">
        <f>sum(F7:F11)</f>
        <v/>
      </c>
      <c r="G6" s="251">
        <f>sum(G7:G11)</f>
        <v/>
      </c>
      <c r="H6" s="251">
        <f>sum(H7:H11)</f>
        <v/>
      </c>
      <c r="I6" s="251">
        <f>H6-G6</f>
        <v/>
      </c>
      <c r="J6" s="257" t="inlineStr"/>
      <c r="K6" s="251">
        <f>sum(K7:K11)</f>
        <v/>
      </c>
      <c r="L6" s="251">
        <f>sum(L7:L11)</f>
        <v/>
      </c>
      <c r="M6" s="251">
        <f>sum(M7:M11)</f>
        <v/>
      </c>
      <c r="N6" s="251">
        <f>sum(N7:N11)</f>
        <v/>
      </c>
      <c r="O6" s="251">
        <f>sum(O7:O11)</f>
        <v/>
      </c>
      <c r="P6" s="251">
        <f>sum(P7:P11)</f>
        <v/>
      </c>
      <c r="Q6" s="251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257" t="inlineStr"/>
      <c r="B7" s="258" t="inlineStr">
        <is>
          <t>Organic</t>
        </is>
      </c>
      <c r="C7" s="252">
        <f>SUMIFS('MTD Pivot'!D:D, 'MTD Pivot'!$A:$A, "Tiện Ích Giao Thông", 'MTD Pivot'!$C:$C, $B7)</f>
        <v/>
      </c>
      <c r="D7" s="252">
        <f>SUMIFS('MTD Pivot'!E:E, 'MTD Pivot'!$A:$A, "Tiện Ích Giao Thông", 'MTD Pivot'!$C:$C, $B7)</f>
        <v/>
      </c>
      <c r="E7" s="252">
        <f>SUMIFS('MTD Pivot'!F:F, 'MTD Pivot'!$A:$A, "Tiện Ích Giao Thông", 'MTD Pivot'!$C:$C, $B7)</f>
        <v/>
      </c>
      <c r="F7" s="252">
        <f>SUMIFS('MTD Pivot'!G:G, 'MTD Pivot'!$A:$A, "Tiện Ích Giao Thông", 'MTD Pivot'!$C:$C, $B7)</f>
        <v/>
      </c>
      <c r="G7" s="252">
        <f>SUMIFS('MTD Pivot'!H:H, 'MTD Pivot'!$A:$A, "Tiện Ích Giao Thông", 'MTD Pivot'!$C:$C, $B7)</f>
        <v/>
      </c>
      <c r="H7" s="252">
        <f>SUMIFS('MTD Pivot'!I:I, 'MTD Pivot'!$A:$A, "Tiện Ích Giao Thông", 'MTD Pivot'!$C:$C, $B7)</f>
        <v/>
      </c>
      <c r="I7" s="252">
        <f>H7-G7</f>
        <v/>
      </c>
      <c r="J7" s="257" t="inlineStr"/>
      <c r="K7" s="252">
        <f>SUMIFS('Full month Pivot'!D:D, 'Full month Pivot'!$A:$A, "Tiện Ích Giao Thông", 'Full month Pivot'!$C:$C, $B7)</f>
        <v/>
      </c>
      <c r="L7" s="252">
        <f>SUMIFS('Full month Pivot'!E:E, 'Full month Pivot'!$A:$A, "Tiện Ích Giao Thông", 'Full month Pivot'!$C:$C, $B7)</f>
        <v/>
      </c>
      <c r="M7" s="252">
        <f>SUMIFS('Full month Pivot'!F:F, 'Full month Pivot'!$A:$A, "Tiện Ích Giao Thông", 'Full month Pivot'!$C:$C, $B7)</f>
        <v/>
      </c>
      <c r="N7" s="252">
        <f>SUMIFS('Full month Pivot'!G:G, 'Full month Pivot'!$A:$A, "Tiện Ích Giao Thông", 'Full month Pivot'!$C:$C, $B7)</f>
        <v/>
      </c>
      <c r="O7" s="252">
        <f>SUMIFS('Full month Pivot'!H:H, 'Full month Pivot'!$A:$A, "Tiện Ích Giao Thông", 'Full month Pivot'!$C:$C, $B7)</f>
        <v/>
      </c>
      <c r="P7" s="252">
        <f>SUMIFS('Full month Pivot'!I:I, 'Full month Pivot'!$A:$A, "Tiện Ích Giao Thông", 'Full month Pivot'!$C:$C, $B7)</f>
        <v/>
      </c>
      <c r="Q7" s="252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257" t="inlineStr"/>
      <c r="B8" s="258" t="inlineStr">
        <is>
          <t>Direct</t>
        </is>
      </c>
      <c r="C8" s="252">
        <f>SUMIFS('MTD Pivot'!D:D, 'MTD Pivot'!$A:$A, "Tiện Ích Giao Thông", 'MTD Pivot'!$C:$C, $B8)</f>
        <v/>
      </c>
      <c r="D8" s="252">
        <f>SUMIFS('MTD Pivot'!E:E, 'MTD Pivot'!$A:$A, "Tiện Ích Giao Thông", 'MTD Pivot'!$C:$C, $B8)</f>
        <v/>
      </c>
      <c r="E8" s="252">
        <f>SUMIFS('MTD Pivot'!F:F, 'MTD Pivot'!$A:$A, "Tiện Ích Giao Thông", 'MTD Pivot'!$C:$C, $B8)</f>
        <v/>
      </c>
      <c r="F8" s="252">
        <f>SUMIFS('MTD Pivot'!G:G, 'MTD Pivot'!$A:$A, "Tiện Ích Giao Thông", 'MTD Pivot'!$C:$C, $B8)</f>
        <v/>
      </c>
      <c r="G8" s="252">
        <f>SUMIFS('MTD Pivot'!H:H, 'MTD Pivot'!$A:$A, "Tiện Ích Giao Thông", 'MTD Pivot'!$C:$C, $B8)</f>
        <v/>
      </c>
      <c r="H8" s="252">
        <f>SUMIFS('MTD Pivot'!I:I, 'MTD Pivot'!$A:$A, "Tiện Ích Giao Thông", 'MTD Pivot'!$C:$C, $B8)</f>
        <v/>
      </c>
      <c r="I8" s="252">
        <f>H8-G8</f>
        <v/>
      </c>
      <c r="J8" s="257" t="inlineStr"/>
      <c r="K8" s="252">
        <f>SUMIFS('Full month Pivot'!D:D, 'Full month Pivot'!$A:$A, "Tiện Ích Giao Thông", 'Full month Pivot'!$C:$C, $B8)</f>
        <v/>
      </c>
      <c r="L8" s="252">
        <f>SUMIFS('Full month Pivot'!E:E, 'Full month Pivot'!$A:$A, "Tiện Ích Giao Thông", 'Full month Pivot'!$C:$C, $B8)</f>
        <v/>
      </c>
      <c r="M8" s="252">
        <f>SUMIFS('Full month Pivot'!F:F, 'Full month Pivot'!$A:$A, "Tiện Ích Giao Thông", 'Full month Pivot'!$C:$C, $B8)</f>
        <v/>
      </c>
      <c r="N8" s="252">
        <f>SUMIFS('Full month Pivot'!G:G, 'Full month Pivot'!$A:$A, "Tiện Ích Giao Thông", 'Full month Pivot'!$C:$C, $B8)</f>
        <v/>
      </c>
      <c r="O8" s="252">
        <f>SUMIFS('Full month Pivot'!H:H, 'Full month Pivot'!$A:$A, "Tiện Ích Giao Thông", 'Full month Pivot'!$C:$C, $B8)</f>
        <v/>
      </c>
      <c r="P8" s="252">
        <f>SUMIFS('Full month Pivot'!I:I, 'Full month Pivot'!$A:$A, "Tiện Ích Giao Thông", 'Full month Pivot'!$C:$C, $B8)</f>
        <v/>
      </c>
      <c r="Q8" s="252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257" t="inlineStr"/>
      <c r="B9" s="258" t="inlineStr">
        <is>
          <t>Referral</t>
        </is>
      </c>
      <c r="C9" s="252">
        <f>SUMIFS('MTD Pivot'!D:D, 'MTD Pivot'!$A:$A, "Tiện Ích Giao Thông", 'MTD Pivot'!$C:$C, $B9)</f>
        <v/>
      </c>
      <c r="D9" s="252">
        <f>SUMIFS('MTD Pivot'!E:E, 'MTD Pivot'!$A:$A, "Tiện Ích Giao Thông", 'MTD Pivot'!$C:$C, $B9)</f>
        <v/>
      </c>
      <c r="E9" s="252">
        <f>SUMIFS('MTD Pivot'!F:F, 'MTD Pivot'!$A:$A, "Tiện Ích Giao Thông", 'MTD Pivot'!$C:$C, $B9)</f>
        <v/>
      </c>
      <c r="F9" s="252">
        <f>SUMIFS('MTD Pivot'!G:G, 'MTD Pivot'!$A:$A, "Tiện Ích Giao Thông", 'MTD Pivot'!$C:$C, $B9)</f>
        <v/>
      </c>
      <c r="G9" s="252">
        <f>SUMIFS('MTD Pivot'!H:H, 'MTD Pivot'!$A:$A, "Tiện Ích Giao Thông", 'MTD Pivot'!$C:$C, $B9)</f>
        <v/>
      </c>
      <c r="H9" s="252">
        <f>SUMIFS('MTD Pivot'!I:I, 'MTD Pivot'!$A:$A, "Tiện Ích Giao Thông", 'MTD Pivot'!$C:$C, $B9)</f>
        <v/>
      </c>
      <c r="I9" s="252">
        <f>H9-G9</f>
        <v/>
      </c>
      <c r="J9" s="257" t="inlineStr"/>
      <c r="K9" s="252">
        <f>SUMIFS('Full month Pivot'!D:D, 'Full month Pivot'!$A:$A, "Tiện Ích Giao Thông", 'Full month Pivot'!$C:$C, $B9)</f>
        <v/>
      </c>
      <c r="L9" s="252">
        <f>SUMIFS('Full month Pivot'!E:E, 'Full month Pivot'!$A:$A, "Tiện Ích Giao Thông", 'Full month Pivot'!$C:$C, $B9)</f>
        <v/>
      </c>
      <c r="M9" s="252">
        <f>SUMIFS('Full month Pivot'!F:F, 'Full month Pivot'!$A:$A, "Tiện Ích Giao Thông", 'Full month Pivot'!$C:$C, $B9)</f>
        <v/>
      </c>
      <c r="N9" s="252">
        <f>SUMIFS('Full month Pivot'!G:G, 'Full month Pivot'!$A:$A, "Tiện Ích Giao Thông", 'Full month Pivot'!$C:$C, $B9)</f>
        <v/>
      </c>
      <c r="O9" s="252">
        <f>SUMIFS('Full month Pivot'!H:H, 'Full month Pivot'!$A:$A, "Tiện Ích Giao Thông", 'Full month Pivot'!$C:$C, $B9)</f>
        <v/>
      </c>
      <c r="P9" s="252">
        <f>SUMIFS('Full month Pivot'!I:I, 'Full month Pivot'!$A:$A, "Tiện Ích Giao Thông", 'Full month Pivot'!$C:$C, $B9)</f>
        <v/>
      </c>
      <c r="Q9" s="252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257" t="inlineStr"/>
      <c r="B10" s="258" t="inlineStr">
        <is>
          <t>Paid</t>
        </is>
      </c>
      <c r="C10" s="252">
        <f>SUMIFS('MTD Pivot'!D:D, 'MTD Pivot'!$A:$A, "Tiện Ích Giao Thông", 'MTD Pivot'!$C:$C, $B10)</f>
        <v/>
      </c>
      <c r="D10" s="252">
        <f>SUMIFS('MTD Pivot'!E:E, 'MTD Pivot'!$A:$A, "Tiện Ích Giao Thông", 'MTD Pivot'!$C:$C, $B10)</f>
        <v/>
      </c>
      <c r="E10" s="252">
        <f>SUMIFS('MTD Pivot'!F:F, 'MTD Pivot'!$A:$A, "Tiện Ích Giao Thông", 'MTD Pivot'!$C:$C, $B10)</f>
        <v/>
      </c>
      <c r="F10" s="252">
        <f>SUMIFS('MTD Pivot'!G:G, 'MTD Pivot'!$A:$A, "Tiện Ích Giao Thông", 'MTD Pivot'!$C:$C, $B10)</f>
        <v/>
      </c>
      <c r="G10" s="252">
        <f>SUMIFS('MTD Pivot'!H:H, 'MTD Pivot'!$A:$A, "Tiện Ích Giao Thông", 'MTD Pivot'!$C:$C, $B10)</f>
        <v/>
      </c>
      <c r="H10" s="252">
        <f>SUMIFS('MTD Pivot'!I:I, 'MTD Pivot'!$A:$A, "Tiện Ích Giao Thông", 'MTD Pivot'!$C:$C, $B10)</f>
        <v/>
      </c>
      <c r="I10" s="252">
        <f>H10-G10</f>
        <v/>
      </c>
      <c r="J10" s="257" t="inlineStr"/>
      <c r="K10" s="252">
        <f>SUMIFS('Full month Pivot'!D:D, 'Full month Pivot'!$A:$A, "Tiện Ích Giao Thông", 'Full month Pivot'!$C:$C, $B10)</f>
        <v/>
      </c>
      <c r="L10" s="252">
        <f>SUMIFS('Full month Pivot'!E:E, 'Full month Pivot'!$A:$A, "Tiện Ích Giao Thông", 'Full month Pivot'!$C:$C, $B10)</f>
        <v/>
      </c>
      <c r="M10" s="252">
        <f>SUMIFS('Full month Pivot'!F:F, 'Full month Pivot'!$A:$A, "Tiện Ích Giao Thông", 'Full month Pivot'!$C:$C, $B10)</f>
        <v/>
      </c>
      <c r="N10" s="252">
        <f>SUMIFS('Full month Pivot'!G:G, 'Full month Pivot'!$A:$A, "Tiện Ích Giao Thông", 'Full month Pivot'!$C:$C, $B10)</f>
        <v/>
      </c>
      <c r="O10" s="252">
        <f>SUMIFS('Full month Pivot'!H:H, 'Full month Pivot'!$A:$A, "Tiện Ích Giao Thông", 'Full month Pivot'!$C:$C, $B10)</f>
        <v/>
      </c>
      <c r="P10" s="252">
        <f>SUMIFS('Full month Pivot'!I:I, 'Full month Pivot'!$A:$A, "Tiện Ích Giao Thông", 'Full month Pivot'!$C:$C, $B10)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257" t="inlineStr"/>
      <c r="B11" s="258" t="inlineStr">
        <is>
          <t>Others</t>
        </is>
      </c>
      <c r="C11" s="252">
        <f>SUMIFS('MTD Pivot'!D:D, 'MTD Pivot'!$A:$A, "Tiện Ích Giao Thông", 'MTD Pivot'!$C:$C, $B11)</f>
        <v/>
      </c>
      <c r="D11" s="252">
        <f>SUMIFS('MTD Pivot'!E:E, 'MTD Pivot'!$A:$A, "Tiện Ích Giao Thông", 'MTD Pivot'!$C:$C, $B11)</f>
        <v/>
      </c>
      <c r="E11" s="252">
        <f>SUMIFS('MTD Pivot'!F:F, 'MTD Pivot'!$A:$A, "Tiện Ích Giao Thông", 'MTD Pivot'!$C:$C, $B11)</f>
        <v/>
      </c>
      <c r="F11" s="252">
        <f>SUMIFS('MTD Pivot'!G:G, 'MTD Pivot'!$A:$A, "Tiện Ích Giao Thông", 'MTD Pivot'!$C:$C, $B11)</f>
        <v/>
      </c>
      <c r="G11" s="252">
        <f>SUMIFS('MTD Pivot'!H:H, 'MTD Pivot'!$A:$A, "Tiện Ích Giao Thông", 'MTD Pivot'!$C:$C, $B11)</f>
        <v/>
      </c>
      <c r="H11" s="252">
        <f>SUMIFS('MTD Pivot'!I:I, 'MTD Pivot'!$A:$A, "Tiện Ích Giao Thông", 'MTD Pivot'!$C:$C, $B11)</f>
        <v/>
      </c>
      <c r="I11" s="252">
        <f>H11-G11</f>
        <v/>
      </c>
      <c r="J11" s="257" t="inlineStr"/>
      <c r="K11" s="252">
        <f>SUMIFS('Full month Pivot'!D:D, 'Full month Pivot'!$A:$A, "Tiện Ích Giao Thông", 'Full month Pivot'!$C:$C, $B11)</f>
        <v/>
      </c>
      <c r="L11" s="252">
        <f>SUMIFS('Full month Pivot'!E:E, 'Full month Pivot'!$A:$A, "Tiện Ích Giao Thông", 'Full month Pivot'!$C:$C, $B11)</f>
        <v/>
      </c>
      <c r="M11" s="252">
        <f>SUMIFS('Full month Pivot'!F:F, 'Full month Pivot'!$A:$A, "Tiện Ích Giao Thông", 'Full month Pivot'!$C:$C, $B11)</f>
        <v/>
      </c>
      <c r="N11" s="252">
        <f>SUMIFS('Full month Pivot'!G:G, 'Full month Pivot'!$A:$A, "Tiện Ích Giao Thông", 'Full month Pivot'!$C:$C, $B11)</f>
        <v/>
      </c>
      <c r="O11" s="252">
        <f>SUMIFS('Full month Pivot'!H:H, 'Full month Pivot'!$A:$A, "Tiện Ích Giao Thông", 'Full month Pivot'!$C:$C, $B11)</f>
        <v/>
      </c>
      <c r="P11" s="252">
        <f>SUMIFS('Full month Pivot'!I:I, 'Full month Pivot'!$A:$A, "Tiện Ích Giao Thông", 'Full month Pivot'!$C:$C, $B11)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256" t="inlineStr">
        <is>
          <t>Giá Xăng</t>
        </is>
      </c>
      <c r="B13" s="258" t="inlineStr"/>
      <c r="C13" s="251">
        <f>sum(C14:C18)</f>
        <v/>
      </c>
      <c r="D13" s="251">
        <f>sum(D14:D18)</f>
        <v/>
      </c>
      <c r="E13" s="251">
        <f>sum(E14:E18)</f>
        <v/>
      </c>
      <c r="F13" s="251">
        <f>sum(F14:F18)</f>
        <v/>
      </c>
      <c r="G13" s="251">
        <f>sum(G14:G18)</f>
        <v/>
      </c>
      <c r="H13" s="251">
        <f>sum(H14:H18)</f>
        <v/>
      </c>
      <c r="I13" s="251">
        <f>H13-G13</f>
        <v/>
      </c>
      <c r="J13" s="257" t="inlineStr"/>
      <c r="K13" s="251">
        <f>sum(K14:K18)</f>
        <v/>
      </c>
      <c r="L13" s="251">
        <f>sum(L14:L18)</f>
        <v/>
      </c>
      <c r="M13" s="251">
        <f>sum(M14:M18)</f>
        <v/>
      </c>
      <c r="N13" s="251">
        <f>sum(N14:N18)</f>
        <v/>
      </c>
      <c r="O13" s="251">
        <f>sum(O14:O18)</f>
        <v/>
      </c>
      <c r="P13" s="251">
        <f>sum(P14:P18)</f>
        <v/>
      </c>
      <c r="Q13" s="251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257" t="inlineStr"/>
      <c r="B14" s="258" t="inlineStr">
        <is>
          <t>Organic</t>
        </is>
      </c>
      <c r="C14" s="252" t="n">
        <v>0</v>
      </c>
      <c r="D14" s="252" t="n">
        <v>0</v>
      </c>
      <c r="E14" s="252" t="n">
        <v>0</v>
      </c>
      <c r="F14" s="252" t="n">
        <v>0</v>
      </c>
      <c r="G14" s="252" t="n">
        <v>127</v>
      </c>
      <c r="H14" s="252" t="n">
        <v>3388</v>
      </c>
      <c r="I14" s="252">
        <f>H14-G14</f>
        <v/>
      </c>
      <c r="J14" s="257" t="inlineStr"/>
      <c r="K14" s="252" t="n">
        <v>0</v>
      </c>
      <c r="L14" s="252" t="n">
        <v>0</v>
      </c>
      <c r="M14" s="252" t="n">
        <v>0</v>
      </c>
      <c r="N14" s="252" t="n">
        <v>0</v>
      </c>
      <c r="O14" s="252" t="n">
        <v>382</v>
      </c>
      <c r="P14" s="252" t="n">
        <v>3388</v>
      </c>
      <c r="Q14" s="252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257" t="inlineStr"/>
      <c r="B15" s="258" t="inlineStr">
        <is>
          <t>Direct</t>
        </is>
      </c>
      <c r="C15" s="252" t="n">
        <v>0</v>
      </c>
      <c r="D15" s="252" t="n">
        <v>0</v>
      </c>
      <c r="E15" s="252" t="n">
        <v>0</v>
      </c>
      <c r="F15" s="252" t="n">
        <v>0</v>
      </c>
      <c r="G15" s="252" t="n">
        <v>30</v>
      </c>
      <c r="H15" s="252" t="n">
        <v>102</v>
      </c>
      <c r="I15" s="252">
        <f>H15-G15</f>
        <v/>
      </c>
      <c r="J15" s="257" t="inlineStr"/>
      <c r="K15" s="252" t="n">
        <v>0</v>
      </c>
      <c r="L15" s="252" t="n">
        <v>0</v>
      </c>
      <c r="M15" s="252" t="n">
        <v>0</v>
      </c>
      <c r="N15" s="252" t="n">
        <v>0</v>
      </c>
      <c r="O15" s="252" t="n">
        <v>41</v>
      </c>
      <c r="P15" s="252" t="n">
        <v>102</v>
      </c>
      <c r="Q15" s="252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257" t="inlineStr"/>
      <c r="B16" s="258" t="inlineStr">
        <is>
          <t>Paid</t>
        </is>
      </c>
      <c r="C16" s="252" t="n">
        <v>0</v>
      </c>
      <c r="D16" s="252" t="n">
        <v>0</v>
      </c>
      <c r="E16" s="252" t="n">
        <v>0</v>
      </c>
      <c r="F16" s="252" t="n">
        <v>0</v>
      </c>
      <c r="G16" s="252" t="n">
        <v>1</v>
      </c>
      <c r="H16" s="252" t="n">
        <v>1</v>
      </c>
      <c r="I16" s="252">
        <f>H16-G16</f>
        <v/>
      </c>
      <c r="J16" s="257" t="inlineStr"/>
      <c r="K16" s="252" t="n">
        <v>0</v>
      </c>
      <c r="L16" s="252" t="n">
        <v>0</v>
      </c>
      <c r="M16" s="252" t="n">
        <v>0</v>
      </c>
      <c r="N16" s="252" t="n">
        <v>0</v>
      </c>
      <c r="O16" s="252" t="n">
        <v>1</v>
      </c>
      <c r="P16" s="252" t="n">
        <v>1</v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257" t="inlineStr"/>
      <c r="B17" s="258" t="inlineStr">
        <is>
          <t>Referral</t>
        </is>
      </c>
      <c r="C17" s="252" t="n">
        <v>0</v>
      </c>
      <c r="D17" s="252" t="n">
        <v>0</v>
      </c>
      <c r="E17" s="252" t="n">
        <v>0</v>
      </c>
      <c r="F17" s="252" t="n">
        <v>0</v>
      </c>
      <c r="G17" s="252" t="n">
        <v>26</v>
      </c>
      <c r="H17" s="252" t="n">
        <v>654</v>
      </c>
      <c r="I17" s="252">
        <f>H17-G17</f>
        <v/>
      </c>
      <c r="J17" s="257" t="inlineStr"/>
      <c r="K17" s="252" t="n">
        <v>0</v>
      </c>
      <c r="L17" s="252" t="n">
        <v>0</v>
      </c>
      <c r="M17" s="252" t="n">
        <v>0</v>
      </c>
      <c r="N17" s="252" t="n">
        <v>0</v>
      </c>
      <c r="O17" s="252" t="n">
        <v>72</v>
      </c>
      <c r="P17" s="252" t="n">
        <v>654</v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257" t="inlineStr"/>
      <c r="B18" s="258" t="inlineStr">
        <is>
          <t>Others</t>
        </is>
      </c>
      <c r="C18" s="252" t="n">
        <v>0</v>
      </c>
      <c r="D18" s="252" t="n">
        <v>0</v>
      </c>
      <c r="E18" s="252" t="n">
        <v>0</v>
      </c>
      <c r="F18" s="252" t="n">
        <v>0</v>
      </c>
      <c r="G18" s="252" t="n">
        <v>9</v>
      </c>
      <c r="H18" s="252" t="n">
        <v>21</v>
      </c>
      <c r="I18" s="252">
        <f>H18-G18</f>
        <v/>
      </c>
      <c r="J18" s="257" t="inlineStr"/>
      <c r="K18" s="252" t="n">
        <v>0</v>
      </c>
      <c r="L18" s="252" t="n">
        <v>0</v>
      </c>
      <c r="M18" s="252" t="n">
        <v>0</v>
      </c>
      <c r="N18" s="252" t="n">
        <v>0</v>
      </c>
      <c r="O18" s="252" t="n">
        <v>11</v>
      </c>
      <c r="P18" s="252" t="n">
        <v>21</v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256" t="inlineStr">
        <is>
          <t>Garage</t>
        </is>
      </c>
      <c r="B20" s="257" t="inlineStr"/>
      <c r="C20" s="251">
        <f>sum(C21:C25)</f>
        <v/>
      </c>
      <c r="D20" s="251">
        <f>sum(D21:D25)</f>
        <v/>
      </c>
      <c r="E20" s="251">
        <f>sum(E21:E25)</f>
        <v/>
      </c>
      <c r="F20" s="251">
        <f>sum(F21:F25)</f>
        <v/>
      </c>
      <c r="G20" s="251">
        <f>sum(G21:G25)</f>
        <v/>
      </c>
      <c r="H20" s="251">
        <f>sum(H21:H25)</f>
        <v/>
      </c>
      <c r="I20" s="251">
        <f>H20-G20</f>
        <v/>
      </c>
      <c r="J20" s="257" t="inlineStr"/>
      <c r="K20" s="251">
        <f>sum(K21:K25)</f>
        <v/>
      </c>
      <c r="L20" s="251">
        <f>sum(L21:L25)</f>
        <v/>
      </c>
      <c r="M20" s="251">
        <f>sum(M21:M25)</f>
        <v/>
      </c>
      <c r="N20" s="251">
        <f>sum(N21:N25)</f>
        <v/>
      </c>
      <c r="O20" s="251">
        <f>sum(O21:O25)</f>
        <v/>
      </c>
      <c r="P20" s="251">
        <f>sum(P21:P25)</f>
        <v/>
      </c>
      <c r="Q20" s="251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257" t="inlineStr"/>
      <c r="B21" s="258" t="inlineStr">
        <is>
          <t>Organic</t>
        </is>
      </c>
      <c r="C21" s="252" t="n">
        <v>0</v>
      </c>
      <c r="D21" s="252" t="n">
        <v>0</v>
      </c>
      <c r="E21" s="252" t="n">
        <v>0</v>
      </c>
      <c r="F21" s="252" t="n">
        <v>0</v>
      </c>
      <c r="G21" s="252" t="n">
        <v>0</v>
      </c>
      <c r="H21" s="252" t="n">
        <v>68</v>
      </c>
      <c r="I21" s="252">
        <f>H21-G21</f>
        <v/>
      </c>
      <c r="J21" s="257" t="inlineStr"/>
      <c r="K21" s="252" t="n">
        <v>0</v>
      </c>
      <c r="L21" s="252" t="n">
        <v>0</v>
      </c>
      <c r="M21" s="252" t="n">
        <v>0</v>
      </c>
      <c r="N21" s="252" t="n">
        <v>0</v>
      </c>
      <c r="O21" s="252" t="n">
        <v>1</v>
      </c>
      <c r="P21" s="252" t="n">
        <v>68</v>
      </c>
      <c r="Q21" s="252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257" t="inlineStr"/>
      <c r="B22" s="258" t="inlineStr">
        <is>
          <t>Direct</t>
        </is>
      </c>
      <c r="C22" s="252" t="n">
        <v>0</v>
      </c>
      <c r="D22" s="252" t="n">
        <v>0</v>
      </c>
      <c r="E22" s="252" t="n">
        <v>0</v>
      </c>
      <c r="F22" s="252" t="n">
        <v>0</v>
      </c>
      <c r="G22" s="252" t="n">
        <v>0</v>
      </c>
      <c r="H22" s="252" t="n">
        <v>8</v>
      </c>
      <c r="I22" s="252">
        <f>H22-G22</f>
        <v/>
      </c>
      <c r="J22" s="257" t="inlineStr"/>
      <c r="K22" s="252" t="n">
        <v>0</v>
      </c>
      <c r="L22" s="252" t="n">
        <v>0</v>
      </c>
      <c r="M22" s="252" t="n">
        <v>0</v>
      </c>
      <c r="N22" s="252" t="n">
        <v>0</v>
      </c>
      <c r="O22" s="252" t="n">
        <v>0</v>
      </c>
      <c r="P22" s="252" t="n">
        <v>8</v>
      </c>
      <c r="Q22" s="252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257" t="inlineStr"/>
      <c r="B23" s="258" t="inlineStr">
        <is>
          <t>Paid</t>
        </is>
      </c>
      <c r="C23" s="252" t="n">
        <v>0</v>
      </c>
      <c r="D23" s="252" t="n">
        <v>0</v>
      </c>
      <c r="E23" s="252" t="n">
        <v>0</v>
      </c>
      <c r="F23" s="252" t="n">
        <v>0</v>
      </c>
      <c r="G23" s="252" t="n">
        <v>0</v>
      </c>
      <c r="H23" s="252" t="n">
        <v>0</v>
      </c>
      <c r="I23" s="252">
        <f>H23-G23</f>
        <v/>
      </c>
      <c r="J23" s="257" t="inlineStr"/>
      <c r="K23" s="252" t="n">
        <v>0</v>
      </c>
      <c r="L23" s="252" t="n">
        <v>0</v>
      </c>
      <c r="M23" s="252" t="n">
        <v>0</v>
      </c>
      <c r="N23" s="252" t="n">
        <v>0</v>
      </c>
      <c r="O23" s="252" t="n">
        <v>0</v>
      </c>
      <c r="P23" s="252" t="n">
        <v>0</v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257" t="inlineStr"/>
      <c r="B24" s="258" t="inlineStr">
        <is>
          <t>Referral</t>
        </is>
      </c>
      <c r="C24" s="252" t="n">
        <v>0</v>
      </c>
      <c r="D24" s="252" t="n">
        <v>0</v>
      </c>
      <c r="E24" s="252" t="n">
        <v>0</v>
      </c>
      <c r="F24" s="252" t="n">
        <v>0</v>
      </c>
      <c r="G24" s="252" t="n">
        <v>0</v>
      </c>
      <c r="H24" s="252" t="n">
        <v>3</v>
      </c>
      <c r="I24" s="252">
        <f>H24-G24</f>
        <v/>
      </c>
      <c r="J24" s="257" t="inlineStr"/>
      <c r="K24" s="252" t="n">
        <v>0</v>
      </c>
      <c r="L24" s="252" t="n">
        <v>0</v>
      </c>
      <c r="M24" s="252" t="n">
        <v>0</v>
      </c>
      <c r="N24" s="252" t="n">
        <v>0</v>
      </c>
      <c r="O24" s="252" t="n">
        <v>0</v>
      </c>
      <c r="P24" s="252" t="n">
        <v>3</v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257" t="inlineStr"/>
      <c r="B25" s="258" t="inlineStr">
        <is>
          <t>Others</t>
        </is>
      </c>
      <c r="C25" s="252" t="n">
        <v>0</v>
      </c>
      <c r="D25" s="252" t="n">
        <v>0</v>
      </c>
      <c r="E25" s="252" t="n">
        <v>0</v>
      </c>
      <c r="F25" s="252" t="n">
        <v>0</v>
      </c>
      <c r="G25" s="252" t="n">
        <v>0</v>
      </c>
      <c r="H25" s="252" t="n">
        <v>3</v>
      </c>
      <c r="I25" s="252">
        <f>H25-G25</f>
        <v/>
      </c>
      <c r="J25" s="257" t="inlineStr"/>
      <c r="K25" s="252" t="n">
        <v>0</v>
      </c>
      <c r="L25" s="252" t="n">
        <v>0</v>
      </c>
      <c r="M25" s="252" t="n">
        <v>0</v>
      </c>
      <c r="N25" s="252" t="n">
        <v>0</v>
      </c>
      <c r="O25" s="252" t="n">
        <v>0</v>
      </c>
      <c r="P25" s="252" t="n">
        <v>3</v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256" t="inlineStr">
        <is>
          <t>Cây Xăng</t>
        </is>
      </c>
      <c r="B27" s="257" t="inlineStr"/>
      <c r="C27" s="251">
        <f>sum(C28:C32)</f>
        <v/>
      </c>
      <c r="D27" s="251">
        <f>sum(D28:D32)</f>
        <v/>
      </c>
      <c r="E27" s="251">
        <f>sum(E28:E32)</f>
        <v/>
      </c>
      <c r="F27" s="251">
        <f>sum(F28:F32)</f>
        <v/>
      </c>
      <c r="G27" s="251">
        <f>sum(G28:G32)</f>
        <v/>
      </c>
      <c r="H27" s="251">
        <f>sum(H28:H32)</f>
        <v/>
      </c>
      <c r="I27" s="251">
        <f>H27-G27</f>
        <v/>
      </c>
      <c r="J27" s="257" t="inlineStr"/>
      <c r="K27" s="251">
        <f>sum(K28:K32)</f>
        <v/>
      </c>
      <c r="L27" s="251">
        <f>sum(L28:L32)</f>
        <v/>
      </c>
      <c r="M27" s="251">
        <f>sum(M28:M32)</f>
        <v/>
      </c>
      <c r="N27" s="251">
        <f>sum(N28:N32)</f>
        <v/>
      </c>
      <c r="O27" s="251">
        <f>sum(O28:O32)</f>
        <v/>
      </c>
      <c r="P27" s="251">
        <f>sum(P28:P32)</f>
        <v/>
      </c>
      <c r="Q27" s="251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257" t="inlineStr"/>
      <c r="B28" s="258" t="inlineStr">
        <is>
          <t>Organic</t>
        </is>
      </c>
      <c r="C28" s="252" t="n">
        <v>0</v>
      </c>
      <c r="D28" s="252" t="n">
        <v>0</v>
      </c>
      <c r="E28" s="252" t="n">
        <v>0</v>
      </c>
      <c r="F28" s="252" t="n">
        <v>0</v>
      </c>
      <c r="G28" s="252" t="n">
        <v>141</v>
      </c>
      <c r="H28" s="252" t="n">
        <v>477</v>
      </c>
      <c r="I28" s="252">
        <f>H28-G28</f>
        <v/>
      </c>
      <c r="J28" s="257" t="inlineStr"/>
      <c r="K28" s="252" t="n">
        <v>0</v>
      </c>
      <c r="L28" s="252" t="n">
        <v>0</v>
      </c>
      <c r="M28" s="252" t="n">
        <v>0</v>
      </c>
      <c r="N28" s="252" t="n">
        <v>0</v>
      </c>
      <c r="O28" s="252" t="n">
        <v>298</v>
      </c>
      <c r="P28" s="252" t="n">
        <v>477</v>
      </c>
      <c r="Q28" s="252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257" t="inlineStr"/>
      <c r="B29" s="258" t="inlineStr">
        <is>
          <t>Direct</t>
        </is>
      </c>
      <c r="C29" s="252" t="n">
        <v>0</v>
      </c>
      <c r="D29" s="252" t="n">
        <v>0</v>
      </c>
      <c r="E29" s="252" t="n">
        <v>0</v>
      </c>
      <c r="F29" s="252" t="n">
        <v>0</v>
      </c>
      <c r="G29" s="252" t="n">
        <v>16</v>
      </c>
      <c r="H29" s="252" t="n">
        <v>33</v>
      </c>
      <c r="I29" s="252">
        <f>H29-G29</f>
        <v/>
      </c>
      <c r="J29" s="257" t="inlineStr"/>
      <c r="K29" s="252" t="n">
        <v>0</v>
      </c>
      <c r="L29" s="252" t="n">
        <v>0</v>
      </c>
      <c r="M29" s="252" t="n">
        <v>0</v>
      </c>
      <c r="N29" s="252" t="n">
        <v>0</v>
      </c>
      <c r="O29" s="252" t="n">
        <v>30</v>
      </c>
      <c r="P29" s="252" t="n">
        <v>33</v>
      </c>
      <c r="Q29" s="252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257" t="inlineStr"/>
      <c r="B30" s="258" t="inlineStr">
        <is>
          <t>Paid</t>
        </is>
      </c>
      <c r="C30" s="252" t="n">
        <v>0</v>
      </c>
      <c r="D30" s="252" t="n">
        <v>0</v>
      </c>
      <c r="E30" s="252" t="n">
        <v>0</v>
      </c>
      <c r="F30" s="252" t="n">
        <v>0</v>
      </c>
      <c r="G30" s="252" t="n">
        <v>3</v>
      </c>
      <c r="H30" s="252" t="n">
        <v>5</v>
      </c>
      <c r="I30" s="252">
        <f>H30-G30</f>
        <v/>
      </c>
      <c r="J30" s="257" t="inlineStr"/>
      <c r="K30" s="252" t="n">
        <v>0</v>
      </c>
      <c r="L30" s="252" t="n">
        <v>0</v>
      </c>
      <c r="M30" s="252" t="n">
        <v>0</v>
      </c>
      <c r="N30" s="252" t="n">
        <v>0</v>
      </c>
      <c r="O30" s="252" t="n">
        <v>3</v>
      </c>
      <c r="P30" s="252" t="n">
        <v>5</v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257" t="inlineStr"/>
      <c r="B31" s="258" t="inlineStr">
        <is>
          <t>Referral</t>
        </is>
      </c>
      <c r="C31" s="252" t="n">
        <v>0</v>
      </c>
      <c r="D31" s="252" t="n">
        <v>0</v>
      </c>
      <c r="E31" s="252" t="n">
        <v>0</v>
      </c>
      <c r="F31" s="252" t="n">
        <v>0</v>
      </c>
      <c r="G31" s="252" t="n">
        <v>22</v>
      </c>
      <c r="H31" s="252" t="n">
        <v>35</v>
      </c>
      <c r="I31" s="252">
        <f>H31-G31</f>
        <v/>
      </c>
      <c r="J31" s="257" t="inlineStr"/>
      <c r="K31" s="252" t="n">
        <v>0</v>
      </c>
      <c r="L31" s="252" t="n">
        <v>0</v>
      </c>
      <c r="M31" s="252" t="n">
        <v>0</v>
      </c>
      <c r="N31" s="252" t="n">
        <v>0</v>
      </c>
      <c r="O31" s="252" t="n">
        <v>30</v>
      </c>
      <c r="P31" s="252" t="n">
        <v>35</v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257" t="inlineStr"/>
      <c r="B32" s="258" t="inlineStr">
        <is>
          <t>Others</t>
        </is>
      </c>
      <c r="C32" s="252" t="n">
        <v>0</v>
      </c>
      <c r="D32" s="252" t="n">
        <v>0</v>
      </c>
      <c r="E32" s="252" t="n">
        <v>0</v>
      </c>
      <c r="F32" s="252" t="n">
        <v>0</v>
      </c>
      <c r="G32" s="252" t="n">
        <v>5</v>
      </c>
      <c r="H32" s="252" t="n">
        <v>13</v>
      </c>
      <c r="I32" s="252">
        <f>H32-G32</f>
        <v/>
      </c>
      <c r="J32" s="257" t="inlineStr"/>
      <c r="K32" s="252" t="n">
        <v>0</v>
      </c>
      <c r="L32" s="252" t="n">
        <v>0</v>
      </c>
      <c r="M32" s="252" t="n">
        <v>0</v>
      </c>
      <c r="N32" s="252" t="n">
        <v>0</v>
      </c>
      <c r="O32" s="252" t="n">
        <v>8</v>
      </c>
      <c r="P32" s="252" t="n">
        <v>13</v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256" t="inlineStr">
        <is>
          <t>Trạm Sạc</t>
        </is>
      </c>
      <c r="B34" s="257" t="inlineStr"/>
      <c r="C34" s="251">
        <f>sum(C35:C39)</f>
        <v/>
      </c>
      <c r="D34" s="251">
        <f>sum(D35:D39)</f>
        <v/>
      </c>
      <c r="E34" s="251">
        <f>sum(E35:E39)</f>
        <v/>
      </c>
      <c r="F34" s="251">
        <f>sum(F35:F39)</f>
        <v/>
      </c>
      <c r="G34" s="251">
        <f>sum(G35:G39)</f>
        <v/>
      </c>
      <c r="H34" s="251">
        <f>sum(H35:H39)</f>
        <v/>
      </c>
      <c r="I34" s="251">
        <f>H34-G34</f>
        <v/>
      </c>
      <c r="J34" s="257" t="inlineStr"/>
      <c r="K34" s="251">
        <f>sum(K35:K39)</f>
        <v/>
      </c>
      <c r="L34" s="251">
        <f>sum(L35:L39)</f>
        <v/>
      </c>
      <c r="M34" s="251">
        <f>sum(M35:M39)</f>
        <v/>
      </c>
      <c r="N34" s="251">
        <f>sum(N35:N39)</f>
        <v/>
      </c>
      <c r="O34" s="251">
        <f>sum(O35:O39)</f>
        <v/>
      </c>
      <c r="P34" s="251">
        <f>sum(P35:P39)</f>
        <v/>
      </c>
      <c r="Q34" s="251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257" t="inlineStr"/>
      <c r="B35" s="258" t="inlineStr">
        <is>
          <t>Organic</t>
        </is>
      </c>
      <c r="C35" s="252" t="n">
        <v>0</v>
      </c>
      <c r="D35" s="252" t="n">
        <v>0</v>
      </c>
      <c r="E35" s="252" t="n">
        <v>0</v>
      </c>
      <c r="F35" s="252" t="n">
        <v>0</v>
      </c>
      <c r="G35" s="252" t="n">
        <v>42</v>
      </c>
      <c r="H35" s="252" t="n">
        <v>21</v>
      </c>
      <c r="I35" s="252">
        <f>H35-G35</f>
        <v/>
      </c>
      <c r="J35" s="257" t="inlineStr"/>
      <c r="K35" s="252" t="n">
        <v>0</v>
      </c>
      <c r="L35" s="252" t="n">
        <v>0</v>
      </c>
      <c r="M35" s="252" t="n">
        <v>0</v>
      </c>
      <c r="N35" s="252" t="n">
        <v>0</v>
      </c>
      <c r="O35" s="252" t="n">
        <v>43</v>
      </c>
      <c r="P35" s="252" t="n">
        <v>21</v>
      </c>
      <c r="Q35" s="252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257" t="inlineStr"/>
      <c r="B36" s="258" t="inlineStr">
        <is>
          <t>Direct</t>
        </is>
      </c>
      <c r="C36" s="252" t="n">
        <v>0</v>
      </c>
      <c r="D36" s="252" t="n">
        <v>0</v>
      </c>
      <c r="E36" s="252" t="n">
        <v>0</v>
      </c>
      <c r="F36" s="252" t="n">
        <v>0</v>
      </c>
      <c r="G36" s="252" t="n">
        <v>2</v>
      </c>
      <c r="H36" s="252" t="n">
        <v>7</v>
      </c>
      <c r="I36" s="252">
        <f>H36-G36</f>
        <v/>
      </c>
      <c r="J36" s="257" t="inlineStr"/>
      <c r="K36" s="252" t="n">
        <v>0</v>
      </c>
      <c r="L36" s="252" t="n">
        <v>0</v>
      </c>
      <c r="M36" s="252" t="n">
        <v>0</v>
      </c>
      <c r="N36" s="252" t="n">
        <v>0</v>
      </c>
      <c r="O36" s="252" t="n">
        <v>2</v>
      </c>
      <c r="P36" s="252" t="n">
        <v>7</v>
      </c>
      <c r="Q36" s="252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257" t="inlineStr"/>
      <c r="B37" s="258" t="inlineStr">
        <is>
          <t>Paid</t>
        </is>
      </c>
      <c r="C37" s="252" t="n">
        <v>0</v>
      </c>
      <c r="D37" s="252" t="n">
        <v>0</v>
      </c>
      <c r="E37" s="252" t="n">
        <v>0</v>
      </c>
      <c r="F37" s="252" t="n">
        <v>0</v>
      </c>
      <c r="G37" s="252" t="n">
        <v>5</v>
      </c>
      <c r="H37" s="252" t="n">
        <v>4</v>
      </c>
      <c r="I37" s="252">
        <f>H37-G37</f>
        <v/>
      </c>
      <c r="J37" s="257" t="inlineStr"/>
      <c r="K37" s="252" t="n">
        <v>0</v>
      </c>
      <c r="L37" s="252" t="n">
        <v>0</v>
      </c>
      <c r="M37" s="252" t="n">
        <v>0</v>
      </c>
      <c r="N37" s="252" t="n">
        <v>0</v>
      </c>
      <c r="O37" s="252" t="n">
        <v>5</v>
      </c>
      <c r="P37" s="252" t="n">
        <v>4</v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257" t="inlineStr"/>
      <c r="B38" s="258" t="inlineStr">
        <is>
          <t>Referral</t>
        </is>
      </c>
      <c r="C38" s="252" t="n">
        <v>0</v>
      </c>
      <c r="D38" s="252" t="n">
        <v>0</v>
      </c>
      <c r="E38" s="252" t="n">
        <v>0</v>
      </c>
      <c r="F38" s="252" t="n">
        <v>0</v>
      </c>
      <c r="G38" s="252" t="n">
        <v>5</v>
      </c>
      <c r="H38" s="252" t="n">
        <v>2</v>
      </c>
      <c r="I38" s="252">
        <f>H38-G38</f>
        <v/>
      </c>
      <c r="J38" s="257" t="inlineStr"/>
      <c r="K38" s="252" t="n">
        <v>0</v>
      </c>
      <c r="L38" s="252" t="n">
        <v>0</v>
      </c>
      <c r="M38" s="252" t="n">
        <v>0</v>
      </c>
      <c r="N38" s="252" t="n">
        <v>0</v>
      </c>
      <c r="O38" s="252" t="n">
        <v>5</v>
      </c>
      <c r="P38" s="252" t="n">
        <v>2</v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257" t="inlineStr"/>
      <c r="B39" s="258" t="inlineStr">
        <is>
          <t>Others</t>
        </is>
      </c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1</v>
      </c>
      <c r="H39" s="252" t="n">
        <v>2</v>
      </c>
      <c r="I39" s="252">
        <f>H39-G39</f>
        <v/>
      </c>
      <c r="J39" s="257" t="inlineStr"/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3</v>
      </c>
      <c r="P39" s="252" t="n">
        <v>2</v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256" t="inlineStr">
        <is>
          <t>Hãng Xe (VinFast)</t>
        </is>
      </c>
      <c r="B41" s="257" t="inlineStr"/>
      <c r="C41" s="251">
        <f>sum(C42:C46)</f>
        <v/>
      </c>
      <c r="D41" s="251">
        <f>sum(D42:D46)</f>
        <v/>
      </c>
      <c r="E41" s="251">
        <f>sum(E42:E46)</f>
        <v/>
      </c>
      <c r="F41" s="251">
        <f>sum(F42:F46)</f>
        <v/>
      </c>
      <c r="G41" s="251">
        <f>sum(G42:G46)</f>
        <v/>
      </c>
      <c r="H41" s="251">
        <f>sum(H42:H46)</f>
        <v/>
      </c>
      <c r="I41" s="251">
        <f>H41-G41</f>
        <v/>
      </c>
      <c r="J41" s="257" t="inlineStr"/>
      <c r="K41" s="251">
        <f>sum(K42:K46)</f>
        <v/>
      </c>
      <c r="L41" s="251">
        <f>sum(L42:L46)</f>
        <v/>
      </c>
      <c r="M41" s="251">
        <f>sum(M42:M46)</f>
        <v/>
      </c>
      <c r="N41" s="251">
        <f>sum(N42:N46)</f>
        <v/>
      </c>
      <c r="O41" s="251">
        <f>sum(O42:O46)</f>
        <v/>
      </c>
      <c r="P41" s="251">
        <f>sum(P42:P46)</f>
        <v/>
      </c>
      <c r="Q41" s="251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257" t="inlineStr"/>
      <c r="B42" s="257" t="inlineStr">
        <is>
          <t>Organic</t>
        </is>
      </c>
      <c r="C42" s="252" t="n">
        <v>0</v>
      </c>
      <c r="D42" s="252" t="n">
        <v>0</v>
      </c>
      <c r="E42" s="252" t="n">
        <v>0</v>
      </c>
      <c r="F42" s="252" t="n">
        <v>0</v>
      </c>
      <c r="G42" s="252" t="n">
        <v>0</v>
      </c>
      <c r="H42" s="252" t="n">
        <v>86</v>
      </c>
      <c r="I42" s="252">
        <f>H42-G42</f>
        <v/>
      </c>
      <c r="J42" s="257" t="inlineStr"/>
      <c r="K42" s="252" t="n">
        <v>0</v>
      </c>
      <c r="L42" s="252" t="n">
        <v>0</v>
      </c>
      <c r="M42" s="252" t="n">
        <v>0</v>
      </c>
      <c r="N42" s="252" t="n">
        <v>0</v>
      </c>
      <c r="O42" s="252" t="n">
        <v>0</v>
      </c>
      <c r="P42" s="252" t="n">
        <v>86</v>
      </c>
      <c r="Q42" s="252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257" t="inlineStr"/>
      <c r="B43" s="257" t="inlineStr">
        <is>
          <t>Direct</t>
        </is>
      </c>
      <c r="C43" s="252" t="n">
        <v>0</v>
      </c>
      <c r="D43" s="252" t="n">
        <v>0</v>
      </c>
      <c r="E43" s="252" t="n">
        <v>0</v>
      </c>
      <c r="F43" s="252" t="n">
        <v>0</v>
      </c>
      <c r="G43" s="252" t="n">
        <v>0</v>
      </c>
      <c r="H43" s="252" t="n">
        <v>8</v>
      </c>
      <c r="I43" s="252">
        <f>H43-G43</f>
        <v/>
      </c>
      <c r="J43" s="257" t="inlineStr"/>
      <c r="K43" s="252" t="n">
        <v>0</v>
      </c>
      <c r="L43" s="252" t="n">
        <v>0</v>
      </c>
      <c r="M43" s="252" t="n">
        <v>0</v>
      </c>
      <c r="N43" s="252" t="n">
        <v>0</v>
      </c>
      <c r="O43" s="252" t="n">
        <v>0</v>
      </c>
      <c r="P43" s="252" t="n">
        <v>8</v>
      </c>
      <c r="Q43" s="252">
        <f>P43-O43</f>
        <v/>
      </c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257" t="inlineStr"/>
      <c r="B44" s="257" t="inlineStr">
        <is>
          <t>Paid</t>
        </is>
      </c>
      <c r="C44" s="252" t="n">
        <v>0</v>
      </c>
      <c r="D44" s="252" t="n">
        <v>0</v>
      </c>
      <c r="E44" s="252" t="n">
        <v>0</v>
      </c>
      <c r="F44" s="252" t="n">
        <v>0</v>
      </c>
      <c r="G44" s="252" t="n">
        <v>0</v>
      </c>
      <c r="H44" s="252" t="n">
        <v>0</v>
      </c>
      <c r="I44" s="252">
        <f>H44-G44</f>
        <v/>
      </c>
      <c r="J44" s="257" t="inlineStr"/>
      <c r="K44" s="252" t="n">
        <v>0</v>
      </c>
      <c r="L44" s="252" t="n">
        <v>0</v>
      </c>
      <c r="M44" s="252" t="n">
        <v>0</v>
      </c>
      <c r="N44" s="252" t="n">
        <v>0</v>
      </c>
      <c r="O44" s="252" t="n">
        <v>0</v>
      </c>
      <c r="P44" s="252" t="n">
        <v>0</v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257" t="inlineStr"/>
      <c r="B45" s="257" t="inlineStr">
        <is>
          <t>Referral</t>
        </is>
      </c>
      <c r="C45" s="252" t="n">
        <v>0</v>
      </c>
      <c r="D45" s="252" t="n">
        <v>0</v>
      </c>
      <c r="E45" s="252" t="n">
        <v>0</v>
      </c>
      <c r="F45" s="252" t="n">
        <v>0</v>
      </c>
      <c r="G45" s="252" t="n">
        <v>0</v>
      </c>
      <c r="H45" s="252" t="n">
        <v>2</v>
      </c>
      <c r="I45" s="252">
        <f>H45-G45</f>
        <v/>
      </c>
      <c r="J45" s="257" t="inlineStr"/>
      <c r="K45" s="252" t="n">
        <v>0</v>
      </c>
      <c r="L45" s="252" t="n">
        <v>0</v>
      </c>
      <c r="M45" s="252" t="n">
        <v>0</v>
      </c>
      <c r="N45" s="252" t="n">
        <v>0</v>
      </c>
      <c r="O45" s="252" t="n">
        <v>0</v>
      </c>
      <c r="P45" s="252" t="n">
        <v>2</v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257" t="inlineStr"/>
      <c r="B46" s="257" t="inlineStr">
        <is>
          <t>Others</t>
        </is>
      </c>
      <c r="C46" s="252" t="n">
        <v>0</v>
      </c>
      <c r="D46" s="252" t="n">
        <v>0</v>
      </c>
      <c r="E46" s="252" t="n">
        <v>0</v>
      </c>
      <c r="F46" s="252" t="n">
        <v>0</v>
      </c>
      <c r="G46" s="252" t="n">
        <v>0</v>
      </c>
      <c r="H46" s="252" t="n">
        <v>0</v>
      </c>
      <c r="I46" s="252">
        <f>H46-G46</f>
        <v/>
      </c>
      <c r="J46" s="257" t="inlineStr"/>
      <c r="K46" s="252" t="n">
        <v>0</v>
      </c>
      <c r="L46" s="252" t="n">
        <v>0</v>
      </c>
      <c r="M46" s="252" t="n">
        <v>0</v>
      </c>
      <c r="N46" s="252" t="n">
        <v>0</v>
      </c>
      <c r="O46" s="252" t="n">
        <v>0</v>
      </c>
      <c r="P46" s="252" t="n">
        <v>0</v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256" t="inlineStr">
        <is>
          <t>Phạt Nguội</t>
        </is>
      </c>
      <c r="B48" s="257" t="inlineStr"/>
      <c r="C48" s="251">
        <f>sum(C49:C53)</f>
        <v/>
      </c>
      <c r="D48" s="251">
        <f>sum(D49:D53)</f>
        <v/>
      </c>
      <c r="E48" s="251">
        <f>sum(E49:E53)</f>
        <v/>
      </c>
      <c r="F48" s="251">
        <f>sum(F49:F53)</f>
        <v/>
      </c>
      <c r="G48" s="251">
        <f>sum(G49:G53)</f>
        <v/>
      </c>
      <c r="H48" s="251">
        <f>sum(H49:H53)</f>
        <v/>
      </c>
      <c r="I48" s="251">
        <f>H48-G48</f>
        <v/>
      </c>
      <c r="J48" s="257" t="inlineStr"/>
      <c r="K48" s="251">
        <f>sum(K49:K53)</f>
        <v/>
      </c>
      <c r="L48" s="251">
        <f>sum(L49:L53)</f>
        <v/>
      </c>
      <c r="M48" s="251">
        <f>sum(M49:M53)</f>
        <v/>
      </c>
      <c r="N48" s="251">
        <f>sum(N49:N53)</f>
        <v/>
      </c>
      <c r="O48" s="251">
        <f>sum(O49:O53)</f>
        <v/>
      </c>
      <c r="P48" s="251">
        <f>sum(P49:P53)</f>
        <v/>
      </c>
      <c r="Q48" s="251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257" t="inlineStr"/>
      <c r="B49" s="257" t="inlineStr">
        <is>
          <t>Paid</t>
        </is>
      </c>
      <c r="C49" s="252">
        <f>SUMIFS('MTD Pivot'!D:D, 'MTD Pivot'!$A:$A, "Phạt Nguội", 'MTD Pivot'!$C:$C, $B49)</f>
        <v/>
      </c>
      <c r="D49" s="252">
        <f>SUMIFS('MTD Pivot'!E:E, 'MTD Pivot'!$A:$A, "Phạt Nguội", 'MTD Pivot'!$C:$C, $B49)</f>
        <v/>
      </c>
      <c r="E49" s="252">
        <f>SUMIFS('MTD Pivot'!F:F, 'MTD Pivot'!$A:$A, "Phạt Nguội", 'MTD Pivot'!$C:$C, $B49)</f>
        <v/>
      </c>
      <c r="F49" s="252">
        <f>SUMIFS('MTD Pivot'!G:G, 'MTD Pivot'!$A:$A, "Phạt Nguội", 'MTD Pivot'!$C:$C, $B49)</f>
        <v/>
      </c>
      <c r="G49" s="252">
        <f>SUMIFS('MTD Pivot'!H:H, 'MTD Pivot'!$A:$A, "Phạt Nguội", 'MTD Pivot'!$C:$C, $B49)</f>
        <v/>
      </c>
      <c r="H49" s="252">
        <f>SUMIFS('MTD Pivot'!I:I, 'MTD Pivot'!$A:$A, "Phạt Nguội", 'MTD Pivot'!$C:$C, $B49)</f>
        <v/>
      </c>
      <c r="I49" s="252">
        <f>H49-G49</f>
        <v/>
      </c>
      <c r="J49" s="257" t="inlineStr"/>
      <c r="K49" s="252">
        <f>SUMIFS('Full month Pivot'!D:D, 'Full month Pivot'!$A:$A, "Phạt Nguội", 'Full month Pivot'!$C:$C, $B49)</f>
        <v/>
      </c>
      <c r="L49" s="252">
        <f>SUMIFS('Full month Pivot'!E:E, 'Full month Pivot'!$A:$A, "Phạt Nguội", 'Full month Pivot'!$C:$C, $B49)</f>
        <v/>
      </c>
      <c r="M49" s="252">
        <f>SUMIFS('Full month Pivot'!F:F, 'Full month Pivot'!$A:$A, "Phạt Nguội", 'Full month Pivot'!$C:$C, $B49)</f>
        <v/>
      </c>
      <c r="N49" s="252">
        <f>SUMIFS('Full month Pivot'!G:G, 'Full month Pivot'!$A:$A, "Phạt Nguội", 'Full month Pivot'!$C:$C, $B49)</f>
        <v/>
      </c>
      <c r="O49" s="252">
        <f>SUMIFS('Full month Pivot'!H:H, 'Full month Pivot'!$A:$A, "Phạt Nguội", 'Full month Pivot'!$C:$C, $B49)</f>
        <v/>
      </c>
      <c r="P49" s="252">
        <f>SUMIFS('Full month Pivot'!I:I, 'Full month Pivot'!$A:$A, "Phạt Nguội", 'Full month Pivot'!$C:$C, $B49)</f>
        <v/>
      </c>
      <c r="Q49" s="252">
        <f>P49-O49</f>
        <v/>
      </c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257" t="inlineStr"/>
      <c r="B50" s="257" t="inlineStr">
        <is>
          <t>Direct</t>
        </is>
      </c>
      <c r="C50" s="252">
        <f>SUMIFS('MTD Pivot'!D:D, 'MTD Pivot'!$A:$A, "Phạt Nguội", 'MTD Pivot'!$C:$C, $B50)</f>
        <v/>
      </c>
      <c r="D50" s="252">
        <f>SUMIFS('MTD Pivot'!E:E, 'MTD Pivot'!$A:$A, "Phạt Nguội", 'MTD Pivot'!$C:$C, $B50)</f>
        <v/>
      </c>
      <c r="E50" s="252">
        <f>SUMIFS('MTD Pivot'!F:F, 'MTD Pivot'!$A:$A, "Phạt Nguội", 'MTD Pivot'!$C:$C, $B50)</f>
        <v/>
      </c>
      <c r="F50" s="252">
        <f>SUMIFS('MTD Pivot'!G:G, 'MTD Pivot'!$A:$A, "Phạt Nguội", 'MTD Pivot'!$C:$C, $B50)</f>
        <v/>
      </c>
      <c r="G50" s="252">
        <f>SUMIFS('MTD Pivot'!H:H, 'MTD Pivot'!$A:$A, "Phạt Nguội", 'MTD Pivot'!$C:$C, $B50)</f>
        <v/>
      </c>
      <c r="H50" s="252">
        <f>SUMIFS('MTD Pivot'!I:I, 'MTD Pivot'!$A:$A, "Phạt Nguội", 'MTD Pivot'!$C:$C, $B50)</f>
        <v/>
      </c>
      <c r="I50" s="252">
        <f>H50-G50</f>
        <v/>
      </c>
      <c r="J50" s="257" t="inlineStr"/>
      <c r="K50" s="252">
        <f>SUMIFS('Full month Pivot'!D:D, 'Full month Pivot'!$A:$A, "Phạt Nguội", 'Full month Pivot'!$C:$C, $B50)</f>
        <v/>
      </c>
      <c r="L50" s="252">
        <f>SUMIFS('Full month Pivot'!E:E, 'Full month Pivot'!$A:$A, "Phạt Nguội", 'Full month Pivot'!$C:$C, $B50)</f>
        <v/>
      </c>
      <c r="M50" s="252">
        <f>SUMIFS('Full month Pivot'!F:F, 'Full month Pivot'!$A:$A, "Phạt Nguội", 'Full month Pivot'!$C:$C, $B50)</f>
        <v/>
      </c>
      <c r="N50" s="252">
        <f>SUMIFS('Full month Pivot'!G:G, 'Full month Pivot'!$A:$A, "Phạt Nguội", 'Full month Pivot'!$C:$C, $B50)</f>
        <v/>
      </c>
      <c r="O50" s="252">
        <f>SUMIFS('Full month Pivot'!H:H, 'Full month Pivot'!$A:$A, "Phạt Nguội", 'Full month Pivot'!$C:$C, $B50)</f>
        <v/>
      </c>
      <c r="P50" s="252">
        <f>SUMIFS('Full month Pivot'!I:I, 'Full month Pivot'!$A:$A, "Phạt Nguội", 'Full month Pivot'!$C:$C, $B50)</f>
        <v/>
      </c>
      <c r="Q50" s="252">
        <f>P50-O50</f>
        <v/>
      </c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257" t="inlineStr"/>
      <c r="B51" s="257" t="inlineStr">
        <is>
          <t>Organic</t>
        </is>
      </c>
      <c r="C51" s="252">
        <f>SUMIFS('MTD Pivot'!D:D, 'MTD Pivot'!$A:$A, "Phạt Nguội", 'MTD Pivot'!$C:$C, $B51)</f>
        <v/>
      </c>
      <c r="D51" s="252">
        <f>SUMIFS('MTD Pivot'!E:E, 'MTD Pivot'!$A:$A, "Phạt Nguội", 'MTD Pivot'!$C:$C, $B51)</f>
        <v/>
      </c>
      <c r="E51" s="252">
        <f>SUMIFS('MTD Pivot'!F:F, 'MTD Pivot'!$A:$A, "Phạt Nguội", 'MTD Pivot'!$C:$C, $B51)</f>
        <v/>
      </c>
      <c r="F51" s="252">
        <f>SUMIFS('MTD Pivot'!G:G, 'MTD Pivot'!$A:$A, "Phạt Nguội", 'MTD Pivot'!$C:$C, $B51)</f>
        <v/>
      </c>
      <c r="G51" s="252">
        <f>SUMIFS('MTD Pivot'!H:H, 'MTD Pivot'!$A:$A, "Phạt Nguội", 'MTD Pivot'!$C:$C, $B51)</f>
        <v/>
      </c>
      <c r="H51" s="252">
        <f>SUMIFS('MTD Pivot'!I:I, 'MTD Pivot'!$A:$A, "Phạt Nguội", 'MTD Pivot'!$C:$C, $B51)</f>
        <v/>
      </c>
      <c r="I51" s="252">
        <f>H51-G51</f>
        <v/>
      </c>
      <c r="J51" s="257" t="inlineStr"/>
      <c r="K51" s="252">
        <f>SUMIFS('Full month Pivot'!D:D, 'Full month Pivot'!$A:$A, "Phạt Nguội", 'Full month Pivot'!$C:$C, $B51)</f>
        <v/>
      </c>
      <c r="L51" s="252">
        <f>SUMIFS('Full month Pivot'!E:E, 'Full month Pivot'!$A:$A, "Phạt Nguội", 'Full month Pivot'!$C:$C, $B51)</f>
        <v/>
      </c>
      <c r="M51" s="252">
        <f>SUMIFS('Full month Pivot'!F:F, 'Full month Pivot'!$A:$A, "Phạt Nguội", 'Full month Pivot'!$C:$C, $B51)</f>
        <v/>
      </c>
      <c r="N51" s="252">
        <f>SUMIFS('Full month Pivot'!G:G, 'Full month Pivot'!$A:$A, "Phạt Nguội", 'Full month Pivot'!$C:$C, $B51)</f>
        <v/>
      </c>
      <c r="O51" s="252">
        <f>SUMIFS('Full month Pivot'!H:H, 'Full month Pivot'!$A:$A, "Phạt Nguội", 'Full month Pivot'!$C:$C, $B51)</f>
        <v/>
      </c>
      <c r="P51" s="252">
        <f>SUMIFS('Full month Pivot'!I:I, 'Full month Pivot'!$A:$A, "Phạt Nguội",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257" t="inlineStr"/>
      <c r="B52" s="257" t="inlineStr">
        <is>
          <t>Others</t>
        </is>
      </c>
      <c r="C52" s="252">
        <f>SUMIFS('MTD Pivot'!D:D, 'MTD Pivot'!$A:$A, "Phạt Nguội", 'MTD Pivot'!$C:$C, $B52)</f>
        <v/>
      </c>
      <c r="D52" s="252">
        <f>SUMIFS('MTD Pivot'!E:E, 'MTD Pivot'!$A:$A, "Phạt Nguội", 'MTD Pivot'!$C:$C, $B52)</f>
        <v/>
      </c>
      <c r="E52" s="252">
        <f>SUMIFS('MTD Pivot'!F:F, 'MTD Pivot'!$A:$A, "Phạt Nguội", 'MTD Pivot'!$C:$C, $B52)</f>
        <v/>
      </c>
      <c r="F52" s="252">
        <f>SUMIFS('MTD Pivot'!G:G, 'MTD Pivot'!$A:$A, "Phạt Nguội", 'MTD Pivot'!$C:$C, $B52)</f>
        <v/>
      </c>
      <c r="G52" s="252">
        <f>SUMIFS('MTD Pivot'!H:H, 'MTD Pivot'!$A:$A, "Phạt Nguội", 'MTD Pivot'!$C:$C, $B52)</f>
        <v/>
      </c>
      <c r="H52" s="252">
        <f>SUMIFS('MTD Pivot'!I:I, 'MTD Pivot'!$A:$A, "Phạt Nguội", 'MTD Pivot'!$C:$C, $B52)</f>
        <v/>
      </c>
      <c r="I52" s="252">
        <f>H52-G52</f>
        <v/>
      </c>
      <c r="J52" s="257" t="inlineStr"/>
      <c r="K52" s="252">
        <f>SUMIFS('Full month Pivot'!D:D, 'Full month Pivot'!$A:$A, "Phạt Nguội", 'Full month Pivot'!$C:$C, $B52)</f>
        <v/>
      </c>
      <c r="L52" s="252">
        <f>SUMIFS('Full month Pivot'!E:E, 'Full month Pivot'!$A:$A, "Phạt Nguội", 'Full month Pivot'!$C:$C, $B52)</f>
        <v/>
      </c>
      <c r="M52" s="252">
        <f>SUMIFS('Full month Pivot'!F:F, 'Full month Pivot'!$A:$A, "Phạt Nguội", 'Full month Pivot'!$C:$C, $B52)</f>
        <v/>
      </c>
      <c r="N52" s="252">
        <f>SUMIFS('Full month Pivot'!G:G, 'Full month Pivot'!$A:$A, "Phạt Nguội", 'Full month Pivot'!$C:$C, $B52)</f>
        <v/>
      </c>
      <c r="O52" s="252">
        <f>SUMIFS('Full month Pivot'!H:H, 'Full month Pivot'!$A:$A, "Phạt Nguội", 'Full month Pivot'!$C:$C, $B52)</f>
        <v/>
      </c>
      <c r="P52" s="252">
        <f>SUMIFS('Full month Pivot'!I:I, 'Full month Pivot'!$A:$A, "Phạt Nguội",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257" t="inlineStr"/>
      <c r="B53" s="257" t="inlineStr">
        <is>
          <t>Referral</t>
        </is>
      </c>
      <c r="C53" s="252">
        <f>SUMIFS('MTD Pivot'!D:D, 'MTD Pivot'!$A:$A, "Phạt Nguội", 'MTD Pivot'!$C:$C, $B53)</f>
        <v/>
      </c>
      <c r="D53" s="252">
        <f>SUMIFS('MTD Pivot'!E:E, 'MTD Pivot'!$A:$A, "Phạt Nguội", 'MTD Pivot'!$C:$C, $B53)</f>
        <v/>
      </c>
      <c r="E53" s="252">
        <f>SUMIFS('MTD Pivot'!F:F, 'MTD Pivot'!$A:$A, "Phạt Nguội", 'MTD Pivot'!$C:$C, $B53)</f>
        <v/>
      </c>
      <c r="F53" s="252">
        <f>SUMIFS('MTD Pivot'!G:G, 'MTD Pivot'!$A:$A, "Phạt Nguội", 'MTD Pivot'!$C:$C, $B53)</f>
        <v/>
      </c>
      <c r="G53" s="252">
        <f>SUMIFS('MTD Pivot'!H:H, 'MTD Pivot'!$A:$A, "Phạt Nguội", 'MTD Pivot'!$C:$C, $B53)</f>
        <v/>
      </c>
      <c r="H53" s="252">
        <f>SUMIFS('MTD Pivot'!I:I, 'MTD Pivot'!$A:$A, "Phạt Nguội", 'MTD Pivot'!$C:$C, $B53)</f>
        <v/>
      </c>
      <c r="I53" s="252">
        <f>H53-G53</f>
        <v/>
      </c>
      <c r="J53" s="257" t="inlineStr"/>
      <c r="K53" s="252">
        <f>SUMIFS('Full month Pivot'!D:D, 'Full month Pivot'!$A:$A, "Phạt Nguội", 'Full month Pivot'!$C:$C, $B53)</f>
        <v/>
      </c>
      <c r="L53" s="252">
        <f>SUMIFS('Full month Pivot'!E:E, 'Full month Pivot'!$A:$A, "Phạt Nguội", 'Full month Pivot'!$C:$C, $B53)</f>
        <v/>
      </c>
      <c r="M53" s="252">
        <f>SUMIFS('Full month Pivot'!F:F, 'Full month Pivot'!$A:$A, "Phạt Nguội", 'Full month Pivot'!$C:$C, $B53)</f>
        <v/>
      </c>
      <c r="N53" s="252">
        <f>SUMIFS('Full month Pivot'!G:G, 'Full month Pivot'!$A:$A, "Phạt Nguội", 'Full month Pivot'!$C:$C, $B53)</f>
        <v/>
      </c>
      <c r="O53" s="252">
        <f>SUMIFS('Full month Pivot'!H:H, 'Full month Pivot'!$A:$A, "Phạt Nguội", 'Full month Pivot'!$C:$C, $B53)</f>
        <v/>
      </c>
      <c r="P53" s="252">
        <f>SUMIFS('Full month Pivot'!I:I, 'Full month Pivot'!$A:$A, "Phạt Nguội",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256" t="inlineStr">
        <is>
          <t>Bảo Hiểm Ô Tô</t>
        </is>
      </c>
      <c r="B55" s="257" t="inlineStr"/>
      <c r="C55" s="251">
        <f>sum(C56:C60)</f>
        <v/>
      </c>
      <c r="D55" s="251">
        <f>sum(D56:D60)</f>
        <v/>
      </c>
      <c r="E55" s="251">
        <f>sum(E56:E60)</f>
        <v/>
      </c>
      <c r="F55" s="251">
        <f>sum(F56:F60)</f>
        <v/>
      </c>
      <c r="G55" s="251">
        <f>sum(G56:G60)</f>
        <v/>
      </c>
      <c r="H55" s="251">
        <f>sum(H56:H60)</f>
        <v/>
      </c>
      <c r="I55" s="251">
        <f>H55-G55</f>
        <v/>
      </c>
      <c r="J55" s="257" t="inlineStr"/>
      <c r="K55" s="251">
        <f>sum(K56:K60)</f>
        <v/>
      </c>
      <c r="L55" s="251">
        <f>sum(L56:L60)</f>
        <v/>
      </c>
      <c r="M55" s="251">
        <f>sum(M56:M60)</f>
        <v/>
      </c>
      <c r="N55" s="251">
        <f>sum(N56:N60)</f>
        <v/>
      </c>
      <c r="O55" s="251">
        <f>sum(O56:O60)</f>
        <v/>
      </c>
      <c r="P55" s="251">
        <f>sum(P56:P60)</f>
        <v/>
      </c>
      <c r="Q55" s="251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257" t="inlineStr"/>
      <c r="B56" s="257" t="inlineStr">
        <is>
          <t>Organic</t>
        </is>
      </c>
      <c r="C56" s="252">
        <f>SUMIFS('MTD Pivot'!D:D, 'MTD Pivot'!$A:$A, "Bảo Hiểm Ô Tô", 'MTD Pivot'!$C:$C, $B56)</f>
        <v/>
      </c>
      <c r="D56" s="252">
        <f>SUMIFS('MTD Pivot'!E:E, 'MTD Pivot'!$A:$A, "Bảo Hiểm Ô Tô", 'MTD Pivot'!$C:$C, $B56)</f>
        <v/>
      </c>
      <c r="E56" s="252">
        <f>SUMIFS('MTD Pivot'!F:F, 'MTD Pivot'!$A:$A, "Bảo Hiểm Ô Tô", 'MTD Pivot'!$C:$C, $B56)</f>
        <v/>
      </c>
      <c r="F56" s="252">
        <f>SUMIFS('MTD Pivot'!G:G, 'MTD Pivot'!$A:$A, "Bảo Hiểm Ô Tô", 'MTD Pivot'!$C:$C, $B56)</f>
        <v/>
      </c>
      <c r="G56" s="252">
        <f>SUMIFS('MTD Pivot'!H:H, 'MTD Pivot'!$A:$A, "Bảo Hiểm Ô Tô", 'MTD Pivot'!$C:$C, $B56)</f>
        <v/>
      </c>
      <c r="H56" s="252">
        <f>SUMIFS('MTD Pivot'!I:I, 'MTD Pivot'!$A:$A, "Bảo Hiểm Ô Tô", 'MTD Pivot'!$C:$C, $B56)</f>
        <v/>
      </c>
      <c r="I56" s="252">
        <f>H56-G56</f>
        <v/>
      </c>
      <c r="J56" s="257" t="inlineStr"/>
      <c r="K56" s="252">
        <f>SUMIFS('Full month Pivot'!D:D, 'Full month Pivot'!$A:$A, "Bảo Hiểm Ô Tô", 'Full month Pivot'!$C:$C, $B56)</f>
        <v/>
      </c>
      <c r="L56" s="252">
        <f>SUMIFS('Full month Pivot'!E:E, 'Full month Pivot'!$A:$A, "Bảo Hiểm Ô Tô", 'Full month Pivot'!$C:$C, $B56)</f>
        <v/>
      </c>
      <c r="M56" s="252">
        <f>SUMIFS('Full month Pivot'!F:F, 'Full month Pivot'!$A:$A, "Bảo Hiểm Ô Tô", 'Full month Pivot'!$C:$C, $B56)</f>
        <v/>
      </c>
      <c r="N56" s="252">
        <f>SUMIFS('Full month Pivot'!G:G, 'Full month Pivot'!$A:$A, "Bảo Hiểm Ô Tô", 'Full month Pivot'!$C:$C, $B56)</f>
        <v/>
      </c>
      <c r="O56" s="252">
        <f>SUMIFS('Full month Pivot'!H:H, 'Full month Pivot'!$A:$A, "Bảo Hiểm Ô Tô", 'Full month Pivot'!$C:$C, $B56)</f>
        <v/>
      </c>
      <c r="P56" s="252">
        <f>SUMIFS('Full month Pivot'!I:I, 'Full month Pivot'!$A:$A, "Bảo Hiểm Ô Tô", 'Full month Pivot'!$C:$C, $B56)</f>
        <v/>
      </c>
      <c r="Q56" s="252">
        <f>P56-O56</f>
        <v/>
      </c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257" t="inlineStr"/>
      <c r="B57" s="257" t="inlineStr">
        <is>
          <t>Direct</t>
        </is>
      </c>
      <c r="C57" s="252">
        <f>SUMIFS('MTD Pivot'!D:D, 'MTD Pivot'!$A:$A, "Bảo Hiểm Ô Tô", 'MTD Pivot'!$C:$C, $B57)</f>
        <v/>
      </c>
      <c r="D57" s="252">
        <f>SUMIFS('MTD Pivot'!E:E, 'MTD Pivot'!$A:$A, "Bảo Hiểm Ô Tô", 'MTD Pivot'!$C:$C, $B57)</f>
        <v/>
      </c>
      <c r="E57" s="252">
        <f>SUMIFS('MTD Pivot'!F:F, 'MTD Pivot'!$A:$A, "Bảo Hiểm Ô Tô", 'MTD Pivot'!$C:$C, $B57)</f>
        <v/>
      </c>
      <c r="F57" s="252">
        <f>SUMIFS('MTD Pivot'!G:G, 'MTD Pivot'!$A:$A, "Bảo Hiểm Ô Tô", 'MTD Pivot'!$C:$C, $B57)</f>
        <v/>
      </c>
      <c r="G57" s="252">
        <f>SUMIFS('MTD Pivot'!H:H, 'MTD Pivot'!$A:$A, "Bảo Hiểm Ô Tô", 'MTD Pivot'!$C:$C, $B57)</f>
        <v/>
      </c>
      <c r="H57" s="252">
        <f>SUMIFS('MTD Pivot'!I:I, 'MTD Pivot'!$A:$A, "Bảo Hiểm Ô Tô", 'MTD Pivot'!$C:$C, $B57)</f>
        <v/>
      </c>
      <c r="I57" s="252">
        <f>H57-G57</f>
        <v/>
      </c>
      <c r="J57" s="257" t="inlineStr"/>
      <c r="K57" s="252">
        <f>SUMIFS('Full month Pivot'!D:D, 'Full month Pivot'!$A:$A, "Bảo Hiểm Ô Tô", 'Full month Pivot'!$C:$C, $B57)</f>
        <v/>
      </c>
      <c r="L57" s="252">
        <f>SUMIFS('Full month Pivot'!E:E, 'Full month Pivot'!$A:$A, "Bảo Hiểm Ô Tô", 'Full month Pivot'!$C:$C, $B57)</f>
        <v/>
      </c>
      <c r="M57" s="252">
        <f>SUMIFS('Full month Pivot'!F:F, 'Full month Pivot'!$A:$A, "Bảo Hiểm Ô Tô", 'Full month Pivot'!$C:$C, $B57)</f>
        <v/>
      </c>
      <c r="N57" s="252">
        <f>SUMIFS('Full month Pivot'!G:G, 'Full month Pivot'!$A:$A, "Bảo Hiểm Ô Tô", 'Full month Pivot'!$C:$C, $B57)</f>
        <v/>
      </c>
      <c r="O57" s="252">
        <f>SUMIFS('Full month Pivot'!H:H, 'Full month Pivot'!$A:$A, "Bảo Hiểm Ô Tô", 'Full month Pivot'!$C:$C, $B57)</f>
        <v/>
      </c>
      <c r="P57" s="252">
        <f>SUMIFS('Full month Pivot'!I:I, 'Full month Pivot'!$A:$A, "Bảo Hiểm Ô Tô", 'Full month Pivot'!$C:$C, $B57)</f>
        <v/>
      </c>
      <c r="Q57" s="252">
        <f>P57-O57</f>
        <v/>
      </c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257" t="inlineStr"/>
      <c r="B58" s="257" t="inlineStr">
        <is>
          <t>Referral</t>
        </is>
      </c>
      <c r="C58" s="252">
        <f>SUMIFS('MTD Pivot'!D:D, 'MTD Pivot'!$A:$A, "Bảo Hiểm Ô Tô", 'MTD Pivot'!$C:$C, $B58)</f>
        <v/>
      </c>
      <c r="D58" s="252">
        <f>SUMIFS('MTD Pivot'!E:E, 'MTD Pivot'!$A:$A, "Bảo Hiểm Ô Tô", 'MTD Pivot'!$C:$C, $B58)</f>
        <v/>
      </c>
      <c r="E58" s="252">
        <f>SUMIFS('MTD Pivot'!F:F, 'MTD Pivot'!$A:$A, "Bảo Hiểm Ô Tô", 'MTD Pivot'!$C:$C, $B58)</f>
        <v/>
      </c>
      <c r="F58" s="252">
        <f>SUMIFS('MTD Pivot'!G:G, 'MTD Pivot'!$A:$A, "Bảo Hiểm Ô Tô", 'MTD Pivot'!$C:$C, $B58)</f>
        <v/>
      </c>
      <c r="G58" s="252">
        <f>SUMIFS('MTD Pivot'!H:H, 'MTD Pivot'!$A:$A, "Bảo Hiểm Ô Tô", 'MTD Pivot'!$C:$C, $B58)</f>
        <v/>
      </c>
      <c r="H58" s="252">
        <f>SUMIFS('MTD Pivot'!I:I, 'MTD Pivot'!$A:$A, "Bảo Hiểm Ô Tô", 'MTD Pivot'!$C:$C, $B58)</f>
        <v/>
      </c>
      <c r="I58" s="252">
        <f>H58-G58</f>
        <v/>
      </c>
      <c r="J58" s="257" t="inlineStr"/>
      <c r="K58" s="252">
        <f>SUMIFS('Full month Pivot'!D:D, 'Full month Pivot'!$A:$A, "Bảo Hiểm Ô Tô", 'Full month Pivot'!$C:$C, $B58)</f>
        <v/>
      </c>
      <c r="L58" s="252">
        <f>SUMIFS('Full month Pivot'!E:E, 'Full month Pivot'!$A:$A, "Bảo Hiểm Ô Tô", 'Full month Pivot'!$C:$C, $B58)</f>
        <v/>
      </c>
      <c r="M58" s="252">
        <f>SUMIFS('Full month Pivot'!F:F, 'Full month Pivot'!$A:$A, "Bảo Hiểm Ô Tô", 'Full month Pivot'!$C:$C, $B58)</f>
        <v/>
      </c>
      <c r="N58" s="252">
        <f>SUMIFS('Full month Pivot'!G:G, 'Full month Pivot'!$A:$A, "Bảo Hiểm Ô Tô", 'Full month Pivot'!$C:$C, $B58)</f>
        <v/>
      </c>
      <c r="O58" s="252">
        <f>SUMIFS('Full month Pivot'!H:H, 'Full month Pivot'!$A:$A, "Bảo Hiểm Ô Tô", 'Full month Pivot'!$C:$C, $B58)</f>
        <v/>
      </c>
      <c r="P58" s="252">
        <f>SUMIFS('Full month Pivot'!I:I, 'Full month Pivot'!$A:$A, "Bảo Hiểm Ô Tô",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257" t="inlineStr"/>
      <c r="B59" s="257" t="inlineStr">
        <is>
          <t>Paid</t>
        </is>
      </c>
      <c r="C59" s="252">
        <f>SUMIFS('MTD Pivot'!D:D, 'MTD Pivot'!$A:$A, "Bảo Hiểm Ô Tô", 'MTD Pivot'!$C:$C, $B59)</f>
        <v/>
      </c>
      <c r="D59" s="252">
        <f>SUMIFS('MTD Pivot'!E:E, 'MTD Pivot'!$A:$A, "Bảo Hiểm Ô Tô", 'MTD Pivot'!$C:$C, $B59)</f>
        <v/>
      </c>
      <c r="E59" s="252">
        <f>SUMIFS('MTD Pivot'!F:F, 'MTD Pivot'!$A:$A, "Bảo Hiểm Ô Tô", 'MTD Pivot'!$C:$C, $B59)</f>
        <v/>
      </c>
      <c r="F59" s="252">
        <f>SUMIFS('MTD Pivot'!G:G, 'MTD Pivot'!$A:$A, "Bảo Hiểm Ô Tô", 'MTD Pivot'!$C:$C, $B59)</f>
        <v/>
      </c>
      <c r="G59" s="252">
        <f>SUMIFS('MTD Pivot'!H:H, 'MTD Pivot'!$A:$A, "Bảo Hiểm Ô Tô", 'MTD Pivot'!$C:$C, $B59)</f>
        <v/>
      </c>
      <c r="H59" s="252">
        <f>SUMIFS('MTD Pivot'!I:I, 'MTD Pivot'!$A:$A, "Bảo Hiểm Ô Tô", 'MTD Pivot'!$C:$C, $B59)</f>
        <v/>
      </c>
      <c r="I59" s="252">
        <f>H59-G59</f>
        <v/>
      </c>
      <c r="J59" s="257" t="inlineStr"/>
      <c r="K59" s="252">
        <f>SUMIFS('Full month Pivot'!D:D, 'Full month Pivot'!$A:$A, "Bảo Hiểm Ô Tô", 'Full month Pivot'!$C:$C, $B59)</f>
        <v/>
      </c>
      <c r="L59" s="252">
        <f>SUMIFS('Full month Pivot'!E:E, 'Full month Pivot'!$A:$A, "Bảo Hiểm Ô Tô", 'Full month Pivot'!$C:$C, $B59)</f>
        <v/>
      </c>
      <c r="M59" s="252">
        <f>SUMIFS('Full month Pivot'!F:F, 'Full month Pivot'!$A:$A, "Bảo Hiểm Ô Tô", 'Full month Pivot'!$C:$C, $B59)</f>
        <v/>
      </c>
      <c r="N59" s="252">
        <f>SUMIFS('Full month Pivot'!G:G, 'Full month Pivot'!$A:$A, "Bảo Hiểm Ô Tô", 'Full month Pivot'!$C:$C, $B59)</f>
        <v/>
      </c>
      <c r="O59" s="252">
        <f>SUMIFS('Full month Pivot'!H:H, 'Full month Pivot'!$A:$A, "Bảo Hiểm Ô Tô", 'Full month Pivot'!$C:$C, $B59)</f>
        <v/>
      </c>
      <c r="P59" s="252">
        <f>SUMIFS('Full month Pivot'!I:I, 'Full month Pivot'!$A:$A, "Bảo Hiểm Ô Tô",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257" t="inlineStr"/>
      <c r="B60" s="257" t="inlineStr">
        <is>
          <t>Others</t>
        </is>
      </c>
      <c r="C60" s="252">
        <f>SUMIFS('MTD Pivot'!D:D, 'MTD Pivot'!$A:$A, "Bảo Hiểm Ô Tô", 'MTD Pivot'!$C:$C, $B60)</f>
        <v/>
      </c>
      <c r="D60" s="252">
        <f>SUMIFS('MTD Pivot'!E:E, 'MTD Pivot'!$A:$A, "Bảo Hiểm Ô Tô", 'MTD Pivot'!$C:$C, $B60)</f>
        <v/>
      </c>
      <c r="E60" s="252">
        <f>SUMIFS('MTD Pivot'!F:F, 'MTD Pivot'!$A:$A, "Bảo Hiểm Ô Tô", 'MTD Pivot'!$C:$C, $B60)</f>
        <v/>
      </c>
      <c r="F60" s="252">
        <f>SUMIFS('MTD Pivot'!G:G, 'MTD Pivot'!$A:$A, "Bảo Hiểm Ô Tô", 'MTD Pivot'!$C:$C, $B60)</f>
        <v/>
      </c>
      <c r="G60" s="252">
        <f>SUMIFS('MTD Pivot'!H:H, 'MTD Pivot'!$A:$A, "Bảo Hiểm Ô Tô", 'MTD Pivot'!$C:$C, $B60)</f>
        <v/>
      </c>
      <c r="H60" s="252">
        <f>SUMIFS('MTD Pivot'!I:I, 'MTD Pivot'!$A:$A, "Bảo Hiểm Ô Tô", 'MTD Pivot'!$C:$C, $B60)</f>
        <v/>
      </c>
      <c r="I60" s="252">
        <f>H60-G60</f>
        <v/>
      </c>
      <c r="J60" s="257" t="inlineStr"/>
      <c r="K60" s="252">
        <f>SUMIFS('Full month Pivot'!D:D, 'Full month Pivot'!$A:$A, "Bảo Hiểm Ô Tô", 'Full month Pivot'!$C:$C, $B60)</f>
        <v/>
      </c>
      <c r="L60" s="252">
        <f>SUMIFS('Full month Pivot'!E:E, 'Full month Pivot'!$A:$A, "Bảo Hiểm Ô Tô", 'Full month Pivot'!$C:$C, $B60)</f>
        <v/>
      </c>
      <c r="M60" s="252">
        <f>SUMIFS('Full month Pivot'!F:F, 'Full month Pivot'!$A:$A, "Bảo Hiểm Ô Tô", 'Full month Pivot'!$C:$C, $B60)</f>
        <v/>
      </c>
      <c r="N60" s="252">
        <f>SUMIFS('Full month Pivot'!G:G, 'Full month Pivot'!$A:$A, "Bảo Hiểm Ô Tô", 'Full month Pivot'!$C:$C, $B60)</f>
        <v/>
      </c>
      <c r="O60" s="252">
        <f>SUMIFS('Full month Pivot'!H:H, 'Full month Pivot'!$A:$A, "Bảo Hiểm Ô Tô", 'Full month Pivot'!$C:$C, $B60)</f>
        <v/>
      </c>
      <c r="P60" s="252">
        <f>SUMIFS('Full month Pivot'!I:I, 'Full month Pivot'!$A:$A, "Bảo Hiểm Ô Tô",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256" t="inlineStr">
        <is>
          <t>Bảo Hiểm Xe Máy</t>
        </is>
      </c>
      <c r="B62" s="257" t="inlineStr"/>
      <c r="C62" s="251">
        <f>sum(C63:C67)</f>
        <v/>
      </c>
      <c r="D62" s="251">
        <f>sum(D63:D67)</f>
        <v/>
      </c>
      <c r="E62" s="251">
        <f>sum(E63:E67)</f>
        <v/>
      </c>
      <c r="F62" s="251">
        <f>sum(F63:F67)</f>
        <v/>
      </c>
      <c r="G62" s="251">
        <f>sum(G63:G67)</f>
        <v/>
      </c>
      <c r="H62" s="251">
        <f>sum(H63:H67)</f>
        <v/>
      </c>
      <c r="I62" s="251">
        <f>H62-G62</f>
        <v/>
      </c>
      <c r="J62" s="257" t="inlineStr"/>
      <c r="K62" s="251">
        <f>sum(K63:K67)</f>
        <v/>
      </c>
      <c r="L62" s="251">
        <f>sum(L63:L67)</f>
        <v/>
      </c>
      <c r="M62" s="251">
        <f>sum(M63:M67)</f>
        <v/>
      </c>
      <c r="N62" s="251">
        <f>sum(N63:N67)</f>
        <v/>
      </c>
      <c r="O62" s="251">
        <f>sum(O63:O67)</f>
        <v/>
      </c>
      <c r="P62" s="251">
        <f>sum(P63:P67)</f>
        <v/>
      </c>
      <c r="Q62" s="251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257" t="inlineStr"/>
      <c r="B63" s="257" t="inlineStr">
        <is>
          <t>Organic</t>
        </is>
      </c>
      <c r="C63" s="252">
        <f>SUMIFS('MTD Pivot'!D:D, 'MTD Pivot'!$A:$A, "Bảo Hiểm Xe Máy", 'MTD Pivot'!$C:$C, $B63)</f>
        <v/>
      </c>
      <c r="D63" s="252">
        <f>SUMIFS('MTD Pivot'!E:E, 'MTD Pivot'!$A:$A, "Bảo Hiểm Xe Máy", 'MTD Pivot'!$C:$C, $B63)</f>
        <v/>
      </c>
      <c r="E63" s="252">
        <f>SUMIFS('MTD Pivot'!F:F, 'MTD Pivot'!$A:$A, "Bảo Hiểm Xe Máy", 'MTD Pivot'!$C:$C, $B63)</f>
        <v/>
      </c>
      <c r="F63" s="252">
        <f>SUMIFS('MTD Pivot'!G:G, 'MTD Pivot'!$A:$A, "Bảo Hiểm Xe Máy", 'MTD Pivot'!$C:$C, $B63)</f>
        <v/>
      </c>
      <c r="G63" s="252">
        <f>SUMIFS('MTD Pivot'!H:H, 'MTD Pivot'!$A:$A, "Bảo Hiểm Xe Máy", 'MTD Pivot'!$C:$C, $B63)</f>
        <v/>
      </c>
      <c r="H63" s="252">
        <f>SUMIFS('MTD Pivot'!I:I, 'MTD Pivot'!$A:$A, "Bảo Hiểm Xe Máy", 'MTD Pivot'!$C:$C, $B63)</f>
        <v/>
      </c>
      <c r="I63" s="252">
        <f>H63-G63</f>
        <v/>
      </c>
      <c r="J63" s="257" t="inlineStr"/>
      <c r="K63" s="252">
        <f>SUMIFS('Full month Pivot'!D:D, 'Full month Pivot'!$A:$A, "Bảo Hiểm Xe Máy", 'Full month Pivot'!$C:$C, $B63)</f>
        <v/>
      </c>
      <c r="L63" s="252">
        <f>SUMIFS('Full month Pivot'!E:E, 'Full month Pivot'!$A:$A, "Bảo Hiểm Xe Máy", 'Full month Pivot'!$C:$C, $B63)</f>
        <v/>
      </c>
      <c r="M63" s="252">
        <f>SUMIFS('Full month Pivot'!F:F, 'Full month Pivot'!$A:$A, "Bảo Hiểm Xe Máy", 'Full month Pivot'!$C:$C, $B63)</f>
        <v/>
      </c>
      <c r="N63" s="252">
        <f>SUMIFS('Full month Pivot'!G:G, 'Full month Pivot'!$A:$A, "Bảo Hiểm Xe Máy", 'Full month Pivot'!$C:$C, $B63)</f>
        <v/>
      </c>
      <c r="O63" s="252">
        <f>SUMIFS('Full month Pivot'!H:H, 'Full month Pivot'!$A:$A, "Bảo Hiểm Xe Máy", 'Full month Pivot'!$C:$C, $B63)</f>
        <v/>
      </c>
      <c r="P63" s="252">
        <f>SUMIFS('Full month Pivot'!I:I, 'Full month Pivot'!$A:$A, "Bảo Hiểm Xe Máy", 'Full month Pivot'!$C:$C, $B63)</f>
        <v/>
      </c>
      <c r="Q63" s="252">
        <f>P63-O63</f>
        <v/>
      </c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257" t="inlineStr"/>
      <c r="B64" s="257" t="inlineStr">
        <is>
          <t>Direct</t>
        </is>
      </c>
      <c r="C64" s="252">
        <f>SUMIFS('MTD Pivot'!D:D, 'MTD Pivot'!$A:$A, "Bảo Hiểm Xe Máy", 'MTD Pivot'!$C:$C, $B64)</f>
        <v/>
      </c>
      <c r="D64" s="252">
        <f>SUMIFS('MTD Pivot'!E:E, 'MTD Pivot'!$A:$A, "Bảo Hiểm Xe Máy", 'MTD Pivot'!$C:$C, $B64)</f>
        <v/>
      </c>
      <c r="E64" s="252">
        <f>SUMIFS('MTD Pivot'!F:F, 'MTD Pivot'!$A:$A, "Bảo Hiểm Xe Máy", 'MTD Pivot'!$C:$C, $B64)</f>
        <v/>
      </c>
      <c r="F64" s="252">
        <f>SUMIFS('MTD Pivot'!G:G, 'MTD Pivot'!$A:$A, "Bảo Hiểm Xe Máy", 'MTD Pivot'!$C:$C, $B64)</f>
        <v/>
      </c>
      <c r="G64" s="252">
        <f>SUMIFS('MTD Pivot'!H:H, 'MTD Pivot'!$A:$A, "Bảo Hiểm Xe Máy", 'MTD Pivot'!$C:$C, $B64)</f>
        <v/>
      </c>
      <c r="H64" s="252">
        <f>SUMIFS('MTD Pivot'!I:I, 'MTD Pivot'!$A:$A, "Bảo Hiểm Xe Máy", 'MTD Pivot'!$C:$C, $B64)</f>
        <v/>
      </c>
      <c r="I64" s="252">
        <f>H64-G64</f>
        <v/>
      </c>
      <c r="J64" s="257" t="inlineStr"/>
      <c r="K64" s="252">
        <f>SUMIFS('Full month Pivot'!D:D, 'Full month Pivot'!$A:$A, "Bảo Hiểm Xe Máy", 'Full month Pivot'!$C:$C, $B64)</f>
        <v/>
      </c>
      <c r="L64" s="252">
        <f>SUMIFS('Full month Pivot'!E:E, 'Full month Pivot'!$A:$A, "Bảo Hiểm Xe Máy", 'Full month Pivot'!$C:$C, $B64)</f>
        <v/>
      </c>
      <c r="M64" s="252">
        <f>SUMIFS('Full month Pivot'!F:F, 'Full month Pivot'!$A:$A, "Bảo Hiểm Xe Máy", 'Full month Pivot'!$C:$C, $B64)</f>
        <v/>
      </c>
      <c r="N64" s="252">
        <f>SUMIFS('Full month Pivot'!G:G, 'Full month Pivot'!$A:$A, "Bảo Hiểm Xe Máy", 'Full month Pivot'!$C:$C, $B64)</f>
        <v/>
      </c>
      <c r="O64" s="252">
        <f>SUMIFS('Full month Pivot'!H:H, 'Full month Pivot'!$A:$A, "Bảo Hiểm Xe Máy", 'Full month Pivot'!$C:$C, $B64)</f>
        <v/>
      </c>
      <c r="P64" s="252">
        <f>SUMIFS('Full month Pivot'!I:I, 'Full month Pivot'!$A:$A, "Bảo Hiểm Xe Máy", 'Full month Pivot'!$C:$C, $B64)</f>
        <v/>
      </c>
      <c r="Q64" s="252">
        <f>P64-O64</f>
        <v/>
      </c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257" t="inlineStr"/>
      <c r="B65" s="257" t="inlineStr">
        <is>
          <t>Referral</t>
        </is>
      </c>
      <c r="C65" s="252">
        <f>SUMIFS('MTD Pivot'!D:D, 'MTD Pivot'!$A:$A, "Bảo Hiểm Xe Máy", 'MTD Pivot'!$C:$C, $B65)</f>
        <v/>
      </c>
      <c r="D65" s="252">
        <f>SUMIFS('MTD Pivot'!E:E, 'MTD Pivot'!$A:$A, "Bảo Hiểm Xe Máy", 'MTD Pivot'!$C:$C, $B65)</f>
        <v/>
      </c>
      <c r="E65" s="252">
        <f>SUMIFS('MTD Pivot'!F:F, 'MTD Pivot'!$A:$A, "Bảo Hiểm Xe Máy", 'MTD Pivot'!$C:$C, $B65)</f>
        <v/>
      </c>
      <c r="F65" s="252">
        <f>SUMIFS('MTD Pivot'!G:G, 'MTD Pivot'!$A:$A, "Bảo Hiểm Xe Máy", 'MTD Pivot'!$C:$C, $B65)</f>
        <v/>
      </c>
      <c r="G65" s="252">
        <f>SUMIFS('MTD Pivot'!H:H, 'MTD Pivot'!$A:$A, "Bảo Hiểm Xe Máy", 'MTD Pivot'!$C:$C, $B65)</f>
        <v/>
      </c>
      <c r="H65" s="252">
        <f>SUMIFS('MTD Pivot'!I:I, 'MTD Pivot'!$A:$A, "Bảo Hiểm Xe Máy", 'MTD Pivot'!$C:$C, $B65)</f>
        <v/>
      </c>
      <c r="I65" s="252">
        <f>H65-G65</f>
        <v/>
      </c>
      <c r="J65" s="257" t="inlineStr"/>
      <c r="K65" s="252">
        <f>SUMIFS('Full month Pivot'!D:D, 'Full month Pivot'!$A:$A, "Bảo Hiểm Xe Máy", 'Full month Pivot'!$C:$C, $B65)</f>
        <v/>
      </c>
      <c r="L65" s="252">
        <f>SUMIFS('Full month Pivot'!E:E, 'Full month Pivot'!$A:$A, "Bảo Hiểm Xe Máy", 'Full month Pivot'!$C:$C, $B65)</f>
        <v/>
      </c>
      <c r="M65" s="252">
        <f>SUMIFS('Full month Pivot'!F:F, 'Full month Pivot'!$A:$A, "Bảo Hiểm Xe Máy", 'Full month Pivot'!$C:$C, $B65)</f>
        <v/>
      </c>
      <c r="N65" s="252">
        <f>SUMIFS('Full month Pivot'!G:G, 'Full month Pivot'!$A:$A, "Bảo Hiểm Xe Máy", 'Full month Pivot'!$C:$C, $B65)</f>
        <v/>
      </c>
      <c r="O65" s="252">
        <f>SUMIFS('Full month Pivot'!H:H, 'Full month Pivot'!$A:$A, "Bảo Hiểm Xe Máy", 'Full month Pivot'!$C:$C, $B65)</f>
        <v/>
      </c>
      <c r="P65" s="252">
        <f>SUMIFS('Full month Pivot'!I:I, 'Full month Pivot'!$A:$A, "Bảo Hiểm Xe Máy",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257" t="inlineStr"/>
      <c r="B66" s="257" t="inlineStr">
        <is>
          <t>Paid</t>
        </is>
      </c>
      <c r="C66" s="252">
        <f>SUMIFS('MTD Pivot'!D:D, 'MTD Pivot'!$A:$A, "Bảo Hiểm Xe Máy", 'MTD Pivot'!$C:$C, $B66)</f>
        <v/>
      </c>
      <c r="D66" s="252">
        <f>SUMIFS('MTD Pivot'!E:E, 'MTD Pivot'!$A:$A, "Bảo Hiểm Xe Máy", 'MTD Pivot'!$C:$C, $B66)</f>
        <v/>
      </c>
      <c r="E66" s="252">
        <f>SUMIFS('MTD Pivot'!F:F, 'MTD Pivot'!$A:$A, "Bảo Hiểm Xe Máy", 'MTD Pivot'!$C:$C, $B66)</f>
        <v/>
      </c>
      <c r="F66" s="252">
        <f>SUMIFS('MTD Pivot'!G:G, 'MTD Pivot'!$A:$A, "Bảo Hiểm Xe Máy", 'MTD Pivot'!$C:$C, $B66)</f>
        <v/>
      </c>
      <c r="G66" s="252">
        <f>SUMIFS('MTD Pivot'!H:H, 'MTD Pivot'!$A:$A, "Bảo Hiểm Xe Máy", 'MTD Pivot'!$C:$C, $B66)</f>
        <v/>
      </c>
      <c r="H66" s="252">
        <f>SUMIFS('MTD Pivot'!I:I, 'MTD Pivot'!$A:$A, "Bảo Hiểm Xe Máy", 'MTD Pivot'!$C:$C, $B66)</f>
        <v/>
      </c>
      <c r="I66" s="252">
        <f>H66-G66</f>
        <v/>
      </c>
      <c r="J66" s="257" t="inlineStr"/>
      <c r="K66" s="252">
        <f>SUMIFS('Full month Pivot'!D:D, 'Full month Pivot'!$A:$A, "Bảo Hiểm Xe Máy", 'Full month Pivot'!$C:$C, $B66)</f>
        <v/>
      </c>
      <c r="L66" s="252">
        <f>SUMIFS('Full month Pivot'!E:E, 'Full month Pivot'!$A:$A, "Bảo Hiểm Xe Máy", 'Full month Pivot'!$C:$C, $B66)</f>
        <v/>
      </c>
      <c r="M66" s="252">
        <f>SUMIFS('Full month Pivot'!F:F, 'Full month Pivot'!$A:$A, "Bảo Hiểm Xe Máy", 'Full month Pivot'!$C:$C, $B66)</f>
        <v/>
      </c>
      <c r="N66" s="252">
        <f>SUMIFS('Full month Pivot'!G:G, 'Full month Pivot'!$A:$A, "Bảo Hiểm Xe Máy", 'Full month Pivot'!$C:$C, $B66)</f>
        <v/>
      </c>
      <c r="O66" s="252">
        <f>SUMIFS('Full month Pivot'!H:H, 'Full month Pivot'!$A:$A, "Bảo Hiểm Xe Máy", 'Full month Pivot'!$C:$C, $B66)</f>
        <v/>
      </c>
      <c r="P66" s="252">
        <f>SUMIFS('Full month Pivot'!I:I, 'Full month Pivot'!$A:$A, "Bảo Hiểm Xe Máy",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257" t="inlineStr"/>
      <c r="B67" s="257" t="inlineStr">
        <is>
          <t>Others</t>
        </is>
      </c>
      <c r="C67" s="252">
        <f>SUMIFS('MTD Pivot'!D:D, 'MTD Pivot'!$A:$A, "Bảo Hiểm Xe Máy", 'MTD Pivot'!$C:$C, $B67)</f>
        <v/>
      </c>
      <c r="D67" s="252">
        <f>SUMIFS('MTD Pivot'!E:E, 'MTD Pivot'!$A:$A, "Bảo Hiểm Xe Máy", 'MTD Pivot'!$C:$C, $B67)</f>
        <v/>
      </c>
      <c r="E67" s="252">
        <f>SUMIFS('MTD Pivot'!F:F, 'MTD Pivot'!$A:$A, "Bảo Hiểm Xe Máy", 'MTD Pivot'!$C:$C, $B67)</f>
        <v/>
      </c>
      <c r="F67" s="252">
        <f>SUMIFS('MTD Pivot'!G:G, 'MTD Pivot'!$A:$A, "Bảo Hiểm Xe Máy", 'MTD Pivot'!$C:$C, $B67)</f>
        <v/>
      </c>
      <c r="G67" s="252">
        <f>SUMIFS('MTD Pivot'!H:H, 'MTD Pivot'!$A:$A, "Bảo Hiểm Xe Máy", 'MTD Pivot'!$C:$C, $B67)</f>
        <v/>
      </c>
      <c r="H67" s="252">
        <f>SUMIFS('MTD Pivot'!I:I, 'MTD Pivot'!$A:$A, "Bảo Hiểm Xe Máy", 'MTD Pivot'!$C:$C, $B67)</f>
        <v/>
      </c>
      <c r="I67" s="252">
        <f>H67-G67</f>
        <v/>
      </c>
      <c r="J67" s="257" t="inlineStr"/>
      <c r="K67" s="252">
        <f>SUMIFS('Full month Pivot'!D:D, 'Full month Pivot'!$A:$A, "Bảo Hiểm Xe Máy", 'Full month Pivot'!$C:$C, $B67)</f>
        <v/>
      </c>
      <c r="L67" s="252">
        <f>SUMIFS('Full month Pivot'!E:E, 'Full month Pivot'!$A:$A, "Bảo Hiểm Xe Máy", 'Full month Pivot'!$C:$C, $B67)</f>
        <v/>
      </c>
      <c r="M67" s="252">
        <f>SUMIFS('Full month Pivot'!F:F, 'Full month Pivot'!$A:$A, "Bảo Hiểm Xe Máy", 'Full month Pivot'!$C:$C, $B67)</f>
        <v/>
      </c>
      <c r="N67" s="252">
        <f>SUMIFS('Full month Pivot'!G:G, 'Full month Pivot'!$A:$A, "Bảo Hiểm Xe Máy", 'Full month Pivot'!$C:$C, $B67)</f>
        <v/>
      </c>
      <c r="O67" s="252">
        <f>SUMIFS('Full month Pivot'!H:H, 'Full month Pivot'!$A:$A, "Bảo Hiểm Xe Máy", 'Full month Pivot'!$C:$C, $B67)</f>
        <v/>
      </c>
      <c r="P67" s="252">
        <f>SUMIFS('Full month Pivot'!I:I, 'Full month Pivot'!$A:$A, "Bảo Hiểm Xe Máy",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256" t="inlineStr">
        <is>
          <t>Phí Không Dừng</t>
        </is>
      </c>
      <c r="B69" s="257" t="inlineStr"/>
      <c r="C69" s="251">
        <f>sum(C70:C74)</f>
        <v/>
      </c>
      <c r="D69" s="251">
        <f>sum(D70:D74)</f>
        <v/>
      </c>
      <c r="E69" s="251">
        <f>sum(E70:E74)</f>
        <v/>
      </c>
      <c r="F69" s="251">
        <f>sum(F70:F74)</f>
        <v/>
      </c>
      <c r="G69" s="251">
        <f>sum(G70:G74)</f>
        <v/>
      </c>
      <c r="H69" s="251">
        <f>sum(H70:H74)</f>
        <v/>
      </c>
      <c r="I69" s="251">
        <f>H69-G69</f>
        <v/>
      </c>
      <c r="J69" s="257" t="inlineStr"/>
      <c r="K69" s="251">
        <f>sum(K70:K74)</f>
        <v/>
      </c>
      <c r="L69" s="251">
        <f>sum(L70:L74)</f>
        <v/>
      </c>
      <c r="M69" s="251">
        <f>sum(M70:M74)</f>
        <v/>
      </c>
      <c r="N69" s="251">
        <f>sum(N70:N74)</f>
        <v/>
      </c>
      <c r="O69" s="251">
        <f>sum(O70:O74)</f>
        <v/>
      </c>
      <c r="P69" s="251">
        <f>sum(P70:P74)</f>
        <v/>
      </c>
      <c r="Q69" s="251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257" t="inlineStr"/>
      <c r="B70" s="257" t="inlineStr">
        <is>
          <t>Organic</t>
        </is>
      </c>
      <c r="C70" s="252">
        <f>SUMIFS('MTD Pivot'!D:D, 'MTD Pivot'!$A:$A, "Phí Không Dừng", 'MTD Pivot'!$C:$C, $B70)</f>
        <v/>
      </c>
      <c r="D70" s="252">
        <f>SUMIFS('MTD Pivot'!E:E, 'MTD Pivot'!$A:$A, "Phí Không Dừng", 'MTD Pivot'!$C:$C, $B70)</f>
        <v/>
      </c>
      <c r="E70" s="252">
        <f>SUMIFS('MTD Pivot'!F:F, 'MTD Pivot'!$A:$A, "Phí Không Dừng", 'MTD Pivot'!$C:$C, $B70)</f>
        <v/>
      </c>
      <c r="F70" s="252">
        <f>SUMIFS('MTD Pivot'!G:G, 'MTD Pivot'!$A:$A, "Phí Không Dừng", 'MTD Pivot'!$C:$C, $B70)</f>
        <v/>
      </c>
      <c r="G70" s="252">
        <f>SUMIFS('MTD Pivot'!H:H, 'MTD Pivot'!$A:$A, "Phí Không Dừng", 'MTD Pivot'!$C:$C, $B70)</f>
        <v/>
      </c>
      <c r="H70" s="252">
        <f>SUMIFS('MTD Pivot'!I:I, 'MTD Pivot'!$A:$A, "Phí Không Dừng", 'MTD Pivot'!$C:$C, $B70)</f>
        <v/>
      </c>
      <c r="I70" s="252">
        <f>H70-G70</f>
        <v/>
      </c>
      <c r="J70" s="257" t="inlineStr"/>
      <c r="K70" s="252">
        <f>SUMIFS('Full month Pivot'!D:D, 'Full month Pivot'!$A:$A, "Phí Không Dừng", 'Full month Pivot'!$C:$C, $B70)</f>
        <v/>
      </c>
      <c r="L70" s="252">
        <f>SUMIFS('Full month Pivot'!E:E, 'Full month Pivot'!$A:$A, "Phí Không Dừng", 'Full month Pivot'!$C:$C, $B70)</f>
        <v/>
      </c>
      <c r="M70" s="252">
        <f>SUMIFS('Full month Pivot'!F:F, 'Full month Pivot'!$A:$A, "Phí Không Dừng", 'Full month Pivot'!$C:$C, $B70)</f>
        <v/>
      </c>
      <c r="N70" s="252">
        <f>SUMIFS('Full month Pivot'!G:G, 'Full month Pivot'!$A:$A, "Phí Không Dừng", 'Full month Pivot'!$C:$C, $B70)</f>
        <v/>
      </c>
      <c r="O70" s="252">
        <f>SUMIFS('Full month Pivot'!H:H, 'Full month Pivot'!$A:$A, "Phí Không Dừng", 'Full month Pivot'!$C:$C, $B70)</f>
        <v/>
      </c>
      <c r="P70" s="252">
        <f>SUMIFS('Full month Pivot'!I:I, 'Full month Pivot'!$A:$A, "Phí Không Dừng", 'Full month Pivot'!$C:$C, $B70)</f>
        <v/>
      </c>
      <c r="Q70" s="252">
        <f>P70-O70</f>
        <v/>
      </c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257" t="inlineStr"/>
      <c r="B71" s="257" t="inlineStr">
        <is>
          <t>Direct</t>
        </is>
      </c>
      <c r="C71" s="252">
        <f>SUMIFS('MTD Pivot'!D:D, 'MTD Pivot'!$A:$A, "Phí Không Dừng", 'MTD Pivot'!$C:$C, $B71)</f>
        <v/>
      </c>
      <c r="D71" s="252">
        <f>SUMIFS('MTD Pivot'!E:E, 'MTD Pivot'!$A:$A, "Phí Không Dừng", 'MTD Pivot'!$C:$C, $B71)</f>
        <v/>
      </c>
      <c r="E71" s="252">
        <f>SUMIFS('MTD Pivot'!F:F, 'MTD Pivot'!$A:$A, "Phí Không Dừng", 'MTD Pivot'!$C:$C, $B71)</f>
        <v/>
      </c>
      <c r="F71" s="252">
        <f>SUMIFS('MTD Pivot'!G:G, 'MTD Pivot'!$A:$A, "Phí Không Dừng", 'MTD Pivot'!$C:$C, $B71)</f>
        <v/>
      </c>
      <c r="G71" s="252">
        <f>SUMIFS('MTD Pivot'!H:H, 'MTD Pivot'!$A:$A, "Phí Không Dừng", 'MTD Pivot'!$C:$C, $B71)</f>
        <v/>
      </c>
      <c r="H71" s="252">
        <f>SUMIFS('MTD Pivot'!I:I, 'MTD Pivot'!$A:$A, "Phí Không Dừng", 'MTD Pivot'!$C:$C, $B71)</f>
        <v/>
      </c>
      <c r="I71" s="252">
        <f>H71-G71</f>
        <v/>
      </c>
      <c r="J71" s="257" t="inlineStr"/>
      <c r="K71" s="252">
        <f>SUMIFS('Full month Pivot'!D:D, 'Full month Pivot'!$A:$A, "Phí Không Dừng", 'Full month Pivot'!$C:$C, $B71)</f>
        <v/>
      </c>
      <c r="L71" s="252">
        <f>SUMIFS('Full month Pivot'!E:E, 'Full month Pivot'!$A:$A, "Phí Không Dừng", 'Full month Pivot'!$C:$C, $B71)</f>
        <v/>
      </c>
      <c r="M71" s="252">
        <f>SUMIFS('Full month Pivot'!F:F, 'Full month Pivot'!$A:$A, "Phí Không Dừng", 'Full month Pivot'!$C:$C, $B71)</f>
        <v/>
      </c>
      <c r="N71" s="252">
        <f>SUMIFS('Full month Pivot'!G:G, 'Full month Pivot'!$A:$A, "Phí Không Dừng", 'Full month Pivot'!$C:$C, $B71)</f>
        <v/>
      </c>
      <c r="O71" s="252">
        <f>SUMIFS('Full month Pivot'!H:H, 'Full month Pivot'!$A:$A, "Phí Không Dừng", 'Full month Pivot'!$C:$C, $B71)</f>
        <v/>
      </c>
      <c r="P71" s="252">
        <f>SUMIFS('Full month Pivot'!I:I, 'Full month Pivot'!$A:$A, "Phí Không Dừng", 'Full month Pivot'!$C:$C, $B71)</f>
        <v/>
      </c>
      <c r="Q71" s="252">
        <f>P71-O71</f>
        <v/>
      </c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257" t="inlineStr"/>
      <c r="B72" s="257" t="inlineStr">
        <is>
          <t>Referral</t>
        </is>
      </c>
      <c r="C72" s="252">
        <f>SUMIFS('MTD Pivot'!D:D, 'MTD Pivot'!$A:$A, "Phí Không Dừng", 'MTD Pivot'!$C:$C, $B72)</f>
        <v/>
      </c>
      <c r="D72" s="252">
        <f>SUMIFS('MTD Pivot'!E:E, 'MTD Pivot'!$A:$A, "Phí Không Dừng", 'MTD Pivot'!$C:$C, $B72)</f>
        <v/>
      </c>
      <c r="E72" s="252">
        <f>SUMIFS('MTD Pivot'!F:F, 'MTD Pivot'!$A:$A, "Phí Không Dừng", 'MTD Pivot'!$C:$C, $B72)</f>
        <v/>
      </c>
      <c r="F72" s="252">
        <f>SUMIFS('MTD Pivot'!G:G, 'MTD Pivot'!$A:$A, "Phí Không Dừng", 'MTD Pivot'!$C:$C, $B72)</f>
        <v/>
      </c>
      <c r="G72" s="252">
        <f>SUMIFS('MTD Pivot'!H:H, 'MTD Pivot'!$A:$A, "Phí Không Dừng", 'MTD Pivot'!$C:$C, $B72)</f>
        <v/>
      </c>
      <c r="H72" s="252">
        <f>SUMIFS('MTD Pivot'!I:I, 'MTD Pivot'!$A:$A, "Phí Không Dừng", 'MTD Pivot'!$C:$C, $B72)</f>
        <v/>
      </c>
      <c r="I72" s="252">
        <f>H72-G72</f>
        <v/>
      </c>
      <c r="J72" s="257" t="inlineStr"/>
      <c r="K72" s="252">
        <f>SUMIFS('Full month Pivot'!D:D, 'Full month Pivot'!$A:$A, "Phí Không Dừng", 'Full month Pivot'!$C:$C, $B72)</f>
        <v/>
      </c>
      <c r="L72" s="252">
        <f>SUMIFS('Full month Pivot'!E:E, 'Full month Pivot'!$A:$A, "Phí Không Dừng", 'Full month Pivot'!$C:$C, $B72)</f>
        <v/>
      </c>
      <c r="M72" s="252">
        <f>SUMIFS('Full month Pivot'!F:F, 'Full month Pivot'!$A:$A, "Phí Không Dừng", 'Full month Pivot'!$C:$C, $B72)</f>
        <v/>
      </c>
      <c r="N72" s="252">
        <f>SUMIFS('Full month Pivot'!G:G, 'Full month Pivot'!$A:$A, "Phí Không Dừng", 'Full month Pivot'!$C:$C, $B72)</f>
        <v/>
      </c>
      <c r="O72" s="252">
        <f>SUMIFS('Full month Pivot'!H:H, 'Full month Pivot'!$A:$A, "Phí Không Dừng", 'Full month Pivot'!$C:$C, $B72)</f>
        <v/>
      </c>
      <c r="P72" s="252">
        <f>SUMIFS('Full month Pivot'!I:I, 'Full month Pivot'!$A:$A, "Phí Không Dừng",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257" t="inlineStr"/>
      <c r="B73" s="257" t="inlineStr">
        <is>
          <t>Paid</t>
        </is>
      </c>
      <c r="C73" s="252">
        <f>SUMIFS('MTD Pivot'!D:D, 'MTD Pivot'!$A:$A, "Phí Không Dừng", 'MTD Pivot'!$C:$C, $B73)</f>
        <v/>
      </c>
      <c r="D73" s="252">
        <f>SUMIFS('MTD Pivot'!E:E, 'MTD Pivot'!$A:$A, "Phí Không Dừng", 'MTD Pivot'!$C:$C, $B73)</f>
        <v/>
      </c>
      <c r="E73" s="252">
        <f>SUMIFS('MTD Pivot'!F:F, 'MTD Pivot'!$A:$A, "Phí Không Dừng", 'MTD Pivot'!$C:$C, $B73)</f>
        <v/>
      </c>
      <c r="F73" s="252">
        <f>SUMIFS('MTD Pivot'!G:G, 'MTD Pivot'!$A:$A, "Phí Không Dừng", 'MTD Pivot'!$C:$C, $B73)</f>
        <v/>
      </c>
      <c r="G73" s="252">
        <f>SUMIFS('MTD Pivot'!H:H, 'MTD Pivot'!$A:$A, "Phí Không Dừng", 'MTD Pivot'!$C:$C, $B73)</f>
        <v/>
      </c>
      <c r="H73" s="252">
        <f>SUMIFS('MTD Pivot'!I:I, 'MTD Pivot'!$A:$A, "Phí Không Dừng", 'MTD Pivot'!$C:$C, $B73)</f>
        <v/>
      </c>
      <c r="I73" s="252">
        <f>H73-G73</f>
        <v/>
      </c>
      <c r="J73" s="257" t="inlineStr"/>
      <c r="K73" s="252">
        <f>SUMIFS('Full month Pivot'!D:D, 'Full month Pivot'!$A:$A, "Phí Không Dừng", 'Full month Pivot'!$C:$C, $B73)</f>
        <v/>
      </c>
      <c r="L73" s="252">
        <f>SUMIFS('Full month Pivot'!E:E, 'Full month Pivot'!$A:$A, "Phí Không Dừng", 'Full month Pivot'!$C:$C, $B73)</f>
        <v/>
      </c>
      <c r="M73" s="252">
        <f>SUMIFS('Full month Pivot'!F:F, 'Full month Pivot'!$A:$A, "Phí Không Dừng", 'Full month Pivot'!$C:$C, $B73)</f>
        <v/>
      </c>
      <c r="N73" s="252">
        <f>SUMIFS('Full month Pivot'!G:G, 'Full month Pivot'!$A:$A, "Phí Không Dừng", 'Full month Pivot'!$C:$C, $B73)</f>
        <v/>
      </c>
      <c r="O73" s="252">
        <f>SUMIFS('Full month Pivot'!H:H, 'Full month Pivot'!$A:$A, "Phí Không Dừng", 'Full month Pivot'!$C:$C, $B73)</f>
        <v/>
      </c>
      <c r="P73" s="252">
        <f>SUMIFS('Full month Pivot'!I:I, 'Full month Pivot'!$A:$A, "Phí Không Dừng",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257" t="inlineStr"/>
      <c r="B74" s="257" t="inlineStr">
        <is>
          <t>Others</t>
        </is>
      </c>
      <c r="C74" s="252">
        <f>SUMIFS('MTD Pivot'!D:D, 'MTD Pivot'!$A:$A, "Phí Không Dừng", 'MTD Pivot'!$C:$C, $B74)</f>
        <v/>
      </c>
      <c r="D74" s="252">
        <f>SUMIFS('MTD Pivot'!E:E, 'MTD Pivot'!$A:$A, "Phí Không Dừng", 'MTD Pivot'!$C:$C, $B74)</f>
        <v/>
      </c>
      <c r="E74" s="252">
        <f>SUMIFS('MTD Pivot'!F:F, 'MTD Pivot'!$A:$A, "Phí Không Dừng", 'MTD Pivot'!$C:$C, $B74)</f>
        <v/>
      </c>
      <c r="F74" s="252">
        <f>SUMIFS('MTD Pivot'!G:G, 'MTD Pivot'!$A:$A, "Phí Không Dừng", 'MTD Pivot'!$C:$C, $B74)</f>
        <v/>
      </c>
      <c r="G74" s="252">
        <f>SUMIFS('MTD Pivot'!H:H, 'MTD Pivot'!$A:$A, "Phí Không Dừng", 'MTD Pivot'!$C:$C, $B74)</f>
        <v/>
      </c>
      <c r="H74" s="252">
        <f>SUMIFS('MTD Pivot'!I:I, 'MTD Pivot'!$A:$A, "Phí Không Dừng", 'MTD Pivot'!$C:$C, $B74)</f>
        <v/>
      </c>
      <c r="I74" s="252">
        <f>H74-G74</f>
        <v/>
      </c>
      <c r="J74" s="257" t="inlineStr"/>
      <c r="K74" s="252">
        <f>SUMIFS('Full month Pivot'!D:D, 'Full month Pivot'!$A:$A, "Phí Không Dừng", 'Full month Pivot'!$C:$C, $B74)</f>
        <v/>
      </c>
      <c r="L74" s="252">
        <f>SUMIFS('Full month Pivot'!E:E, 'Full month Pivot'!$A:$A, "Phí Không Dừng", 'Full month Pivot'!$C:$C, $B74)</f>
        <v/>
      </c>
      <c r="M74" s="252">
        <f>SUMIFS('Full month Pivot'!F:F, 'Full month Pivot'!$A:$A, "Phí Không Dừng", 'Full month Pivot'!$C:$C, $B74)</f>
        <v/>
      </c>
      <c r="N74" s="252">
        <f>SUMIFS('Full month Pivot'!G:G, 'Full month Pivot'!$A:$A, "Phí Không Dừng", 'Full month Pivot'!$C:$C, $B74)</f>
        <v/>
      </c>
      <c r="O74" s="252">
        <f>SUMIFS('Full month Pivot'!H:H, 'Full month Pivot'!$A:$A, "Phí Không Dừng", 'Full month Pivot'!$C:$C, $B74)</f>
        <v/>
      </c>
      <c r="P74" s="252">
        <f>SUMIFS('Full month Pivot'!I:I, 'Full month Pivot'!$A:$A, "Phí Không Dừng",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27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577435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19732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11370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4845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14449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296978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6037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32037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6239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1197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77678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9666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13725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1368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1136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128186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45107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38837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3826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1973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112880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160182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33163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39522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14887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2325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5285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10833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111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455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103296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70564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4977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745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423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5357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151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127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62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26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50126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9391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1948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221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144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50681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10433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2309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1087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360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63378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6988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4519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1521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366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14000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1772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1249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75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84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300905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49225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3843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3109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515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60339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6806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577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356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246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25214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3123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1999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1240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78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24652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4985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851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410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160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37409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4439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1932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6061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1013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17164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7712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23548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14266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5853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1320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259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9103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1612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607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226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33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307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4925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2174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554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76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6309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7437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6423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551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635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22766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1918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955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729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142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12266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2443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9535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816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186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4765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1592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752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725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53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548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1743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1654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285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29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6015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10618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1398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415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628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1388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2959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5121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175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187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13831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4665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265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104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33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11429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2156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490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479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124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3412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5660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1071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397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105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1336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116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82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52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559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4291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312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213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32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4846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1801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161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169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32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4718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995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584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251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57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36191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2045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143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112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58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2301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950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325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222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31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3205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103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353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64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20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456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792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21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84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16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2378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191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231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21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1898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148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118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30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2094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1142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86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86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21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1037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174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605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150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1530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131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153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6143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2615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2025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842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217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2220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395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133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135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18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8214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1553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127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174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93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30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351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53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46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1222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86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123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197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17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401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23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46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21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1842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1480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986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552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82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883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186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228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46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2500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295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110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73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327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21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19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20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743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22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60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31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1294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459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224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53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586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27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33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283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25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19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59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1243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159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77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38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175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49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330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124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18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178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16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165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25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17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141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19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54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23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36499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8088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1038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2614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887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15100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7788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5176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2113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2293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802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191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148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3296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373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226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173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55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3076791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27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19732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577435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14449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11370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4845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32037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296978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1197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6037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6239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77678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13725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1368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1136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9666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3826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38837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1973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45107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128186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160182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112880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14887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39522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33163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5285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10833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111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2325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455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4977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70564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423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103296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745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151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5357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26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62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127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9391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50126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221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144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1948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10433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50681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360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1087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2309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300905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3843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3109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515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49225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6988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63378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366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1521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4519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1249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14000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75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84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1772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577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6806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246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60339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356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3123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25214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78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1240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1999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4985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24652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160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410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851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6061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37409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1013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4439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1932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17164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7712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23548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14266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259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5853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1320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607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9103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33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1612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226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4925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2174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76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307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554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6423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6309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635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551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7437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752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4765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53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1592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725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955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22766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142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1918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729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1398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6015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628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10618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415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9535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2443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186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12266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816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1654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1743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29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548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285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2156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11429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124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479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490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265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4665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33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13831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104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5121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2959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187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175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1388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1071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3412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105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5660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397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559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4291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32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213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312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116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1336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82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52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4846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1801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32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169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161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36191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2045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143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58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112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995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4718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57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251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584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325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2301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31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950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222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353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3205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20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103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64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456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792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16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21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84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231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2378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21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191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148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1898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30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118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1142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2094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86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21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86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2615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6143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217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842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2025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605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1037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174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150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8214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1553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127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93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174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153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1530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131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135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2220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18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395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133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30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53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351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46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1480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1842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552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82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986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123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1222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17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197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86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46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401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21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23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186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883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228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46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110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2500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295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73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21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327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20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19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459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1294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53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224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60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743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22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31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159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1243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38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77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33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586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27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25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283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59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19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49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175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330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124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178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16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165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25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141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19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17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54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23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2614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36499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887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1038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8088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5176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15100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2293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7788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2113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148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191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802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373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3296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55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173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226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3076791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2026-10-27T07:38:37Z</dcterms:modified>
</cp:coreProperties>
</file>