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83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</fonts>
  <fills count="3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3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>
        <f>SUM(I16:I20)</f>
        <v/>
      </c>
      <c r="J13" s="22">
        <f>SUM(J16:J20)</f>
        <v/>
      </c>
      <c r="K13" s="22">
        <f>SUM(K16:K20)</f>
        <v/>
      </c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>
        <f>I13-H13</f>
        <v/>
      </c>
      <c r="J14" s="22">
        <f>J13-I13</f>
        <v/>
      </c>
      <c r="K14" s="22">
        <f>K13-J13</f>
        <v/>
      </c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>
        <f>IFERROR((C13/B13)-1, 0)</f>
        <v/>
      </c>
      <c r="D15" s="22">
        <f>IFERROR((D13/C13)-1, 0)</f>
        <v/>
      </c>
      <c r="E15" s="22">
        <f>IFERROR((E13/D13)-1, 0)</f>
        <v/>
      </c>
      <c r="F15" s="22">
        <f>IFERROR((F13/E13)-1, 0)</f>
        <v/>
      </c>
      <c r="G15" s="22">
        <f>IFERROR((G13/F13)-1, 0)</f>
        <v/>
      </c>
      <c r="H15" s="22">
        <f>IFERROR((H13/G13)-1, 0)</f>
        <v/>
      </c>
      <c r="I15" s="22">
        <f>IFERROR((I13/H13)-1, 0)</f>
        <v/>
      </c>
      <c r="J15" s="22">
        <f>IFERROR((J13/I13)-1, 0)</f>
        <v/>
      </c>
      <c r="K15" s="22">
        <f>IFERROR((K13/J13)-1, 0)</f>
        <v/>
      </c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>
        <v>1341520</v>
      </c>
      <c r="C16" s="22" t="n">
        <v>1778048</v>
      </c>
      <c r="D16" s="22" t="n">
        <v>1506731</v>
      </c>
      <c r="E16" s="22" t="n">
        <v>1513423</v>
      </c>
      <c r="F16" s="22" t="n">
        <v>1669709</v>
      </c>
      <c r="G16" s="22" t="n">
        <v>1648740</v>
      </c>
      <c r="H16" s="22" t="n">
        <v>1875191</v>
      </c>
      <c r="I16" s="22" t="n">
        <v>1729694</v>
      </c>
      <c r="J16" s="22" t="n">
        <v>1623796</v>
      </c>
      <c r="K16" s="22" t="n">
        <v>1665199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>
        <v>542134</v>
      </c>
      <c r="C17" s="22" t="n">
        <v>713478</v>
      </c>
      <c r="D17" s="22" t="n">
        <v>845345</v>
      </c>
      <c r="E17" s="22" t="n">
        <v>175402</v>
      </c>
      <c r="F17" s="22" t="n">
        <v>720891</v>
      </c>
      <c r="G17" s="22" t="n">
        <v>982492</v>
      </c>
      <c r="H17" s="22" t="n">
        <v>497958</v>
      </c>
      <c r="I17" s="22" t="n">
        <v>644539</v>
      </c>
      <c r="J17" s="22" t="n">
        <v>1197093</v>
      </c>
      <c r="K17" s="22" t="n">
        <v>456338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>
        <v>325968</v>
      </c>
      <c r="C18" s="22" t="n">
        <v>363331</v>
      </c>
      <c r="D18" s="22" t="n">
        <v>325975</v>
      </c>
      <c r="E18" s="22" t="n">
        <v>559600</v>
      </c>
      <c r="F18" s="22" t="n">
        <v>637057</v>
      </c>
      <c r="G18" s="22" t="n">
        <v>488592</v>
      </c>
      <c r="H18" s="22" t="n">
        <v>440855</v>
      </c>
      <c r="I18" s="22" t="n">
        <v>656271</v>
      </c>
      <c r="J18" s="22" t="n">
        <v>755896</v>
      </c>
      <c r="K18" s="22" t="n">
        <v>907813</v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>
        <v>222703</v>
      </c>
      <c r="C19" s="22" t="n">
        <v>454540</v>
      </c>
      <c r="D19" s="22" t="n">
        <v>293426</v>
      </c>
      <c r="E19" s="22" t="n">
        <v>283498</v>
      </c>
      <c r="F19" s="22" t="n">
        <v>201216</v>
      </c>
      <c r="G19" s="22" t="n">
        <v>255134</v>
      </c>
      <c r="H19" s="22" t="n">
        <v>329659</v>
      </c>
      <c r="I19" s="22" t="n">
        <v>410305</v>
      </c>
      <c r="J19" s="22" t="n">
        <v>345132</v>
      </c>
      <c r="K19" s="22" t="n">
        <v>340229</v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>
        <v>160088</v>
      </c>
      <c r="C20" s="22" t="n">
        <v>153070</v>
      </c>
      <c r="D20" s="22" t="n">
        <v>240949</v>
      </c>
      <c r="E20" s="22" t="n">
        <v>157039</v>
      </c>
      <c r="F20" s="22" t="n">
        <v>44750</v>
      </c>
      <c r="G20" s="22" t="n">
        <v>33224</v>
      </c>
      <c r="H20" s="22" t="n">
        <v>24158</v>
      </c>
      <c r="I20" s="22" t="n">
        <v>24554</v>
      </c>
      <c r="J20" s="22" t="n">
        <v>30942</v>
      </c>
      <c r="K20" s="22" t="n">
        <v>127285</v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>
        <f>"Update to: " &amp; DAY(NOW())</f>
        <v/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/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/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/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/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/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>
        <v>1665199</v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>
        <v>1665199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 t="n">
        <v>456338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 t="n">
        <v>456338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>
        <v>907813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 t="n">
        <v>907813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 t="n">
        <v>340229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 t="n">
        <v>340229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>
        <v>127285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 t="n">
        <v>127285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/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/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/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/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/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/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/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/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>
        <v>2601280</v>
      </c>
      <c r="C3" s="310" t="n">
        <v>3470470</v>
      </c>
      <c r="D3" s="310" t="n">
        <v>3221705</v>
      </c>
      <c r="E3" s="310" t="n">
        <v>2699883</v>
      </c>
      <c r="F3" s="310" t="n">
        <v>3272867</v>
      </c>
      <c r="G3" s="310" t="n">
        <v>3407958</v>
      </c>
      <c r="H3" s="310" t="n">
        <v>3167821</v>
      </c>
      <c r="I3" s="310" t="n">
        <v>3465363</v>
      </c>
      <c r="J3" s="310" t="n">
        <v>3509044</v>
      </c>
      <c r="K3" s="33" t="n">
        <v>3665607</v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>
        <f>C3/B3-1</f>
        <v/>
      </c>
      <c r="D4" s="310">
        <f>D3/C3-1</f>
        <v/>
      </c>
      <c r="E4" s="310">
        <f>E3/D3-1</f>
        <v/>
      </c>
      <c r="F4" s="310">
        <f>F3/E3-1</f>
        <v/>
      </c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 t="n">
        <v>3273623</v>
      </c>
      <c r="G5" s="44" t="n">
        <v>3408182</v>
      </c>
      <c r="H5" s="44" t="n">
        <v>3167821</v>
      </c>
      <c r="I5" s="44" t="n">
        <v>3465363</v>
      </c>
      <c r="J5" s="44" t="n">
        <v>3952859</v>
      </c>
      <c r="K5" s="44" t="n"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>
        <f>IFERROR((F5/E5)-1, 0)</f>
        <v/>
      </c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>
        <v>1341520</v>
      </c>
      <c r="C9" s="310" t="n">
        <v>1778048</v>
      </c>
      <c r="D9" s="310" t="n">
        <v>1506731</v>
      </c>
      <c r="E9" s="310" t="n">
        <v>1513423</v>
      </c>
      <c r="F9" s="310" t="n">
        <v>1669709</v>
      </c>
      <c r="G9" s="310" t="n">
        <v>1648740</v>
      </c>
      <c r="H9" s="310" t="n">
        <v>1875191</v>
      </c>
      <c r="I9" s="310" t="n">
        <v>1729694</v>
      </c>
      <c r="J9" s="310" t="n">
        <v>1623796</v>
      </c>
      <c r="K9" s="310" t="n">
        <v>1665199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>
        <v>542134</v>
      </c>
      <c r="C10" s="310" t="n">
        <v>713478</v>
      </c>
      <c r="D10" s="310" t="n">
        <v>845345</v>
      </c>
      <c r="E10" s="310" t="n">
        <v>175402</v>
      </c>
      <c r="F10" s="310" t="n">
        <v>720891</v>
      </c>
      <c r="G10" s="310" t="n">
        <v>982492</v>
      </c>
      <c r="H10" s="310" t="n">
        <v>497958</v>
      </c>
      <c r="I10" s="310" t="n">
        <v>644539</v>
      </c>
      <c r="J10" s="310" t="n">
        <v>1197093</v>
      </c>
      <c r="K10" s="310" t="n">
        <v>456338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>
        <v>325968</v>
      </c>
      <c r="C11" s="310" t="n">
        <v>363331</v>
      </c>
      <c r="D11" s="310" t="n">
        <v>325975</v>
      </c>
      <c r="E11" s="310" t="n">
        <v>559600</v>
      </c>
      <c r="F11" s="310" t="n">
        <v>637057</v>
      </c>
      <c r="G11" s="310" t="n">
        <v>488592</v>
      </c>
      <c r="H11" s="310" t="n">
        <v>440855</v>
      </c>
      <c r="I11" s="310" t="n">
        <v>656271</v>
      </c>
      <c r="J11" s="310" t="n">
        <v>755896</v>
      </c>
      <c r="K11" s="310" t="n">
        <v>907813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>
        <v>222703</v>
      </c>
      <c r="C12" s="310" t="n">
        <v>454540</v>
      </c>
      <c r="D12" s="310" t="n">
        <v>293426</v>
      </c>
      <c r="E12" s="310" t="n">
        <v>283498</v>
      </c>
      <c r="F12" s="310" t="n">
        <v>201216</v>
      </c>
      <c r="G12" s="310" t="n">
        <v>255134</v>
      </c>
      <c r="H12" s="310" t="n">
        <v>329659</v>
      </c>
      <c r="I12" s="310" t="n">
        <v>410305</v>
      </c>
      <c r="J12" s="310" t="n">
        <v>345132</v>
      </c>
      <c r="K12" s="310" t="n">
        <v>340229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>
        <v>160088</v>
      </c>
      <c r="C13" s="310" t="n">
        <v>153070</v>
      </c>
      <c r="D13" s="310" t="n">
        <v>240949</v>
      </c>
      <c r="E13" s="310" t="n">
        <v>157039</v>
      </c>
      <c r="F13" s="310" t="n">
        <v>44750</v>
      </c>
      <c r="G13" s="310" t="n">
        <v>33224</v>
      </c>
      <c r="H13" s="310" t="n">
        <v>24158</v>
      </c>
      <c r="I13" s="310" t="n">
        <v>24554</v>
      </c>
      <c r="J13" s="310" t="n">
        <v>30942</v>
      </c>
      <c r="K13" s="310" t="n">
        <v>127285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>
        <f>B9/$B$5</f>
        <v/>
      </c>
      <c r="C15" s="71">
        <f>C9/$C$5</f>
        <v/>
      </c>
      <c r="D15" s="71">
        <f>D9/$D$5</f>
        <v/>
      </c>
      <c r="E15" s="71">
        <f>E9/$E$5</f>
        <v/>
      </c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>
        <f>B10/$B$5</f>
        <v/>
      </c>
      <c r="C16" s="71">
        <f>C10/$C$5</f>
        <v/>
      </c>
      <c r="D16" s="71">
        <f>D10/$D$5</f>
        <v/>
      </c>
      <c r="E16" s="71">
        <f>E10/$E$5</f>
        <v/>
      </c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>
        <f>B11/$B$5</f>
        <v/>
      </c>
      <c r="C17" s="71">
        <f>C11/$C$5</f>
        <v/>
      </c>
      <c r="D17" s="71">
        <f>D11/$D$5</f>
        <v/>
      </c>
      <c r="E17" s="71">
        <f>E11/$E$5</f>
        <v/>
      </c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>
        <f>B12/$B$5</f>
        <v/>
      </c>
      <c r="C18" s="71">
        <f>C12/$C$5</f>
        <v/>
      </c>
      <c r="D18" s="71">
        <f>D12/$D$5</f>
        <v/>
      </c>
      <c r="E18" s="71">
        <f>E12/$E$5</f>
        <v/>
      </c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>
        <f>B13/$B$5</f>
        <v/>
      </c>
      <c r="C19" s="71">
        <f>C13/$C$5</f>
        <v/>
      </c>
      <c r="D19" s="71">
        <f>D13/$D$5</f>
        <v/>
      </c>
      <c r="E19" s="71">
        <f>E13/$E$5</f>
        <v/>
      </c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>
        <f>B15+B17+B18+B19</f>
        <v/>
      </c>
      <c r="C20" s="71">
        <f>C15+C17+C18+C19</f>
        <v/>
      </c>
      <c r="D20" s="71">
        <f>D15+D17+D18+D19</f>
        <v/>
      </c>
      <c r="E20" s="71">
        <f>E15+E17+E18+E19</f>
        <v/>
      </c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>
        <f>IFERROR(REPT("█", ROUND(K6/K3*4,0)) &amp; " " &amp; TEXT(K6/K3,"0%"), "")</f>
        <v/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 t="n">
        <v>1665199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 t="n">
        <v>456338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 t="n">
        <v>907813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 t="n">
        <v>340229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>
        <v>127285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8.88" customWidth="1" style="346" min="1" max="1"/>
    <col hidden="1" outlineLevel="1" width="10.75" customWidth="1" style="346" min="2" max="7"/>
    <col width="10.75" customWidth="1" style="346" min="8" max="13"/>
    <col collapsed="1" width="12.63" customWidth="1" style="346" min="14" max="14"/>
    <col hidden="1" outlineLevel="1" width="10.75" customWidth="1" style="346" min="15" max="20"/>
    <col width="10.75" customWidth="1" style="346" min="21" max="26"/>
    <col width="12.63" customWidth="1" style="346" min="27" max="27"/>
  </cols>
  <sheetData>
    <row r="1">
      <c r="A1" s="138" t="inlineStr">
        <is>
          <t>Web Performance - Detail by Project - Update MTD</t>
        </is>
      </c>
      <c r="B1" s="139" t="inlineStr">
        <is>
          <t>MTD (Month to date)</t>
        </is>
      </c>
      <c r="N1" s="139" t="inlineStr">
        <is>
          <t>Vs. SPLM</t>
        </is>
      </c>
      <c r="O1" s="139" t="inlineStr">
        <is>
          <t>Full month</t>
        </is>
      </c>
      <c r="AA1" s="139" t="inlineStr">
        <is>
          <t>Vs. SPLM</t>
        </is>
      </c>
      <c r="AB1" s="140" t="n"/>
      <c r="AC1" s="140" t="n"/>
      <c r="AD1" s="140" t="n"/>
    </row>
    <row r="2">
      <c r="A2" s="141" t="inlineStr">
        <is>
          <t>Chỉ số</t>
        </is>
      </c>
      <c r="B2" s="142" t="n">
        <v>46023</v>
      </c>
      <c r="C2" s="142" t="n">
        <v>46054</v>
      </c>
      <c r="D2" s="142" t="n">
        <v>46082</v>
      </c>
      <c r="E2" s="142" t="n">
        <v>46113</v>
      </c>
      <c r="F2" s="142" t="n">
        <v>46143</v>
      </c>
      <c r="G2" s="142" t="n">
        <v>46174</v>
      </c>
      <c r="H2" s="142" t="n">
        <v>46204</v>
      </c>
      <c r="I2" s="142" t="n">
        <v>46235</v>
      </c>
      <c r="J2" s="142" t="n">
        <v>46266</v>
      </c>
      <c r="K2" s="142" t="n">
        <v>46296</v>
      </c>
      <c r="L2" s="142" t="n">
        <v>46327</v>
      </c>
      <c r="M2" s="142" t="n">
        <v>46357</v>
      </c>
      <c r="N2" s="143" t="inlineStr">
        <is>
          <t>MTD vs. cùng kỳ</t>
        </is>
      </c>
      <c r="O2" s="142" t="n">
        <v>46023</v>
      </c>
      <c r="P2" s="142" t="n">
        <v>46054</v>
      </c>
      <c r="Q2" s="142" t="n">
        <v>46082</v>
      </c>
      <c r="R2" s="142" t="n">
        <v>46113</v>
      </c>
      <c r="S2" s="142" t="n">
        <v>46143</v>
      </c>
      <c r="T2" s="142" t="n">
        <v>46174</v>
      </c>
      <c r="U2" s="142" t="n">
        <v>46204</v>
      </c>
      <c r="V2" s="142" t="n">
        <v>46235</v>
      </c>
      <c r="W2" s="142" t="n">
        <v>46266</v>
      </c>
      <c r="X2" s="142" t="n">
        <v>46296</v>
      </c>
      <c r="Y2" s="142" t="n">
        <v>46327</v>
      </c>
      <c r="Z2" s="142" t="n">
        <v>46357</v>
      </c>
      <c r="AA2" s="143" t="inlineStr">
        <is>
          <t>Full vs. cùng kỳ</t>
        </is>
      </c>
      <c r="AB2" s="140" t="n"/>
      <c r="AC2" s="140" t="n"/>
      <c r="AD2" s="140" t="n"/>
    </row>
    <row r="3">
      <c r="A3" s="145" t="inlineStr">
        <is>
          <t>Cinema Hub</t>
        </is>
      </c>
      <c r="B3" s="145" t="n"/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>
        <f t="array" ref="Q3">INDEX('Full month Pivot'!$D$3:$K$400, MATCH("Grand Total", 'Full month Pivot'!$A$3:$A$400, 0), MATCH(Q$2, 'Full month Pivot'!$D$2:$K$2, 0))</f>
        <v/>
      </c>
      <c r="R3" s="145" t="n"/>
      <c r="S3" s="145" t="n"/>
      <c r="T3" s="145" t="n"/>
      <c r="U3" s="145" t="n"/>
      <c r="V3" s="145" t="n"/>
      <c r="W3" s="145" t="n"/>
      <c r="X3" s="145" t="n"/>
      <c r="Y3" s="145" t="n"/>
      <c r="Z3" s="145" t="n"/>
      <c r="AA3" s="145" t="n"/>
      <c r="AB3" s="140" t="n"/>
      <c r="AC3" s="140" t="n"/>
      <c r="AD3" s="140" t="n"/>
    </row>
    <row r="4">
      <c r="A4" s="146" t="inlineStr">
        <is>
          <t>Page views</t>
        </is>
      </c>
      <c r="B4" s="147">
        <f>IF(SUM(B9:B13)&gt;0, SUM(B9:B13), "")</f>
        <v/>
      </c>
      <c r="C4" s="147">
        <f>IF(SUM(C9:C13)&gt;0, SUM(C9:C13), "")</f>
        <v/>
      </c>
      <c r="D4" s="147">
        <f>IF(SUM(D9:D13)&gt;0, SUM(D9:D13), "")</f>
        <v/>
      </c>
      <c r="E4" s="147">
        <f>IF(SUM(E9:E13)&gt;0, SUM(E9:E13), "")</f>
        <v/>
      </c>
      <c r="F4" s="147">
        <f>IF(SUM(F9:F13)&gt;0, SUM(F9:F13), "")</f>
        <v/>
      </c>
      <c r="G4" s="147">
        <f>IF(SUM(G9:G13)&gt;0, SUM(G9:G13), "")</f>
        <v/>
      </c>
      <c r="H4" s="147">
        <f>IF(SUM(H9:H13)&gt;0, SUM(H9:H13), "")</f>
        <v/>
      </c>
      <c r="I4" s="147">
        <f>IF(SUM(I9:I13)&gt;0, SUM(I9:I13), "")</f>
        <v/>
      </c>
      <c r="J4" s="147">
        <f>IF(SUM(J9:J13)&gt;0, SUM(J9:J13), "")</f>
        <v/>
      </c>
      <c r="K4" s="147">
        <f>IF(SUM(K9:K13)&gt;0, SUM(K9:K13), "")</f>
        <v/>
      </c>
      <c r="L4" s="147">
        <f>IF(SUM(L9:L13)&gt;0, SUM(L9:L13), "")</f>
        <v/>
      </c>
      <c r="M4" s="147">
        <f>IF(SUM(M9:M13)&gt;0, SUM(M9:M13), "")</f>
        <v/>
      </c>
      <c r="N4" s="148">
        <f>IFERROR((K4-J4)/J4, "")</f>
        <v/>
      </c>
      <c r="O4" s="147">
        <f>IF(SUM(O9:O13)&gt;0, SUM(O9:O13), "")</f>
        <v/>
      </c>
      <c r="P4" s="147">
        <f>IF(SUM(P9:P13)&gt;0, SUM(P9:P13), "")</f>
        <v/>
      </c>
      <c r="Q4" s="147">
        <f>IF(SUM(Q9:Q13)&gt;0, SUM(Q9:Q13), "")</f>
        <v/>
      </c>
      <c r="R4" s="147">
        <f>IF(SUM(R9:R13)&gt;0, SUM(R9:R13), "")</f>
        <v/>
      </c>
      <c r="S4" s="147">
        <f>IF(SUM(S9:S13)&gt;0, SUM(S9:S13), "")</f>
        <v/>
      </c>
      <c r="T4" s="147">
        <f>IF(SUM(T9:T13)&gt;0, SUM(T9:T13), "")</f>
        <v/>
      </c>
      <c r="U4" s="147">
        <f>IF(SUM(U9:U13)&gt;0, SUM(U9:U13), "")</f>
        <v/>
      </c>
      <c r="V4" s="147">
        <f>IF(SUM(V9:V13)&gt;0, SUM(V9:V13), "")</f>
        <v/>
      </c>
      <c r="W4" s="147">
        <f>IF(SUM(W9:W13)&gt;0, SUM(W9:W13), "")</f>
        <v/>
      </c>
      <c r="X4" s="147">
        <f>IF(SUM(X9:X13)&gt;0, SUM(X9:X13), "")</f>
        <v/>
      </c>
      <c r="Y4" s="147">
        <f>IF(SUM(Y9:Y13)&gt;0, SUM(Y9:Y13), "")</f>
        <v/>
      </c>
      <c r="Z4" s="147">
        <f>IF(SUM(Z9:Z13)&gt;0, SUM(Z9:Z13), "")</f>
        <v/>
      </c>
      <c r="AA4" s="148">
        <f>IFERROR((X4-W4)/W4, "")</f>
        <v/>
      </c>
      <c r="AB4" s="140" t="n"/>
      <c r="AC4" s="140" t="n"/>
      <c r="AD4" s="140" t="n"/>
    </row>
    <row r="5">
      <c r="A5" s="150" t="inlineStr">
        <is>
          <t xml:space="preserve">  Click CTA</t>
        </is>
      </c>
      <c r="B5" s="150" t="n"/>
      <c r="C5" s="150" t="n"/>
      <c r="D5" s="150" t="n"/>
      <c r="E5" s="150" t="n"/>
      <c r="F5" s="150" t="n">
        <v>4951</v>
      </c>
      <c r="G5" s="150" t="n">
        <v>8021</v>
      </c>
      <c r="H5" s="150" t="n">
        <v>8207</v>
      </c>
      <c r="I5" s="150" t="n">
        <v>7117</v>
      </c>
      <c r="J5" s="150" t="n">
        <v>7518</v>
      </c>
      <c r="K5" s="150" t="n">
        <v>10663</v>
      </c>
      <c r="L5" s="150" t="n"/>
      <c r="M5" s="150" t="n"/>
      <c r="N5" s="151">
        <f>IFERROR((K5-J5)/J5, "")</f>
        <v/>
      </c>
      <c r="O5" s="150" t="n"/>
      <c r="P5" s="150" t="n"/>
      <c r="Q5" s="150" t="n"/>
      <c r="R5" s="150" t="n"/>
      <c r="S5" s="150" t="n">
        <v>5787</v>
      </c>
      <c r="T5" s="150" t="n">
        <v>8476</v>
      </c>
      <c r="U5" s="150" t="n">
        <v>9066</v>
      </c>
      <c r="V5" s="150" t="n">
        <v>8379</v>
      </c>
      <c r="W5" s="150" t="n">
        <v>8590</v>
      </c>
      <c r="X5" s="150" t="n">
        <v>10663</v>
      </c>
      <c r="Y5" s="150" t="n"/>
      <c r="Z5" s="150" t="n"/>
      <c r="AA5" s="151">
        <f>IFERROR((X5-W5)/W5, "")</f>
        <v/>
      </c>
      <c r="AB5" s="140" t="n"/>
      <c r="AC5" s="140" t="n"/>
      <c r="AD5" s="140" t="n"/>
    </row>
    <row r="6">
      <c r="A6" s="152" t="inlineStr">
        <is>
          <t xml:space="preserve">  Net change</t>
        </is>
      </c>
      <c r="B6" s="153" t="n"/>
      <c r="C6" s="153">
        <f>IF(AND(ISNUMBER(C4), ISNUMBER(B4), B4&gt;0, C4&gt;0), C4-B4, "")</f>
        <v/>
      </c>
      <c r="D6" s="153">
        <f>IF(AND(ISNUMBER(D4), ISNUMBER(C4), C4&gt;0, D4&gt;0), D4-C4, "")</f>
        <v/>
      </c>
      <c r="E6" s="153">
        <f>IF(AND(ISNUMBER(E4), ISNUMBER(D4), D4&gt;0, E4&gt;0), E4-D4, "")</f>
        <v/>
      </c>
      <c r="F6" s="153">
        <f>IF(AND(ISNUMBER(F4), ISNUMBER(E4), E4&gt;0, F4&gt;0), F4-E4, "")</f>
        <v/>
      </c>
      <c r="G6" s="153">
        <f>IF(AND(ISNUMBER(G4), ISNUMBER(F4), F4&gt;0, G4&gt;0), G4-F4, "")</f>
        <v/>
      </c>
      <c r="H6" s="153">
        <f>IF(AND(ISNUMBER(H4), ISNUMBER(G4), G4&gt;0, H4&gt;0), H4-G4, "")</f>
        <v/>
      </c>
      <c r="I6" s="153">
        <f>IF(AND(ISNUMBER(I4), ISNUMBER(H4), H4&gt;0, I4&gt;0), I4-H4, "")</f>
        <v/>
      </c>
      <c r="J6" s="153">
        <f>IF(AND(ISNUMBER(J4), ISNUMBER(I4), I4&gt;0, J4&gt;0), J4-I4, "")</f>
        <v/>
      </c>
      <c r="K6" s="153">
        <f>IF(AND(ISNUMBER(K4), ISNUMBER(J4), J4&gt;0, K4&gt;0), K4-J4, "")</f>
        <v/>
      </c>
      <c r="L6" s="153">
        <f>IF(AND(ISNUMBER(L4), ISNUMBER(K4), K4&gt;0, L4&gt;0), L4-K4, "")</f>
        <v/>
      </c>
      <c r="M6" s="153">
        <f>IF(AND(ISNUMBER(M4), ISNUMBER(L4), L4&gt;0, M4&gt;0), M4-L4, "")</f>
        <v/>
      </c>
      <c r="N6" s="153" t="n"/>
      <c r="O6" s="153" t="n"/>
      <c r="P6" s="153">
        <f>IF(AND(ISNUMBER(P4), ISNUMBER(O4), O4&gt;0, P4&gt;0), P4-O4, "")</f>
        <v/>
      </c>
      <c r="Q6" s="153">
        <f>IF(AND(ISNUMBER(Q4), ISNUMBER(P4), P4&gt;0, Q4&gt;0), Q4-P4, "")</f>
        <v/>
      </c>
      <c r="R6" s="153">
        <f>IF(AND(ISNUMBER(R4), ISNUMBER(Q4), Q4&gt;0, R4&gt;0), R4-Q4, "")</f>
        <v/>
      </c>
      <c r="S6" s="153">
        <f>IF(AND(ISNUMBER(S4), ISNUMBER(R4), R4&gt;0, S4&gt;0), S4-R4, "")</f>
        <v/>
      </c>
      <c r="T6" s="153">
        <f>IF(AND(ISNUMBER(T4), ISNUMBER(S4), S4&gt;0, T4&gt;0), T4-S4, "")</f>
        <v/>
      </c>
      <c r="U6" s="153">
        <f>IF(AND(ISNUMBER(U4), ISNUMBER(T4), T4&gt;0, U4&gt;0), U4-T4, "")</f>
        <v/>
      </c>
      <c r="V6" s="153">
        <f>IF(AND(ISNUMBER(V4), ISNUMBER(U4), U4&gt;0, V4&gt;0), V4-U4, "")</f>
        <v/>
      </c>
      <c r="W6" s="153">
        <f>IF(AND(ISNUMBER(W4), ISNUMBER(V4), V4&gt;0, W4&gt;0), W4-V4, "")</f>
        <v/>
      </c>
      <c r="X6" s="153">
        <f>IF(AND(ISNUMBER(X4), ISNUMBER(W4), W4&gt;0, X4&gt;0), X4-W4, "")</f>
        <v/>
      </c>
      <c r="Y6" s="153">
        <f>IF(AND(ISNUMBER(Y4), ISNUMBER(X4), X4&gt;0, Y4&gt;0), Y4-X4, "")</f>
        <v/>
      </c>
      <c r="Z6" s="153">
        <f>IF(AND(ISNUMBER(Z4), ISNUMBER(Y4), Y4&gt;0, Z4&gt;0), Z4-Y4, "")</f>
        <v/>
      </c>
      <c r="AA6" s="153" t="n"/>
      <c r="AB6" s="140" t="n"/>
      <c r="AC6" s="140" t="n"/>
      <c r="AD6" s="140" t="n"/>
    </row>
    <row r="7">
      <c r="A7" s="152" t="inlineStr">
        <is>
          <t xml:space="preserve">  % Growth rate</t>
        </is>
      </c>
      <c r="B7" s="203" t="n"/>
      <c r="C7" s="203">
        <f>IF(AND(ISNUMBER(C4), ISNUMBER(B4), B4&gt;0, C4&gt;0), (C4-B4)/B4, "")</f>
        <v/>
      </c>
      <c r="D7" s="203">
        <f>IF(AND(ISNUMBER(D4), ISNUMBER(C4), C4&gt;0, D4&gt;0), (D4-C4)/C4, "")</f>
        <v/>
      </c>
      <c r="E7" s="203">
        <f>IF(AND(ISNUMBER(E4), ISNUMBER(D4), D4&gt;0, E4&gt;0), (E4-D4)/D4, "")</f>
        <v/>
      </c>
      <c r="F7" s="203">
        <f>IF(AND(ISNUMBER(F4), ISNUMBER(E4), E4&gt;0, F4&gt;0), (F4-E4)/E4, "")</f>
        <v/>
      </c>
      <c r="G7" s="203">
        <f>IF(AND(ISNUMBER(G4), ISNUMBER(F4), F4&gt;0, G4&gt;0), (G4-F4)/F4, "")</f>
        <v/>
      </c>
      <c r="H7" s="203">
        <f>IF(AND(ISNUMBER(H4), ISNUMBER(G4), G4&gt;0, H4&gt;0), (H4-G4)/G4, "")</f>
        <v/>
      </c>
      <c r="I7" s="203">
        <f>IF(AND(ISNUMBER(I4), ISNUMBER(H4), H4&gt;0, I4&gt;0), (I4-H4)/H4, "")</f>
        <v/>
      </c>
      <c r="J7" s="203">
        <f>IF(AND(ISNUMBER(J4), ISNUMBER(I4), I4&gt;0, J4&gt;0), (J4-I4)/I4, "")</f>
        <v/>
      </c>
      <c r="K7" s="203">
        <f>IF(AND(ISNUMBER(K4), ISNUMBER(J4), J4&gt;0, K4&gt;0), (K4-J4)/J4, "")</f>
        <v/>
      </c>
      <c r="L7" s="203">
        <f>IF(AND(ISNUMBER(L4), ISNUMBER(K4), K4&gt;0, L4&gt;0), (L4-K4)/K4, "")</f>
        <v/>
      </c>
      <c r="M7" s="203">
        <f>IF(AND(ISNUMBER(M4), ISNUMBER(L4), L4&gt;0, M4&gt;0), (M4-L4)/L4, "")</f>
        <v/>
      </c>
      <c r="N7" s="203" t="n"/>
      <c r="O7" s="203" t="n"/>
      <c r="P7" s="203">
        <f>IF(AND(ISNUMBER(P4), ISNUMBER(O4), O4&gt;0, P4&gt;0), (P4-O4)/O4, "")</f>
        <v/>
      </c>
      <c r="Q7" s="203">
        <f>IF(AND(ISNUMBER(Q4), ISNUMBER(P4), P4&gt;0, Q4&gt;0), (Q4-P4)/P4, "")</f>
        <v/>
      </c>
      <c r="R7" s="203">
        <f>IF(AND(ISNUMBER(R4), ISNUMBER(Q4), Q4&gt;0, R4&gt;0), (R4-Q4)/Q4, "")</f>
        <v/>
      </c>
      <c r="S7" s="203">
        <f>IF(AND(ISNUMBER(S4), ISNUMBER(R4), R4&gt;0, S4&gt;0), (S4-R4)/R4, "")</f>
        <v/>
      </c>
      <c r="T7" s="203">
        <f>IF(AND(ISNUMBER(T4), ISNUMBER(S4), S4&gt;0, T4&gt;0), (T4-S4)/S4, "")</f>
        <v/>
      </c>
      <c r="U7" s="203">
        <f>IF(AND(ISNUMBER(U4), ISNUMBER(T4), T4&gt;0, U4&gt;0), (U4-T4)/T4, "")</f>
        <v/>
      </c>
      <c r="V7" s="203">
        <f>IF(AND(ISNUMBER(V4), ISNUMBER(U4), U4&gt;0, V4&gt;0), (V4-U4)/U4, "")</f>
        <v/>
      </c>
      <c r="W7" s="203">
        <f>IF(AND(ISNUMBER(W4), ISNUMBER(V4), V4&gt;0, W4&gt;0), (W4-V4)/V4, "")</f>
        <v/>
      </c>
      <c r="X7" s="203">
        <f>IF(AND(ISNUMBER(X4), ISNUMBER(W4), W4&gt;0, X4&gt;0), (X4-W4)/W4, "")</f>
        <v/>
      </c>
      <c r="Y7" s="203">
        <f>IF(AND(ISNUMBER(Y4), ISNUMBER(X4), X4&gt;0, Y4&gt;0), (Y4-X4)/X4, "")</f>
        <v/>
      </c>
      <c r="Z7" s="203">
        <f>IF(AND(ISNUMBER(Z4), ISNUMBER(Y4), Y4&gt;0, Z4&gt;0), (Z4-Y4)/Y4, "")</f>
        <v/>
      </c>
      <c r="AA7" s="203" t="n"/>
      <c r="AB7" s="140" t="n"/>
      <c r="AC7" s="140" t="n"/>
      <c r="AD7" s="140" t="n"/>
    </row>
    <row r="8">
      <c r="A8" s="202" t="inlineStr">
        <is>
          <t>Tỷ trọng trong tổng traffic</t>
        </is>
      </c>
      <c r="B8" s="156">
        <f t="array" ref="B8">IF(AND(ISNUMBER(B4), B4&gt;0), B4/INDEX('MTD Pivot'!$D$3:$K$400, MATCH("Grand Total", 'MTD Pivot'!$A$3:$A$400, 0), MATCH(B$2, 'MTD Pivot'!$D$2:$K$2, 0)), "")</f>
        <v/>
      </c>
      <c r="C8" s="156">
        <f t="array" ref="C8">IF(AND(ISNUMBER(C4), C4&gt;0), C4/INDEX('MTD Pivot'!$D$3:$K$400, MATCH("Grand Total", 'MTD Pivot'!$A$3:$A$400, 0), MATCH(C$2, 'MTD Pivot'!$D$2:$K$2, 0)), "")</f>
        <v/>
      </c>
      <c r="D8" s="156">
        <f t="array" ref="D8">IF(AND(ISNUMBER(D4), D4&gt;0), D4/INDEX('MTD Pivot'!$D$3:$K$400, MATCH("Grand Total", 'MTD Pivot'!$A$3:$A$400, 0), MATCH(D$2, 'MTD Pivot'!$D$2:$K$2, 0)), "")</f>
        <v/>
      </c>
      <c r="E8" s="156">
        <f t="array" ref="E8">IF(AND(ISNUMBER(E4), E4&gt;0), E4/INDEX('MTD Pivot'!$D$3:$K$400, MATCH("Grand Total", 'MTD Pivot'!$A$3:$A$400, 0), MATCH(E$2, 'MTD Pivot'!$D$2:$K$2, 0)), "")</f>
        <v/>
      </c>
      <c r="F8" s="156">
        <f t="array" ref="F8">IF(AND(ISNUMBER(F4), F4&gt;0), F4/INDEX('MTD Pivot'!$D$3:$K$400, MATCH("Grand Total", 'MTD Pivot'!$A$3:$A$400, 0), MATCH(F$2, 'MTD Pivot'!$D$2:$K$2, 0)), "")</f>
        <v/>
      </c>
      <c r="G8" s="156">
        <f t="array" ref="G8">IF(AND(ISNUMBER(G4), G4&gt;0), G4/INDEX('MTD Pivot'!$D$3:$K$400, MATCH("Grand Total", 'MTD Pivot'!$A$3:$A$400, 0), MATCH(G$2, 'MTD Pivot'!$D$2:$K$2, 0)), "")</f>
        <v/>
      </c>
      <c r="H8" s="156">
        <f t="array" ref="H8">IF(AND(ISNUMBER(H4), H4&gt;0), H4/INDEX('MTD Pivot'!$D$3:$K$400, MATCH("Grand Total", 'MTD Pivot'!$A$3:$A$400, 0), MATCH(H$2, 'MTD Pivot'!$D$2:$K$2, 0)), "")</f>
        <v/>
      </c>
      <c r="I8" s="156">
        <f t="array" ref="I8">IF(AND(ISNUMBER(I4), I4&gt;0), I4/INDEX('MTD Pivot'!$D$3:$K$400, MATCH("Grand Total", 'MTD Pivot'!$A$3:$A$400, 0), MATCH(I$2, 'MTD Pivot'!$D$2:$K$2, 0)), "")</f>
        <v/>
      </c>
      <c r="J8" s="156">
        <f t="array" ref="J8">IF(AND(ISNUMBER(J4), J4&gt;0), J4/INDEX('MTD Pivot'!$D$3:$K$400, MATCH("Grand Total", 'MTD Pivot'!$A$3:$A$400, 0), MATCH(J$2, 'MTD Pivot'!$D$2:$K$2, 0)), "")</f>
        <v/>
      </c>
      <c r="K8" s="156">
        <f t="array" ref="K8">IF(AND(ISNUMBER(K4), K4&gt;0), K4/INDEX('MTD Pivot'!$D$3:$K$400, MATCH("Grand Total", 'MTD Pivot'!$A$3:$A$400, 0), MATCH(K$2, 'MTD Pivot'!$D$2:$K$2, 0)), "")</f>
        <v/>
      </c>
      <c r="L8" s="156">
        <f t="array" ref="L8">IF(AND(ISNUMBER(L4), L4&gt;0), L4/INDEX('MTD Pivot'!$D$3:$K$400, MATCH("Grand Total", 'MTD Pivot'!$A$3:$A$400, 0), MATCH(L$2, 'MTD Pivot'!$D$2:$K$2, 0)), "")</f>
        <v/>
      </c>
      <c r="M8" s="156">
        <f t="array" ref="M8">IF(AND(ISNUMBER(M4), M4&gt;0), M4/INDEX('MTD Pivot'!$D$3:$K$400, MATCH("Grand Total", 'MTD Pivot'!$A$3:$A$400, 0), MATCH(M$2, 'MTD Pivot'!$D$2:$K$2, 0)), "")</f>
        <v/>
      </c>
      <c r="N8" s="157">
        <f>IF(AND(ISNUMBER(K8), ISNUMBER(J8)), K8-J8, "")</f>
        <v/>
      </c>
      <c r="O8" s="156">
        <f t="array" ref="O8">IF(AND(ISNUMBER(O4), O4&gt;0), O4/INDEX('Full month Pivot'!$D$3:$K$400, MATCH("Grand Total", 'Full month Pivot'!$A$3:$A$400, 0), MATCH(O$2, 'Full month Pivot'!$D$2:$K$2, 0)), "")</f>
        <v/>
      </c>
      <c r="P8" s="156">
        <f t="array" ref="P8">IF(AND(ISNUMBER(P4), P4&gt;0), P4/INDEX('Full month Pivot'!$D$3:$K$400, MATCH("Grand Total", 'Full month Pivot'!$A$3:$A$400, 0), MATCH(P$2, 'Full month Pivot'!$D$2:$K$2, 0)), "")</f>
        <v/>
      </c>
      <c r="Q8" s="156">
        <f t="array" ref="Q8">IF(AND(ISNUMBER(Q4), Q4&gt;0), Q4/INDEX('Full month Pivot'!$D$3:$K$400, MATCH("Grand Total", 'Full month Pivot'!$A$3:$A$400, 0), MATCH(Q$2, 'Full month Pivot'!$D$2:$K$2, 0)), "")</f>
        <v/>
      </c>
      <c r="R8" s="156">
        <f t="array" ref="R8">IF(AND(ISNUMBER(R4), R4&gt;0), R4/INDEX('Full month Pivot'!$D$3:$K$400, MATCH("Grand Total", 'Full month Pivot'!$A$3:$A$400, 0), MATCH(R$2, 'Full month Pivot'!$D$2:$K$2, 0)), "")</f>
        <v/>
      </c>
      <c r="S8" s="156">
        <f t="array" ref="S8">IF(AND(ISNUMBER(S4), S4&gt;0), S4/INDEX('Full month Pivot'!$D$3:$K$400, MATCH("Grand Total", 'Full month Pivot'!$A$3:$A$400, 0), MATCH(S$2, 'Full month Pivot'!$D$2:$K$2, 0)), "")</f>
        <v/>
      </c>
      <c r="T8" s="156">
        <f t="array" ref="T8">IF(AND(ISNUMBER(T4), T4&gt;0), T4/INDEX('Full month Pivot'!$D$3:$K$400, MATCH("Grand Total", 'Full month Pivot'!$A$3:$A$400, 0), MATCH(T$2, 'Full month Pivot'!$D$2:$K$2, 0)), "")</f>
        <v/>
      </c>
      <c r="U8" s="156">
        <f t="array" ref="U8">IF(AND(ISNUMBER(U4), U4&gt;0), U4/INDEX('Full month Pivot'!$D$3:$K$400, MATCH("Grand Total", 'Full month Pivot'!$A$3:$A$400, 0), MATCH(U$2, 'Full month Pivot'!$D$2:$K$2, 0)), "")</f>
        <v/>
      </c>
      <c r="V8" s="156">
        <f t="array" ref="V8">IF(AND(ISNUMBER(V4), V4&gt;0), V4/INDEX('Full month Pivot'!$D$3:$K$400, MATCH("Grand Total", 'Full month Pivot'!$A$3:$A$400, 0), MATCH(V$2, 'Full month Pivot'!$D$2:$K$2, 0)), "")</f>
        <v/>
      </c>
      <c r="W8" s="156">
        <f t="array" ref="W8">IF(AND(ISNUMBER(W4), W4&gt;0), W4/INDEX('Full month Pivot'!$D$3:$K$400, MATCH("Grand Total", 'Full month Pivot'!$A$3:$A$400, 0), MATCH(W$2, 'Full month Pivot'!$D$2:$K$2, 0)), "")</f>
        <v/>
      </c>
      <c r="X8" s="156">
        <f t="array" ref="X8">IF(AND(ISNUMBER(X4), X4&gt;0), X4/INDEX('Full month Pivot'!$D$3:$K$400, MATCH("Grand Total", 'Full month Pivot'!$A$3:$A$400, 0), MATCH(X$2, 'Full month Pivot'!$D$2:$K$2, 0)), "")</f>
        <v/>
      </c>
      <c r="Y8" s="156">
        <f t="array" ref="Y8">IF(AND(ISNUMBER(Y4), Y4&gt;0), Y4/INDEX('Full month Pivot'!$D$3:$K$400, MATCH("Grand Total", 'Full month Pivot'!$A$3:$A$400, 0), MATCH(Y$2, 'Full month Pivot'!$D$2:$K$2, 0)), "")</f>
        <v/>
      </c>
      <c r="Z8" s="156">
        <f t="array" ref="Z8">IF(AND(ISNUMBER(Z4), Z4&gt;0), Z4/INDEX('Full month Pivot'!$D$3:$K$400, MATCH("Grand Total", 'Full month Pivot'!$A$3:$A$400, 0), MATCH(Z$2, 'Full month Pivot'!$D$2:$K$2, 0)), "")</f>
        <v/>
      </c>
      <c r="AA8" s="157">
        <f>IF(AND(ISNUMBER(X8), ISNUMBER(W8)), X8-W8, "")</f>
        <v/>
      </c>
      <c r="AB8" s="140" t="n"/>
      <c r="AC8" s="140" t="n"/>
      <c r="AD8" s="140" t="n"/>
    </row>
    <row r="9">
      <c r="A9" s="202" t="inlineStr">
        <is>
          <t xml:space="preserve">  Organic</t>
        </is>
      </c>
      <c r="B9" s="193">
        <f>IF(SUMPRODUCT(('MTD Pivot'!$B$3:$B$400="Cinema Hub") * (TRIM('MTD Pivot'!$C$3:$C$400)=TRIM($A9)) * ('MTD Pivot'!$D$2:$K$2=B$2) * 'MTD Pivot'!$D$3:$K$400)&gt;0, SUMPRODUCT(('MTD Pivot'!$B$3:$B$400="Cinema Hub") * (TRIM('MTD Pivot'!$C$3:$C$400)=TRIM($A9)) * ('MTD Pivot'!$D$2:$K$2=B$2) * 'MTD Pivot'!$D$3:$K$400), "")</f>
        <v/>
      </c>
      <c r="C9" s="193">
        <f>IF(SUMPRODUCT(('MTD Pivot'!$B$3:$B$400="Cinema Hub") * (TRIM('MTD Pivot'!$C$3:$C$400)=TRIM($A9)) * ('MTD Pivot'!$D$2:$K$2=C$2) * 'MTD Pivot'!$D$3:$K$400)&gt;0, SUMPRODUCT(('MTD Pivot'!$B$3:$B$400="Cinema Hub") * (TRIM('MTD Pivot'!$C$3:$C$400)=TRIM($A9)) * ('MTD Pivot'!$D$2:$K$2=C$2) * 'MTD Pivot'!$D$3:$K$400), "")</f>
        <v/>
      </c>
      <c r="D9" s="193">
        <f>IF(SUMPRODUCT(('MTD Pivot'!$B$3:$B$400="Cinema Hub") * (TRIM('MTD Pivot'!$C$3:$C$400)=TRIM($A9)) * ('MTD Pivot'!$D$2:$K$2=D$2) * 'MTD Pivot'!$D$3:$K$400)&gt;0, SUMPRODUCT(('MTD Pivot'!$B$3:$B$400="Cinema Hub") * (TRIM('MTD Pivot'!$C$3:$C$400)=TRIM($A9)) * ('MTD Pivot'!$D$2:$K$2=D$2) * 'MTD Pivot'!$D$3:$K$400), "")</f>
        <v/>
      </c>
      <c r="E9" s="193">
        <f>IF(SUMPRODUCT(('MTD Pivot'!$B$3:$B$400="Cinema Hub") * (TRIM('MTD Pivot'!$C$3:$C$400)=TRIM($A9)) * ('MTD Pivot'!$D$2:$K$2=E$2) * 'MTD Pivot'!$D$3:$K$400)&gt;0, SUMPRODUCT(('MTD Pivot'!$B$3:$B$400="Cinema Hub") * (TRIM('MTD Pivot'!$C$3:$C$400)=TRIM($A9)) * ('MTD Pivot'!$D$2:$K$2=E$2) * 'MTD Pivot'!$D$3:$K$400), "")</f>
        <v/>
      </c>
      <c r="F9" s="193">
        <f>IF(SUMPRODUCT(('MTD Pivot'!$B$3:$B$400="Cinema Hub") * (TRIM('MTD Pivot'!$C$3:$C$400)=TRIM($A9)) * ('MTD Pivot'!$D$2:$K$2=F$2) * 'MTD Pivot'!$D$3:$K$400)&gt;0, SUMPRODUCT(('MTD Pivot'!$B$3:$B$400="Cinema Hub") * (TRIM('MTD Pivot'!$C$3:$C$400)=TRIM($A9)) * ('MTD Pivot'!$D$2:$K$2=F$2) * 'MTD Pivot'!$D$3:$K$400), "")</f>
        <v/>
      </c>
      <c r="G9" s="193">
        <f>IF(SUMPRODUCT(('MTD Pivot'!$B$3:$B$400="Cinema Hub") * (TRIM('MTD Pivot'!$C$3:$C$400)=TRIM($A9)) * ('MTD Pivot'!$D$2:$K$2=G$2) * 'MTD Pivot'!$D$3:$K$400)&gt;0, SUMPRODUCT(('MTD Pivot'!$B$3:$B$400="Cinema Hub") * (TRIM('MTD Pivot'!$C$3:$C$400)=TRIM($A9)) * ('MTD Pivot'!$D$2:$K$2=G$2) * 'MTD Pivot'!$D$3:$K$400), "")</f>
        <v/>
      </c>
      <c r="H9" s="193">
        <f>IF(SUMPRODUCT(('MTD Pivot'!$B$3:$B$400="Cinema Hub") * (TRIM('MTD Pivot'!$C$3:$C$400)=TRIM($A9)) * ('MTD Pivot'!$D$2:$K$2=H$2) * 'MTD Pivot'!$D$3:$K$400)&gt;0, SUMPRODUCT(('MTD Pivot'!$B$3:$B$400="Cinema Hub") * (TRIM('MTD Pivot'!$C$3:$C$400)=TRIM($A9)) * ('MTD Pivot'!$D$2:$K$2=H$2) * 'MTD Pivot'!$D$3:$K$400), "")</f>
        <v/>
      </c>
      <c r="I9" s="193">
        <f>IF(SUMPRODUCT(('MTD Pivot'!$B$3:$B$400="Cinema Hub") * (TRIM('MTD Pivot'!$C$3:$C$400)=TRIM($A9)) * ('MTD Pivot'!$D$2:$K$2=I$2) * 'MTD Pivot'!$D$3:$K$400)&gt;0, SUMPRODUCT(('MTD Pivot'!$B$3:$B$400="Cinema Hub") * (TRIM('MTD Pivot'!$C$3:$C$400)=TRIM($A9)) * ('MTD Pivot'!$D$2:$K$2=I$2) * 'MTD Pivot'!$D$3:$K$400), "")</f>
        <v/>
      </c>
      <c r="J9" s="193">
        <f>IF(SUMPRODUCT(('MTD Pivot'!$B$3:$B$400="Cinema Hub") * (TRIM('MTD Pivot'!$C$3:$C$400)=TRIM($A9)) * ('MTD Pivot'!$D$2:$K$2=J$2) * 'MTD Pivot'!$D$3:$K$400)&gt;0, SUMPRODUCT(('MTD Pivot'!$B$3:$B$400="Cinema Hub") * (TRIM('MTD Pivot'!$C$3:$C$400)=TRIM($A9)) * ('MTD Pivot'!$D$2:$K$2=J$2) * 'MTD Pivot'!$D$3:$K$400), "")</f>
        <v/>
      </c>
      <c r="K9" s="193">
        <f>IF(SUMPRODUCT(('MTD Pivot'!$B$3:$B$400="Cinema Hub") * (TRIM('MTD Pivot'!$C$3:$C$400)=TRIM($A9)) * ('MTD Pivot'!$D$2:$K$2=K$2) * 'MTD Pivot'!$D$3:$K$400)&gt;0, SUMPRODUCT(('MTD Pivot'!$B$3:$B$400="Cinema Hub") * (TRIM('MTD Pivot'!$C$3:$C$400)=TRIM($A9)) * ('MTD Pivot'!$D$2:$K$2=K$2) * 'MTD Pivot'!$D$3:$K$400), "")</f>
        <v/>
      </c>
      <c r="L9" s="193">
        <f>IF(SUMPRODUCT(('MTD Pivot'!$B$3:$B$400="Cinema Hub") * (TRIM('MTD Pivot'!$C$3:$C$400)=TRIM($A9)) * ('MTD Pivot'!$D$2:$K$2=L$2) * 'MTD Pivot'!$D$3:$K$400)&gt;0, SUMPRODUCT(('MTD Pivot'!$B$3:$B$400="Cinema Hub") * (TRIM('MTD Pivot'!$C$3:$C$400)=TRIM($A9)) * ('MTD Pivot'!$D$2:$K$2=L$2) * 'MTD Pivot'!$D$3:$K$400), "")</f>
        <v/>
      </c>
      <c r="M9" s="193">
        <f>IF(SUMPRODUCT(('MTD Pivot'!$B$3:$B$400="Cinema Hub") * (TRIM('MTD Pivot'!$C$3:$C$400)=TRIM($A9)) * ('MTD Pivot'!$D$2:$K$2=M$2) * 'MTD Pivot'!$D$3:$K$400)&gt;0, SUMPRODUCT(('MTD Pivot'!$B$3:$B$400="Cinema Hub") * (TRIM('MTD Pivot'!$C$3:$C$400)=TRIM($A9)) * ('MTD Pivot'!$D$2:$K$2=M$2) * 'MTD Pivot'!$D$3:$K$400), "")</f>
        <v/>
      </c>
      <c r="N9" s="157">
        <f>IF(AND(ISNUMBER(K9), ISNUMBER(J9), J9&gt;0), (K9-J9)/J9, "")</f>
        <v/>
      </c>
      <c r="O9" s="193">
        <f>IF(SUMPRODUCT(('Full month Pivot'!$B$3:$B$400="Cinema Hub") * (TRIM('Full month Pivot'!$C$3:$C$400)=TRIM($A9)) * ('Full month Pivot'!$D$2:$K$2=O$2) * 'Full month Pivot'!$D$3:$K$400)&gt;0, SUMPRODUCT(('Full month Pivot'!$B$3:$B$400="Cinema Hub") * (TRIM('Full month Pivot'!$C$3:$C$400)=TRIM($A9)) * ('Full month Pivot'!$D$2:$K$2=O$2) * 'Full month Pivot'!$D$3:$K$400), "")</f>
        <v/>
      </c>
      <c r="P9" s="193">
        <f>IF(SUMPRODUCT(('Full month Pivot'!$B$3:$B$400="Cinema Hub") * (TRIM('Full month Pivot'!$C$3:$C$400)=TRIM($A9)) * ('Full month Pivot'!$D$2:$K$2=P$2) * 'Full month Pivot'!$D$3:$K$400)&gt;0, SUMPRODUCT(('Full month Pivot'!$B$3:$B$400="Cinema Hub") * (TRIM('Full month Pivot'!$C$3:$C$400)=TRIM($A9)) * ('Full month Pivot'!$D$2:$K$2=P$2) * 'Full month Pivot'!$D$3:$K$400), "")</f>
        <v/>
      </c>
      <c r="Q9" s="193">
        <f>IF(SUMPRODUCT(('Full month Pivot'!$B$3:$B$400="Cinema Hub") * (TRIM('Full month Pivot'!$C$3:$C$400)=TRIM($A9)) * ('Full month Pivot'!$D$2:$K$2=Q$2) * 'Full month Pivot'!$D$3:$K$400)&gt;0, SUMPRODUCT(('Full month Pivot'!$B$3:$B$400="Cinema Hub") * (TRIM('Full month Pivot'!$C$3:$C$400)=TRIM($A9)) * ('Full month Pivot'!$D$2:$K$2=Q$2) * 'Full month Pivot'!$D$3:$K$400), "")</f>
        <v/>
      </c>
      <c r="R9" s="193">
        <f>IF(SUMPRODUCT(('Full month Pivot'!$B$3:$B$400="Cinema Hub") * (TRIM('Full month Pivot'!$C$3:$C$400)=TRIM($A9)) * ('Full month Pivot'!$D$2:$K$2=R$2) * 'Full month Pivot'!$D$3:$K$400)&gt;0, SUMPRODUCT(('Full month Pivot'!$B$3:$B$400="Cinema Hub") * (TRIM('Full month Pivot'!$C$3:$C$400)=TRIM($A9)) * ('Full month Pivot'!$D$2:$K$2=R$2) * 'Full month Pivot'!$D$3:$K$400), "")</f>
        <v/>
      </c>
      <c r="S9" s="193">
        <f>IF(SUMPRODUCT(('Full month Pivot'!$B$3:$B$400="Cinema Hub") * (TRIM('Full month Pivot'!$C$3:$C$400)=TRIM($A9)) * ('Full month Pivot'!$D$2:$K$2=S$2) * 'Full month Pivot'!$D$3:$K$400)&gt;0, SUMPRODUCT(('Full month Pivot'!$B$3:$B$400="Cinema Hub") * (TRIM('Full month Pivot'!$C$3:$C$400)=TRIM($A9)) * ('Full month Pivot'!$D$2:$K$2=S$2) * 'Full month Pivot'!$D$3:$K$400), "")</f>
        <v/>
      </c>
      <c r="T9" s="193">
        <f>IF(SUMPRODUCT(('Full month Pivot'!$B$3:$B$400="Cinema Hub") * (TRIM('Full month Pivot'!$C$3:$C$400)=TRIM($A9)) * ('Full month Pivot'!$D$2:$K$2=T$2) * 'Full month Pivot'!$D$3:$K$400)&gt;0, SUMPRODUCT(('Full month Pivot'!$B$3:$B$400="Cinema Hub") * (TRIM('Full month Pivot'!$C$3:$C$400)=TRIM($A9)) * ('Full month Pivot'!$D$2:$K$2=T$2) * 'Full month Pivot'!$D$3:$K$400), "")</f>
        <v/>
      </c>
      <c r="U9" s="193">
        <f>IF(SUMPRODUCT(('Full month Pivot'!$B$3:$B$400="Cinema Hub") * (TRIM('Full month Pivot'!$C$3:$C$400)=TRIM($A9)) * ('Full month Pivot'!$D$2:$K$2=U$2) * 'Full month Pivot'!$D$3:$K$400)&gt;0, SUMPRODUCT(('Full month Pivot'!$B$3:$B$400="Cinema Hub") * (TRIM('Full month Pivot'!$C$3:$C$400)=TRIM($A9)) * ('Full month Pivot'!$D$2:$K$2=U$2) * 'Full month Pivot'!$D$3:$K$400), "")</f>
        <v/>
      </c>
      <c r="V9" s="193">
        <f>IF(SUMPRODUCT(('Full month Pivot'!$B$3:$B$400="Cinema Hub") * (TRIM('Full month Pivot'!$C$3:$C$400)=TRIM($A9)) * ('Full month Pivot'!$D$2:$K$2=V$2) * 'Full month Pivot'!$D$3:$K$400)&gt;0, SUMPRODUCT(('Full month Pivot'!$B$3:$B$400="Cinema Hub") * (TRIM('Full month Pivot'!$C$3:$C$400)=TRIM($A9)) * ('Full month Pivot'!$D$2:$K$2=V$2) * 'Full month Pivot'!$D$3:$K$400), "")</f>
        <v/>
      </c>
      <c r="W9" s="193">
        <f>IF(SUMPRODUCT(('Full month Pivot'!$B$3:$B$400="Cinema Hub") * (TRIM('Full month Pivot'!$C$3:$C$400)=TRIM($A9)) * ('Full month Pivot'!$D$2:$K$2=W$2) * 'Full month Pivot'!$D$3:$K$400)&gt;0, SUMPRODUCT(('Full month Pivot'!$B$3:$B$400="Cinema Hub") * (TRIM('Full month Pivot'!$C$3:$C$400)=TRIM($A9)) * ('Full month Pivot'!$D$2:$K$2=W$2) * 'Full month Pivot'!$D$3:$K$400), "")</f>
        <v/>
      </c>
      <c r="X9" s="193">
        <f>IF(SUMPRODUCT(('Full month Pivot'!$B$3:$B$400="Cinema Hub") * (TRIM('Full month Pivot'!$C$3:$C$400)=TRIM($A9)) * ('Full month Pivot'!$D$2:$K$2=X$2) * 'Full month Pivot'!$D$3:$K$400)&gt;0, SUMPRODUCT(('Full month Pivot'!$B$3:$B$400="Cinema Hub") * (TRIM('Full month Pivot'!$C$3:$C$400)=TRIM($A9)) * ('Full month Pivot'!$D$2:$K$2=X$2) * 'Full month Pivot'!$D$3:$K$400), "")</f>
        <v/>
      </c>
      <c r="Y9" s="193">
        <f>IF(SUMPRODUCT(('Full month Pivot'!$B$3:$B$400="Cinema Hub") * (TRIM('Full month Pivot'!$C$3:$C$400)=TRIM($A9)) * ('Full month Pivot'!$D$2:$K$2=Y$2) * 'Full month Pivot'!$D$3:$K$400)&gt;0, SUMPRODUCT(('Full month Pivot'!$B$3:$B$400="Cinema Hub") * (TRIM('Full month Pivot'!$C$3:$C$400)=TRIM($A9)) * ('Full month Pivot'!$D$2:$K$2=Y$2) * 'Full month Pivot'!$D$3:$K$400), "")</f>
        <v/>
      </c>
      <c r="Z9" s="193">
        <f>IF(SUMPRODUCT(('Full month Pivot'!$B$3:$B$400="Cinema Hub") * (TRIM('Full month Pivot'!$C$3:$C$400)=TRIM($A9)) * ('Full month Pivot'!$D$2:$K$2=Z$2) * 'Full month Pivot'!$D$3:$K$400)&gt;0, SUMPRODUCT(('Full month Pivot'!$B$3:$B$400="Cinema Hub") * (TRIM('Full month Pivot'!$C$3:$C$400)=TRIM($A9)) * ('Full month Pivot'!$D$2:$K$2=Z$2) * 'Full month Pivot'!$D$3:$K$400), "")</f>
        <v/>
      </c>
      <c r="AA9" s="157">
        <f>IF(AND(ISNUMBER(X9), ISNUMBER(W9), W9&gt;0), (X9-W9)/W9, "")</f>
        <v/>
      </c>
      <c r="AB9" s="140" t="n"/>
      <c r="AC9" s="140" t="n"/>
      <c r="AD9" s="140" t="n"/>
    </row>
    <row r="10">
      <c r="A10" s="202" t="inlineStr">
        <is>
          <t xml:space="preserve">  Paid</t>
        </is>
      </c>
      <c r="B10" s="193">
        <f>IF(SUMPRODUCT(('MTD Pivot'!$B$3:$B$400="Cinema Hub") * (TRIM('MTD Pivot'!$C$3:$C$400)=TRIM($A10)) * ('MTD Pivot'!$D$2:$K$2=B$2) * 'MTD Pivot'!$D$3:$K$400)&gt;0, SUMPRODUCT(('MTD Pivot'!$B$3:$B$400="Cinema Hub") * (TRIM('MTD Pivot'!$C$3:$C$400)=TRIM($A10)) * ('MTD Pivot'!$D$2:$K$2=B$2) * 'MTD Pivot'!$D$3:$K$400), "")</f>
        <v/>
      </c>
      <c r="C10" s="193">
        <f>IF(SUMPRODUCT(('MTD Pivot'!$B$3:$B$400="Cinema Hub") * (TRIM('MTD Pivot'!$C$3:$C$400)=TRIM($A10)) * ('MTD Pivot'!$D$2:$K$2=C$2) * 'MTD Pivot'!$D$3:$K$400)&gt;0, SUMPRODUCT(('MTD Pivot'!$B$3:$B$400="Cinema Hub") * (TRIM('MTD Pivot'!$C$3:$C$400)=TRIM($A10)) * ('MTD Pivot'!$D$2:$K$2=C$2) * 'MTD Pivot'!$D$3:$K$400), "")</f>
        <v/>
      </c>
      <c r="D10" s="193">
        <f>IF(SUMPRODUCT(('MTD Pivot'!$B$3:$B$400="Cinema Hub") * (TRIM('MTD Pivot'!$C$3:$C$400)=TRIM($A10)) * ('MTD Pivot'!$D$2:$K$2=D$2) * 'MTD Pivot'!$D$3:$K$400)&gt;0, SUMPRODUCT(('MTD Pivot'!$B$3:$B$400="Cinema Hub") * (TRIM('MTD Pivot'!$C$3:$C$400)=TRIM($A10)) * ('MTD Pivot'!$D$2:$K$2=D$2) * 'MTD Pivot'!$D$3:$K$400), "")</f>
        <v/>
      </c>
      <c r="E10" s="193">
        <f>IF(SUMPRODUCT(('MTD Pivot'!$B$3:$B$400="Cinema Hub") * (TRIM('MTD Pivot'!$C$3:$C$400)=TRIM($A10)) * ('MTD Pivot'!$D$2:$K$2=E$2) * 'MTD Pivot'!$D$3:$K$400)&gt;0, SUMPRODUCT(('MTD Pivot'!$B$3:$B$400="Cinema Hub") * (TRIM('MTD Pivot'!$C$3:$C$400)=TRIM($A10)) * ('MTD Pivot'!$D$2:$K$2=E$2) * 'MTD Pivot'!$D$3:$K$400), "")</f>
        <v/>
      </c>
      <c r="F10" s="193">
        <f>IF(SUMPRODUCT(('MTD Pivot'!$B$3:$B$400="Cinema Hub") * (TRIM('MTD Pivot'!$C$3:$C$400)=TRIM($A10)) * ('MTD Pivot'!$D$2:$K$2=F$2) * 'MTD Pivot'!$D$3:$K$400)&gt;0, SUMPRODUCT(('MTD Pivot'!$B$3:$B$400="Cinema Hub") * (TRIM('MTD Pivot'!$C$3:$C$400)=TRIM($A10)) * ('MTD Pivot'!$D$2:$K$2=F$2) * 'MTD Pivot'!$D$3:$K$400), "")</f>
        <v/>
      </c>
      <c r="G10" s="193">
        <f>IF(SUMPRODUCT(('MTD Pivot'!$B$3:$B$400="Cinema Hub") * (TRIM('MTD Pivot'!$C$3:$C$400)=TRIM($A10)) * ('MTD Pivot'!$D$2:$K$2=G$2) * 'MTD Pivot'!$D$3:$K$400)&gt;0, SUMPRODUCT(('MTD Pivot'!$B$3:$B$400="Cinema Hub") * (TRIM('MTD Pivot'!$C$3:$C$400)=TRIM($A10)) * ('MTD Pivot'!$D$2:$K$2=G$2) * 'MTD Pivot'!$D$3:$K$400), "")</f>
        <v/>
      </c>
      <c r="H10" s="193">
        <f>IF(SUMPRODUCT(('MTD Pivot'!$B$3:$B$400="Cinema Hub") * (TRIM('MTD Pivot'!$C$3:$C$400)=TRIM($A10)) * ('MTD Pivot'!$D$2:$K$2=H$2) * 'MTD Pivot'!$D$3:$K$400)&gt;0, SUMPRODUCT(('MTD Pivot'!$B$3:$B$400="Cinema Hub") * (TRIM('MTD Pivot'!$C$3:$C$400)=TRIM($A10)) * ('MTD Pivot'!$D$2:$K$2=H$2) * 'MTD Pivot'!$D$3:$K$400), "")</f>
        <v/>
      </c>
      <c r="I10" s="193">
        <f>IF(SUMPRODUCT(('MTD Pivot'!$B$3:$B$400="Cinema Hub") * (TRIM('MTD Pivot'!$C$3:$C$400)=TRIM($A10)) * ('MTD Pivot'!$D$2:$K$2=I$2) * 'MTD Pivot'!$D$3:$K$400)&gt;0, SUMPRODUCT(('MTD Pivot'!$B$3:$B$400="Cinema Hub") * (TRIM('MTD Pivot'!$C$3:$C$400)=TRIM($A10)) * ('MTD Pivot'!$D$2:$K$2=I$2) * 'MTD Pivot'!$D$3:$K$400), "")</f>
        <v/>
      </c>
      <c r="J10" s="193">
        <f>IF(SUMPRODUCT(('MTD Pivot'!$B$3:$B$400="Cinema Hub") * (TRIM('MTD Pivot'!$C$3:$C$400)=TRIM($A10)) * ('MTD Pivot'!$D$2:$K$2=J$2) * 'MTD Pivot'!$D$3:$K$400)&gt;0, SUMPRODUCT(('MTD Pivot'!$B$3:$B$400="Cinema Hub") * (TRIM('MTD Pivot'!$C$3:$C$400)=TRIM($A10)) * ('MTD Pivot'!$D$2:$K$2=J$2) * 'MTD Pivot'!$D$3:$K$400), "")</f>
        <v/>
      </c>
      <c r="K10" s="193">
        <f>IF(SUMPRODUCT(('MTD Pivot'!$B$3:$B$400="Cinema Hub") * (TRIM('MTD Pivot'!$C$3:$C$400)=TRIM($A10)) * ('MTD Pivot'!$D$2:$K$2=K$2) * 'MTD Pivot'!$D$3:$K$400)&gt;0, SUMPRODUCT(('MTD Pivot'!$B$3:$B$400="Cinema Hub") * (TRIM('MTD Pivot'!$C$3:$C$400)=TRIM($A10)) * ('MTD Pivot'!$D$2:$K$2=K$2) * 'MTD Pivot'!$D$3:$K$400), "")</f>
        <v/>
      </c>
      <c r="L10" s="193">
        <f>IF(SUMPRODUCT(('MTD Pivot'!$B$3:$B$400="Cinema Hub") * (TRIM('MTD Pivot'!$C$3:$C$400)=TRIM($A10)) * ('MTD Pivot'!$D$2:$K$2=L$2) * 'MTD Pivot'!$D$3:$K$400)&gt;0, SUMPRODUCT(('MTD Pivot'!$B$3:$B$400="Cinema Hub") * (TRIM('MTD Pivot'!$C$3:$C$400)=TRIM($A10)) * ('MTD Pivot'!$D$2:$K$2=L$2) * 'MTD Pivot'!$D$3:$K$400), "")</f>
        <v/>
      </c>
      <c r="M10" s="193">
        <f>IF(SUMPRODUCT(('MTD Pivot'!$B$3:$B$400="Cinema Hub") * (TRIM('MTD Pivot'!$C$3:$C$400)=TRIM($A10)) * ('MTD Pivot'!$D$2:$K$2=M$2) * 'MTD Pivot'!$D$3:$K$400)&gt;0, SUMPRODUCT(('MTD Pivot'!$B$3:$B$400="Cinema Hub") * (TRIM('MTD Pivot'!$C$3:$C$400)=TRIM($A10)) * ('MTD Pivot'!$D$2:$K$2=M$2) * 'MTD Pivot'!$D$3:$K$400), "")</f>
        <v/>
      </c>
      <c r="N10" s="157">
        <f>IF(AND(ISNUMBER(K10), ISNUMBER(J10), J10&gt;0), (K10-J10)/J10, "")</f>
        <v/>
      </c>
      <c r="O10" s="193">
        <f>IF(SUMPRODUCT(('Full month Pivot'!$B$3:$B$400="Cinema Hub") * (TRIM('Full month Pivot'!$C$3:$C$400)=TRIM($A10)) * ('Full month Pivot'!$D$2:$K$2=O$2) * 'Full month Pivot'!$D$3:$K$400)&gt;0, SUMPRODUCT(('Full month Pivot'!$B$3:$B$400="Cinema Hub") * (TRIM('Full month Pivot'!$C$3:$C$400)=TRIM($A10)) * ('Full month Pivot'!$D$2:$K$2=O$2) * 'Full month Pivot'!$D$3:$K$400), "")</f>
        <v/>
      </c>
      <c r="P10" s="193">
        <f>IF(SUMPRODUCT(('Full month Pivot'!$B$3:$B$400="Cinema Hub") * (TRIM('Full month Pivot'!$C$3:$C$400)=TRIM($A10)) * ('Full month Pivot'!$D$2:$K$2=P$2) * 'Full month Pivot'!$D$3:$K$400)&gt;0, SUMPRODUCT(('Full month Pivot'!$B$3:$B$400="Cinema Hub") * (TRIM('Full month Pivot'!$C$3:$C$400)=TRIM($A10)) * ('Full month Pivot'!$D$2:$K$2=P$2) * 'Full month Pivot'!$D$3:$K$400), "")</f>
        <v/>
      </c>
      <c r="Q10" s="193">
        <f>IF(SUMPRODUCT(('Full month Pivot'!$B$3:$B$400="Cinema Hub") * (TRIM('Full month Pivot'!$C$3:$C$400)=TRIM($A10)) * ('Full month Pivot'!$D$2:$K$2=Q$2) * 'Full month Pivot'!$D$3:$K$400)&gt;0, SUMPRODUCT(('Full month Pivot'!$B$3:$B$400="Cinema Hub") * (TRIM('Full month Pivot'!$C$3:$C$400)=TRIM($A10)) * ('Full month Pivot'!$D$2:$K$2=Q$2) * 'Full month Pivot'!$D$3:$K$400), "")</f>
        <v/>
      </c>
      <c r="R10" s="193">
        <f>IF(SUMPRODUCT(('Full month Pivot'!$B$3:$B$400="Cinema Hub") * (TRIM('Full month Pivot'!$C$3:$C$400)=TRIM($A10)) * ('Full month Pivot'!$D$2:$K$2=R$2) * 'Full month Pivot'!$D$3:$K$400)&gt;0, SUMPRODUCT(('Full month Pivot'!$B$3:$B$400="Cinema Hub") * (TRIM('Full month Pivot'!$C$3:$C$400)=TRIM($A10)) * ('Full month Pivot'!$D$2:$K$2=R$2) * 'Full month Pivot'!$D$3:$K$400), "")</f>
        <v/>
      </c>
      <c r="S10" s="193">
        <f>IF(SUMPRODUCT(('Full month Pivot'!$B$3:$B$400="Cinema Hub") * (TRIM('Full month Pivot'!$C$3:$C$400)=TRIM($A10)) * ('Full month Pivot'!$D$2:$K$2=S$2) * 'Full month Pivot'!$D$3:$K$400)&gt;0, SUMPRODUCT(('Full month Pivot'!$B$3:$B$400="Cinema Hub") * (TRIM('Full month Pivot'!$C$3:$C$400)=TRIM($A10)) * ('Full month Pivot'!$D$2:$K$2=S$2) * 'Full month Pivot'!$D$3:$K$400), "")</f>
        <v/>
      </c>
      <c r="T10" s="193">
        <f>IF(SUMPRODUCT(('Full month Pivot'!$B$3:$B$400="Cinema Hub") * (TRIM('Full month Pivot'!$C$3:$C$400)=TRIM($A10)) * ('Full month Pivot'!$D$2:$K$2=T$2) * 'Full month Pivot'!$D$3:$K$400)&gt;0, SUMPRODUCT(('Full month Pivot'!$B$3:$B$400="Cinema Hub") * (TRIM('Full month Pivot'!$C$3:$C$400)=TRIM($A10)) * ('Full month Pivot'!$D$2:$K$2=T$2) * 'Full month Pivot'!$D$3:$K$400), "")</f>
        <v/>
      </c>
      <c r="U10" s="193">
        <f>IF(SUMPRODUCT(('Full month Pivot'!$B$3:$B$400="Cinema Hub") * (TRIM('Full month Pivot'!$C$3:$C$400)=TRIM($A10)) * ('Full month Pivot'!$D$2:$K$2=U$2) * 'Full month Pivot'!$D$3:$K$400)&gt;0, SUMPRODUCT(('Full month Pivot'!$B$3:$B$400="Cinema Hub") * (TRIM('Full month Pivot'!$C$3:$C$400)=TRIM($A10)) * ('Full month Pivot'!$D$2:$K$2=U$2) * 'Full month Pivot'!$D$3:$K$400), "")</f>
        <v/>
      </c>
      <c r="V10" s="193">
        <f>IF(SUMPRODUCT(('Full month Pivot'!$B$3:$B$400="Cinema Hub") * (TRIM('Full month Pivot'!$C$3:$C$400)=TRIM($A10)) * ('Full month Pivot'!$D$2:$K$2=V$2) * 'Full month Pivot'!$D$3:$K$400)&gt;0, SUMPRODUCT(('Full month Pivot'!$B$3:$B$400="Cinema Hub") * (TRIM('Full month Pivot'!$C$3:$C$400)=TRIM($A10)) * ('Full month Pivot'!$D$2:$K$2=V$2) * 'Full month Pivot'!$D$3:$K$400), "")</f>
        <v/>
      </c>
      <c r="W10" s="193">
        <f>IF(SUMPRODUCT(('Full month Pivot'!$B$3:$B$400="Cinema Hub") * (TRIM('Full month Pivot'!$C$3:$C$400)=TRIM($A10)) * ('Full month Pivot'!$D$2:$K$2=W$2) * 'Full month Pivot'!$D$3:$K$400)&gt;0, SUMPRODUCT(('Full month Pivot'!$B$3:$B$400="Cinema Hub") * (TRIM('Full month Pivot'!$C$3:$C$400)=TRIM($A10)) * ('Full month Pivot'!$D$2:$K$2=W$2) * 'Full month Pivot'!$D$3:$K$400), "")</f>
        <v/>
      </c>
      <c r="X10" s="193">
        <f>IF(SUMPRODUCT(('Full month Pivot'!$B$3:$B$400="Cinema Hub") * (TRIM('Full month Pivot'!$C$3:$C$400)=TRIM($A10)) * ('Full month Pivot'!$D$2:$K$2=X$2) * 'Full month Pivot'!$D$3:$K$400)&gt;0, SUMPRODUCT(('Full month Pivot'!$B$3:$B$400="Cinema Hub") * (TRIM('Full month Pivot'!$C$3:$C$400)=TRIM($A10)) * ('Full month Pivot'!$D$2:$K$2=X$2) * 'Full month Pivot'!$D$3:$K$400), "")</f>
        <v/>
      </c>
      <c r="Y10" s="193">
        <f>IF(SUMPRODUCT(('Full month Pivot'!$B$3:$B$400="Cinema Hub") * (TRIM('Full month Pivot'!$C$3:$C$400)=TRIM($A10)) * ('Full month Pivot'!$D$2:$K$2=Y$2) * 'Full month Pivot'!$D$3:$K$400)&gt;0, SUMPRODUCT(('Full month Pivot'!$B$3:$B$400="Cinema Hub") * (TRIM('Full month Pivot'!$C$3:$C$400)=TRIM($A10)) * ('Full month Pivot'!$D$2:$K$2=Y$2) * 'Full month Pivot'!$D$3:$K$400), "")</f>
        <v/>
      </c>
      <c r="Z10" s="193">
        <f>IF(SUMPRODUCT(('Full month Pivot'!$B$3:$B$400="Cinema Hub") * (TRIM('Full month Pivot'!$C$3:$C$400)=TRIM($A10)) * ('Full month Pivot'!$D$2:$K$2=Z$2) * 'Full month Pivot'!$D$3:$K$400)&gt;0, SUMPRODUCT(('Full month Pivot'!$B$3:$B$400="Cinema Hub") * (TRIM('Full month Pivot'!$C$3:$C$400)=TRIM($A10)) * ('Full month Pivot'!$D$2:$K$2=Z$2) * 'Full month Pivot'!$D$3:$K$400), "")</f>
        <v/>
      </c>
      <c r="AA10" s="157">
        <f>IF(AND(ISNUMBER(X10), ISNUMBER(W10), W10&gt;0), (X10-W10)/W10, "")</f>
        <v/>
      </c>
      <c r="AB10" s="140" t="n"/>
      <c r="AC10" s="140" t="n"/>
      <c r="AD10" s="140" t="n"/>
    </row>
    <row r="11">
      <c r="A11" s="202" t="inlineStr">
        <is>
          <t xml:space="preserve">  Direct</t>
        </is>
      </c>
      <c r="B11" s="193">
        <f>IF(SUMPRODUCT(('MTD Pivot'!$B$3:$B$400="Cinema Hub") * (TRIM('MTD Pivot'!$C$3:$C$400)=TRIM($A11)) * ('MTD Pivot'!$D$2:$K$2=B$2) * 'MTD Pivot'!$D$3:$K$400)&gt;0, SUMPRODUCT(('MTD Pivot'!$B$3:$B$400="Cinema Hub") * (TRIM('MTD Pivot'!$C$3:$C$400)=TRIM($A11)) * ('MTD Pivot'!$D$2:$K$2=B$2) * 'MTD Pivot'!$D$3:$K$400), "")</f>
        <v/>
      </c>
      <c r="C11" s="193">
        <f>IF(SUMPRODUCT(('MTD Pivot'!$B$3:$B$400="Cinema Hub") * (TRIM('MTD Pivot'!$C$3:$C$400)=TRIM($A11)) * ('MTD Pivot'!$D$2:$K$2=C$2) * 'MTD Pivot'!$D$3:$K$400)&gt;0, SUMPRODUCT(('MTD Pivot'!$B$3:$B$400="Cinema Hub") * (TRIM('MTD Pivot'!$C$3:$C$400)=TRIM($A11)) * ('MTD Pivot'!$D$2:$K$2=C$2) * 'MTD Pivot'!$D$3:$K$400), "")</f>
        <v/>
      </c>
      <c r="D11" s="193">
        <f>IF(SUMPRODUCT(('MTD Pivot'!$B$3:$B$400="Cinema Hub") * (TRIM('MTD Pivot'!$C$3:$C$400)=TRIM($A11)) * ('MTD Pivot'!$D$2:$K$2=D$2) * 'MTD Pivot'!$D$3:$K$400)&gt;0, SUMPRODUCT(('MTD Pivot'!$B$3:$B$400="Cinema Hub") * (TRIM('MTD Pivot'!$C$3:$C$400)=TRIM($A11)) * ('MTD Pivot'!$D$2:$K$2=D$2) * 'MTD Pivot'!$D$3:$K$400), "")</f>
        <v/>
      </c>
      <c r="E11" s="193">
        <f>IF(SUMPRODUCT(('MTD Pivot'!$B$3:$B$400="Cinema Hub") * (TRIM('MTD Pivot'!$C$3:$C$400)=TRIM($A11)) * ('MTD Pivot'!$D$2:$K$2=E$2) * 'MTD Pivot'!$D$3:$K$400)&gt;0, SUMPRODUCT(('MTD Pivot'!$B$3:$B$400="Cinema Hub") * (TRIM('MTD Pivot'!$C$3:$C$400)=TRIM($A11)) * ('MTD Pivot'!$D$2:$K$2=E$2) * 'MTD Pivot'!$D$3:$K$400), "")</f>
        <v/>
      </c>
      <c r="F11" s="193">
        <f>IF(SUMPRODUCT(('MTD Pivot'!$B$3:$B$400="Cinema Hub") * (TRIM('MTD Pivot'!$C$3:$C$400)=TRIM($A11)) * ('MTD Pivot'!$D$2:$K$2=F$2) * 'MTD Pivot'!$D$3:$K$400)&gt;0, SUMPRODUCT(('MTD Pivot'!$B$3:$B$400="Cinema Hub") * (TRIM('MTD Pivot'!$C$3:$C$400)=TRIM($A11)) * ('MTD Pivot'!$D$2:$K$2=F$2) * 'MTD Pivot'!$D$3:$K$400), "")</f>
        <v/>
      </c>
      <c r="G11" s="193">
        <f>IF(SUMPRODUCT(('MTD Pivot'!$B$3:$B$400="Cinema Hub") * (TRIM('MTD Pivot'!$C$3:$C$400)=TRIM($A11)) * ('MTD Pivot'!$D$2:$K$2=G$2) * 'MTD Pivot'!$D$3:$K$400)&gt;0, SUMPRODUCT(('MTD Pivot'!$B$3:$B$400="Cinema Hub") * (TRIM('MTD Pivot'!$C$3:$C$400)=TRIM($A11)) * ('MTD Pivot'!$D$2:$K$2=G$2) * 'MTD Pivot'!$D$3:$K$400), "")</f>
        <v/>
      </c>
      <c r="H11" s="193">
        <f>IF(SUMPRODUCT(('MTD Pivot'!$B$3:$B$400="Cinema Hub") * (TRIM('MTD Pivot'!$C$3:$C$400)=TRIM($A11)) * ('MTD Pivot'!$D$2:$K$2=H$2) * 'MTD Pivot'!$D$3:$K$400)&gt;0, SUMPRODUCT(('MTD Pivot'!$B$3:$B$400="Cinema Hub") * (TRIM('MTD Pivot'!$C$3:$C$400)=TRIM($A11)) * ('MTD Pivot'!$D$2:$K$2=H$2) * 'MTD Pivot'!$D$3:$K$400), "")</f>
        <v/>
      </c>
      <c r="I11" s="193">
        <f>IF(SUMPRODUCT(('MTD Pivot'!$B$3:$B$400="Cinema Hub") * (TRIM('MTD Pivot'!$C$3:$C$400)=TRIM($A11)) * ('MTD Pivot'!$D$2:$K$2=I$2) * 'MTD Pivot'!$D$3:$K$400)&gt;0, SUMPRODUCT(('MTD Pivot'!$B$3:$B$400="Cinema Hub") * (TRIM('MTD Pivot'!$C$3:$C$400)=TRIM($A11)) * ('MTD Pivot'!$D$2:$K$2=I$2) * 'MTD Pivot'!$D$3:$K$400), "")</f>
        <v/>
      </c>
      <c r="J11" s="193">
        <f>IF(SUMPRODUCT(('MTD Pivot'!$B$3:$B$400="Cinema Hub") * (TRIM('MTD Pivot'!$C$3:$C$400)=TRIM($A11)) * ('MTD Pivot'!$D$2:$K$2=J$2) * 'MTD Pivot'!$D$3:$K$400)&gt;0, SUMPRODUCT(('MTD Pivot'!$B$3:$B$400="Cinema Hub") * (TRIM('MTD Pivot'!$C$3:$C$400)=TRIM($A11)) * ('MTD Pivot'!$D$2:$K$2=J$2) * 'MTD Pivot'!$D$3:$K$400), "")</f>
        <v/>
      </c>
      <c r="K11" s="193">
        <f>IF(SUMPRODUCT(('MTD Pivot'!$B$3:$B$400="Cinema Hub") * (TRIM('MTD Pivot'!$C$3:$C$400)=TRIM($A11)) * ('MTD Pivot'!$D$2:$K$2=K$2) * 'MTD Pivot'!$D$3:$K$400)&gt;0, SUMPRODUCT(('MTD Pivot'!$B$3:$B$400="Cinema Hub") * (TRIM('MTD Pivot'!$C$3:$C$400)=TRIM($A11)) * ('MTD Pivot'!$D$2:$K$2=K$2) * 'MTD Pivot'!$D$3:$K$400), "")</f>
        <v/>
      </c>
      <c r="L11" s="193">
        <f>IF(SUMPRODUCT(('MTD Pivot'!$B$3:$B$400="Cinema Hub") * (TRIM('MTD Pivot'!$C$3:$C$400)=TRIM($A11)) * ('MTD Pivot'!$D$2:$K$2=L$2) * 'MTD Pivot'!$D$3:$K$400)&gt;0, SUMPRODUCT(('MTD Pivot'!$B$3:$B$400="Cinema Hub") * (TRIM('MTD Pivot'!$C$3:$C$400)=TRIM($A11)) * ('MTD Pivot'!$D$2:$K$2=L$2) * 'MTD Pivot'!$D$3:$K$400), "")</f>
        <v/>
      </c>
      <c r="M11" s="193">
        <f>IF(SUMPRODUCT(('MTD Pivot'!$B$3:$B$400="Cinema Hub") * (TRIM('MTD Pivot'!$C$3:$C$400)=TRIM($A11)) * ('MTD Pivot'!$D$2:$K$2=M$2) * 'MTD Pivot'!$D$3:$K$400)&gt;0, SUMPRODUCT(('MTD Pivot'!$B$3:$B$400="Cinema Hub") * (TRIM('MTD Pivot'!$C$3:$C$400)=TRIM($A11)) * ('MTD Pivot'!$D$2:$K$2=M$2) * 'MTD Pivot'!$D$3:$K$400), "")</f>
        <v/>
      </c>
      <c r="N11" s="157">
        <f>IF(AND(ISNUMBER(K11), ISNUMBER(J11), J11&gt;0), (K11-J11)/J11, "")</f>
        <v/>
      </c>
      <c r="O11" s="193">
        <f>IF(SUMPRODUCT(('Full month Pivot'!$B$3:$B$400="Cinema Hub") * (TRIM('Full month Pivot'!$C$3:$C$400)=TRIM($A11)) * ('Full month Pivot'!$D$2:$K$2=O$2) * 'Full month Pivot'!$D$3:$K$400)&gt;0, SUMPRODUCT(('Full month Pivot'!$B$3:$B$400="Cinema Hub") * (TRIM('Full month Pivot'!$C$3:$C$400)=TRIM($A11)) * ('Full month Pivot'!$D$2:$K$2=O$2) * 'Full month Pivot'!$D$3:$K$400), "")</f>
        <v/>
      </c>
      <c r="P11" s="193">
        <f>IF(SUMPRODUCT(('Full month Pivot'!$B$3:$B$400="Cinema Hub") * (TRIM('Full month Pivot'!$C$3:$C$400)=TRIM($A11)) * ('Full month Pivot'!$D$2:$K$2=P$2) * 'Full month Pivot'!$D$3:$K$400)&gt;0, SUMPRODUCT(('Full month Pivot'!$B$3:$B$400="Cinema Hub") * (TRIM('Full month Pivot'!$C$3:$C$400)=TRIM($A11)) * ('Full month Pivot'!$D$2:$K$2=P$2) * 'Full month Pivot'!$D$3:$K$400), "")</f>
        <v/>
      </c>
      <c r="Q11" s="193">
        <f>IF(SUMPRODUCT(('Full month Pivot'!$B$3:$B$400="Cinema Hub") * (TRIM('Full month Pivot'!$C$3:$C$400)=TRIM($A11)) * ('Full month Pivot'!$D$2:$K$2=Q$2) * 'Full month Pivot'!$D$3:$K$400)&gt;0, SUMPRODUCT(('Full month Pivot'!$B$3:$B$400="Cinema Hub") * (TRIM('Full month Pivot'!$C$3:$C$400)=TRIM($A11)) * ('Full month Pivot'!$D$2:$K$2=Q$2) * 'Full month Pivot'!$D$3:$K$400), "")</f>
        <v/>
      </c>
      <c r="R11" s="193">
        <f>IF(SUMPRODUCT(('Full month Pivot'!$B$3:$B$400="Cinema Hub") * (TRIM('Full month Pivot'!$C$3:$C$400)=TRIM($A11)) * ('Full month Pivot'!$D$2:$K$2=R$2) * 'Full month Pivot'!$D$3:$K$400)&gt;0, SUMPRODUCT(('Full month Pivot'!$B$3:$B$400="Cinema Hub") * (TRIM('Full month Pivot'!$C$3:$C$400)=TRIM($A11)) * ('Full month Pivot'!$D$2:$K$2=R$2) * 'Full month Pivot'!$D$3:$K$400), "")</f>
        <v/>
      </c>
      <c r="S11" s="193">
        <f>IF(SUMPRODUCT(('Full month Pivot'!$B$3:$B$400="Cinema Hub") * (TRIM('Full month Pivot'!$C$3:$C$400)=TRIM($A11)) * ('Full month Pivot'!$D$2:$K$2=S$2) * 'Full month Pivot'!$D$3:$K$400)&gt;0, SUMPRODUCT(('Full month Pivot'!$B$3:$B$400="Cinema Hub") * (TRIM('Full month Pivot'!$C$3:$C$400)=TRIM($A11)) * ('Full month Pivot'!$D$2:$K$2=S$2) * 'Full month Pivot'!$D$3:$K$400), "")</f>
        <v/>
      </c>
      <c r="T11" s="193">
        <f>IF(SUMPRODUCT(('Full month Pivot'!$B$3:$B$400="Cinema Hub") * (TRIM('Full month Pivot'!$C$3:$C$400)=TRIM($A11)) * ('Full month Pivot'!$D$2:$K$2=T$2) * 'Full month Pivot'!$D$3:$K$400)&gt;0, SUMPRODUCT(('Full month Pivot'!$B$3:$B$400="Cinema Hub") * (TRIM('Full month Pivot'!$C$3:$C$400)=TRIM($A11)) * ('Full month Pivot'!$D$2:$K$2=T$2) * 'Full month Pivot'!$D$3:$K$400), "")</f>
        <v/>
      </c>
      <c r="U11" s="193">
        <f>IF(SUMPRODUCT(('Full month Pivot'!$B$3:$B$400="Cinema Hub") * (TRIM('Full month Pivot'!$C$3:$C$400)=TRIM($A11)) * ('Full month Pivot'!$D$2:$K$2=U$2) * 'Full month Pivot'!$D$3:$K$400)&gt;0, SUMPRODUCT(('Full month Pivot'!$B$3:$B$400="Cinema Hub") * (TRIM('Full month Pivot'!$C$3:$C$400)=TRIM($A11)) * ('Full month Pivot'!$D$2:$K$2=U$2) * 'Full month Pivot'!$D$3:$K$400), "")</f>
        <v/>
      </c>
      <c r="V11" s="193">
        <f>IF(SUMPRODUCT(('Full month Pivot'!$B$3:$B$400="Cinema Hub") * (TRIM('Full month Pivot'!$C$3:$C$400)=TRIM($A11)) * ('Full month Pivot'!$D$2:$K$2=V$2) * 'Full month Pivot'!$D$3:$K$400)&gt;0, SUMPRODUCT(('Full month Pivot'!$B$3:$B$400="Cinema Hub") * (TRIM('Full month Pivot'!$C$3:$C$400)=TRIM($A11)) * ('Full month Pivot'!$D$2:$K$2=V$2) * 'Full month Pivot'!$D$3:$K$400), "")</f>
        <v/>
      </c>
      <c r="W11" s="193">
        <f>IF(SUMPRODUCT(('Full month Pivot'!$B$3:$B$400="Cinema Hub") * (TRIM('Full month Pivot'!$C$3:$C$400)=TRIM($A11)) * ('Full month Pivot'!$D$2:$K$2=W$2) * 'Full month Pivot'!$D$3:$K$400)&gt;0, SUMPRODUCT(('Full month Pivot'!$B$3:$B$400="Cinema Hub") * (TRIM('Full month Pivot'!$C$3:$C$400)=TRIM($A11)) * ('Full month Pivot'!$D$2:$K$2=W$2) * 'Full month Pivot'!$D$3:$K$400), "")</f>
        <v/>
      </c>
      <c r="X11" s="193">
        <f>IF(SUMPRODUCT(('Full month Pivot'!$B$3:$B$400="Cinema Hub") * (TRIM('Full month Pivot'!$C$3:$C$400)=TRIM($A11)) * ('Full month Pivot'!$D$2:$K$2=X$2) * 'Full month Pivot'!$D$3:$K$400)&gt;0, SUMPRODUCT(('Full month Pivot'!$B$3:$B$400="Cinema Hub") * (TRIM('Full month Pivot'!$C$3:$C$400)=TRIM($A11)) * ('Full month Pivot'!$D$2:$K$2=X$2) * 'Full month Pivot'!$D$3:$K$400), "")</f>
        <v/>
      </c>
      <c r="Y11" s="193">
        <f>IF(SUMPRODUCT(('Full month Pivot'!$B$3:$B$400="Cinema Hub") * (TRIM('Full month Pivot'!$C$3:$C$400)=TRIM($A11)) * ('Full month Pivot'!$D$2:$K$2=Y$2) * 'Full month Pivot'!$D$3:$K$400)&gt;0, SUMPRODUCT(('Full month Pivot'!$B$3:$B$400="Cinema Hub") * (TRIM('Full month Pivot'!$C$3:$C$400)=TRIM($A11)) * ('Full month Pivot'!$D$2:$K$2=Y$2) * 'Full month Pivot'!$D$3:$K$400), "")</f>
        <v/>
      </c>
      <c r="Z11" s="193">
        <f>IF(SUMPRODUCT(('Full month Pivot'!$B$3:$B$400="Cinema Hub") * (TRIM('Full month Pivot'!$C$3:$C$400)=TRIM($A11)) * ('Full month Pivot'!$D$2:$K$2=Z$2) * 'Full month Pivot'!$D$3:$K$400)&gt;0, SUMPRODUCT(('Full month Pivot'!$B$3:$B$400="Cinema Hub") * (TRIM('Full month Pivot'!$C$3:$C$400)=TRIM($A11)) * ('Full month Pivot'!$D$2:$K$2=Z$2) * 'Full month Pivot'!$D$3:$K$400), "")</f>
        <v/>
      </c>
      <c r="AA11" s="157">
        <f>IF(AND(ISNUMBER(X11), ISNUMBER(W11), W11&gt;0), (X11-W11)/W11, "")</f>
        <v/>
      </c>
      <c r="AB11" s="140" t="n"/>
      <c r="AC11" s="140" t="n"/>
      <c r="AD11" s="140" t="n"/>
    </row>
    <row r="12">
      <c r="A12" s="202" t="inlineStr">
        <is>
          <t xml:space="preserve">  Referral</t>
        </is>
      </c>
      <c r="B12" s="193">
        <f>IF(SUMPRODUCT(('MTD Pivot'!$B$3:$B$400="Cinema Hub") * (TRIM('MTD Pivot'!$C$3:$C$400)=TRIM($A12)) * ('MTD Pivot'!$D$2:$K$2=B$2) * 'MTD Pivot'!$D$3:$K$400)&gt;0, SUMPRODUCT(('MTD Pivot'!$B$3:$B$400="Cinema Hub") * (TRIM('MTD Pivot'!$C$3:$C$400)=TRIM($A12)) * ('MTD Pivot'!$D$2:$K$2=B$2) * 'MTD Pivot'!$D$3:$K$400), "")</f>
        <v/>
      </c>
      <c r="C12" s="193">
        <f>IF(SUMPRODUCT(('MTD Pivot'!$B$3:$B$400="Cinema Hub") * (TRIM('MTD Pivot'!$C$3:$C$400)=TRIM($A12)) * ('MTD Pivot'!$D$2:$K$2=C$2) * 'MTD Pivot'!$D$3:$K$400)&gt;0, SUMPRODUCT(('MTD Pivot'!$B$3:$B$400="Cinema Hub") * (TRIM('MTD Pivot'!$C$3:$C$400)=TRIM($A12)) * ('MTD Pivot'!$D$2:$K$2=C$2) * 'MTD Pivot'!$D$3:$K$400), "")</f>
        <v/>
      </c>
      <c r="D12" s="193">
        <f>IF(SUMPRODUCT(('MTD Pivot'!$B$3:$B$400="Cinema Hub") * (TRIM('MTD Pivot'!$C$3:$C$400)=TRIM($A12)) * ('MTD Pivot'!$D$2:$K$2=D$2) * 'MTD Pivot'!$D$3:$K$400)&gt;0, SUMPRODUCT(('MTD Pivot'!$B$3:$B$400="Cinema Hub") * (TRIM('MTD Pivot'!$C$3:$C$400)=TRIM($A12)) * ('MTD Pivot'!$D$2:$K$2=D$2) * 'MTD Pivot'!$D$3:$K$400), "")</f>
        <v/>
      </c>
      <c r="E12" s="193">
        <f>IF(SUMPRODUCT(('MTD Pivot'!$B$3:$B$400="Cinema Hub") * (TRIM('MTD Pivot'!$C$3:$C$400)=TRIM($A12)) * ('MTD Pivot'!$D$2:$K$2=E$2) * 'MTD Pivot'!$D$3:$K$400)&gt;0, SUMPRODUCT(('MTD Pivot'!$B$3:$B$400="Cinema Hub") * (TRIM('MTD Pivot'!$C$3:$C$400)=TRIM($A12)) * ('MTD Pivot'!$D$2:$K$2=E$2) * 'MTD Pivot'!$D$3:$K$400), "")</f>
        <v/>
      </c>
      <c r="F12" s="193">
        <f>IF(SUMPRODUCT(('MTD Pivot'!$B$3:$B$400="Cinema Hub") * (TRIM('MTD Pivot'!$C$3:$C$400)=TRIM($A12)) * ('MTD Pivot'!$D$2:$K$2=F$2) * 'MTD Pivot'!$D$3:$K$400)&gt;0, SUMPRODUCT(('MTD Pivot'!$B$3:$B$400="Cinema Hub") * (TRIM('MTD Pivot'!$C$3:$C$400)=TRIM($A12)) * ('MTD Pivot'!$D$2:$K$2=F$2) * 'MTD Pivot'!$D$3:$K$400), "")</f>
        <v/>
      </c>
      <c r="G12" s="193">
        <f>IF(SUMPRODUCT(('MTD Pivot'!$B$3:$B$400="Cinema Hub") * (TRIM('MTD Pivot'!$C$3:$C$400)=TRIM($A12)) * ('MTD Pivot'!$D$2:$K$2=G$2) * 'MTD Pivot'!$D$3:$K$400)&gt;0, SUMPRODUCT(('MTD Pivot'!$B$3:$B$400="Cinema Hub") * (TRIM('MTD Pivot'!$C$3:$C$400)=TRIM($A12)) * ('MTD Pivot'!$D$2:$K$2=G$2) * 'MTD Pivot'!$D$3:$K$400), "")</f>
        <v/>
      </c>
      <c r="H12" s="193">
        <f>IF(SUMPRODUCT(('MTD Pivot'!$B$3:$B$400="Cinema Hub") * (TRIM('MTD Pivot'!$C$3:$C$400)=TRIM($A12)) * ('MTD Pivot'!$D$2:$K$2=H$2) * 'MTD Pivot'!$D$3:$K$400)&gt;0, SUMPRODUCT(('MTD Pivot'!$B$3:$B$400="Cinema Hub") * (TRIM('MTD Pivot'!$C$3:$C$400)=TRIM($A12)) * ('MTD Pivot'!$D$2:$K$2=H$2) * 'MTD Pivot'!$D$3:$K$400), "")</f>
        <v/>
      </c>
      <c r="I12" s="193">
        <f>IF(SUMPRODUCT(('MTD Pivot'!$B$3:$B$400="Cinema Hub") * (TRIM('MTD Pivot'!$C$3:$C$400)=TRIM($A12)) * ('MTD Pivot'!$D$2:$K$2=I$2) * 'MTD Pivot'!$D$3:$K$400)&gt;0, SUMPRODUCT(('MTD Pivot'!$B$3:$B$400="Cinema Hub") * (TRIM('MTD Pivot'!$C$3:$C$400)=TRIM($A12)) * ('MTD Pivot'!$D$2:$K$2=I$2) * 'MTD Pivot'!$D$3:$K$400), "")</f>
        <v/>
      </c>
      <c r="J12" s="193">
        <f>IF(SUMPRODUCT(('MTD Pivot'!$B$3:$B$400="Cinema Hub") * (TRIM('MTD Pivot'!$C$3:$C$400)=TRIM($A12)) * ('MTD Pivot'!$D$2:$K$2=J$2) * 'MTD Pivot'!$D$3:$K$400)&gt;0, SUMPRODUCT(('MTD Pivot'!$B$3:$B$400="Cinema Hub") * (TRIM('MTD Pivot'!$C$3:$C$400)=TRIM($A12)) * ('MTD Pivot'!$D$2:$K$2=J$2) * 'MTD Pivot'!$D$3:$K$400), "")</f>
        <v/>
      </c>
      <c r="K12" s="193">
        <f>IF(SUMPRODUCT(('MTD Pivot'!$B$3:$B$400="Cinema Hub") * (TRIM('MTD Pivot'!$C$3:$C$400)=TRIM($A12)) * ('MTD Pivot'!$D$2:$K$2=K$2) * 'MTD Pivot'!$D$3:$K$400)&gt;0, SUMPRODUCT(('MTD Pivot'!$B$3:$B$400="Cinema Hub") * (TRIM('MTD Pivot'!$C$3:$C$400)=TRIM($A12)) * ('MTD Pivot'!$D$2:$K$2=K$2) * 'MTD Pivot'!$D$3:$K$400), "")</f>
        <v/>
      </c>
      <c r="L12" s="193">
        <f>IF(SUMPRODUCT(('MTD Pivot'!$B$3:$B$400="Cinema Hub") * (TRIM('MTD Pivot'!$C$3:$C$400)=TRIM($A12)) * ('MTD Pivot'!$D$2:$K$2=L$2) * 'MTD Pivot'!$D$3:$K$400)&gt;0, SUMPRODUCT(('MTD Pivot'!$B$3:$B$400="Cinema Hub") * (TRIM('MTD Pivot'!$C$3:$C$400)=TRIM($A12)) * ('MTD Pivot'!$D$2:$K$2=L$2) * 'MTD Pivot'!$D$3:$K$400), "")</f>
        <v/>
      </c>
      <c r="M12" s="193">
        <f>IF(SUMPRODUCT(('MTD Pivot'!$B$3:$B$400="Cinema Hub") * (TRIM('MTD Pivot'!$C$3:$C$400)=TRIM($A12)) * ('MTD Pivot'!$D$2:$K$2=M$2) * 'MTD Pivot'!$D$3:$K$400)&gt;0, SUMPRODUCT(('MTD Pivot'!$B$3:$B$400="Cinema Hub") * (TRIM('MTD Pivot'!$C$3:$C$400)=TRIM($A12)) * ('MTD Pivot'!$D$2:$K$2=M$2) * 'MTD Pivot'!$D$3:$K$400), "")</f>
        <v/>
      </c>
      <c r="N12" s="157">
        <f>IF(AND(ISNUMBER(K12), ISNUMBER(J12), J12&gt;0), (K12-J12)/J12, "")</f>
        <v/>
      </c>
      <c r="O12" s="193">
        <f>IF(SUMPRODUCT(('Full month Pivot'!$B$3:$B$400="Cinema Hub") * (TRIM('Full month Pivot'!$C$3:$C$400)=TRIM($A12)) * ('Full month Pivot'!$D$2:$K$2=O$2) * 'Full month Pivot'!$D$3:$K$400)&gt;0, SUMPRODUCT(('Full month Pivot'!$B$3:$B$400="Cinema Hub") * (TRIM('Full month Pivot'!$C$3:$C$400)=TRIM($A12)) * ('Full month Pivot'!$D$2:$K$2=O$2) * 'Full month Pivot'!$D$3:$K$400), "")</f>
        <v/>
      </c>
      <c r="P12" s="193">
        <f>IF(SUMPRODUCT(('Full month Pivot'!$B$3:$B$400="Cinema Hub") * (TRIM('Full month Pivot'!$C$3:$C$400)=TRIM($A12)) * ('Full month Pivot'!$D$2:$K$2=P$2) * 'Full month Pivot'!$D$3:$K$400)&gt;0, SUMPRODUCT(('Full month Pivot'!$B$3:$B$400="Cinema Hub") * (TRIM('Full month Pivot'!$C$3:$C$400)=TRIM($A12)) * ('Full month Pivot'!$D$2:$K$2=P$2) * 'Full month Pivot'!$D$3:$K$400), "")</f>
        <v/>
      </c>
      <c r="Q12" s="193">
        <f>IF(SUMPRODUCT(('Full month Pivot'!$B$3:$B$400="Cinema Hub") * (TRIM('Full month Pivot'!$C$3:$C$400)=TRIM($A12)) * ('Full month Pivot'!$D$2:$K$2=Q$2) * 'Full month Pivot'!$D$3:$K$400)&gt;0, SUMPRODUCT(('Full month Pivot'!$B$3:$B$400="Cinema Hub") * (TRIM('Full month Pivot'!$C$3:$C$400)=TRIM($A12)) * ('Full month Pivot'!$D$2:$K$2=Q$2) * 'Full month Pivot'!$D$3:$K$400), "")</f>
        <v/>
      </c>
      <c r="R12" s="193">
        <f>IF(SUMPRODUCT(('Full month Pivot'!$B$3:$B$400="Cinema Hub") * (TRIM('Full month Pivot'!$C$3:$C$400)=TRIM($A12)) * ('Full month Pivot'!$D$2:$K$2=R$2) * 'Full month Pivot'!$D$3:$K$400)&gt;0, SUMPRODUCT(('Full month Pivot'!$B$3:$B$400="Cinema Hub") * (TRIM('Full month Pivot'!$C$3:$C$400)=TRIM($A12)) * ('Full month Pivot'!$D$2:$K$2=R$2) * 'Full month Pivot'!$D$3:$K$400), "")</f>
        <v/>
      </c>
      <c r="S12" s="193">
        <f>IF(SUMPRODUCT(('Full month Pivot'!$B$3:$B$400="Cinema Hub") * (TRIM('Full month Pivot'!$C$3:$C$400)=TRIM($A12)) * ('Full month Pivot'!$D$2:$K$2=S$2) * 'Full month Pivot'!$D$3:$K$400)&gt;0, SUMPRODUCT(('Full month Pivot'!$B$3:$B$400="Cinema Hub") * (TRIM('Full month Pivot'!$C$3:$C$400)=TRIM($A12)) * ('Full month Pivot'!$D$2:$K$2=S$2) * 'Full month Pivot'!$D$3:$K$400), "")</f>
        <v/>
      </c>
      <c r="T12" s="193">
        <f>IF(SUMPRODUCT(('Full month Pivot'!$B$3:$B$400="Cinema Hub") * (TRIM('Full month Pivot'!$C$3:$C$400)=TRIM($A12)) * ('Full month Pivot'!$D$2:$K$2=T$2) * 'Full month Pivot'!$D$3:$K$400)&gt;0, SUMPRODUCT(('Full month Pivot'!$B$3:$B$400="Cinema Hub") * (TRIM('Full month Pivot'!$C$3:$C$400)=TRIM($A12)) * ('Full month Pivot'!$D$2:$K$2=T$2) * 'Full month Pivot'!$D$3:$K$400), "")</f>
        <v/>
      </c>
      <c r="U12" s="193">
        <f>IF(SUMPRODUCT(('Full month Pivot'!$B$3:$B$400="Cinema Hub") * (TRIM('Full month Pivot'!$C$3:$C$400)=TRIM($A12)) * ('Full month Pivot'!$D$2:$K$2=U$2) * 'Full month Pivot'!$D$3:$K$400)&gt;0, SUMPRODUCT(('Full month Pivot'!$B$3:$B$400="Cinema Hub") * (TRIM('Full month Pivot'!$C$3:$C$400)=TRIM($A12)) * ('Full month Pivot'!$D$2:$K$2=U$2) * 'Full month Pivot'!$D$3:$K$400), "")</f>
        <v/>
      </c>
      <c r="V12" s="193">
        <f>IF(SUMPRODUCT(('Full month Pivot'!$B$3:$B$400="Cinema Hub") * (TRIM('Full month Pivot'!$C$3:$C$400)=TRIM($A12)) * ('Full month Pivot'!$D$2:$K$2=V$2) * 'Full month Pivot'!$D$3:$K$400)&gt;0, SUMPRODUCT(('Full month Pivot'!$B$3:$B$400="Cinema Hub") * (TRIM('Full month Pivot'!$C$3:$C$400)=TRIM($A12)) * ('Full month Pivot'!$D$2:$K$2=V$2) * 'Full month Pivot'!$D$3:$K$400), "")</f>
        <v/>
      </c>
      <c r="W12" s="193">
        <f>IF(SUMPRODUCT(('Full month Pivot'!$B$3:$B$400="Cinema Hub") * (TRIM('Full month Pivot'!$C$3:$C$400)=TRIM($A12)) * ('Full month Pivot'!$D$2:$K$2=W$2) * 'Full month Pivot'!$D$3:$K$400)&gt;0, SUMPRODUCT(('Full month Pivot'!$B$3:$B$400="Cinema Hub") * (TRIM('Full month Pivot'!$C$3:$C$400)=TRIM($A12)) * ('Full month Pivot'!$D$2:$K$2=W$2) * 'Full month Pivot'!$D$3:$K$400), "")</f>
        <v/>
      </c>
      <c r="X12" s="193">
        <f>IF(SUMPRODUCT(('Full month Pivot'!$B$3:$B$400="Cinema Hub") * (TRIM('Full month Pivot'!$C$3:$C$400)=TRIM($A12)) * ('Full month Pivot'!$D$2:$K$2=X$2) * 'Full month Pivot'!$D$3:$K$400)&gt;0, SUMPRODUCT(('Full month Pivot'!$B$3:$B$400="Cinema Hub") * (TRIM('Full month Pivot'!$C$3:$C$400)=TRIM($A12)) * ('Full month Pivot'!$D$2:$K$2=X$2) * 'Full month Pivot'!$D$3:$K$400), "")</f>
        <v/>
      </c>
      <c r="Y12" s="193">
        <f>IF(SUMPRODUCT(('Full month Pivot'!$B$3:$B$400="Cinema Hub") * (TRIM('Full month Pivot'!$C$3:$C$400)=TRIM($A12)) * ('Full month Pivot'!$D$2:$K$2=Y$2) * 'Full month Pivot'!$D$3:$K$400)&gt;0, SUMPRODUCT(('Full month Pivot'!$B$3:$B$400="Cinema Hub") * (TRIM('Full month Pivot'!$C$3:$C$400)=TRIM($A12)) * ('Full month Pivot'!$D$2:$K$2=Y$2) * 'Full month Pivot'!$D$3:$K$400), "")</f>
        <v/>
      </c>
      <c r="Z12" s="193">
        <f>IF(SUMPRODUCT(('Full month Pivot'!$B$3:$B$400="Cinema Hub") * (TRIM('Full month Pivot'!$C$3:$C$400)=TRIM($A12)) * ('Full month Pivot'!$D$2:$K$2=Z$2) * 'Full month Pivot'!$D$3:$K$400)&gt;0, SUMPRODUCT(('Full month Pivot'!$B$3:$B$400="Cinema Hub") * (TRIM('Full month Pivot'!$C$3:$C$400)=TRIM($A12)) * ('Full month Pivot'!$D$2:$K$2=Z$2) * 'Full month Pivot'!$D$3:$K$400), "")</f>
        <v/>
      </c>
      <c r="AA12" s="157">
        <f>IF(AND(ISNUMBER(X12), ISNUMBER(W12), W12&gt;0), (X12-W12)/W12, "")</f>
        <v/>
      </c>
      <c r="AB12" s="140" t="n"/>
      <c r="AC12" s="140" t="n"/>
      <c r="AD12" s="140" t="n"/>
    </row>
    <row r="13">
      <c r="A13" s="202" t="inlineStr">
        <is>
          <t xml:space="preserve">  Others</t>
        </is>
      </c>
      <c r="B13" s="193">
        <f>IF(SUMPRODUCT(('MTD Pivot'!$B$3:$B$400="Cinema Hub") * (TRIM('MTD Pivot'!$C$3:$C$400)=TRIM($A13)) * ('MTD Pivot'!$D$2:$K$2=B$2) * 'MTD Pivot'!$D$3:$K$400)&gt;0, SUMPRODUCT(('MTD Pivot'!$B$3:$B$400="Cinema Hub") * (TRIM('MTD Pivot'!$C$3:$C$400)=TRIM($A13)) * ('MTD Pivot'!$D$2:$K$2=B$2) * 'MTD Pivot'!$D$3:$K$400), "")</f>
        <v/>
      </c>
      <c r="C13" s="193">
        <f>IF(SUMPRODUCT(('MTD Pivot'!$B$3:$B$400="Cinema Hub") * (TRIM('MTD Pivot'!$C$3:$C$400)=TRIM($A13)) * ('MTD Pivot'!$D$2:$K$2=C$2) * 'MTD Pivot'!$D$3:$K$400)&gt;0, SUMPRODUCT(('MTD Pivot'!$B$3:$B$400="Cinema Hub") * (TRIM('MTD Pivot'!$C$3:$C$400)=TRIM($A13)) * ('MTD Pivot'!$D$2:$K$2=C$2) * 'MTD Pivot'!$D$3:$K$400), "")</f>
        <v/>
      </c>
      <c r="D13" s="193">
        <f>IF(SUMPRODUCT(('MTD Pivot'!$B$3:$B$400="Cinema Hub") * (TRIM('MTD Pivot'!$C$3:$C$400)=TRIM($A13)) * ('MTD Pivot'!$D$2:$K$2=D$2) * 'MTD Pivot'!$D$3:$K$400)&gt;0, SUMPRODUCT(('MTD Pivot'!$B$3:$B$400="Cinema Hub") * (TRIM('MTD Pivot'!$C$3:$C$400)=TRIM($A13)) * ('MTD Pivot'!$D$2:$K$2=D$2) * 'MTD Pivot'!$D$3:$K$400), "")</f>
        <v/>
      </c>
      <c r="E13" s="193">
        <f>IF(SUMPRODUCT(('MTD Pivot'!$B$3:$B$400="Cinema Hub") * (TRIM('MTD Pivot'!$C$3:$C$400)=TRIM($A13)) * ('MTD Pivot'!$D$2:$K$2=E$2) * 'MTD Pivot'!$D$3:$K$400)&gt;0, SUMPRODUCT(('MTD Pivot'!$B$3:$B$400="Cinema Hub") * (TRIM('MTD Pivot'!$C$3:$C$400)=TRIM($A13)) * ('MTD Pivot'!$D$2:$K$2=E$2) * 'MTD Pivot'!$D$3:$K$400), "")</f>
        <v/>
      </c>
      <c r="F13" s="193">
        <f>IF(SUMPRODUCT(('MTD Pivot'!$B$3:$B$400="Cinema Hub") * (TRIM('MTD Pivot'!$C$3:$C$400)=TRIM($A13)) * ('MTD Pivot'!$D$2:$K$2=F$2) * 'MTD Pivot'!$D$3:$K$400)&gt;0, SUMPRODUCT(('MTD Pivot'!$B$3:$B$400="Cinema Hub") * (TRIM('MTD Pivot'!$C$3:$C$400)=TRIM($A13)) * ('MTD Pivot'!$D$2:$K$2=F$2) * 'MTD Pivot'!$D$3:$K$400), "")</f>
        <v/>
      </c>
      <c r="G13" s="193">
        <f>IF(SUMPRODUCT(('MTD Pivot'!$B$3:$B$400="Cinema Hub") * (TRIM('MTD Pivot'!$C$3:$C$400)=TRIM($A13)) * ('MTD Pivot'!$D$2:$K$2=G$2) * 'MTD Pivot'!$D$3:$K$400)&gt;0, SUMPRODUCT(('MTD Pivot'!$B$3:$B$400="Cinema Hub") * (TRIM('MTD Pivot'!$C$3:$C$400)=TRIM($A13)) * ('MTD Pivot'!$D$2:$K$2=G$2) * 'MTD Pivot'!$D$3:$K$400), "")</f>
        <v/>
      </c>
      <c r="H13" s="193">
        <f>IF(SUMPRODUCT(('MTD Pivot'!$B$3:$B$400="Cinema Hub") * (TRIM('MTD Pivot'!$C$3:$C$400)=TRIM($A13)) * ('MTD Pivot'!$D$2:$K$2=H$2) * 'MTD Pivot'!$D$3:$K$400)&gt;0, SUMPRODUCT(('MTD Pivot'!$B$3:$B$400="Cinema Hub") * (TRIM('MTD Pivot'!$C$3:$C$400)=TRIM($A13)) * ('MTD Pivot'!$D$2:$K$2=H$2) * 'MTD Pivot'!$D$3:$K$400), "")</f>
        <v/>
      </c>
      <c r="I13" s="193">
        <f>IF(SUMPRODUCT(('MTD Pivot'!$B$3:$B$400="Cinema Hub") * (TRIM('MTD Pivot'!$C$3:$C$400)=TRIM($A13)) * ('MTD Pivot'!$D$2:$K$2=I$2) * 'MTD Pivot'!$D$3:$K$400)&gt;0, SUMPRODUCT(('MTD Pivot'!$B$3:$B$400="Cinema Hub") * (TRIM('MTD Pivot'!$C$3:$C$400)=TRIM($A13)) * ('MTD Pivot'!$D$2:$K$2=I$2) * 'MTD Pivot'!$D$3:$K$400), "")</f>
        <v/>
      </c>
      <c r="J13" s="193">
        <f>IF(SUMPRODUCT(('MTD Pivot'!$B$3:$B$400="Cinema Hub") * (TRIM('MTD Pivot'!$C$3:$C$400)=TRIM($A13)) * ('MTD Pivot'!$D$2:$K$2=J$2) * 'MTD Pivot'!$D$3:$K$400)&gt;0, SUMPRODUCT(('MTD Pivot'!$B$3:$B$400="Cinema Hub") * (TRIM('MTD Pivot'!$C$3:$C$400)=TRIM($A13)) * ('MTD Pivot'!$D$2:$K$2=J$2) * 'MTD Pivot'!$D$3:$K$400), "")</f>
        <v/>
      </c>
      <c r="K13" s="193">
        <f>IF(SUMPRODUCT(('MTD Pivot'!$B$3:$B$400="Cinema Hub") * (TRIM('MTD Pivot'!$C$3:$C$400)=TRIM($A13)) * ('MTD Pivot'!$D$2:$K$2=K$2) * 'MTD Pivot'!$D$3:$K$400)&gt;0, SUMPRODUCT(('MTD Pivot'!$B$3:$B$400="Cinema Hub") * (TRIM('MTD Pivot'!$C$3:$C$400)=TRIM($A13)) * ('MTD Pivot'!$D$2:$K$2=K$2) * 'MTD Pivot'!$D$3:$K$400), "")</f>
        <v/>
      </c>
      <c r="L13" s="193">
        <f>IF(SUMPRODUCT(('MTD Pivot'!$B$3:$B$400="Cinema Hub") * (TRIM('MTD Pivot'!$C$3:$C$400)=TRIM($A13)) * ('MTD Pivot'!$D$2:$K$2=L$2) * 'MTD Pivot'!$D$3:$K$400)&gt;0, SUMPRODUCT(('MTD Pivot'!$B$3:$B$400="Cinema Hub") * (TRIM('MTD Pivot'!$C$3:$C$400)=TRIM($A13)) * ('MTD Pivot'!$D$2:$K$2=L$2) * 'MTD Pivot'!$D$3:$K$400), "")</f>
        <v/>
      </c>
      <c r="M13" s="193">
        <f>IF(SUMPRODUCT(('MTD Pivot'!$B$3:$B$400="Cinema Hub") * (TRIM('MTD Pivot'!$C$3:$C$400)=TRIM($A13)) * ('MTD Pivot'!$D$2:$K$2=M$2) * 'MTD Pivot'!$D$3:$K$400)&gt;0, SUMPRODUCT(('MTD Pivot'!$B$3:$B$400="Cinema Hub") * (TRIM('MTD Pivot'!$C$3:$C$400)=TRIM($A13)) * ('MTD Pivot'!$D$2:$K$2=M$2) * 'MTD Pivot'!$D$3:$K$400), "")</f>
        <v/>
      </c>
      <c r="N13" s="157">
        <f>IF(AND(ISNUMBER(K13), ISNUMBER(J13), J13&gt;0), (K13-J13)/J13, "")</f>
        <v/>
      </c>
      <c r="O13" s="193">
        <f>IF(SUMPRODUCT(('Full month Pivot'!$B$3:$B$400="Cinema Hub") * (TRIM('Full month Pivot'!$C$3:$C$400)=TRIM($A13)) * ('Full month Pivot'!$D$2:$K$2=O$2) * 'Full month Pivot'!$D$3:$K$400)&gt;0, SUMPRODUCT(('Full month Pivot'!$B$3:$B$400="Cinema Hub") * (TRIM('Full month Pivot'!$C$3:$C$400)=TRIM($A13)) * ('Full month Pivot'!$D$2:$K$2=O$2) * 'Full month Pivot'!$D$3:$K$400), "")</f>
        <v/>
      </c>
      <c r="P13" s="193">
        <f>IF(SUMPRODUCT(('Full month Pivot'!$B$3:$B$400="Cinema Hub") * (TRIM('Full month Pivot'!$C$3:$C$400)=TRIM($A13)) * ('Full month Pivot'!$D$2:$K$2=P$2) * 'Full month Pivot'!$D$3:$K$400)&gt;0, SUMPRODUCT(('Full month Pivot'!$B$3:$B$400="Cinema Hub") * (TRIM('Full month Pivot'!$C$3:$C$400)=TRIM($A13)) * ('Full month Pivot'!$D$2:$K$2=P$2) * 'Full month Pivot'!$D$3:$K$400), "")</f>
        <v/>
      </c>
      <c r="Q13" s="193">
        <f>IF(SUMPRODUCT(('Full month Pivot'!$B$3:$B$400="Cinema Hub") * (TRIM('Full month Pivot'!$C$3:$C$400)=TRIM($A13)) * ('Full month Pivot'!$D$2:$K$2=Q$2) * 'Full month Pivot'!$D$3:$K$400)&gt;0, SUMPRODUCT(('Full month Pivot'!$B$3:$B$400="Cinema Hub") * (TRIM('Full month Pivot'!$C$3:$C$400)=TRIM($A13)) * ('Full month Pivot'!$D$2:$K$2=Q$2) * 'Full month Pivot'!$D$3:$K$400), "")</f>
        <v/>
      </c>
      <c r="R13" s="193">
        <f>IF(SUMPRODUCT(('Full month Pivot'!$B$3:$B$400="Cinema Hub") * (TRIM('Full month Pivot'!$C$3:$C$400)=TRIM($A13)) * ('Full month Pivot'!$D$2:$K$2=R$2) * 'Full month Pivot'!$D$3:$K$400)&gt;0, SUMPRODUCT(('Full month Pivot'!$B$3:$B$400="Cinema Hub") * (TRIM('Full month Pivot'!$C$3:$C$400)=TRIM($A13)) * ('Full month Pivot'!$D$2:$K$2=R$2) * 'Full month Pivot'!$D$3:$K$400), "")</f>
        <v/>
      </c>
      <c r="S13" s="193">
        <f>IF(SUMPRODUCT(('Full month Pivot'!$B$3:$B$400="Cinema Hub") * (TRIM('Full month Pivot'!$C$3:$C$400)=TRIM($A13)) * ('Full month Pivot'!$D$2:$K$2=S$2) * 'Full month Pivot'!$D$3:$K$400)&gt;0, SUMPRODUCT(('Full month Pivot'!$B$3:$B$400="Cinema Hub") * (TRIM('Full month Pivot'!$C$3:$C$400)=TRIM($A13)) * ('Full month Pivot'!$D$2:$K$2=S$2) * 'Full month Pivot'!$D$3:$K$400), "")</f>
        <v/>
      </c>
      <c r="T13" s="193">
        <f>IF(SUMPRODUCT(('Full month Pivot'!$B$3:$B$400="Cinema Hub") * (TRIM('Full month Pivot'!$C$3:$C$400)=TRIM($A13)) * ('Full month Pivot'!$D$2:$K$2=T$2) * 'Full month Pivot'!$D$3:$K$400)&gt;0, SUMPRODUCT(('Full month Pivot'!$B$3:$B$400="Cinema Hub") * (TRIM('Full month Pivot'!$C$3:$C$400)=TRIM($A13)) * ('Full month Pivot'!$D$2:$K$2=T$2) * 'Full month Pivot'!$D$3:$K$400), "")</f>
        <v/>
      </c>
      <c r="U13" s="193">
        <f>IF(SUMPRODUCT(('Full month Pivot'!$B$3:$B$400="Cinema Hub") * (TRIM('Full month Pivot'!$C$3:$C$400)=TRIM($A13)) * ('Full month Pivot'!$D$2:$K$2=U$2) * 'Full month Pivot'!$D$3:$K$400)&gt;0, SUMPRODUCT(('Full month Pivot'!$B$3:$B$400="Cinema Hub") * (TRIM('Full month Pivot'!$C$3:$C$400)=TRIM($A13)) * ('Full month Pivot'!$D$2:$K$2=U$2) * 'Full month Pivot'!$D$3:$K$400), "")</f>
        <v/>
      </c>
      <c r="V13" s="193">
        <f>IF(SUMPRODUCT(('Full month Pivot'!$B$3:$B$400="Cinema Hub") * (TRIM('Full month Pivot'!$C$3:$C$400)=TRIM($A13)) * ('Full month Pivot'!$D$2:$K$2=V$2) * 'Full month Pivot'!$D$3:$K$400)&gt;0, SUMPRODUCT(('Full month Pivot'!$B$3:$B$400="Cinema Hub") * (TRIM('Full month Pivot'!$C$3:$C$400)=TRIM($A13)) * ('Full month Pivot'!$D$2:$K$2=V$2) * 'Full month Pivot'!$D$3:$K$400), "")</f>
        <v/>
      </c>
      <c r="W13" s="193">
        <f>IF(SUMPRODUCT(('Full month Pivot'!$B$3:$B$400="Cinema Hub") * (TRIM('Full month Pivot'!$C$3:$C$400)=TRIM($A13)) * ('Full month Pivot'!$D$2:$K$2=W$2) * 'Full month Pivot'!$D$3:$K$400)&gt;0, SUMPRODUCT(('Full month Pivot'!$B$3:$B$400="Cinema Hub") * (TRIM('Full month Pivot'!$C$3:$C$400)=TRIM($A13)) * ('Full month Pivot'!$D$2:$K$2=W$2) * 'Full month Pivot'!$D$3:$K$400), "")</f>
        <v/>
      </c>
      <c r="X13" s="193">
        <f>IF(SUMPRODUCT(('Full month Pivot'!$B$3:$B$400="Cinema Hub") * (TRIM('Full month Pivot'!$C$3:$C$400)=TRIM($A13)) * ('Full month Pivot'!$D$2:$K$2=X$2) * 'Full month Pivot'!$D$3:$K$400)&gt;0, SUMPRODUCT(('Full month Pivot'!$B$3:$B$400="Cinema Hub") * (TRIM('Full month Pivot'!$C$3:$C$400)=TRIM($A13)) * ('Full month Pivot'!$D$2:$K$2=X$2) * 'Full month Pivot'!$D$3:$K$400), "")</f>
        <v/>
      </c>
      <c r="Y13" s="193">
        <f>IF(SUMPRODUCT(('Full month Pivot'!$B$3:$B$400="Cinema Hub") * (TRIM('Full month Pivot'!$C$3:$C$400)=TRIM($A13)) * ('Full month Pivot'!$D$2:$K$2=Y$2) * 'Full month Pivot'!$D$3:$K$400)&gt;0, SUMPRODUCT(('Full month Pivot'!$B$3:$B$400="Cinema Hub") * (TRIM('Full month Pivot'!$C$3:$C$400)=TRIM($A13)) * ('Full month Pivot'!$D$2:$K$2=Y$2) * 'Full month Pivot'!$D$3:$K$400), "")</f>
        <v/>
      </c>
      <c r="Z13" s="193">
        <f>IF(SUMPRODUCT(('Full month Pivot'!$B$3:$B$400="Cinema Hub") * (TRIM('Full month Pivot'!$C$3:$C$400)=TRIM($A13)) * ('Full month Pivot'!$D$2:$K$2=Z$2) * 'Full month Pivot'!$D$3:$K$400)&gt;0, SUMPRODUCT(('Full month Pivot'!$B$3:$B$400="Cinema Hub") * (TRIM('Full month Pivot'!$C$3:$C$400)=TRIM($A13)) * ('Full month Pivot'!$D$2:$K$2=Z$2) * 'Full month Pivot'!$D$3:$K$400), "")</f>
        <v/>
      </c>
      <c r="AA13" s="157">
        <f>IF(AND(ISNUMBER(X13), ISNUMBER(W13), W13&gt;0), (X13-W13)/W13, "")</f>
        <v/>
      </c>
      <c r="AB13" s="140" t="n"/>
      <c r="AC13" s="140" t="n"/>
      <c r="AD13" s="140" t="n"/>
    </row>
    <row r="14">
      <c r="A14" s="202" t="n"/>
      <c r="B14" s="202" t="n"/>
      <c r="C14" s="202" t="n"/>
      <c r="D14" s="202" t="n"/>
      <c r="E14" s="202" t="n"/>
      <c r="F14" s="202" t="n"/>
      <c r="G14" s="202" t="n"/>
      <c r="H14" s="202" t="n"/>
      <c r="I14" s="202" t="n"/>
      <c r="J14" s="202" t="n"/>
      <c r="K14" s="202" t="n"/>
      <c r="L14" s="202" t="n"/>
      <c r="M14" s="202" t="n"/>
      <c r="N14" s="202" t="n"/>
      <c r="O14" s="202" t="n"/>
      <c r="P14" s="202" t="n"/>
      <c r="Q14" s="202" t="n"/>
      <c r="R14" s="202" t="n"/>
      <c r="S14" s="202" t="n"/>
      <c r="T14" s="202" t="n"/>
      <c r="U14" s="202" t="n"/>
      <c r="V14" s="202" t="n"/>
      <c r="W14" s="202" t="n"/>
      <c r="X14" s="202" t="n"/>
      <c r="Y14" s="202" t="n"/>
      <c r="Z14" s="202" t="n"/>
      <c r="AA14" s="202" t="n"/>
      <c r="AB14" s="140" t="n"/>
      <c r="AC14" s="140" t="n"/>
      <c r="AD14" s="140" t="n"/>
    </row>
    <row r="15">
      <c r="A15" s="145" t="inlineStr">
        <is>
          <t>Download</t>
        </is>
      </c>
      <c r="B15" s="145" t="n"/>
      <c r="C15" s="145" t="n"/>
      <c r="D15" s="145" t="n"/>
      <c r="E15" s="145" t="n"/>
      <c r="F15" s="145" t="n"/>
      <c r="G15" s="145" t="n"/>
      <c r="H15" s="145" t="n"/>
      <c r="I15" s="145" t="n"/>
      <c r="J15" s="145" t="n"/>
      <c r="K15" s="145" t="n"/>
      <c r="L15" s="145" t="n"/>
      <c r="M15" s="145" t="n"/>
      <c r="N15" s="145" t="n"/>
      <c r="O15" s="145" t="n"/>
      <c r="P15" s="145" t="n"/>
      <c r="Q15" s="145" t="n"/>
      <c r="R15" s="145" t="n"/>
      <c r="S15" s="145" t="n"/>
      <c r="T15" s="145" t="n"/>
      <c r="U15" s="145" t="n"/>
      <c r="V15" s="145" t="n"/>
      <c r="W15" s="145" t="n"/>
      <c r="X15" s="145" t="n"/>
      <c r="Y15" s="145" t="n"/>
      <c r="Z15" s="145" t="n"/>
      <c r="AA15" s="145" t="n"/>
      <c r="AB15" s="140" t="n"/>
      <c r="AC15" s="140" t="n"/>
      <c r="AD15" s="140" t="n"/>
    </row>
    <row r="16">
      <c r="A16" s="146" t="inlineStr">
        <is>
          <t>Page views</t>
        </is>
      </c>
      <c r="B16" s="147">
        <f>IF(SUM(B21:B25)&gt;0, SUM(B21:B25), "")</f>
        <v/>
      </c>
      <c r="C16" s="147">
        <f>IF(SUM(C21:C25)&gt;0, SUM(C21:C25), "")</f>
        <v/>
      </c>
      <c r="D16" s="147">
        <f>IF(SUM(D21:D25)&gt;0, SUM(D21:D25), "")</f>
        <v/>
      </c>
      <c r="E16" s="147">
        <f>IF(SUM(E21:E25)&gt;0, SUM(E21:E25), "")</f>
        <v/>
      </c>
      <c r="F16" s="147">
        <f>IF(SUM(F21:F25)&gt;0, SUM(F21:F25), "")</f>
        <v/>
      </c>
      <c r="G16" s="147">
        <f>IF(SUM(G21:G25)&gt;0, SUM(G21:G25), "")</f>
        <v/>
      </c>
      <c r="H16" s="147">
        <f>IF(SUM(H21:H25)&gt;0, SUM(H21:H25), "")</f>
        <v/>
      </c>
      <c r="I16" s="147">
        <f>IF(SUM(I21:I25)&gt;0, SUM(I21:I25), "")</f>
        <v/>
      </c>
      <c r="J16" s="147">
        <f>IF(SUM(J21:J25)&gt;0, SUM(J21:J25), "")</f>
        <v/>
      </c>
      <c r="K16" s="147">
        <f>IF(SUM(K21:K25)&gt;0, SUM(K21:K25), "")</f>
        <v/>
      </c>
      <c r="L16" s="147">
        <f>IF(SUM(L21:L25)&gt;0, SUM(L21:L25), "")</f>
        <v/>
      </c>
      <c r="M16" s="147">
        <f>IF(SUM(M21:M25)&gt;0, SUM(M21:M25), "")</f>
        <v/>
      </c>
      <c r="N16" s="148">
        <f>IFERROR((K16-J16)/J16, "")</f>
        <v/>
      </c>
      <c r="O16" s="147">
        <f>IF(SUM(O21:O25)&gt;0, SUM(O21:O25), "")</f>
        <v/>
      </c>
      <c r="P16" s="147">
        <f>IF(SUM(P21:P25)&gt;0, SUM(P21:P25), "")</f>
        <v/>
      </c>
      <c r="Q16" s="147">
        <f>IF(SUM(Q21:Q25)&gt;0, SUM(Q21:Q25), "")</f>
        <v/>
      </c>
      <c r="R16" s="147">
        <f>IF(SUM(R21:R25)&gt;0, SUM(R21:R25), "")</f>
        <v/>
      </c>
      <c r="S16" s="147">
        <f>IF(SUM(S21:S25)&gt;0, SUM(S21:S25), "")</f>
        <v/>
      </c>
      <c r="T16" s="147">
        <f>IF(SUM(T21:T25)&gt;0, SUM(T21:T25), "")</f>
        <v/>
      </c>
      <c r="U16" s="147">
        <f>IF(SUM(U21:U25)&gt;0, SUM(U21:U25), "")</f>
        <v/>
      </c>
      <c r="V16" s="147">
        <f>IF(SUM(V21:V25)&gt;0, SUM(V21:V25), "")</f>
        <v/>
      </c>
      <c r="W16" s="147">
        <f>IF(SUM(W21:W25)&gt;0, SUM(W21:W25), "")</f>
        <v/>
      </c>
      <c r="X16" s="147">
        <f>IF(SUM(X21:X25)&gt;0, SUM(X21:X25), "")</f>
        <v/>
      </c>
      <c r="Y16" s="147">
        <f>IF(SUM(Y21:Y25)&gt;0, SUM(Y21:Y25), "")</f>
        <v/>
      </c>
      <c r="Z16" s="147">
        <f>IF(SUM(Z21:Z25)&gt;0, SUM(Z21:Z25), "")</f>
        <v/>
      </c>
      <c r="AA16" s="148">
        <f>IFERROR((X16-W16)/W16, "")</f>
        <v/>
      </c>
      <c r="AB16" s="140" t="n"/>
      <c r="AC16" s="140" t="n"/>
      <c r="AD16" s="140" t="n"/>
    </row>
    <row r="17">
      <c r="A17" s="150" t="inlineStr">
        <is>
          <t xml:space="preserve">  Click CTA</t>
        </is>
      </c>
      <c r="B17" s="150" t="n"/>
      <c r="C17" s="150" t="n"/>
      <c r="D17" s="150" t="n"/>
      <c r="E17" s="150" t="n"/>
      <c r="F17" s="150" t="n">
        <v>46</v>
      </c>
      <c r="G17" s="150" t="n">
        <v>18</v>
      </c>
      <c r="H17" s="150" t="n">
        <v>49</v>
      </c>
      <c r="I17" s="150" t="n">
        <v>127</v>
      </c>
      <c r="J17" s="150" t="n">
        <v>170</v>
      </c>
      <c r="K17" s="150" t="n">
        <v>170</v>
      </c>
      <c r="L17" s="150" t="n"/>
      <c r="M17" s="150" t="n"/>
      <c r="N17" s="151">
        <f>IFERROR((K17-J17)/J17, "")</f>
        <v/>
      </c>
      <c r="O17" s="150" t="n"/>
      <c r="P17" s="150" t="n"/>
      <c r="Q17" s="150" t="n"/>
      <c r="R17" s="150" t="n"/>
      <c r="S17" s="150" t="n">
        <v>49</v>
      </c>
      <c r="T17" s="150" t="n">
        <v>18</v>
      </c>
      <c r="U17" s="150" t="n">
        <v>54</v>
      </c>
      <c r="V17" s="150" t="n">
        <v>129</v>
      </c>
      <c r="W17" s="150" t="n">
        <v>187</v>
      </c>
      <c r="X17" s="150" t="n">
        <v>170</v>
      </c>
      <c r="Y17" s="150" t="n"/>
      <c r="Z17" s="150" t="n"/>
      <c r="AA17" s="151">
        <f>IFERROR((X17-W17)/W17, "")</f>
        <v/>
      </c>
      <c r="AB17" s="140" t="n"/>
      <c r="AC17" s="140" t="n"/>
      <c r="AD17" s="140" t="n"/>
    </row>
    <row r="18">
      <c r="A18" s="152" t="inlineStr">
        <is>
          <t xml:space="preserve">  Net change</t>
        </is>
      </c>
      <c r="B18" s="153" t="n"/>
      <c r="C18" s="153">
        <f>IF(AND(ISNUMBER(C16), ISNUMBER(B16), B16&gt;0, C16&gt;0), C16-B16, "")</f>
        <v/>
      </c>
      <c r="D18" s="153">
        <f>IF(AND(ISNUMBER(D16), ISNUMBER(C16), C16&gt;0, D16&gt;0), D16-C16, "")</f>
        <v/>
      </c>
      <c r="E18" s="153">
        <f>IF(AND(ISNUMBER(E16), ISNUMBER(D16), D16&gt;0, E16&gt;0), E16-D16, "")</f>
        <v/>
      </c>
      <c r="F18" s="153">
        <f>IF(AND(ISNUMBER(F16), ISNUMBER(E16), E16&gt;0, F16&gt;0), F16-E16, "")</f>
        <v/>
      </c>
      <c r="G18" s="153">
        <f>IF(AND(ISNUMBER(G16), ISNUMBER(F16), F16&gt;0, G16&gt;0), G16-F16, "")</f>
        <v/>
      </c>
      <c r="H18" s="153">
        <f>IF(AND(ISNUMBER(H16), ISNUMBER(G16), G16&gt;0, H16&gt;0), H16-G16, "")</f>
        <v/>
      </c>
      <c r="I18" s="153">
        <f>IF(AND(ISNUMBER(I16), ISNUMBER(H16), H16&gt;0, I16&gt;0), I16-H16, "")</f>
        <v/>
      </c>
      <c r="J18" s="153">
        <f>IF(AND(ISNUMBER(J16), ISNUMBER(I16), I16&gt;0, J16&gt;0), J16-I16, "")</f>
        <v/>
      </c>
      <c r="K18" s="153">
        <f>IF(AND(ISNUMBER(K16), ISNUMBER(J16), J16&gt;0, K16&gt;0), K16-J16, "")</f>
        <v/>
      </c>
      <c r="L18" s="153">
        <f>IF(AND(ISNUMBER(L16), ISNUMBER(K16), K16&gt;0, L16&gt;0), L16-K16, "")</f>
        <v/>
      </c>
      <c r="M18" s="153">
        <f>IF(AND(ISNUMBER(M16), ISNUMBER(L16), L16&gt;0, M16&gt;0), M16-L16, "")</f>
        <v/>
      </c>
      <c r="N18" s="153" t="n"/>
      <c r="O18" s="153" t="n"/>
      <c r="P18" s="153">
        <f>IF(AND(ISNUMBER(P16), ISNUMBER(O16), O16&gt;0, P16&gt;0), P16-O16, "")</f>
        <v/>
      </c>
      <c r="Q18" s="153">
        <f>IF(AND(ISNUMBER(Q16), ISNUMBER(P16), P16&gt;0, Q16&gt;0), Q16-P16, "")</f>
        <v/>
      </c>
      <c r="R18" s="153">
        <f>IF(AND(ISNUMBER(R16), ISNUMBER(Q16), Q16&gt;0, R16&gt;0), R16-Q16, "")</f>
        <v/>
      </c>
      <c r="S18" s="153">
        <f>IF(AND(ISNUMBER(S16), ISNUMBER(R16), R16&gt;0, S16&gt;0), S16-R16, "")</f>
        <v/>
      </c>
      <c r="T18" s="153">
        <f>IF(AND(ISNUMBER(T16), ISNUMBER(S16), S16&gt;0, T16&gt;0), T16-S16, "")</f>
        <v/>
      </c>
      <c r="U18" s="153">
        <f>IF(AND(ISNUMBER(U16), ISNUMBER(T16), T16&gt;0, U16&gt;0), U16-T16, "")</f>
        <v/>
      </c>
      <c r="V18" s="153">
        <f>IF(AND(ISNUMBER(V16), ISNUMBER(U16), U16&gt;0, V16&gt;0), V16-U16, "")</f>
        <v/>
      </c>
      <c r="W18" s="153">
        <f>IF(AND(ISNUMBER(W16), ISNUMBER(V16), V16&gt;0, W16&gt;0), W16-V16, "")</f>
        <v/>
      </c>
      <c r="X18" s="153">
        <f>IF(AND(ISNUMBER(X16), ISNUMBER(W16), W16&gt;0, X16&gt;0), X16-W16, "")</f>
        <v/>
      </c>
      <c r="Y18" s="153">
        <f>IF(AND(ISNUMBER(Y16), ISNUMBER(X16), X16&gt;0, Y16&gt;0), Y16-X16, "")</f>
        <v/>
      </c>
      <c r="Z18" s="153">
        <f>IF(AND(ISNUMBER(Z16), ISNUMBER(Y16), Y16&gt;0, Z16&gt;0), Z16-Y16, "")</f>
        <v/>
      </c>
      <c r="AA18" s="153" t="n"/>
      <c r="AB18" s="140" t="n"/>
      <c r="AC18" s="140" t="n"/>
      <c r="AD18" s="140" t="n"/>
    </row>
    <row r="19">
      <c r="A19" s="152" t="inlineStr">
        <is>
          <t xml:space="preserve">  % Growth rate</t>
        </is>
      </c>
      <c r="B19" s="203" t="n"/>
      <c r="C19" s="203">
        <f>IF(AND(ISNUMBER(C16), ISNUMBER(B16), B16&gt;0, C16&gt;0), (C16-B16)/B16, "")</f>
        <v/>
      </c>
      <c r="D19" s="203">
        <f>IF(AND(ISNUMBER(D16), ISNUMBER(C16), C16&gt;0, D16&gt;0), (D16-C16)/C16, "")</f>
        <v/>
      </c>
      <c r="E19" s="203">
        <f>IF(AND(ISNUMBER(E16), ISNUMBER(D16), D16&gt;0, E16&gt;0), (E16-D16)/D16, "")</f>
        <v/>
      </c>
      <c r="F19" s="203">
        <f>IF(AND(ISNUMBER(F16), ISNUMBER(E16), E16&gt;0, F16&gt;0), (F16-E16)/E16, "")</f>
        <v/>
      </c>
      <c r="G19" s="203">
        <f>IF(AND(ISNUMBER(G16), ISNUMBER(F16), F16&gt;0, G16&gt;0), (G16-F16)/F16, "")</f>
        <v/>
      </c>
      <c r="H19" s="203">
        <f>IF(AND(ISNUMBER(H16), ISNUMBER(G16), G16&gt;0, H16&gt;0), (H16-G16)/G16, "")</f>
        <v/>
      </c>
      <c r="I19" s="203">
        <f>IF(AND(ISNUMBER(I16), ISNUMBER(H16), H16&gt;0, I16&gt;0), (I16-H16)/H16, "")</f>
        <v/>
      </c>
      <c r="J19" s="203">
        <f>IF(AND(ISNUMBER(J16), ISNUMBER(I16), I16&gt;0, J16&gt;0), (J16-I16)/I16, "")</f>
        <v/>
      </c>
      <c r="K19" s="203">
        <f>IF(AND(ISNUMBER(K16), ISNUMBER(J16), J16&gt;0, K16&gt;0), (K16-J16)/J16, "")</f>
        <v/>
      </c>
      <c r="L19" s="203">
        <f>IF(AND(ISNUMBER(L16), ISNUMBER(K16), K16&gt;0, L16&gt;0), (L16-K16)/K16, "")</f>
        <v/>
      </c>
      <c r="M19" s="203">
        <f>IF(AND(ISNUMBER(M16), ISNUMBER(L16), L16&gt;0, M16&gt;0), (M16-L16)/L16, "")</f>
        <v/>
      </c>
      <c r="N19" s="203" t="n"/>
      <c r="O19" s="203" t="n"/>
      <c r="P19" s="203">
        <f>IF(AND(ISNUMBER(P16), ISNUMBER(O16), O16&gt;0, P16&gt;0), (P16-O16)/O16, "")</f>
        <v/>
      </c>
      <c r="Q19" s="203">
        <f>IF(AND(ISNUMBER(Q16), ISNUMBER(P16), P16&gt;0, Q16&gt;0), (Q16-P16)/P16, "")</f>
        <v/>
      </c>
      <c r="R19" s="203">
        <f>IF(AND(ISNUMBER(R16), ISNUMBER(Q16), Q16&gt;0, R16&gt;0), (R16-Q16)/Q16, "")</f>
        <v/>
      </c>
      <c r="S19" s="203">
        <f>IF(AND(ISNUMBER(S16), ISNUMBER(R16), R16&gt;0, S16&gt;0), (S16-R16)/R16, "")</f>
        <v/>
      </c>
      <c r="T19" s="203">
        <f>IF(AND(ISNUMBER(T16), ISNUMBER(S16), S16&gt;0, T16&gt;0), (T16-S16)/S16, "")</f>
        <v/>
      </c>
      <c r="U19" s="203">
        <f>IF(AND(ISNUMBER(U16), ISNUMBER(T16), T16&gt;0, U16&gt;0), (U16-T16)/T16, "")</f>
        <v/>
      </c>
      <c r="V19" s="203">
        <f>IF(AND(ISNUMBER(V16), ISNUMBER(U16), U16&gt;0, V16&gt;0), (V16-U16)/U16, "")</f>
        <v/>
      </c>
      <c r="W19" s="203">
        <f>IF(AND(ISNUMBER(W16), ISNUMBER(V16), V16&gt;0, W16&gt;0), (W16-V16)/V16, "")</f>
        <v/>
      </c>
      <c r="X19" s="203">
        <f>IF(AND(ISNUMBER(X16), ISNUMBER(W16), W16&gt;0, X16&gt;0), (X16-W16)/W16, "")</f>
        <v/>
      </c>
      <c r="Y19" s="203">
        <f>IF(AND(ISNUMBER(Y16), ISNUMBER(X16), X16&gt;0, Y16&gt;0), (Y16-X16)/X16, "")</f>
        <v/>
      </c>
      <c r="Z19" s="203">
        <f>IF(AND(ISNUMBER(Z16), ISNUMBER(Y16), Y16&gt;0, Z16&gt;0), (Z16-Y16)/Y16, "")</f>
        <v/>
      </c>
      <c r="AA19" s="203" t="n"/>
      <c r="AB19" s="140" t="n"/>
      <c r="AC19" s="140" t="n"/>
      <c r="AD19" s="140" t="n"/>
    </row>
    <row r="20">
      <c r="A20" s="202" t="inlineStr">
        <is>
          <t>Tỷ trọng trong tổng traffic</t>
        </is>
      </c>
      <c r="B20" s="156">
        <f t="array" ref="B20">IF(AND(ISNUMBER(B16), B16&gt;0), B16/INDEX('MTD Pivot'!$D$3:$K$400, MATCH("Grand Total", 'MTD Pivot'!$A$3:$A$400, 0), MATCH(B$2, 'MTD Pivot'!$D$2:$K$2, 0)), "")</f>
        <v/>
      </c>
      <c r="C20" s="156">
        <f t="array" ref="C20">IF(AND(ISNUMBER(C16), C16&gt;0), C16/INDEX('MTD Pivot'!$D$3:$K$400, MATCH("Grand Total", 'MTD Pivot'!$A$3:$A$400, 0), MATCH(C$2, 'MTD Pivot'!$D$2:$K$2, 0)), "")</f>
        <v/>
      </c>
      <c r="D20" s="156">
        <f t="array" ref="D20">IF(AND(ISNUMBER(D16), D16&gt;0), D16/INDEX('MTD Pivot'!$D$3:$K$400, MATCH("Grand Total", 'MTD Pivot'!$A$3:$A$400, 0), MATCH(D$2, 'MTD Pivot'!$D$2:$K$2, 0)), "")</f>
        <v/>
      </c>
      <c r="E20" s="156">
        <f t="array" ref="E20">IF(AND(ISNUMBER(E16), E16&gt;0), E16/INDEX('MTD Pivot'!$D$3:$K$400, MATCH("Grand Total", 'MTD Pivot'!$A$3:$A$400, 0), MATCH(E$2, 'MTD Pivot'!$D$2:$K$2, 0)), "")</f>
        <v/>
      </c>
      <c r="F20" s="156">
        <f t="array" ref="F20">IF(AND(ISNUMBER(F16), F16&gt;0), F16/INDEX('MTD Pivot'!$D$3:$K$400, MATCH("Grand Total", 'MTD Pivot'!$A$3:$A$400, 0), MATCH(F$2, 'MTD Pivot'!$D$2:$K$2, 0)), "")</f>
        <v/>
      </c>
      <c r="G20" s="156">
        <f t="array" ref="G20">IF(AND(ISNUMBER(G16), G16&gt;0), G16/INDEX('MTD Pivot'!$D$3:$K$400, MATCH("Grand Total", 'MTD Pivot'!$A$3:$A$400, 0), MATCH(G$2, 'MTD Pivot'!$D$2:$K$2, 0)), "")</f>
        <v/>
      </c>
      <c r="H20" s="156">
        <f t="array" ref="H20">IF(AND(ISNUMBER(H16), H16&gt;0), H16/INDEX('MTD Pivot'!$D$3:$K$400, MATCH("Grand Total", 'MTD Pivot'!$A$3:$A$400, 0), MATCH(H$2, 'MTD Pivot'!$D$2:$K$2, 0)), "")</f>
        <v/>
      </c>
      <c r="I20" s="156">
        <f t="array" ref="I20">IF(AND(ISNUMBER(I16), I16&gt;0), I16/INDEX('MTD Pivot'!$D$3:$K$400, MATCH("Grand Total", 'MTD Pivot'!$A$3:$A$400, 0), MATCH(I$2, 'MTD Pivot'!$D$2:$K$2, 0)), "")</f>
        <v/>
      </c>
      <c r="J20" s="156">
        <f t="array" ref="J20">IF(AND(ISNUMBER(J16), J16&gt;0), J16/INDEX('MTD Pivot'!$D$3:$K$400, MATCH("Grand Total", 'MTD Pivot'!$A$3:$A$400, 0), MATCH(J$2, 'MTD Pivot'!$D$2:$K$2, 0)), "")</f>
        <v/>
      </c>
      <c r="K20" s="156">
        <f t="array" ref="K20">IF(AND(ISNUMBER(K16), K16&gt;0), K16/INDEX('MTD Pivot'!$D$3:$K$400, MATCH("Grand Total", 'MTD Pivot'!$A$3:$A$400, 0), MATCH(K$2, 'MTD Pivot'!$D$2:$K$2, 0)), "")</f>
        <v/>
      </c>
      <c r="L20" s="156">
        <f t="array" ref="L20">IF(AND(ISNUMBER(L16), L16&gt;0), L16/INDEX('MTD Pivot'!$D$3:$K$400, MATCH("Grand Total", 'MTD Pivot'!$A$3:$A$400, 0), MATCH(L$2, 'MTD Pivot'!$D$2:$K$2, 0)), "")</f>
        <v/>
      </c>
      <c r="M20" s="156">
        <f t="array" ref="M20">IF(AND(ISNUMBER(M16), M16&gt;0), M16/INDEX('MTD Pivot'!$D$3:$K$400, MATCH("Grand Total", 'MTD Pivot'!$A$3:$A$400, 0), MATCH(M$2, 'MTD Pivot'!$D$2:$K$2, 0)), "")</f>
        <v/>
      </c>
      <c r="N20" s="157">
        <f>IF(AND(ISNUMBER(K20), ISNUMBER(J20)), K20-J20, "")</f>
        <v/>
      </c>
      <c r="O20" s="156">
        <f t="array" ref="O20">IF(AND(ISNUMBER(O16), O16&gt;0), O16/INDEX('Full month Pivot'!$D$3:$K$400, MATCH("Grand Total", 'Full month Pivot'!$A$3:$A$400, 0), MATCH(O$2, 'Full month Pivot'!$D$2:$K$2, 0)), "")</f>
        <v/>
      </c>
      <c r="P20" s="156">
        <f t="array" ref="P20">IF(AND(ISNUMBER(P16), P16&gt;0), P16/INDEX('Full month Pivot'!$D$3:$K$400, MATCH("Grand Total", 'Full month Pivot'!$A$3:$A$400, 0), MATCH(P$2, 'Full month Pivot'!$D$2:$K$2, 0)), "")</f>
        <v/>
      </c>
      <c r="Q20" s="156">
        <f t="array" ref="Q20">IF(AND(ISNUMBER(Q16), Q16&gt;0), Q16/INDEX('Full month Pivot'!$D$3:$K$400, MATCH("Grand Total", 'Full month Pivot'!$A$3:$A$400, 0), MATCH(Q$2, 'Full month Pivot'!$D$2:$K$2, 0)), "")</f>
        <v/>
      </c>
      <c r="R20" s="156">
        <f t="array" ref="R20">IF(AND(ISNUMBER(R16), R16&gt;0), R16/INDEX('Full month Pivot'!$D$3:$K$400, MATCH("Grand Total", 'Full month Pivot'!$A$3:$A$400, 0), MATCH(R$2, 'Full month Pivot'!$D$2:$K$2, 0)), "")</f>
        <v/>
      </c>
      <c r="S20" s="156">
        <f t="array" ref="S20">IF(AND(ISNUMBER(S16), S16&gt;0), S16/INDEX('Full month Pivot'!$D$3:$K$400, MATCH("Grand Total", 'Full month Pivot'!$A$3:$A$400, 0), MATCH(S$2, 'Full month Pivot'!$D$2:$K$2, 0)), "")</f>
        <v/>
      </c>
      <c r="T20" s="156">
        <f t="array" ref="T20">IF(AND(ISNUMBER(T16), T16&gt;0), T16/INDEX('Full month Pivot'!$D$3:$K$400, MATCH("Grand Total", 'Full month Pivot'!$A$3:$A$400, 0), MATCH(T$2, 'Full month Pivot'!$D$2:$K$2, 0)), "")</f>
        <v/>
      </c>
      <c r="U20" s="156">
        <f t="array" ref="U20">IF(AND(ISNUMBER(U16), U16&gt;0), U16/INDEX('Full month Pivot'!$D$3:$K$400, MATCH("Grand Total", 'Full month Pivot'!$A$3:$A$400, 0), MATCH(U$2, 'Full month Pivot'!$D$2:$K$2, 0)), "")</f>
        <v/>
      </c>
      <c r="V20" s="156">
        <f t="array" ref="V20">IF(AND(ISNUMBER(V16), V16&gt;0), V16/INDEX('Full month Pivot'!$D$3:$K$400, MATCH("Grand Total", 'Full month Pivot'!$A$3:$A$400, 0), MATCH(V$2, 'Full month Pivot'!$D$2:$K$2, 0)), "")</f>
        <v/>
      </c>
      <c r="W20" s="156">
        <f t="array" ref="W20">IF(AND(ISNUMBER(W16), W16&gt;0), W16/INDEX('Full month Pivot'!$D$3:$K$400, MATCH("Grand Total", 'Full month Pivot'!$A$3:$A$400, 0), MATCH(W$2, 'Full month Pivot'!$D$2:$K$2, 0)), "")</f>
        <v/>
      </c>
      <c r="X20" s="156">
        <f t="array" ref="X20">IF(AND(ISNUMBER(X16), X16&gt;0), X16/INDEX('Full month Pivot'!$D$3:$K$400, MATCH("Grand Total", 'Full month Pivot'!$A$3:$A$400, 0), MATCH(X$2, 'Full month Pivot'!$D$2:$K$2, 0)), "")</f>
        <v/>
      </c>
      <c r="Y20" s="156">
        <f t="array" ref="Y20">IF(AND(ISNUMBER(Y16), Y16&gt;0), Y16/INDEX('Full month Pivot'!$D$3:$K$400, MATCH("Grand Total", 'Full month Pivot'!$A$3:$A$400, 0), MATCH(Y$2, 'Full month Pivot'!$D$2:$K$2, 0)), "")</f>
        <v/>
      </c>
      <c r="Z20" s="156">
        <f t="array" ref="Z20">IF(AND(ISNUMBER(Z16), Z16&gt;0), Z16/INDEX('Full month Pivot'!$D$3:$K$400, MATCH("Grand Total", 'Full month Pivot'!$A$3:$A$400, 0), MATCH(Z$2, 'Full month Pivot'!$D$2:$K$2, 0)), "")</f>
        <v/>
      </c>
      <c r="AA20" s="157">
        <f>IF(AND(ISNUMBER(X20), ISNUMBER(W20)), X20-W20, "")</f>
        <v/>
      </c>
      <c r="AB20" s="140" t="n"/>
      <c r="AC20" s="140" t="n"/>
      <c r="AD20" s="140" t="n"/>
    </row>
    <row r="21" ht="15.75" customHeight="1" s="346">
      <c r="A21" s="202" t="inlineStr">
        <is>
          <t xml:space="preserve">  Organic</t>
        </is>
      </c>
      <c r="B21" s="193">
        <f>IF(SUMPRODUCT((('MTD Pivot'!$B$3:$B$400=$A$15) + ('MTD Pivot'!$A$3:$A$400=$A$15) &gt; 0) * (TRIM('MTD Pivot'!$C$3:$C$400)=TRIM($A21)) * ('MTD Pivot'!$D$2:$K$2=B$2) * 'MTD Pivot'!$D$3:$K$400)&gt;0, SUMPRODUCT((('MTD Pivot'!$B$3:$B$400=$A$15) + ('MTD Pivot'!$A$3:$A$400=$A$15) &gt; 0) * (TRIM('MTD Pivot'!$C$3:$C$400)=TRIM($A21)) * ('MTD Pivot'!$D$2:$K$2=B$2) * 'MTD Pivot'!$D$3:$K$400), "")</f>
        <v/>
      </c>
      <c r="C21" s="193">
        <f>IF(SUMPRODUCT((('MTD Pivot'!$B$3:$B$400=$A$15) + ('MTD Pivot'!$A$3:$A$400=$A$15) &gt; 0) * (TRIM('MTD Pivot'!$C$3:$C$400)=TRIM($A21)) * ('MTD Pivot'!$D$2:$K$2=C$2) * 'MTD Pivot'!$D$3:$K$400)&gt;0, SUMPRODUCT((('MTD Pivot'!$B$3:$B$400=$A$15) + ('MTD Pivot'!$A$3:$A$400=$A$15) &gt; 0) * (TRIM('MTD Pivot'!$C$3:$C$400)=TRIM($A21)) * ('MTD Pivot'!$D$2:$K$2=C$2) * 'MTD Pivot'!$D$3:$K$400), "")</f>
        <v/>
      </c>
      <c r="D21" s="193">
        <f>IF(SUMPRODUCT((('MTD Pivot'!$B$3:$B$400=$A$15) + ('MTD Pivot'!$A$3:$A$400=$A$15) &gt; 0) * (TRIM('MTD Pivot'!$C$3:$C$400)=TRIM($A21)) * ('MTD Pivot'!$D$2:$K$2=D$2) * 'MTD Pivot'!$D$3:$K$400)&gt;0, SUMPRODUCT((('MTD Pivot'!$B$3:$B$400=$A$15) + ('MTD Pivot'!$A$3:$A$400=$A$15) &gt; 0) * (TRIM('MTD Pivot'!$C$3:$C$400)=TRIM($A21)) * ('MTD Pivot'!$D$2:$K$2=D$2) * 'MTD Pivot'!$D$3:$K$400), "")</f>
        <v/>
      </c>
      <c r="E21" s="193">
        <f>IF(SUMPRODUCT((('MTD Pivot'!$B$3:$B$400=$A$15) + ('MTD Pivot'!$A$3:$A$400=$A$15) &gt; 0) * (TRIM('MTD Pivot'!$C$3:$C$400)=TRIM($A21)) * ('MTD Pivot'!$D$2:$K$2=E$2) * 'MTD Pivot'!$D$3:$K$400)&gt;0, SUMPRODUCT((('MTD Pivot'!$B$3:$B$400=$A$15) + ('MTD Pivot'!$A$3:$A$400=$A$15) &gt; 0) * (TRIM('MTD Pivot'!$C$3:$C$400)=TRIM($A21)) * ('MTD Pivot'!$D$2:$K$2=E$2) * 'MTD Pivot'!$D$3:$K$400), "")</f>
        <v/>
      </c>
      <c r="F21" s="193">
        <f>IF(SUMPRODUCT((('MTD Pivot'!$B$3:$B$400=$A$15) + ('MTD Pivot'!$A$3:$A$400=$A$15) &gt; 0) * (TRIM('MTD Pivot'!$C$3:$C$400)=TRIM($A21)) * ('MTD Pivot'!$D$2:$K$2=F$2) * 'MTD Pivot'!$D$3:$K$400)&gt;0, SUMPRODUCT((('MTD Pivot'!$B$3:$B$400=$A$15) + ('MTD Pivot'!$A$3:$A$400=$A$15) &gt; 0) * (TRIM('MTD Pivot'!$C$3:$C$400)=TRIM($A21)) * ('MTD Pivot'!$D$2:$K$2=F$2) * 'MTD Pivot'!$D$3:$K$400), "")</f>
        <v/>
      </c>
      <c r="G21" s="193">
        <f>IF(SUMPRODUCT((('MTD Pivot'!$B$3:$B$400=$A$15) + ('MTD Pivot'!$A$3:$A$400=$A$15) &gt; 0) * (TRIM('MTD Pivot'!$C$3:$C$400)=TRIM($A21)) * ('MTD Pivot'!$D$2:$K$2=G$2) * 'MTD Pivot'!$D$3:$K$400)&gt;0, SUMPRODUCT((('MTD Pivot'!$B$3:$B$400=$A$15) + ('MTD Pivot'!$A$3:$A$400=$A$15) &gt; 0) * (TRIM('MTD Pivot'!$C$3:$C$400)=TRIM($A21)) * ('MTD Pivot'!$D$2:$K$2=G$2) * 'MTD Pivot'!$D$3:$K$400), "")</f>
        <v/>
      </c>
      <c r="H21" s="193">
        <f>IF(SUMPRODUCT((('MTD Pivot'!$B$3:$B$400=$A$15) + ('MTD Pivot'!$A$3:$A$400=$A$15) &gt; 0) * (TRIM('MTD Pivot'!$C$3:$C$400)=TRIM($A21)) * ('MTD Pivot'!$D$2:$K$2=H$2) * 'MTD Pivot'!$D$3:$K$400)&gt;0, SUMPRODUCT((('MTD Pivot'!$B$3:$B$400=$A$15) + ('MTD Pivot'!$A$3:$A$400=$A$15) &gt; 0) * (TRIM('MTD Pivot'!$C$3:$C$400)=TRIM($A21)) * ('MTD Pivot'!$D$2:$K$2=H$2) * 'MTD Pivot'!$D$3:$K$400), "")</f>
        <v/>
      </c>
      <c r="I21" s="193">
        <f>IF(SUMPRODUCT((('MTD Pivot'!$B$3:$B$400=$A$15) + ('MTD Pivot'!$A$3:$A$400=$A$15) &gt; 0) * (TRIM('MTD Pivot'!$C$3:$C$400)=TRIM($A21)) * ('MTD Pivot'!$D$2:$K$2=I$2) * 'MTD Pivot'!$D$3:$K$400)&gt;0, SUMPRODUCT((('MTD Pivot'!$B$3:$B$400=$A$15) + ('MTD Pivot'!$A$3:$A$400=$A$15) &gt; 0) * (TRIM('MTD Pivot'!$C$3:$C$400)=TRIM($A21)) * ('MTD Pivot'!$D$2:$K$2=I$2) * 'MTD Pivot'!$D$3:$K$400), "")</f>
        <v/>
      </c>
      <c r="J21" s="193">
        <f>IF(SUMPRODUCT((('MTD Pivot'!$B$3:$B$400=$A$15) + ('MTD Pivot'!$A$3:$A$400=$A$15) &gt; 0) * (TRIM('MTD Pivot'!$C$3:$C$400)=TRIM($A21)) * ('MTD Pivot'!$D$2:$K$2=J$2) * 'MTD Pivot'!$D$3:$K$400)&gt;0, SUMPRODUCT((('MTD Pivot'!$B$3:$B$400=$A$15) + ('MTD Pivot'!$A$3:$A$400=$A$15) &gt; 0) * (TRIM('MTD Pivot'!$C$3:$C$400)=TRIM($A21)) * ('MTD Pivot'!$D$2:$K$2=J$2) * 'MTD Pivot'!$D$3:$K$400), "")</f>
        <v/>
      </c>
      <c r="K21" s="193">
        <f>IF(SUMPRODUCT((('MTD Pivot'!$B$3:$B$400=$A$15) + ('MTD Pivot'!$A$3:$A$400=$A$15) &gt; 0) * (TRIM('MTD Pivot'!$C$3:$C$400)=TRIM($A21)) * ('MTD Pivot'!$D$2:$K$2=K$2) * 'MTD Pivot'!$D$3:$K$400)&gt;0, SUMPRODUCT((('MTD Pivot'!$B$3:$B$400=$A$15) + ('MTD Pivot'!$A$3:$A$400=$A$15) &gt; 0) * (TRIM('MTD Pivot'!$C$3:$C$400)=TRIM($A21)) * ('MTD Pivot'!$D$2:$K$2=K$2) * 'MTD Pivot'!$D$3:$K$400), "")</f>
        <v/>
      </c>
      <c r="L21" s="193">
        <f>IF(SUMPRODUCT((('MTD Pivot'!$B$3:$B$400=$A$15) + ('MTD Pivot'!$A$3:$A$400=$A$15) &gt; 0) * (TRIM('MTD Pivot'!$C$3:$C$400)=TRIM($A21)) * ('MTD Pivot'!$D$2:$K$2=L$2) * 'MTD Pivot'!$D$3:$K$400)&gt;0, SUMPRODUCT((('MTD Pivot'!$B$3:$B$400=$A$15) + ('MTD Pivot'!$A$3:$A$400=$A$15) &gt; 0) * (TRIM('MTD Pivot'!$C$3:$C$400)=TRIM($A21)) * ('MTD Pivot'!$D$2:$K$2=L$2) * 'MTD Pivot'!$D$3:$K$400), "")</f>
        <v/>
      </c>
      <c r="M21" s="193">
        <f>IF(SUMPRODUCT((('MTD Pivot'!$B$3:$B$400=$A$15) + ('MTD Pivot'!$A$3:$A$400=$A$15) &gt; 0) * (TRIM('MTD Pivot'!$C$3:$C$400)=TRIM($A21)) * ('MTD Pivot'!$D$2:$K$2=M$2) * 'MTD Pivot'!$D$3:$K$400)&gt;0, SUMPRODUCT((('MTD Pivot'!$B$3:$B$400=$A$15) + ('MTD Pivot'!$A$3:$A$400=$A$15) &gt; 0) * (TRIM('MTD Pivot'!$C$3:$C$400)=TRIM($A21)) * ('MTD Pivot'!$D$2:$K$2=M$2) * 'MTD Pivot'!$D$3:$K$400), "")</f>
        <v/>
      </c>
      <c r="N21" s="157">
        <f>IF(AND(ISNUMBER(K21), ISNUMBER(J21), J21&gt;0), (K21-J21)/J21, "")</f>
        <v/>
      </c>
      <c r="O21" s="193">
        <f>IF(SUMPRODUCT((('Full month Pivot'!$B$3:$B$400=$A$15) + ('Full month Pivot'!$A$3:$A$400=$A$15) &gt; 0) * (TRIM('Full month Pivot'!$C$3:$C$400)=TRIM($A21)) * ('Full month Pivot'!$D$2:$K$2=O$2) * 'Full month Pivot'!$D$3:$K$400)&gt;0, SUMPRODUCT((('Full month Pivot'!$B$3:$B$400=$A$15) + ('Full month Pivot'!$A$3:$A$400=$A$15) &gt; 0) * (TRIM('Full month Pivot'!$C$3:$C$400)=TRIM($A21)) * ('Full month Pivot'!$D$2:$K$2=O$2) * 'Full month Pivot'!$D$3:$K$400), "")</f>
        <v/>
      </c>
      <c r="P21" s="193">
        <f>IF(SUMPRODUCT((('Full month Pivot'!$B$3:$B$400=$A$15) + ('Full month Pivot'!$A$3:$A$400=$A$15) &gt; 0) * (TRIM('Full month Pivot'!$C$3:$C$400)=TRIM($A21)) * ('Full month Pivot'!$D$2:$K$2=P$2) * 'Full month Pivot'!$D$3:$K$400)&gt;0, SUMPRODUCT((('Full month Pivot'!$B$3:$B$400=$A$15) + ('Full month Pivot'!$A$3:$A$400=$A$15) &gt; 0) * (TRIM('Full month Pivot'!$C$3:$C$400)=TRIM($A21)) * ('Full month Pivot'!$D$2:$K$2=P$2) * 'Full month Pivot'!$D$3:$K$400), "")</f>
        <v/>
      </c>
      <c r="Q21" s="193">
        <f>IF(SUMPRODUCT((('Full month Pivot'!$B$3:$B$400=$A$15) + ('Full month Pivot'!$A$3:$A$400=$A$15) &gt; 0) * (TRIM('Full month Pivot'!$C$3:$C$400)=TRIM($A21)) * ('Full month Pivot'!$D$2:$K$2=Q$2) * 'Full month Pivot'!$D$3:$K$400)&gt;0, SUMPRODUCT((('Full month Pivot'!$B$3:$B$400=$A$15) + ('Full month Pivot'!$A$3:$A$400=$A$15) &gt; 0) * (TRIM('Full month Pivot'!$C$3:$C$400)=TRIM($A21)) * ('Full month Pivot'!$D$2:$K$2=Q$2) * 'Full month Pivot'!$D$3:$K$400), "")</f>
        <v/>
      </c>
      <c r="R21" s="193">
        <f>IF(SUMPRODUCT((('Full month Pivot'!$B$3:$B$400=$A$15) + ('Full month Pivot'!$A$3:$A$400=$A$15) &gt; 0) * (TRIM('Full month Pivot'!$C$3:$C$400)=TRIM($A21)) * ('Full month Pivot'!$D$2:$K$2=R$2) * 'Full month Pivot'!$D$3:$K$400)&gt;0, SUMPRODUCT((('Full month Pivot'!$B$3:$B$400=$A$15) + ('Full month Pivot'!$A$3:$A$400=$A$15) &gt; 0) * (TRIM('Full month Pivot'!$C$3:$C$400)=TRIM($A21)) * ('Full month Pivot'!$D$2:$K$2=R$2) * 'Full month Pivot'!$D$3:$K$400), "")</f>
        <v/>
      </c>
      <c r="S21" s="193">
        <f>IF(SUMPRODUCT((('Full month Pivot'!$B$3:$B$400=$A$15) + ('Full month Pivot'!$A$3:$A$400=$A$15) &gt; 0) * (TRIM('Full month Pivot'!$C$3:$C$400)=TRIM($A21)) * ('Full month Pivot'!$D$2:$K$2=S$2) * 'Full month Pivot'!$D$3:$K$400)&gt;0, SUMPRODUCT((('Full month Pivot'!$B$3:$B$400=$A$15) + ('Full month Pivot'!$A$3:$A$400=$A$15) &gt; 0) * (TRIM('Full month Pivot'!$C$3:$C$400)=TRIM($A21)) * ('Full month Pivot'!$D$2:$K$2=S$2) * 'Full month Pivot'!$D$3:$K$400), "")</f>
        <v/>
      </c>
      <c r="T21" s="193">
        <f>IF(SUMPRODUCT((('Full month Pivot'!$B$3:$B$400=$A$15) + ('Full month Pivot'!$A$3:$A$400=$A$15) &gt; 0) * (TRIM('Full month Pivot'!$C$3:$C$400)=TRIM($A21)) * ('Full month Pivot'!$D$2:$K$2=T$2) * 'Full month Pivot'!$D$3:$K$400)&gt;0, SUMPRODUCT((('Full month Pivot'!$B$3:$B$400=$A$15) + ('Full month Pivot'!$A$3:$A$400=$A$15) &gt; 0) * (TRIM('Full month Pivot'!$C$3:$C$400)=TRIM($A21)) * ('Full month Pivot'!$D$2:$K$2=T$2) * 'Full month Pivot'!$D$3:$K$400), "")</f>
        <v/>
      </c>
      <c r="U21" s="193">
        <f>IF(SUMPRODUCT((('Full month Pivot'!$B$3:$B$400=$A$15) + ('Full month Pivot'!$A$3:$A$400=$A$15) &gt; 0) * (TRIM('Full month Pivot'!$C$3:$C$400)=TRIM($A21)) * ('Full month Pivot'!$D$2:$K$2=U$2) * 'Full month Pivot'!$D$3:$K$400)&gt;0, SUMPRODUCT((('Full month Pivot'!$B$3:$B$400=$A$15) + ('Full month Pivot'!$A$3:$A$400=$A$15) &gt; 0) * (TRIM('Full month Pivot'!$C$3:$C$400)=TRIM($A21)) * ('Full month Pivot'!$D$2:$K$2=U$2) * 'Full month Pivot'!$D$3:$K$400), "")</f>
        <v/>
      </c>
      <c r="V21" s="193">
        <f>IF(SUMPRODUCT((('Full month Pivot'!$B$3:$B$400=$A$15) + ('Full month Pivot'!$A$3:$A$400=$A$15) &gt; 0) * (TRIM('Full month Pivot'!$C$3:$C$400)=TRIM($A21)) * ('Full month Pivot'!$D$2:$K$2=V$2) * 'Full month Pivot'!$D$3:$K$400)&gt;0, SUMPRODUCT((('Full month Pivot'!$B$3:$B$400=$A$15) + ('Full month Pivot'!$A$3:$A$400=$A$15) &gt; 0) * (TRIM('Full month Pivot'!$C$3:$C$400)=TRIM($A21)) * ('Full month Pivot'!$D$2:$K$2=V$2) * 'Full month Pivot'!$D$3:$K$400), "")</f>
        <v/>
      </c>
      <c r="W21" s="193">
        <f>IF(SUMPRODUCT((('Full month Pivot'!$B$3:$B$400=$A$15) + ('Full month Pivot'!$A$3:$A$400=$A$15) &gt; 0) * (TRIM('Full month Pivot'!$C$3:$C$400)=TRIM($A21)) * ('Full month Pivot'!$D$2:$K$2=W$2) * 'Full month Pivot'!$D$3:$K$400)&gt;0, SUMPRODUCT((('Full month Pivot'!$B$3:$B$400=$A$15) + ('Full month Pivot'!$A$3:$A$400=$A$15) &gt; 0) * (TRIM('Full month Pivot'!$C$3:$C$400)=TRIM($A21)) * ('Full month Pivot'!$D$2:$K$2=W$2) * 'Full month Pivot'!$D$3:$K$400), "")</f>
        <v/>
      </c>
      <c r="X21" s="193">
        <f>IF(SUMPRODUCT((('Full month Pivot'!$B$3:$B$400=$A$15) + ('Full month Pivot'!$A$3:$A$400=$A$15) &gt; 0) * (TRIM('Full month Pivot'!$C$3:$C$400)=TRIM($A21)) * ('Full month Pivot'!$D$2:$K$2=X$2) * 'Full month Pivot'!$D$3:$K$400)&gt;0, SUMPRODUCT((('Full month Pivot'!$B$3:$B$400=$A$15) + ('Full month Pivot'!$A$3:$A$400=$A$15) &gt; 0) * (TRIM('Full month Pivot'!$C$3:$C$400)=TRIM($A21)) * ('Full month Pivot'!$D$2:$K$2=X$2) * 'Full month Pivot'!$D$3:$K$400), "")</f>
        <v/>
      </c>
      <c r="Y21" s="193">
        <f>IF(SUMPRODUCT((('Full month Pivot'!$B$3:$B$400=$A$15) + ('Full month Pivot'!$A$3:$A$400=$A$15) &gt; 0) * (TRIM('Full month Pivot'!$C$3:$C$400)=TRIM($A21)) * ('Full month Pivot'!$D$2:$K$2=Y$2) * 'Full month Pivot'!$D$3:$K$400)&gt;0, SUMPRODUCT((('Full month Pivot'!$B$3:$B$400=$A$15) + ('Full month Pivot'!$A$3:$A$400=$A$15) &gt; 0) * (TRIM('Full month Pivot'!$C$3:$C$400)=TRIM($A21)) * ('Full month Pivot'!$D$2:$K$2=Y$2) * 'Full month Pivot'!$D$3:$K$400), "")</f>
        <v/>
      </c>
      <c r="Z21" s="193">
        <f>IF(SUMPRODUCT((('Full month Pivot'!$B$3:$B$400=$A$15) + ('Full month Pivot'!$A$3:$A$400=$A$15) &gt; 0) * (TRIM('Full month Pivot'!$C$3:$C$400)=TRIM($A21)) * ('Full month Pivot'!$D$2:$K$2=Z$2) * 'Full month Pivot'!$D$3:$K$400)&gt;0, SUMPRODUCT((('Full month Pivot'!$B$3:$B$400=$A$15) + ('Full month Pivot'!$A$3:$A$400=$A$15) &gt; 0) * (TRIM('Full month Pivot'!$C$3:$C$400)=TRIM($A21)) * ('Full month Pivot'!$D$2:$K$2=Z$2) * 'Full month Pivot'!$D$3:$K$400), "")</f>
        <v/>
      </c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202" t="inlineStr">
        <is>
          <t xml:space="preserve">  Paid</t>
        </is>
      </c>
      <c r="B22" s="193">
        <f>IF(SUMPRODUCT((('MTD Pivot'!$B$3:$B$400=$A$15) + ('MTD Pivot'!$A$3:$A$400=$A$15) &gt; 0) * (TRIM('MTD Pivot'!$C$3:$C$400)=TRIM($A22)) * ('MTD Pivot'!$D$2:$K$2=B$2) * 'MTD Pivot'!$D$3:$K$400)&gt;0, SUMPRODUCT((('MTD Pivot'!$B$3:$B$400=$A$15) + ('MTD Pivot'!$A$3:$A$400=$A$15) &gt; 0) * (TRIM('MTD Pivot'!$C$3:$C$400)=TRIM($A22)) * ('MTD Pivot'!$D$2:$K$2=B$2) * 'MTD Pivot'!$D$3:$K$400), "")</f>
        <v/>
      </c>
      <c r="C22" s="193">
        <f>IF(SUMPRODUCT((('MTD Pivot'!$B$3:$B$400=$A$15) + ('MTD Pivot'!$A$3:$A$400=$A$15) &gt; 0) * (TRIM('MTD Pivot'!$C$3:$C$400)=TRIM($A22)) * ('MTD Pivot'!$D$2:$K$2=C$2) * 'MTD Pivot'!$D$3:$K$400)&gt;0, SUMPRODUCT((('MTD Pivot'!$B$3:$B$400=$A$15) + ('MTD Pivot'!$A$3:$A$400=$A$15) &gt; 0) * (TRIM('MTD Pivot'!$C$3:$C$400)=TRIM($A22)) * ('MTD Pivot'!$D$2:$K$2=C$2) * 'MTD Pivot'!$D$3:$K$400), "")</f>
        <v/>
      </c>
      <c r="D22" s="193">
        <f>IF(SUMPRODUCT((('MTD Pivot'!$B$3:$B$400=$A$15) + ('MTD Pivot'!$A$3:$A$400=$A$15) &gt; 0) * (TRIM('MTD Pivot'!$C$3:$C$400)=TRIM($A22)) * ('MTD Pivot'!$D$2:$K$2=D$2) * 'MTD Pivot'!$D$3:$K$400)&gt;0, SUMPRODUCT((('MTD Pivot'!$B$3:$B$400=$A$15) + ('MTD Pivot'!$A$3:$A$400=$A$15) &gt; 0) * (TRIM('MTD Pivot'!$C$3:$C$400)=TRIM($A22)) * ('MTD Pivot'!$D$2:$K$2=D$2) * 'MTD Pivot'!$D$3:$K$400), "")</f>
        <v/>
      </c>
      <c r="E22" s="193">
        <f>IF(SUMPRODUCT((('MTD Pivot'!$B$3:$B$400=$A$15) + ('MTD Pivot'!$A$3:$A$400=$A$15) &gt; 0) * (TRIM('MTD Pivot'!$C$3:$C$400)=TRIM($A22)) * ('MTD Pivot'!$D$2:$K$2=E$2) * 'MTD Pivot'!$D$3:$K$400)&gt;0, SUMPRODUCT((('MTD Pivot'!$B$3:$B$400=$A$15) + ('MTD Pivot'!$A$3:$A$400=$A$15) &gt; 0) * (TRIM('MTD Pivot'!$C$3:$C$400)=TRIM($A22)) * ('MTD Pivot'!$D$2:$K$2=E$2) * 'MTD Pivot'!$D$3:$K$400), "")</f>
        <v/>
      </c>
      <c r="F22" s="193">
        <f>IF(SUMPRODUCT((('MTD Pivot'!$B$3:$B$400=$A$15) + ('MTD Pivot'!$A$3:$A$400=$A$15) &gt; 0) * (TRIM('MTD Pivot'!$C$3:$C$400)=TRIM($A22)) * ('MTD Pivot'!$D$2:$K$2=F$2) * 'MTD Pivot'!$D$3:$K$400)&gt;0, SUMPRODUCT((('MTD Pivot'!$B$3:$B$400=$A$15) + ('MTD Pivot'!$A$3:$A$400=$A$15) &gt; 0) * (TRIM('MTD Pivot'!$C$3:$C$400)=TRIM($A22)) * ('MTD Pivot'!$D$2:$K$2=F$2) * 'MTD Pivot'!$D$3:$K$400), "")</f>
        <v/>
      </c>
      <c r="G22" s="193">
        <f>IF(SUMPRODUCT((('MTD Pivot'!$B$3:$B$400=$A$15) + ('MTD Pivot'!$A$3:$A$400=$A$15) &gt; 0) * (TRIM('MTD Pivot'!$C$3:$C$400)=TRIM($A22)) * ('MTD Pivot'!$D$2:$K$2=G$2) * 'MTD Pivot'!$D$3:$K$400)&gt;0, SUMPRODUCT((('MTD Pivot'!$B$3:$B$400=$A$15) + ('MTD Pivot'!$A$3:$A$400=$A$15) &gt; 0) * (TRIM('MTD Pivot'!$C$3:$C$400)=TRIM($A22)) * ('MTD Pivot'!$D$2:$K$2=G$2) * 'MTD Pivot'!$D$3:$K$400), "")</f>
        <v/>
      </c>
      <c r="H22" s="193">
        <f>IF(SUMPRODUCT((('MTD Pivot'!$B$3:$B$400=$A$15) + ('MTD Pivot'!$A$3:$A$400=$A$15) &gt; 0) * (TRIM('MTD Pivot'!$C$3:$C$400)=TRIM($A22)) * ('MTD Pivot'!$D$2:$K$2=H$2) * 'MTD Pivot'!$D$3:$K$400)&gt;0, SUMPRODUCT((('MTD Pivot'!$B$3:$B$400=$A$15) + ('MTD Pivot'!$A$3:$A$400=$A$15) &gt; 0) * (TRIM('MTD Pivot'!$C$3:$C$400)=TRIM($A22)) * ('MTD Pivot'!$D$2:$K$2=H$2) * 'MTD Pivot'!$D$3:$K$400), "")</f>
        <v/>
      </c>
      <c r="I22" s="193">
        <f>IF(SUMPRODUCT((('MTD Pivot'!$B$3:$B$400=$A$15) + ('MTD Pivot'!$A$3:$A$400=$A$15) &gt; 0) * (TRIM('MTD Pivot'!$C$3:$C$400)=TRIM($A22)) * ('MTD Pivot'!$D$2:$K$2=I$2) * 'MTD Pivot'!$D$3:$K$400)&gt;0, SUMPRODUCT((('MTD Pivot'!$B$3:$B$400=$A$15) + ('MTD Pivot'!$A$3:$A$400=$A$15) &gt; 0) * (TRIM('MTD Pivot'!$C$3:$C$400)=TRIM($A22)) * ('MTD Pivot'!$D$2:$K$2=I$2) * 'MTD Pivot'!$D$3:$K$400), "")</f>
        <v/>
      </c>
      <c r="J22" s="193">
        <f>IF(SUMPRODUCT((('MTD Pivot'!$B$3:$B$400=$A$15) + ('MTD Pivot'!$A$3:$A$400=$A$15) &gt; 0) * (TRIM('MTD Pivot'!$C$3:$C$400)=TRIM($A22)) * ('MTD Pivot'!$D$2:$K$2=J$2) * 'MTD Pivot'!$D$3:$K$400)&gt;0, SUMPRODUCT((('MTD Pivot'!$B$3:$B$400=$A$15) + ('MTD Pivot'!$A$3:$A$400=$A$15) &gt; 0) * (TRIM('MTD Pivot'!$C$3:$C$400)=TRIM($A22)) * ('MTD Pivot'!$D$2:$K$2=J$2) * 'MTD Pivot'!$D$3:$K$400), "")</f>
        <v/>
      </c>
      <c r="K22" s="193">
        <f>IF(SUMPRODUCT((('MTD Pivot'!$B$3:$B$400=$A$15) + ('MTD Pivot'!$A$3:$A$400=$A$15) &gt; 0) * (TRIM('MTD Pivot'!$C$3:$C$400)=TRIM($A22)) * ('MTD Pivot'!$D$2:$K$2=K$2) * 'MTD Pivot'!$D$3:$K$400)&gt;0, SUMPRODUCT((('MTD Pivot'!$B$3:$B$400=$A$15) + ('MTD Pivot'!$A$3:$A$400=$A$15) &gt; 0) * (TRIM('MTD Pivot'!$C$3:$C$400)=TRIM($A22)) * ('MTD Pivot'!$D$2:$K$2=K$2) * 'MTD Pivot'!$D$3:$K$400), "")</f>
        <v/>
      </c>
      <c r="L22" s="193">
        <f>IF(SUMPRODUCT((('MTD Pivot'!$B$3:$B$400=$A$15) + ('MTD Pivot'!$A$3:$A$400=$A$15) &gt; 0) * (TRIM('MTD Pivot'!$C$3:$C$400)=TRIM($A22)) * ('MTD Pivot'!$D$2:$K$2=L$2) * 'MTD Pivot'!$D$3:$K$400)&gt;0, SUMPRODUCT((('MTD Pivot'!$B$3:$B$400=$A$15) + ('MTD Pivot'!$A$3:$A$400=$A$15) &gt; 0) * (TRIM('MTD Pivot'!$C$3:$C$400)=TRIM($A22)) * ('MTD Pivot'!$D$2:$K$2=L$2) * 'MTD Pivot'!$D$3:$K$400), "")</f>
        <v/>
      </c>
      <c r="M22" s="193">
        <f>IF(SUMPRODUCT((('MTD Pivot'!$B$3:$B$400=$A$15) + ('MTD Pivot'!$A$3:$A$400=$A$15) &gt; 0) * (TRIM('MTD Pivot'!$C$3:$C$400)=TRIM($A22)) * ('MTD Pivot'!$D$2:$K$2=M$2) * 'MTD Pivot'!$D$3:$K$400)&gt;0, SUMPRODUCT((('MTD Pivot'!$B$3:$B$400=$A$15) + ('MTD Pivot'!$A$3:$A$400=$A$15) &gt; 0) * (TRIM('MTD Pivot'!$C$3:$C$400)=TRIM($A22)) * ('MTD Pivot'!$D$2:$K$2=M$2) * 'MTD Pivot'!$D$3:$K$400), "")</f>
        <v/>
      </c>
      <c r="N22" s="157">
        <f>IF(AND(ISNUMBER(K22), ISNUMBER(J22), J22&gt;0), (K22-J22)/J22, "")</f>
        <v/>
      </c>
      <c r="O22" s="193">
        <f>IF(SUMPRODUCT((('Full month Pivot'!$B$3:$B$400=$A$15) + ('Full month Pivot'!$A$3:$A$400=$A$15) &gt; 0) * (TRIM('Full month Pivot'!$C$3:$C$400)=TRIM($A22)) * ('Full month Pivot'!$D$2:$K$2=O$2) * 'Full month Pivot'!$D$3:$K$400)&gt;0, SUMPRODUCT((('Full month Pivot'!$B$3:$B$400=$A$15) + ('Full month Pivot'!$A$3:$A$400=$A$15) &gt; 0) * (TRIM('Full month Pivot'!$C$3:$C$400)=TRIM($A22)) * ('Full month Pivot'!$D$2:$K$2=O$2) * 'Full month Pivot'!$D$3:$K$400), "")</f>
        <v/>
      </c>
      <c r="P22" s="193">
        <f>IF(SUMPRODUCT((('Full month Pivot'!$B$3:$B$400=$A$15) + ('Full month Pivot'!$A$3:$A$400=$A$15) &gt; 0) * (TRIM('Full month Pivot'!$C$3:$C$400)=TRIM($A22)) * ('Full month Pivot'!$D$2:$K$2=P$2) * 'Full month Pivot'!$D$3:$K$400)&gt;0, SUMPRODUCT((('Full month Pivot'!$B$3:$B$400=$A$15) + ('Full month Pivot'!$A$3:$A$400=$A$15) &gt; 0) * (TRIM('Full month Pivot'!$C$3:$C$400)=TRIM($A22)) * ('Full month Pivot'!$D$2:$K$2=P$2) * 'Full month Pivot'!$D$3:$K$400), "")</f>
        <v/>
      </c>
      <c r="Q22" s="193">
        <f>IF(SUMPRODUCT((('Full month Pivot'!$B$3:$B$400=$A$15) + ('Full month Pivot'!$A$3:$A$400=$A$15) &gt; 0) * (TRIM('Full month Pivot'!$C$3:$C$400)=TRIM($A22)) * ('Full month Pivot'!$D$2:$K$2=Q$2) * 'Full month Pivot'!$D$3:$K$400)&gt;0, SUMPRODUCT((('Full month Pivot'!$B$3:$B$400=$A$15) + ('Full month Pivot'!$A$3:$A$400=$A$15) &gt; 0) * (TRIM('Full month Pivot'!$C$3:$C$400)=TRIM($A22)) * ('Full month Pivot'!$D$2:$K$2=Q$2) * 'Full month Pivot'!$D$3:$K$400), "")</f>
        <v/>
      </c>
      <c r="R22" s="193">
        <f>IF(SUMPRODUCT((('Full month Pivot'!$B$3:$B$400=$A$15) + ('Full month Pivot'!$A$3:$A$400=$A$15) &gt; 0) * (TRIM('Full month Pivot'!$C$3:$C$400)=TRIM($A22)) * ('Full month Pivot'!$D$2:$K$2=R$2) * 'Full month Pivot'!$D$3:$K$400)&gt;0, SUMPRODUCT((('Full month Pivot'!$B$3:$B$400=$A$15) + ('Full month Pivot'!$A$3:$A$400=$A$15) &gt; 0) * (TRIM('Full month Pivot'!$C$3:$C$400)=TRIM($A22)) * ('Full month Pivot'!$D$2:$K$2=R$2) * 'Full month Pivot'!$D$3:$K$400), "")</f>
        <v/>
      </c>
      <c r="S22" s="193">
        <f>IF(SUMPRODUCT((('Full month Pivot'!$B$3:$B$400=$A$15) + ('Full month Pivot'!$A$3:$A$400=$A$15) &gt; 0) * (TRIM('Full month Pivot'!$C$3:$C$400)=TRIM($A22)) * ('Full month Pivot'!$D$2:$K$2=S$2) * 'Full month Pivot'!$D$3:$K$400)&gt;0, SUMPRODUCT((('Full month Pivot'!$B$3:$B$400=$A$15) + ('Full month Pivot'!$A$3:$A$400=$A$15) &gt; 0) * (TRIM('Full month Pivot'!$C$3:$C$400)=TRIM($A22)) * ('Full month Pivot'!$D$2:$K$2=S$2) * 'Full month Pivot'!$D$3:$K$400), "")</f>
        <v/>
      </c>
      <c r="T22" s="193">
        <f>IF(SUMPRODUCT((('Full month Pivot'!$B$3:$B$400=$A$15) + ('Full month Pivot'!$A$3:$A$400=$A$15) &gt; 0) * (TRIM('Full month Pivot'!$C$3:$C$400)=TRIM($A22)) * ('Full month Pivot'!$D$2:$K$2=T$2) * 'Full month Pivot'!$D$3:$K$400)&gt;0, SUMPRODUCT((('Full month Pivot'!$B$3:$B$400=$A$15) + ('Full month Pivot'!$A$3:$A$400=$A$15) &gt; 0) * (TRIM('Full month Pivot'!$C$3:$C$400)=TRIM($A22)) * ('Full month Pivot'!$D$2:$K$2=T$2) * 'Full month Pivot'!$D$3:$K$400), "")</f>
        <v/>
      </c>
      <c r="U22" s="193">
        <f>IF(SUMPRODUCT((('Full month Pivot'!$B$3:$B$400=$A$15) + ('Full month Pivot'!$A$3:$A$400=$A$15) &gt; 0) * (TRIM('Full month Pivot'!$C$3:$C$400)=TRIM($A22)) * ('Full month Pivot'!$D$2:$K$2=U$2) * 'Full month Pivot'!$D$3:$K$400)&gt;0, SUMPRODUCT((('Full month Pivot'!$B$3:$B$400=$A$15) + ('Full month Pivot'!$A$3:$A$400=$A$15) &gt; 0) * (TRIM('Full month Pivot'!$C$3:$C$400)=TRIM($A22)) * ('Full month Pivot'!$D$2:$K$2=U$2) * 'Full month Pivot'!$D$3:$K$400), "")</f>
        <v/>
      </c>
      <c r="V22" s="193">
        <f>IF(SUMPRODUCT((('Full month Pivot'!$B$3:$B$400=$A$15) + ('Full month Pivot'!$A$3:$A$400=$A$15) &gt; 0) * (TRIM('Full month Pivot'!$C$3:$C$400)=TRIM($A22)) * ('Full month Pivot'!$D$2:$K$2=V$2) * 'Full month Pivot'!$D$3:$K$400)&gt;0, SUMPRODUCT((('Full month Pivot'!$B$3:$B$400=$A$15) + ('Full month Pivot'!$A$3:$A$400=$A$15) &gt; 0) * (TRIM('Full month Pivot'!$C$3:$C$400)=TRIM($A22)) * ('Full month Pivot'!$D$2:$K$2=V$2) * 'Full month Pivot'!$D$3:$K$400), "")</f>
        <v/>
      </c>
      <c r="W22" s="193">
        <f>IF(SUMPRODUCT((('Full month Pivot'!$B$3:$B$400=$A$15) + ('Full month Pivot'!$A$3:$A$400=$A$15) &gt; 0) * (TRIM('Full month Pivot'!$C$3:$C$400)=TRIM($A22)) * ('Full month Pivot'!$D$2:$K$2=W$2) * 'Full month Pivot'!$D$3:$K$400)&gt;0, SUMPRODUCT((('Full month Pivot'!$B$3:$B$400=$A$15) + ('Full month Pivot'!$A$3:$A$400=$A$15) &gt; 0) * (TRIM('Full month Pivot'!$C$3:$C$400)=TRIM($A22)) * ('Full month Pivot'!$D$2:$K$2=W$2) * 'Full month Pivot'!$D$3:$K$400), "")</f>
        <v/>
      </c>
      <c r="X22" s="193">
        <f>IF(SUMPRODUCT((('Full month Pivot'!$B$3:$B$400=$A$15) + ('Full month Pivot'!$A$3:$A$400=$A$15) &gt; 0) * (TRIM('Full month Pivot'!$C$3:$C$400)=TRIM($A22)) * ('Full month Pivot'!$D$2:$K$2=X$2) * 'Full month Pivot'!$D$3:$K$400)&gt;0, SUMPRODUCT((('Full month Pivot'!$B$3:$B$400=$A$15) + ('Full month Pivot'!$A$3:$A$400=$A$15) &gt; 0) * (TRIM('Full month Pivot'!$C$3:$C$400)=TRIM($A22)) * ('Full month Pivot'!$D$2:$K$2=X$2) * 'Full month Pivot'!$D$3:$K$400), "")</f>
        <v/>
      </c>
      <c r="Y22" s="193">
        <f>IF(SUMPRODUCT((('Full month Pivot'!$B$3:$B$400=$A$15) + ('Full month Pivot'!$A$3:$A$400=$A$15) &gt; 0) * (TRIM('Full month Pivot'!$C$3:$C$400)=TRIM($A22)) * ('Full month Pivot'!$D$2:$K$2=Y$2) * 'Full month Pivot'!$D$3:$K$400)&gt;0, SUMPRODUCT((('Full month Pivot'!$B$3:$B$400=$A$15) + ('Full month Pivot'!$A$3:$A$400=$A$15) &gt; 0) * (TRIM('Full month Pivot'!$C$3:$C$400)=TRIM($A22)) * ('Full month Pivot'!$D$2:$K$2=Y$2) * 'Full month Pivot'!$D$3:$K$400), "")</f>
        <v/>
      </c>
      <c r="Z22" s="193">
        <f>IF(SUMPRODUCT((('Full month Pivot'!$B$3:$B$400=$A$15) + ('Full month Pivot'!$A$3:$A$400=$A$15) &gt; 0) * (TRIM('Full month Pivot'!$C$3:$C$400)=TRIM($A22)) * ('Full month Pivot'!$D$2:$K$2=Z$2) * 'Full month Pivot'!$D$3:$K$400)&gt;0, SUMPRODUCT((('Full month Pivot'!$B$3:$B$400=$A$15) + ('Full month Pivot'!$A$3:$A$400=$A$15) &gt; 0) * (TRIM('Full month Pivot'!$C$3:$C$400)=TRIM($A22)) * ('Full month Pivot'!$D$2:$K$2=Z$2) * 'Full month Pivot'!$D$3:$K$400), "")</f>
        <v/>
      </c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202" t="inlineStr">
        <is>
          <t xml:space="preserve">  Direct</t>
        </is>
      </c>
      <c r="B23" s="193">
        <f>IF(SUMPRODUCT((('MTD Pivot'!$B$3:$B$400=$A$15) + ('MTD Pivot'!$A$3:$A$400=$A$15) &gt; 0) * (TRIM('MTD Pivot'!$C$3:$C$400)=TRIM($A23)) * ('MTD Pivot'!$D$2:$K$2=B$2) * 'MTD Pivot'!$D$3:$K$400)&gt;0, SUMPRODUCT((('MTD Pivot'!$B$3:$B$400=$A$15) + ('MTD Pivot'!$A$3:$A$400=$A$15) &gt; 0) * (TRIM('MTD Pivot'!$C$3:$C$400)=TRIM($A23)) * ('MTD Pivot'!$D$2:$K$2=B$2) * 'MTD Pivot'!$D$3:$K$400), "")</f>
        <v/>
      </c>
      <c r="C23" s="193">
        <f>IF(SUMPRODUCT((('MTD Pivot'!$B$3:$B$400=$A$15) + ('MTD Pivot'!$A$3:$A$400=$A$15) &gt; 0) * (TRIM('MTD Pivot'!$C$3:$C$400)=TRIM($A23)) * ('MTD Pivot'!$D$2:$K$2=C$2) * 'MTD Pivot'!$D$3:$K$400)&gt;0, SUMPRODUCT((('MTD Pivot'!$B$3:$B$400=$A$15) + ('MTD Pivot'!$A$3:$A$400=$A$15) &gt; 0) * (TRIM('MTD Pivot'!$C$3:$C$400)=TRIM($A23)) * ('MTD Pivot'!$D$2:$K$2=C$2) * 'MTD Pivot'!$D$3:$K$400), "")</f>
        <v/>
      </c>
      <c r="D23" s="193">
        <f>IF(SUMPRODUCT((('MTD Pivot'!$B$3:$B$400=$A$15) + ('MTD Pivot'!$A$3:$A$400=$A$15) &gt; 0) * (TRIM('MTD Pivot'!$C$3:$C$400)=TRIM($A23)) * ('MTD Pivot'!$D$2:$K$2=D$2) * 'MTD Pivot'!$D$3:$K$400)&gt;0, SUMPRODUCT((('MTD Pivot'!$B$3:$B$400=$A$15) + ('MTD Pivot'!$A$3:$A$400=$A$15) &gt; 0) * (TRIM('MTD Pivot'!$C$3:$C$400)=TRIM($A23)) * ('MTD Pivot'!$D$2:$K$2=D$2) * 'MTD Pivot'!$D$3:$K$400), "")</f>
        <v/>
      </c>
      <c r="E23" s="193">
        <f>IF(SUMPRODUCT((('MTD Pivot'!$B$3:$B$400=$A$15) + ('MTD Pivot'!$A$3:$A$400=$A$15) &gt; 0) * (TRIM('MTD Pivot'!$C$3:$C$400)=TRIM($A23)) * ('MTD Pivot'!$D$2:$K$2=E$2) * 'MTD Pivot'!$D$3:$K$400)&gt;0, SUMPRODUCT((('MTD Pivot'!$B$3:$B$400=$A$15) + ('MTD Pivot'!$A$3:$A$400=$A$15) &gt; 0) * (TRIM('MTD Pivot'!$C$3:$C$400)=TRIM($A23)) * ('MTD Pivot'!$D$2:$K$2=E$2) * 'MTD Pivot'!$D$3:$K$400), "")</f>
        <v/>
      </c>
      <c r="F23" s="193">
        <f>IF(SUMPRODUCT((('MTD Pivot'!$B$3:$B$400=$A$15) + ('MTD Pivot'!$A$3:$A$400=$A$15) &gt; 0) * (TRIM('MTD Pivot'!$C$3:$C$400)=TRIM($A23)) * ('MTD Pivot'!$D$2:$K$2=F$2) * 'MTD Pivot'!$D$3:$K$400)&gt;0, SUMPRODUCT((('MTD Pivot'!$B$3:$B$400=$A$15) + ('MTD Pivot'!$A$3:$A$400=$A$15) &gt; 0) * (TRIM('MTD Pivot'!$C$3:$C$400)=TRIM($A23)) * ('MTD Pivot'!$D$2:$K$2=F$2) * 'MTD Pivot'!$D$3:$K$400), "")</f>
        <v/>
      </c>
      <c r="G23" s="193">
        <f>IF(SUMPRODUCT((('MTD Pivot'!$B$3:$B$400=$A$15) + ('MTD Pivot'!$A$3:$A$400=$A$15) &gt; 0) * (TRIM('MTD Pivot'!$C$3:$C$400)=TRIM($A23)) * ('MTD Pivot'!$D$2:$K$2=G$2) * 'MTD Pivot'!$D$3:$K$400)&gt;0, SUMPRODUCT((('MTD Pivot'!$B$3:$B$400=$A$15) + ('MTD Pivot'!$A$3:$A$400=$A$15) &gt; 0) * (TRIM('MTD Pivot'!$C$3:$C$400)=TRIM($A23)) * ('MTD Pivot'!$D$2:$K$2=G$2) * 'MTD Pivot'!$D$3:$K$400), "")</f>
        <v/>
      </c>
      <c r="H23" s="193">
        <f>IF(SUMPRODUCT((('MTD Pivot'!$B$3:$B$400=$A$15) + ('MTD Pivot'!$A$3:$A$400=$A$15) &gt; 0) * (TRIM('MTD Pivot'!$C$3:$C$400)=TRIM($A23)) * ('MTD Pivot'!$D$2:$K$2=H$2) * 'MTD Pivot'!$D$3:$K$400)&gt;0, SUMPRODUCT((('MTD Pivot'!$B$3:$B$400=$A$15) + ('MTD Pivot'!$A$3:$A$400=$A$15) &gt; 0) * (TRIM('MTD Pivot'!$C$3:$C$400)=TRIM($A23)) * ('MTD Pivot'!$D$2:$K$2=H$2) * 'MTD Pivot'!$D$3:$K$400), "")</f>
        <v/>
      </c>
      <c r="I23" s="193">
        <f>IF(SUMPRODUCT((('MTD Pivot'!$B$3:$B$400=$A$15) + ('MTD Pivot'!$A$3:$A$400=$A$15) &gt; 0) * (TRIM('MTD Pivot'!$C$3:$C$400)=TRIM($A23)) * ('MTD Pivot'!$D$2:$K$2=I$2) * 'MTD Pivot'!$D$3:$K$400)&gt;0, SUMPRODUCT((('MTD Pivot'!$B$3:$B$400=$A$15) + ('MTD Pivot'!$A$3:$A$400=$A$15) &gt; 0) * (TRIM('MTD Pivot'!$C$3:$C$400)=TRIM($A23)) * ('MTD Pivot'!$D$2:$K$2=I$2) * 'MTD Pivot'!$D$3:$K$400), "")</f>
        <v/>
      </c>
      <c r="J23" s="193">
        <f>IF(SUMPRODUCT((('MTD Pivot'!$B$3:$B$400=$A$15) + ('MTD Pivot'!$A$3:$A$400=$A$15) &gt; 0) * (TRIM('MTD Pivot'!$C$3:$C$400)=TRIM($A23)) * ('MTD Pivot'!$D$2:$K$2=J$2) * 'MTD Pivot'!$D$3:$K$400)&gt;0, SUMPRODUCT((('MTD Pivot'!$B$3:$B$400=$A$15) + ('MTD Pivot'!$A$3:$A$400=$A$15) &gt; 0) * (TRIM('MTD Pivot'!$C$3:$C$400)=TRIM($A23)) * ('MTD Pivot'!$D$2:$K$2=J$2) * 'MTD Pivot'!$D$3:$K$400), "")</f>
        <v/>
      </c>
      <c r="K23" s="193">
        <f>IF(SUMPRODUCT((('MTD Pivot'!$B$3:$B$400=$A$15) + ('MTD Pivot'!$A$3:$A$400=$A$15) &gt; 0) * (TRIM('MTD Pivot'!$C$3:$C$400)=TRIM($A23)) * ('MTD Pivot'!$D$2:$K$2=K$2) * 'MTD Pivot'!$D$3:$K$400)&gt;0, SUMPRODUCT((('MTD Pivot'!$B$3:$B$400=$A$15) + ('MTD Pivot'!$A$3:$A$400=$A$15) &gt; 0) * (TRIM('MTD Pivot'!$C$3:$C$400)=TRIM($A23)) * ('MTD Pivot'!$D$2:$K$2=K$2) * 'MTD Pivot'!$D$3:$K$400), "")</f>
        <v/>
      </c>
      <c r="L23" s="193">
        <f>IF(SUMPRODUCT((('MTD Pivot'!$B$3:$B$400=$A$15) + ('MTD Pivot'!$A$3:$A$400=$A$15) &gt; 0) * (TRIM('MTD Pivot'!$C$3:$C$400)=TRIM($A23)) * ('MTD Pivot'!$D$2:$K$2=L$2) * 'MTD Pivot'!$D$3:$K$400)&gt;0, SUMPRODUCT((('MTD Pivot'!$B$3:$B$400=$A$15) + ('MTD Pivot'!$A$3:$A$400=$A$15) &gt; 0) * (TRIM('MTD Pivot'!$C$3:$C$400)=TRIM($A23)) * ('MTD Pivot'!$D$2:$K$2=L$2) * 'MTD Pivot'!$D$3:$K$400), "")</f>
        <v/>
      </c>
      <c r="M23" s="193">
        <f>IF(SUMPRODUCT((('MTD Pivot'!$B$3:$B$400=$A$15) + ('MTD Pivot'!$A$3:$A$400=$A$15) &gt; 0) * (TRIM('MTD Pivot'!$C$3:$C$400)=TRIM($A23)) * ('MTD Pivot'!$D$2:$K$2=M$2) * 'MTD Pivot'!$D$3:$K$400)&gt;0, SUMPRODUCT((('MTD Pivot'!$B$3:$B$400=$A$15) + ('MTD Pivot'!$A$3:$A$400=$A$15) &gt; 0) * (TRIM('MTD Pivot'!$C$3:$C$400)=TRIM($A23)) * ('MTD Pivot'!$D$2:$K$2=M$2) * 'MTD Pivot'!$D$3:$K$400), "")</f>
        <v/>
      </c>
      <c r="N23" s="157">
        <f>IF(AND(ISNUMBER(K23), ISNUMBER(J23), J23&gt;0), (K23-J23)/J23, "")</f>
        <v/>
      </c>
      <c r="O23" s="193">
        <f>IF(SUMPRODUCT((('Full month Pivot'!$B$3:$B$400=$A$15) + ('Full month Pivot'!$A$3:$A$400=$A$15) &gt; 0) * (TRIM('Full month Pivot'!$C$3:$C$400)=TRIM($A23)) * ('Full month Pivot'!$D$2:$K$2=O$2) * 'Full month Pivot'!$D$3:$K$400)&gt;0, SUMPRODUCT((('Full month Pivot'!$B$3:$B$400=$A$15) + ('Full month Pivot'!$A$3:$A$400=$A$15) &gt; 0) * (TRIM('Full month Pivot'!$C$3:$C$400)=TRIM($A23)) * ('Full month Pivot'!$D$2:$K$2=O$2) * 'Full month Pivot'!$D$3:$K$400), "")</f>
        <v/>
      </c>
      <c r="P23" s="193">
        <f>IF(SUMPRODUCT((('Full month Pivot'!$B$3:$B$400=$A$15) + ('Full month Pivot'!$A$3:$A$400=$A$15) &gt; 0) * (TRIM('Full month Pivot'!$C$3:$C$400)=TRIM($A23)) * ('Full month Pivot'!$D$2:$K$2=P$2) * 'Full month Pivot'!$D$3:$K$400)&gt;0, SUMPRODUCT((('Full month Pivot'!$B$3:$B$400=$A$15) + ('Full month Pivot'!$A$3:$A$400=$A$15) &gt; 0) * (TRIM('Full month Pivot'!$C$3:$C$400)=TRIM($A23)) * ('Full month Pivot'!$D$2:$K$2=P$2) * 'Full month Pivot'!$D$3:$K$400), "")</f>
        <v/>
      </c>
      <c r="Q23" s="193">
        <f>IF(SUMPRODUCT((('Full month Pivot'!$B$3:$B$400=$A$15) + ('Full month Pivot'!$A$3:$A$400=$A$15) &gt; 0) * (TRIM('Full month Pivot'!$C$3:$C$400)=TRIM($A23)) * ('Full month Pivot'!$D$2:$K$2=Q$2) * 'Full month Pivot'!$D$3:$K$400)&gt;0, SUMPRODUCT((('Full month Pivot'!$B$3:$B$400=$A$15) + ('Full month Pivot'!$A$3:$A$400=$A$15) &gt; 0) * (TRIM('Full month Pivot'!$C$3:$C$400)=TRIM($A23)) * ('Full month Pivot'!$D$2:$K$2=Q$2) * 'Full month Pivot'!$D$3:$K$400), "")</f>
        <v/>
      </c>
      <c r="R23" s="193">
        <f>IF(SUMPRODUCT((('Full month Pivot'!$B$3:$B$400=$A$15) + ('Full month Pivot'!$A$3:$A$400=$A$15) &gt; 0) * (TRIM('Full month Pivot'!$C$3:$C$400)=TRIM($A23)) * ('Full month Pivot'!$D$2:$K$2=R$2) * 'Full month Pivot'!$D$3:$K$400)&gt;0, SUMPRODUCT((('Full month Pivot'!$B$3:$B$400=$A$15) + ('Full month Pivot'!$A$3:$A$400=$A$15) &gt; 0) * (TRIM('Full month Pivot'!$C$3:$C$400)=TRIM($A23)) * ('Full month Pivot'!$D$2:$K$2=R$2) * 'Full month Pivot'!$D$3:$K$400), "")</f>
        <v/>
      </c>
      <c r="S23" s="193">
        <f>IF(SUMPRODUCT((('Full month Pivot'!$B$3:$B$400=$A$15) + ('Full month Pivot'!$A$3:$A$400=$A$15) &gt; 0) * (TRIM('Full month Pivot'!$C$3:$C$400)=TRIM($A23)) * ('Full month Pivot'!$D$2:$K$2=S$2) * 'Full month Pivot'!$D$3:$K$400)&gt;0, SUMPRODUCT((('Full month Pivot'!$B$3:$B$400=$A$15) + ('Full month Pivot'!$A$3:$A$400=$A$15) &gt; 0) * (TRIM('Full month Pivot'!$C$3:$C$400)=TRIM($A23)) * ('Full month Pivot'!$D$2:$K$2=S$2) * 'Full month Pivot'!$D$3:$K$400), "")</f>
        <v/>
      </c>
      <c r="T23" s="193">
        <f>IF(SUMPRODUCT((('Full month Pivot'!$B$3:$B$400=$A$15) + ('Full month Pivot'!$A$3:$A$400=$A$15) &gt; 0) * (TRIM('Full month Pivot'!$C$3:$C$400)=TRIM($A23)) * ('Full month Pivot'!$D$2:$K$2=T$2) * 'Full month Pivot'!$D$3:$K$400)&gt;0, SUMPRODUCT((('Full month Pivot'!$B$3:$B$400=$A$15) + ('Full month Pivot'!$A$3:$A$400=$A$15) &gt; 0) * (TRIM('Full month Pivot'!$C$3:$C$400)=TRIM($A23)) * ('Full month Pivot'!$D$2:$K$2=T$2) * 'Full month Pivot'!$D$3:$K$400), "")</f>
        <v/>
      </c>
      <c r="U23" s="193">
        <f>IF(SUMPRODUCT((('Full month Pivot'!$B$3:$B$400=$A$15) + ('Full month Pivot'!$A$3:$A$400=$A$15) &gt; 0) * (TRIM('Full month Pivot'!$C$3:$C$400)=TRIM($A23)) * ('Full month Pivot'!$D$2:$K$2=U$2) * 'Full month Pivot'!$D$3:$K$400)&gt;0, SUMPRODUCT((('Full month Pivot'!$B$3:$B$400=$A$15) + ('Full month Pivot'!$A$3:$A$400=$A$15) &gt; 0) * (TRIM('Full month Pivot'!$C$3:$C$400)=TRIM($A23)) * ('Full month Pivot'!$D$2:$K$2=U$2) * 'Full month Pivot'!$D$3:$K$400), "")</f>
        <v/>
      </c>
      <c r="V23" s="193">
        <f>IF(SUMPRODUCT((('Full month Pivot'!$B$3:$B$400=$A$15) + ('Full month Pivot'!$A$3:$A$400=$A$15) &gt; 0) * (TRIM('Full month Pivot'!$C$3:$C$400)=TRIM($A23)) * ('Full month Pivot'!$D$2:$K$2=V$2) * 'Full month Pivot'!$D$3:$K$400)&gt;0, SUMPRODUCT((('Full month Pivot'!$B$3:$B$400=$A$15) + ('Full month Pivot'!$A$3:$A$400=$A$15) &gt; 0) * (TRIM('Full month Pivot'!$C$3:$C$400)=TRIM($A23)) * ('Full month Pivot'!$D$2:$K$2=V$2) * 'Full month Pivot'!$D$3:$K$400), "")</f>
        <v/>
      </c>
      <c r="W23" s="193">
        <f>IF(SUMPRODUCT((('Full month Pivot'!$B$3:$B$400=$A$15) + ('Full month Pivot'!$A$3:$A$400=$A$15) &gt; 0) * (TRIM('Full month Pivot'!$C$3:$C$400)=TRIM($A23)) * ('Full month Pivot'!$D$2:$K$2=W$2) * 'Full month Pivot'!$D$3:$K$400)&gt;0, SUMPRODUCT((('Full month Pivot'!$B$3:$B$400=$A$15) + ('Full month Pivot'!$A$3:$A$400=$A$15) &gt; 0) * (TRIM('Full month Pivot'!$C$3:$C$400)=TRIM($A23)) * ('Full month Pivot'!$D$2:$K$2=W$2) * 'Full month Pivot'!$D$3:$K$400), "")</f>
        <v/>
      </c>
      <c r="X23" s="193">
        <f>IF(SUMPRODUCT((('Full month Pivot'!$B$3:$B$400=$A$15) + ('Full month Pivot'!$A$3:$A$400=$A$15) &gt; 0) * (TRIM('Full month Pivot'!$C$3:$C$400)=TRIM($A23)) * ('Full month Pivot'!$D$2:$K$2=X$2) * 'Full month Pivot'!$D$3:$K$400)&gt;0, SUMPRODUCT((('Full month Pivot'!$B$3:$B$400=$A$15) + ('Full month Pivot'!$A$3:$A$400=$A$15) &gt; 0) * (TRIM('Full month Pivot'!$C$3:$C$400)=TRIM($A23)) * ('Full month Pivot'!$D$2:$K$2=X$2) * 'Full month Pivot'!$D$3:$K$400), "")</f>
        <v/>
      </c>
      <c r="Y23" s="193">
        <f>IF(SUMPRODUCT((('Full month Pivot'!$B$3:$B$400=$A$15) + ('Full month Pivot'!$A$3:$A$400=$A$15) &gt; 0) * (TRIM('Full month Pivot'!$C$3:$C$400)=TRIM($A23)) * ('Full month Pivot'!$D$2:$K$2=Y$2) * 'Full month Pivot'!$D$3:$K$400)&gt;0, SUMPRODUCT((('Full month Pivot'!$B$3:$B$400=$A$15) + ('Full month Pivot'!$A$3:$A$400=$A$15) &gt; 0) * (TRIM('Full month Pivot'!$C$3:$C$400)=TRIM($A23)) * ('Full month Pivot'!$D$2:$K$2=Y$2) * 'Full month Pivot'!$D$3:$K$400), "")</f>
        <v/>
      </c>
      <c r="Z23" s="193">
        <f>IF(SUMPRODUCT((('Full month Pivot'!$B$3:$B$400=$A$15) + ('Full month Pivot'!$A$3:$A$400=$A$15) &gt; 0) * (TRIM('Full month Pivot'!$C$3:$C$400)=TRIM($A23)) * ('Full month Pivot'!$D$2:$K$2=Z$2) * 'Full month Pivot'!$D$3:$K$400)&gt;0, SUMPRODUCT((('Full month Pivot'!$B$3:$B$400=$A$15) + ('Full month Pivot'!$A$3:$A$400=$A$15) &gt; 0) * (TRIM('Full month Pivot'!$C$3:$C$400)=TRIM($A23)) * ('Full month Pivot'!$D$2:$K$2=Z$2) * 'Full month Pivot'!$D$3:$K$400), "")</f>
        <v/>
      </c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202" t="inlineStr">
        <is>
          <t xml:space="preserve">  Referral</t>
        </is>
      </c>
      <c r="B24" s="193">
        <f>IF(SUMPRODUCT((('MTD Pivot'!$B$3:$B$400=$A$15) + ('MTD Pivot'!$A$3:$A$400=$A$15) &gt; 0) * (TRIM('MTD Pivot'!$C$3:$C$400)=TRIM($A24)) * ('MTD Pivot'!$D$2:$K$2=B$2) * 'MTD Pivot'!$D$3:$K$400)&gt;0, SUMPRODUCT((('MTD Pivot'!$B$3:$B$400=$A$15) + ('MTD Pivot'!$A$3:$A$400=$A$15) &gt; 0) * (TRIM('MTD Pivot'!$C$3:$C$400)=TRIM($A24)) * ('MTD Pivot'!$D$2:$K$2=B$2) * 'MTD Pivot'!$D$3:$K$400), "")</f>
        <v/>
      </c>
      <c r="C24" s="193">
        <f>IF(SUMPRODUCT((('MTD Pivot'!$B$3:$B$400=$A$15) + ('MTD Pivot'!$A$3:$A$400=$A$15) &gt; 0) * (TRIM('MTD Pivot'!$C$3:$C$400)=TRIM($A24)) * ('MTD Pivot'!$D$2:$K$2=C$2) * 'MTD Pivot'!$D$3:$K$400)&gt;0, SUMPRODUCT((('MTD Pivot'!$B$3:$B$400=$A$15) + ('MTD Pivot'!$A$3:$A$400=$A$15) &gt; 0) * (TRIM('MTD Pivot'!$C$3:$C$400)=TRIM($A24)) * ('MTD Pivot'!$D$2:$K$2=C$2) * 'MTD Pivot'!$D$3:$K$400), "")</f>
        <v/>
      </c>
      <c r="D24" s="193">
        <f>IF(SUMPRODUCT((('MTD Pivot'!$B$3:$B$400=$A$15) + ('MTD Pivot'!$A$3:$A$400=$A$15) &gt; 0) * (TRIM('MTD Pivot'!$C$3:$C$400)=TRIM($A24)) * ('MTD Pivot'!$D$2:$K$2=D$2) * 'MTD Pivot'!$D$3:$K$400)&gt;0, SUMPRODUCT((('MTD Pivot'!$B$3:$B$400=$A$15) + ('MTD Pivot'!$A$3:$A$400=$A$15) &gt; 0) * (TRIM('MTD Pivot'!$C$3:$C$400)=TRIM($A24)) * ('MTD Pivot'!$D$2:$K$2=D$2) * 'MTD Pivot'!$D$3:$K$400), "")</f>
        <v/>
      </c>
      <c r="E24" s="193">
        <f>IF(SUMPRODUCT((('MTD Pivot'!$B$3:$B$400=$A$15) + ('MTD Pivot'!$A$3:$A$400=$A$15) &gt; 0) * (TRIM('MTD Pivot'!$C$3:$C$400)=TRIM($A24)) * ('MTD Pivot'!$D$2:$K$2=E$2) * 'MTD Pivot'!$D$3:$K$400)&gt;0, SUMPRODUCT((('MTD Pivot'!$B$3:$B$400=$A$15) + ('MTD Pivot'!$A$3:$A$400=$A$15) &gt; 0) * (TRIM('MTD Pivot'!$C$3:$C$400)=TRIM($A24)) * ('MTD Pivot'!$D$2:$K$2=E$2) * 'MTD Pivot'!$D$3:$K$400), "")</f>
        <v/>
      </c>
      <c r="F24" s="193">
        <f>IF(SUMPRODUCT((('MTD Pivot'!$B$3:$B$400=$A$15) + ('MTD Pivot'!$A$3:$A$400=$A$15) &gt; 0) * (TRIM('MTD Pivot'!$C$3:$C$400)=TRIM($A24)) * ('MTD Pivot'!$D$2:$K$2=F$2) * 'MTD Pivot'!$D$3:$K$400)&gt;0, SUMPRODUCT((('MTD Pivot'!$B$3:$B$400=$A$15) + ('MTD Pivot'!$A$3:$A$400=$A$15) &gt; 0) * (TRIM('MTD Pivot'!$C$3:$C$400)=TRIM($A24)) * ('MTD Pivot'!$D$2:$K$2=F$2) * 'MTD Pivot'!$D$3:$K$400), "")</f>
        <v/>
      </c>
      <c r="G24" s="193">
        <f>IF(SUMPRODUCT((('MTD Pivot'!$B$3:$B$400=$A$15) + ('MTD Pivot'!$A$3:$A$400=$A$15) &gt; 0) * (TRIM('MTD Pivot'!$C$3:$C$400)=TRIM($A24)) * ('MTD Pivot'!$D$2:$K$2=G$2) * 'MTD Pivot'!$D$3:$K$400)&gt;0, SUMPRODUCT((('MTD Pivot'!$B$3:$B$400=$A$15) + ('MTD Pivot'!$A$3:$A$400=$A$15) &gt; 0) * (TRIM('MTD Pivot'!$C$3:$C$400)=TRIM($A24)) * ('MTD Pivot'!$D$2:$K$2=G$2) * 'MTD Pivot'!$D$3:$K$400), "")</f>
        <v/>
      </c>
      <c r="H24" s="193">
        <f>IF(SUMPRODUCT((('MTD Pivot'!$B$3:$B$400=$A$15) + ('MTD Pivot'!$A$3:$A$400=$A$15) &gt; 0) * (TRIM('MTD Pivot'!$C$3:$C$400)=TRIM($A24)) * ('MTD Pivot'!$D$2:$K$2=H$2) * 'MTD Pivot'!$D$3:$K$400)&gt;0, SUMPRODUCT((('MTD Pivot'!$B$3:$B$400=$A$15) + ('MTD Pivot'!$A$3:$A$400=$A$15) &gt; 0) * (TRIM('MTD Pivot'!$C$3:$C$400)=TRIM($A24)) * ('MTD Pivot'!$D$2:$K$2=H$2) * 'MTD Pivot'!$D$3:$K$400), "")</f>
        <v/>
      </c>
      <c r="I24" s="193">
        <f>IF(SUMPRODUCT((('MTD Pivot'!$B$3:$B$400=$A$15) + ('MTD Pivot'!$A$3:$A$400=$A$15) &gt; 0) * (TRIM('MTD Pivot'!$C$3:$C$400)=TRIM($A24)) * ('MTD Pivot'!$D$2:$K$2=I$2) * 'MTD Pivot'!$D$3:$K$400)&gt;0, SUMPRODUCT((('MTD Pivot'!$B$3:$B$400=$A$15) + ('MTD Pivot'!$A$3:$A$400=$A$15) &gt; 0) * (TRIM('MTD Pivot'!$C$3:$C$400)=TRIM($A24)) * ('MTD Pivot'!$D$2:$K$2=I$2) * 'MTD Pivot'!$D$3:$K$400), "")</f>
        <v/>
      </c>
      <c r="J24" s="193">
        <f>IF(SUMPRODUCT((('MTD Pivot'!$B$3:$B$400=$A$15) + ('MTD Pivot'!$A$3:$A$400=$A$15) &gt; 0) * (TRIM('MTD Pivot'!$C$3:$C$400)=TRIM($A24)) * ('MTD Pivot'!$D$2:$K$2=J$2) * 'MTD Pivot'!$D$3:$K$400)&gt;0, SUMPRODUCT((('MTD Pivot'!$B$3:$B$400=$A$15) + ('MTD Pivot'!$A$3:$A$400=$A$15) &gt; 0) * (TRIM('MTD Pivot'!$C$3:$C$400)=TRIM($A24)) * ('MTD Pivot'!$D$2:$K$2=J$2) * 'MTD Pivot'!$D$3:$K$400), "")</f>
        <v/>
      </c>
      <c r="K24" s="193">
        <f>IF(SUMPRODUCT((('MTD Pivot'!$B$3:$B$400=$A$15) + ('MTD Pivot'!$A$3:$A$400=$A$15) &gt; 0) * (TRIM('MTD Pivot'!$C$3:$C$400)=TRIM($A24)) * ('MTD Pivot'!$D$2:$K$2=K$2) * 'MTD Pivot'!$D$3:$K$400)&gt;0, SUMPRODUCT((('MTD Pivot'!$B$3:$B$400=$A$15) + ('MTD Pivot'!$A$3:$A$400=$A$15) &gt; 0) * (TRIM('MTD Pivot'!$C$3:$C$400)=TRIM($A24)) * ('MTD Pivot'!$D$2:$K$2=K$2) * 'MTD Pivot'!$D$3:$K$400), "")</f>
        <v/>
      </c>
      <c r="L24" s="193">
        <f>IF(SUMPRODUCT((('MTD Pivot'!$B$3:$B$400=$A$15) + ('MTD Pivot'!$A$3:$A$400=$A$15) &gt; 0) * (TRIM('MTD Pivot'!$C$3:$C$400)=TRIM($A24)) * ('MTD Pivot'!$D$2:$K$2=L$2) * 'MTD Pivot'!$D$3:$K$400)&gt;0, SUMPRODUCT((('MTD Pivot'!$B$3:$B$400=$A$15) + ('MTD Pivot'!$A$3:$A$400=$A$15) &gt; 0) * (TRIM('MTD Pivot'!$C$3:$C$400)=TRIM($A24)) * ('MTD Pivot'!$D$2:$K$2=L$2) * 'MTD Pivot'!$D$3:$K$400), "")</f>
        <v/>
      </c>
      <c r="M24" s="193">
        <f>IF(SUMPRODUCT((('MTD Pivot'!$B$3:$B$400=$A$15) + ('MTD Pivot'!$A$3:$A$400=$A$15) &gt; 0) * (TRIM('MTD Pivot'!$C$3:$C$400)=TRIM($A24)) * ('MTD Pivot'!$D$2:$K$2=M$2) * 'MTD Pivot'!$D$3:$K$400)&gt;0, SUMPRODUCT((('MTD Pivot'!$B$3:$B$400=$A$15) + ('MTD Pivot'!$A$3:$A$400=$A$15) &gt; 0) * (TRIM('MTD Pivot'!$C$3:$C$400)=TRIM($A24)) * ('MTD Pivot'!$D$2:$K$2=M$2) * 'MTD Pivot'!$D$3:$K$400), "")</f>
        <v/>
      </c>
      <c r="N24" s="157">
        <f>IF(AND(ISNUMBER(K24), ISNUMBER(J24), J24&gt;0), (K24-J24)/J24, "")</f>
        <v/>
      </c>
      <c r="O24" s="193">
        <f>IF(SUMPRODUCT((('Full month Pivot'!$B$3:$B$400=$A$15) + ('Full month Pivot'!$A$3:$A$400=$A$15) &gt; 0) * (TRIM('Full month Pivot'!$C$3:$C$400)=TRIM($A24)) * ('Full month Pivot'!$D$2:$K$2=O$2) * 'Full month Pivot'!$D$3:$K$400)&gt;0, SUMPRODUCT((('Full month Pivot'!$B$3:$B$400=$A$15) + ('Full month Pivot'!$A$3:$A$400=$A$15) &gt; 0) * (TRIM('Full month Pivot'!$C$3:$C$400)=TRIM($A24)) * ('Full month Pivot'!$D$2:$K$2=O$2) * 'Full month Pivot'!$D$3:$K$400), "")</f>
        <v/>
      </c>
      <c r="P24" s="193">
        <f>IF(SUMPRODUCT((('Full month Pivot'!$B$3:$B$400=$A$15) + ('Full month Pivot'!$A$3:$A$400=$A$15) &gt; 0) * (TRIM('Full month Pivot'!$C$3:$C$400)=TRIM($A24)) * ('Full month Pivot'!$D$2:$K$2=P$2) * 'Full month Pivot'!$D$3:$K$400)&gt;0, SUMPRODUCT((('Full month Pivot'!$B$3:$B$400=$A$15) + ('Full month Pivot'!$A$3:$A$400=$A$15) &gt; 0) * (TRIM('Full month Pivot'!$C$3:$C$400)=TRIM($A24)) * ('Full month Pivot'!$D$2:$K$2=P$2) * 'Full month Pivot'!$D$3:$K$400), "")</f>
        <v/>
      </c>
      <c r="Q24" s="193">
        <f>IF(SUMPRODUCT((('Full month Pivot'!$B$3:$B$400=$A$15) + ('Full month Pivot'!$A$3:$A$400=$A$15) &gt; 0) * (TRIM('Full month Pivot'!$C$3:$C$400)=TRIM($A24)) * ('Full month Pivot'!$D$2:$K$2=Q$2) * 'Full month Pivot'!$D$3:$K$400)&gt;0, SUMPRODUCT((('Full month Pivot'!$B$3:$B$400=$A$15) + ('Full month Pivot'!$A$3:$A$400=$A$15) &gt; 0) * (TRIM('Full month Pivot'!$C$3:$C$400)=TRIM($A24)) * ('Full month Pivot'!$D$2:$K$2=Q$2) * 'Full month Pivot'!$D$3:$K$400), "")</f>
        <v/>
      </c>
      <c r="R24" s="193">
        <f>IF(SUMPRODUCT((('Full month Pivot'!$B$3:$B$400=$A$15) + ('Full month Pivot'!$A$3:$A$400=$A$15) &gt; 0) * (TRIM('Full month Pivot'!$C$3:$C$400)=TRIM($A24)) * ('Full month Pivot'!$D$2:$K$2=R$2) * 'Full month Pivot'!$D$3:$K$400)&gt;0, SUMPRODUCT((('Full month Pivot'!$B$3:$B$400=$A$15) + ('Full month Pivot'!$A$3:$A$400=$A$15) &gt; 0) * (TRIM('Full month Pivot'!$C$3:$C$400)=TRIM($A24)) * ('Full month Pivot'!$D$2:$K$2=R$2) * 'Full month Pivot'!$D$3:$K$400), "")</f>
        <v/>
      </c>
      <c r="S24" s="193">
        <f>IF(SUMPRODUCT((('Full month Pivot'!$B$3:$B$400=$A$15) + ('Full month Pivot'!$A$3:$A$400=$A$15) &gt; 0) * (TRIM('Full month Pivot'!$C$3:$C$400)=TRIM($A24)) * ('Full month Pivot'!$D$2:$K$2=S$2) * 'Full month Pivot'!$D$3:$K$400)&gt;0, SUMPRODUCT((('Full month Pivot'!$B$3:$B$400=$A$15) + ('Full month Pivot'!$A$3:$A$400=$A$15) &gt; 0) * (TRIM('Full month Pivot'!$C$3:$C$400)=TRIM($A24)) * ('Full month Pivot'!$D$2:$K$2=S$2) * 'Full month Pivot'!$D$3:$K$400), "")</f>
        <v/>
      </c>
      <c r="T24" s="193">
        <f>IF(SUMPRODUCT((('Full month Pivot'!$B$3:$B$400=$A$15) + ('Full month Pivot'!$A$3:$A$400=$A$15) &gt; 0) * (TRIM('Full month Pivot'!$C$3:$C$400)=TRIM($A24)) * ('Full month Pivot'!$D$2:$K$2=T$2) * 'Full month Pivot'!$D$3:$K$400)&gt;0, SUMPRODUCT((('Full month Pivot'!$B$3:$B$400=$A$15) + ('Full month Pivot'!$A$3:$A$400=$A$15) &gt; 0) * (TRIM('Full month Pivot'!$C$3:$C$400)=TRIM($A24)) * ('Full month Pivot'!$D$2:$K$2=T$2) * 'Full month Pivot'!$D$3:$K$400), "")</f>
        <v/>
      </c>
      <c r="U24" s="193">
        <f>IF(SUMPRODUCT((('Full month Pivot'!$B$3:$B$400=$A$15) + ('Full month Pivot'!$A$3:$A$400=$A$15) &gt; 0) * (TRIM('Full month Pivot'!$C$3:$C$400)=TRIM($A24)) * ('Full month Pivot'!$D$2:$K$2=U$2) * 'Full month Pivot'!$D$3:$K$400)&gt;0, SUMPRODUCT((('Full month Pivot'!$B$3:$B$400=$A$15) + ('Full month Pivot'!$A$3:$A$400=$A$15) &gt; 0) * (TRIM('Full month Pivot'!$C$3:$C$400)=TRIM($A24)) * ('Full month Pivot'!$D$2:$K$2=U$2) * 'Full month Pivot'!$D$3:$K$400), "")</f>
        <v/>
      </c>
      <c r="V24" s="193">
        <f>IF(SUMPRODUCT((('Full month Pivot'!$B$3:$B$400=$A$15) + ('Full month Pivot'!$A$3:$A$400=$A$15) &gt; 0) * (TRIM('Full month Pivot'!$C$3:$C$400)=TRIM($A24)) * ('Full month Pivot'!$D$2:$K$2=V$2) * 'Full month Pivot'!$D$3:$K$400)&gt;0, SUMPRODUCT((('Full month Pivot'!$B$3:$B$400=$A$15) + ('Full month Pivot'!$A$3:$A$400=$A$15) &gt; 0) * (TRIM('Full month Pivot'!$C$3:$C$400)=TRIM($A24)) * ('Full month Pivot'!$D$2:$K$2=V$2) * 'Full month Pivot'!$D$3:$K$400), "")</f>
        <v/>
      </c>
      <c r="W24" s="193">
        <f>IF(SUMPRODUCT((('Full month Pivot'!$B$3:$B$400=$A$15) + ('Full month Pivot'!$A$3:$A$400=$A$15) &gt; 0) * (TRIM('Full month Pivot'!$C$3:$C$400)=TRIM($A24)) * ('Full month Pivot'!$D$2:$K$2=W$2) * 'Full month Pivot'!$D$3:$K$400)&gt;0, SUMPRODUCT((('Full month Pivot'!$B$3:$B$400=$A$15) + ('Full month Pivot'!$A$3:$A$400=$A$15) &gt; 0) * (TRIM('Full month Pivot'!$C$3:$C$400)=TRIM($A24)) * ('Full month Pivot'!$D$2:$K$2=W$2) * 'Full month Pivot'!$D$3:$K$400), "")</f>
        <v/>
      </c>
      <c r="X24" s="193">
        <f>IF(SUMPRODUCT((('Full month Pivot'!$B$3:$B$400=$A$15) + ('Full month Pivot'!$A$3:$A$400=$A$15) &gt; 0) * (TRIM('Full month Pivot'!$C$3:$C$400)=TRIM($A24)) * ('Full month Pivot'!$D$2:$K$2=X$2) * 'Full month Pivot'!$D$3:$K$400)&gt;0, SUMPRODUCT((('Full month Pivot'!$B$3:$B$400=$A$15) + ('Full month Pivot'!$A$3:$A$400=$A$15) &gt; 0) * (TRIM('Full month Pivot'!$C$3:$C$400)=TRIM($A24)) * ('Full month Pivot'!$D$2:$K$2=X$2) * 'Full month Pivot'!$D$3:$K$400), "")</f>
        <v/>
      </c>
      <c r="Y24" s="193">
        <f>IF(SUMPRODUCT((('Full month Pivot'!$B$3:$B$400=$A$15) + ('Full month Pivot'!$A$3:$A$400=$A$15) &gt; 0) * (TRIM('Full month Pivot'!$C$3:$C$400)=TRIM($A24)) * ('Full month Pivot'!$D$2:$K$2=Y$2) * 'Full month Pivot'!$D$3:$K$400)&gt;0, SUMPRODUCT((('Full month Pivot'!$B$3:$B$400=$A$15) + ('Full month Pivot'!$A$3:$A$400=$A$15) &gt; 0) * (TRIM('Full month Pivot'!$C$3:$C$400)=TRIM($A24)) * ('Full month Pivot'!$D$2:$K$2=Y$2) * 'Full month Pivot'!$D$3:$K$400), "")</f>
        <v/>
      </c>
      <c r="Z24" s="193">
        <f>IF(SUMPRODUCT((('Full month Pivot'!$B$3:$B$400=$A$15) + ('Full month Pivot'!$A$3:$A$400=$A$15) &gt; 0) * (TRIM('Full month Pivot'!$C$3:$C$400)=TRIM($A24)) * ('Full month Pivot'!$D$2:$K$2=Z$2) * 'Full month Pivot'!$D$3:$K$400)&gt;0, SUMPRODUCT((('Full month Pivot'!$B$3:$B$400=$A$15) + ('Full month Pivot'!$A$3:$A$400=$A$15) &gt; 0) * (TRIM('Full month Pivot'!$C$3:$C$400)=TRIM($A24)) * ('Full month Pivot'!$D$2:$K$2=Z$2) * 'Full month Pivot'!$D$3:$K$400), "")</f>
        <v/>
      </c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202" t="inlineStr">
        <is>
          <t xml:space="preserve">  Others</t>
        </is>
      </c>
      <c r="B25" s="193">
        <f>IF(SUMPRODUCT((('MTD Pivot'!$B$3:$B$400=$A$15) + ('MTD Pivot'!$A$3:$A$400=$A$15) &gt; 0) * (TRIM('MTD Pivot'!$C$3:$C$400)=TRIM($A25)) * ('MTD Pivot'!$D$2:$K$2=B$2) * 'MTD Pivot'!$D$3:$K$400)&gt;0, SUMPRODUCT((('MTD Pivot'!$B$3:$B$400=$A$15) + ('MTD Pivot'!$A$3:$A$400=$A$15) &gt; 0) * (TRIM('MTD Pivot'!$C$3:$C$400)=TRIM($A25)) * ('MTD Pivot'!$D$2:$K$2=B$2) * 'MTD Pivot'!$D$3:$K$400), "")</f>
        <v/>
      </c>
      <c r="C25" s="193">
        <f>IF(SUMPRODUCT((('MTD Pivot'!$B$3:$B$400=$A$15) + ('MTD Pivot'!$A$3:$A$400=$A$15) &gt; 0) * (TRIM('MTD Pivot'!$C$3:$C$400)=TRIM($A25)) * ('MTD Pivot'!$D$2:$K$2=C$2) * 'MTD Pivot'!$D$3:$K$400)&gt;0, SUMPRODUCT((('MTD Pivot'!$B$3:$B$400=$A$15) + ('MTD Pivot'!$A$3:$A$400=$A$15) &gt; 0) * (TRIM('MTD Pivot'!$C$3:$C$400)=TRIM($A25)) * ('MTD Pivot'!$D$2:$K$2=C$2) * 'MTD Pivot'!$D$3:$K$400), "")</f>
        <v/>
      </c>
      <c r="D25" s="193">
        <f>IF(SUMPRODUCT((('MTD Pivot'!$B$3:$B$400=$A$15) + ('MTD Pivot'!$A$3:$A$400=$A$15) &gt; 0) * (TRIM('MTD Pivot'!$C$3:$C$400)=TRIM($A25)) * ('MTD Pivot'!$D$2:$K$2=D$2) * 'MTD Pivot'!$D$3:$K$400)&gt;0, SUMPRODUCT((('MTD Pivot'!$B$3:$B$400=$A$15) + ('MTD Pivot'!$A$3:$A$400=$A$15) &gt; 0) * (TRIM('MTD Pivot'!$C$3:$C$400)=TRIM($A25)) * ('MTD Pivot'!$D$2:$K$2=D$2) * 'MTD Pivot'!$D$3:$K$400), "")</f>
        <v/>
      </c>
      <c r="E25" s="193">
        <f>IF(SUMPRODUCT((('MTD Pivot'!$B$3:$B$400=$A$15) + ('MTD Pivot'!$A$3:$A$400=$A$15) &gt; 0) * (TRIM('MTD Pivot'!$C$3:$C$400)=TRIM($A25)) * ('MTD Pivot'!$D$2:$K$2=E$2) * 'MTD Pivot'!$D$3:$K$400)&gt;0, SUMPRODUCT((('MTD Pivot'!$B$3:$B$400=$A$15) + ('MTD Pivot'!$A$3:$A$400=$A$15) &gt; 0) * (TRIM('MTD Pivot'!$C$3:$C$400)=TRIM($A25)) * ('MTD Pivot'!$D$2:$K$2=E$2) * 'MTD Pivot'!$D$3:$K$400), "")</f>
        <v/>
      </c>
      <c r="F25" s="193">
        <f>IF(SUMPRODUCT((('MTD Pivot'!$B$3:$B$400=$A$15) + ('MTD Pivot'!$A$3:$A$400=$A$15) &gt; 0) * (TRIM('MTD Pivot'!$C$3:$C$400)=TRIM($A25)) * ('MTD Pivot'!$D$2:$K$2=F$2) * 'MTD Pivot'!$D$3:$K$400)&gt;0, SUMPRODUCT((('MTD Pivot'!$B$3:$B$400=$A$15) + ('MTD Pivot'!$A$3:$A$400=$A$15) &gt; 0) * (TRIM('MTD Pivot'!$C$3:$C$400)=TRIM($A25)) * ('MTD Pivot'!$D$2:$K$2=F$2) * 'MTD Pivot'!$D$3:$K$400), "")</f>
        <v/>
      </c>
      <c r="G25" s="193">
        <f>IF(SUMPRODUCT((('MTD Pivot'!$B$3:$B$400=$A$15) + ('MTD Pivot'!$A$3:$A$400=$A$15) &gt; 0) * (TRIM('MTD Pivot'!$C$3:$C$400)=TRIM($A25)) * ('MTD Pivot'!$D$2:$K$2=G$2) * 'MTD Pivot'!$D$3:$K$400)&gt;0, SUMPRODUCT((('MTD Pivot'!$B$3:$B$400=$A$15) + ('MTD Pivot'!$A$3:$A$400=$A$15) &gt; 0) * (TRIM('MTD Pivot'!$C$3:$C$400)=TRIM($A25)) * ('MTD Pivot'!$D$2:$K$2=G$2) * 'MTD Pivot'!$D$3:$K$400), "")</f>
        <v/>
      </c>
      <c r="H25" s="193">
        <f>IF(SUMPRODUCT((('MTD Pivot'!$B$3:$B$400=$A$15) + ('MTD Pivot'!$A$3:$A$400=$A$15) &gt; 0) * (TRIM('MTD Pivot'!$C$3:$C$400)=TRIM($A25)) * ('MTD Pivot'!$D$2:$K$2=H$2) * 'MTD Pivot'!$D$3:$K$400)&gt;0, SUMPRODUCT((('MTD Pivot'!$B$3:$B$400=$A$15) + ('MTD Pivot'!$A$3:$A$400=$A$15) &gt; 0) * (TRIM('MTD Pivot'!$C$3:$C$400)=TRIM($A25)) * ('MTD Pivot'!$D$2:$K$2=H$2) * 'MTD Pivot'!$D$3:$K$400), "")</f>
        <v/>
      </c>
      <c r="I25" s="193">
        <f>IF(SUMPRODUCT((('MTD Pivot'!$B$3:$B$400=$A$15) + ('MTD Pivot'!$A$3:$A$400=$A$15) &gt; 0) * (TRIM('MTD Pivot'!$C$3:$C$400)=TRIM($A25)) * ('MTD Pivot'!$D$2:$K$2=I$2) * 'MTD Pivot'!$D$3:$K$400)&gt;0, SUMPRODUCT((('MTD Pivot'!$B$3:$B$400=$A$15) + ('MTD Pivot'!$A$3:$A$400=$A$15) &gt; 0) * (TRIM('MTD Pivot'!$C$3:$C$400)=TRIM($A25)) * ('MTD Pivot'!$D$2:$K$2=I$2) * 'MTD Pivot'!$D$3:$K$400), "")</f>
        <v/>
      </c>
      <c r="J25" s="193">
        <f>IF(SUMPRODUCT((('MTD Pivot'!$B$3:$B$400=$A$15) + ('MTD Pivot'!$A$3:$A$400=$A$15) &gt; 0) * (TRIM('MTD Pivot'!$C$3:$C$400)=TRIM($A25)) * ('MTD Pivot'!$D$2:$K$2=J$2) * 'MTD Pivot'!$D$3:$K$400)&gt;0, SUMPRODUCT((('MTD Pivot'!$B$3:$B$400=$A$15) + ('MTD Pivot'!$A$3:$A$400=$A$15) &gt; 0) * (TRIM('MTD Pivot'!$C$3:$C$400)=TRIM($A25)) * ('MTD Pivot'!$D$2:$K$2=J$2) * 'MTD Pivot'!$D$3:$K$400), "")</f>
        <v/>
      </c>
      <c r="K25" s="193">
        <f>IF(SUMPRODUCT((('MTD Pivot'!$B$3:$B$400=$A$15) + ('MTD Pivot'!$A$3:$A$400=$A$15) &gt; 0) * (TRIM('MTD Pivot'!$C$3:$C$400)=TRIM($A25)) * ('MTD Pivot'!$D$2:$K$2=K$2) * 'MTD Pivot'!$D$3:$K$400)&gt;0, SUMPRODUCT((('MTD Pivot'!$B$3:$B$400=$A$15) + ('MTD Pivot'!$A$3:$A$400=$A$15) &gt; 0) * (TRIM('MTD Pivot'!$C$3:$C$400)=TRIM($A25)) * ('MTD Pivot'!$D$2:$K$2=K$2) * 'MTD Pivot'!$D$3:$K$400), "")</f>
        <v/>
      </c>
      <c r="L25" s="193">
        <f>IF(SUMPRODUCT((('MTD Pivot'!$B$3:$B$400=$A$15) + ('MTD Pivot'!$A$3:$A$400=$A$15) &gt; 0) * (TRIM('MTD Pivot'!$C$3:$C$400)=TRIM($A25)) * ('MTD Pivot'!$D$2:$K$2=L$2) * 'MTD Pivot'!$D$3:$K$400)&gt;0, SUMPRODUCT((('MTD Pivot'!$B$3:$B$400=$A$15) + ('MTD Pivot'!$A$3:$A$400=$A$15) &gt; 0) * (TRIM('MTD Pivot'!$C$3:$C$400)=TRIM($A25)) * ('MTD Pivot'!$D$2:$K$2=L$2) * 'MTD Pivot'!$D$3:$K$400), "")</f>
        <v/>
      </c>
      <c r="M25" s="193">
        <f>IF(SUMPRODUCT((('MTD Pivot'!$B$3:$B$400=$A$15) + ('MTD Pivot'!$A$3:$A$400=$A$15) &gt; 0) * (TRIM('MTD Pivot'!$C$3:$C$400)=TRIM($A25)) * ('MTD Pivot'!$D$2:$K$2=M$2) * 'MTD Pivot'!$D$3:$K$400)&gt;0, SUMPRODUCT((('MTD Pivot'!$B$3:$B$400=$A$15) + ('MTD Pivot'!$A$3:$A$400=$A$15) &gt; 0) * (TRIM('MTD Pivot'!$C$3:$C$400)=TRIM($A25)) * ('MTD Pivot'!$D$2:$K$2=M$2) * 'MTD Pivot'!$D$3:$K$400), "")</f>
        <v/>
      </c>
      <c r="N25" s="157">
        <f>IF(AND(ISNUMBER(K25), ISNUMBER(J25), J25&gt;0), (K25-J25)/J25, "")</f>
        <v/>
      </c>
      <c r="O25" s="193">
        <f>IF(SUMPRODUCT((('Full month Pivot'!$B$3:$B$400=$A$15) + ('Full month Pivot'!$A$3:$A$400=$A$15) &gt; 0) * (TRIM('Full month Pivot'!$C$3:$C$400)=TRIM($A25)) * ('Full month Pivot'!$D$2:$K$2=O$2) * 'Full month Pivot'!$D$3:$K$400)&gt;0, SUMPRODUCT((('Full month Pivot'!$B$3:$B$400=$A$15) + ('Full month Pivot'!$A$3:$A$400=$A$15) &gt; 0) * (TRIM('Full month Pivot'!$C$3:$C$400)=TRIM($A25)) * ('Full month Pivot'!$D$2:$K$2=O$2) * 'Full month Pivot'!$D$3:$K$400), "")</f>
        <v/>
      </c>
      <c r="P25" s="193">
        <f>IF(SUMPRODUCT((('Full month Pivot'!$B$3:$B$400=$A$15) + ('Full month Pivot'!$A$3:$A$400=$A$15) &gt; 0) * (TRIM('Full month Pivot'!$C$3:$C$400)=TRIM($A25)) * ('Full month Pivot'!$D$2:$K$2=P$2) * 'Full month Pivot'!$D$3:$K$400)&gt;0, SUMPRODUCT((('Full month Pivot'!$B$3:$B$400=$A$15) + ('Full month Pivot'!$A$3:$A$400=$A$15) &gt; 0) * (TRIM('Full month Pivot'!$C$3:$C$400)=TRIM($A25)) * ('Full month Pivot'!$D$2:$K$2=P$2) * 'Full month Pivot'!$D$3:$K$400), "")</f>
        <v/>
      </c>
      <c r="Q25" s="193">
        <f>IF(SUMPRODUCT((('Full month Pivot'!$B$3:$B$400=$A$15) + ('Full month Pivot'!$A$3:$A$400=$A$15) &gt; 0) * (TRIM('Full month Pivot'!$C$3:$C$400)=TRIM($A25)) * ('Full month Pivot'!$D$2:$K$2=Q$2) * 'Full month Pivot'!$D$3:$K$400)&gt;0, SUMPRODUCT((('Full month Pivot'!$B$3:$B$400=$A$15) + ('Full month Pivot'!$A$3:$A$400=$A$15) &gt; 0) * (TRIM('Full month Pivot'!$C$3:$C$400)=TRIM($A25)) * ('Full month Pivot'!$D$2:$K$2=Q$2) * 'Full month Pivot'!$D$3:$K$400), "")</f>
        <v/>
      </c>
      <c r="R25" s="193">
        <f>IF(SUMPRODUCT((('Full month Pivot'!$B$3:$B$400=$A$15) + ('Full month Pivot'!$A$3:$A$400=$A$15) &gt; 0) * (TRIM('Full month Pivot'!$C$3:$C$400)=TRIM($A25)) * ('Full month Pivot'!$D$2:$K$2=R$2) * 'Full month Pivot'!$D$3:$K$400)&gt;0, SUMPRODUCT((('Full month Pivot'!$B$3:$B$400=$A$15) + ('Full month Pivot'!$A$3:$A$400=$A$15) &gt; 0) * (TRIM('Full month Pivot'!$C$3:$C$400)=TRIM($A25)) * ('Full month Pivot'!$D$2:$K$2=R$2) * 'Full month Pivot'!$D$3:$K$400), "")</f>
        <v/>
      </c>
      <c r="S25" s="193">
        <f>IF(SUMPRODUCT((('Full month Pivot'!$B$3:$B$400=$A$15) + ('Full month Pivot'!$A$3:$A$400=$A$15) &gt; 0) * (TRIM('Full month Pivot'!$C$3:$C$400)=TRIM($A25)) * ('Full month Pivot'!$D$2:$K$2=S$2) * 'Full month Pivot'!$D$3:$K$400)&gt;0, SUMPRODUCT((('Full month Pivot'!$B$3:$B$400=$A$15) + ('Full month Pivot'!$A$3:$A$400=$A$15) &gt; 0) * (TRIM('Full month Pivot'!$C$3:$C$400)=TRIM($A25)) * ('Full month Pivot'!$D$2:$K$2=S$2) * 'Full month Pivot'!$D$3:$K$400), "")</f>
        <v/>
      </c>
      <c r="T25" s="193">
        <f>IF(SUMPRODUCT((('Full month Pivot'!$B$3:$B$400=$A$15) + ('Full month Pivot'!$A$3:$A$400=$A$15) &gt; 0) * (TRIM('Full month Pivot'!$C$3:$C$400)=TRIM($A25)) * ('Full month Pivot'!$D$2:$K$2=T$2) * 'Full month Pivot'!$D$3:$K$400)&gt;0, SUMPRODUCT((('Full month Pivot'!$B$3:$B$400=$A$15) + ('Full month Pivot'!$A$3:$A$400=$A$15) &gt; 0) * (TRIM('Full month Pivot'!$C$3:$C$400)=TRIM($A25)) * ('Full month Pivot'!$D$2:$K$2=T$2) * 'Full month Pivot'!$D$3:$K$400), "")</f>
        <v/>
      </c>
      <c r="U25" s="193">
        <f>IF(SUMPRODUCT((('Full month Pivot'!$B$3:$B$400=$A$15) + ('Full month Pivot'!$A$3:$A$400=$A$15) &gt; 0) * (TRIM('Full month Pivot'!$C$3:$C$400)=TRIM($A25)) * ('Full month Pivot'!$D$2:$K$2=U$2) * 'Full month Pivot'!$D$3:$K$400)&gt;0, SUMPRODUCT((('Full month Pivot'!$B$3:$B$400=$A$15) + ('Full month Pivot'!$A$3:$A$400=$A$15) &gt; 0) * (TRIM('Full month Pivot'!$C$3:$C$400)=TRIM($A25)) * ('Full month Pivot'!$D$2:$K$2=U$2) * 'Full month Pivot'!$D$3:$K$400), "")</f>
        <v/>
      </c>
      <c r="V25" s="193">
        <f>IF(SUMPRODUCT((('Full month Pivot'!$B$3:$B$400=$A$15) + ('Full month Pivot'!$A$3:$A$400=$A$15) &gt; 0) * (TRIM('Full month Pivot'!$C$3:$C$400)=TRIM($A25)) * ('Full month Pivot'!$D$2:$K$2=V$2) * 'Full month Pivot'!$D$3:$K$400)&gt;0, SUMPRODUCT((('Full month Pivot'!$B$3:$B$400=$A$15) + ('Full month Pivot'!$A$3:$A$400=$A$15) &gt; 0) * (TRIM('Full month Pivot'!$C$3:$C$400)=TRIM($A25)) * ('Full month Pivot'!$D$2:$K$2=V$2) * 'Full month Pivot'!$D$3:$K$400), "")</f>
        <v/>
      </c>
      <c r="W25" s="193">
        <f>IF(SUMPRODUCT((('Full month Pivot'!$B$3:$B$400=$A$15) + ('Full month Pivot'!$A$3:$A$400=$A$15) &gt; 0) * (TRIM('Full month Pivot'!$C$3:$C$400)=TRIM($A25)) * ('Full month Pivot'!$D$2:$K$2=W$2) * 'Full month Pivot'!$D$3:$K$400)&gt;0, SUMPRODUCT((('Full month Pivot'!$B$3:$B$400=$A$15) + ('Full month Pivot'!$A$3:$A$400=$A$15) &gt; 0) * (TRIM('Full month Pivot'!$C$3:$C$400)=TRIM($A25)) * ('Full month Pivot'!$D$2:$K$2=W$2) * 'Full month Pivot'!$D$3:$K$400), "")</f>
        <v/>
      </c>
      <c r="X25" s="193">
        <f>IF(SUMPRODUCT((('Full month Pivot'!$B$3:$B$400=$A$15) + ('Full month Pivot'!$A$3:$A$400=$A$15) &gt; 0) * (TRIM('Full month Pivot'!$C$3:$C$400)=TRIM($A25)) * ('Full month Pivot'!$D$2:$K$2=X$2) * 'Full month Pivot'!$D$3:$K$400)&gt;0, SUMPRODUCT((('Full month Pivot'!$B$3:$B$400=$A$15) + ('Full month Pivot'!$A$3:$A$400=$A$15) &gt; 0) * (TRIM('Full month Pivot'!$C$3:$C$400)=TRIM($A25)) * ('Full month Pivot'!$D$2:$K$2=X$2) * 'Full month Pivot'!$D$3:$K$400), "")</f>
        <v/>
      </c>
      <c r="Y25" s="193">
        <f>IF(SUMPRODUCT((('Full month Pivot'!$B$3:$B$400=$A$15) + ('Full month Pivot'!$A$3:$A$400=$A$15) &gt; 0) * (TRIM('Full month Pivot'!$C$3:$C$400)=TRIM($A25)) * ('Full month Pivot'!$D$2:$K$2=Y$2) * 'Full month Pivot'!$D$3:$K$400)&gt;0, SUMPRODUCT((('Full month Pivot'!$B$3:$B$400=$A$15) + ('Full month Pivot'!$A$3:$A$400=$A$15) &gt; 0) * (TRIM('Full month Pivot'!$C$3:$C$400)=TRIM($A25)) * ('Full month Pivot'!$D$2:$K$2=Y$2) * 'Full month Pivot'!$D$3:$K$400), "")</f>
        <v/>
      </c>
      <c r="Z25" s="193">
        <f>IF(SUMPRODUCT((('Full month Pivot'!$B$3:$B$400=$A$15) + ('Full month Pivot'!$A$3:$A$400=$A$15) &gt; 0) * (TRIM('Full month Pivot'!$C$3:$C$400)=TRIM($A25)) * ('Full month Pivot'!$D$2:$K$2=Z$2) * 'Full month Pivot'!$D$3:$K$400)&gt;0, SUMPRODUCT((('Full month Pivot'!$B$3:$B$400=$A$15) + ('Full month Pivot'!$A$3:$A$400=$A$15) &gt; 0) * (TRIM('Full month Pivot'!$C$3:$C$400)=TRIM($A25)) * ('Full month Pivot'!$D$2:$K$2=Z$2) * 'Full month Pivot'!$D$3:$K$400), "")</f>
        <v/>
      </c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202" t="n"/>
      <c r="B26" s="202" t="n"/>
      <c r="C26" s="202" t="n"/>
      <c r="D26" s="202" t="n"/>
      <c r="E26" s="202" t="n"/>
      <c r="F26" s="202" t="n"/>
      <c r="G26" s="202" t="n"/>
      <c r="H26" s="202" t="n"/>
      <c r="I26" s="202" t="n"/>
      <c r="J26" s="202" t="n"/>
      <c r="K26" s="202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140" t="n"/>
      <c r="AC26" s="140" t="n"/>
      <c r="AD26" s="140" t="n"/>
    </row>
    <row r="27" ht="15.75" customHeight="1" s="346">
      <c r="A27" s="145" t="inlineStr">
        <is>
          <t>Home MoMo</t>
        </is>
      </c>
      <c r="B27" s="145" t="n"/>
      <c r="C27" s="145" t="n"/>
      <c r="D27" s="145" t="n"/>
      <c r="E27" s="145" t="n"/>
      <c r="F27" s="145" t="n"/>
      <c r="G27" s="145" t="n"/>
      <c r="H27" s="145" t="n"/>
      <c r="I27" s="145" t="n"/>
      <c r="J27" s="145" t="n"/>
      <c r="K27" s="145" t="n"/>
      <c r="L27" s="145" t="n"/>
      <c r="M27" s="145" t="n"/>
      <c r="N27" s="145" t="n"/>
      <c r="O27" s="145" t="n"/>
      <c r="P27" s="145" t="n"/>
      <c r="Q27" s="145" t="n"/>
      <c r="R27" s="145" t="n"/>
      <c r="S27" s="145" t="n"/>
      <c r="T27" s="145" t="n"/>
      <c r="U27" s="145" t="n"/>
      <c r="V27" s="145" t="n"/>
      <c r="W27" s="145" t="n"/>
      <c r="X27" s="145" t="n"/>
      <c r="Y27" s="145" t="n"/>
      <c r="Z27" s="145" t="n"/>
      <c r="AA27" s="145" t="n"/>
      <c r="AB27" s="140" t="n"/>
      <c r="AC27" s="140" t="n"/>
      <c r="AD27" s="140" t="n"/>
    </row>
    <row r="28" ht="15.75" customHeight="1" s="346">
      <c r="A28" s="146" t="inlineStr">
        <is>
          <t>Page views</t>
        </is>
      </c>
      <c r="B28" s="147">
        <f>IF(SUM(B33:B37)&gt;0, SUM(B33:B37), "")</f>
        <v/>
      </c>
      <c r="C28" s="147">
        <f>IF(SUM(C33:C37)&gt;0, SUM(C33:C37), "")</f>
        <v/>
      </c>
      <c r="D28" s="147">
        <f>IF(SUM(D33:D37)&gt;0, SUM(D33:D37), "")</f>
        <v/>
      </c>
      <c r="E28" s="147">
        <f>IF(SUM(E33:E37)&gt;0, SUM(E33:E37), "")</f>
        <v/>
      </c>
      <c r="F28" s="147">
        <f>IF(SUM(F33:F37)&gt;0, SUM(F33:F37), "")</f>
        <v/>
      </c>
      <c r="G28" s="147">
        <f>IF(SUM(G33:G37)&gt;0, SUM(G33:G37), "")</f>
        <v/>
      </c>
      <c r="H28" s="147">
        <f>IF(SUM(H33:H37)&gt;0, SUM(H33:H37), "")</f>
        <v/>
      </c>
      <c r="I28" s="147">
        <f>IF(SUM(I33:I37)&gt;0, SUM(I33:I37), "")</f>
        <v/>
      </c>
      <c r="J28" s="147">
        <f>IF(SUM(J33:J37)&gt;0, SUM(J33:J37), "")</f>
        <v/>
      </c>
      <c r="K28" s="147">
        <f>IF(SUM(K33:K37)&gt;0, SUM(K33:K37), "")</f>
        <v/>
      </c>
      <c r="L28" s="147">
        <f>IF(SUM(L33:L37)&gt;0, SUM(L33:L37), "")</f>
        <v/>
      </c>
      <c r="M28" s="147">
        <f>IF(SUM(M33:M37)&gt;0, SUM(M33:M37), "")</f>
        <v/>
      </c>
      <c r="N28" s="148">
        <f>IFERROR((K28-J28)/J28, "")</f>
        <v/>
      </c>
      <c r="O28" s="147">
        <f>IF(SUM(O33:O37)&gt;0, SUM(O33:O37), "")</f>
        <v/>
      </c>
      <c r="P28" s="147">
        <f>IF(SUM(P33:P37)&gt;0, SUM(P33:P37), "")</f>
        <v/>
      </c>
      <c r="Q28" s="147">
        <f>IF(SUM(Q33:Q37)&gt;0, SUM(Q33:Q37), "")</f>
        <v/>
      </c>
      <c r="R28" s="147">
        <f>IF(SUM(R33:R37)&gt;0, SUM(R33:R37), "")</f>
        <v/>
      </c>
      <c r="S28" s="147">
        <f>IF(SUM(S33:S37)&gt;0, SUM(S33:S37), "")</f>
        <v/>
      </c>
      <c r="T28" s="147">
        <f>IF(SUM(T33:T37)&gt;0, SUM(T33:T37), "")</f>
        <v/>
      </c>
      <c r="U28" s="147">
        <f>IF(SUM(U33:U37)&gt;0, SUM(U33:U37), "")</f>
        <v/>
      </c>
      <c r="V28" s="147">
        <f>IF(SUM(V33:V37)&gt;0, SUM(V33:V37), "")</f>
        <v/>
      </c>
      <c r="W28" s="147">
        <f>IF(SUM(W33:W37)&gt;0, SUM(W33:W37), "")</f>
        <v/>
      </c>
      <c r="X28" s="147">
        <f>IF(SUM(X33:X37)&gt;0, SUM(X33:X37), "")</f>
        <v/>
      </c>
      <c r="Y28" s="147">
        <f>IF(SUM(Y33:Y37)&gt;0, SUM(Y33:Y37), "")</f>
        <v/>
      </c>
      <c r="Z28" s="147">
        <f>IF(SUM(Z33:Z37)&gt;0, SUM(Z33:Z37), "")</f>
        <v/>
      </c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150" t="inlineStr">
        <is>
          <t xml:space="preserve">  Click CTA</t>
        </is>
      </c>
      <c r="B29" s="150" t="n"/>
      <c r="C29" s="150" t="n"/>
      <c r="D29" s="150" t="n"/>
      <c r="E29" s="150" t="n"/>
      <c r="F29" s="150" t="n">
        <v>17155</v>
      </c>
      <c r="G29" s="150" t="n">
        <v>16644</v>
      </c>
      <c r="H29" s="150" t="n">
        <v>13973</v>
      </c>
      <c r="I29" s="150" t="n">
        <v>21325</v>
      </c>
      <c r="J29" s="150" t="n">
        <v>19820</v>
      </c>
      <c r="K29" s="150" t="n">
        <v>27493</v>
      </c>
      <c r="L29" s="150" t="n"/>
      <c r="M29" s="150" t="n"/>
      <c r="N29" s="151">
        <f>IFERROR((K29-J29)/J29, "")</f>
        <v/>
      </c>
      <c r="O29" s="150" t="n"/>
      <c r="P29" s="150" t="n"/>
      <c r="Q29" s="150" t="n"/>
      <c r="R29" s="150" t="n"/>
      <c r="S29" s="150" t="n">
        <v>19295</v>
      </c>
      <c r="T29" s="150" t="n">
        <v>17469</v>
      </c>
      <c r="U29" s="150" t="n">
        <v>15927</v>
      </c>
      <c r="V29" s="150" t="n">
        <v>23507</v>
      </c>
      <c r="W29" s="150" t="n">
        <v>21343</v>
      </c>
      <c r="X29" s="150" t="n">
        <v>27493</v>
      </c>
      <c r="Y29" s="150" t="n"/>
      <c r="Z29" s="150" t="n"/>
      <c r="AA29" s="151">
        <f>IFERROR((X29-W29)/W29, "")</f>
        <v/>
      </c>
      <c r="AB29" s="140" t="n"/>
      <c r="AC29" s="140" t="n"/>
      <c r="AD29" s="140" t="n"/>
    </row>
    <row r="30" ht="15.75" customHeight="1" s="346">
      <c r="A30" s="152" t="inlineStr">
        <is>
          <t xml:space="preserve">  Net change</t>
        </is>
      </c>
      <c r="B30" s="153" t="n"/>
      <c r="C30" s="153">
        <f>IF(AND(ISNUMBER(C28), ISNUMBER(B28), B28&gt;0, C28&gt;0), C28-B28, "")</f>
        <v/>
      </c>
      <c r="D30" s="153">
        <f>IF(AND(ISNUMBER(D28), ISNUMBER(C28), C28&gt;0, D28&gt;0), D28-C28, "")</f>
        <v/>
      </c>
      <c r="E30" s="153">
        <f>IF(AND(ISNUMBER(E28), ISNUMBER(D28), D28&gt;0, E28&gt;0), E28-D28, "")</f>
        <v/>
      </c>
      <c r="F30" s="153">
        <f>IF(AND(ISNUMBER(F28), ISNUMBER(E28), E28&gt;0, F28&gt;0), F28-E28, "")</f>
        <v/>
      </c>
      <c r="G30" s="153">
        <f>IF(AND(ISNUMBER(G28), ISNUMBER(F28), F28&gt;0, G28&gt;0), G28-F28, "")</f>
        <v/>
      </c>
      <c r="H30" s="153">
        <f>IF(AND(ISNUMBER(H28), ISNUMBER(G28), G28&gt;0, H28&gt;0), H28-G28, "")</f>
        <v/>
      </c>
      <c r="I30" s="153">
        <f>IF(AND(ISNUMBER(I28), ISNUMBER(H28), H28&gt;0, I28&gt;0), I28-H28, "")</f>
        <v/>
      </c>
      <c r="J30" s="153">
        <f>IF(AND(ISNUMBER(J28), ISNUMBER(I28), I28&gt;0, J28&gt;0), J28-I28, "")</f>
        <v/>
      </c>
      <c r="K30" s="153">
        <f>IF(AND(ISNUMBER(K28), ISNUMBER(J28), J28&gt;0, K28&gt;0), K28-J28, "")</f>
        <v/>
      </c>
      <c r="L30" s="153">
        <f>IF(AND(ISNUMBER(L28), ISNUMBER(K28), K28&gt;0, L28&gt;0), L28-K28, "")</f>
        <v/>
      </c>
      <c r="M30" s="153">
        <f>IF(AND(ISNUMBER(M28), ISNUMBER(L28), L28&gt;0, M28&gt;0), M28-L28, "")</f>
        <v/>
      </c>
      <c r="N30" s="153" t="n"/>
      <c r="O30" s="153" t="n"/>
      <c r="P30" s="153">
        <f>IF(AND(ISNUMBER(P28), ISNUMBER(O28), O28&gt;0, P28&gt;0), P28-O28, "")</f>
        <v/>
      </c>
      <c r="Q30" s="153">
        <f>IF(AND(ISNUMBER(Q28), ISNUMBER(P28), P28&gt;0, Q28&gt;0), Q28-P28, "")</f>
        <v/>
      </c>
      <c r="R30" s="153">
        <f>IF(AND(ISNUMBER(R28), ISNUMBER(Q28), Q28&gt;0, R28&gt;0), R28-Q28, "")</f>
        <v/>
      </c>
      <c r="S30" s="153">
        <f>IF(AND(ISNUMBER(S28), ISNUMBER(R28), R28&gt;0, S28&gt;0), S28-R28, "")</f>
        <v/>
      </c>
      <c r="T30" s="153">
        <f>IF(AND(ISNUMBER(T28), ISNUMBER(S28), S28&gt;0, T28&gt;0), T28-S28, "")</f>
        <v/>
      </c>
      <c r="U30" s="153">
        <f>IF(AND(ISNUMBER(U28), ISNUMBER(T28), T28&gt;0, U28&gt;0), U28-T28, "")</f>
        <v/>
      </c>
      <c r="V30" s="153">
        <f>IF(AND(ISNUMBER(V28), ISNUMBER(U28), U28&gt;0, V28&gt;0), V28-U28, "")</f>
        <v/>
      </c>
      <c r="W30" s="153">
        <f>IF(AND(ISNUMBER(W28), ISNUMBER(V28), V28&gt;0, W28&gt;0), W28-V28, "")</f>
        <v/>
      </c>
      <c r="X30" s="153">
        <f>IF(AND(ISNUMBER(X28), ISNUMBER(W28), W28&gt;0, X28&gt;0), X28-W28, "")</f>
        <v/>
      </c>
      <c r="Y30" s="153">
        <f>IF(AND(ISNUMBER(Y28), ISNUMBER(X28), X28&gt;0, Y28&gt;0), Y28-X28, "")</f>
        <v/>
      </c>
      <c r="Z30" s="153">
        <f>IF(AND(ISNUMBER(Z28), ISNUMBER(Y28), Y28&gt;0, Z28&gt;0), Z28-Y28, "")</f>
        <v/>
      </c>
      <c r="AA30" s="153" t="n"/>
      <c r="AB30" s="140" t="n"/>
      <c r="AC30" s="140" t="n"/>
      <c r="AD30" s="140" t="n"/>
    </row>
    <row r="31" ht="15.75" customHeight="1" s="346">
      <c r="A31" s="152" t="inlineStr">
        <is>
          <t xml:space="preserve">  % Growth rate</t>
        </is>
      </c>
      <c r="B31" s="203" t="n"/>
      <c r="C31" s="203">
        <f>IF(AND(ISNUMBER(C28), ISNUMBER(B28), B28&gt;0, C28&gt;0), (C28-B28)/B28, "")</f>
        <v/>
      </c>
      <c r="D31" s="203">
        <f>IF(AND(ISNUMBER(D28), ISNUMBER(C28), C28&gt;0, D28&gt;0), (D28-C28)/C28, "")</f>
        <v/>
      </c>
      <c r="E31" s="203">
        <f>IF(AND(ISNUMBER(E28), ISNUMBER(D28), D28&gt;0, E28&gt;0), (E28-D28)/D28, "")</f>
        <v/>
      </c>
      <c r="F31" s="203">
        <f>IF(AND(ISNUMBER(F28), ISNUMBER(E28), E28&gt;0, F28&gt;0), (F28-E28)/E28, "")</f>
        <v/>
      </c>
      <c r="G31" s="203">
        <f>IF(AND(ISNUMBER(G28), ISNUMBER(F28), F28&gt;0, G28&gt;0), (G28-F28)/F28, "")</f>
        <v/>
      </c>
      <c r="H31" s="203">
        <f>IF(AND(ISNUMBER(H28), ISNUMBER(G28), G28&gt;0, H28&gt;0), (H28-G28)/G28, "")</f>
        <v/>
      </c>
      <c r="I31" s="203">
        <f>IF(AND(ISNUMBER(I28), ISNUMBER(H28), H28&gt;0, I28&gt;0), (I28-H28)/H28, "")</f>
        <v/>
      </c>
      <c r="J31" s="203">
        <f>IF(AND(ISNUMBER(J28), ISNUMBER(I28), I28&gt;0, J28&gt;0), (J28-I28)/I28, "")</f>
        <v/>
      </c>
      <c r="K31" s="203">
        <f>IF(AND(ISNUMBER(K28), ISNUMBER(J28), J28&gt;0, K28&gt;0), (K28-J28)/J28, "")</f>
        <v/>
      </c>
      <c r="L31" s="203">
        <f>IF(AND(ISNUMBER(L28), ISNUMBER(K28), K28&gt;0, L28&gt;0), (L28-K28)/K28, "")</f>
        <v/>
      </c>
      <c r="M31" s="203">
        <f>IF(AND(ISNUMBER(M28), ISNUMBER(L28), L28&gt;0, M28&gt;0), (M28-L28)/L28, "")</f>
        <v/>
      </c>
      <c r="N31" s="203" t="n"/>
      <c r="O31" s="203" t="n"/>
      <c r="P31" s="203">
        <f>IF(AND(ISNUMBER(P28), ISNUMBER(O28), O28&gt;0, P28&gt;0), (P28-O28)/O28, "")</f>
        <v/>
      </c>
      <c r="Q31" s="203">
        <f>IF(AND(ISNUMBER(Q28), ISNUMBER(P28), P28&gt;0, Q28&gt;0), (Q28-P28)/P28, "")</f>
        <v/>
      </c>
      <c r="R31" s="203">
        <f>IF(AND(ISNUMBER(R28), ISNUMBER(Q28), Q28&gt;0, R28&gt;0), (R28-Q28)/Q28, "")</f>
        <v/>
      </c>
      <c r="S31" s="203">
        <f>IF(AND(ISNUMBER(S28), ISNUMBER(R28), R28&gt;0, S28&gt;0), (S28-R28)/R28, "")</f>
        <v/>
      </c>
      <c r="T31" s="203">
        <f>IF(AND(ISNUMBER(T28), ISNUMBER(S28), S28&gt;0, T28&gt;0), (T28-S28)/S28, "")</f>
        <v/>
      </c>
      <c r="U31" s="203">
        <f>IF(AND(ISNUMBER(U28), ISNUMBER(T28), T28&gt;0, U28&gt;0), (U28-T28)/T28, "")</f>
        <v/>
      </c>
      <c r="V31" s="203">
        <f>IF(AND(ISNUMBER(V28), ISNUMBER(U28), U28&gt;0, V28&gt;0), (V28-U28)/U28, "")</f>
        <v/>
      </c>
      <c r="W31" s="203">
        <f>IF(AND(ISNUMBER(W28), ISNUMBER(V28), V28&gt;0, W28&gt;0), (W28-V28)/V28, "")</f>
        <v/>
      </c>
      <c r="X31" s="203">
        <f>IF(AND(ISNUMBER(X28), ISNUMBER(W28), W28&gt;0, X28&gt;0), (X28-W28)/W28, "")</f>
        <v/>
      </c>
      <c r="Y31" s="203">
        <f>IF(AND(ISNUMBER(Y28), ISNUMBER(X28), X28&gt;0, Y28&gt;0), (Y28-X28)/X28, "")</f>
        <v/>
      </c>
      <c r="Z31" s="203">
        <f>IF(AND(ISNUMBER(Z28), ISNUMBER(Y28), Y28&gt;0, Z28&gt;0), (Z28-Y28)/Y28, "")</f>
        <v/>
      </c>
      <c r="AA31" s="203" t="n"/>
      <c r="AB31" s="140" t="n"/>
      <c r="AC31" s="140" t="n"/>
      <c r="AD31" s="140" t="n"/>
    </row>
    <row r="32" ht="15.75" customHeight="1" s="346">
      <c r="A32" s="202" t="inlineStr">
        <is>
          <t>Tỷ trọng trong tổng traffic</t>
        </is>
      </c>
      <c r="B32" s="156">
        <f t="array" ref="B32">IF(AND(ISNUMBER(B28), B28&gt;0), B28/INDEX('MTD Pivot'!$D$3:$K$400, MATCH("Grand Total", 'MTD Pivot'!$A$3:$A$400, 0), MATCH(B$2, 'MTD Pivot'!$D$2:$K$2, 0)), "")</f>
        <v/>
      </c>
      <c r="C32" s="156">
        <f t="array" ref="C32">IF(AND(ISNUMBER(C28), C28&gt;0), C28/INDEX('MTD Pivot'!$D$3:$K$400, MATCH("Grand Total", 'MTD Pivot'!$A$3:$A$400, 0), MATCH(C$2, 'MTD Pivot'!$D$2:$K$2, 0)), "")</f>
        <v/>
      </c>
      <c r="D32" s="156">
        <f t="array" ref="D32">IF(AND(ISNUMBER(D28), D28&gt;0), D28/INDEX('MTD Pivot'!$D$3:$K$400, MATCH("Grand Total", 'MTD Pivot'!$A$3:$A$400, 0), MATCH(D$2, 'MTD Pivot'!$D$2:$K$2, 0)), "")</f>
        <v/>
      </c>
      <c r="E32" s="156">
        <f t="array" ref="E32">IF(AND(ISNUMBER(E28), E28&gt;0), E28/INDEX('MTD Pivot'!$D$3:$K$400, MATCH("Grand Total", 'MTD Pivot'!$A$3:$A$400, 0), MATCH(E$2, 'MTD Pivot'!$D$2:$K$2, 0)), "")</f>
        <v/>
      </c>
      <c r="F32" s="156">
        <f t="array" ref="F32">IF(AND(ISNUMBER(F28), F28&gt;0), F28/INDEX('MTD Pivot'!$D$3:$K$400, MATCH("Grand Total", 'MTD Pivot'!$A$3:$A$400, 0), MATCH(F$2, 'MTD Pivot'!$D$2:$K$2, 0)), "")</f>
        <v/>
      </c>
      <c r="G32" s="156">
        <f t="array" ref="G32">IF(AND(ISNUMBER(G28), G28&gt;0), G28/INDEX('MTD Pivot'!$D$3:$K$400, MATCH("Grand Total", 'MTD Pivot'!$A$3:$A$400, 0), MATCH(G$2, 'MTD Pivot'!$D$2:$K$2, 0)), "")</f>
        <v/>
      </c>
      <c r="H32" s="156">
        <f t="array" ref="H32">IF(AND(ISNUMBER(H28), H28&gt;0), H28/INDEX('MTD Pivot'!$D$3:$K$400, MATCH("Grand Total", 'MTD Pivot'!$A$3:$A$400, 0), MATCH(H$2, 'MTD Pivot'!$D$2:$K$2, 0)), "")</f>
        <v/>
      </c>
      <c r="I32" s="156">
        <f t="array" ref="I32">IF(AND(ISNUMBER(I28), I28&gt;0), I28/INDEX('MTD Pivot'!$D$3:$K$400, MATCH("Grand Total", 'MTD Pivot'!$A$3:$A$400, 0), MATCH(I$2, 'MTD Pivot'!$D$2:$K$2, 0)), "")</f>
        <v/>
      </c>
      <c r="J32" s="156">
        <f t="array" ref="J32">IF(AND(ISNUMBER(J28), J28&gt;0), J28/INDEX('MTD Pivot'!$D$3:$K$400, MATCH("Grand Total", 'MTD Pivot'!$A$3:$A$400, 0), MATCH(J$2, 'MTD Pivot'!$D$2:$K$2, 0)), "")</f>
        <v/>
      </c>
      <c r="K32" s="156">
        <f t="array" ref="K32">IF(AND(ISNUMBER(K28), K28&gt;0), K28/INDEX('MTD Pivot'!$D$3:$K$400, MATCH("Grand Total", 'MTD Pivot'!$A$3:$A$400, 0), MATCH(K$2, 'MTD Pivot'!$D$2:$K$2, 0)), "")</f>
        <v/>
      </c>
      <c r="L32" s="156">
        <f t="array" ref="L32">IF(AND(ISNUMBER(L28), L28&gt;0), L28/INDEX('MTD Pivot'!$D$3:$K$400, MATCH("Grand Total", 'MTD Pivot'!$A$3:$A$400, 0), MATCH(L$2, 'MTD Pivot'!$D$2:$K$2, 0)), "")</f>
        <v/>
      </c>
      <c r="M32" s="156">
        <f t="array" ref="M32">IF(AND(ISNUMBER(M28), M28&gt;0), M28/INDEX('MTD Pivot'!$D$3:$K$400, MATCH("Grand Total", 'MTD Pivot'!$A$3:$A$400, 0), MATCH(M$2, 'MTD Pivot'!$D$2:$K$2, 0)), "")</f>
        <v/>
      </c>
      <c r="N32" s="157">
        <f>IF(AND(ISNUMBER(K32), ISNUMBER(J32)), K32-J32, "")</f>
        <v/>
      </c>
      <c r="O32" s="156">
        <f t="array" ref="O32">IF(AND(ISNUMBER(O28), O28&gt;0), O28/INDEX('Full month Pivot'!$D$3:$K$400, MATCH("Grand Total", 'Full month Pivot'!$A$3:$A$400, 0), MATCH(O$2, 'Full month Pivot'!$D$2:$K$2, 0)), "")</f>
        <v/>
      </c>
      <c r="P32" s="156">
        <f t="array" ref="P32">IF(AND(ISNUMBER(P28), P28&gt;0), P28/INDEX('Full month Pivot'!$D$3:$K$400, MATCH("Grand Total", 'Full month Pivot'!$A$3:$A$400, 0), MATCH(P$2, 'Full month Pivot'!$D$2:$K$2, 0)), "")</f>
        <v/>
      </c>
      <c r="Q32" s="156">
        <f t="array" ref="Q32">IF(AND(ISNUMBER(Q28), Q28&gt;0), Q28/INDEX('Full month Pivot'!$D$3:$K$400, MATCH("Grand Total", 'Full month Pivot'!$A$3:$A$400, 0), MATCH(Q$2, 'Full month Pivot'!$D$2:$K$2, 0)), "")</f>
        <v/>
      </c>
      <c r="R32" s="156">
        <f t="array" ref="R32">IF(AND(ISNUMBER(R28), R28&gt;0), R28/INDEX('Full month Pivot'!$D$3:$K$400, MATCH("Grand Total", 'Full month Pivot'!$A$3:$A$400, 0), MATCH(R$2, 'Full month Pivot'!$D$2:$K$2, 0)), "")</f>
        <v/>
      </c>
      <c r="S32" s="156">
        <f t="array" ref="S32">IF(AND(ISNUMBER(S28), S28&gt;0), S28/INDEX('Full month Pivot'!$D$3:$K$400, MATCH("Grand Total", 'Full month Pivot'!$A$3:$A$400, 0), MATCH(S$2, 'Full month Pivot'!$D$2:$K$2, 0)), "")</f>
        <v/>
      </c>
      <c r="T32" s="156">
        <f t="array" ref="T32">IF(AND(ISNUMBER(T28), T28&gt;0), T28/INDEX('Full month Pivot'!$D$3:$K$400, MATCH("Grand Total", 'Full month Pivot'!$A$3:$A$400, 0), MATCH(T$2, 'Full month Pivot'!$D$2:$K$2, 0)), "")</f>
        <v/>
      </c>
      <c r="U32" s="156">
        <f t="array" ref="U32">IF(AND(ISNUMBER(U28), U28&gt;0), U28/INDEX('Full month Pivot'!$D$3:$K$400, MATCH("Grand Total", 'Full month Pivot'!$A$3:$A$400, 0), MATCH(U$2, 'Full month Pivot'!$D$2:$K$2, 0)), "")</f>
        <v/>
      </c>
      <c r="V32" s="156">
        <f t="array" ref="V32">IF(AND(ISNUMBER(V28), V28&gt;0), V28/INDEX('Full month Pivot'!$D$3:$K$400, MATCH("Grand Total", 'Full month Pivot'!$A$3:$A$400, 0), MATCH(V$2, 'Full month Pivot'!$D$2:$K$2, 0)), "")</f>
        <v/>
      </c>
      <c r="W32" s="156">
        <f t="array" ref="W32">IF(AND(ISNUMBER(W28), W28&gt;0), W28/INDEX('Full month Pivot'!$D$3:$K$400, MATCH("Grand Total", 'Full month Pivot'!$A$3:$A$400, 0), MATCH(W$2, 'Full month Pivot'!$D$2:$K$2, 0)), "")</f>
        <v/>
      </c>
      <c r="X32" s="156">
        <f t="array" ref="X32">IF(AND(ISNUMBER(X28), X28&gt;0), X28/INDEX('Full month Pivot'!$D$3:$K$400, MATCH("Grand Total", 'Full month Pivot'!$A$3:$A$400, 0), MATCH(X$2, 'Full month Pivot'!$D$2:$K$2, 0)), "")</f>
        <v/>
      </c>
      <c r="Y32" s="156">
        <f t="array" ref="Y32">IF(AND(ISNUMBER(Y28), Y28&gt;0), Y28/INDEX('Full month Pivot'!$D$3:$K$400, MATCH("Grand Total", 'Full month Pivot'!$A$3:$A$400, 0), MATCH(Y$2, 'Full month Pivot'!$D$2:$K$2, 0)), "")</f>
        <v/>
      </c>
      <c r="Z32" s="156">
        <f t="array" ref="Z32">IF(AND(ISNUMBER(Z28), Z28&gt;0), Z28/INDEX('Full month Pivot'!$D$3:$K$400, MATCH("Grand Total", 'Full month Pivot'!$A$3:$A$400, 0), MATCH(Z$2, 'Full month Pivot'!$D$2:$K$2, 0)), "")</f>
        <v/>
      </c>
      <c r="AA32" s="157">
        <f>IF(AND(ISNUMBER(X32), ISNUMBER(W32)), X32-W32, "")</f>
        <v/>
      </c>
      <c r="AB32" s="140" t="n"/>
      <c r="AC32" s="140" t="n"/>
      <c r="AD32" s="140" t="n"/>
    </row>
    <row r="33" ht="15.75" customHeight="1" s="346">
      <c r="A33" s="202" t="inlineStr">
        <is>
          <t xml:space="preserve">  Organic</t>
        </is>
      </c>
      <c r="B33" s="193">
        <f>IF(SUMPRODUCT((('MTD Pivot'!$B$3:$B$400=$A$27) + ('MTD Pivot'!$A$3:$A$400=$A$27) &gt; 0) * (TRIM('MTD Pivot'!$C$3:$C$400)=TRIM($A33)) * ('MTD Pivot'!$D$2:$K$2=B$2) * 'MTD Pivot'!$D$3:$K$400)&gt;0, SUMPRODUCT((('MTD Pivot'!$B$3:$B$400=$A$27) + ('MTD Pivot'!$A$3:$A$400=$A$27) &gt; 0) * (TRIM('MTD Pivot'!$C$3:$C$400)=TRIM($A33)) * ('MTD Pivot'!$D$2:$K$2=B$2) * 'MTD Pivot'!$D$3:$K$400), "")</f>
        <v/>
      </c>
      <c r="C33" s="193">
        <f>IF(SUMPRODUCT((('MTD Pivot'!$B$3:$B$400=$A$27) + ('MTD Pivot'!$A$3:$A$400=$A$27) &gt; 0) * (TRIM('MTD Pivot'!$C$3:$C$400)=TRIM($A33)) * ('MTD Pivot'!$D$2:$K$2=C$2) * 'MTD Pivot'!$D$3:$K$400)&gt;0, SUMPRODUCT((('MTD Pivot'!$B$3:$B$400=$A$27) + ('MTD Pivot'!$A$3:$A$400=$A$27) &gt; 0) * (TRIM('MTD Pivot'!$C$3:$C$400)=TRIM($A33)) * ('MTD Pivot'!$D$2:$K$2=C$2) * 'MTD Pivot'!$D$3:$K$400), "")</f>
        <v/>
      </c>
      <c r="D33" s="193">
        <f>IF(SUMPRODUCT((('MTD Pivot'!$B$3:$B$400=$A$27) + ('MTD Pivot'!$A$3:$A$400=$A$27) &gt; 0) * (TRIM('MTD Pivot'!$C$3:$C$400)=TRIM($A33)) * ('MTD Pivot'!$D$2:$K$2=D$2) * 'MTD Pivot'!$D$3:$K$400)&gt;0, SUMPRODUCT((('MTD Pivot'!$B$3:$B$400=$A$27) + ('MTD Pivot'!$A$3:$A$400=$A$27) &gt; 0) * (TRIM('MTD Pivot'!$C$3:$C$400)=TRIM($A33)) * ('MTD Pivot'!$D$2:$K$2=D$2) * 'MTD Pivot'!$D$3:$K$400), "")</f>
        <v/>
      </c>
      <c r="E33" s="193">
        <f>IF(SUMPRODUCT((('MTD Pivot'!$B$3:$B$400=$A$27) + ('MTD Pivot'!$A$3:$A$400=$A$27) &gt; 0) * (TRIM('MTD Pivot'!$C$3:$C$400)=TRIM($A33)) * ('MTD Pivot'!$D$2:$K$2=E$2) * 'MTD Pivot'!$D$3:$K$400)&gt;0, SUMPRODUCT((('MTD Pivot'!$B$3:$B$400=$A$27) + ('MTD Pivot'!$A$3:$A$400=$A$27) &gt; 0) * (TRIM('MTD Pivot'!$C$3:$C$400)=TRIM($A33)) * ('MTD Pivot'!$D$2:$K$2=E$2) * 'MTD Pivot'!$D$3:$K$400), "")</f>
        <v/>
      </c>
      <c r="F33" s="193">
        <f>IF(SUMPRODUCT((('MTD Pivot'!$B$3:$B$400=$A$27) + ('MTD Pivot'!$A$3:$A$400=$A$27) &gt; 0) * (TRIM('MTD Pivot'!$C$3:$C$400)=TRIM($A33)) * ('MTD Pivot'!$D$2:$K$2=F$2) * 'MTD Pivot'!$D$3:$K$400)&gt;0, SUMPRODUCT((('MTD Pivot'!$B$3:$B$400=$A$27) + ('MTD Pivot'!$A$3:$A$400=$A$27) &gt; 0) * (TRIM('MTD Pivot'!$C$3:$C$400)=TRIM($A33)) * ('MTD Pivot'!$D$2:$K$2=F$2) * 'MTD Pivot'!$D$3:$K$400), "")</f>
        <v/>
      </c>
      <c r="G33" s="193">
        <f>IF(SUMPRODUCT((('MTD Pivot'!$B$3:$B$400=$A$27) + ('MTD Pivot'!$A$3:$A$400=$A$27) &gt; 0) * (TRIM('MTD Pivot'!$C$3:$C$400)=TRIM($A33)) * ('MTD Pivot'!$D$2:$K$2=G$2) * 'MTD Pivot'!$D$3:$K$400)&gt;0, SUMPRODUCT((('MTD Pivot'!$B$3:$B$400=$A$27) + ('MTD Pivot'!$A$3:$A$400=$A$27) &gt; 0) * (TRIM('MTD Pivot'!$C$3:$C$400)=TRIM($A33)) * ('MTD Pivot'!$D$2:$K$2=G$2) * 'MTD Pivot'!$D$3:$K$400), "")</f>
        <v/>
      </c>
      <c r="H33" s="193">
        <f>IF(SUMPRODUCT((('MTD Pivot'!$B$3:$B$400=$A$27) + ('MTD Pivot'!$A$3:$A$400=$A$27) &gt; 0) * (TRIM('MTD Pivot'!$C$3:$C$400)=TRIM($A33)) * ('MTD Pivot'!$D$2:$K$2=H$2) * 'MTD Pivot'!$D$3:$K$400)&gt;0, SUMPRODUCT((('MTD Pivot'!$B$3:$B$400=$A$27) + ('MTD Pivot'!$A$3:$A$400=$A$27) &gt; 0) * (TRIM('MTD Pivot'!$C$3:$C$400)=TRIM($A33)) * ('MTD Pivot'!$D$2:$K$2=H$2) * 'MTD Pivot'!$D$3:$K$400), "")</f>
        <v/>
      </c>
      <c r="I33" s="193">
        <f>IF(SUMPRODUCT((('MTD Pivot'!$B$3:$B$400=$A$27) + ('MTD Pivot'!$A$3:$A$400=$A$27) &gt; 0) * (TRIM('MTD Pivot'!$C$3:$C$400)=TRIM($A33)) * ('MTD Pivot'!$D$2:$K$2=I$2) * 'MTD Pivot'!$D$3:$K$400)&gt;0, SUMPRODUCT((('MTD Pivot'!$B$3:$B$400=$A$27) + ('MTD Pivot'!$A$3:$A$400=$A$27) &gt; 0) * (TRIM('MTD Pivot'!$C$3:$C$400)=TRIM($A33)) * ('MTD Pivot'!$D$2:$K$2=I$2) * 'MTD Pivot'!$D$3:$K$400), "")</f>
        <v/>
      </c>
      <c r="J33" s="193">
        <f>IF(SUMPRODUCT((('MTD Pivot'!$B$3:$B$400=$A$27) + ('MTD Pivot'!$A$3:$A$400=$A$27) &gt; 0) * (TRIM('MTD Pivot'!$C$3:$C$400)=TRIM($A33)) * ('MTD Pivot'!$D$2:$K$2=J$2) * 'MTD Pivot'!$D$3:$K$400)&gt;0, SUMPRODUCT((('MTD Pivot'!$B$3:$B$400=$A$27) + ('MTD Pivot'!$A$3:$A$400=$A$27) &gt; 0) * (TRIM('MTD Pivot'!$C$3:$C$400)=TRIM($A33)) * ('MTD Pivot'!$D$2:$K$2=J$2) * 'MTD Pivot'!$D$3:$K$400), "")</f>
        <v/>
      </c>
      <c r="K33" s="193">
        <f>IF(SUMPRODUCT((('MTD Pivot'!$B$3:$B$400=$A$27) + ('MTD Pivot'!$A$3:$A$400=$A$27) &gt; 0) * (TRIM('MTD Pivot'!$C$3:$C$400)=TRIM($A33)) * ('MTD Pivot'!$D$2:$K$2=K$2) * 'MTD Pivot'!$D$3:$K$400)&gt;0, SUMPRODUCT((('MTD Pivot'!$B$3:$B$400=$A$27) + ('MTD Pivot'!$A$3:$A$400=$A$27) &gt; 0) * (TRIM('MTD Pivot'!$C$3:$C$400)=TRIM($A33)) * ('MTD Pivot'!$D$2:$K$2=K$2) * 'MTD Pivot'!$D$3:$K$400), "")</f>
        <v/>
      </c>
      <c r="L33" s="193">
        <f>IF(SUMPRODUCT((('MTD Pivot'!$B$3:$B$400=$A$27) + ('MTD Pivot'!$A$3:$A$400=$A$27) &gt; 0) * (TRIM('MTD Pivot'!$C$3:$C$400)=TRIM($A33)) * ('MTD Pivot'!$D$2:$K$2=L$2) * 'MTD Pivot'!$D$3:$K$400)&gt;0, SUMPRODUCT((('MTD Pivot'!$B$3:$B$400=$A$27) + ('MTD Pivot'!$A$3:$A$400=$A$27) &gt; 0) * (TRIM('MTD Pivot'!$C$3:$C$400)=TRIM($A33)) * ('MTD Pivot'!$D$2:$K$2=L$2) * 'MTD Pivot'!$D$3:$K$400), "")</f>
        <v/>
      </c>
      <c r="M33" s="193">
        <f>IF(SUMPRODUCT((('MTD Pivot'!$B$3:$B$400=$A$27) + ('MTD Pivot'!$A$3:$A$400=$A$27) &gt; 0) * (TRIM('MTD Pivot'!$C$3:$C$400)=TRIM($A33)) * ('MTD Pivot'!$D$2:$K$2=M$2) * 'MTD Pivot'!$D$3:$K$400)&gt;0, SUMPRODUCT((('MTD Pivot'!$B$3:$B$400=$A$27) + ('MTD Pivot'!$A$3:$A$400=$A$27) &gt; 0) * (TRIM('MTD Pivot'!$C$3:$C$400)=TRIM($A33)) * ('MTD Pivot'!$D$2:$K$2=M$2) * 'MTD Pivot'!$D$3:$K$400), "")</f>
        <v/>
      </c>
      <c r="N33" s="157">
        <f>IF(AND(ISNUMBER(K33), ISNUMBER(J33), J33&gt;0), (K33-J33)/J33, "")</f>
        <v/>
      </c>
      <c r="O33" s="193">
        <f>IF(SUMPRODUCT((('Full month Pivot'!$B$3:$B$400=$A$27) + ('Full month Pivot'!$A$3:$A$400=$A$27) &gt; 0) * (TRIM('Full month Pivot'!$C$3:$C$400)=TRIM($A33)) * ('Full month Pivot'!$D$2:$K$2=O$2) * 'Full month Pivot'!$D$3:$K$400)&gt;0, SUMPRODUCT((('Full month Pivot'!$B$3:$B$400=$A$27) + ('Full month Pivot'!$A$3:$A$400=$A$27) &gt; 0) * (TRIM('Full month Pivot'!$C$3:$C$400)=TRIM($A33)) * ('Full month Pivot'!$D$2:$K$2=O$2) * 'Full month Pivot'!$D$3:$K$400), "")</f>
        <v/>
      </c>
      <c r="P33" s="193">
        <f>IF(SUMPRODUCT((('Full month Pivot'!$B$3:$B$400=$A$27) + ('Full month Pivot'!$A$3:$A$400=$A$27) &gt; 0) * (TRIM('Full month Pivot'!$C$3:$C$400)=TRIM($A33)) * ('Full month Pivot'!$D$2:$K$2=P$2) * 'Full month Pivot'!$D$3:$K$400)&gt;0, SUMPRODUCT((('Full month Pivot'!$B$3:$B$400=$A$27) + ('Full month Pivot'!$A$3:$A$400=$A$27) &gt; 0) * (TRIM('Full month Pivot'!$C$3:$C$400)=TRIM($A33)) * ('Full month Pivot'!$D$2:$K$2=P$2) * 'Full month Pivot'!$D$3:$K$400), "")</f>
        <v/>
      </c>
      <c r="Q33" s="193">
        <f>IF(SUMPRODUCT((('Full month Pivot'!$B$3:$B$400=$A$27) + ('Full month Pivot'!$A$3:$A$400=$A$27) &gt; 0) * (TRIM('Full month Pivot'!$C$3:$C$400)=TRIM($A33)) * ('Full month Pivot'!$D$2:$K$2=Q$2) * 'Full month Pivot'!$D$3:$K$400)&gt;0, SUMPRODUCT((('Full month Pivot'!$B$3:$B$400=$A$27) + ('Full month Pivot'!$A$3:$A$400=$A$27) &gt; 0) * (TRIM('Full month Pivot'!$C$3:$C$400)=TRIM($A33)) * ('Full month Pivot'!$D$2:$K$2=Q$2) * 'Full month Pivot'!$D$3:$K$400), "")</f>
        <v/>
      </c>
      <c r="R33" s="193">
        <f>IF(SUMPRODUCT((('Full month Pivot'!$B$3:$B$400=$A$27) + ('Full month Pivot'!$A$3:$A$400=$A$27) &gt; 0) * (TRIM('Full month Pivot'!$C$3:$C$400)=TRIM($A33)) * ('Full month Pivot'!$D$2:$K$2=R$2) * 'Full month Pivot'!$D$3:$K$400)&gt;0, SUMPRODUCT((('Full month Pivot'!$B$3:$B$400=$A$27) + ('Full month Pivot'!$A$3:$A$400=$A$27) &gt; 0) * (TRIM('Full month Pivot'!$C$3:$C$400)=TRIM($A33)) * ('Full month Pivot'!$D$2:$K$2=R$2) * 'Full month Pivot'!$D$3:$K$400), "")</f>
        <v/>
      </c>
      <c r="S33" s="193">
        <f>IF(SUMPRODUCT((('Full month Pivot'!$B$3:$B$400=$A$27) + ('Full month Pivot'!$A$3:$A$400=$A$27) &gt; 0) * (TRIM('Full month Pivot'!$C$3:$C$400)=TRIM($A33)) * ('Full month Pivot'!$D$2:$K$2=S$2) * 'Full month Pivot'!$D$3:$K$400)&gt;0, SUMPRODUCT((('Full month Pivot'!$B$3:$B$400=$A$27) + ('Full month Pivot'!$A$3:$A$400=$A$27) &gt; 0) * (TRIM('Full month Pivot'!$C$3:$C$400)=TRIM($A33)) * ('Full month Pivot'!$D$2:$K$2=S$2) * 'Full month Pivot'!$D$3:$K$400), "")</f>
        <v/>
      </c>
      <c r="T33" s="193">
        <f>IF(SUMPRODUCT((('Full month Pivot'!$B$3:$B$400=$A$27) + ('Full month Pivot'!$A$3:$A$400=$A$27) &gt; 0) * (TRIM('Full month Pivot'!$C$3:$C$400)=TRIM($A33)) * ('Full month Pivot'!$D$2:$K$2=T$2) * 'Full month Pivot'!$D$3:$K$400)&gt;0, SUMPRODUCT((('Full month Pivot'!$B$3:$B$400=$A$27) + ('Full month Pivot'!$A$3:$A$400=$A$27) &gt; 0) * (TRIM('Full month Pivot'!$C$3:$C$400)=TRIM($A33)) * ('Full month Pivot'!$D$2:$K$2=T$2) * 'Full month Pivot'!$D$3:$K$400), "")</f>
        <v/>
      </c>
      <c r="U33" s="193">
        <f>IF(SUMPRODUCT((('Full month Pivot'!$B$3:$B$400=$A$27) + ('Full month Pivot'!$A$3:$A$400=$A$27) &gt; 0) * (TRIM('Full month Pivot'!$C$3:$C$400)=TRIM($A33)) * ('Full month Pivot'!$D$2:$K$2=U$2) * 'Full month Pivot'!$D$3:$K$400)&gt;0, SUMPRODUCT((('Full month Pivot'!$B$3:$B$400=$A$27) + ('Full month Pivot'!$A$3:$A$400=$A$27) &gt; 0) * (TRIM('Full month Pivot'!$C$3:$C$400)=TRIM($A33)) * ('Full month Pivot'!$D$2:$K$2=U$2) * 'Full month Pivot'!$D$3:$K$400), "")</f>
        <v/>
      </c>
      <c r="V33" s="193">
        <f>IF(SUMPRODUCT((('Full month Pivot'!$B$3:$B$400=$A$27) + ('Full month Pivot'!$A$3:$A$400=$A$27) &gt; 0) * (TRIM('Full month Pivot'!$C$3:$C$400)=TRIM($A33)) * ('Full month Pivot'!$D$2:$K$2=V$2) * 'Full month Pivot'!$D$3:$K$400)&gt;0, SUMPRODUCT((('Full month Pivot'!$B$3:$B$400=$A$27) + ('Full month Pivot'!$A$3:$A$400=$A$27) &gt; 0) * (TRIM('Full month Pivot'!$C$3:$C$400)=TRIM($A33)) * ('Full month Pivot'!$D$2:$K$2=V$2) * 'Full month Pivot'!$D$3:$K$400), "")</f>
        <v/>
      </c>
      <c r="W33" s="193">
        <f>IF(SUMPRODUCT((('Full month Pivot'!$B$3:$B$400=$A$27) + ('Full month Pivot'!$A$3:$A$400=$A$27) &gt; 0) * (TRIM('Full month Pivot'!$C$3:$C$400)=TRIM($A33)) * ('Full month Pivot'!$D$2:$K$2=W$2) * 'Full month Pivot'!$D$3:$K$400)&gt;0, SUMPRODUCT((('Full month Pivot'!$B$3:$B$400=$A$27) + ('Full month Pivot'!$A$3:$A$400=$A$27) &gt; 0) * (TRIM('Full month Pivot'!$C$3:$C$400)=TRIM($A33)) * ('Full month Pivot'!$D$2:$K$2=W$2) * 'Full month Pivot'!$D$3:$K$400), "")</f>
        <v/>
      </c>
      <c r="X33" s="193">
        <f>IF(SUMPRODUCT((('Full month Pivot'!$B$3:$B$400=$A$27) + ('Full month Pivot'!$A$3:$A$400=$A$27) &gt; 0) * (TRIM('Full month Pivot'!$C$3:$C$400)=TRIM($A33)) * ('Full month Pivot'!$D$2:$K$2=X$2) * 'Full month Pivot'!$D$3:$K$400)&gt;0, SUMPRODUCT((('Full month Pivot'!$B$3:$B$400=$A$27) + ('Full month Pivot'!$A$3:$A$400=$A$27) &gt; 0) * (TRIM('Full month Pivot'!$C$3:$C$400)=TRIM($A33)) * ('Full month Pivot'!$D$2:$K$2=X$2) * 'Full month Pivot'!$D$3:$K$400), "")</f>
        <v/>
      </c>
      <c r="Y33" s="193">
        <f>IF(SUMPRODUCT((('Full month Pivot'!$B$3:$B$400=$A$27) + ('Full month Pivot'!$A$3:$A$400=$A$27) &gt; 0) * (TRIM('Full month Pivot'!$C$3:$C$400)=TRIM($A33)) * ('Full month Pivot'!$D$2:$K$2=Y$2) * 'Full month Pivot'!$D$3:$K$400)&gt;0, SUMPRODUCT((('Full month Pivot'!$B$3:$B$400=$A$27) + ('Full month Pivot'!$A$3:$A$400=$A$27) &gt; 0) * (TRIM('Full month Pivot'!$C$3:$C$400)=TRIM($A33)) * ('Full month Pivot'!$D$2:$K$2=Y$2) * 'Full month Pivot'!$D$3:$K$400), "")</f>
        <v/>
      </c>
      <c r="Z33" s="193">
        <f>IF(SUMPRODUCT((('Full month Pivot'!$B$3:$B$400=$A$27) + ('Full month Pivot'!$A$3:$A$400=$A$27) &gt; 0) * (TRIM('Full month Pivot'!$C$3:$C$400)=TRIM($A33)) * ('Full month Pivot'!$D$2:$K$2=Z$2) * 'Full month Pivot'!$D$3:$K$400)&gt;0, SUMPRODUCT((('Full month Pivot'!$B$3:$B$400=$A$27) + ('Full month Pivot'!$A$3:$A$400=$A$27) &gt; 0) * (TRIM('Full month Pivot'!$C$3:$C$400)=TRIM($A33)) * ('Full month Pivot'!$D$2:$K$2=Z$2) * 'Full month Pivot'!$D$3:$K$400), "")</f>
        <v/>
      </c>
      <c r="AA33" s="157">
        <f>IF(AND(ISNUMBER(X33), ISNUMBER(W33), W33&gt;0), (X33-W33)/W33, "")</f>
        <v/>
      </c>
      <c r="AB33" s="140" t="n"/>
      <c r="AC33" s="140" t="n"/>
      <c r="AD33" s="140" t="n"/>
    </row>
    <row r="34" ht="15.75" customHeight="1" s="346">
      <c r="A34" s="202" t="inlineStr">
        <is>
          <t xml:space="preserve">  Paid</t>
        </is>
      </c>
      <c r="B34" s="193">
        <f>IF(SUMPRODUCT((('MTD Pivot'!$B$3:$B$400=$A$27) + ('MTD Pivot'!$A$3:$A$400=$A$27) &gt; 0) * (TRIM('MTD Pivot'!$C$3:$C$400)=TRIM($A34)) * ('MTD Pivot'!$D$2:$K$2=B$2) * 'MTD Pivot'!$D$3:$K$400)&gt;0, SUMPRODUCT((('MTD Pivot'!$B$3:$B$400=$A$27) + ('MTD Pivot'!$A$3:$A$400=$A$27) &gt; 0) * (TRIM('MTD Pivot'!$C$3:$C$400)=TRIM($A34)) * ('MTD Pivot'!$D$2:$K$2=B$2) * 'MTD Pivot'!$D$3:$K$400), "")</f>
        <v/>
      </c>
      <c r="C34" s="193">
        <f>IF(SUMPRODUCT((('MTD Pivot'!$B$3:$B$400=$A$27) + ('MTD Pivot'!$A$3:$A$400=$A$27) &gt; 0) * (TRIM('MTD Pivot'!$C$3:$C$400)=TRIM($A34)) * ('MTD Pivot'!$D$2:$K$2=C$2) * 'MTD Pivot'!$D$3:$K$400)&gt;0, SUMPRODUCT((('MTD Pivot'!$B$3:$B$400=$A$27) + ('MTD Pivot'!$A$3:$A$400=$A$27) &gt; 0) * (TRIM('MTD Pivot'!$C$3:$C$400)=TRIM($A34)) * ('MTD Pivot'!$D$2:$K$2=C$2) * 'MTD Pivot'!$D$3:$K$400), "")</f>
        <v/>
      </c>
      <c r="D34" s="193">
        <f>IF(SUMPRODUCT((('MTD Pivot'!$B$3:$B$400=$A$27) + ('MTD Pivot'!$A$3:$A$400=$A$27) &gt; 0) * (TRIM('MTD Pivot'!$C$3:$C$400)=TRIM($A34)) * ('MTD Pivot'!$D$2:$K$2=D$2) * 'MTD Pivot'!$D$3:$K$400)&gt;0, SUMPRODUCT((('MTD Pivot'!$B$3:$B$400=$A$27) + ('MTD Pivot'!$A$3:$A$400=$A$27) &gt; 0) * (TRIM('MTD Pivot'!$C$3:$C$400)=TRIM($A34)) * ('MTD Pivot'!$D$2:$K$2=D$2) * 'MTD Pivot'!$D$3:$K$400), "")</f>
        <v/>
      </c>
      <c r="E34" s="193">
        <f>IF(SUMPRODUCT((('MTD Pivot'!$B$3:$B$400=$A$27) + ('MTD Pivot'!$A$3:$A$400=$A$27) &gt; 0) * (TRIM('MTD Pivot'!$C$3:$C$400)=TRIM($A34)) * ('MTD Pivot'!$D$2:$K$2=E$2) * 'MTD Pivot'!$D$3:$K$400)&gt;0, SUMPRODUCT((('MTD Pivot'!$B$3:$B$400=$A$27) + ('MTD Pivot'!$A$3:$A$400=$A$27) &gt; 0) * (TRIM('MTD Pivot'!$C$3:$C$400)=TRIM($A34)) * ('MTD Pivot'!$D$2:$K$2=E$2) * 'MTD Pivot'!$D$3:$K$400), "")</f>
        <v/>
      </c>
      <c r="F34" s="193">
        <f>IF(SUMPRODUCT((('MTD Pivot'!$B$3:$B$400=$A$27) + ('MTD Pivot'!$A$3:$A$400=$A$27) &gt; 0) * (TRIM('MTD Pivot'!$C$3:$C$400)=TRIM($A34)) * ('MTD Pivot'!$D$2:$K$2=F$2) * 'MTD Pivot'!$D$3:$K$400)&gt;0, SUMPRODUCT((('MTD Pivot'!$B$3:$B$400=$A$27) + ('MTD Pivot'!$A$3:$A$400=$A$27) &gt; 0) * (TRIM('MTD Pivot'!$C$3:$C$400)=TRIM($A34)) * ('MTD Pivot'!$D$2:$K$2=F$2) * 'MTD Pivot'!$D$3:$K$400), "")</f>
        <v/>
      </c>
      <c r="G34" s="193">
        <f>IF(SUMPRODUCT((('MTD Pivot'!$B$3:$B$400=$A$27) + ('MTD Pivot'!$A$3:$A$400=$A$27) &gt; 0) * (TRIM('MTD Pivot'!$C$3:$C$400)=TRIM($A34)) * ('MTD Pivot'!$D$2:$K$2=G$2) * 'MTD Pivot'!$D$3:$K$400)&gt;0, SUMPRODUCT((('MTD Pivot'!$B$3:$B$400=$A$27) + ('MTD Pivot'!$A$3:$A$400=$A$27) &gt; 0) * (TRIM('MTD Pivot'!$C$3:$C$400)=TRIM($A34)) * ('MTD Pivot'!$D$2:$K$2=G$2) * 'MTD Pivot'!$D$3:$K$400), "")</f>
        <v/>
      </c>
      <c r="H34" s="193">
        <f>IF(SUMPRODUCT((('MTD Pivot'!$B$3:$B$400=$A$27) + ('MTD Pivot'!$A$3:$A$400=$A$27) &gt; 0) * (TRIM('MTD Pivot'!$C$3:$C$400)=TRIM($A34)) * ('MTD Pivot'!$D$2:$K$2=H$2) * 'MTD Pivot'!$D$3:$K$400)&gt;0, SUMPRODUCT((('MTD Pivot'!$B$3:$B$400=$A$27) + ('MTD Pivot'!$A$3:$A$400=$A$27) &gt; 0) * (TRIM('MTD Pivot'!$C$3:$C$400)=TRIM($A34)) * ('MTD Pivot'!$D$2:$K$2=H$2) * 'MTD Pivot'!$D$3:$K$400), "")</f>
        <v/>
      </c>
      <c r="I34" s="193">
        <f>IF(SUMPRODUCT((('MTD Pivot'!$B$3:$B$400=$A$27) + ('MTD Pivot'!$A$3:$A$400=$A$27) &gt; 0) * (TRIM('MTD Pivot'!$C$3:$C$400)=TRIM($A34)) * ('MTD Pivot'!$D$2:$K$2=I$2) * 'MTD Pivot'!$D$3:$K$400)&gt;0, SUMPRODUCT((('MTD Pivot'!$B$3:$B$400=$A$27) + ('MTD Pivot'!$A$3:$A$400=$A$27) &gt; 0) * (TRIM('MTD Pivot'!$C$3:$C$400)=TRIM($A34)) * ('MTD Pivot'!$D$2:$K$2=I$2) * 'MTD Pivot'!$D$3:$K$400), "")</f>
        <v/>
      </c>
      <c r="J34" s="193">
        <f>IF(SUMPRODUCT((('MTD Pivot'!$B$3:$B$400=$A$27) + ('MTD Pivot'!$A$3:$A$400=$A$27) &gt; 0) * (TRIM('MTD Pivot'!$C$3:$C$400)=TRIM($A34)) * ('MTD Pivot'!$D$2:$K$2=J$2) * 'MTD Pivot'!$D$3:$K$400)&gt;0, SUMPRODUCT((('MTD Pivot'!$B$3:$B$400=$A$27) + ('MTD Pivot'!$A$3:$A$400=$A$27) &gt; 0) * (TRIM('MTD Pivot'!$C$3:$C$400)=TRIM($A34)) * ('MTD Pivot'!$D$2:$K$2=J$2) * 'MTD Pivot'!$D$3:$K$400), "")</f>
        <v/>
      </c>
      <c r="K34" s="193">
        <f>IF(SUMPRODUCT((('MTD Pivot'!$B$3:$B$400=$A$27) + ('MTD Pivot'!$A$3:$A$400=$A$27) &gt; 0) * (TRIM('MTD Pivot'!$C$3:$C$400)=TRIM($A34)) * ('MTD Pivot'!$D$2:$K$2=K$2) * 'MTD Pivot'!$D$3:$K$400)&gt;0, SUMPRODUCT((('MTD Pivot'!$B$3:$B$400=$A$27) + ('MTD Pivot'!$A$3:$A$400=$A$27) &gt; 0) * (TRIM('MTD Pivot'!$C$3:$C$400)=TRIM($A34)) * ('MTD Pivot'!$D$2:$K$2=K$2) * 'MTD Pivot'!$D$3:$K$400), "")</f>
        <v/>
      </c>
      <c r="L34" s="193">
        <f>IF(SUMPRODUCT((('MTD Pivot'!$B$3:$B$400=$A$27) + ('MTD Pivot'!$A$3:$A$400=$A$27) &gt; 0) * (TRIM('MTD Pivot'!$C$3:$C$400)=TRIM($A34)) * ('MTD Pivot'!$D$2:$K$2=L$2) * 'MTD Pivot'!$D$3:$K$400)&gt;0, SUMPRODUCT((('MTD Pivot'!$B$3:$B$400=$A$27) + ('MTD Pivot'!$A$3:$A$400=$A$27) &gt; 0) * (TRIM('MTD Pivot'!$C$3:$C$400)=TRIM($A34)) * ('MTD Pivot'!$D$2:$K$2=L$2) * 'MTD Pivot'!$D$3:$K$400), "")</f>
        <v/>
      </c>
      <c r="M34" s="193">
        <f>IF(SUMPRODUCT((('MTD Pivot'!$B$3:$B$400=$A$27) + ('MTD Pivot'!$A$3:$A$400=$A$27) &gt; 0) * (TRIM('MTD Pivot'!$C$3:$C$400)=TRIM($A34)) * ('MTD Pivot'!$D$2:$K$2=M$2) * 'MTD Pivot'!$D$3:$K$400)&gt;0, SUMPRODUCT((('MTD Pivot'!$B$3:$B$400=$A$27) + ('MTD Pivot'!$A$3:$A$400=$A$27) &gt; 0) * (TRIM('MTD Pivot'!$C$3:$C$400)=TRIM($A34)) * ('MTD Pivot'!$D$2:$K$2=M$2) * 'MTD Pivot'!$D$3:$K$400), "")</f>
        <v/>
      </c>
      <c r="N34" s="157">
        <f>IF(AND(ISNUMBER(K34), ISNUMBER(J34), J34&gt;0), (K34-J34)/J34, "")</f>
        <v/>
      </c>
      <c r="O34" s="193">
        <f>IF(SUMPRODUCT((('Full month Pivot'!$B$3:$B$400=$A$27) + ('Full month Pivot'!$A$3:$A$400=$A$27) &gt; 0) * (TRIM('Full month Pivot'!$C$3:$C$400)=TRIM($A34)) * ('Full month Pivot'!$D$2:$K$2=O$2) * 'Full month Pivot'!$D$3:$K$400)&gt;0, SUMPRODUCT((('Full month Pivot'!$B$3:$B$400=$A$27) + ('Full month Pivot'!$A$3:$A$400=$A$27) &gt; 0) * (TRIM('Full month Pivot'!$C$3:$C$400)=TRIM($A34)) * ('Full month Pivot'!$D$2:$K$2=O$2) * 'Full month Pivot'!$D$3:$K$400), "")</f>
        <v/>
      </c>
      <c r="P34" s="193">
        <f>IF(SUMPRODUCT((('Full month Pivot'!$B$3:$B$400=$A$27) + ('Full month Pivot'!$A$3:$A$400=$A$27) &gt; 0) * (TRIM('Full month Pivot'!$C$3:$C$400)=TRIM($A34)) * ('Full month Pivot'!$D$2:$K$2=P$2) * 'Full month Pivot'!$D$3:$K$400)&gt;0, SUMPRODUCT((('Full month Pivot'!$B$3:$B$400=$A$27) + ('Full month Pivot'!$A$3:$A$400=$A$27) &gt; 0) * (TRIM('Full month Pivot'!$C$3:$C$400)=TRIM($A34)) * ('Full month Pivot'!$D$2:$K$2=P$2) * 'Full month Pivot'!$D$3:$K$400), "")</f>
        <v/>
      </c>
      <c r="Q34" s="193">
        <f>IF(SUMPRODUCT((('Full month Pivot'!$B$3:$B$400=$A$27) + ('Full month Pivot'!$A$3:$A$400=$A$27) &gt; 0) * (TRIM('Full month Pivot'!$C$3:$C$400)=TRIM($A34)) * ('Full month Pivot'!$D$2:$K$2=Q$2) * 'Full month Pivot'!$D$3:$K$400)&gt;0, SUMPRODUCT((('Full month Pivot'!$B$3:$B$400=$A$27) + ('Full month Pivot'!$A$3:$A$400=$A$27) &gt; 0) * (TRIM('Full month Pivot'!$C$3:$C$400)=TRIM($A34)) * ('Full month Pivot'!$D$2:$K$2=Q$2) * 'Full month Pivot'!$D$3:$K$400), "")</f>
        <v/>
      </c>
      <c r="R34" s="193">
        <f>IF(SUMPRODUCT((('Full month Pivot'!$B$3:$B$400=$A$27) + ('Full month Pivot'!$A$3:$A$400=$A$27) &gt; 0) * (TRIM('Full month Pivot'!$C$3:$C$400)=TRIM($A34)) * ('Full month Pivot'!$D$2:$K$2=R$2) * 'Full month Pivot'!$D$3:$K$400)&gt;0, SUMPRODUCT((('Full month Pivot'!$B$3:$B$400=$A$27) + ('Full month Pivot'!$A$3:$A$400=$A$27) &gt; 0) * (TRIM('Full month Pivot'!$C$3:$C$400)=TRIM($A34)) * ('Full month Pivot'!$D$2:$K$2=R$2) * 'Full month Pivot'!$D$3:$K$400), "")</f>
        <v/>
      </c>
      <c r="S34" s="193">
        <f>IF(SUMPRODUCT((('Full month Pivot'!$B$3:$B$400=$A$27) + ('Full month Pivot'!$A$3:$A$400=$A$27) &gt; 0) * (TRIM('Full month Pivot'!$C$3:$C$400)=TRIM($A34)) * ('Full month Pivot'!$D$2:$K$2=S$2) * 'Full month Pivot'!$D$3:$K$400)&gt;0, SUMPRODUCT((('Full month Pivot'!$B$3:$B$400=$A$27) + ('Full month Pivot'!$A$3:$A$400=$A$27) &gt; 0) * (TRIM('Full month Pivot'!$C$3:$C$400)=TRIM($A34)) * ('Full month Pivot'!$D$2:$K$2=S$2) * 'Full month Pivot'!$D$3:$K$400), "")</f>
        <v/>
      </c>
      <c r="T34" s="193">
        <f>IF(SUMPRODUCT((('Full month Pivot'!$B$3:$B$400=$A$27) + ('Full month Pivot'!$A$3:$A$400=$A$27) &gt; 0) * (TRIM('Full month Pivot'!$C$3:$C$400)=TRIM($A34)) * ('Full month Pivot'!$D$2:$K$2=T$2) * 'Full month Pivot'!$D$3:$K$400)&gt;0, SUMPRODUCT((('Full month Pivot'!$B$3:$B$400=$A$27) + ('Full month Pivot'!$A$3:$A$400=$A$27) &gt; 0) * (TRIM('Full month Pivot'!$C$3:$C$400)=TRIM($A34)) * ('Full month Pivot'!$D$2:$K$2=T$2) * 'Full month Pivot'!$D$3:$K$400), "")</f>
        <v/>
      </c>
      <c r="U34" s="193">
        <f>IF(SUMPRODUCT((('Full month Pivot'!$B$3:$B$400=$A$27) + ('Full month Pivot'!$A$3:$A$400=$A$27) &gt; 0) * (TRIM('Full month Pivot'!$C$3:$C$400)=TRIM($A34)) * ('Full month Pivot'!$D$2:$K$2=U$2) * 'Full month Pivot'!$D$3:$K$400)&gt;0, SUMPRODUCT((('Full month Pivot'!$B$3:$B$400=$A$27) + ('Full month Pivot'!$A$3:$A$400=$A$27) &gt; 0) * (TRIM('Full month Pivot'!$C$3:$C$400)=TRIM($A34)) * ('Full month Pivot'!$D$2:$K$2=U$2) * 'Full month Pivot'!$D$3:$K$400), "")</f>
        <v/>
      </c>
      <c r="V34" s="193">
        <f>IF(SUMPRODUCT((('Full month Pivot'!$B$3:$B$400=$A$27) + ('Full month Pivot'!$A$3:$A$400=$A$27) &gt; 0) * (TRIM('Full month Pivot'!$C$3:$C$400)=TRIM($A34)) * ('Full month Pivot'!$D$2:$K$2=V$2) * 'Full month Pivot'!$D$3:$K$400)&gt;0, SUMPRODUCT((('Full month Pivot'!$B$3:$B$400=$A$27) + ('Full month Pivot'!$A$3:$A$400=$A$27) &gt; 0) * (TRIM('Full month Pivot'!$C$3:$C$400)=TRIM($A34)) * ('Full month Pivot'!$D$2:$K$2=V$2) * 'Full month Pivot'!$D$3:$K$400), "")</f>
        <v/>
      </c>
      <c r="W34" s="193">
        <f>IF(SUMPRODUCT((('Full month Pivot'!$B$3:$B$400=$A$27) + ('Full month Pivot'!$A$3:$A$400=$A$27) &gt; 0) * (TRIM('Full month Pivot'!$C$3:$C$400)=TRIM($A34)) * ('Full month Pivot'!$D$2:$K$2=W$2) * 'Full month Pivot'!$D$3:$K$400)&gt;0, SUMPRODUCT((('Full month Pivot'!$B$3:$B$400=$A$27) + ('Full month Pivot'!$A$3:$A$400=$A$27) &gt; 0) * (TRIM('Full month Pivot'!$C$3:$C$400)=TRIM($A34)) * ('Full month Pivot'!$D$2:$K$2=W$2) * 'Full month Pivot'!$D$3:$K$400), "")</f>
        <v/>
      </c>
      <c r="X34" s="193">
        <f>IF(SUMPRODUCT((('Full month Pivot'!$B$3:$B$400=$A$27) + ('Full month Pivot'!$A$3:$A$400=$A$27) &gt; 0) * (TRIM('Full month Pivot'!$C$3:$C$400)=TRIM($A34)) * ('Full month Pivot'!$D$2:$K$2=X$2) * 'Full month Pivot'!$D$3:$K$400)&gt;0, SUMPRODUCT((('Full month Pivot'!$B$3:$B$400=$A$27) + ('Full month Pivot'!$A$3:$A$400=$A$27) &gt; 0) * (TRIM('Full month Pivot'!$C$3:$C$400)=TRIM($A34)) * ('Full month Pivot'!$D$2:$K$2=X$2) * 'Full month Pivot'!$D$3:$K$400), "")</f>
        <v/>
      </c>
      <c r="Y34" s="193">
        <f>IF(SUMPRODUCT((('Full month Pivot'!$B$3:$B$400=$A$27) + ('Full month Pivot'!$A$3:$A$400=$A$27) &gt; 0) * (TRIM('Full month Pivot'!$C$3:$C$400)=TRIM($A34)) * ('Full month Pivot'!$D$2:$K$2=Y$2) * 'Full month Pivot'!$D$3:$K$400)&gt;0, SUMPRODUCT((('Full month Pivot'!$B$3:$B$400=$A$27) + ('Full month Pivot'!$A$3:$A$400=$A$27) &gt; 0) * (TRIM('Full month Pivot'!$C$3:$C$400)=TRIM($A34)) * ('Full month Pivot'!$D$2:$K$2=Y$2) * 'Full month Pivot'!$D$3:$K$400), "")</f>
        <v/>
      </c>
      <c r="Z34" s="193">
        <f>IF(SUMPRODUCT((('Full month Pivot'!$B$3:$B$400=$A$27) + ('Full month Pivot'!$A$3:$A$400=$A$27) &gt; 0) * (TRIM('Full month Pivot'!$C$3:$C$400)=TRIM($A34)) * ('Full month Pivot'!$D$2:$K$2=Z$2) * 'Full month Pivot'!$D$3:$K$400)&gt;0, SUMPRODUCT((('Full month Pivot'!$B$3:$B$400=$A$27) + ('Full month Pivot'!$A$3:$A$400=$A$27) &gt; 0) * (TRIM('Full month Pivot'!$C$3:$C$400)=TRIM($A34)) * ('Full month Pivot'!$D$2:$K$2=Z$2) * 'Full month Pivot'!$D$3:$K$400), "")</f>
        <v/>
      </c>
      <c r="AA34" s="157">
        <f>IF(AND(ISNUMBER(X34), ISNUMBER(W34), W34&gt;0), (X34-W34)/W34, "")</f>
        <v/>
      </c>
      <c r="AB34" s="140" t="n"/>
      <c r="AC34" s="140" t="n"/>
      <c r="AD34" s="140" t="n"/>
    </row>
    <row r="35" ht="15.75" customHeight="1" s="346">
      <c r="A35" s="202" t="inlineStr">
        <is>
          <t xml:space="preserve">  Direct</t>
        </is>
      </c>
      <c r="B35" s="193">
        <f>IF(SUMPRODUCT((('MTD Pivot'!$B$3:$B$400=$A$27) + ('MTD Pivot'!$A$3:$A$400=$A$27) &gt; 0) * (TRIM('MTD Pivot'!$C$3:$C$400)=TRIM($A35)) * ('MTD Pivot'!$D$2:$K$2=B$2) * 'MTD Pivot'!$D$3:$K$400)&gt;0, SUMPRODUCT((('MTD Pivot'!$B$3:$B$400=$A$27) + ('MTD Pivot'!$A$3:$A$400=$A$27) &gt; 0) * (TRIM('MTD Pivot'!$C$3:$C$400)=TRIM($A35)) * ('MTD Pivot'!$D$2:$K$2=B$2) * 'MTD Pivot'!$D$3:$K$400), "")</f>
        <v/>
      </c>
      <c r="C35" s="193">
        <f>IF(SUMPRODUCT((('MTD Pivot'!$B$3:$B$400=$A$27) + ('MTD Pivot'!$A$3:$A$400=$A$27) &gt; 0) * (TRIM('MTD Pivot'!$C$3:$C$400)=TRIM($A35)) * ('MTD Pivot'!$D$2:$K$2=C$2) * 'MTD Pivot'!$D$3:$K$400)&gt;0, SUMPRODUCT((('MTD Pivot'!$B$3:$B$400=$A$27) + ('MTD Pivot'!$A$3:$A$400=$A$27) &gt; 0) * (TRIM('MTD Pivot'!$C$3:$C$400)=TRIM($A35)) * ('MTD Pivot'!$D$2:$K$2=C$2) * 'MTD Pivot'!$D$3:$K$400), "")</f>
        <v/>
      </c>
      <c r="D35" s="193">
        <f>IF(SUMPRODUCT((('MTD Pivot'!$B$3:$B$400=$A$27) + ('MTD Pivot'!$A$3:$A$400=$A$27) &gt; 0) * (TRIM('MTD Pivot'!$C$3:$C$400)=TRIM($A35)) * ('MTD Pivot'!$D$2:$K$2=D$2) * 'MTD Pivot'!$D$3:$K$400)&gt;0, SUMPRODUCT((('MTD Pivot'!$B$3:$B$400=$A$27) + ('MTD Pivot'!$A$3:$A$400=$A$27) &gt; 0) * (TRIM('MTD Pivot'!$C$3:$C$400)=TRIM($A35)) * ('MTD Pivot'!$D$2:$K$2=D$2) * 'MTD Pivot'!$D$3:$K$400), "")</f>
        <v/>
      </c>
      <c r="E35" s="193">
        <f>IF(SUMPRODUCT((('MTD Pivot'!$B$3:$B$400=$A$27) + ('MTD Pivot'!$A$3:$A$400=$A$27) &gt; 0) * (TRIM('MTD Pivot'!$C$3:$C$400)=TRIM($A35)) * ('MTD Pivot'!$D$2:$K$2=E$2) * 'MTD Pivot'!$D$3:$K$400)&gt;0, SUMPRODUCT((('MTD Pivot'!$B$3:$B$400=$A$27) + ('MTD Pivot'!$A$3:$A$400=$A$27) &gt; 0) * (TRIM('MTD Pivot'!$C$3:$C$400)=TRIM($A35)) * ('MTD Pivot'!$D$2:$K$2=E$2) * 'MTD Pivot'!$D$3:$K$400), "")</f>
        <v/>
      </c>
      <c r="F35" s="193">
        <f>IF(SUMPRODUCT((('MTD Pivot'!$B$3:$B$400=$A$27) + ('MTD Pivot'!$A$3:$A$400=$A$27) &gt; 0) * (TRIM('MTD Pivot'!$C$3:$C$400)=TRIM($A35)) * ('MTD Pivot'!$D$2:$K$2=F$2) * 'MTD Pivot'!$D$3:$K$400)&gt;0, SUMPRODUCT((('MTD Pivot'!$B$3:$B$400=$A$27) + ('MTD Pivot'!$A$3:$A$400=$A$27) &gt; 0) * (TRIM('MTD Pivot'!$C$3:$C$400)=TRIM($A35)) * ('MTD Pivot'!$D$2:$K$2=F$2) * 'MTD Pivot'!$D$3:$K$400), "")</f>
        <v/>
      </c>
      <c r="G35" s="193">
        <f>IF(SUMPRODUCT((('MTD Pivot'!$B$3:$B$400=$A$27) + ('MTD Pivot'!$A$3:$A$400=$A$27) &gt; 0) * (TRIM('MTD Pivot'!$C$3:$C$400)=TRIM($A35)) * ('MTD Pivot'!$D$2:$K$2=G$2) * 'MTD Pivot'!$D$3:$K$400)&gt;0, SUMPRODUCT((('MTD Pivot'!$B$3:$B$400=$A$27) + ('MTD Pivot'!$A$3:$A$400=$A$27) &gt; 0) * (TRIM('MTD Pivot'!$C$3:$C$400)=TRIM($A35)) * ('MTD Pivot'!$D$2:$K$2=G$2) * 'MTD Pivot'!$D$3:$K$400), "")</f>
        <v/>
      </c>
      <c r="H35" s="193">
        <f>IF(SUMPRODUCT((('MTD Pivot'!$B$3:$B$400=$A$27) + ('MTD Pivot'!$A$3:$A$400=$A$27) &gt; 0) * (TRIM('MTD Pivot'!$C$3:$C$400)=TRIM($A35)) * ('MTD Pivot'!$D$2:$K$2=H$2) * 'MTD Pivot'!$D$3:$K$400)&gt;0, SUMPRODUCT((('MTD Pivot'!$B$3:$B$400=$A$27) + ('MTD Pivot'!$A$3:$A$400=$A$27) &gt; 0) * (TRIM('MTD Pivot'!$C$3:$C$400)=TRIM($A35)) * ('MTD Pivot'!$D$2:$K$2=H$2) * 'MTD Pivot'!$D$3:$K$400), "")</f>
        <v/>
      </c>
      <c r="I35" s="193">
        <f>IF(SUMPRODUCT((('MTD Pivot'!$B$3:$B$400=$A$27) + ('MTD Pivot'!$A$3:$A$400=$A$27) &gt; 0) * (TRIM('MTD Pivot'!$C$3:$C$400)=TRIM($A35)) * ('MTD Pivot'!$D$2:$K$2=I$2) * 'MTD Pivot'!$D$3:$K$400)&gt;0, SUMPRODUCT((('MTD Pivot'!$B$3:$B$400=$A$27) + ('MTD Pivot'!$A$3:$A$400=$A$27) &gt; 0) * (TRIM('MTD Pivot'!$C$3:$C$400)=TRIM($A35)) * ('MTD Pivot'!$D$2:$K$2=I$2) * 'MTD Pivot'!$D$3:$K$400), "")</f>
        <v/>
      </c>
      <c r="J35" s="193">
        <f>IF(SUMPRODUCT((('MTD Pivot'!$B$3:$B$400=$A$27) + ('MTD Pivot'!$A$3:$A$400=$A$27) &gt; 0) * (TRIM('MTD Pivot'!$C$3:$C$400)=TRIM($A35)) * ('MTD Pivot'!$D$2:$K$2=J$2) * 'MTD Pivot'!$D$3:$K$400)&gt;0, SUMPRODUCT((('MTD Pivot'!$B$3:$B$400=$A$27) + ('MTD Pivot'!$A$3:$A$400=$A$27) &gt; 0) * (TRIM('MTD Pivot'!$C$3:$C$400)=TRIM($A35)) * ('MTD Pivot'!$D$2:$K$2=J$2) * 'MTD Pivot'!$D$3:$K$400), "")</f>
        <v/>
      </c>
      <c r="K35" s="193">
        <f>IF(SUMPRODUCT((('MTD Pivot'!$B$3:$B$400=$A$27) + ('MTD Pivot'!$A$3:$A$400=$A$27) &gt; 0) * (TRIM('MTD Pivot'!$C$3:$C$400)=TRIM($A35)) * ('MTD Pivot'!$D$2:$K$2=K$2) * 'MTD Pivot'!$D$3:$K$400)&gt;0, SUMPRODUCT((('MTD Pivot'!$B$3:$B$400=$A$27) + ('MTD Pivot'!$A$3:$A$400=$A$27) &gt; 0) * (TRIM('MTD Pivot'!$C$3:$C$400)=TRIM($A35)) * ('MTD Pivot'!$D$2:$K$2=K$2) * 'MTD Pivot'!$D$3:$K$400), "")</f>
        <v/>
      </c>
      <c r="L35" s="193">
        <f>IF(SUMPRODUCT((('MTD Pivot'!$B$3:$B$400=$A$27) + ('MTD Pivot'!$A$3:$A$400=$A$27) &gt; 0) * (TRIM('MTD Pivot'!$C$3:$C$400)=TRIM($A35)) * ('MTD Pivot'!$D$2:$K$2=L$2) * 'MTD Pivot'!$D$3:$K$400)&gt;0, SUMPRODUCT((('MTD Pivot'!$B$3:$B$400=$A$27) + ('MTD Pivot'!$A$3:$A$400=$A$27) &gt; 0) * (TRIM('MTD Pivot'!$C$3:$C$400)=TRIM($A35)) * ('MTD Pivot'!$D$2:$K$2=L$2) * 'MTD Pivot'!$D$3:$K$400), "")</f>
        <v/>
      </c>
      <c r="M35" s="193">
        <f>IF(SUMPRODUCT((('MTD Pivot'!$B$3:$B$400=$A$27) + ('MTD Pivot'!$A$3:$A$400=$A$27) &gt; 0) * (TRIM('MTD Pivot'!$C$3:$C$400)=TRIM($A35)) * ('MTD Pivot'!$D$2:$K$2=M$2) * 'MTD Pivot'!$D$3:$K$400)&gt;0, SUMPRODUCT((('MTD Pivot'!$B$3:$B$400=$A$27) + ('MTD Pivot'!$A$3:$A$400=$A$27) &gt; 0) * (TRIM('MTD Pivot'!$C$3:$C$400)=TRIM($A35)) * ('MTD Pivot'!$D$2:$K$2=M$2) * 'MTD Pivot'!$D$3:$K$400), "")</f>
        <v/>
      </c>
      <c r="N35" s="157">
        <f>IF(AND(ISNUMBER(K35), ISNUMBER(J35), J35&gt;0), (K35-J35)/J35, "")</f>
        <v/>
      </c>
      <c r="O35" s="193">
        <f>IF(SUMPRODUCT((('Full month Pivot'!$B$3:$B$400=$A$27) + ('Full month Pivot'!$A$3:$A$400=$A$27) &gt; 0) * (TRIM('Full month Pivot'!$C$3:$C$400)=TRIM($A35)) * ('Full month Pivot'!$D$2:$K$2=O$2) * 'Full month Pivot'!$D$3:$K$400)&gt;0, SUMPRODUCT((('Full month Pivot'!$B$3:$B$400=$A$27) + ('Full month Pivot'!$A$3:$A$400=$A$27) &gt; 0) * (TRIM('Full month Pivot'!$C$3:$C$400)=TRIM($A35)) * ('Full month Pivot'!$D$2:$K$2=O$2) * 'Full month Pivot'!$D$3:$K$400), "")</f>
        <v/>
      </c>
      <c r="P35" s="193">
        <f>IF(SUMPRODUCT((('Full month Pivot'!$B$3:$B$400=$A$27) + ('Full month Pivot'!$A$3:$A$400=$A$27) &gt; 0) * (TRIM('Full month Pivot'!$C$3:$C$400)=TRIM($A35)) * ('Full month Pivot'!$D$2:$K$2=P$2) * 'Full month Pivot'!$D$3:$K$400)&gt;0, SUMPRODUCT((('Full month Pivot'!$B$3:$B$400=$A$27) + ('Full month Pivot'!$A$3:$A$400=$A$27) &gt; 0) * (TRIM('Full month Pivot'!$C$3:$C$400)=TRIM($A35)) * ('Full month Pivot'!$D$2:$K$2=P$2) * 'Full month Pivot'!$D$3:$K$400), "")</f>
        <v/>
      </c>
      <c r="Q35" s="193">
        <f>IF(SUMPRODUCT((('Full month Pivot'!$B$3:$B$400=$A$27) + ('Full month Pivot'!$A$3:$A$400=$A$27) &gt; 0) * (TRIM('Full month Pivot'!$C$3:$C$400)=TRIM($A35)) * ('Full month Pivot'!$D$2:$K$2=Q$2) * 'Full month Pivot'!$D$3:$K$400)&gt;0, SUMPRODUCT((('Full month Pivot'!$B$3:$B$400=$A$27) + ('Full month Pivot'!$A$3:$A$400=$A$27) &gt; 0) * (TRIM('Full month Pivot'!$C$3:$C$400)=TRIM($A35)) * ('Full month Pivot'!$D$2:$K$2=Q$2) * 'Full month Pivot'!$D$3:$K$400), "")</f>
        <v/>
      </c>
      <c r="R35" s="193">
        <f>IF(SUMPRODUCT((('Full month Pivot'!$B$3:$B$400=$A$27) + ('Full month Pivot'!$A$3:$A$400=$A$27) &gt; 0) * (TRIM('Full month Pivot'!$C$3:$C$400)=TRIM($A35)) * ('Full month Pivot'!$D$2:$K$2=R$2) * 'Full month Pivot'!$D$3:$K$400)&gt;0, SUMPRODUCT((('Full month Pivot'!$B$3:$B$400=$A$27) + ('Full month Pivot'!$A$3:$A$400=$A$27) &gt; 0) * (TRIM('Full month Pivot'!$C$3:$C$400)=TRIM($A35)) * ('Full month Pivot'!$D$2:$K$2=R$2) * 'Full month Pivot'!$D$3:$K$400), "")</f>
        <v/>
      </c>
      <c r="S35" s="193">
        <f>IF(SUMPRODUCT((('Full month Pivot'!$B$3:$B$400=$A$27) + ('Full month Pivot'!$A$3:$A$400=$A$27) &gt; 0) * (TRIM('Full month Pivot'!$C$3:$C$400)=TRIM($A35)) * ('Full month Pivot'!$D$2:$K$2=S$2) * 'Full month Pivot'!$D$3:$K$400)&gt;0, SUMPRODUCT((('Full month Pivot'!$B$3:$B$400=$A$27) + ('Full month Pivot'!$A$3:$A$400=$A$27) &gt; 0) * (TRIM('Full month Pivot'!$C$3:$C$400)=TRIM($A35)) * ('Full month Pivot'!$D$2:$K$2=S$2) * 'Full month Pivot'!$D$3:$K$400), "")</f>
        <v/>
      </c>
      <c r="T35" s="193">
        <f>IF(SUMPRODUCT((('Full month Pivot'!$B$3:$B$400=$A$27) + ('Full month Pivot'!$A$3:$A$400=$A$27) &gt; 0) * (TRIM('Full month Pivot'!$C$3:$C$400)=TRIM($A35)) * ('Full month Pivot'!$D$2:$K$2=T$2) * 'Full month Pivot'!$D$3:$K$400)&gt;0, SUMPRODUCT((('Full month Pivot'!$B$3:$B$400=$A$27) + ('Full month Pivot'!$A$3:$A$400=$A$27) &gt; 0) * (TRIM('Full month Pivot'!$C$3:$C$400)=TRIM($A35)) * ('Full month Pivot'!$D$2:$K$2=T$2) * 'Full month Pivot'!$D$3:$K$400), "")</f>
        <v/>
      </c>
      <c r="U35" s="193">
        <f>IF(SUMPRODUCT((('Full month Pivot'!$B$3:$B$400=$A$27) + ('Full month Pivot'!$A$3:$A$400=$A$27) &gt; 0) * (TRIM('Full month Pivot'!$C$3:$C$400)=TRIM($A35)) * ('Full month Pivot'!$D$2:$K$2=U$2) * 'Full month Pivot'!$D$3:$K$400)&gt;0, SUMPRODUCT((('Full month Pivot'!$B$3:$B$400=$A$27) + ('Full month Pivot'!$A$3:$A$400=$A$27) &gt; 0) * (TRIM('Full month Pivot'!$C$3:$C$400)=TRIM($A35)) * ('Full month Pivot'!$D$2:$K$2=U$2) * 'Full month Pivot'!$D$3:$K$400), "")</f>
        <v/>
      </c>
      <c r="V35" s="193">
        <f>IF(SUMPRODUCT((('Full month Pivot'!$B$3:$B$400=$A$27) + ('Full month Pivot'!$A$3:$A$400=$A$27) &gt; 0) * (TRIM('Full month Pivot'!$C$3:$C$400)=TRIM($A35)) * ('Full month Pivot'!$D$2:$K$2=V$2) * 'Full month Pivot'!$D$3:$K$400)&gt;0, SUMPRODUCT((('Full month Pivot'!$B$3:$B$400=$A$27) + ('Full month Pivot'!$A$3:$A$400=$A$27) &gt; 0) * (TRIM('Full month Pivot'!$C$3:$C$400)=TRIM($A35)) * ('Full month Pivot'!$D$2:$K$2=V$2) * 'Full month Pivot'!$D$3:$K$400), "")</f>
        <v/>
      </c>
      <c r="W35" s="193">
        <f>IF(SUMPRODUCT((('Full month Pivot'!$B$3:$B$400=$A$27) + ('Full month Pivot'!$A$3:$A$400=$A$27) &gt; 0) * (TRIM('Full month Pivot'!$C$3:$C$400)=TRIM($A35)) * ('Full month Pivot'!$D$2:$K$2=W$2) * 'Full month Pivot'!$D$3:$K$400)&gt;0, SUMPRODUCT((('Full month Pivot'!$B$3:$B$400=$A$27) + ('Full month Pivot'!$A$3:$A$400=$A$27) &gt; 0) * (TRIM('Full month Pivot'!$C$3:$C$400)=TRIM($A35)) * ('Full month Pivot'!$D$2:$K$2=W$2) * 'Full month Pivot'!$D$3:$K$400), "")</f>
        <v/>
      </c>
      <c r="X35" s="193">
        <f>IF(SUMPRODUCT((('Full month Pivot'!$B$3:$B$400=$A$27) + ('Full month Pivot'!$A$3:$A$400=$A$27) &gt; 0) * (TRIM('Full month Pivot'!$C$3:$C$400)=TRIM($A35)) * ('Full month Pivot'!$D$2:$K$2=X$2) * 'Full month Pivot'!$D$3:$K$400)&gt;0, SUMPRODUCT((('Full month Pivot'!$B$3:$B$400=$A$27) + ('Full month Pivot'!$A$3:$A$400=$A$27) &gt; 0) * (TRIM('Full month Pivot'!$C$3:$C$400)=TRIM($A35)) * ('Full month Pivot'!$D$2:$K$2=X$2) * 'Full month Pivot'!$D$3:$K$400), "")</f>
        <v/>
      </c>
      <c r="Y35" s="193">
        <f>IF(SUMPRODUCT((('Full month Pivot'!$B$3:$B$400=$A$27) + ('Full month Pivot'!$A$3:$A$400=$A$27) &gt; 0) * (TRIM('Full month Pivot'!$C$3:$C$400)=TRIM($A35)) * ('Full month Pivot'!$D$2:$K$2=Y$2) * 'Full month Pivot'!$D$3:$K$400)&gt;0, SUMPRODUCT((('Full month Pivot'!$B$3:$B$400=$A$27) + ('Full month Pivot'!$A$3:$A$400=$A$27) &gt; 0) * (TRIM('Full month Pivot'!$C$3:$C$400)=TRIM($A35)) * ('Full month Pivot'!$D$2:$K$2=Y$2) * 'Full month Pivot'!$D$3:$K$400), "")</f>
        <v/>
      </c>
      <c r="Z35" s="193">
        <f>IF(SUMPRODUCT((('Full month Pivot'!$B$3:$B$400=$A$27) + ('Full month Pivot'!$A$3:$A$400=$A$27) &gt; 0) * (TRIM('Full month Pivot'!$C$3:$C$400)=TRIM($A35)) * ('Full month Pivot'!$D$2:$K$2=Z$2) * 'Full month Pivot'!$D$3:$K$400)&gt;0, SUMPRODUCT((('Full month Pivot'!$B$3:$B$400=$A$27) + ('Full month Pivot'!$A$3:$A$400=$A$27) &gt; 0) * (TRIM('Full month Pivot'!$C$3:$C$400)=TRIM($A35)) * ('Full month Pivot'!$D$2:$K$2=Z$2) * 'Full month Pivot'!$D$3:$K$400), "")</f>
        <v/>
      </c>
      <c r="AA35" s="157">
        <f>IF(AND(ISNUMBER(X35), ISNUMBER(W35), W35&gt;0), (X35-W35)/W35, "")</f>
        <v/>
      </c>
      <c r="AB35" s="140" t="n"/>
      <c r="AC35" s="140" t="n"/>
      <c r="AD35" s="140" t="n"/>
    </row>
    <row r="36" ht="15.75" customHeight="1" s="346">
      <c r="A36" s="202" t="inlineStr">
        <is>
          <t xml:space="preserve">  Referral</t>
        </is>
      </c>
      <c r="B36" s="193">
        <f>IF(SUMPRODUCT((('MTD Pivot'!$B$3:$B$400=$A$27) + ('MTD Pivot'!$A$3:$A$400=$A$27) &gt; 0) * (TRIM('MTD Pivot'!$C$3:$C$400)=TRIM($A36)) * ('MTD Pivot'!$D$2:$K$2=B$2) * 'MTD Pivot'!$D$3:$K$400)&gt;0, SUMPRODUCT((('MTD Pivot'!$B$3:$B$400=$A$27) + ('MTD Pivot'!$A$3:$A$400=$A$27) &gt; 0) * (TRIM('MTD Pivot'!$C$3:$C$400)=TRIM($A36)) * ('MTD Pivot'!$D$2:$K$2=B$2) * 'MTD Pivot'!$D$3:$K$400), "")</f>
        <v/>
      </c>
      <c r="C36" s="193">
        <f>IF(SUMPRODUCT((('MTD Pivot'!$B$3:$B$400=$A$27) + ('MTD Pivot'!$A$3:$A$400=$A$27) &gt; 0) * (TRIM('MTD Pivot'!$C$3:$C$400)=TRIM($A36)) * ('MTD Pivot'!$D$2:$K$2=C$2) * 'MTD Pivot'!$D$3:$K$400)&gt;0, SUMPRODUCT((('MTD Pivot'!$B$3:$B$400=$A$27) + ('MTD Pivot'!$A$3:$A$400=$A$27) &gt; 0) * (TRIM('MTD Pivot'!$C$3:$C$400)=TRIM($A36)) * ('MTD Pivot'!$D$2:$K$2=C$2) * 'MTD Pivot'!$D$3:$K$400), "")</f>
        <v/>
      </c>
      <c r="D36" s="193">
        <f>IF(SUMPRODUCT((('MTD Pivot'!$B$3:$B$400=$A$27) + ('MTD Pivot'!$A$3:$A$400=$A$27) &gt; 0) * (TRIM('MTD Pivot'!$C$3:$C$400)=TRIM($A36)) * ('MTD Pivot'!$D$2:$K$2=D$2) * 'MTD Pivot'!$D$3:$K$400)&gt;0, SUMPRODUCT((('MTD Pivot'!$B$3:$B$400=$A$27) + ('MTD Pivot'!$A$3:$A$400=$A$27) &gt; 0) * (TRIM('MTD Pivot'!$C$3:$C$400)=TRIM($A36)) * ('MTD Pivot'!$D$2:$K$2=D$2) * 'MTD Pivot'!$D$3:$K$400), "")</f>
        <v/>
      </c>
      <c r="E36" s="193">
        <f>IF(SUMPRODUCT((('MTD Pivot'!$B$3:$B$400=$A$27) + ('MTD Pivot'!$A$3:$A$400=$A$27) &gt; 0) * (TRIM('MTD Pivot'!$C$3:$C$400)=TRIM($A36)) * ('MTD Pivot'!$D$2:$K$2=E$2) * 'MTD Pivot'!$D$3:$K$400)&gt;0, SUMPRODUCT((('MTD Pivot'!$B$3:$B$400=$A$27) + ('MTD Pivot'!$A$3:$A$400=$A$27) &gt; 0) * (TRIM('MTD Pivot'!$C$3:$C$400)=TRIM($A36)) * ('MTD Pivot'!$D$2:$K$2=E$2) * 'MTD Pivot'!$D$3:$K$400), "")</f>
        <v/>
      </c>
      <c r="F36" s="193">
        <f>IF(SUMPRODUCT((('MTD Pivot'!$B$3:$B$400=$A$27) + ('MTD Pivot'!$A$3:$A$400=$A$27) &gt; 0) * (TRIM('MTD Pivot'!$C$3:$C$400)=TRIM($A36)) * ('MTD Pivot'!$D$2:$K$2=F$2) * 'MTD Pivot'!$D$3:$K$400)&gt;0, SUMPRODUCT((('MTD Pivot'!$B$3:$B$400=$A$27) + ('MTD Pivot'!$A$3:$A$400=$A$27) &gt; 0) * (TRIM('MTD Pivot'!$C$3:$C$400)=TRIM($A36)) * ('MTD Pivot'!$D$2:$K$2=F$2) * 'MTD Pivot'!$D$3:$K$400), "")</f>
        <v/>
      </c>
      <c r="G36" s="193">
        <f>IF(SUMPRODUCT((('MTD Pivot'!$B$3:$B$400=$A$27) + ('MTD Pivot'!$A$3:$A$400=$A$27) &gt; 0) * (TRIM('MTD Pivot'!$C$3:$C$400)=TRIM($A36)) * ('MTD Pivot'!$D$2:$K$2=G$2) * 'MTD Pivot'!$D$3:$K$400)&gt;0, SUMPRODUCT((('MTD Pivot'!$B$3:$B$400=$A$27) + ('MTD Pivot'!$A$3:$A$400=$A$27) &gt; 0) * (TRIM('MTD Pivot'!$C$3:$C$400)=TRIM($A36)) * ('MTD Pivot'!$D$2:$K$2=G$2) * 'MTD Pivot'!$D$3:$K$400), "")</f>
        <v/>
      </c>
      <c r="H36" s="193">
        <f>IF(SUMPRODUCT((('MTD Pivot'!$B$3:$B$400=$A$27) + ('MTD Pivot'!$A$3:$A$400=$A$27) &gt; 0) * (TRIM('MTD Pivot'!$C$3:$C$400)=TRIM($A36)) * ('MTD Pivot'!$D$2:$K$2=H$2) * 'MTD Pivot'!$D$3:$K$400)&gt;0, SUMPRODUCT((('MTD Pivot'!$B$3:$B$400=$A$27) + ('MTD Pivot'!$A$3:$A$400=$A$27) &gt; 0) * (TRIM('MTD Pivot'!$C$3:$C$400)=TRIM($A36)) * ('MTD Pivot'!$D$2:$K$2=H$2) * 'MTD Pivot'!$D$3:$K$400), "")</f>
        <v/>
      </c>
      <c r="I36" s="193">
        <f>IF(SUMPRODUCT((('MTD Pivot'!$B$3:$B$400=$A$27) + ('MTD Pivot'!$A$3:$A$400=$A$27) &gt; 0) * (TRIM('MTD Pivot'!$C$3:$C$400)=TRIM($A36)) * ('MTD Pivot'!$D$2:$K$2=I$2) * 'MTD Pivot'!$D$3:$K$400)&gt;0, SUMPRODUCT((('MTD Pivot'!$B$3:$B$400=$A$27) + ('MTD Pivot'!$A$3:$A$400=$A$27) &gt; 0) * (TRIM('MTD Pivot'!$C$3:$C$400)=TRIM($A36)) * ('MTD Pivot'!$D$2:$K$2=I$2) * 'MTD Pivot'!$D$3:$K$400), "")</f>
        <v/>
      </c>
      <c r="J36" s="193">
        <f>IF(SUMPRODUCT((('MTD Pivot'!$B$3:$B$400=$A$27) + ('MTD Pivot'!$A$3:$A$400=$A$27) &gt; 0) * (TRIM('MTD Pivot'!$C$3:$C$400)=TRIM($A36)) * ('MTD Pivot'!$D$2:$K$2=J$2) * 'MTD Pivot'!$D$3:$K$400)&gt;0, SUMPRODUCT((('MTD Pivot'!$B$3:$B$400=$A$27) + ('MTD Pivot'!$A$3:$A$400=$A$27) &gt; 0) * (TRIM('MTD Pivot'!$C$3:$C$400)=TRIM($A36)) * ('MTD Pivot'!$D$2:$K$2=J$2) * 'MTD Pivot'!$D$3:$K$400), "")</f>
        <v/>
      </c>
      <c r="K36" s="193">
        <f>IF(SUMPRODUCT((('MTD Pivot'!$B$3:$B$400=$A$27) + ('MTD Pivot'!$A$3:$A$400=$A$27) &gt; 0) * (TRIM('MTD Pivot'!$C$3:$C$400)=TRIM($A36)) * ('MTD Pivot'!$D$2:$K$2=K$2) * 'MTD Pivot'!$D$3:$K$400)&gt;0, SUMPRODUCT((('MTD Pivot'!$B$3:$B$400=$A$27) + ('MTD Pivot'!$A$3:$A$400=$A$27) &gt; 0) * (TRIM('MTD Pivot'!$C$3:$C$400)=TRIM($A36)) * ('MTD Pivot'!$D$2:$K$2=K$2) * 'MTD Pivot'!$D$3:$K$400), "")</f>
        <v/>
      </c>
      <c r="L36" s="193">
        <f>IF(SUMPRODUCT((('MTD Pivot'!$B$3:$B$400=$A$27) + ('MTD Pivot'!$A$3:$A$400=$A$27) &gt; 0) * (TRIM('MTD Pivot'!$C$3:$C$400)=TRIM($A36)) * ('MTD Pivot'!$D$2:$K$2=L$2) * 'MTD Pivot'!$D$3:$K$400)&gt;0, SUMPRODUCT((('MTD Pivot'!$B$3:$B$400=$A$27) + ('MTD Pivot'!$A$3:$A$400=$A$27) &gt; 0) * (TRIM('MTD Pivot'!$C$3:$C$400)=TRIM($A36)) * ('MTD Pivot'!$D$2:$K$2=L$2) * 'MTD Pivot'!$D$3:$K$400), "")</f>
        <v/>
      </c>
      <c r="M36" s="193">
        <f>IF(SUMPRODUCT((('MTD Pivot'!$B$3:$B$400=$A$27) + ('MTD Pivot'!$A$3:$A$400=$A$27) &gt; 0) * (TRIM('MTD Pivot'!$C$3:$C$400)=TRIM($A36)) * ('MTD Pivot'!$D$2:$K$2=M$2) * 'MTD Pivot'!$D$3:$K$400)&gt;0, SUMPRODUCT((('MTD Pivot'!$B$3:$B$400=$A$27) + ('MTD Pivot'!$A$3:$A$400=$A$27) &gt; 0) * (TRIM('MTD Pivot'!$C$3:$C$400)=TRIM($A36)) * ('MTD Pivot'!$D$2:$K$2=M$2) * 'MTD Pivot'!$D$3:$K$400), "")</f>
        <v/>
      </c>
      <c r="N36" s="157">
        <f>IF(AND(ISNUMBER(K36), ISNUMBER(J36), J36&gt;0), (K36-J36)/J36, "")</f>
        <v/>
      </c>
      <c r="O36" s="193">
        <f>IF(SUMPRODUCT((('Full month Pivot'!$B$3:$B$400=$A$27) + ('Full month Pivot'!$A$3:$A$400=$A$27) &gt; 0) * (TRIM('Full month Pivot'!$C$3:$C$400)=TRIM($A36)) * ('Full month Pivot'!$D$2:$K$2=O$2) * 'Full month Pivot'!$D$3:$K$400)&gt;0, SUMPRODUCT((('Full month Pivot'!$B$3:$B$400=$A$27) + ('Full month Pivot'!$A$3:$A$400=$A$27) &gt; 0) * (TRIM('Full month Pivot'!$C$3:$C$400)=TRIM($A36)) * ('Full month Pivot'!$D$2:$K$2=O$2) * 'Full month Pivot'!$D$3:$K$400), "")</f>
        <v/>
      </c>
      <c r="P36" s="193">
        <f>IF(SUMPRODUCT((('Full month Pivot'!$B$3:$B$400=$A$27) + ('Full month Pivot'!$A$3:$A$400=$A$27) &gt; 0) * (TRIM('Full month Pivot'!$C$3:$C$400)=TRIM($A36)) * ('Full month Pivot'!$D$2:$K$2=P$2) * 'Full month Pivot'!$D$3:$K$400)&gt;0, SUMPRODUCT((('Full month Pivot'!$B$3:$B$400=$A$27) + ('Full month Pivot'!$A$3:$A$400=$A$27) &gt; 0) * (TRIM('Full month Pivot'!$C$3:$C$400)=TRIM($A36)) * ('Full month Pivot'!$D$2:$K$2=P$2) * 'Full month Pivot'!$D$3:$K$400), "")</f>
        <v/>
      </c>
      <c r="Q36" s="193">
        <f>IF(SUMPRODUCT((('Full month Pivot'!$B$3:$B$400=$A$27) + ('Full month Pivot'!$A$3:$A$400=$A$27) &gt; 0) * (TRIM('Full month Pivot'!$C$3:$C$400)=TRIM($A36)) * ('Full month Pivot'!$D$2:$K$2=Q$2) * 'Full month Pivot'!$D$3:$K$400)&gt;0, SUMPRODUCT((('Full month Pivot'!$B$3:$B$400=$A$27) + ('Full month Pivot'!$A$3:$A$400=$A$27) &gt; 0) * (TRIM('Full month Pivot'!$C$3:$C$400)=TRIM($A36)) * ('Full month Pivot'!$D$2:$K$2=Q$2) * 'Full month Pivot'!$D$3:$K$400), "")</f>
        <v/>
      </c>
      <c r="R36" s="193">
        <f>IF(SUMPRODUCT((('Full month Pivot'!$B$3:$B$400=$A$27) + ('Full month Pivot'!$A$3:$A$400=$A$27) &gt; 0) * (TRIM('Full month Pivot'!$C$3:$C$400)=TRIM($A36)) * ('Full month Pivot'!$D$2:$K$2=R$2) * 'Full month Pivot'!$D$3:$K$400)&gt;0, SUMPRODUCT((('Full month Pivot'!$B$3:$B$400=$A$27) + ('Full month Pivot'!$A$3:$A$400=$A$27) &gt; 0) * (TRIM('Full month Pivot'!$C$3:$C$400)=TRIM($A36)) * ('Full month Pivot'!$D$2:$K$2=R$2) * 'Full month Pivot'!$D$3:$K$400), "")</f>
        <v/>
      </c>
      <c r="S36" s="193">
        <f>IF(SUMPRODUCT((('Full month Pivot'!$B$3:$B$400=$A$27) + ('Full month Pivot'!$A$3:$A$400=$A$27) &gt; 0) * (TRIM('Full month Pivot'!$C$3:$C$400)=TRIM($A36)) * ('Full month Pivot'!$D$2:$K$2=S$2) * 'Full month Pivot'!$D$3:$K$400)&gt;0, SUMPRODUCT((('Full month Pivot'!$B$3:$B$400=$A$27) + ('Full month Pivot'!$A$3:$A$400=$A$27) &gt; 0) * (TRIM('Full month Pivot'!$C$3:$C$400)=TRIM($A36)) * ('Full month Pivot'!$D$2:$K$2=S$2) * 'Full month Pivot'!$D$3:$K$400), "")</f>
        <v/>
      </c>
      <c r="T36" s="193">
        <f>IF(SUMPRODUCT((('Full month Pivot'!$B$3:$B$400=$A$27) + ('Full month Pivot'!$A$3:$A$400=$A$27) &gt; 0) * (TRIM('Full month Pivot'!$C$3:$C$400)=TRIM($A36)) * ('Full month Pivot'!$D$2:$K$2=T$2) * 'Full month Pivot'!$D$3:$K$400)&gt;0, SUMPRODUCT((('Full month Pivot'!$B$3:$B$400=$A$27) + ('Full month Pivot'!$A$3:$A$400=$A$27) &gt; 0) * (TRIM('Full month Pivot'!$C$3:$C$400)=TRIM($A36)) * ('Full month Pivot'!$D$2:$K$2=T$2) * 'Full month Pivot'!$D$3:$K$400), "")</f>
        <v/>
      </c>
      <c r="U36" s="193">
        <f>IF(SUMPRODUCT((('Full month Pivot'!$B$3:$B$400=$A$27) + ('Full month Pivot'!$A$3:$A$400=$A$27) &gt; 0) * (TRIM('Full month Pivot'!$C$3:$C$400)=TRIM($A36)) * ('Full month Pivot'!$D$2:$K$2=U$2) * 'Full month Pivot'!$D$3:$K$400)&gt;0, SUMPRODUCT((('Full month Pivot'!$B$3:$B$400=$A$27) + ('Full month Pivot'!$A$3:$A$400=$A$27) &gt; 0) * (TRIM('Full month Pivot'!$C$3:$C$400)=TRIM($A36)) * ('Full month Pivot'!$D$2:$K$2=U$2) * 'Full month Pivot'!$D$3:$K$400), "")</f>
        <v/>
      </c>
      <c r="V36" s="193">
        <f>IF(SUMPRODUCT((('Full month Pivot'!$B$3:$B$400=$A$27) + ('Full month Pivot'!$A$3:$A$400=$A$27) &gt; 0) * (TRIM('Full month Pivot'!$C$3:$C$400)=TRIM($A36)) * ('Full month Pivot'!$D$2:$K$2=V$2) * 'Full month Pivot'!$D$3:$K$400)&gt;0, SUMPRODUCT((('Full month Pivot'!$B$3:$B$400=$A$27) + ('Full month Pivot'!$A$3:$A$400=$A$27) &gt; 0) * (TRIM('Full month Pivot'!$C$3:$C$400)=TRIM($A36)) * ('Full month Pivot'!$D$2:$K$2=V$2) * 'Full month Pivot'!$D$3:$K$400), "")</f>
        <v/>
      </c>
      <c r="W36" s="193">
        <f>IF(SUMPRODUCT((('Full month Pivot'!$B$3:$B$400=$A$27) + ('Full month Pivot'!$A$3:$A$400=$A$27) &gt; 0) * (TRIM('Full month Pivot'!$C$3:$C$400)=TRIM($A36)) * ('Full month Pivot'!$D$2:$K$2=W$2) * 'Full month Pivot'!$D$3:$K$400)&gt;0, SUMPRODUCT((('Full month Pivot'!$B$3:$B$400=$A$27) + ('Full month Pivot'!$A$3:$A$400=$A$27) &gt; 0) * (TRIM('Full month Pivot'!$C$3:$C$400)=TRIM($A36)) * ('Full month Pivot'!$D$2:$K$2=W$2) * 'Full month Pivot'!$D$3:$K$400), "")</f>
        <v/>
      </c>
      <c r="X36" s="193">
        <f>IF(SUMPRODUCT((('Full month Pivot'!$B$3:$B$400=$A$27) + ('Full month Pivot'!$A$3:$A$400=$A$27) &gt; 0) * (TRIM('Full month Pivot'!$C$3:$C$400)=TRIM($A36)) * ('Full month Pivot'!$D$2:$K$2=X$2) * 'Full month Pivot'!$D$3:$K$400)&gt;0, SUMPRODUCT((('Full month Pivot'!$B$3:$B$400=$A$27) + ('Full month Pivot'!$A$3:$A$400=$A$27) &gt; 0) * (TRIM('Full month Pivot'!$C$3:$C$400)=TRIM($A36)) * ('Full month Pivot'!$D$2:$K$2=X$2) * 'Full month Pivot'!$D$3:$K$400), "")</f>
        <v/>
      </c>
      <c r="Y36" s="193">
        <f>IF(SUMPRODUCT((('Full month Pivot'!$B$3:$B$400=$A$27) + ('Full month Pivot'!$A$3:$A$400=$A$27) &gt; 0) * (TRIM('Full month Pivot'!$C$3:$C$400)=TRIM($A36)) * ('Full month Pivot'!$D$2:$K$2=Y$2) * 'Full month Pivot'!$D$3:$K$400)&gt;0, SUMPRODUCT((('Full month Pivot'!$B$3:$B$400=$A$27) + ('Full month Pivot'!$A$3:$A$400=$A$27) &gt; 0) * (TRIM('Full month Pivot'!$C$3:$C$400)=TRIM($A36)) * ('Full month Pivot'!$D$2:$K$2=Y$2) * 'Full month Pivot'!$D$3:$K$400), "")</f>
        <v/>
      </c>
      <c r="Z36" s="193">
        <f>IF(SUMPRODUCT((('Full month Pivot'!$B$3:$B$400=$A$27) + ('Full month Pivot'!$A$3:$A$400=$A$27) &gt; 0) * (TRIM('Full month Pivot'!$C$3:$C$400)=TRIM($A36)) * ('Full month Pivot'!$D$2:$K$2=Z$2) * 'Full month Pivot'!$D$3:$K$400)&gt;0, SUMPRODUCT((('Full month Pivot'!$B$3:$B$400=$A$27) + ('Full month Pivot'!$A$3:$A$400=$A$27) &gt; 0) * (TRIM('Full month Pivot'!$C$3:$C$400)=TRIM($A36)) * ('Full month Pivot'!$D$2:$K$2=Z$2) * 'Full month Pivot'!$D$3:$K$400), "")</f>
        <v/>
      </c>
      <c r="AA36" s="157">
        <f>IF(AND(ISNUMBER(X36), ISNUMBER(W36), W36&gt;0), (X36-W36)/W36, "")</f>
        <v/>
      </c>
      <c r="AB36" s="140" t="n"/>
      <c r="AC36" s="140" t="n"/>
      <c r="AD36" s="140" t="n"/>
    </row>
    <row r="37" ht="15.75" customHeight="1" s="346">
      <c r="A37" s="202" t="inlineStr">
        <is>
          <t xml:space="preserve">  Others</t>
        </is>
      </c>
      <c r="B37" s="193">
        <f>IF(SUMPRODUCT((('MTD Pivot'!$B$3:$B$400=$A$27) + ('MTD Pivot'!$A$3:$A$400=$A$27) &gt; 0) * (TRIM('MTD Pivot'!$C$3:$C$400)=TRIM($A37)) * ('MTD Pivot'!$D$2:$K$2=B$2) * 'MTD Pivot'!$D$3:$K$400)&gt;0, SUMPRODUCT((('MTD Pivot'!$B$3:$B$400=$A$27) + ('MTD Pivot'!$A$3:$A$400=$A$27) &gt; 0) * (TRIM('MTD Pivot'!$C$3:$C$400)=TRIM($A37)) * ('MTD Pivot'!$D$2:$K$2=B$2) * 'MTD Pivot'!$D$3:$K$400), "")</f>
        <v/>
      </c>
      <c r="C37" s="193">
        <f>IF(SUMPRODUCT((('MTD Pivot'!$B$3:$B$400=$A$27) + ('MTD Pivot'!$A$3:$A$400=$A$27) &gt; 0) * (TRIM('MTD Pivot'!$C$3:$C$400)=TRIM($A37)) * ('MTD Pivot'!$D$2:$K$2=C$2) * 'MTD Pivot'!$D$3:$K$400)&gt;0, SUMPRODUCT((('MTD Pivot'!$B$3:$B$400=$A$27) + ('MTD Pivot'!$A$3:$A$400=$A$27) &gt; 0) * (TRIM('MTD Pivot'!$C$3:$C$400)=TRIM($A37)) * ('MTD Pivot'!$D$2:$K$2=C$2) * 'MTD Pivot'!$D$3:$K$400), "")</f>
        <v/>
      </c>
      <c r="D37" s="193">
        <f>IF(SUMPRODUCT((('MTD Pivot'!$B$3:$B$400=$A$27) + ('MTD Pivot'!$A$3:$A$400=$A$27) &gt; 0) * (TRIM('MTD Pivot'!$C$3:$C$400)=TRIM($A37)) * ('MTD Pivot'!$D$2:$K$2=D$2) * 'MTD Pivot'!$D$3:$K$400)&gt;0, SUMPRODUCT((('MTD Pivot'!$B$3:$B$400=$A$27) + ('MTD Pivot'!$A$3:$A$400=$A$27) &gt; 0) * (TRIM('MTD Pivot'!$C$3:$C$400)=TRIM($A37)) * ('MTD Pivot'!$D$2:$K$2=D$2) * 'MTD Pivot'!$D$3:$K$400), "")</f>
        <v/>
      </c>
      <c r="E37" s="193">
        <f>IF(SUMPRODUCT((('MTD Pivot'!$B$3:$B$400=$A$27) + ('MTD Pivot'!$A$3:$A$400=$A$27) &gt; 0) * (TRIM('MTD Pivot'!$C$3:$C$400)=TRIM($A37)) * ('MTD Pivot'!$D$2:$K$2=E$2) * 'MTD Pivot'!$D$3:$K$400)&gt;0, SUMPRODUCT((('MTD Pivot'!$B$3:$B$400=$A$27) + ('MTD Pivot'!$A$3:$A$400=$A$27) &gt; 0) * (TRIM('MTD Pivot'!$C$3:$C$400)=TRIM($A37)) * ('MTD Pivot'!$D$2:$K$2=E$2) * 'MTD Pivot'!$D$3:$K$400), "")</f>
        <v/>
      </c>
      <c r="F37" s="193">
        <f>IF(SUMPRODUCT((('MTD Pivot'!$B$3:$B$400=$A$27) + ('MTD Pivot'!$A$3:$A$400=$A$27) &gt; 0) * (TRIM('MTD Pivot'!$C$3:$C$400)=TRIM($A37)) * ('MTD Pivot'!$D$2:$K$2=F$2) * 'MTD Pivot'!$D$3:$K$400)&gt;0, SUMPRODUCT((('MTD Pivot'!$B$3:$B$400=$A$27) + ('MTD Pivot'!$A$3:$A$400=$A$27) &gt; 0) * (TRIM('MTD Pivot'!$C$3:$C$400)=TRIM($A37)) * ('MTD Pivot'!$D$2:$K$2=F$2) * 'MTD Pivot'!$D$3:$K$400), "")</f>
        <v/>
      </c>
      <c r="G37" s="193">
        <f>IF(SUMPRODUCT((('MTD Pivot'!$B$3:$B$400=$A$27) + ('MTD Pivot'!$A$3:$A$400=$A$27) &gt; 0) * (TRIM('MTD Pivot'!$C$3:$C$400)=TRIM($A37)) * ('MTD Pivot'!$D$2:$K$2=G$2) * 'MTD Pivot'!$D$3:$K$400)&gt;0, SUMPRODUCT((('MTD Pivot'!$B$3:$B$400=$A$27) + ('MTD Pivot'!$A$3:$A$400=$A$27) &gt; 0) * (TRIM('MTD Pivot'!$C$3:$C$400)=TRIM($A37)) * ('MTD Pivot'!$D$2:$K$2=G$2) * 'MTD Pivot'!$D$3:$K$400), "")</f>
        <v/>
      </c>
      <c r="H37" s="193">
        <f>IF(SUMPRODUCT((('MTD Pivot'!$B$3:$B$400=$A$27) + ('MTD Pivot'!$A$3:$A$400=$A$27) &gt; 0) * (TRIM('MTD Pivot'!$C$3:$C$400)=TRIM($A37)) * ('MTD Pivot'!$D$2:$K$2=H$2) * 'MTD Pivot'!$D$3:$K$400)&gt;0, SUMPRODUCT((('MTD Pivot'!$B$3:$B$400=$A$27) + ('MTD Pivot'!$A$3:$A$400=$A$27) &gt; 0) * (TRIM('MTD Pivot'!$C$3:$C$400)=TRIM($A37)) * ('MTD Pivot'!$D$2:$K$2=H$2) * 'MTD Pivot'!$D$3:$K$400), "")</f>
        <v/>
      </c>
      <c r="I37" s="193">
        <f>IF(SUMPRODUCT((('MTD Pivot'!$B$3:$B$400=$A$27) + ('MTD Pivot'!$A$3:$A$400=$A$27) &gt; 0) * (TRIM('MTD Pivot'!$C$3:$C$400)=TRIM($A37)) * ('MTD Pivot'!$D$2:$K$2=I$2) * 'MTD Pivot'!$D$3:$K$400)&gt;0, SUMPRODUCT((('MTD Pivot'!$B$3:$B$400=$A$27) + ('MTD Pivot'!$A$3:$A$400=$A$27) &gt; 0) * (TRIM('MTD Pivot'!$C$3:$C$400)=TRIM($A37)) * ('MTD Pivot'!$D$2:$K$2=I$2) * 'MTD Pivot'!$D$3:$K$400), "")</f>
        <v/>
      </c>
      <c r="J37" s="193">
        <f>IF(SUMPRODUCT((('MTD Pivot'!$B$3:$B$400=$A$27) + ('MTD Pivot'!$A$3:$A$400=$A$27) &gt; 0) * (TRIM('MTD Pivot'!$C$3:$C$400)=TRIM($A37)) * ('MTD Pivot'!$D$2:$K$2=J$2) * 'MTD Pivot'!$D$3:$K$400)&gt;0, SUMPRODUCT((('MTD Pivot'!$B$3:$B$400=$A$27) + ('MTD Pivot'!$A$3:$A$400=$A$27) &gt; 0) * (TRIM('MTD Pivot'!$C$3:$C$400)=TRIM($A37)) * ('MTD Pivot'!$D$2:$K$2=J$2) * 'MTD Pivot'!$D$3:$K$400), "")</f>
        <v/>
      </c>
      <c r="K37" s="193">
        <f>IF(SUMPRODUCT((('MTD Pivot'!$B$3:$B$400=$A$27) + ('MTD Pivot'!$A$3:$A$400=$A$27) &gt; 0) * (TRIM('MTD Pivot'!$C$3:$C$400)=TRIM($A37)) * ('MTD Pivot'!$D$2:$K$2=K$2) * 'MTD Pivot'!$D$3:$K$400)&gt;0, SUMPRODUCT((('MTD Pivot'!$B$3:$B$400=$A$27) + ('MTD Pivot'!$A$3:$A$400=$A$27) &gt; 0) * (TRIM('MTD Pivot'!$C$3:$C$400)=TRIM($A37)) * ('MTD Pivot'!$D$2:$K$2=K$2) * 'MTD Pivot'!$D$3:$K$400), "")</f>
        <v/>
      </c>
      <c r="L37" s="193">
        <f>IF(SUMPRODUCT((('MTD Pivot'!$B$3:$B$400=$A$27) + ('MTD Pivot'!$A$3:$A$400=$A$27) &gt; 0) * (TRIM('MTD Pivot'!$C$3:$C$400)=TRIM($A37)) * ('MTD Pivot'!$D$2:$K$2=L$2) * 'MTD Pivot'!$D$3:$K$400)&gt;0, SUMPRODUCT((('MTD Pivot'!$B$3:$B$400=$A$27) + ('MTD Pivot'!$A$3:$A$400=$A$27) &gt; 0) * (TRIM('MTD Pivot'!$C$3:$C$400)=TRIM($A37)) * ('MTD Pivot'!$D$2:$K$2=L$2) * 'MTD Pivot'!$D$3:$K$400), "")</f>
        <v/>
      </c>
      <c r="M37" s="193">
        <f>IF(SUMPRODUCT((('MTD Pivot'!$B$3:$B$400=$A$27) + ('MTD Pivot'!$A$3:$A$400=$A$27) &gt; 0) * (TRIM('MTD Pivot'!$C$3:$C$400)=TRIM($A37)) * ('MTD Pivot'!$D$2:$K$2=M$2) * 'MTD Pivot'!$D$3:$K$400)&gt;0, SUMPRODUCT((('MTD Pivot'!$B$3:$B$400=$A$27) + ('MTD Pivot'!$A$3:$A$400=$A$27) &gt; 0) * (TRIM('MTD Pivot'!$C$3:$C$400)=TRIM($A37)) * ('MTD Pivot'!$D$2:$K$2=M$2) * 'MTD Pivot'!$D$3:$K$400), "")</f>
        <v/>
      </c>
      <c r="N37" s="157">
        <f>IF(AND(ISNUMBER(K37), ISNUMBER(J37), J37&gt;0), (K37-J37)/J37, "")</f>
        <v/>
      </c>
      <c r="O37" s="193">
        <f>IF(SUMPRODUCT((('Full month Pivot'!$B$3:$B$400=$A$27) + ('Full month Pivot'!$A$3:$A$400=$A$27) &gt; 0) * (TRIM('Full month Pivot'!$C$3:$C$400)=TRIM($A37)) * ('Full month Pivot'!$D$2:$K$2=O$2) * 'Full month Pivot'!$D$3:$K$400)&gt;0, SUMPRODUCT((('Full month Pivot'!$B$3:$B$400=$A$27) + ('Full month Pivot'!$A$3:$A$400=$A$27) &gt; 0) * (TRIM('Full month Pivot'!$C$3:$C$400)=TRIM($A37)) * ('Full month Pivot'!$D$2:$K$2=O$2) * 'Full month Pivot'!$D$3:$K$400), "")</f>
        <v/>
      </c>
      <c r="P37" s="193">
        <f>IF(SUMPRODUCT((('Full month Pivot'!$B$3:$B$400=$A$27) + ('Full month Pivot'!$A$3:$A$400=$A$27) &gt; 0) * (TRIM('Full month Pivot'!$C$3:$C$400)=TRIM($A37)) * ('Full month Pivot'!$D$2:$K$2=P$2) * 'Full month Pivot'!$D$3:$K$400)&gt;0, SUMPRODUCT((('Full month Pivot'!$B$3:$B$400=$A$27) + ('Full month Pivot'!$A$3:$A$400=$A$27) &gt; 0) * (TRIM('Full month Pivot'!$C$3:$C$400)=TRIM($A37)) * ('Full month Pivot'!$D$2:$K$2=P$2) * 'Full month Pivot'!$D$3:$K$400), "")</f>
        <v/>
      </c>
      <c r="Q37" s="193">
        <f>IF(SUMPRODUCT((('Full month Pivot'!$B$3:$B$400=$A$27) + ('Full month Pivot'!$A$3:$A$400=$A$27) &gt; 0) * (TRIM('Full month Pivot'!$C$3:$C$400)=TRIM($A37)) * ('Full month Pivot'!$D$2:$K$2=Q$2) * 'Full month Pivot'!$D$3:$K$400)&gt;0, SUMPRODUCT((('Full month Pivot'!$B$3:$B$400=$A$27) + ('Full month Pivot'!$A$3:$A$400=$A$27) &gt; 0) * (TRIM('Full month Pivot'!$C$3:$C$400)=TRIM($A37)) * ('Full month Pivot'!$D$2:$K$2=Q$2) * 'Full month Pivot'!$D$3:$K$400), "")</f>
        <v/>
      </c>
      <c r="R37" s="193">
        <f>IF(SUMPRODUCT((('Full month Pivot'!$B$3:$B$400=$A$27) + ('Full month Pivot'!$A$3:$A$400=$A$27) &gt; 0) * (TRIM('Full month Pivot'!$C$3:$C$400)=TRIM($A37)) * ('Full month Pivot'!$D$2:$K$2=R$2) * 'Full month Pivot'!$D$3:$K$400)&gt;0, SUMPRODUCT((('Full month Pivot'!$B$3:$B$400=$A$27) + ('Full month Pivot'!$A$3:$A$400=$A$27) &gt; 0) * (TRIM('Full month Pivot'!$C$3:$C$400)=TRIM($A37)) * ('Full month Pivot'!$D$2:$K$2=R$2) * 'Full month Pivot'!$D$3:$K$400), "")</f>
        <v/>
      </c>
      <c r="S37" s="193">
        <f>IF(SUMPRODUCT((('Full month Pivot'!$B$3:$B$400=$A$27) + ('Full month Pivot'!$A$3:$A$400=$A$27) &gt; 0) * (TRIM('Full month Pivot'!$C$3:$C$400)=TRIM($A37)) * ('Full month Pivot'!$D$2:$K$2=S$2) * 'Full month Pivot'!$D$3:$K$400)&gt;0, SUMPRODUCT((('Full month Pivot'!$B$3:$B$400=$A$27) + ('Full month Pivot'!$A$3:$A$400=$A$27) &gt; 0) * (TRIM('Full month Pivot'!$C$3:$C$400)=TRIM($A37)) * ('Full month Pivot'!$D$2:$K$2=S$2) * 'Full month Pivot'!$D$3:$K$400), "")</f>
        <v/>
      </c>
      <c r="T37" s="193">
        <f>IF(SUMPRODUCT((('Full month Pivot'!$B$3:$B$400=$A$27) + ('Full month Pivot'!$A$3:$A$400=$A$27) &gt; 0) * (TRIM('Full month Pivot'!$C$3:$C$400)=TRIM($A37)) * ('Full month Pivot'!$D$2:$K$2=T$2) * 'Full month Pivot'!$D$3:$K$400)&gt;0, SUMPRODUCT((('Full month Pivot'!$B$3:$B$400=$A$27) + ('Full month Pivot'!$A$3:$A$400=$A$27) &gt; 0) * (TRIM('Full month Pivot'!$C$3:$C$400)=TRIM($A37)) * ('Full month Pivot'!$D$2:$K$2=T$2) * 'Full month Pivot'!$D$3:$K$400), "")</f>
        <v/>
      </c>
      <c r="U37" s="193">
        <f>IF(SUMPRODUCT((('Full month Pivot'!$B$3:$B$400=$A$27) + ('Full month Pivot'!$A$3:$A$400=$A$27) &gt; 0) * (TRIM('Full month Pivot'!$C$3:$C$400)=TRIM($A37)) * ('Full month Pivot'!$D$2:$K$2=U$2) * 'Full month Pivot'!$D$3:$K$400)&gt;0, SUMPRODUCT((('Full month Pivot'!$B$3:$B$400=$A$27) + ('Full month Pivot'!$A$3:$A$400=$A$27) &gt; 0) * (TRIM('Full month Pivot'!$C$3:$C$400)=TRIM($A37)) * ('Full month Pivot'!$D$2:$K$2=U$2) * 'Full month Pivot'!$D$3:$K$400), "")</f>
        <v/>
      </c>
      <c r="V37" s="193">
        <f>IF(SUMPRODUCT((('Full month Pivot'!$B$3:$B$400=$A$27) + ('Full month Pivot'!$A$3:$A$400=$A$27) &gt; 0) * (TRIM('Full month Pivot'!$C$3:$C$400)=TRIM($A37)) * ('Full month Pivot'!$D$2:$K$2=V$2) * 'Full month Pivot'!$D$3:$K$400)&gt;0, SUMPRODUCT((('Full month Pivot'!$B$3:$B$400=$A$27) + ('Full month Pivot'!$A$3:$A$400=$A$27) &gt; 0) * (TRIM('Full month Pivot'!$C$3:$C$400)=TRIM($A37)) * ('Full month Pivot'!$D$2:$K$2=V$2) * 'Full month Pivot'!$D$3:$K$400), "")</f>
        <v/>
      </c>
      <c r="W37" s="193">
        <f>IF(SUMPRODUCT((('Full month Pivot'!$B$3:$B$400=$A$27) + ('Full month Pivot'!$A$3:$A$400=$A$27) &gt; 0) * (TRIM('Full month Pivot'!$C$3:$C$400)=TRIM($A37)) * ('Full month Pivot'!$D$2:$K$2=W$2) * 'Full month Pivot'!$D$3:$K$400)&gt;0, SUMPRODUCT((('Full month Pivot'!$B$3:$B$400=$A$27) + ('Full month Pivot'!$A$3:$A$400=$A$27) &gt; 0) * (TRIM('Full month Pivot'!$C$3:$C$400)=TRIM($A37)) * ('Full month Pivot'!$D$2:$K$2=W$2) * 'Full month Pivot'!$D$3:$K$400), "")</f>
        <v/>
      </c>
      <c r="X37" s="193">
        <f>IF(SUMPRODUCT((('Full month Pivot'!$B$3:$B$400=$A$27) + ('Full month Pivot'!$A$3:$A$400=$A$27) &gt; 0) * (TRIM('Full month Pivot'!$C$3:$C$400)=TRIM($A37)) * ('Full month Pivot'!$D$2:$K$2=X$2) * 'Full month Pivot'!$D$3:$K$400)&gt;0, SUMPRODUCT((('Full month Pivot'!$B$3:$B$400=$A$27) + ('Full month Pivot'!$A$3:$A$400=$A$27) &gt; 0) * (TRIM('Full month Pivot'!$C$3:$C$400)=TRIM($A37)) * ('Full month Pivot'!$D$2:$K$2=X$2) * 'Full month Pivot'!$D$3:$K$400), "")</f>
        <v/>
      </c>
      <c r="Y37" s="193">
        <f>IF(SUMPRODUCT((('Full month Pivot'!$B$3:$B$400=$A$27) + ('Full month Pivot'!$A$3:$A$400=$A$27) &gt; 0) * (TRIM('Full month Pivot'!$C$3:$C$400)=TRIM($A37)) * ('Full month Pivot'!$D$2:$K$2=Y$2) * 'Full month Pivot'!$D$3:$K$400)&gt;0, SUMPRODUCT((('Full month Pivot'!$B$3:$B$400=$A$27) + ('Full month Pivot'!$A$3:$A$400=$A$27) &gt; 0) * (TRIM('Full month Pivot'!$C$3:$C$400)=TRIM($A37)) * ('Full month Pivot'!$D$2:$K$2=Y$2) * 'Full month Pivot'!$D$3:$K$400), "")</f>
        <v/>
      </c>
      <c r="Z37" s="193">
        <f>IF(SUMPRODUCT((('Full month Pivot'!$B$3:$B$400=$A$27) + ('Full month Pivot'!$A$3:$A$400=$A$27) &gt; 0) * (TRIM('Full month Pivot'!$C$3:$C$400)=TRIM($A37)) * ('Full month Pivot'!$D$2:$K$2=Z$2) * 'Full month Pivot'!$D$3:$K$400)&gt;0, SUMPRODUCT((('Full month Pivot'!$B$3:$B$400=$A$27) + ('Full month Pivot'!$A$3:$A$400=$A$27) &gt; 0) * (TRIM('Full month Pivot'!$C$3:$C$400)=TRIM($A37)) * ('Full month Pivot'!$D$2:$K$2=Z$2) * 'Full month Pivot'!$D$3:$K$400), "")</f>
        <v/>
      </c>
      <c r="AA37" s="157">
        <f>IF(AND(ISNUMBER(X37), ISNUMBER(W37), W37&gt;0), (X37-W37)/W37, "")</f>
        <v/>
      </c>
      <c r="AB37" s="140" t="n"/>
      <c r="AC37" s="140" t="n"/>
      <c r="AD37" s="140" t="n"/>
    </row>
    <row r="38" ht="15.75" customHeight="1" s="346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140" t="n"/>
      <c r="AC38" s="140" t="n"/>
      <c r="AD38" s="140" t="n"/>
    </row>
    <row r="39" ht="15.75" customHeight="1" s="346">
      <c r="A39" s="145" t="inlineStr">
        <is>
          <t>Financial Hub</t>
        </is>
      </c>
      <c r="B39" s="145" t="n"/>
      <c r="C39" s="145" t="n"/>
      <c r="D39" s="145" t="n"/>
      <c r="E39" s="145" t="n"/>
      <c r="F39" s="145" t="n"/>
      <c r="G39" s="145" t="n"/>
      <c r="H39" s="145" t="n"/>
      <c r="I39" s="145" t="n"/>
      <c r="J39" s="145" t="n"/>
      <c r="K39" s="145" t="n"/>
      <c r="L39" s="145" t="n"/>
      <c r="M39" s="145" t="n"/>
      <c r="N39" s="145" t="n"/>
      <c r="O39" s="145" t="n"/>
      <c r="P39" s="145" t="n"/>
      <c r="Q39" s="145" t="n"/>
      <c r="R39" s="145" t="n"/>
      <c r="S39" s="145" t="n"/>
      <c r="T39" s="145" t="n"/>
      <c r="U39" s="145" t="n"/>
      <c r="V39" s="145" t="n"/>
      <c r="W39" s="145" t="n"/>
      <c r="X39" s="145" t="n"/>
      <c r="Y39" s="145" t="n"/>
      <c r="Z39" s="145" t="n"/>
      <c r="AA39" s="145" t="n"/>
      <c r="AB39" s="140" t="n"/>
      <c r="AC39" s="140" t="n"/>
      <c r="AD39" s="140" t="n"/>
    </row>
    <row r="40" ht="15.75" customHeight="1" s="346">
      <c r="A40" s="146" t="inlineStr">
        <is>
          <t>Page views</t>
        </is>
      </c>
      <c r="B40" s="147">
        <f>IF(SUM(B45:B49)&gt;0, SUM(B45:B49), "")</f>
        <v/>
      </c>
      <c r="C40" s="147">
        <f>IF(SUM(C45:C49)&gt;0, SUM(C45:C49), "")</f>
        <v/>
      </c>
      <c r="D40" s="147">
        <f>IF(SUM(D45:D49)&gt;0, SUM(D45:D49), "")</f>
        <v/>
      </c>
      <c r="E40" s="147">
        <f>IF(SUM(E45:E49)&gt;0, SUM(E45:E49), "")</f>
        <v/>
      </c>
      <c r="F40" s="147">
        <f>IF(SUM(F45:F49)&gt;0, SUM(F45:F49), "")</f>
        <v/>
      </c>
      <c r="G40" s="147">
        <f>IF(SUM(G45:G49)&gt;0, SUM(G45:G49), "")</f>
        <v/>
      </c>
      <c r="H40" s="147">
        <f>IF(SUM(H45:H49)&gt;0, SUM(H45:H49), "")</f>
        <v/>
      </c>
      <c r="I40" s="147">
        <f>IF(SUM(I45:I49)&gt;0, SUM(I45:I49), "")</f>
        <v/>
      </c>
      <c r="J40" s="147">
        <f>IF(SUM(J45:J49)&gt;0, SUM(J45:J49), "")</f>
        <v/>
      </c>
      <c r="K40" s="147">
        <f>IF(SUM(K45:K49)&gt;0, SUM(K45:K49), "")</f>
        <v/>
      </c>
      <c r="L40" s="147">
        <f>IF(SUM(L45:L49)&gt;0, SUM(L45:L49), "")</f>
        <v/>
      </c>
      <c r="M40" s="147">
        <f>IF(SUM(M45:M49)&gt;0, SUM(M45:M49), "")</f>
        <v/>
      </c>
      <c r="N40" s="148">
        <f>IFERROR((K40-J40)/J40, "")</f>
        <v/>
      </c>
      <c r="O40" s="147">
        <f>IF(SUM(O45:O49)&gt;0, SUM(O45:O49), "")</f>
        <v/>
      </c>
      <c r="P40" s="147">
        <f>IF(SUM(P45:P49)&gt;0, SUM(P45:P49), "")</f>
        <v/>
      </c>
      <c r="Q40" s="147">
        <f>IF(SUM(Q45:Q49)&gt;0, SUM(Q45:Q49), "")</f>
        <v/>
      </c>
      <c r="R40" s="147">
        <f>IF(SUM(R45:R49)&gt;0, SUM(R45:R49), "")</f>
        <v/>
      </c>
      <c r="S40" s="147">
        <f>IF(SUM(S45:S49)&gt;0, SUM(S45:S49), "")</f>
        <v/>
      </c>
      <c r="T40" s="147">
        <f>IF(SUM(T45:T49)&gt;0, SUM(T45:T49), "")</f>
        <v/>
      </c>
      <c r="U40" s="147">
        <f>IF(SUM(U45:U49)&gt;0, SUM(U45:U49), "")</f>
        <v/>
      </c>
      <c r="V40" s="147">
        <f>IF(SUM(V45:V49)&gt;0, SUM(V45:V49), "")</f>
        <v/>
      </c>
      <c r="W40" s="147">
        <f>IF(SUM(W45:W49)&gt;0, SUM(W45:W49), "")</f>
        <v/>
      </c>
      <c r="X40" s="147">
        <f>IF(SUM(X45:X49)&gt;0, SUM(X45:X49), "")</f>
        <v/>
      </c>
      <c r="Y40" s="147">
        <f>IF(SUM(Y45:Y49)&gt;0, SUM(Y45:Y49), "")</f>
        <v/>
      </c>
      <c r="Z40" s="147">
        <f>IF(SUM(Z45:Z49)&gt;0, SUM(Z45:Z49), "")</f>
        <v/>
      </c>
      <c r="AA40" s="148">
        <f>IFERROR((X40-W40)/W40, "")</f>
        <v/>
      </c>
      <c r="AB40" s="140" t="n"/>
      <c r="AC40" s="140" t="n"/>
      <c r="AD40" s="140" t="n"/>
    </row>
    <row r="41" ht="15.75" customHeight="1" s="346">
      <c r="A41" s="150" t="inlineStr">
        <is>
          <t xml:space="preserve">  Click CTA</t>
        </is>
      </c>
      <c r="B41" s="150" t="n"/>
      <c r="C41" s="150" t="n"/>
      <c r="D41" s="150" t="n"/>
      <c r="E41" s="150" t="n"/>
      <c r="F41" s="150" t="n">
        <v>1992</v>
      </c>
      <c r="G41" s="150" t="n">
        <v>3677</v>
      </c>
      <c r="H41" s="150" t="n">
        <v>4842</v>
      </c>
      <c r="I41" s="150" t="n">
        <v>9739</v>
      </c>
      <c r="J41" s="150" t="n">
        <v>11238</v>
      </c>
      <c r="K41" s="150" t="n">
        <v>5763</v>
      </c>
      <c r="L41" s="150" t="n"/>
      <c r="M41" s="150" t="n"/>
      <c r="N41" s="151">
        <f>IFERROR((K41-J41)/J41, "")</f>
        <v/>
      </c>
      <c r="O41" s="150" t="n"/>
      <c r="P41" s="150" t="n"/>
      <c r="Q41" s="150" t="n"/>
      <c r="R41" s="150" t="n"/>
      <c r="S41" s="150" t="n">
        <v>2197</v>
      </c>
      <c r="T41" s="150" t="n">
        <v>3936</v>
      </c>
      <c r="U41" s="150" t="n">
        <v>5383</v>
      </c>
      <c r="V41" s="150" t="n">
        <v>10844</v>
      </c>
      <c r="W41" s="150" t="n">
        <v>12042</v>
      </c>
      <c r="X41" s="150" t="n">
        <v>5763</v>
      </c>
      <c r="Y41" s="150" t="n"/>
      <c r="Z41" s="150" t="n"/>
      <c r="AA41" s="151">
        <f>IFERROR((X41-W41)/W41, "")</f>
        <v/>
      </c>
      <c r="AB41" s="140" t="n"/>
      <c r="AC41" s="140" t="n"/>
      <c r="AD41" s="140" t="n"/>
    </row>
    <row r="42" ht="15.75" customHeight="1" s="346">
      <c r="A42" s="152" t="inlineStr">
        <is>
          <t xml:space="preserve">  Net change</t>
        </is>
      </c>
      <c r="B42" s="153" t="n"/>
      <c r="C42" s="153">
        <f>IF(AND(ISNUMBER(C40), ISNUMBER(B40), B40&gt;0, C40&gt;0), C40-B40, "")</f>
        <v/>
      </c>
      <c r="D42" s="153">
        <f>IF(AND(ISNUMBER(D40), ISNUMBER(C40), C40&gt;0, D40&gt;0), D40-C40, "")</f>
        <v/>
      </c>
      <c r="E42" s="153">
        <f>IF(AND(ISNUMBER(E40), ISNUMBER(D40), D40&gt;0, E40&gt;0), E40-D40, "")</f>
        <v/>
      </c>
      <c r="F42" s="153">
        <f>IF(AND(ISNUMBER(F40), ISNUMBER(E40), E40&gt;0, F40&gt;0), F40-E40, "")</f>
        <v/>
      </c>
      <c r="G42" s="153">
        <f>IF(AND(ISNUMBER(G40), ISNUMBER(F40), F40&gt;0, G40&gt;0), G40-F40, "")</f>
        <v/>
      </c>
      <c r="H42" s="153">
        <f>IF(AND(ISNUMBER(H40), ISNUMBER(G40), G40&gt;0, H40&gt;0), H40-G40, "")</f>
        <v/>
      </c>
      <c r="I42" s="153">
        <f>IF(AND(ISNUMBER(I40), ISNUMBER(H40), H40&gt;0, I40&gt;0), I40-H40, "")</f>
        <v/>
      </c>
      <c r="J42" s="153">
        <f>IF(AND(ISNUMBER(J40), ISNUMBER(I40), I40&gt;0, J40&gt;0), J40-I40, "")</f>
        <v/>
      </c>
      <c r="K42" s="153">
        <f>IF(AND(ISNUMBER(K40), ISNUMBER(J40), J40&gt;0, K40&gt;0), K40-J40, "")</f>
        <v/>
      </c>
      <c r="L42" s="153">
        <f>IF(AND(ISNUMBER(L40), ISNUMBER(K40), K40&gt;0, L40&gt;0), L40-K40, "")</f>
        <v/>
      </c>
      <c r="M42" s="153">
        <f>IF(AND(ISNUMBER(M40), ISNUMBER(L40), L40&gt;0, M40&gt;0), M40-L40, "")</f>
        <v/>
      </c>
      <c r="N42" s="153" t="n"/>
      <c r="O42" s="153" t="n"/>
      <c r="P42" s="153">
        <f>IF(AND(ISNUMBER(P40), ISNUMBER(O40), O40&gt;0, P40&gt;0), P40-O40, "")</f>
        <v/>
      </c>
      <c r="Q42" s="153">
        <f>IF(AND(ISNUMBER(Q40), ISNUMBER(P40), P40&gt;0, Q40&gt;0), Q40-P40, "")</f>
        <v/>
      </c>
      <c r="R42" s="153">
        <f>IF(AND(ISNUMBER(R40), ISNUMBER(Q40), Q40&gt;0, R40&gt;0), R40-Q40, "")</f>
        <v/>
      </c>
      <c r="S42" s="153">
        <f>IF(AND(ISNUMBER(S40), ISNUMBER(R40), R40&gt;0, S40&gt;0), S40-R40, "")</f>
        <v/>
      </c>
      <c r="T42" s="153">
        <f>IF(AND(ISNUMBER(T40), ISNUMBER(S40), S40&gt;0, T40&gt;0), T40-S40, "")</f>
        <v/>
      </c>
      <c r="U42" s="153">
        <f>IF(AND(ISNUMBER(U40), ISNUMBER(T40), T40&gt;0, U40&gt;0), U40-T40, "")</f>
        <v/>
      </c>
      <c r="V42" s="153">
        <f>IF(AND(ISNUMBER(V40), ISNUMBER(U40), U40&gt;0, V40&gt;0), V40-U40, "")</f>
        <v/>
      </c>
      <c r="W42" s="153">
        <f>IF(AND(ISNUMBER(W40), ISNUMBER(V40), V40&gt;0, W40&gt;0), W40-V40, "")</f>
        <v/>
      </c>
      <c r="X42" s="153">
        <f>IF(AND(ISNUMBER(X40), ISNUMBER(W40), W40&gt;0, X40&gt;0), X40-W40, "")</f>
        <v/>
      </c>
      <c r="Y42" s="153">
        <f>IF(AND(ISNUMBER(Y40), ISNUMBER(X40), X40&gt;0, Y40&gt;0), Y40-X40, "")</f>
        <v/>
      </c>
      <c r="Z42" s="153">
        <f>IF(AND(ISNUMBER(Z40), ISNUMBER(Y40), Y40&gt;0, Z40&gt;0), Z40-Y40, "")</f>
        <v/>
      </c>
      <c r="AA42" s="153" t="n"/>
      <c r="AB42" s="140" t="n"/>
      <c r="AC42" s="140" t="n"/>
      <c r="AD42" s="140" t="n"/>
    </row>
    <row r="43" ht="15.75" customHeight="1" s="346">
      <c r="A43" s="152" t="inlineStr">
        <is>
          <t xml:space="preserve">  % Growth rate</t>
        </is>
      </c>
      <c r="B43" s="203" t="n"/>
      <c r="C43" s="203">
        <f>IF(AND(ISNUMBER(C40), ISNUMBER(B40), B40&gt;0, C40&gt;0), (C40-B40)/B40, "")</f>
        <v/>
      </c>
      <c r="D43" s="203">
        <f>IF(AND(ISNUMBER(D40), ISNUMBER(C40), C40&gt;0, D40&gt;0), (D40-C40)/C40, "")</f>
        <v/>
      </c>
      <c r="E43" s="203">
        <f>IF(AND(ISNUMBER(E40), ISNUMBER(D40), D40&gt;0, E40&gt;0), (E40-D40)/D40, "")</f>
        <v/>
      </c>
      <c r="F43" s="203">
        <f>IF(AND(ISNUMBER(F40), ISNUMBER(E40), E40&gt;0, F40&gt;0), (F40-E40)/E40, "")</f>
        <v/>
      </c>
      <c r="G43" s="203">
        <f>IF(AND(ISNUMBER(G40), ISNUMBER(F40), F40&gt;0, G40&gt;0), (G40-F40)/F40, "")</f>
        <v/>
      </c>
      <c r="H43" s="203">
        <f>IF(AND(ISNUMBER(H40), ISNUMBER(G40), G40&gt;0, H40&gt;0), (H40-G40)/G40, "")</f>
        <v/>
      </c>
      <c r="I43" s="203">
        <f>IF(AND(ISNUMBER(I40), ISNUMBER(H40), H40&gt;0, I40&gt;0), (I40-H40)/H40, "")</f>
        <v/>
      </c>
      <c r="J43" s="203">
        <f>IF(AND(ISNUMBER(J40), ISNUMBER(I40), I40&gt;0, J40&gt;0), (J40-I40)/I40, "")</f>
        <v/>
      </c>
      <c r="K43" s="203">
        <f>IF(AND(ISNUMBER(K40), ISNUMBER(J40), J40&gt;0, K40&gt;0), (K40-J40)/J40, "")</f>
        <v/>
      </c>
      <c r="L43" s="203">
        <f>IF(AND(ISNUMBER(L40), ISNUMBER(K40), K40&gt;0, L40&gt;0), (L40-K40)/K40, "")</f>
        <v/>
      </c>
      <c r="M43" s="203">
        <f>IF(AND(ISNUMBER(M40), ISNUMBER(L40), L40&gt;0, M40&gt;0), (M40-L40)/L40, "")</f>
        <v/>
      </c>
      <c r="N43" s="203" t="n"/>
      <c r="O43" s="203" t="n"/>
      <c r="P43" s="203">
        <f>IF(AND(ISNUMBER(P40), ISNUMBER(O40), O40&gt;0, P40&gt;0), (P40-O40)/O40, "")</f>
        <v/>
      </c>
      <c r="Q43" s="203">
        <f>IF(AND(ISNUMBER(Q40), ISNUMBER(P40), P40&gt;0, Q40&gt;0), (Q40-P40)/P40, "")</f>
        <v/>
      </c>
      <c r="R43" s="203">
        <f>IF(AND(ISNUMBER(R40), ISNUMBER(Q40), Q40&gt;0, R40&gt;0), (R40-Q40)/Q40, "")</f>
        <v/>
      </c>
      <c r="S43" s="203">
        <f>IF(AND(ISNUMBER(S40), ISNUMBER(R40), R40&gt;0, S40&gt;0), (S40-R40)/R40, "")</f>
        <v/>
      </c>
      <c r="T43" s="203">
        <f>IF(AND(ISNUMBER(T40), ISNUMBER(S40), S40&gt;0, T40&gt;0), (T40-S40)/S40, "")</f>
        <v/>
      </c>
      <c r="U43" s="203">
        <f>IF(AND(ISNUMBER(U40), ISNUMBER(T40), T40&gt;0, U40&gt;0), (U40-T40)/T40, "")</f>
        <v/>
      </c>
      <c r="V43" s="203">
        <f>IF(AND(ISNUMBER(V40), ISNUMBER(U40), U40&gt;0, V40&gt;0), (V40-U40)/U40, "")</f>
        <v/>
      </c>
      <c r="W43" s="203">
        <f>IF(AND(ISNUMBER(W40), ISNUMBER(V40), V40&gt;0, W40&gt;0), (W40-V40)/V40, "")</f>
        <v/>
      </c>
      <c r="X43" s="203">
        <f>IF(AND(ISNUMBER(X40), ISNUMBER(W40), W40&gt;0, X40&gt;0), (X40-W40)/W40, "")</f>
        <v/>
      </c>
      <c r="Y43" s="203">
        <f>IF(AND(ISNUMBER(Y40), ISNUMBER(X40), X40&gt;0, Y40&gt;0), (Y40-X40)/X40, "")</f>
        <v/>
      </c>
      <c r="Z43" s="203">
        <f>IF(AND(ISNUMBER(Z40), ISNUMBER(Y40), Y40&gt;0, Z40&gt;0), (Z40-Y40)/Y40, "")</f>
        <v/>
      </c>
      <c r="AA43" s="203" t="n"/>
      <c r="AB43" s="140" t="n"/>
      <c r="AC43" s="140" t="n"/>
      <c r="AD43" s="140" t="n"/>
    </row>
    <row r="44" ht="15.75" customHeight="1" s="346">
      <c r="A44" s="202" t="inlineStr">
        <is>
          <t>Tỷ trọng trong tổng traffic</t>
        </is>
      </c>
      <c r="B44" s="156">
        <f t="array" ref="B44">IF(AND(ISNUMBER(B40), B40&gt;0), B40/INDEX('MTD Pivot'!$D$3:$K$400, MATCH("Grand Total", 'MTD Pivot'!$A$3:$A$400, 0), MATCH(B$2, 'MTD Pivot'!$D$2:$K$2, 0)), "")</f>
        <v/>
      </c>
      <c r="C44" s="156">
        <f t="array" ref="C44">IF(AND(ISNUMBER(C40), C40&gt;0), C40/INDEX('MTD Pivot'!$D$3:$K$400, MATCH("Grand Total", 'MTD Pivot'!$A$3:$A$400, 0), MATCH(C$2, 'MTD Pivot'!$D$2:$K$2, 0)), "")</f>
        <v/>
      </c>
      <c r="D44" s="156">
        <f t="array" ref="D44">IF(AND(ISNUMBER(D40), D40&gt;0), D40/INDEX('MTD Pivot'!$D$3:$K$400, MATCH("Grand Total", 'MTD Pivot'!$A$3:$A$400, 0), MATCH(D$2, 'MTD Pivot'!$D$2:$K$2, 0)), "")</f>
        <v/>
      </c>
      <c r="E44" s="156">
        <f t="array" ref="E44">IF(AND(ISNUMBER(E40), E40&gt;0), E40/INDEX('MTD Pivot'!$D$3:$K$400, MATCH("Grand Total", 'MTD Pivot'!$A$3:$A$400, 0), MATCH(E$2, 'MTD Pivot'!$D$2:$K$2, 0)), "")</f>
        <v/>
      </c>
      <c r="F44" s="156">
        <f t="array" ref="F44">IF(AND(ISNUMBER(F40), F40&gt;0), F40/INDEX('MTD Pivot'!$D$3:$K$400, MATCH("Grand Total", 'MTD Pivot'!$A$3:$A$400, 0), MATCH(F$2, 'MTD Pivot'!$D$2:$K$2, 0)), "")</f>
        <v/>
      </c>
      <c r="G44" s="156">
        <f t="array" ref="G44">IF(AND(ISNUMBER(G40), G40&gt;0), G40/INDEX('MTD Pivot'!$D$3:$K$400, MATCH("Grand Total", 'MTD Pivot'!$A$3:$A$400, 0), MATCH(G$2, 'MTD Pivot'!$D$2:$K$2, 0)), "")</f>
        <v/>
      </c>
      <c r="H44" s="156">
        <f t="array" ref="H44">IF(AND(ISNUMBER(H40), H40&gt;0), H40/INDEX('MTD Pivot'!$D$3:$K$400, MATCH("Grand Total", 'MTD Pivot'!$A$3:$A$400, 0), MATCH(H$2, 'MTD Pivot'!$D$2:$K$2, 0)), "")</f>
        <v/>
      </c>
      <c r="I44" s="156">
        <f t="array" ref="I44">IF(AND(ISNUMBER(I40), I40&gt;0), I40/INDEX('MTD Pivot'!$D$3:$K$400, MATCH("Grand Total", 'MTD Pivot'!$A$3:$A$400, 0), MATCH(I$2, 'MTD Pivot'!$D$2:$K$2, 0)), "")</f>
        <v/>
      </c>
      <c r="J44" s="156">
        <f t="array" ref="J44">IF(AND(ISNUMBER(J40), J40&gt;0), J40/INDEX('MTD Pivot'!$D$3:$K$400, MATCH("Grand Total", 'MTD Pivot'!$A$3:$A$400, 0), MATCH(J$2, 'MTD Pivot'!$D$2:$K$2, 0)), "")</f>
        <v/>
      </c>
      <c r="K44" s="156">
        <f t="array" ref="K44">IF(AND(ISNUMBER(K40), K40&gt;0), K40/INDEX('MTD Pivot'!$D$3:$K$400, MATCH("Grand Total", 'MTD Pivot'!$A$3:$A$400, 0), MATCH(K$2, 'MTD Pivot'!$D$2:$K$2, 0)), "")</f>
        <v/>
      </c>
      <c r="L44" s="156">
        <f t="array" ref="L44">IF(AND(ISNUMBER(L40), L40&gt;0), L40/INDEX('MTD Pivot'!$D$3:$K$400, MATCH("Grand Total", 'MTD Pivot'!$A$3:$A$400, 0), MATCH(L$2, 'MTD Pivot'!$D$2:$K$2, 0)), "")</f>
        <v/>
      </c>
      <c r="M44" s="156">
        <f t="array" ref="M44">IF(AND(ISNUMBER(M40), M40&gt;0), M40/INDEX('MTD Pivot'!$D$3:$K$400, MATCH("Grand Total", 'MTD Pivot'!$A$3:$A$400, 0), MATCH(M$2, 'MTD Pivot'!$D$2:$K$2, 0)), "")</f>
        <v/>
      </c>
      <c r="N44" s="157">
        <f>IF(AND(ISNUMBER(K44), ISNUMBER(J44)), K44-J44, "")</f>
        <v/>
      </c>
      <c r="O44" s="156">
        <f t="array" ref="O44">IF(AND(ISNUMBER(O40), O40&gt;0), O40/INDEX('Full month Pivot'!$D$3:$K$400, MATCH("Grand Total", 'Full month Pivot'!$A$3:$A$400, 0), MATCH(O$2, 'Full month Pivot'!$D$2:$K$2, 0)), "")</f>
        <v/>
      </c>
      <c r="P44" s="156">
        <f t="array" ref="P44">IF(AND(ISNUMBER(P40), P40&gt;0), P40/INDEX('Full month Pivot'!$D$3:$K$400, MATCH("Grand Total", 'Full month Pivot'!$A$3:$A$400, 0), MATCH(P$2, 'Full month Pivot'!$D$2:$K$2, 0)), "")</f>
        <v/>
      </c>
      <c r="Q44" s="156">
        <f t="array" ref="Q44">IF(AND(ISNUMBER(Q40), Q40&gt;0), Q40/INDEX('Full month Pivot'!$D$3:$K$400, MATCH("Grand Total", 'Full month Pivot'!$A$3:$A$400, 0), MATCH(Q$2, 'Full month Pivot'!$D$2:$K$2, 0)), "")</f>
        <v/>
      </c>
      <c r="R44" s="156">
        <f t="array" ref="R44">IF(AND(ISNUMBER(R40), R40&gt;0), R40/INDEX('Full month Pivot'!$D$3:$K$400, MATCH("Grand Total", 'Full month Pivot'!$A$3:$A$400, 0), MATCH(R$2, 'Full month Pivot'!$D$2:$K$2, 0)), "")</f>
        <v/>
      </c>
      <c r="S44" s="156">
        <f t="array" ref="S44">IF(AND(ISNUMBER(S40), S40&gt;0), S40/INDEX('Full month Pivot'!$D$3:$K$400, MATCH("Grand Total", 'Full month Pivot'!$A$3:$A$400, 0), MATCH(S$2, 'Full month Pivot'!$D$2:$K$2, 0)), "")</f>
        <v/>
      </c>
      <c r="T44" s="156">
        <f t="array" ref="T44">IF(AND(ISNUMBER(T40), T40&gt;0), T40/INDEX('Full month Pivot'!$D$3:$K$400, MATCH("Grand Total", 'Full month Pivot'!$A$3:$A$400, 0), MATCH(T$2, 'Full month Pivot'!$D$2:$K$2, 0)), "")</f>
        <v/>
      </c>
      <c r="U44" s="156">
        <f t="array" ref="U44">IF(AND(ISNUMBER(U40), U40&gt;0), U40/INDEX('Full month Pivot'!$D$3:$K$400, MATCH("Grand Total", 'Full month Pivot'!$A$3:$A$400, 0), MATCH(U$2, 'Full month Pivot'!$D$2:$K$2, 0)), "")</f>
        <v/>
      </c>
      <c r="V44" s="156">
        <f t="array" ref="V44">IF(AND(ISNUMBER(V40), V40&gt;0), V40/INDEX('Full month Pivot'!$D$3:$K$400, MATCH("Grand Total", 'Full month Pivot'!$A$3:$A$400, 0), MATCH(V$2, 'Full month Pivot'!$D$2:$K$2, 0)), "")</f>
        <v/>
      </c>
      <c r="W44" s="156">
        <f t="array" ref="W44">IF(AND(ISNUMBER(W40), W40&gt;0), W40/INDEX('Full month Pivot'!$D$3:$K$400, MATCH("Grand Total", 'Full month Pivot'!$A$3:$A$400, 0), MATCH(W$2, 'Full month Pivot'!$D$2:$K$2, 0)), "")</f>
        <v/>
      </c>
      <c r="X44" s="156">
        <f t="array" ref="X44">IF(AND(ISNUMBER(X40), X40&gt;0), X40/INDEX('Full month Pivot'!$D$3:$K$400, MATCH("Grand Total", 'Full month Pivot'!$A$3:$A$400, 0), MATCH(X$2, 'Full month Pivot'!$D$2:$K$2, 0)), "")</f>
        <v/>
      </c>
      <c r="Y44" s="156">
        <f t="array" ref="Y44">IF(AND(ISNUMBER(Y40), Y40&gt;0), Y40/INDEX('Full month Pivot'!$D$3:$K$400, MATCH("Grand Total", 'Full month Pivot'!$A$3:$A$400, 0), MATCH(Y$2, 'Full month Pivot'!$D$2:$K$2, 0)), "")</f>
        <v/>
      </c>
      <c r="Z44" s="156">
        <f t="array" ref="Z44">IF(AND(ISNUMBER(Z40), Z40&gt;0), Z40/INDEX('Full month Pivot'!$D$3:$K$400, MATCH("Grand Total", 'Full month Pivot'!$A$3:$A$400, 0), MATCH(Z$2, 'Full month Pivot'!$D$2:$K$2, 0)), "")</f>
        <v/>
      </c>
      <c r="AA44" s="157">
        <f>IF(AND(ISNUMBER(X44), ISNUMBER(W44)), X44-W44, "")</f>
        <v/>
      </c>
      <c r="AB44" s="140" t="n"/>
      <c r="AC44" s="140" t="n"/>
      <c r="AD44" s="140" t="n"/>
    </row>
    <row r="45" ht="15.75" customHeight="1" s="346">
      <c r="A45" s="202" t="inlineStr">
        <is>
          <t xml:space="preserve">  Organic</t>
        </is>
      </c>
      <c r="B45" s="193">
        <f>IF(SUMPRODUCT(('MTD Pivot'!$B$3:$B$400="Financial Hub") * (TRIM('MTD Pivot'!$C$3:$C$400)=TRIM($A45)) * ('MTD Pivot'!$D$2:$K$2=B$2) * 'MTD Pivot'!$D$3:$K$400)&gt;0, SUMPRODUCT(('MTD Pivot'!$B$3:$B$400="Financial Hub") * (TRIM('MTD Pivot'!$C$3:$C$400)=TRIM($A45)) * ('MTD Pivot'!$D$2:$K$2=B$2) * 'MTD Pivot'!$D$3:$K$400), "")</f>
        <v/>
      </c>
      <c r="C45" s="193">
        <f>IF(SUMPRODUCT(('MTD Pivot'!$B$3:$B$400="Financial Hub") * (TRIM('MTD Pivot'!$C$3:$C$400)=TRIM($A45)) * ('MTD Pivot'!$D$2:$K$2=C$2) * 'MTD Pivot'!$D$3:$K$400)&gt;0, SUMPRODUCT(('MTD Pivot'!$B$3:$B$400="Financial Hub") * (TRIM('MTD Pivot'!$C$3:$C$400)=TRIM($A45)) * ('MTD Pivot'!$D$2:$K$2=C$2) * 'MTD Pivot'!$D$3:$K$400), "")</f>
        <v/>
      </c>
      <c r="D45" s="193">
        <f>IF(SUMPRODUCT(('MTD Pivot'!$B$3:$B$400="Financial Hub") * (TRIM('MTD Pivot'!$C$3:$C$400)=TRIM($A45)) * ('MTD Pivot'!$D$2:$K$2=D$2) * 'MTD Pivot'!$D$3:$K$400)&gt;0, SUMPRODUCT(('MTD Pivot'!$B$3:$B$400="Financial Hub") * (TRIM('MTD Pivot'!$C$3:$C$400)=TRIM($A45)) * ('MTD Pivot'!$D$2:$K$2=D$2) * 'MTD Pivot'!$D$3:$K$400), "")</f>
        <v/>
      </c>
      <c r="E45" s="193">
        <f>IF(SUMPRODUCT(('MTD Pivot'!$B$3:$B$400="Financial Hub") * (TRIM('MTD Pivot'!$C$3:$C$400)=TRIM($A45)) * ('MTD Pivot'!$D$2:$K$2=E$2) * 'MTD Pivot'!$D$3:$K$400)&gt;0, SUMPRODUCT(('MTD Pivot'!$B$3:$B$400="Financial Hub") * (TRIM('MTD Pivot'!$C$3:$C$400)=TRIM($A45)) * ('MTD Pivot'!$D$2:$K$2=E$2) * 'MTD Pivot'!$D$3:$K$400), "")</f>
        <v/>
      </c>
      <c r="F45" s="193">
        <f>IF(SUMPRODUCT(('MTD Pivot'!$B$3:$B$400="Financial Hub") * (TRIM('MTD Pivot'!$C$3:$C$400)=TRIM($A45)) * ('MTD Pivot'!$D$2:$K$2=F$2) * 'MTD Pivot'!$D$3:$K$400)&gt;0, SUMPRODUCT(('MTD Pivot'!$B$3:$B$400="Financial Hub") * (TRIM('MTD Pivot'!$C$3:$C$400)=TRIM($A45)) * ('MTD Pivot'!$D$2:$K$2=F$2) * 'MTD Pivot'!$D$3:$K$400), "")</f>
        <v/>
      </c>
      <c r="G45" s="193">
        <f>IF(SUMPRODUCT(('MTD Pivot'!$B$3:$B$400="Financial Hub") * (TRIM('MTD Pivot'!$C$3:$C$400)=TRIM($A45)) * ('MTD Pivot'!$D$2:$K$2=G$2) * 'MTD Pivot'!$D$3:$K$400)&gt;0, SUMPRODUCT(('MTD Pivot'!$B$3:$B$400="Financial Hub") * (TRIM('MTD Pivot'!$C$3:$C$400)=TRIM($A45)) * ('MTD Pivot'!$D$2:$K$2=G$2) * 'MTD Pivot'!$D$3:$K$400), "")</f>
        <v/>
      </c>
      <c r="H45" s="193">
        <f>IF(SUMPRODUCT(('MTD Pivot'!$B$3:$B$400="Financial Hub") * (TRIM('MTD Pivot'!$C$3:$C$400)=TRIM($A45)) * ('MTD Pivot'!$D$2:$K$2=H$2) * 'MTD Pivot'!$D$3:$K$400)&gt;0, SUMPRODUCT(('MTD Pivot'!$B$3:$B$400="Financial Hub") * (TRIM('MTD Pivot'!$C$3:$C$400)=TRIM($A45)) * ('MTD Pivot'!$D$2:$K$2=H$2) * 'MTD Pivot'!$D$3:$K$400), "")</f>
        <v/>
      </c>
      <c r="I45" s="193">
        <f>IF(SUMPRODUCT(('MTD Pivot'!$B$3:$B$400="Financial Hub") * (TRIM('MTD Pivot'!$C$3:$C$400)=TRIM($A45)) * ('MTD Pivot'!$D$2:$K$2=I$2) * 'MTD Pivot'!$D$3:$K$400)&gt;0, SUMPRODUCT(('MTD Pivot'!$B$3:$B$400="Financial Hub") * (TRIM('MTD Pivot'!$C$3:$C$400)=TRIM($A45)) * ('MTD Pivot'!$D$2:$K$2=I$2) * 'MTD Pivot'!$D$3:$K$400), "")</f>
        <v/>
      </c>
      <c r="J45" s="193">
        <f>IF(SUMPRODUCT(('MTD Pivot'!$B$3:$B$400="Financial Hub") * (TRIM('MTD Pivot'!$C$3:$C$400)=TRIM($A45)) * ('MTD Pivot'!$D$2:$K$2=J$2) * 'MTD Pivot'!$D$3:$K$400)&gt;0, SUMPRODUCT(('MTD Pivot'!$B$3:$B$400="Financial Hub") * (TRIM('MTD Pivot'!$C$3:$C$400)=TRIM($A45)) * ('MTD Pivot'!$D$2:$K$2=J$2) * 'MTD Pivot'!$D$3:$K$400), "")</f>
        <v/>
      </c>
      <c r="K45" s="193">
        <f>IF(SUMPRODUCT(('MTD Pivot'!$B$3:$B$400="Financial Hub") * (TRIM('MTD Pivot'!$C$3:$C$400)=TRIM($A45)) * ('MTD Pivot'!$D$2:$K$2=K$2) * 'MTD Pivot'!$D$3:$K$400)&gt;0, SUMPRODUCT(('MTD Pivot'!$B$3:$B$400="Financial Hub") * (TRIM('MTD Pivot'!$C$3:$C$400)=TRIM($A45)) * ('MTD Pivot'!$D$2:$K$2=K$2) * 'MTD Pivot'!$D$3:$K$400), "")</f>
        <v/>
      </c>
      <c r="L45" s="193">
        <f>IF(SUMPRODUCT(('MTD Pivot'!$B$3:$B$400="Financial Hub") * (TRIM('MTD Pivot'!$C$3:$C$400)=TRIM($A45)) * ('MTD Pivot'!$D$2:$K$2=L$2) * 'MTD Pivot'!$D$3:$K$400)&gt;0, SUMPRODUCT(('MTD Pivot'!$B$3:$B$400="Financial Hub") * (TRIM('MTD Pivot'!$C$3:$C$400)=TRIM($A45)) * ('MTD Pivot'!$D$2:$K$2=L$2) * 'MTD Pivot'!$D$3:$K$400), "")</f>
        <v/>
      </c>
      <c r="M45" s="193">
        <f>IF(SUMPRODUCT(('MTD Pivot'!$B$3:$B$400="Financial Hub") * (TRIM('MTD Pivot'!$C$3:$C$400)=TRIM($A45)) * ('MTD Pivot'!$D$2:$K$2=M$2) * 'MTD Pivot'!$D$3:$K$400)&gt;0, SUMPRODUCT(('MTD Pivot'!$B$3:$B$400="Financial Hub") * (TRIM('MTD Pivot'!$C$3:$C$400)=TRIM($A45)) * ('MTD Pivot'!$D$2:$K$2=M$2) * 'MTD Pivot'!$D$3:$K$400), "")</f>
        <v/>
      </c>
      <c r="N45" s="157">
        <f>IF(AND(ISNUMBER(K45), ISNUMBER(J45), J45&gt;0), (K45-J45)/J45, "")</f>
        <v/>
      </c>
      <c r="O45" s="193">
        <f>IF(SUMPRODUCT(('Full month Pivot'!$B$3:$B$400="Financial Hub") * (TRIM('Full month Pivot'!$C$3:$C$400)=TRIM($A45)) * ('Full month Pivot'!$D$2:$K$2=O$2) * 'Full month Pivot'!$D$3:$K$400)&gt;0, SUMPRODUCT(('Full month Pivot'!$B$3:$B$400="Financial Hub") * (TRIM('Full month Pivot'!$C$3:$C$400)=TRIM($A45)) * ('Full month Pivot'!$D$2:$K$2=O$2) * 'Full month Pivot'!$D$3:$K$400), "")</f>
        <v/>
      </c>
      <c r="P45" s="193">
        <f>IF(SUMPRODUCT(('Full month Pivot'!$B$3:$B$400="Financial Hub") * (TRIM('Full month Pivot'!$C$3:$C$400)=TRIM($A45)) * ('Full month Pivot'!$D$2:$K$2=P$2) * 'Full month Pivot'!$D$3:$K$400)&gt;0, SUMPRODUCT(('Full month Pivot'!$B$3:$B$400="Financial Hub") * (TRIM('Full month Pivot'!$C$3:$C$400)=TRIM($A45)) * ('Full month Pivot'!$D$2:$K$2=P$2) * 'Full month Pivot'!$D$3:$K$400), "")</f>
        <v/>
      </c>
      <c r="Q45" s="193">
        <f>IF(SUMPRODUCT(('Full month Pivot'!$B$3:$B$400="Financial Hub") * (TRIM('Full month Pivot'!$C$3:$C$400)=TRIM($A45)) * ('Full month Pivot'!$D$2:$K$2=Q$2) * 'Full month Pivot'!$D$3:$K$400)&gt;0, SUMPRODUCT(('Full month Pivot'!$B$3:$B$400="Financial Hub") * (TRIM('Full month Pivot'!$C$3:$C$400)=TRIM($A45)) * ('Full month Pivot'!$D$2:$K$2=Q$2) * 'Full month Pivot'!$D$3:$K$400), "")</f>
        <v/>
      </c>
      <c r="R45" s="193">
        <f>IF(SUMPRODUCT(('Full month Pivot'!$B$3:$B$400="Financial Hub") * (TRIM('Full month Pivot'!$C$3:$C$400)=TRIM($A45)) * ('Full month Pivot'!$D$2:$K$2=R$2) * 'Full month Pivot'!$D$3:$K$400)&gt;0, SUMPRODUCT(('Full month Pivot'!$B$3:$B$400="Financial Hub") * (TRIM('Full month Pivot'!$C$3:$C$400)=TRIM($A45)) * ('Full month Pivot'!$D$2:$K$2=R$2) * 'Full month Pivot'!$D$3:$K$400), "")</f>
        <v/>
      </c>
      <c r="S45" s="193">
        <f>IF(SUMPRODUCT(('Full month Pivot'!$B$3:$B$400="Financial Hub") * (TRIM('Full month Pivot'!$C$3:$C$400)=TRIM($A45)) * ('Full month Pivot'!$D$2:$K$2=S$2) * 'Full month Pivot'!$D$3:$K$400)&gt;0, SUMPRODUCT(('Full month Pivot'!$B$3:$B$400="Financial Hub") * (TRIM('Full month Pivot'!$C$3:$C$400)=TRIM($A45)) * ('Full month Pivot'!$D$2:$K$2=S$2) * 'Full month Pivot'!$D$3:$K$400), "")</f>
        <v/>
      </c>
      <c r="T45" s="193">
        <f>IF(SUMPRODUCT(('Full month Pivot'!$B$3:$B$400="Financial Hub") * (TRIM('Full month Pivot'!$C$3:$C$400)=TRIM($A45)) * ('Full month Pivot'!$D$2:$K$2=T$2) * 'Full month Pivot'!$D$3:$K$400)&gt;0, SUMPRODUCT(('Full month Pivot'!$B$3:$B$400="Financial Hub") * (TRIM('Full month Pivot'!$C$3:$C$400)=TRIM($A45)) * ('Full month Pivot'!$D$2:$K$2=T$2) * 'Full month Pivot'!$D$3:$K$400), "")</f>
        <v/>
      </c>
      <c r="U45" s="193">
        <f>IF(SUMPRODUCT(('Full month Pivot'!$B$3:$B$400="Financial Hub") * (TRIM('Full month Pivot'!$C$3:$C$400)=TRIM($A45)) * ('Full month Pivot'!$D$2:$K$2=U$2) * 'Full month Pivot'!$D$3:$K$400)&gt;0, SUMPRODUCT(('Full month Pivot'!$B$3:$B$400="Financial Hub") * (TRIM('Full month Pivot'!$C$3:$C$400)=TRIM($A45)) * ('Full month Pivot'!$D$2:$K$2=U$2) * 'Full month Pivot'!$D$3:$K$400), "")</f>
        <v/>
      </c>
      <c r="V45" s="193">
        <f>IF(SUMPRODUCT(('Full month Pivot'!$B$3:$B$400="Financial Hub") * (TRIM('Full month Pivot'!$C$3:$C$400)=TRIM($A45)) * ('Full month Pivot'!$D$2:$K$2=V$2) * 'Full month Pivot'!$D$3:$K$400)&gt;0, SUMPRODUCT(('Full month Pivot'!$B$3:$B$400="Financial Hub") * (TRIM('Full month Pivot'!$C$3:$C$400)=TRIM($A45)) * ('Full month Pivot'!$D$2:$K$2=V$2) * 'Full month Pivot'!$D$3:$K$400), "")</f>
        <v/>
      </c>
      <c r="W45" s="193">
        <f>IF(SUMPRODUCT(('Full month Pivot'!$B$3:$B$400="Financial Hub") * (TRIM('Full month Pivot'!$C$3:$C$400)=TRIM($A45)) * ('Full month Pivot'!$D$2:$K$2=W$2) * 'Full month Pivot'!$D$3:$K$400)&gt;0, SUMPRODUCT(('Full month Pivot'!$B$3:$B$400="Financial Hub") * (TRIM('Full month Pivot'!$C$3:$C$400)=TRIM($A45)) * ('Full month Pivot'!$D$2:$K$2=W$2) * 'Full month Pivot'!$D$3:$K$400), "")</f>
        <v/>
      </c>
      <c r="X45" s="193">
        <f>IF(SUMPRODUCT(('Full month Pivot'!$B$3:$B$400="Financial Hub") * (TRIM('Full month Pivot'!$C$3:$C$400)=TRIM($A45)) * ('Full month Pivot'!$D$2:$K$2=X$2) * 'Full month Pivot'!$D$3:$K$400)&gt;0, SUMPRODUCT(('Full month Pivot'!$B$3:$B$400="Financial Hub") * (TRIM('Full month Pivot'!$C$3:$C$400)=TRIM($A45)) * ('Full month Pivot'!$D$2:$K$2=X$2) * 'Full month Pivot'!$D$3:$K$400), "")</f>
        <v/>
      </c>
      <c r="Y45" s="193">
        <f>IF(SUMPRODUCT(('Full month Pivot'!$B$3:$B$400="Financial Hub") * (TRIM('Full month Pivot'!$C$3:$C$400)=TRIM($A45)) * ('Full month Pivot'!$D$2:$K$2=Y$2) * 'Full month Pivot'!$D$3:$K$400)&gt;0, SUMPRODUCT(('Full month Pivot'!$B$3:$B$400="Financial Hub") * (TRIM('Full month Pivot'!$C$3:$C$400)=TRIM($A45)) * ('Full month Pivot'!$D$2:$K$2=Y$2) * 'Full month Pivot'!$D$3:$K$400), "")</f>
        <v/>
      </c>
      <c r="Z45" s="193">
        <f>IF(SUMPRODUCT(('Full month Pivot'!$B$3:$B$400="Financial Hub") * (TRIM('Full month Pivot'!$C$3:$C$400)=TRIM($A45)) * ('Full month Pivot'!$D$2:$K$2=Z$2) * 'Full month Pivot'!$D$3:$K$400)&gt;0, SUMPRODUCT(('Full month Pivot'!$B$3:$B$400="Financial Hub") * (TRIM('Full month Pivot'!$C$3:$C$400)=TRIM($A45)) * ('Full month Pivot'!$D$2:$K$2=Z$2) * 'Full month Pivot'!$D$3:$K$400), "")</f>
        <v/>
      </c>
      <c r="AA45" s="157">
        <f>IF(AND(ISNUMBER(X45), ISNUMBER(W45), W45&gt;0), (X45-W45)/W45, "")</f>
        <v/>
      </c>
      <c r="AB45" s="140" t="n"/>
      <c r="AC45" s="140" t="n"/>
      <c r="AD45" s="140" t="n"/>
    </row>
    <row r="46" ht="15.75" customHeight="1" s="346">
      <c r="A46" s="202" t="inlineStr">
        <is>
          <t xml:space="preserve">  Paid</t>
        </is>
      </c>
      <c r="B46" s="193">
        <f>IF(SUMPRODUCT(('MTD Pivot'!$B$3:$B$400="Financial Hub") * (TRIM('MTD Pivot'!$C$3:$C$400)=TRIM($A46)) * ('MTD Pivot'!$D$2:$K$2=B$2) * 'MTD Pivot'!$D$3:$K$400)&gt;0, SUMPRODUCT(('MTD Pivot'!$B$3:$B$400="Financial Hub") * (TRIM('MTD Pivot'!$C$3:$C$400)=TRIM($A46)) * ('MTD Pivot'!$D$2:$K$2=B$2) * 'MTD Pivot'!$D$3:$K$400), "")</f>
        <v/>
      </c>
      <c r="C46" s="193">
        <f>IF(SUMPRODUCT(('MTD Pivot'!$B$3:$B$400="Financial Hub") * (TRIM('MTD Pivot'!$C$3:$C$400)=TRIM($A46)) * ('MTD Pivot'!$D$2:$K$2=C$2) * 'MTD Pivot'!$D$3:$K$400)&gt;0, SUMPRODUCT(('MTD Pivot'!$B$3:$B$400="Financial Hub") * (TRIM('MTD Pivot'!$C$3:$C$400)=TRIM($A46)) * ('MTD Pivot'!$D$2:$K$2=C$2) * 'MTD Pivot'!$D$3:$K$400), "")</f>
        <v/>
      </c>
      <c r="D46" s="193">
        <f>IF(SUMPRODUCT(('MTD Pivot'!$B$3:$B$400="Financial Hub") * (TRIM('MTD Pivot'!$C$3:$C$400)=TRIM($A46)) * ('MTD Pivot'!$D$2:$K$2=D$2) * 'MTD Pivot'!$D$3:$K$400)&gt;0, SUMPRODUCT(('MTD Pivot'!$B$3:$B$400="Financial Hub") * (TRIM('MTD Pivot'!$C$3:$C$400)=TRIM($A46)) * ('MTD Pivot'!$D$2:$K$2=D$2) * 'MTD Pivot'!$D$3:$K$400), "")</f>
        <v/>
      </c>
      <c r="E46" s="193">
        <f>IF(SUMPRODUCT(('MTD Pivot'!$B$3:$B$400="Financial Hub") * (TRIM('MTD Pivot'!$C$3:$C$400)=TRIM($A46)) * ('MTD Pivot'!$D$2:$K$2=E$2) * 'MTD Pivot'!$D$3:$K$400)&gt;0, SUMPRODUCT(('MTD Pivot'!$B$3:$B$400="Financial Hub") * (TRIM('MTD Pivot'!$C$3:$C$400)=TRIM($A46)) * ('MTD Pivot'!$D$2:$K$2=E$2) * 'MTD Pivot'!$D$3:$K$400), "")</f>
        <v/>
      </c>
      <c r="F46" s="193">
        <f>IF(SUMPRODUCT(('MTD Pivot'!$B$3:$B$400="Financial Hub") * (TRIM('MTD Pivot'!$C$3:$C$400)=TRIM($A46)) * ('MTD Pivot'!$D$2:$K$2=F$2) * 'MTD Pivot'!$D$3:$K$400)&gt;0, SUMPRODUCT(('MTD Pivot'!$B$3:$B$400="Financial Hub") * (TRIM('MTD Pivot'!$C$3:$C$400)=TRIM($A46)) * ('MTD Pivot'!$D$2:$K$2=F$2) * 'MTD Pivot'!$D$3:$K$400), "")</f>
        <v/>
      </c>
      <c r="G46" s="193">
        <f>IF(SUMPRODUCT(('MTD Pivot'!$B$3:$B$400="Financial Hub") * (TRIM('MTD Pivot'!$C$3:$C$400)=TRIM($A46)) * ('MTD Pivot'!$D$2:$K$2=G$2) * 'MTD Pivot'!$D$3:$K$400)&gt;0, SUMPRODUCT(('MTD Pivot'!$B$3:$B$400="Financial Hub") * (TRIM('MTD Pivot'!$C$3:$C$400)=TRIM($A46)) * ('MTD Pivot'!$D$2:$K$2=G$2) * 'MTD Pivot'!$D$3:$K$400), "")</f>
        <v/>
      </c>
      <c r="H46" s="193">
        <f>IF(SUMPRODUCT(('MTD Pivot'!$B$3:$B$400="Financial Hub") * (TRIM('MTD Pivot'!$C$3:$C$400)=TRIM($A46)) * ('MTD Pivot'!$D$2:$K$2=H$2) * 'MTD Pivot'!$D$3:$K$400)&gt;0, SUMPRODUCT(('MTD Pivot'!$B$3:$B$400="Financial Hub") * (TRIM('MTD Pivot'!$C$3:$C$400)=TRIM($A46)) * ('MTD Pivot'!$D$2:$K$2=H$2) * 'MTD Pivot'!$D$3:$K$400), "")</f>
        <v/>
      </c>
      <c r="I46" s="193">
        <f>IF(SUMPRODUCT(('MTD Pivot'!$B$3:$B$400="Financial Hub") * (TRIM('MTD Pivot'!$C$3:$C$400)=TRIM($A46)) * ('MTD Pivot'!$D$2:$K$2=I$2) * 'MTD Pivot'!$D$3:$K$400)&gt;0, SUMPRODUCT(('MTD Pivot'!$B$3:$B$400="Financial Hub") * (TRIM('MTD Pivot'!$C$3:$C$400)=TRIM($A46)) * ('MTD Pivot'!$D$2:$K$2=I$2) * 'MTD Pivot'!$D$3:$K$400), "")</f>
        <v/>
      </c>
      <c r="J46" s="193">
        <f>IF(SUMPRODUCT(('MTD Pivot'!$B$3:$B$400="Financial Hub") * (TRIM('MTD Pivot'!$C$3:$C$400)=TRIM($A46)) * ('MTD Pivot'!$D$2:$K$2=J$2) * 'MTD Pivot'!$D$3:$K$400)&gt;0, SUMPRODUCT(('MTD Pivot'!$B$3:$B$400="Financial Hub") * (TRIM('MTD Pivot'!$C$3:$C$400)=TRIM($A46)) * ('MTD Pivot'!$D$2:$K$2=J$2) * 'MTD Pivot'!$D$3:$K$400), "")</f>
        <v/>
      </c>
      <c r="K46" s="193">
        <f>IF(SUMPRODUCT(('MTD Pivot'!$B$3:$B$400="Financial Hub") * (TRIM('MTD Pivot'!$C$3:$C$400)=TRIM($A46)) * ('MTD Pivot'!$D$2:$K$2=K$2) * 'MTD Pivot'!$D$3:$K$400)&gt;0, SUMPRODUCT(('MTD Pivot'!$B$3:$B$400="Financial Hub") * (TRIM('MTD Pivot'!$C$3:$C$400)=TRIM($A46)) * ('MTD Pivot'!$D$2:$K$2=K$2) * 'MTD Pivot'!$D$3:$K$400), "")</f>
        <v/>
      </c>
      <c r="L46" s="193">
        <f>IF(SUMPRODUCT(('MTD Pivot'!$B$3:$B$400="Financial Hub") * (TRIM('MTD Pivot'!$C$3:$C$400)=TRIM($A46)) * ('MTD Pivot'!$D$2:$K$2=L$2) * 'MTD Pivot'!$D$3:$K$400)&gt;0, SUMPRODUCT(('MTD Pivot'!$B$3:$B$400="Financial Hub") * (TRIM('MTD Pivot'!$C$3:$C$400)=TRIM($A46)) * ('MTD Pivot'!$D$2:$K$2=L$2) * 'MTD Pivot'!$D$3:$K$400), "")</f>
        <v/>
      </c>
      <c r="M46" s="193">
        <f>IF(SUMPRODUCT(('MTD Pivot'!$B$3:$B$400="Financial Hub") * (TRIM('MTD Pivot'!$C$3:$C$400)=TRIM($A46)) * ('MTD Pivot'!$D$2:$K$2=M$2) * 'MTD Pivot'!$D$3:$K$400)&gt;0, SUMPRODUCT(('MTD Pivot'!$B$3:$B$400="Financial Hub") * (TRIM('MTD Pivot'!$C$3:$C$400)=TRIM($A46)) * ('MTD Pivot'!$D$2:$K$2=M$2) * 'MTD Pivot'!$D$3:$K$400), "")</f>
        <v/>
      </c>
      <c r="N46" s="157">
        <f>IF(AND(ISNUMBER(K46), ISNUMBER(J46), J46&gt;0), (K46-J46)/J46, "")</f>
        <v/>
      </c>
      <c r="O46" s="193">
        <f>IF(SUMPRODUCT(('Full month Pivot'!$B$3:$B$400="Financial Hub") * (TRIM('Full month Pivot'!$C$3:$C$400)=TRIM($A46)) * ('Full month Pivot'!$D$2:$K$2=O$2) * 'Full month Pivot'!$D$3:$K$400)&gt;0, SUMPRODUCT(('Full month Pivot'!$B$3:$B$400="Financial Hub") * (TRIM('Full month Pivot'!$C$3:$C$400)=TRIM($A46)) * ('Full month Pivot'!$D$2:$K$2=O$2) * 'Full month Pivot'!$D$3:$K$400), "")</f>
        <v/>
      </c>
      <c r="P46" s="193">
        <f>IF(SUMPRODUCT(('Full month Pivot'!$B$3:$B$400="Financial Hub") * (TRIM('Full month Pivot'!$C$3:$C$400)=TRIM($A46)) * ('Full month Pivot'!$D$2:$K$2=P$2) * 'Full month Pivot'!$D$3:$K$400)&gt;0, SUMPRODUCT(('Full month Pivot'!$B$3:$B$400="Financial Hub") * (TRIM('Full month Pivot'!$C$3:$C$400)=TRIM($A46)) * ('Full month Pivot'!$D$2:$K$2=P$2) * 'Full month Pivot'!$D$3:$K$400), "")</f>
        <v/>
      </c>
      <c r="Q46" s="193">
        <f>IF(SUMPRODUCT(('Full month Pivot'!$B$3:$B$400="Financial Hub") * (TRIM('Full month Pivot'!$C$3:$C$400)=TRIM($A46)) * ('Full month Pivot'!$D$2:$K$2=Q$2) * 'Full month Pivot'!$D$3:$K$400)&gt;0, SUMPRODUCT(('Full month Pivot'!$B$3:$B$400="Financial Hub") * (TRIM('Full month Pivot'!$C$3:$C$400)=TRIM($A46)) * ('Full month Pivot'!$D$2:$K$2=Q$2) * 'Full month Pivot'!$D$3:$K$400), "")</f>
        <v/>
      </c>
      <c r="R46" s="193">
        <f>IF(SUMPRODUCT(('Full month Pivot'!$B$3:$B$400="Financial Hub") * (TRIM('Full month Pivot'!$C$3:$C$400)=TRIM($A46)) * ('Full month Pivot'!$D$2:$K$2=R$2) * 'Full month Pivot'!$D$3:$K$400)&gt;0, SUMPRODUCT(('Full month Pivot'!$B$3:$B$400="Financial Hub") * (TRIM('Full month Pivot'!$C$3:$C$400)=TRIM($A46)) * ('Full month Pivot'!$D$2:$K$2=R$2) * 'Full month Pivot'!$D$3:$K$400), "")</f>
        <v/>
      </c>
      <c r="S46" s="193">
        <f>IF(SUMPRODUCT(('Full month Pivot'!$B$3:$B$400="Financial Hub") * (TRIM('Full month Pivot'!$C$3:$C$400)=TRIM($A46)) * ('Full month Pivot'!$D$2:$K$2=S$2) * 'Full month Pivot'!$D$3:$K$400)&gt;0, SUMPRODUCT(('Full month Pivot'!$B$3:$B$400="Financial Hub") * (TRIM('Full month Pivot'!$C$3:$C$400)=TRIM($A46)) * ('Full month Pivot'!$D$2:$K$2=S$2) * 'Full month Pivot'!$D$3:$K$400), "")</f>
        <v/>
      </c>
      <c r="T46" s="193">
        <f>IF(SUMPRODUCT(('Full month Pivot'!$B$3:$B$400="Financial Hub") * (TRIM('Full month Pivot'!$C$3:$C$400)=TRIM($A46)) * ('Full month Pivot'!$D$2:$K$2=T$2) * 'Full month Pivot'!$D$3:$K$400)&gt;0, SUMPRODUCT(('Full month Pivot'!$B$3:$B$400="Financial Hub") * (TRIM('Full month Pivot'!$C$3:$C$400)=TRIM($A46)) * ('Full month Pivot'!$D$2:$K$2=T$2) * 'Full month Pivot'!$D$3:$K$400), "")</f>
        <v/>
      </c>
      <c r="U46" s="193">
        <f>IF(SUMPRODUCT(('Full month Pivot'!$B$3:$B$400="Financial Hub") * (TRIM('Full month Pivot'!$C$3:$C$400)=TRIM($A46)) * ('Full month Pivot'!$D$2:$K$2=U$2) * 'Full month Pivot'!$D$3:$K$400)&gt;0, SUMPRODUCT(('Full month Pivot'!$B$3:$B$400="Financial Hub") * (TRIM('Full month Pivot'!$C$3:$C$400)=TRIM($A46)) * ('Full month Pivot'!$D$2:$K$2=U$2) * 'Full month Pivot'!$D$3:$K$400), "")</f>
        <v/>
      </c>
      <c r="V46" s="193">
        <f>IF(SUMPRODUCT(('Full month Pivot'!$B$3:$B$400="Financial Hub") * (TRIM('Full month Pivot'!$C$3:$C$400)=TRIM($A46)) * ('Full month Pivot'!$D$2:$K$2=V$2) * 'Full month Pivot'!$D$3:$K$400)&gt;0, SUMPRODUCT(('Full month Pivot'!$B$3:$B$400="Financial Hub") * (TRIM('Full month Pivot'!$C$3:$C$400)=TRIM($A46)) * ('Full month Pivot'!$D$2:$K$2=V$2) * 'Full month Pivot'!$D$3:$K$400), "")</f>
        <v/>
      </c>
      <c r="W46" s="193">
        <f>IF(SUMPRODUCT(('Full month Pivot'!$B$3:$B$400="Financial Hub") * (TRIM('Full month Pivot'!$C$3:$C$400)=TRIM($A46)) * ('Full month Pivot'!$D$2:$K$2=W$2) * 'Full month Pivot'!$D$3:$K$400)&gt;0, SUMPRODUCT(('Full month Pivot'!$B$3:$B$400="Financial Hub") * (TRIM('Full month Pivot'!$C$3:$C$400)=TRIM($A46)) * ('Full month Pivot'!$D$2:$K$2=W$2) * 'Full month Pivot'!$D$3:$K$400), "")</f>
        <v/>
      </c>
      <c r="X46" s="193">
        <f>IF(SUMPRODUCT(('Full month Pivot'!$B$3:$B$400="Financial Hub") * (TRIM('Full month Pivot'!$C$3:$C$400)=TRIM($A46)) * ('Full month Pivot'!$D$2:$K$2=X$2) * 'Full month Pivot'!$D$3:$K$400)&gt;0, SUMPRODUCT(('Full month Pivot'!$B$3:$B$400="Financial Hub") * (TRIM('Full month Pivot'!$C$3:$C$400)=TRIM($A46)) * ('Full month Pivot'!$D$2:$K$2=X$2) * 'Full month Pivot'!$D$3:$K$400), "")</f>
        <v/>
      </c>
      <c r="Y46" s="193">
        <f>IF(SUMPRODUCT(('Full month Pivot'!$B$3:$B$400="Financial Hub") * (TRIM('Full month Pivot'!$C$3:$C$400)=TRIM($A46)) * ('Full month Pivot'!$D$2:$K$2=Y$2) * 'Full month Pivot'!$D$3:$K$400)&gt;0, SUMPRODUCT(('Full month Pivot'!$B$3:$B$400="Financial Hub") * (TRIM('Full month Pivot'!$C$3:$C$400)=TRIM($A46)) * ('Full month Pivot'!$D$2:$K$2=Y$2) * 'Full month Pivot'!$D$3:$K$400), "")</f>
        <v/>
      </c>
      <c r="Z46" s="193">
        <f>IF(SUMPRODUCT(('Full month Pivot'!$B$3:$B$400="Financial Hub") * (TRIM('Full month Pivot'!$C$3:$C$400)=TRIM($A46)) * ('Full month Pivot'!$D$2:$K$2=Z$2) * 'Full month Pivot'!$D$3:$K$400)&gt;0, SUMPRODUCT(('Full month Pivot'!$B$3:$B$400="Financial Hub") * (TRIM('Full month Pivot'!$C$3:$C$400)=TRIM($A46)) * ('Full month Pivot'!$D$2:$K$2=Z$2) * 'Full month Pivot'!$D$3:$K$400), "")</f>
        <v/>
      </c>
      <c r="AA46" s="157">
        <f>IF(AND(ISNUMBER(X46), ISNUMBER(W46), W46&gt;0), (X46-W46)/W46, "")</f>
        <v/>
      </c>
      <c r="AB46" s="140" t="n"/>
      <c r="AC46" s="140" t="n"/>
      <c r="AD46" s="140" t="n"/>
    </row>
    <row r="47" ht="15.75" customHeight="1" s="346">
      <c r="A47" s="202" t="inlineStr">
        <is>
          <t xml:space="preserve">  Direct</t>
        </is>
      </c>
      <c r="B47" s="193">
        <f>IF(SUMPRODUCT(('MTD Pivot'!$B$3:$B$400="Financial Hub") * (TRIM('MTD Pivot'!$C$3:$C$400)=TRIM($A47)) * ('MTD Pivot'!$D$2:$K$2=B$2) * 'MTD Pivot'!$D$3:$K$400)&gt;0, SUMPRODUCT(('MTD Pivot'!$B$3:$B$400="Financial Hub") * (TRIM('MTD Pivot'!$C$3:$C$400)=TRIM($A47)) * ('MTD Pivot'!$D$2:$K$2=B$2) * 'MTD Pivot'!$D$3:$K$400), "")</f>
        <v/>
      </c>
      <c r="C47" s="193">
        <f>IF(SUMPRODUCT(('MTD Pivot'!$B$3:$B$400="Financial Hub") * (TRIM('MTD Pivot'!$C$3:$C$400)=TRIM($A47)) * ('MTD Pivot'!$D$2:$K$2=C$2) * 'MTD Pivot'!$D$3:$K$400)&gt;0, SUMPRODUCT(('MTD Pivot'!$B$3:$B$400="Financial Hub") * (TRIM('MTD Pivot'!$C$3:$C$400)=TRIM($A47)) * ('MTD Pivot'!$D$2:$K$2=C$2) * 'MTD Pivot'!$D$3:$K$400), "")</f>
        <v/>
      </c>
      <c r="D47" s="193">
        <f>IF(SUMPRODUCT(('MTD Pivot'!$B$3:$B$400="Financial Hub") * (TRIM('MTD Pivot'!$C$3:$C$400)=TRIM($A47)) * ('MTD Pivot'!$D$2:$K$2=D$2) * 'MTD Pivot'!$D$3:$K$400)&gt;0, SUMPRODUCT(('MTD Pivot'!$B$3:$B$400="Financial Hub") * (TRIM('MTD Pivot'!$C$3:$C$400)=TRIM($A47)) * ('MTD Pivot'!$D$2:$K$2=D$2) * 'MTD Pivot'!$D$3:$K$400), "")</f>
        <v/>
      </c>
      <c r="E47" s="193">
        <f>IF(SUMPRODUCT(('MTD Pivot'!$B$3:$B$400="Financial Hub") * (TRIM('MTD Pivot'!$C$3:$C$400)=TRIM($A47)) * ('MTD Pivot'!$D$2:$K$2=E$2) * 'MTD Pivot'!$D$3:$K$400)&gt;0, SUMPRODUCT(('MTD Pivot'!$B$3:$B$400="Financial Hub") * (TRIM('MTD Pivot'!$C$3:$C$400)=TRIM($A47)) * ('MTD Pivot'!$D$2:$K$2=E$2) * 'MTD Pivot'!$D$3:$K$400), "")</f>
        <v/>
      </c>
      <c r="F47" s="193">
        <f>IF(SUMPRODUCT(('MTD Pivot'!$B$3:$B$400="Financial Hub") * (TRIM('MTD Pivot'!$C$3:$C$400)=TRIM($A47)) * ('MTD Pivot'!$D$2:$K$2=F$2) * 'MTD Pivot'!$D$3:$K$400)&gt;0, SUMPRODUCT(('MTD Pivot'!$B$3:$B$400="Financial Hub") * (TRIM('MTD Pivot'!$C$3:$C$400)=TRIM($A47)) * ('MTD Pivot'!$D$2:$K$2=F$2) * 'MTD Pivot'!$D$3:$K$400), "")</f>
        <v/>
      </c>
      <c r="G47" s="193">
        <f>IF(SUMPRODUCT(('MTD Pivot'!$B$3:$B$400="Financial Hub") * (TRIM('MTD Pivot'!$C$3:$C$400)=TRIM($A47)) * ('MTD Pivot'!$D$2:$K$2=G$2) * 'MTD Pivot'!$D$3:$K$400)&gt;0, SUMPRODUCT(('MTD Pivot'!$B$3:$B$400="Financial Hub") * (TRIM('MTD Pivot'!$C$3:$C$400)=TRIM($A47)) * ('MTD Pivot'!$D$2:$K$2=G$2) * 'MTD Pivot'!$D$3:$K$400), "")</f>
        <v/>
      </c>
      <c r="H47" s="193">
        <f>IF(SUMPRODUCT(('MTD Pivot'!$B$3:$B$400="Financial Hub") * (TRIM('MTD Pivot'!$C$3:$C$400)=TRIM($A47)) * ('MTD Pivot'!$D$2:$K$2=H$2) * 'MTD Pivot'!$D$3:$K$400)&gt;0, SUMPRODUCT(('MTD Pivot'!$B$3:$B$400="Financial Hub") * (TRIM('MTD Pivot'!$C$3:$C$400)=TRIM($A47)) * ('MTD Pivot'!$D$2:$K$2=H$2) * 'MTD Pivot'!$D$3:$K$400), "")</f>
        <v/>
      </c>
      <c r="I47" s="193">
        <f>IF(SUMPRODUCT(('MTD Pivot'!$B$3:$B$400="Financial Hub") * (TRIM('MTD Pivot'!$C$3:$C$400)=TRIM($A47)) * ('MTD Pivot'!$D$2:$K$2=I$2) * 'MTD Pivot'!$D$3:$K$400)&gt;0, SUMPRODUCT(('MTD Pivot'!$B$3:$B$400="Financial Hub") * (TRIM('MTD Pivot'!$C$3:$C$400)=TRIM($A47)) * ('MTD Pivot'!$D$2:$K$2=I$2) * 'MTD Pivot'!$D$3:$K$400), "")</f>
        <v/>
      </c>
      <c r="J47" s="193">
        <f>IF(SUMPRODUCT(('MTD Pivot'!$B$3:$B$400="Financial Hub") * (TRIM('MTD Pivot'!$C$3:$C$400)=TRIM($A47)) * ('MTD Pivot'!$D$2:$K$2=J$2) * 'MTD Pivot'!$D$3:$K$400)&gt;0, SUMPRODUCT(('MTD Pivot'!$B$3:$B$400="Financial Hub") * (TRIM('MTD Pivot'!$C$3:$C$400)=TRIM($A47)) * ('MTD Pivot'!$D$2:$K$2=J$2) * 'MTD Pivot'!$D$3:$K$400), "")</f>
        <v/>
      </c>
      <c r="K47" s="193">
        <f>IF(SUMPRODUCT(('MTD Pivot'!$B$3:$B$400="Financial Hub") * (TRIM('MTD Pivot'!$C$3:$C$400)=TRIM($A47)) * ('MTD Pivot'!$D$2:$K$2=K$2) * 'MTD Pivot'!$D$3:$K$400)&gt;0, SUMPRODUCT(('MTD Pivot'!$B$3:$B$400="Financial Hub") * (TRIM('MTD Pivot'!$C$3:$C$400)=TRIM($A47)) * ('MTD Pivot'!$D$2:$K$2=K$2) * 'MTD Pivot'!$D$3:$K$400), "")</f>
        <v/>
      </c>
      <c r="L47" s="193">
        <f>IF(SUMPRODUCT(('MTD Pivot'!$B$3:$B$400="Financial Hub") * (TRIM('MTD Pivot'!$C$3:$C$400)=TRIM($A47)) * ('MTD Pivot'!$D$2:$K$2=L$2) * 'MTD Pivot'!$D$3:$K$400)&gt;0, SUMPRODUCT(('MTD Pivot'!$B$3:$B$400="Financial Hub") * (TRIM('MTD Pivot'!$C$3:$C$400)=TRIM($A47)) * ('MTD Pivot'!$D$2:$K$2=L$2) * 'MTD Pivot'!$D$3:$K$400), "")</f>
        <v/>
      </c>
      <c r="M47" s="193">
        <f>IF(SUMPRODUCT(('MTD Pivot'!$B$3:$B$400="Financial Hub") * (TRIM('MTD Pivot'!$C$3:$C$400)=TRIM($A47)) * ('MTD Pivot'!$D$2:$K$2=M$2) * 'MTD Pivot'!$D$3:$K$400)&gt;0, SUMPRODUCT(('MTD Pivot'!$B$3:$B$400="Financial Hub") * (TRIM('MTD Pivot'!$C$3:$C$400)=TRIM($A47)) * ('MTD Pivot'!$D$2:$K$2=M$2) * 'MTD Pivot'!$D$3:$K$400), "")</f>
        <v/>
      </c>
      <c r="N47" s="157">
        <f>IF(AND(ISNUMBER(K47), ISNUMBER(J47), J47&gt;0), (K47-J47)/J47, "")</f>
        <v/>
      </c>
      <c r="O47" s="193">
        <f>IF(SUMPRODUCT(('Full month Pivot'!$B$3:$B$400="Financial Hub") * (TRIM('Full month Pivot'!$C$3:$C$400)=TRIM($A47)) * ('Full month Pivot'!$D$2:$K$2=O$2) * 'Full month Pivot'!$D$3:$K$400)&gt;0, SUMPRODUCT(('Full month Pivot'!$B$3:$B$400="Financial Hub") * (TRIM('Full month Pivot'!$C$3:$C$400)=TRIM($A47)) * ('Full month Pivot'!$D$2:$K$2=O$2) * 'Full month Pivot'!$D$3:$K$400), "")</f>
        <v/>
      </c>
      <c r="P47" s="193">
        <f>IF(SUMPRODUCT(('Full month Pivot'!$B$3:$B$400="Financial Hub") * (TRIM('Full month Pivot'!$C$3:$C$400)=TRIM($A47)) * ('Full month Pivot'!$D$2:$K$2=P$2) * 'Full month Pivot'!$D$3:$K$400)&gt;0, SUMPRODUCT(('Full month Pivot'!$B$3:$B$400="Financial Hub") * (TRIM('Full month Pivot'!$C$3:$C$400)=TRIM($A47)) * ('Full month Pivot'!$D$2:$K$2=P$2) * 'Full month Pivot'!$D$3:$K$400), "")</f>
        <v/>
      </c>
      <c r="Q47" s="193">
        <f>IF(SUMPRODUCT(('Full month Pivot'!$B$3:$B$400="Financial Hub") * (TRIM('Full month Pivot'!$C$3:$C$400)=TRIM($A47)) * ('Full month Pivot'!$D$2:$K$2=Q$2) * 'Full month Pivot'!$D$3:$K$400)&gt;0, SUMPRODUCT(('Full month Pivot'!$B$3:$B$400="Financial Hub") * (TRIM('Full month Pivot'!$C$3:$C$400)=TRIM($A47)) * ('Full month Pivot'!$D$2:$K$2=Q$2) * 'Full month Pivot'!$D$3:$K$400), "")</f>
        <v/>
      </c>
      <c r="R47" s="193">
        <f>IF(SUMPRODUCT(('Full month Pivot'!$B$3:$B$400="Financial Hub") * (TRIM('Full month Pivot'!$C$3:$C$400)=TRIM($A47)) * ('Full month Pivot'!$D$2:$K$2=R$2) * 'Full month Pivot'!$D$3:$K$400)&gt;0, SUMPRODUCT(('Full month Pivot'!$B$3:$B$400="Financial Hub") * (TRIM('Full month Pivot'!$C$3:$C$400)=TRIM($A47)) * ('Full month Pivot'!$D$2:$K$2=R$2) * 'Full month Pivot'!$D$3:$K$400), "")</f>
        <v/>
      </c>
      <c r="S47" s="193">
        <f>IF(SUMPRODUCT(('Full month Pivot'!$B$3:$B$400="Financial Hub") * (TRIM('Full month Pivot'!$C$3:$C$400)=TRIM($A47)) * ('Full month Pivot'!$D$2:$K$2=S$2) * 'Full month Pivot'!$D$3:$K$400)&gt;0, SUMPRODUCT(('Full month Pivot'!$B$3:$B$400="Financial Hub") * (TRIM('Full month Pivot'!$C$3:$C$400)=TRIM($A47)) * ('Full month Pivot'!$D$2:$K$2=S$2) * 'Full month Pivot'!$D$3:$K$400), "")</f>
        <v/>
      </c>
      <c r="T47" s="193">
        <f>IF(SUMPRODUCT(('Full month Pivot'!$B$3:$B$400="Financial Hub") * (TRIM('Full month Pivot'!$C$3:$C$400)=TRIM($A47)) * ('Full month Pivot'!$D$2:$K$2=T$2) * 'Full month Pivot'!$D$3:$K$400)&gt;0, SUMPRODUCT(('Full month Pivot'!$B$3:$B$400="Financial Hub") * (TRIM('Full month Pivot'!$C$3:$C$400)=TRIM($A47)) * ('Full month Pivot'!$D$2:$K$2=T$2) * 'Full month Pivot'!$D$3:$K$400), "")</f>
        <v/>
      </c>
      <c r="U47" s="193">
        <f>IF(SUMPRODUCT(('Full month Pivot'!$B$3:$B$400="Financial Hub") * (TRIM('Full month Pivot'!$C$3:$C$400)=TRIM($A47)) * ('Full month Pivot'!$D$2:$K$2=U$2) * 'Full month Pivot'!$D$3:$K$400)&gt;0, SUMPRODUCT(('Full month Pivot'!$B$3:$B$400="Financial Hub") * (TRIM('Full month Pivot'!$C$3:$C$400)=TRIM($A47)) * ('Full month Pivot'!$D$2:$K$2=U$2) * 'Full month Pivot'!$D$3:$K$400), "")</f>
        <v/>
      </c>
      <c r="V47" s="193">
        <f>IF(SUMPRODUCT(('Full month Pivot'!$B$3:$B$400="Financial Hub") * (TRIM('Full month Pivot'!$C$3:$C$400)=TRIM($A47)) * ('Full month Pivot'!$D$2:$K$2=V$2) * 'Full month Pivot'!$D$3:$K$400)&gt;0, SUMPRODUCT(('Full month Pivot'!$B$3:$B$400="Financial Hub") * (TRIM('Full month Pivot'!$C$3:$C$400)=TRIM($A47)) * ('Full month Pivot'!$D$2:$K$2=V$2) * 'Full month Pivot'!$D$3:$K$400), "")</f>
        <v/>
      </c>
      <c r="W47" s="193">
        <f>IF(SUMPRODUCT(('Full month Pivot'!$B$3:$B$400="Financial Hub") * (TRIM('Full month Pivot'!$C$3:$C$400)=TRIM($A47)) * ('Full month Pivot'!$D$2:$K$2=W$2) * 'Full month Pivot'!$D$3:$K$400)&gt;0, SUMPRODUCT(('Full month Pivot'!$B$3:$B$400="Financial Hub") * (TRIM('Full month Pivot'!$C$3:$C$400)=TRIM($A47)) * ('Full month Pivot'!$D$2:$K$2=W$2) * 'Full month Pivot'!$D$3:$K$400), "")</f>
        <v/>
      </c>
      <c r="X47" s="193">
        <f>IF(SUMPRODUCT(('Full month Pivot'!$B$3:$B$400="Financial Hub") * (TRIM('Full month Pivot'!$C$3:$C$400)=TRIM($A47)) * ('Full month Pivot'!$D$2:$K$2=X$2) * 'Full month Pivot'!$D$3:$K$400)&gt;0, SUMPRODUCT(('Full month Pivot'!$B$3:$B$400="Financial Hub") * (TRIM('Full month Pivot'!$C$3:$C$400)=TRIM($A47)) * ('Full month Pivot'!$D$2:$K$2=X$2) * 'Full month Pivot'!$D$3:$K$400), "")</f>
        <v/>
      </c>
      <c r="Y47" s="193">
        <f>IF(SUMPRODUCT(('Full month Pivot'!$B$3:$B$400="Financial Hub") * (TRIM('Full month Pivot'!$C$3:$C$400)=TRIM($A47)) * ('Full month Pivot'!$D$2:$K$2=Y$2) * 'Full month Pivot'!$D$3:$K$400)&gt;0, SUMPRODUCT(('Full month Pivot'!$B$3:$B$400="Financial Hub") * (TRIM('Full month Pivot'!$C$3:$C$400)=TRIM($A47)) * ('Full month Pivot'!$D$2:$K$2=Y$2) * 'Full month Pivot'!$D$3:$K$400), "")</f>
        <v/>
      </c>
      <c r="Z47" s="193">
        <f>IF(SUMPRODUCT(('Full month Pivot'!$B$3:$B$400="Financial Hub") * (TRIM('Full month Pivot'!$C$3:$C$400)=TRIM($A47)) * ('Full month Pivot'!$D$2:$K$2=Z$2) * 'Full month Pivot'!$D$3:$K$400)&gt;0, SUMPRODUCT(('Full month Pivot'!$B$3:$B$400="Financial Hub") * (TRIM('Full month Pivot'!$C$3:$C$400)=TRIM($A47)) * ('Full month Pivot'!$D$2:$K$2=Z$2) * 'Full month Pivot'!$D$3:$K$400), "")</f>
        <v/>
      </c>
      <c r="AA47" s="157">
        <f>IF(AND(ISNUMBER(X47), ISNUMBER(W47), W47&gt;0), (X47-W47)/W47, "")</f>
        <v/>
      </c>
      <c r="AB47" s="140" t="n"/>
      <c r="AC47" s="140" t="n"/>
      <c r="AD47" s="140" t="n"/>
    </row>
    <row r="48" ht="15.75" customHeight="1" s="346">
      <c r="A48" s="202" t="inlineStr">
        <is>
          <t xml:space="preserve">  Referral</t>
        </is>
      </c>
      <c r="B48" s="193">
        <f>IF(SUMPRODUCT(('MTD Pivot'!$B$3:$B$400="Financial Hub") * (TRIM('MTD Pivot'!$C$3:$C$400)=TRIM($A48)) * ('MTD Pivot'!$D$2:$K$2=B$2) * 'MTD Pivot'!$D$3:$K$400)&gt;0, SUMPRODUCT(('MTD Pivot'!$B$3:$B$400="Financial Hub") * (TRIM('MTD Pivot'!$C$3:$C$400)=TRIM($A48)) * ('MTD Pivot'!$D$2:$K$2=B$2) * 'MTD Pivot'!$D$3:$K$400), "")</f>
        <v/>
      </c>
      <c r="C48" s="193">
        <f>IF(SUMPRODUCT(('MTD Pivot'!$B$3:$B$400="Financial Hub") * (TRIM('MTD Pivot'!$C$3:$C$400)=TRIM($A48)) * ('MTD Pivot'!$D$2:$K$2=C$2) * 'MTD Pivot'!$D$3:$K$400)&gt;0, SUMPRODUCT(('MTD Pivot'!$B$3:$B$400="Financial Hub") * (TRIM('MTD Pivot'!$C$3:$C$400)=TRIM($A48)) * ('MTD Pivot'!$D$2:$K$2=C$2) * 'MTD Pivot'!$D$3:$K$400), "")</f>
        <v/>
      </c>
      <c r="D48" s="193">
        <f>IF(SUMPRODUCT(('MTD Pivot'!$B$3:$B$400="Financial Hub") * (TRIM('MTD Pivot'!$C$3:$C$400)=TRIM($A48)) * ('MTD Pivot'!$D$2:$K$2=D$2) * 'MTD Pivot'!$D$3:$K$400)&gt;0, SUMPRODUCT(('MTD Pivot'!$B$3:$B$400="Financial Hub") * (TRIM('MTD Pivot'!$C$3:$C$400)=TRIM($A48)) * ('MTD Pivot'!$D$2:$K$2=D$2) * 'MTD Pivot'!$D$3:$K$400), "")</f>
        <v/>
      </c>
      <c r="E48" s="193">
        <f>IF(SUMPRODUCT(('MTD Pivot'!$B$3:$B$400="Financial Hub") * (TRIM('MTD Pivot'!$C$3:$C$400)=TRIM($A48)) * ('MTD Pivot'!$D$2:$K$2=E$2) * 'MTD Pivot'!$D$3:$K$400)&gt;0, SUMPRODUCT(('MTD Pivot'!$B$3:$B$400="Financial Hub") * (TRIM('MTD Pivot'!$C$3:$C$400)=TRIM($A48)) * ('MTD Pivot'!$D$2:$K$2=E$2) * 'MTD Pivot'!$D$3:$K$400), "")</f>
        <v/>
      </c>
      <c r="F48" s="193">
        <f>IF(SUMPRODUCT(('MTD Pivot'!$B$3:$B$400="Financial Hub") * (TRIM('MTD Pivot'!$C$3:$C$400)=TRIM($A48)) * ('MTD Pivot'!$D$2:$K$2=F$2) * 'MTD Pivot'!$D$3:$K$400)&gt;0, SUMPRODUCT(('MTD Pivot'!$B$3:$B$400="Financial Hub") * (TRIM('MTD Pivot'!$C$3:$C$400)=TRIM($A48)) * ('MTD Pivot'!$D$2:$K$2=F$2) * 'MTD Pivot'!$D$3:$K$400), "")</f>
        <v/>
      </c>
      <c r="G48" s="193">
        <f>IF(SUMPRODUCT(('MTD Pivot'!$B$3:$B$400="Financial Hub") * (TRIM('MTD Pivot'!$C$3:$C$400)=TRIM($A48)) * ('MTD Pivot'!$D$2:$K$2=G$2) * 'MTD Pivot'!$D$3:$K$400)&gt;0, SUMPRODUCT(('MTD Pivot'!$B$3:$B$400="Financial Hub") * (TRIM('MTD Pivot'!$C$3:$C$400)=TRIM($A48)) * ('MTD Pivot'!$D$2:$K$2=G$2) * 'MTD Pivot'!$D$3:$K$400), "")</f>
        <v/>
      </c>
      <c r="H48" s="193">
        <f>IF(SUMPRODUCT(('MTD Pivot'!$B$3:$B$400="Financial Hub") * (TRIM('MTD Pivot'!$C$3:$C$400)=TRIM($A48)) * ('MTD Pivot'!$D$2:$K$2=H$2) * 'MTD Pivot'!$D$3:$K$400)&gt;0, SUMPRODUCT(('MTD Pivot'!$B$3:$B$400="Financial Hub") * (TRIM('MTD Pivot'!$C$3:$C$400)=TRIM($A48)) * ('MTD Pivot'!$D$2:$K$2=H$2) * 'MTD Pivot'!$D$3:$K$400), "")</f>
        <v/>
      </c>
      <c r="I48" s="193">
        <f>IF(SUMPRODUCT(('MTD Pivot'!$B$3:$B$400="Financial Hub") * (TRIM('MTD Pivot'!$C$3:$C$400)=TRIM($A48)) * ('MTD Pivot'!$D$2:$K$2=I$2) * 'MTD Pivot'!$D$3:$K$400)&gt;0, SUMPRODUCT(('MTD Pivot'!$B$3:$B$400="Financial Hub") * (TRIM('MTD Pivot'!$C$3:$C$400)=TRIM($A48)) * ('MTD Pivot'!$D$2:$K$2=I$2) * 'MTD Pivot'!$D$3:$K$400), "")</f>
        <v/>
      </c>
      <c r="J48" s="193">
        <f>IF(SUMPRODUCT(('MTD Pivot'!$B$3:$B$400="Financial Hub") * (TRIM('MTD Pivot'!$C$3:$C$400)=TRIM($A48)) * ('MTD Pivot'!$D$2:$K$2=J$2) * 'MTD Pivot'!$D$3:$K$400)&gt;0, SUMPRODUCT(('MTD Pivot'!$B$3:$B$400="Financial Hub") * (TRIM('MTD Pivot'!$C$3:$C$400)=TRIM($A48)) * ('MTD Pivot'!$D$2:$K$2=J$2) * 'MTD Pivot'!$D$3:$K$400), "")</f>
        <v/>
      </c>
      <c r="K48" s="193">
        <f>IF(SUMPRODUCT(('MTD Pivot'!$B$3:$B$400="Financial Hub") * (TRIM('MTD Pivot'!$C$3:$C$400)=TRIM($A48)) * ('MTD Pivot'!$D$2:$K$2=K$2) * 'MTD Pivot'!$D$3:$K$400)&gt;0, SUMPRODUCT(('MTD Pivot'!$B$3:$B$400="Financial Hub") * (TRIM('MTD Pivot'!$C$3:$C$400)=TRIM($A48)) * ('MTD Pivot'!$D$2:$K$2=K$2) * 'MTD Pivot'!$D$3:$K$400), "")</f>
        <v/>
      </c>
      <c r="L48" s="193">
        <f>IF(SUMPRODUCT(('MTD Pivot'!$B$3:$B$400="Financial Hub") * (TRIM('MTD Pivot'!$C$3:$C$400)=TRIM($A48)) * ('MTD Pivot'!$D$2:$K$2=L$2) * 'MTD Pivot'!$D$3:$K$400)&gt;0, SUMPRODUCT(('MTD Pivot'!$B$3:$B$400="Financial Hub") * (TRIM('MTD Pivot'!$C$3:$C$400)=TRIM($A48)) * ('MTD Pivot'!$D$2:$K$2=L$2) * 'MTD Pivot'!$D$3:$K$400), "")</f>
        <v/>
      </c>
      <c r="M48" s="193">
        <f>IF(SUMPRODUCT(('MTD Pivot'!$B$3:$B$400="Financial Hub") * (TRIM('MTD Pivot'!$C$3:$C$400)=TRIM($A48)) * ('MTD Pivot'!$D$2:$K$2=M$2) * 'MTD Pivot'!$D$3:$K$400)&gt;0, SUMPRODUCT(('MTD Pivot'!$B$3:$B$400="Financial Hub") * (TRIM('MTD Pivot'!$C$3:$C$400)=TRIM($A48)) * ('MTD Pivot'!$D$2:$K$2=M$2) * 'MTD Pivot'!$D$3:$K$400), "")</f>
        <v/>
      </c>
      <c r="N48" s="157">
        <f>IF(AND(ISNUMBER(K48), ISNUMBER(J48), J48&gt;0), (K48-J48)/J48, "")</f>
        <v/>
      </c>
      <c r="O48" s="193">
        <f>IF(SUMPRODUCT(('Full month Pivot'!$B$3:$B$400="Financial Hub") * (TRIM('Full month Pivot'!$C$3:$C$400)=TRIM($A48)) * ('Full month Pivot'!$D$2:$K$2=O$2) * 'Full month Pivot'!$D$3:$K$400)&gt;0, SUMPRODUCT(('Full month Pivot'!$B$3:$B$400="Financial Hub") * (TRIM('Full month Pivot'!$C$3:$C$400)=TRIM($A48)) * ('Full month Pivot'!$D$2:$K$2=O$2) * 'Full month Pivot'!$D$3:$K$400), "")</f>
        <v/>
      </c>
      <c r="P48" s="193">
        <f>IF(SUMPRODUCT(('Full month Pivot'!$B$3:$B$400="Financial Hub") * (TRIM('Full month Pivot'!$C$3:$C$400)=TRIM($A48)) * ('Full month Pivot'!$D$2:$K$2=P$2) * 'Full month Pivot'!$D$3:$K$400)&gt;0, SUMPRODUCT(('Full month Pivot'!$B$3:$B$400="Financial Hub") * (TRIM('Full month Pivot'!$C$3:$C$400)=TRIM($A48)) * ('Full month Pivot'!$D$2:$K$2=P$2) * 'Full month Pivot'!$D$3:$K$400), "")</f>
        <v/>
      </c>
      <c r="Q48" s="193">
        <f>IF(SUMPRODUCT(('Full month Pivot'!$B$3:$B$400="Financial Hub") * (TRIM('Full month Pivot'!$C$3:$C$400)=TRIM($A48)) * ('Full month Pivot'!$D$2:$K$2=Q$2) * 'Full month Pivot'!$D$3:$K$400)&gt;0, SUMPRODUCT(('Full month Pivot'!$B$3:$B$400="Financial Hub") * (TRIM('Full month Pivot'!$C$3:$C$400)=TRIM($A48)) * ('Full month Pivot'!$D$2:$K$2=Q$2) * 'Full month Pivot'!$D$3:$K$400), "")</f>
        <v/>
      </c>
      <c r="R48" s="193">
        <f>IF(SUMPRODUCT(('Full month Pivot'!$B$3:$B$400="Financial Hub") * (TRIM('Full month Pivot'!$C$3:$C$400)=TRIM($A48)) * ('Full month Pivot'!$D$2:$K$2=R$2) * 'Full month Pivot'!$D$3:$K$400)&gt;0, SUMPRODUCT(('Full month Pivot'!$B$3:$B$400="Financial Hub") * (TRIM('Full month Pivot'!$C$3:$C$400)=TRIM($A48)) * ('Full month Pivot'!$D$2:$K$2=R$2) * 'Full month Pivot'!$D$3:$K$400), "")</f>
        <v/>
      </c>
      <c r="S48" s="193">
        <f>IF(SUMPRODUCT(('Full month Pivot'!$B$3:$B$400="Financial Hub") * (TRIM('Full month Pivot'!$C$3:$C$400)=TRIM($A48)) * ('Full month Pivot'!$D$2:$K$2=S$2) * 'Full month Pivot'!$D$3:$K$400)&gt;0, SUMPRODUCT(('Full month Pivot'!$B$3:$B$400="Financial Hub") * (TRIM('Full month Pivot'!$C$3:$C$400)=TRIM($A48)) * ('Full month Pivot'!$D$2:$K$2=S$2) * 'Full month Pivot'!$D$3:$K$400), "")</f>
        <v/>
      </c>
      <c r="T48" s="193">
        <f>IF(SUMPRODUCT(('Full month Pivot'!$B$3:$B$400="Financial Hub") * (TRIM('Full month Pivot'!$C$3:$C$400)=TRIM($A48)) * ('Full month Pivot'!$D$2:$K$2=T$2) * 'Full month Pivot'!$D$3:$K$400)&gt;0, SUMPRODUCT(('Full month Pivot'!$B$3:$B$400="Financial Hub") * (TRIM('Full month Pivot'!$C$3:$C$400)=TRIM($A48)) * ('Full month Pivot'!$D$2:$K$2=T$2) * 'Full month Pivot'!$D$3:$K$400), "")</f>
        <v/>
      </c>
      <c r="U48" s="193">
        <f>IF(SUMPRODUCT(('Full month Pivot'!$B$3:$B$400="Financial Hub") * (TRIM('Full month Pivot'!$C$3:$C$400)=TRIM($A48)) * ('Full month Pivot'!$D$2:$K$2=U$2) * 'Full month Pivot'!$D$3:$K$400)&gt;0, SUMPRODUCT(('Full month Pivot'!$B$3:$B$400="Financial Hub") * (TRIM('Full month Pivot'!$C$3:$C$400)=TRIM($A48)) * ('Full month Pivot'!$D$2:$K$2=U$2) * 'Full month Pivot'!$D$3:$K$400), "")</f>
        <v/>
      </c>
      <c r="V48" s="193">
        <f>IF(SUMPRODUCT(('Full month Pivot'!$B$3:$B$400="Financial Hub") * (TRIM('Full month Pivot'!$C$3:$C$400)=TRIM($A48)) * ('Full month Pivot'!$D$2:$K$2=V$2) * 'Full month Pivot'!$D$3:$K$400)&gt;0, SUMPRODUCT(('Full month Pivot'!$B$3:$B$400="Financial Hub") * (TRIM('Full month Pivot'!$C$3:$C$400)=TRIM($A48)) * ('Full month Pivot'!$D$2:$K$2=V$2) * 'Full month Pivot'!$D$3:$K$400), "")</f>
        <v/>
      </c>
      <c r="W48" s="193">
        <f>IF(SUMPRODUCT(('Full month Pivot'!$B$3:$B$400="Financial Hub") * (TRIM('Full month Pivot'!$C$3:$C$400)=TRIM($A48)) * ('Full month Pivot'!$D$2:$K$2=W$2) * 'Full month Pivot'!$D$3:$K$400)&gt;0, SUMPRODUCT(('Full month Pivot'!$B$3:$B$400="Financial Hub") * (TRIM('Full month Pivot'!$C$3:$C$400)=TRIM($A48)) * ('Full month Pivot'!$D$2:$K$2=W$2) * 'Full month Pivot'!$D$3:$K$400), "")</f>
        <v/>
      </c>
      <c r="X48" s="193">
        <f>IF(SUMPRODUCT(('Full month Pivot'!$B$3:$B$400="Financial Hub") * (TRIM('Full month Pivot'!$C$3:$C$400)=TRIM($A48)) * ('Full month Pivot'!$D$2:$K$2=X$2) * 'Full month Pivot'!$D$3:$K$400)&gt;0, SUMPRODUCT(('Full month Pivot'!$B$3:$B$400="Financial Hub") * (TRIM('Full month Pivot'!$C$3:$C$400)=TRIM($A48)) * ('Full month Pivot'!$D$2:$K$2=X$2) * 'Full month Pivot'!$D$3:$K$400), "")</f>
        <v/>
      </c>
      <c r="Y48" s="193">
        <f>IF(SUMPRODUCT(('Full month Pivot'!$B$3:$B$400="Financial Hub") * (TRIM('Full month Pivot'!$C$3:$C$400)=TRIM($A48)) * ('Full month Pivot'!$D$2:$K$2=Y$2) * 'Full month Pivot'!$D$3:$K$400)&gt;0, SUMPRODUCT(('Full month Pivot'!$B$3:$B$400="Financial Hub") * (TRIM('Full month Pivot'!$C$3:$C$400)=TRIM($A48)) * ('Full month Pivot'!$D$2:$K$2=Y$2) * 'Full month Pivot'!$D$3:$K$400), "")</f>
        <v/>
      </c>
      <c r="Z48" s="193">
        <f>IF(SUMPRODUCT(('Full month Pivot'!$B$3:$B$400="Financial Hub") * (TRIM('Full month Pivot'!$C$3:$C$400)=TRIM($A48)) * ('Full month Pivot'!$D$2:$K$2=Z$2) * 'Full month Pivot'!$D$3:$K$400)&gt;0, SUMPRODUCT(('Full month Pivot'!$B$3:$B$400="Financial Hub") * (TRIM('Full month Pivot'!$C$3:$C$400)=TRIM($A48)) * ('Full month Pivot'!$D$2:$K$2=Z$2) * 'Full month Pivot'!$D$3:$K$400), "")</f>
        <v/>
      </c>
      <c r="AA48" s="157">
        <f>IF(AND(ISNUMBER(X48), ISNUMBER(W48), W48&gt;0), (X48-W48)/W48, "")</f>
        <v/>
      </c>
      <c r="AB48" s="140" t="n"/>
      <c r="AC48" s="140" t="n"/>
      <c r="AD48" s="140" t="n"/>
    </row>
    <row r="49" ht="15.75" customHeight="1" s="346">
      <c r="A49" s="202" t="inlineStr">
        <is>
          <t xml:space="preserve">  Others</t>
        </is>
      </c>
      <c r="B49" s="193">
        <f>IF(SUMPRODUCT(('MTD Pivot'!$B$3:$B$400="Financial Hub") * (TRIM('MTD Pivot'!$C$3:$C$400)=TRIM($A49)) * ('MTD Pivot'!$D$2:$K$2=B$2) * 'MTD Pivot'!$D$3:$K$400)&gt;0, SUMPRODUCT(('MTD Pivot'!$B$3:$B$400="Financial Hub") * (TRIM('MTD Pivot'!$C$3:$C$400)=TRIM($A49)) * ('MTD Pivot'!$D$2:$K$2=B$2) * 'MTD Pivot'!$D$3:$K$400), "")</f>
        <v/>
      </c>
      <c r="C49" s="193">
        <f>IF(SUMPRODUCT(('MTD Pivot'!$B$3:$B$400="Financial Hub") * (TRIM('MTD Pivot'!$C$3:$C$400)=TRIM($A49)) * ('MTD Pivot'!$D$2:$K$2=C$2) * 'MTD Pivot'!$D$3:$K$400)&gt;0, SUMPRODUCT(('MTD Pivot'!$B$3:$B$400="Financial Hub") * (TRIM('MTD Pivot'!$C$3:$C$400)=TRIM($A49)) * ('MTD Pivot'!$D$2:$K$2=C$2) * 'MTD Pivot'!$D$3:$K$400), "")</f>
        <v/>
      </c>
      <c r="D49" s="193">
        <f>IF(SUMPRODUCT(('MTD Pivot'!$B$3:$B$400="Financial Hub") * (TRIM('MTD Pivot'!$C$3:$C$400)=TRIM($A49)) * ('MTD Pivot'!$D$2:$K$2=D$2) * 'MTD Pivot'!$D$3:$K$400)&gt;0, SUMPRODUCT(('MTD Pivot'!$B$3:$B$400="Financial Hub") * (TRIM('MTD Pivot'!$C$3:$C$400)=TRIM($A49)) * ('MTD Pivot'!$D$2:$K$2=D$2) * 'MTD Pivot'!$D$3:$K$400), "")</f>
        <v/>
      </c>
      <c r="E49" s="193">
        <f>IF(SUMPRODUCT(('MTD Pivot'!$B$3:$B$400="Financial Hub") * (TRIM('MTD Pivot'!$C$3:$C$400)=TRIM($A49)) * ('MTD Pivot'!$D$2:$K$2=E$2) * 'MTD Pivot'!$D$3:$K$400)&gt;0, SUMPRODUCT(('MTD Pivot'!$B$3:$B$400="Financial Hub") * (TRIM('MTD Pivot'!$C$3:$C$400)=TRIM($A49)) * ('MTD Pivot'!$D$2:$K$2=E$2) * 'MTD Pivot'!$D$3:$K$400), "")</f>
        <v/>
      </c>
      <c r="F49" s="193">
        <f>IF(SUMPRODUCT(('MTD Pivot'!$B$3:$B$400="Financial Hub") * (TRIM('MTD Pivot'!$C$3:$C$400)=TRIM($A49)) * ('MTD Pivot'!$D$2:$K$2=F$2) * 'MTD Pivot'!$D$3:$K$400)&gt;0, SUMPRODUCT(('MTD Pivot'!$B$3:$B$400="Financial Hub") * (TRIM('MTD Pivot'!$C$3:$C$400)=TRIM($A49)) * ('MTD Pivot'!$D$2:$K$2=F$2) * 'MTD Pivot'!$D$3:$K$400), "")</f>
        <v/>
      </c>
      <c r="G49" s="193">
        <f>IF(SUMPRODUCT(('MTD Pivot'!$B$3:$B$400="Financial Hub") * (TRIM('MTD Pivot'!$C$3:$C$400)=TRIM($A49)) * ('MTD Pivot'!$D$2:$K$2=G$2) * 'MTD Pivot'!$D$3:$K$400)&gt;0, SUMPRODUCT(('MTD Pivot'!$B$3:$B$400="Financial Hub") * (TRIM('MTD Pivot'!$C$3:$C$400)=TRIM($A49)) * ('MTD Pivot'!$D$2:$K$2=G$2) * 'MTD Pivot'!$D$3:$K$400), "")</f>
        <v/>
      </c>
      <c r="H49" s="193">
        <f>IF(SUMPRODUCT(('MTD Pivot'!$B$3:$B$400="Financial Hub") * (TRIM('MTD Pivot'!$C$3:$C$400)=TRIM($A49)) * ('MTD Pivot'!$D$2:$K$2=H$2) * 'MTD Pivot'!$D$3:$K$400)&gt;0, SUMPRODUCT(('MTD Pivot'!$B$3:$B$400="Financial Hub") * (TRIM('MTD Pivot'!$C$3:$C$400)=TRIM($A49)) * ('MTD Pivot'!$D$2:$K$2=H$2) * 'MTD Pivot'!$D$3:$K$400), "")</f>
        <v/>
      </c>
      <c r="I49" s="193">
        <f>IF(SUMPRODUCT(('MTD Pivot'!$B$3:$B$400="Financial Hub") * (TRIM('MTD Pivot'!$C$3:$C$400)=TRIM($A49)) * ('MTD Pivot'!$D$2:$K$2=I$2) * 'MTD Pivot'!$D$3:$K$400)&gt;0, SUMPRODUCT(('MTD Pivot'!$B$3:$B$400="Financial Hub") * (TRIM('MTD Pivot'!$C$3:$C$400)=TRIM($A49)) * ('MTD Pivot'!$D$2:$K$2=I$2) * 'MTD Pivot'!$D$3:$K$400), "")</f>
        <v/>
      </c>
      <c r="J49" s="193">
        <f>IF(SUMPRODUCT(('MTD Pivot'!$B$3:$B$400="Financial Hub") * (TRIM('MTD Pivot'!$C$3:$C$400)=TRIM($A49)) * ('MTD Pivot'!$D$2:$K$2=J$2) * 'MTD Pivot'!$D$3:$K$400)&gt;0, SUMPRODUCT(('MTD Pivot'!$B$3:$B$400="Financial Hub") * (TRIM('MTD Pivot'!$C$3:$C$400)=TRIM($A49)) * ('MTD Pivot'!$D$2:$K$2=J$2) * 'MTD Pivot'!$D$3:$K$400), "")</f>
        <v/>
      </c>
      <c r="K49" s="193">
        <f>IF(SUMPRODUCT(('MTD Pivot'!$B$3:$B$400="Financial Hub") * (TRIM('MTD Pivot'!$C$3:$C$400)=TRIM($A49)) * ('MTD Pivot'!$D$2:$K$2=K$2) * 'MTD Pivot'!$D$3:$K$400)&gt;0, SUMPRODUCT(('MTD Pivot'!$B$3:$B$400="Financial Hub") * (TRIM('MTD Pivot'!$C$3:$C$400)=TRIM($A49)) * ('MTD Pivot'!$D$2:$K$2=K$2) * 'MTD Pivot'!$D$3:$K$400), "")</f>
        <v/>
      </c>
      <c r="L49" s="193">
        <f>IF(SUMPRODUCT(('MTD Pivot'!$B$3:$B$400="Financial Hub") * (TRIM('MTD Pivot'!$C$3:$C$400)=TRIM($A49)) * ('MTD Pivot'!$D$2:$K$2=L$2) * 'MTD Pivot'!$D$3:$K$400)&gt;0, SUMPRODUCT(('MTD Pivot'!$B$3:$B$400="Financial Hub") * (TRIM('MTD Pivot'!$C$3:$C$400)=TRIM($A49)) * ('MTD Pivot'!$D$2:$K$2=L$2) * 'MTD Pivot'!$D$3:$K$400), "")</f>
        <v/>
      </c>
      <c r="M49" s="193">
        <f>IF(SUMPRODUCT(('MTD Pivot'!$B$3:$B$400="Financial Hub") * (TRIM('MTD Pivot'!$C$3:$C$400)=TRIM($A49)) * ('MTD Pivot'!$D$2:$K$2=M$2) * 'MTD Pivot'!$D$3:$K$400)&gt;0, SUMPRODUCT(('MTD Pivot'!$B$3:$B$400="Financial Hub") * (TRIM('MTD Pivot'!$C$3:$C$400)=TRIM($A49)) * ('MTD Pivot'!$D$2:$K$2=M$2) * 'MTD Pivot'!$D$3:$K$400), "")</f>
        <v/>
      </c>
      <c r="N49" s="157">
        <f>IF(AND(ISNUMBER(K49), ISNUMBER(J49), J49&gt;0), (K49-J49)/J49, "")</f>
        <v/>
      </c>
      <c r="O49" s="193">
        <f>IF(SUMPRODUCT(('Full month Pivot'!$B$3:$B$400="Financial Hub") * (TRIM('Full month Pivot'!$C$3:$C$400)=TRIM($A49)) * ('Full month Pivot'!$D$2:$K$2=O$2) * 'Full month Pivot'!$D$3:$K$400)&gt;0, SUMPRODUCT(('Full month Pivot'!$B$3:$B$400="Financial Hub") * (TRIM('Full month Pivot'!$C$3:$C$400)=TRIM($A49)) * ('Full month Pivot'!$D$2:$K$2=O$2) * 'Full month Pivot'!$D$3:$K$400), "")</f>
        <v/>
      </c>
      <c r="P49" s="193">
        <f>IF(SUMPRODUCT(('Full month Pivot'!$B$3:$B$400="Financial Hub") * (TRIM('Full month Pivot'!$C$3:$C$400)=TRIM($A49)) * ('Full month Pivot'!$D$2:$K$2=P$2) * 'Full month Pivot'!$D$3:$K$400)&gt;0, SUMPRODUCT(('Full month Pivot'!$B$3:$B$400="Financial Hub") * (TRIM('Full month Pivot'!$C$3:$C$400)=TRIM($A49)) * ('Full month Pivot'!$D$2:$K$2=P$2) * 'Full month Pivot'!$D$3:$K$400), "")</f>
        <v/>
      </c>
      <c r="Q49" s="193">
        <f>IF(SUMPRODUCT(('Full month Pivot'!$B$3:$B$400="Financial Hub") * (TRIM('Full month Pivot'!$C$3:$C$400)=TRIM($A49)) * ('Full month Pivot'!$D$2:$K$2=Q$2) * 'Full month Pivot'!$D$3:$K$400)&gt;0, SUMPRODUCT(('Full month Pivot'!$B$3:$B$400="Financial Hub") * (TRIM('Full month Pivot'!$C$3:$C$400)=TRIM($A49)) * ('Full month Pivot'!$D$2:$K$2=Q$2) * 'Full month Pivot'!$D$3:$K$400), "")</f>
        <v/>
      </c>
      <c r="R49" s="193">
        <f>IF(SUMPRODUCT(('Full month Pivot'!$B$3:$B$400="Financial Hub") * (TRIM('Full month Pivot'!$C$3:$C$400)=TRIM($A49)) * ('Full month Pivot'!$D$2:$K$2=R$2) * 'Full month Pivot'!$D$3:$K$400)&gt;0, SUMPRODUCT(('Full month Pivot'!$B$3:$B$400="Financial Hub") * (TRIM('Full month Pivot'!$C$3:$C$400)=TRIM($A49)) * ('Full month Pivot'!$D$2:$K$2=R$2) * 'Full month Pivot'!$D$3:$K$400), "")</f>
        <v/>
      </c>
      <c r="S49" s="193">
        <f>IF(SUMPRODUCT(('Full month Pivot'!$B$3:$B$400="Financial Hub") * (TRIM('Full month Pivot'!$C$3:$C$400)=TRIM($A49)) * ('Full month Pivot'!$D$2:$K$2=S$2) * 'Full month Pivot'!$D$3:$K$400)&gt;0, SUMPRODUCT(('Full month Pivot'!$B$3:$B$400="Financial Hub") * (TRIM('Full month Pivot'!$C$3:$C$400)=TRIM($A49)) * ('Full month Pivot'!$D$2:$K$2=S$2) * 'Full month Pivot'!$D$3:$K$400), "")</f>
        <v/>
      </c>
      <c r="T49" s="193">
        <f>IF(SUMPRODUCT(('Full month Pivot'!$B$3:$B$400="Financial Hub") * (TRIM('Full month Pivot'!$C$3:$C$400)=TRIM($A49)) * ('Full month Pivot'!$D$2:$K$2=T$2) * 'Full month Pivot'!$D$3:$K$400)&gt;0, SUMPRODUCT(('Full month Pivot'!$B$3:$B$400="Financial Hub") * (TRIM('Full month Pivot'!$C$3:$C$400)=TRIM($A49)) * ('Full month Pivot'!$D$2:$K$2=T$2) * 'Full month Pivot'!$D$3:$K$400), "")</f>
        <v/>
      </c>
      <c r="U49" s="193">
        <f>IF(SUMPRODUCT(('Full month Pivot'!$B$3:$B$400="Financial Hub") * (TRIM('Full month Pivot'!$C$3:$C$400)=TRIM($A49)) * ('Full month Pivot'!$D$2:$K$2=U$2) * 'Full month Pivot'!$D$3:$K$400)&gt;0, SUMPRODUCT(('Full month Pivot'!$B$3:$B$400="Financial Hub") * (TRIM('Full month Pivot'!$C$3:$C$400)=TRIM($A49)) * ('Full month Pivot'!$D$2:$K$2=U$2) * 'Full month Pivot'!$D$3:$K$400), "")</f>
        <v/>
      </c>
      <c r="V49" s="193">
        <f>IF(SUMPRODUCT(('Full month Pivot'!$B$3:$B$400="Financial Hub") * (TRIM('Full month Pivot'!$C$3:$C$400)=TRIM($A49)) * ('Full month Pivot'!$D$2:$K$2=V$2) * 'Full month Pivot'!$D$3:$K$400)&gt;0, SUMPRODUCT(('Full month Pivot'!$B$3:$B$400="Financial Hub") * (TRIM('Full month Pivot'!$C$3:$C$400)=TRIM($A49)) * ('Full month Pivot'!$D$2:$K$2=V$2) * 'Full month Pivot'!$D$3:$K$400), "")</f>
        <v/>
      </c>
      <c r="W49" s="193">
        <f>IF(SUMPRODUCT(('Full month Pivot'!$B$3:$B$400="Financial Hub") * (TRIM('Full month Pivot'!$C$3:$C$400)=TRIM($A49)) * ('Full month Pivot'!$D$2:$K$2=W$2) * 'Full month Pivot'!$D$3:$K$400)&gt;0, SUMPRODUCT(('Full month Pivot'!$B$3:$B$400="Financial Hub") * (TRIM('Full month Pivot'!$C$3:$C$400)=TRIM($A49)) * ('Full month Pivot'!$D$2:$K$2=W$2) * 'Full month Pivot'!$D$3:$K$400), "")</f>
        <v/>
      </c>
      <c r="X49" s="193">
        <f>IF(SUMPRODUCT(('Full month Pivot'!$B$3:$B$400="Financial Hub") * (TRIM('Full month Pivot'!$C$3:$C$400)=TRIM($A49)) * ('Full month Pivot'!$D$2:$K$2=X$2) * 'Full month Pivot'!$D$3:$K$400)&gt;0, SUMPRODUCT(('Full month Pivot'!$B$3:$B$400="Financial Hub") * (TRIM('Full month Pivot'!$C$3:$C$400)=TRIM($A49)) * ('Full month Pivot'!$D$2:$K$2=X$2) * 'Full month Pivot'!$D$3:$K$400), "")</f>
        <v/>
      </c>
      <c r="Y49" s="193">
        <f>IF(SUMPRODUCT(('Full month Pivot'!$B$3:$B$400="Financial Hub") * (TRIM('Full month Pivot'!$C$3:$C$400)=TRIM($A49)) * ('Full month Pivot'!$D$2:$K$2=Y$2) * 'Full month Pivot'!$D$3:$K$400)&gt;0, SUMPRODUCT(('Full month Pivot'!$B$3:$B$400="Financial Hub") * (TRIM('Full month Pivot'!$C$3:$C$400)=TRIM($A49)) * ('Full month Pivot'!$D$2:$K$2=Y$2) * 'Full month Pivot'!$D$3:$K$400), "")</f>
        <v/>
      </c>
      <c r="Z49" s="193">
        <f>IF(SUMPRODUCT(('Full month Pivot'!$B$3:$B$400="Financial Hub") * (TRIM('Full month Pivot'!$C$3:$C$400)=TRIM($A49)) * ('Full month Pivot'!$D$2:$K$2=Z$2) * 'Full month Pivot'!$D$3:$K$400)&gt;0, SUMPRODUCT(('Full month Pivot'!$B$3:$B$400="Financial Hub") * (TRIM('Full month Pivot'!$C$3:$C$400)=TRIM($A49)) * ('Full month Pivot'!$D$2:$K$2=Z$2) * 'Full month Pivot'!$D$3:$K$400), "")</f>
        <v/>
      </c>
      <c r="AA49" s="157">
        <f>IF(AND(ISNUMBER(X49), ISNUMBER(W49), W49&gt;0), (X49-W49)/W49, "")</f>
        <v/>
      </c>
      <c r="AB49" s="140" t="n"/>
      <c r="AC49" s="140" t="n"/>
      <c r="AD49" s="140" t="n"/>
    </row>
    <row r="50" ht="15.75" customHeight="1" s="346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140" t="n"/>
      <c r="AC50" s="140" t="n"/>
      <c r="AD50" s="140" t="n"/>
    </row>
    <row r="51" ht="15.75" customHeight="1" s="346">
      <c r="A51" s="145" t="inlineStr">
        <is>
          <t>Game</t>
        </is>
      </c>
      <c r="B51" s="145" t="n"/>
      <c r="C51" s="145" t="n"/>
      <c r="D51" s="145" t="n"/>
      <c r="E51" s="145" t="n"/>
      <c r="F51" s="145" t="n"/>
      <c r="G51" s="145" t="n"/>
      <c r="H51" s="145" t="n"/>
      <c r="I51" s="145" t="n"/>
      <c r="J51" s="145" t="n"/>
      <c r="K51" s="145" t="n"/>
      <c r="L51" s="145" t="n"/>
      <c r="M51" s="145" t="n"/>
      <c r="N51" s="145" t="n"/>
      <c r="O51" s="145" t="n"/>
      <c r="P51" s="145" t="n"/>
      <c r="Q51" s="145" t="n"/>
      <c r="R51" s="145" t="n"/>
      <c r="S51" s="145" t="n"/>
      <c r="T51" s="145" t="n"/>
      <c r="U51" s="145" t="n"/>
      <c r="V51" s="145" t="n"/>
      <c r="W51" s="145" t="n"/>
      <c r="X51" s="145" t="n"/>
      <c r="Y51" s="145" t="n"/>
      <c r="Z51" s="145" t="n"/>
      <c r="AA51" s="145" t="n"/>
      <c r="AB51" s="140" t="n"/>
      <c r="AC51" s="140" t="n"/>
      <c r="AD51" s="140" t="n"/>
    </row>
    <row r="52" ht="15.75" customHeight="1" s="346">
      <c r="A52" s="146" t="inlineStr">
        <is>
          <t>Page views</t>
        </is>
      </c>
      <c r="B52" s="147">
        <f>IF(SUM(B57:B61)&gt;0, SUM(B57:B61), "")</f>
        <v/>
      </c>
      <c r="C52" s="147">
        <f>IF(SUM(C57:C61)&gt;0, SUM(C57:C61), "")</f>
        <v/>
      </c>
      <c r="D52" s="147">
        <f>IF(SUM(D57:D61)&gt;0, SUM(D57:D61), "")</f>
        <v/>
      </c>
      <c r="E52" s="147">
        <f>IF(SUM(E57:E61)&gt;0, SUM(E57:E61), "")</f>
        <v/>
      </c>
      <c r="F52" s="147">
        <f>IF(SUM(F57:F61)&gt;0, SUM(F57:F61), "")</f>
        <v/>
      </c>
      <c r="G52" s="147">
        <f>IF(SUM(G57:G61)&gt;0, SUM(G57:G61), "")</f>
        <v/>
      </c>
      <c r="H52" s="147">
        <f>IF(SUM(H57:H61)&gt;0, SUM(H57:H61), "")</f>
        <v/>
      </c>
      <c r="I52" s="147">
        <f>IF(SUM(I57:I61)&gt;0, SUM(I57:I61), "")</f>
        <v/>
      </c>
      <c r="J52" s="147">
        <f>IF(SUM(J57:J61)&gt;0, SUM(J57:J61), "")</f>
        <v/>
      </c>
      <c r="K52" s="147">
        <f>IF(SUM(K57:K61)&gt;0, SUM(K57:K61), "")</f>
        <v/>
      </c>
      <c r="L52" s="147">
        <f>IF(SUM(L57:L61)&gt;0, SUM(L57:L61), "")</f>
        <v/>
      </c>
      <c r="M52" s="147">
        <f>IF(SUM(M57:M61)&gt;0, SUM(M57:M61), "")</f>
        <v/>
      </c>
      <c r="N52" s="148">
        <f>IFERROR((K52-J52)/J52, "")</f>
        <v/>
      </c>
      <c r="O52" s="147">
        <f>IF(SUM(O57:O61)&gt;0, SUM(O57:O61), "")</f>
        <v/>
      </c>
      <c r="P52" s="147">
        <f>IF(SUM(P57:P61)&gt;0, SUM(P57:P61), "")</f>
        <v/>
      </c>
      <c r="Q52" s="147">
        <f>IF(SUM(Q57:Q61)&gt;0, SUM(Q57:Q61), "")</f>
        <v/>
      </c>
      <c r="R52" s="147">
        <f>IF(SUM(R57:R61)&gt;0, SUM(R57:R61), "")</f>
        <v/>
      </c>
      <c r="S52" s="147">
        <f>IF(SUM(S57:S61)&gt;0, SUM(S57:S61), "")</f>
        <v/>
      </c>
      <c r="T52" s="147">
        <f>IF(SUM(T57:T61)&gt;0, SUM(T57:T61), "")</f>
        <v/>
      </c>
      <c r="U52" s="147">
        <f>IF(SUM(U57:U61)&gt;0, SUM(U57:U61), "")</f>
        <v/>
      </c>
      <c r="V52" s="147">
        <f>IF(SUM(V57:V61)&gt;0, SUM(V57:V61), "")</f>
        <v/>
      </c>
      <c r="W52" s="147">
        <f>IF(SUM(W57:W61)&gt;0, SUM(W57:W61), "")</f>
        <v/>
      </c>
      <c r="X52" s="147">
        <f>IF(SUM(X57:X61)&gt;0, SUM(X57:X61), "")</f>
        <v/>
      </c>
      <c r="Y52" s="147">
        <f>IF(SUM(Y57:Y61)&gt;0, SUM(Y57:Y61), "")</f>
        <v/>
      </c>
      <c r="Z52" s="147">
        <f>IF(SUM(Z57:Z61)&gt;0, SUM(Z57:Z61), "")</f>
        <v/>
      </c>
      <c r="AA52" s="148">
        <f>IFERROR((X52-W52)/W52, "")</f>
        <v/>
      </c>
      <c r="AB52" s="140" t="n"/>
      <c r="AC52" s="140" t="n"/>
      <c r="AD52" s="140" t="n"/>
    </row>
    <row r="53" ht="15.75" customHeight="1" s="346">
      <c r="A53" s="150" t="inlineStr">
        <is>
          <t xml:space="preserve">  Click CTA</t>
        </is>
      </c>
      <c r="B53" s="150" t="n"/>
      <c r="C53" s="150" t="n"/>
      <c r="D53" s="150" t="n"/>
      <c r="E53" s="150" t="n"/>
      <c r="F53" s="150" t="n">
        <v>2014</v>
      </c>
      <c r="G53" s="150" t="n">
        <v>2691</v>
      </c>
      <c r="H53" s="150" t="n">
        <v>2667</v>
      </c>
      <c r="I53" s="150" t="n">
        <v>15817</v>
      </c>
      <c r="J53" s="150" t="n">
        <v>24391</v>
      </c>
      <c r="K53" s="150" t="n">
        <v>36884</v>
      </c>
      <c r="L53" s="150" t="n"/>
      <c r="M53" s="150" t="n"/>
      <c r="N53" s="151">
        <f>IFERROR((K53-J53)/J53, "")</f>
        <v/>
      </c>
      <c r="O53" s="150" t="n"/>
      <c r="P53" s="150" t="n"/>
      <c r="Q53" s="150" t="n"/>
      <c r="R53" s="150" t="n"/>
      <c r="S53" s="150" t="n">
        <v>2234</v>
      </c>
      <c r="T53" s="150" t="n">
        <v>2750</v>
      </c>
      <c r="U53" s="150" t="n">
        <v>2887</v>
      </c>
      <c r="V53" s="150" t="n">
        <v>18479</v>
      </c>
      <c r="W53" s="150" t="n">
        <v>24733</v>
      </c>
      <c r="X53" s="150" t="n">
        <v>36884</v>
      </c>
      <c r="Y53" s="150" t="n"/>
      <c r="Z53" s="150" t="n"/>
      <c r="AA53" s="151">
        <f>IFERROR((X53-W53)/W53, "")</f>
        <v/>
      </c>
      <c r="AB53" s="140" t="n"/>
      <c r="AC53" s="140" t="n"/>
      <c r="AD53" s="140" t="n"/>
    </row>
    <row r="54" ht="15.75" customHeight="1" s="346">
      <c r="A54" s="152" t="inlineStr">
        <is>
          <t xml:space="preserve">  Net change</t>
        </is>
      </c>
      <c r="B54" s="153" t="n"/>
      <c r="C54" s="153">
        <f>IF(AND(ISNUMBER(C52), ISNUMBER(B52), B52&gt;0, C52&gt;0), C52-B52, "")</f>
        <v/>
      </c>
      <c r="D54" s="153">
        <f>IF(AND(ISNUMBER(D52), ISNUMBER(C52), C52&gt;0, D52&gt;0), D52-C52, "")</f>
        <v/>
      </c>
      <c r="E54" s="153">
        <f>IF(AND(ISNUMBER(E52), ISNUMBER(D52), D52&gt;0, E52&gt;0), E52-D52, "")</f>
        <v/>
      </c>
      <c r="F54" s="153">
        <f>IF(AND(ISNUMBER(F52), ISNUMBER(E52), E52&gt;0, F52&gt;0), F52-E52, "")</f>
        <v/>
      </c>
      <c r="G54" s="153">
        <f>IF(AND(ISNUMBER(G52), ISNUMBER(F52), F52&gt;0, G52&gt;0), G52-F52, "")</f>
        <v/>
      </c>
      <c r="H54" s="153">
        <f>IF(AND(ISNUMBER(H52), ISNUMBER(G52), G52&gt;0, H52&gt;0), H52-G52, "")</f>
        <v/>
      </c>
      <c r="I54" s="153">
        <f>IF(AND(ISNUMBER(I52), ISNUMBER(H52), H52&gt;0, I52&gt;0), I52-H52, "")</f>
        <v/>
      </c>
      <c r="J54" s="153">
        <f>IF(AND(ISNUMBER(J52), ISNUMBER(I52), I52&gt;0, J52&gt;0), J52-I52, "")</f>
        <v/>
      </c>
      <c r="K54" s="153">
        <f>IF(AND(ISNUMBER(K52), ISNUMBER(J52), J52&gt;0, K52&gt;0), K52-J52, "")</f>
        <v/>
      </c>
      <c r="L54" s="153">
        <f>IF(AND(ISNUMBER(L52), ISNUMBER(K52), K52&gt;0, L52&gt;0), L52-K52, "")</f>
        <v/>
      </c>
      <c r="M54" s="153">
        <f>IF(AND(ISNUMBER(M52), ISNUMBER(L52), L52&gt;0, M52&gt;0), M52-L52, "")</f>
        <v/>
      </c>
      <c r="N54" s="153" t="n"/>
      <c r="O54" s="153" t="n"/>
      <c r="P54" s="153">
        <f>IF(AND(ISNUMBER(P52), ISNUMBER(O52), O52&gt;0, P52&gt;0), P52-O52, "")</f>
        <v/>
      </c>
      <c r="Q54" s="153">
        <f>IF(AND(ISNUMBER(Q52), ISNUMBER(P52), P52&gt;0, Q52&gt;0), Q52-P52, "")</f>
        <v/>
      </c>
      <c r="R54" s="153">
        <f>IF(AND(ISNUMBER(R52), ISNUMBER(Q52), Q52&gt;0, R52&gt;0), R52-Q52, "")</f>
        <v/>
      </c>
      <c r="S54" s="153">
        <f>IF(AND(ISNUMBER(S52), ISNUMBER(R52), R52&gt;0, S52&gt;0), S52-R52, "")</f>
        <v/>
      </c>
      <c r="T54" s="153">
        <f>IF(AND(ISNUMBER(T52), ISNUMBER(S52), S52&gt;0, T52&gt;0), T52-S52, "")</f>
        <v/>
      </c>
      <c r="U54" s="153">
        <f>IF(AND(ISNUMBER(U52), ISNUMBER(T52), T52&gt;0, U52&gt;0), U52-T52, "")</f>
        <v/>
      </c>
      <c r="V54" s="153">
        <f>IF(AND(ISNUMBER(V52), ISNUMBER(U52), U52&gt;0, V52&gt;0), V52-U52, "")</f>
        <v/>
      </c>
      <c r="W54" s="153">
        <f>IF(AND(ISNUMBER(W52), ISNUMBER(V52), V52&gt;0, W52&gt;0), W52-V52, "")</f>
        <v/>
      </c>
      <c r="X54" s="153">
        <f>IF(AND(ISNUMBER(X52), ISNUMBER(W52), W52&gt;0, X52&gt;0), X52-W52, "")</f>
        <v/>
      </c>
      <c r="Y54" s="153">
        <f>IF(AND(ISNUMBER(Y52), ISNUMBER(X52), X52&gt;0, Y52&gt;0), Y52-X52, "")</f>
        <v/>
      </c>
      <c r="Z54" s="153">
        <f>IF(AND(ISNUMBER(Z52), ISNUMBER(Y52), Y52&gt;0, Z52&gt;0), Z52-Y52, "")</f>
        <v/>
      </c>
      <c r="AA54" s="153" t="n"/>
      <c r="AB54" s="140" t="n"/>
      <c r="AC54" s="140" t="n"/>
      <c r="AD54" s="140" t="n"/>
    </row>
    <row r="55" ht="15.75" customHeight="1" s="346">
      <c r="A55" s="152" t="inlineStr">
        <is>
          <t xml:space="preserve">  % Growth rate</t>
        </is>
      </c>
      <c r="B55" s="203" t="n"/>
      <c r="C55" s="203">
        <f>IF(AND(ISNUMBER(C52), ISNUMBER(B52), B52&gt;0, C52&gt;0), (C52-B52)/B52, "")</f>
        <v/>
      </c>
      <c r="D55" s="203">
        <f>IF(AND(ISNUMBER(D52), ISNUMBER(C52), C52&gt;0, D52&gt;0), (D52-C52)/C52, "")</f>
        <v/>
      </c>
      <c r="E55" s="203">
        <f>IF(AND(ISNUMBER(E52), ISNUMBER(D52), D52&gt;0, E52&gt;0), (E52-D52)/D52, "")</f>
        <v/>
      </c>
      <c r="F55" s="203">
        <f>IF(AND(ISNUMBER(F52), ISNUMBER(E52), E52&gt;0, F52&gt;0), (F52-E52)/E52, "")</f>
        <v/>
      </c>
      <c r="G55" s="203">
        <f>IF(AND(ISNUMBER(G52), ISNUMBER(F52), F52&gt;0, G52&gt;0), (G52-F52)/F52, "")</f>
        <v/>
      </c>
      <c r="H55" s="203">
        <f>IF(AND(ISNUMBER(H52), ISNUMBER(G52), G52&gt;0, H52&gt;0), (H52-G52)/G52, "")</f>
        <v/>
      </c>
      <c r="I55" s="203">
        <f>IF(AND(ISNUMBER(I52), ISNUMBER(H52), H52&gt;0, I52&gt;0), (I52-H52)/H52, "")</f>
        <v/>
      </c>
      <c r="J55" s="203">
        <f>IF(AND(ISNUMBER(J52), ISNUMBER(I52), I52&gt;0, J52&gt;0), (J52-I52)/I52, "")</f>
        <v/>
      </c>
      <c r="K55" s="203">
        <f>IF(AND(ISNUMBER(K52), ISNUMBER(J52), J52&gt;0, K52&gt;0), (K52-J52)/J52, "")</f>
        <v/>
      </c>
      <c r="L55" s="203">
        <f>IF(AND(ISNUMBER(L52), ISNUMBER(K52), K52&gt;0, L52&gt;0), (L52-K52)/K52, "")</f>
        <v/>
      </c>
      <c r="M55" s="203">
        <f>IF(AND(ISNUMBER(M52), ISNUMBER(L52), L52&gt;0, M52&gt;0), (M52-L52)/L52, "")</f>
        <v/>
      </c>
      <c r="N55" s="203" t="n"/>
      <c r="O55" s="203" t="n"/>
      <c r="P55" s="203">
        <f>IF(AND(ISNUMBER(P52), ISNUMBER(O52), O52&gt;0, P52&gt;0), (P52-O52)/O52, "")</f>
        <v/>
      </c>
      <c r="Q55" s="203">
        <f>IF(AND(ISNUMBER(Q52), ISNUMBER(P52), P52&gt;0, Q52&gt;0), (Q52-P52)/P52, "")</f>
        <v/>
      </c>
      <c r="R55" s="203">
        <f>IF(AND(ISNUMBER(R52), ISNUMBER(Q52), Q52&gt;0, R52&gt;0), (R52-Q52)/Q52, "")</f>
        <v/>
      </c>
      <c r="S55" s="203">
        <f>IF(AND(ISNUMBER(S52), ISNUMBER(R52), R52&gt;0, S52&gt;0), (S52-R52)/R52, "")</f>
        <v/>
      </c>
      <c r="T55" s="203">
        <f>IF(AND(ISNUMBER(T52), ISNUMBER(S52), S52&gt;0, T52&gt;0), (T52-S52)/S52, "")</f>
        <v/>
      </c>
      <c r="U55" s="203">
        <f>IF(AND(ISNUMBER(U52), ISNUMBER(T52), T52&gt;0, U52&gt;0), (U52-T52)/T52, "")</f>
        <v/>
      </c>
      <c r="V55" s="203">
        <f>IF(AND(ISNUMBER(V52), ISNUMBER(U52), U52&gt;0, V52&gt;0), (V52-U52)/U52, "")</f>
        <v/>
      </c>
      <c r="W55" s="203">
        <f>IF(AND(ISNUMBER(W52), ISNUMBER(V52), V52&gt;0, W52&gt;0), (W52-V52)/V52, "")</f>
        <v/>
      </c>
      <c r="X55" s="203">
        <f>IF(AND(ISNUMBER(X52), ISNUMBER(W52), W52&gt;0, X52&gt;0), (X52-W52)/W52, "")</f>
        <v/>
      </c>
      <c r="Y55" s="203">
        <f>IF(AND(ISNUMBER(Y52), ISNUMBER(X52), X52&gt;0, Y52&gt;0), (Y52-X52)/X52, "")</f>
        <v/>
      </c>
      <c r="Z55" s="203">
        <f>IF(AND(ISNUMBER(Z52), ISNUMBER(Y52), Y52&gt;0, Z52&gt;0), (Z52-Y52)/Y52, "")</f>
        <v/>
      </c>
      <c r="AA55" s="203" t="n"/>
      <c r="AB55" s="140" t="n"/>
      <c r="AC55" s="140" t="n"/>
      <c r="AD55" s="140" t="n"/>
    </row>
    <row r="56" ht="15.75" customHeight="1" s="346">
      <c r="A56" s="202" t="inlineStr">
        <is>
          <t>Tỷ trọng trong tổng traffic</t>
        </is>
      </c>
      <c r="B56" s="156">
        <f t="array" ref="B56">IF(AND(ISNUMBER(B52), B52&gt;0), B52/INDEX('MTD Pivot'!$D$3:$K$400, MATCH("Grand Total", 'MTD Pivot'!$A$3:$A$400, 0), MATCH(B$2, 'MTD Pivot'!$D$2:$K$2, 0)), "")</f>
        <v/>
      </c>
      <c r="C56" s="156">
        <f t="array" ref="C56">IF(AND(ISNUMBER(C52), C52&gt;0), C52/INDEX('MTD Pivot'!$D$3:$K$400, MATCH("Grand Total", 'MTD Pivot'!$A$3:$A$400, 0), MATCH(C$2, 'MTD Pivot'!$D$2:$K$2, 0)), "")</f>
        <v/>
      </c>
      <c r="D56" s="156">
        <f t="array" ref="D56">IF(AND(ISNUMBER(D52), D52&gt;0), D52/INDEX('MTD Pivot'!$D$3:$K$400, MATCH("Grand Total", 'MTD Pivot'!$A$3:$A$400, 0), MATCH(D$2, 'MTD Pivot'!$D$2:$K$2, 0)), "")</f>
        <v/>
      </c>
      <c r="E56" s="156">
        <f t="array" ref="E56">IF(AND(ISNUMBER(E52), E52&gt;0), E52/INDEX('MTD Pivot'!$D$3:$K$400, MATCH("Grand Total", 'MTD Pivot'!$A$3:$A$400, 0), MATCH(E$2, 'MTD Pivot'!$D$2:$K$2, 0)), "")</f>
        <v/>
      </c>
      <c r="F56" s="156">
        <f t="array" ref="F56">IF(AND(ISNUMBER(F52), F52&gt;0), F52/INDEX('MTD Pivot'!$D$3:$K$400, MATCH("Grand Total", 'MTD Pivot'!$A$3:$A$400, 0), MATCH(F$2, 'MTD Pivot'!$D$2:$K$2, 0)), "")</f>
        <v/>
      </c>
      <c r="G56" s="156">
        <f t="array" ref="G56">IF(AND(ISNUMBER(G52), G52&gt;0), G52/INDEX('MTD Pivot'!$D$3:$K$400, MATCH("Grand Total", 'MTD Pivot'!$A$3:$A$400, 0), MATCH(G$2, 'MTD Pivot'!$D$2:$K$2, 0)), "")</f>
        <v/>
      </c>
      <c r="H56" s="156">
        <f t="array" ref="H56">IF(AND(ISNUMBER(H52), H52&gt;0), H52/INDEX('MTD Pivot'!$D$3:$K$400, MATCH("Grand Total", 'MTD Pivot'!$A$3:$A$400, 0), MATCH(H$2, 'MTD Pivot'!$D$2:$K$2, 0)), "")</f>
        <v/>
      </c>
      <c r="I56" s="156">
        <f t="array" ref="I56">IF(AND(ISNUMBER(I52), I52&gt;0), I52/INDEX('MTD Pivot'!$D$3:$K$400, MATCH("Grand Total", 'MTD Pivot'!$A$3:$A$400, 0), MATCH(I$2, 'MTD Pivot'!$D$2:$K$2, 0)), "")</f>
        <v/>
      </c>
      <c r="J56" s="156">
        <f t="array" ref="J56">IF(AND(ISNUMBER(J52), J52&gt;0), J52/INDEX('MTD Pivot'!$D$3:$K$400, MATCH("Grand Total", 'MTD Pivot'!$A$3:$A$400, 0), MATCH(J$2, 'MTD Pivot'!$D$2:$K$2, 0)), "")</f>
        <v/>
      </c>
      <c r="K56" s="156">
        <f t="array" ref="K56">IF(AND(ISNUMBER(K52), K52&gt;0), K52/INDEX('MTD Pivot'!$D$3:$K$400, MATCH("Grand Total", 'MTD Pivot'!$A$3:$A$400, 0), MATCH(K$2, 'MTD Pivot'!$D$2:$K$2, 0)), "")</f>
        <v/>
      </c>
      <c r="L56" s="156">
        <f t="array" ref="L56">IF(AND(ISNUMBER(L52), L52&gt;0), L52/INDEX('MTD Pivot'!$D$3:$K$400, MATCH("Grand Total", 'MTD Pivot'!$A$3:$A$400, 0), MATCH(L$2, 'MTD Pivot'!$D$2:$K$2, 0)), "")</f>
        <v/>
      </c>
      <c r="M56" s="156">
        <f t="array" ref="M56">IF(AND(ISNUMBER(M52), M52&gt;0), M52/INDEX('MTD Pivot'!$D$3:$K$400, MATCH("Grand Total", 'MTD Pivot'!$A$3:$A$400, 0), MATCH(M$2, 'MTD Pivot'!$D$2:$K$2, 0)), "")</f>
        <v/>
      </c>
      <c r="N56" s="157">
        <f>IF(AND(ISNUMBER(K56), ISNUMBER(J56)), K56-J56, "")</f>
        <v/>
      </c>
      <c r="O56" s="156">
        <f t="array" ref="O56">IF(AND(ISNUMBER(O52), O52&gt;0), O52/INDEX('Full month Pivot'!$D$3:$K$400, MATCH("Grand Total", 'Full month Pivot'!$A$3:$A$400, 0), MATCH(O$2, 'Full month Pivot'!$D$2:$K$2, 0)), "")</f>
        <v/>
      </c>
      <c r="P56" s="156">
        <f t="array" ref="P56">IF(AND(ISNUMBER(P52), P52&gt;0), P52/INDEX('Full month Pivot'!$D$3:$K$400, MATCH("Grand Total", 'Full month Pivot'!$A$3:$A$400, 0), MATCH(P$2, 'Full month Pivot'!$D$2:$K$2, 0)), "")</f>
        <v/>
      </c>
      <c r="Q56" s="156">
        <f t="array" ref="Q56">IF(AND(ISNUMBER(Q52), Q52&gt;0), Q52/INDEX('Full month Pivot'!$D$3:$K$400, MATCH("Grand Total", 'Full month Pivot'!$A$3:$A$400, 0), MATCH(Q$2, 'Full month Pivot'!$D$2:$K$2, 0)), "")</f>
        <v/>
      </c>
      <c r="R56" s="156">
        <f t="array" ref="R56">IF(AND(ISNUMBER(R52), R52&gt;0), R52/INDEX('Full month Pivot'!$D$3:$K$400, MATCH("Grand Total", 'Full month Pivot'!$A$3:$A$400, 0), MATCH(R$2, 'Full month Pivot'!$D$2:$K$2, 0)), "")</f>
        <v/>
      </c>
      <c r="S56" s="156">
        <f t="array" ref="S56">IF(AND(ISNUMBER(S52), S52&gt;0), S52/INDEX('Full month Pivot'!$D$3:$K$400, MATCH("Grand Total", 'Full month Pivot'!$A$3:$A$400, 0), MATCH(S$2, 'Full month Pivot'!$D$2:$K$2, 0)), "")</f>
        <v/>
      </c>
      <c r="T56" s="156">
        <f t="array" ref="T56">IF(AND(ISNUMBER(T52), T52&gt;0), T52/INDEX('Full month Pivot'!$D$3:$K$400, MATCH("Grand Total", 'Full month Pivot'!$A$3:$A$400, 0), MATCH(T$2, 'Full month Pivot'!$D$2:$K$2, 0)), "")</f>
        <v/>
      </c>
      <c r="U56" s="156">
        <f t="array" ref="U56">IF(AND(ISNUMBER(U52), U52&gt;0), U52/INDEX('Full month Pivot'!$D$3:$K$400, MATCH("Grand Total", 'Full month Pivot'!$A$3:$A$400, 0), MATCH(U$2, 'Full month Pivot'!$D$2:$K$2, 0)), "")</f>
        <v/>
      </c>
      <c r="V56" s="156">
        <f t="array" ref="V56">IF(AND(ISNUMBER(V52), V52&gt;0), V52/INDEX('Full month Pivot'!$D$3:$K$400, MATCH("Grand Total", 'Full month Pivot'!$A$3:$A$400, 0), MATCH(V$2, 'Full month Pivot'!$D$2:$K$2, 0)), "")</f>
        <v/>
      </c>
      <c r="W56" s="156">
        <f t="array" ref="W56">IF(AND(ISNUMBER(W52), W52&gt;0), W52/INDEX('Full month Pivot'!$D$3:$K$400, MATCH("Grand Total", 'Full month Pivot'!$A$3:$A$400, 0), MATCH(W$2, 'Full month Pivot'!$D$2:$K$2, 0)), "")</f>
        <v/>
      </c>
      <c r="X56" s="156">
        <f t="array" ref="X56">IF(AND(ISNUMBER(X52), X52&gt;0), X52/INDEX('Full month Pivot'!$D$3:$K$400, MATCH("Grand Total", 'Full month Pivot'!$A$3:$A$400, 0), MATCH(X$2, 'Full month Pivot'!$D$2:$K$2, 0)), "")</f>
        <v/>
      </c>
      <c r="Y56" s="156">
        <f t="array" ref="Y56">IF(AND(ISNUMBER(Y52), Y52&gt;0), Y52/INDEX('Full month Pivot'!$D$3:$K$400, MATCH("Grand Total", 'Full month Pivot'!$A$3:$A$400, 0), MATCH(Y$2, 'Full month Pivot'!$D$2:$K$2, 0)), "")</f>
        <v/>
      </c>
      <c r="Z56" s="156">
        <f t="array" ref="Z56">IF(AND(ISNUMBER(Z52), Z52&gt;0), Z52/INDEX('Full month Pivot'!$D$3:$K$400, MATCH("Grand Total", 'Full month Pivot'!$A$3:$A$400, 0), MATCH(Z$2, 'Full month Pivot'!$D$2:$K$2, 0)), "")</f>
        <v/>
      </c>
      <c r="AA56" s="157">
        <f>IF(AND(ISNUMBER(X56), ISNUMBER(W56)), X56-W56, "")</f>
        <v/>
      </c>
      <c r="AB56" s="140" t="n"/>
      <c r="AC56" s="140" t="n"/>
      <c r="AD56" s="140" t="n"/>
    </row>
    <row r="57" ht="15.75" customHeight="1" s="346">
      <c r="A57" s="202" t="inlineStr">
        <is>
          <t xml:space="preserve">  Organic</t>
        </is>
      </c>
      <c r="B57" s="193">
        <f>IF(SUMPRODUCT((('MTD Pivot'!$B$3:$B$400=$A$51) + ('MTD Pivot'!$A$3:$A$400=$A$51) &gt; 0) * (TRIM('MTD Pivot'!$C$3:$C$400)=TRIM($A57)) * ('MTD Pivot'!$D$2:$K$2=B$2) * 'MTD Pivot'!$D$3:$K$400)&gt;0, SUMPRODUCT((('MTD Pivot'!$B$3:$B$400=$A$51) + ('MTD Pivot'!$A$3:$A$400=$A$51) &gt; 0) * (TRIM('MTD Pivot'!$C$3:$C$400)=TRIM($A57)) * ('MTD Pivot'!$D$2:$K$2=B$2) * 'MTD Pivot'!$D$3:$K$400), "")</f>
        <v/>
      </c>
      <c r="C57" s="193">
        <f>IF(SUMPRODUCT((('MTD Pivot'!$B$3:$B$400=$A$51) + ('MTD Pivot'!$A$3:$A$400=$A$51) &gt; 0) * (TRIM('MTD Pivot'!$C$3:$C$400)=TRIM($A57)) * ('MTD Pivot'!$D$2:$K$2=C$2) * 'MTD Pivot'!$D$3:$K$400)&gt;0, SUMPRODUCT((('MTD Pivot'!$B$3:$B$400=$A$51) + ('MTD Pivot'!$A$3:$A$400=$A$51) &gt; 0) * (TRIM('MTD Pivot'!$C$3:$C$400)=TRIM($A57)) * ('MTD Pivot'!$D$2:$K$2=C$2) * 'MTD Pivot'!$D$3:$K$400), "")</f>
        <v/>
      </c>
      <c r="D57" s="193">
        <f>IF(SUMPRODUCT((('MTD Pivot'!$B$3:$B$400=$A$51) + ('MTD Pivot'!$A$3:$A$400=$A$51) &gt; 0) * (TRIM('MTD Pivot'!$C$3:$C$400)=TRIM($A57)) * ('MTD Pivot'!$D$2:$K$2=D$2) * 'MTD Pivot'!$D$3:$K$400)&gt;0, SUMPRODUCT((('MTD Pivot'!$B$3:$B$400=$A$51) + ('MTD Pivot'!$A$3:$A$400=$A$51) &gt; 0) * (TRIM('MTD Pivot'!$C$3:$C$400)=TRIM($A57)) * ('MTD Pivot'!$D$2:$K$2=D$2) * 'MTD Pivot'!$D$3:$K$400), "")</f>
        <v/>
      </c>
      <c r="E57" s="193">
        <f>IF(SUMPRODUCT((('MTD Pivot'!$B$3:$B$400=$A$51) + ('MTD Pivot'!$A$3:$A$400=$A$51) &gt; 0) * (TRIM('MTD Pivot'!$C$3:$C$400)=TRIM($A57)) * ('MTD Pivot'!$D$2:$K$2=E$2) * 'MTD Pivot'!$D$3:$K$400)&gt;0, SUMPRODUCT((('MTD Pivot'!$B$3:$B$400=$A$51) + ('MTD Pivot'!$A$3:$A$400=$A$51) &gt; 0) * (TRIM('MTD Pivot'!$C$3:$C$400)=TRIM($A57)) * ('MTD Pivot'!$D$2:$K$2=E$2) * 'MTD Pivot'!$D$3:$K$400), "")</f>
        <v/>
      </c>
      <c r="F57" s="193">
        <f>IF(SUMPRODUCT((('MTD Pivot'!$B$3:$B$400=$A$51) + ('MTD Pivot'!$A$3:$A$400=$A$51) &gt; 0) * (TRIM('MTD Pivot'!$C$3:$C$400)=TRIM($A57)) * ('MTD Pivot'!$D$2:$K$2=F$2) * 'MTD Pivot'!$D$3:$K$400)&gt;0, SUMPRODUCT((('MTD Pivot'!$B$3:$B$400=$A$51) + ('MTD Pivot'!$A$3:$A$400=$A$51) &gt; 0) * (TRIM('MTD Pivot'!$C$3:$C$400)=TRIM($A57)) * ('MTD Pivot'!$D$2:$K$2=F$2) * 'MTD Pivot'!$D$3:$K$400), "")</f>
        <v/>
      </c>
      <c r="G57" s="193">
        <f>IF(SUMPRODUCT((('MTD Pivot'!$B$3:$B$400=$A$51) + ('MTD Pivot'!$A$3:$A$400=$A$51) &gt; 0) * (TRIM('MTD Pivot'!$C$3:$C$400)=TRIM($A57)) * ('MTD Pivot'!$D$2:$K$2=G$2) * 'MTD Pivot'!$D$3:$K$400)&gt;0, SUMPRODUCT((('MTD Pivot'!$B$3:$B$400=$A$51) + ('MTD Pivot'!$A$3:$A$400=$A$51) &gt; 0) * (TRIM('MTD Pivot'!$C$3:$C$400)=TRIM($A57)) * ('MTD Pivot'!$D$2:$K$2=G$2) * 'MTD Pivot'!$D$3:$K$400), "")</f>
        <v/>
      </c>
      <c r="H57" s="193">
        <f>IF(SUMPRODUCT((('MTD Pivot'!$B$3:$B$400=$A$51) + ('MTD Pivot'!$A$3:$A$400=$A$51) &gt; 0) * (TRIM('MTD Pivot'!$C$3:$C$400)=TRIM($A57)) * ('MTD Pivot'!$D$2:$K$2=H$2) * 'MTD Pivot'!$D$3:$K$400)&gt;0, SUMPRODUCT((('MTD Pivot'!$B$3:$B$400=$A$51) + ('MTD Pivot'!$A$3:$A$400=$A$51) &gt; 0) * (TRIM('MTD Pivot'!$C$3:$C$400)=TRIM($A57)) * ('MTD Pivot'!$D$2:$K$2=H$2) * 'MTD Pivot'!$D$3:$K$400), "")</f>
        <v/>
      </c>
      <c r="I57" s="193">
        <f>IF(SUMPRODUCT((('MTD Pivot'!$B$3:$B$400=$A$51) + ('MTD Pivot'!$A$3:$A$400=$A$51) &gt; 0) * (TRIM('MTD Pivot'!$C$3:$C$400)=TRIM($A57)) * ('MTD Pivot'!$D$2:$K$2=I$2) * 'MTD Pivot'!$D$3:$K$400)&gt;0, SUMPRODUCT((('MTD Pivot'!$B$3:$B$400=$A$51) + ('MTD Pivot'!$A$3:$A$400=$A$51) &gt; 0) * (TRIM('MTD Pivot'!$C$3:$C$400)=TRIM($A57)) * ('MTD Pivot'!$D$2:$K$2=I$2) * 'MTD Pivot'!$D$3:$K$400), "")</f>
        <v/>
      </c>
      <c r="J57" s="193">
        <f>IF(SUMPRODUCT((('MTD Pivot'!$B$3:$B$400=$A$51) + ('MTD Pivot'!$A$3:$A$400=$A$51) &gt; 0) * (TRIM('MTD Pivot'!$C$3:$C$400)=TRIM($A57)) * ('MTD Pivot'!$D$2:$K$2=J$2) * 'MTD Pivot'!$D$3:$K$400)&gt;0, SUMPRODUCT((('MTD Pivot'!$B$3:$B$400=$A$51) + ('MTD Pivot'!$A$3:$A$400=$A$51) &gt; 0) * (TRIM('MTD Pivot'!$C$3:$C$400)=TRIM($A57)) * ('MTD Pivot'!$D$2:$K$2=J$2) * 'MTD Pivot'!$D$3:$K$400), "")</f>
        <v/>
      </c>
      <c r="K57" s="193">
        <f>IF(SUMPRODUCT((('MTD Pivot'!$B$3:$B$400=$A$51) + ('MTD Pivot'!$A$3:$A$400=$A$51) &gt; 0) * (TRIM('MTD Pivot'!$C$3:$C$400)=TRIM($A57)) * ('MTD Pivot'!$D$2:$K$2=K$2) * 'MTD Pivot'!$D$3:$K$400)&gt;0, SUMPRODUCT((('MTD Pivot'!$B$3:$B$400=$A$51) + ('MTD Pivot'!$A$3:$A$400=$A$51) &gt; 0) * (TRIM('MTD Pivot'!$C$3:$C$400)=TRIM($A57)) * ('MTD Pivot'!$D$2:$K$2=K$2) * 'MTD Pivot'!$D$3:$K$400), "")</f>
        <v/>
      </c>
      <c r="L57" s="193">
        <f>IF(SUMPRODUCT((('MTD Pivot'!$B$3:$B$400=$A$51) + ('MTD Pivot'!$A$3:$A$400=$A$51) &gt; 0) * (TRIM('MTD Pivot'!$C$3:$C$400)=TRIM($A57)) * ('MTD Pivot'!$D$2:$K$2=L$2) * 'MTD Pivot'!$D$3:$K$400)&gt;0, SUMPRODUCT((('MTD Pivot'!$B$3:$B$400=$A$51) + ('MTD Pivot'!$A$3:$A$400=$A$51) &gt; 0) * (TRIM('MTD Pivot'!$C$3:$C$400)=TRIM($A57)) * ('MTD Pivot'!$D$2:$K$2=L$2) * 'MTD Pivot'!$D$3:$K$400), "")</f>
        <v/>
      </c>
      <c r="M57" s="193">
        <f>IF(SUMPRODUCT((('MTD Pivot'!$B$3:$B$400=$A$51) + ('MTD Pivot'!$A$3:$A$400=$A$51) &gt; 0) * (TRIM('MTD Pivot'!$C$3:$C$400)=TRIM($A57)) * ('MTD Pivot'!$D$2:$K$2=M$2) * 'MTD Pivot'!$D$3:$K$400)&gt;0, SUMPRODUCT((('MTD Pivot'!$B$3:$B$400=$A$51) + ('MTD Pivot'!$A$3:$A$400=$A$51) &gt; 0) * (TRIM('MTD Pivot'!$C$3:$C$400)=TRIM($A57)) * ('MTD Pivot'!$D$2:$K$2=M$2) * 'MTD Pivot'!$D$3:$K$400), "")</f>
        <v/>
      </c>
      <c r="N57" s="157">
        <f>IF(AND(ISNUMBER(K57), ISNUMBER(J57), J57&gt;0), (K57-J57)/J57, "")</f>
        <v/>
      </c>
      <c r="O57" s="193">
        <f>IF(SUMPRODUCT((('Full month Pivot'!$B$3:$B$400=$A$51) + ('Full month Pivot'!$A$3:$A$400=$A$51) &gt; 0) * (TRIM('Full month Pivot'!$C$3:$C$400)=TRIM($A57)) * ('Full month Pivot'!$D$2:$K$2=O$2) * 'Full month Pivot'!$D$3:$K$400)&gt;0, SUMPRODUCT((('Full month Pivot'!$B$3:$B$400=$A$51) + ('Full month Pivot'!$A$3:$A$400=$A$51) &gt; 0) * (TRIM('Full month Pivot'!$C$3:$C$400)=TRIM($A57)) * ('Full month Pivot'!$D$2:$K$2=O$2) * 'Full month Pivot'!$D$3:$K$400), "")</f>
        <v/>
      </c>
      <c r="P57" s="193">
        <f>IF(SUMPRODUCT((('Full month Pivot'!$B$3:$B$400=$A$51) + ('Full month Pivot'!$A$3:$A$400=$A$51) &gt; 0) * (TRIM('Full month Pivot'!$C$3:$C$400)=TRIM($A57)) * ('Full month Pivot'!$D$2:$K$2=P$2) * 'Full month Pivot'!$D$3:$K$400)&gt;0, SUMPRODUCT((('Full month Pivot'!$B$3:$B$400=$A$51) + ('Full month Pivot'!$A$3:$A$400=$A$51) &gt; 0) * (TRIM('Full month Pivot'!$C$3:$C$400)=TRIM($A57)) * ('Full month Pivot'!$D$2:$K$2=P$2) * 'Full month Pivot'!$D$3:$K$400), "")</f>
        <v/>
      </c>
      <c r="Q57" s="193">
        <f>IF(SUMPRODUCT((('Full month Pivot'!$B$3:$B$400=$A$51) + ('Full month Pivot'!$A$3:$A$400=$A$51) &gt; 0) * (TRIM('Full month Pivot'!$C$3:$C$400)=TRIM($A57)) * ('Full month Pivot'!$D$2:$K$2=Q$2) * 'Full month Pivot'!$D$3:$K$400)&gt;0, SUMPRODUCT((('Full month Pivot'!$B$3:$B$400=$A$51) + ('Full month Pivot'!$A$3:$A$400=$A$51) &gt; 0) * (TRIM('Full month Pivot'!$C$3:$C$400)=TRIM($A57)) * ('Full month Pivot'!$D$2:$K$2=Q$2) * 'Full month Pivot'!$D$3:$K$400), "")</f>
        <v/>
      </c>
      <c r="R57" s="193">
        <f>IF(SUMPRODUCT((('Full month Pivot'!$B$3:$B$400=$A$51) + ('Full month Pivot'!$A$3:$A$400=$A$51) &gt; 0) * (TRIM('Full month Pivot'!$C$3:$C$400)=TRIM($A57)) * ('Full month Pivot'!$D$2:$K$2=R$2) * 'Full month Pivot'!$D$3:$K$400)&gt;0, SUMPRODUCT((('Full month Pivot'!$B$3:$B$400=$A$51) + ('Full month Pivot'!$A$3:$A$400=$A$51) &gt; 0) * (TRIM('Full month Pivot'!$C$3:$C$400)=TRIM($A57)) * ('Full month Pivot'!$D$2:$K$2=R$2) * 'Full month Pivot'!$D$3:$K$400), "")</f>
        <v/>
      </c>
      <c r="S57" s="193">
        <f>IF(SUMPRODUCT((('Full month Pivot'!$B$3:$B$400=$A$51) + ('Full month Pivot'!$A$3:$A$400=$A$51) &gt; 0) * (TRIM('Full month Pivot'!$C$3:$C$400)=TRIM($A57)) * ('Full month Pivot'!$D$2:$K$2=S$2) * 'Full month Pivot'!$D$3:$K$400)&gt;0, SUMPRODUCT((('Full month Pivot'!$B$3:$B$400=$A$51) + ('Full month Pivot'!$A$3:$A$400=$A$51) &gt; 0) * (TRIM('Full month Pivot'!$C$3:$C$400)=TRIM($A57)) * ('Full month Pivot'!$D$2:$K$2=S$2) * 'Full month Pivot'!$D$3:$K$400), "")</f>
        <v/>
      </c>
      <c r="T57" s="193">
        <f>IF(SUMPRODUCT((('Full month Pivot'!$B$3:$B$400=$A$51) + ('Full month Pivot'!$A$3:$A$400=$A$51) &gt; 0) * (TRIM('Full month Pivot'!$C$3:$C$400)=TRIM($A57)) * ('Full month Pivot'!$D$2:$K$2=T$2) * 'Full month Pivot'!$D$3:$K$400)&gt;0, SUMPRODUCT((('Full month Pivot'!$B$3:$B$400=$A$51) + ('Full month Pivot'!$A$3:$A$400=$A$51) &gt; 0) * (TRIM('Full month Pivot'!$C$3:$C$400)=TRIM($A57)) * ('Full month Pivot'!$D$2:$K$2=T$2) * 'Full month Pivot'!$D$3:$K$400), "")</f>
        <v/>
      </c>
      <c r="U57" s="193">
        <f>IF(SUMPRODUCT((('Full month Pivot'!$B$3:$B$400=$A$51) + ('Full month Pivot'!$A$3:$A$400=$A$51) &gt; 0) * (TRIM('Full month Pivot'!$C$3:$C$400)=TRIM($A57)) * ('Full month Pivot'!$D$2:$K$2=U$2) * 'Full month Pivot'!$D$3:$K$400)&gt;0, SUMPRODUCT((('Full month Pivot'!$B$3:$B$400=$A$51) + ('Full month Pivot'!$A$3:$A$400=$A$51) &gt; 0) * (TRIM('Full month Pivot'!$C$3:$C$400)=TRIM($A57)) * ('Full month Pivot'!$D$2:$K$2=U$2) * 'Full month Pivot'!$D$3:$K$400), "")</f>
        <v/>
      </c>
      <c r="V57" s="193">
        <f>IF(SUMPRODUCT((('Full month Pivot'!$B$3:$B$400=$A$51) + ('Full month Pivot'!$A$3:$A$400=$A$51) &gt; 0) * (TRIM('Full month Pivot'!$C$3:$C$400)=TRIM($A57)) * ('Full month Pivot'!$D$2:$K$2=V$2) * 'Full month Pivot'!$D$3:$K$400)&gt;0, SUMPRODUCT((('Full month Pivot'!$B$3:$B$400=$A$51) + ('Full month Pivot'!$A$3:$A$400=$A$51) &gt; 0) * (TRIM('Full month Pivot'!$C$3:$C$400)=TRIM($A57)) * ('Full month Pivot'!$D$2:$K$2=V$2) * 'Full month Pivot'!$D$3:$K$400), "")</f>
        <v/>
      </c>
      <c r="W57" s="193">
        <f>IF(SUMPRODUCT((('Full month Pivot'!$B$3:$B$400=$A$51) + ('Full month Pivot'!$A$3:$A$400=$A$51) &gt; 0) * (TRIM('Full month Pivot'!$C$3:$C$400)=TRIM($A57)) * ('Full month Pivot'!$D$2:$K$2=W$2) * 'Full month Pivot'!$D$3:$K$400)&gt;0, SUMPRODUCT((('Full month Pivot'!$B$3:$B$400=$A$51) + ('Full month Pivot'!$A$3:$A$400=$A$51) &gt; 0) * (TRIM('Full month Pivot'!$C$3:$C$400)=TRIM($A57)) * ('Full month Pivot'!$D$2:$K$2=W$2) * 'Full month Pivot'!$D$3:$K$400), "")</f>
        <v/>
      </c>
      <c r="X57" s="193">
        <f>IF(SUMPRODUCT((('Full month Pivot'!$B$3:$B$400=$A$51) + ('Full month Pivot'!$A$3:$A$400=$A$51) &gt; 0) * (TRIM('Full month Pivot'!$C$3:$C$400)=TRIM($A57)) * ('Full month Pivot'!$D$2:$K$2=X$2) * 'Full month Pivot'!$D$3:$K$400)&gt;0, SUMPRODUCT((('Full month Pivot'!$B$3:$B$400=$A$51) + ('Full month Pivot'!$A$3:$A$400=$A$51) &gt; 0) * (TRIM('Full month Pivot'!$C$3:$C$400)=TRIM($A57)) * ('Full month Pivot'!$D$2:$K$2=X$2) * 'Full month Pivot'!$D$3:$K$400), "")</f>
        <v/>
      </c>
      <c r="Y57" s="193">
        <f>IF(SUMPRODUCT((('Full month Pivot'!$B$3:$B$400=$A$51) + ('Full month Pivot'!$A$3:$A$400=$A$51) &gt; 0) * (TRIM('Full month Pivot'!$C$3:$C$400)=TRIM($A57)) * ('Full month Pivot'!$D$2:$K$2=Y$2) * 'Full month Pivot'!$D$3:$K$400)&gt;0, SUMPRODUCT((('Full month Pivot'!$B$3:$B$400=$A$51) + ('Full month Pivot'!$A$3:$A$400=$A$51) &gt; 0) * (TRIM('Full month Pivot'!$C$3:$C$400)=TRIM($A57)) * ('Full month Pivot'!$D$2:$K$2=Y$2) * 'Full month Pivot'!$D$3:$K$400), "")</f>
        <v/>
      </c>
      <c r="Z57" s="193">
        <f>IF(SUMPRODUCT((('Full month Pivot'!$B$3:$B$400=$A$51) + ('Full month Pivot'!$A$3:$A$400=$A$51) &gt; 0) * (TRIM('Full month Pivot'!$C$3:$C$400)=TRIM($A57)) * ('Full month Pivot'!$D$2:$K$2=Z$2) * 'Full month Pivot'!$D$3:$K$400)&gt;0, SUMPRODUCT((('Full month Pivot'!$B$3:$B$400=$A$51) + ('Full month Pivot'!$A$3:$A$400=$A$51) &gt; 0) * (TRIM('Full month Pivot'!$C$3:$C$400)=TRIM($A57)) * ('Full month Pivot'!$D$2:$K$2=Z$2) * 'Full month Pivot'!$D$3:$K$400), "")</f>
        <v/>
      </c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202" t="inlineStr">
        <is>
          <t xml:space="preserve">  Paid</t>
        </is>
      </c>
      <c r="B58" s="193">
        <f>IF(SUMPRODUCT((('MTD Pivot'!$B$3:$B$400=$A$51) + ('MTD Pivot'!$A$3:$A$400=$A$51) &gt; 0) * (TRIM('MTD Pivot'!$C$3:$C$400)=TRIM($A58)) * ('MTD Pivot'!$D$2:$K$2=B$2) * 'MTD Pivot'!$D$3:$K$400)&gt;0, SUMPRODUCT((('MTD Pivot'!$B$3:$B$400=$A$51) + ('MTD Pivot'!$A$3:$A$400=$A$51) &gt; 0) * (TRIM('MTD Pivot'!$C$3:$C$400)=TRIM($A58)) * ('MTD Pivot'!$D$2:$K$2=B$2) * 'MTD Pivot'!$D$3:$K$400), "")</f>
        <v/>
      </c>
      <c r="C58" s="193">
        <f>IF(SUMPRODUCT((('MTD Pivot'!$B$3:$B$400=$A$51) + ('MTD Pivot'!$A$3:$A$400=$A$51) &gt; 0) * (TRIM('MTD Pivot'!$C$3:$C$400)=TRIM($A58)) * ('MTD Pivot'!$D$2:$K$2=C$2) * 'MTD Pivot'!$D$3:$K$400)&gt;0, SUMPRODUCT((('MTD Pivot'!$B$3:$B$400=$A$51) + ('MTD Pivot'!$A$3:$A$400=$A$51) &gt; 0) * (TRIM('MTD Pivot'!$C$3:$C$400)=TRIM($A58)) * ('MTD Pivot'!$D$2:$K$2=C$2) * 'MTD Pivot'!$D$3:$K$400), "")</f>
        <v/>
      </c>
      <c r="D58" s="193">
        <f>IF(SUMPRODUCT((('MTD Pivot'!$B$3:$B$400=$A$51) + ('MTD Pivot'!$A$3:$A$400=$A$51) &gt; 0) * (TRIM('MTD Pivot'!$C$3:$C$400)=TRIM($A58)) * ('MTD Pivot'!$D$2:$K$2=D$2) * 'MTD Pivot'!$D$3:$K$400)&gt;0, SUMPRODUCT((('MTD Pivot'!$B$3:$B$400=$A$51) + ('MTD Pivot'!$A$3:$A$400=$A$51) &gt; 0) * (TRIM('MTD Pivot'!$C$3:$C$400)=TRIM($A58)) * ('MTD Pivot'!$D$2:$K$2=D$2) * 'MTD Pivot'!$D$3:$K$400), "")</f>
        <v/>
      </c>
      <c r="E58" s="193">
        <f>IF(SUMPRODUCT((('MTD Pivot'!$B$3:$B$400=$A$51) + ('MTD Pivot'!$A$3:$A$400=$A$51) &gt; 0) * (TRIM('MTD Pivot'!$C$3:$C$400)=TRIM($A58)) * ('MTD Pivot'!$D$2:$K$2=E$2) * 'MTD Pivot'!$D$3:$K$400)&gt;0, SUMPRODUCT((('MTD Pivot'!$B$3:$B$400=$A$51) + ('MTD Pivot'!$A$3:$A$400=$A$51) &gt; 0) * (TRIM('MTD Pivot'!$C$3:$C$400)=TRIM($A58)) * ('MTD Pivot'!$D$2:$K$2=E$2) * 'MTD Pivot'!$D$3:$K$400), "")</f>
        <v/>
      </c>
      <c r="F58" s="193">
        <f>IF(SUMPRODUCT((('MTD Pivot'!$B$3:$B$400=$A$51) + ('MTD Pivot'!$A$3:$A$400=$A$51) &gt; 0) * (TRIM('MTD Pivot'!$C$3:$C$400)=TRIM($A58)) * ('MTD Pivot'!$D$2:$K$2=F$2) * 'MTD Pivot'!$D$3:$K$400)&gt;0, SUMPRODUCT((('MTD Pivot'!$B$3:$B$400=$A$51) + ('MTD Pivot'!$A$3:$A$400=$A$51) &gt; 0) * (TRIM('MTD Pivot'!$C$3:$C$400)=TRIM($A58)) * ('MTD Pivot'!$D$2:$K$2=F$2) * 'MTD Pivot'!$D$3:$K$400), "")</f>
        <v/>
      </c>
      <c r="G58" s="193">
        <f>IF(SUMPRODUCT((('MTD Pivot'!$B$3:$B$400=$A$51) + ('MTD Pivot'!$A$3:$A$400=$A$51) &gt; 0) * (TRIM('MTD Pivot'!$C$3:$C$400)=TRIM($A58)) * ('MTD Pivot'!$D$2:$K$2=G$2) * 'MTD Pivot'!$D$3:$K$400)&gt;0, SUMPRODUCT((('MTD Pivot'!$B$3:$B$400=$A$51) + ('MTD Pivot'!$A$3:$A$400=$A$51) &gt; 0) * (TRIM('MTD Pivot'!$C$3:$C$400)=TRIM($A58)) * ('MTD Pivot'!$D$2:$K$2=G$2) * 'MTD Pivot'!$D$3:$K$400), "")</f>
        <v/>
      </c>
      <c r="H58" s="193">
        <f>IF(SUMPRODUCT((('MTD Pivot'!$B$3:$B$400=$A$51) + ('MTD Pivot'!$A$3:$A$400=$A$51) &gt; 0) * (TRIM('MTD Pivot'!$C$3:$C$400)=TRIM($A58)) * ('MTD Pivot'!$D$2:$K$2=H$2) * 'MTD Pivot'!$D$3:$K$400)&gt;0, SUMPRODUCT((('MTD Pivot'!$B$3:$B$400=$A$51) + ('MTD Pivot'!$A$3:$A$400=$A$51) &gt; 0) * (TRIM('MTD Pivot'!$C$3:$C$400)=TRIM($A58)) * ('MTD Pivot'!$D$2:$K$2=H$2) * 'MTD Pivot'!$D$3:$K$400), "")</f>
        <v/>
      </c>
      <c r="I58" s="193">
        <f>IF(SUMPRODUCT((('MTD Pivot'!$B$3:$B$400=$A$51) + ('MTD Pivot'!$A$3:$A$400=$A$51) &gt; 0) * (TRIM('MTD Pivot'!$C$3:$C$400)=TRIM($A58)) * ('MTD Pivot'!$D$2:$K$2=I$2) * 'MTD Pivot'!$D$3:$K$400)&gt;0, SUMPRODUCT((('MTD Pivot'!$B$3:$B$400=$A$51) + ('MTD Pivot'!$A$3:$A$400=$A$51) &gt; 0) * (TRIM('MTD Pivot'!$C$3:$C$400)=TRIM($A58)) * ('MTD Pivot'!$D$2:$K$2=I$2) * 'MTD Pivot'!$D$3:$K$400), "")</f>
        <v/>
      </c>
      <c r="J58" s="193">
        <f>IF(SUMPRODUCT((('MTD Pivot'!$B$3:$B$400=$A$51) + ('MTD Pivot'!$A$3:$A$400=$A$51) &gt; 0) * (TRIM('MTD Pivot'!$C$3:$C$400)=TRIM($A58)) * ('MTD Pivot'!$D$2:$K$2=J$2) * 'MTD Pivot'!$D$3:$K$400)&gt;0, SUMPRODUCT((('MTD Pivot'!$B$3:$B$400=$A$51) + ('MTD Pivot'!$A$3:$A$400=$A$51) &gt; 0) * (TRIM('MTD Pivot'!$C$3:$C$400)=TRIM($A58)) * ('MTD Pivot'!$D$2:$K$2=J$2) * 'MTD Pivot'!$D$3:$K$400), "")</f>
        <v/>
      </c>
      <c r="K58" s="193">
        <f>IF(SUMPRODUCT((('MTD Pivot'!$B$3:$B$400=$A$51) + ('MTD Pivot'!$A$3:$A$400=$A$51) &gt; 0) * (TRIM('MTD Pivot'!$C$3:$C$400)=TRIM($A58)) * ('MTD Pivot'!$D$2:$K$2=K$2) * 'MTD Pivot'!$D$3:$K$400)&gt;0, SUMPRODUCT((('MTD Pivot'!$B$3:$B$400=$A$51) + ('MTD Pivot'!$A$3:$A$400=$A$51) &gt; 0) * (TRIM('MTD Pivot'!$C$3:$C$400)=TRIM($A58)) * ('MTD Pivot'!$D$2:$K$2=K$2) * 'MTD Pivot'!$D$3:$K$400), "")</f>
        <v/>
      </c>
      <c r="L58" s="193">
        <f>IF(SUMPRODUCT((('MTD Pivot'!$B$3:$B$400=$A$51) + ('MTD Pivot'!$A$3:$A$400=$A$51) &gt; 0) * (TRIM('MTD Pivot'!$C$3:$C$400)=TRIM($A58)) * ('MTD Pivot'!$D$2:$K$2=L$2) * 'MTD Pivot'!$D$3:$K$400)&gt;0, SUMPRODUCT((('MTD Pivot'!$B$3:$B$400=$A$51) + ('MTD Pivot'!$A$3:$A$400=$A$51) &gt; 0) * (TRIM('MTD Pivot'!$C$3:$C$400)=TRIM($A58)) * ('MTD Pivot'!$D$2:$K$2=L$2) * 'MTD Pivot'!$D$3:$K$400), "")</f>
        <v/>
      </c>
      <c r="M58" s="193">
        <f>IF(SUMPRODUCT((('MTD Pivot'!$B$3:$B$400=$A$51) + ('MTD Pivot'!$A$3:$A$400=$A$51) &gt; 0) * (TRIM('MTD Pivot'!$C$3:$C$400)=TRIM($A58)) * ('MTD Pivot'!$D$2:$K$2=M$2) * 'MTD Pivot'!$D$3:$K$400)&gt;0, SUMPRODUCT((('MTD Pivot'!$B$3:$B$400=$A$51) + ('MTD Pivot'!$A$3:$A$400=$A$51) &gt; 0) * (TRIM('MTD Pivot'!$C$3:$C$400)=TRIM($A58)) * ('MTD Pivot'!$D$2:$K$2=M$2) * 'MTD Pivot'!$D$3:$K$400), "")</f>
        <v/>
      </c>
      <c r="N58" s="157">
        <f>IF(AND(ISNUMBER(K58), ISNUMBER(J58), J58&gt;0), (K58-J58)/J58, "")</f>
        <v/>
      </c>
      <c r="O58" s="193">
        <f>IF(SUMPRODUCT((('Full month Pivot'!$B$3:$B$400=$A$51) + ('Full month Pivot'!$A$3:$A$400=$A$51) &gt; 0) * (TRIM('Full month Pivot'!$C$3:$C$400)=TRIM($A58)) * ('Full month Pivot'!$D$2:$K$2=O$2) * 'Full month Pivot'!$D$3:$K$400)&gt;0, SUMPRODUCT((('Full month Pivot'!$B$3:$B$400=$A$51) + ('Full month Pivot'!$A$3:$A$400=$A$51) &gt; 0) * (TRIM('Full month Pivot'!$C$3:$C$400)=TRIM($A58)) * ('Full month Pivot'!$D$2:$K$2=O$2) * 'Full month Pivot'!$D$3:$K$400), "")</f>
        <v/>
      </c>
      <c r="P58" s="193">
        <f>IF(SUMPRODUCT((('Full month Pivot'!$B$3:$B$400=$A$51) + ('Full month Pivot'!$A$3:$A$400=$A$51) &gt; 0) * (TRIM('Full month Pivot'!$C$3:$C$400)=TRIM($A58)) * ('Full month Pivot'!$D$2:$K$2=P$2) * 'Full month Pivot'!$D$3:$K$400)&gt;0, SUMPRODUCT((('Full month Pivot'!$B$3:$B$400=$A$51) + ('Full month Pivot'!$A$3:$A$400=$A$51) &gt; 0) * (TRIM('Full month Pivot'!$C$3:$C$400)=TRIM($A58)) * ('Full month Pivot'!$D$2:$K$2=P$2) * 'Full month Pivot'!$D$3:$K$400), "")</f>
        <v/>
      </c>
      <c r="Q58" s="193">
        <f>IF(SUMPRODUCT((('Full month Pivot'!$B$3:$B$400=$A$51) + ('Full month Pivot'!$A$3:$A$400=$A$51) &gt; 0) * (TRIM('Full month Pivot'!$C$3:$C$400)=TRIM($A58)) * ('Full month Pivot'!$D$2:$K$2=Q$2) * 'Full month Pivot'!$D$3:$K$400)&gt;0, SUMPRODUCT((('Full month Pivot'!$B$3:$B$400=$A$51) + ('Full month Pivot'!$A$3:$A$400=$A$51) &gt; 0) * (TRIM('Full month Pivot'!$C$3:$C$400)=TRIM($A58)) * ('Full month Pivot'!$D$2:$K$2=Q$2) * 'Full month Pivot'!$D$3:$K$400), "")</f>
        <v/>
      </c>
      <c r="R58" s="193">
        <f>IF(SUMPRODUCT((('Full month Pivot'!$B$3:$B$400=$A$51) + ('Full month Pivot'!$A$3:$A$400=$A$51) &gt; 0) * (TRIM('Full month Pivot'!$C$3:$C$400)=TRIM($A58)) * ('Full month Pivot'!$D$2:$K$2=R$2) * 'Full month Pivot'!$D$3:$K$400)&gt;0, SUMPRODUCT((('Full month Pivot'!$B$3:$B$400=$A$51) + ('Full month Pivot'!$A$3:$A$400=$A$51) &gt; 0) * (TRIM('Full month Pivot'!$C$3:$C$400)=TRIM($A58)) * ('Full month Pivot'!$D$2:$K$2=R$2) * 'Full month Pivot'!$D$3:$K$400), "")</f>
        <v/>
      </c>
      <c r="S58" s="193">
        <f>IF(SUMPRODUCT((('Full month Pivot'!$B$3:$B$400=$A$51) + ('Full month Pivot'!$A$3:$A$400=$A$51) &gt; 0) * (TRIM('Full month Pivot'!$C$3:$C$400)=TRIM($A58)) * ('Full month Pivot'!$D$2:$K$2=S$2) * 'Full month Pivot'!$D$3:$K$400)&gt;0, SUMPRODUCT((('Full month Pivot'!$B$3:$B$400=$A$51) + ('Full month Pivot'!$A$3:$A$400=$A$51) &gt; 0) * (TRIM('Full month Pivot'!$C$3:$C$400)=TRIM($A58)) * ('Full month Pivot'!$D$2:$K$2=S$2) * 'Full month Pivot'!$D$3:$K$400), "")</f>
        <v/>
      </c>
      <c r="T58" s="193">
        <f>IF(SUMPRODUCT((('Full month Pivot'!$B$3:$B$400=$A$51) + ('Full month Pivot'!$A$3:$A$400=$A$51) &gt; 0) * (TRIM('Full month Pivot'!$C$3:$C$400)=TRIM($A58)) * ('Full month Pivot'!$D$2:$K$2=T$2) * 'Full month Pivot'!$D$3:$K$400)&gt;0, SUMPRODUCT((('Full month Pivot'!$B$3:$B$400=$A$51) + ('Full month Pivot'!$A$3:$A$400=$A$51) &gt; 0) * (TRIM('Full month Pivot'!$C$3:$C$400)=TRIM($A58)) * ('Full month Pivot'!$D$2:$K$2=T$2) * 'Full month Pivot'!$D$3:$K$400), "")</f>
        <v/>
      </c>
      <c r="U58" s="193">
        <f>IF(SUMPRODUCT((('Full month Pivot'!$B$3:$B$400=$A$51) + ('Full month Pivot'!$A$3:$A$400=$A$51) &gt; 0) * (TRIM('Full month Pivot'!$C$3:$C$400)=TRIM($A58)) * ('Full month Pivot'!$D$2:$K$2=U$2) * 'Full month Pivot'!$D$3:$K$400)&gt;0, SUMPRODUCT((('Full month Pivot'!$B$3:$B$400=$A$51) + ('Full month Pivot'!$A$3:$A$400=$A$51) &gt; 0) * (TRIM('Full month Pivot'!$C$3:$C$400)=TRIM($A58)) * ('Full month Pivot'!$D$2:$K$2=U$2) * 'Full month Pivot'!$D$3:$K$400), "")</f>
        <v/>
      </c>
      <c r="V58" s="193">
        <f>IF(SUMPRODUCT((('Full month Pivot'!$B$3:$B$400=$A$51) + ('Full month Pivot'!$A$3:$A$400=$A$51) &gt; 0) * (TRIM('Full month Pivot'!$C$3:$C$400)=TRIM($A58)) * ('Full month Pivot'!$D$2:$K$2=V$2) * 'Full month Pivot'!$D$3:$K$400)&gt;0, SUMPRODUCT((('Full month Pivot'!$B$3:$B$400=$A$51) + ('Full month Pivot'!$A$3:$A$400=$A$51) &gt; 0) * (TRIM('Full month Pivot'!$C$3:$C$400)=TRIM($A58)) * ('Full month Pivot'!$D$2:$K$2=V$2) * 'Full month Pivot'!$D$3:$K$400), "")</f>
        <v/>
      </c>
      <c r="W58" s="193">
        <f>IF(SUMPRODUCT((('Full month Pivot'!$B$3:$B$400=$A$51) + ('Full month Pivot'!$A$3:$A$400=$A$51) &gt; 0) * (TRIM('Full month Pivot'!$C$3:$C$400)=TRIM($A58)) * ('Full month Pivot'!$D$2:$K$2=W$2) * 'Full month Pivot'!$D$3:$K$400)&gt;0, SUMPRODUCT((('Full month Pivot'!$B$3:$B$400=$A$51) + ('Full month Pivot'!$A$3:$A$400=$A$51) &gt; 0) * (TRIM('Full month Pivot'!$C$3:$C$400)=TRIM($A58)) * ('Full month Pivot'!$D$2:$K$2=W$2) * 'Full month Pivot'!$D$3:$K$400), "")</f>
        <v/>
      </c>
      <c r="X58" s="193">
        <f>IF(SUMPRODUCT((('Full month Pivot'!$B$3:$B$400=$A$51) + ('Full month Pivot'!$A$3:$A$400=$A$51) &gt; 0) * (TRIM('Full month Pivot'!$C$3:$C$400)=TRIM($A58)) * ('Full month Pivot'!$D$2:$K$2=X$2) * 'Full month Pivot'!$D$3:$K$400)&gt;0, SUMPRODUCT((('Full month Pivot'!$B$3:$B$400=$A$51) + ('Full month Pivot'!$A$3:$A$400=$A$51) &gt; 0) * (TRIM('Full month Pivot'!$C$3:$C$400)=TRIM($A58)) * ('Full month Pivot'!$D$2:$K$2=X$2) * 'Full month Pivot'!$D$3:$K$400), "")</f>
        <v/>
      </c>
      <c r="Y58" s="193">
        <f>IF(SUMPRODUCT((('Full month Pivot'!$B$3:$B$400=$A$51) + ('Full month Pivot'!$A$3:$A$400=$A$51) &gt; 0) * (TRIM('Full month Pivot'!$C$3:$C$400)=TRIM($A58)) * ('Full month Pivot'!$D$2:$K$2=Y$2) * 'Full month Pivot'!$D$3:$K$400)&gt;0, SUMPRODUCT((('Full month Pivot'!$B$3:$B$400=$A$51) + ('Full month Pivot'!$A$3:$A$400=$A$51) &gt; 0) * (TRIM('Full month Pivot'!$C$3:$C$400)=TRIM($A58)) * ('Full month Pivot'!$D$2:$K$2=Y$2) * 'Full month Pivot'!$D$3:$K$400), "")</f>
        <v/>
      </c>
      <c r="Z58" s="193">
        <f>IF(SUMPRODUCT((('Full month Pivot'!$B$3:$B$400=$A$51) + ('Full month Pivot'!$A$3:$A$400=$A$51) &gt; 0) * (TRIM('Full month Pivot'!$C$3:$C$400)=TRIM($A58)) * ('Full month Pivot'!$D$2:$K$2=Z$2) * 'Full month Pivot'!$D$3:$K$400)&gt;0, SUMPRODUCT((('Full month Pivot'!$B$3:$B$400=$A$51) + ('Full month Pivot'!$A$3:$A$400=$A$51) &gt; 0) * (TRIM('Full month Pivot'!$C$3:$C$400)=TRIM($A58)) * ('Full month Pivot'!$D$2:$K$2=Z$2) * 'Full month Pivot'!$D$3:$K$400), "")</f>
        <v/>
      </c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202" t="inlineStr">
        <is>
          <t xml:space="preserve">  Direct</t>
        </is>
      </c>
      <c r="B59" s="193">
        <f>IF(SUMPRODUCT((('MTD Pivot'!$B$3:$B$400=$A$51) + ('MTD Pivot'!$A$3:$A$400=$A$51) &gt; 0) * (TRIM('MTD Pivot'!$C$3:$C$400)=TRIM($A59)) * ('MTD Pivot'!$D$2:$K$2=B$2) * 'MTD Pivot'!$D$3:$K$400)&gt;0, SUMPRODUCT((('MTD Pivot'!$B$3:$B$400=$A$51) + ('MTD Pivot'!$A$3:$A$400=$A$51) &gt; 0) * (TRIM('MTD Pivot'!$C$3:$C$400)=TRIM($A59)) * ('MTD Pivot'!$D$2:$K$2=B$2) * 'MTD Pivot'!$D$3:$K$400), "")</f>
        <v/>
      </c>
      <c r="C59" s="193">
        <f>IF(SUMPRODUCT((('MTD Pivot'!$B$3:$B$400=$A$51) + ('MTD Pivot'!$A$3:$A$400=$A$51) &gt; 0) * (TRIM('MTD Pivot'!$C$3:$C$400)=TRIM($A59)) * ('MTD Pivot'!$D$2:$K$2=C$2) * 'MTD Pivot'!$D$3:$K$400)&gt;0, SUMPRODUCT((('MTD Pivot'!$B$3:$B$400=$A$51) + ('MTD Pivot'!$A$3:$A$400=$A$51) &gt; 0) * (TRIM('MTD Pivot'!$C$3:$C$400)=TRIM($A59)) * ('MTD Pivot'!$D$2:$K$2=C$2) * 'MTD Pivot'!$D$3:$K$400), "")</f>
        <v/>
      </c>
      <c r="D59" s="193">
        <f>IF(SUMPRODUCT((('MTD Pivot'!$B$3:$B$400=$A$51) + ('MTD Pivot'!$A$3:$A$400=$A$51) &gt; 0) * (TRIM('MTD Pivot'!$C$3:$C$400)=TRIM($A59)) * ('MTD Pivot'!$D$2:$K$2=D$2) * 'MTD Pivot'!$D$3:$K$400)&gt;0, SUMPRODUCT((('MTD Pivot'!$B$3:$B$400=$A$51) + ('MTD Pivot'!$A$3:$A$400=$A$51) &gt; 0) * (TRIM('MTD Pivot'!$C$3:$C$400)=TRIM($A59)) * ('MTD Pivot'!$D$2:$K$2=D$2) * 'MTD Pivot'!$D$3:$K$400), "")</f>
        <v/>
      </c>
      <c r="E59" s="193">
        <f>IF(SUMPRODUCT((('MTD Pivot'!$B$3:$B$400=$A$51) + ('MTD Pivot'!$A$3:$A$400=$A$51) &gt; 0) * (TRIM('MTD Pivot'!$C$3:$C$400)=TRIM($A59)) * ('MTD Pivot'!$D$2:$K$2=E$2) * 'MTD Pivot'!$D$3:$K$400)&gt;0, SUMPRODUCT((('MTD Pivot'!$B$3:$B$400=$A$51) + ('MTD Pivot'!$A$3:$A$400=$A$51) &gt; 0) * (TRIM('MTD Pivot'!$C$3:$C$400)=TRIM($A59)) * ('MTD Pivot'!$D$2:$K$2=E$2) * 'MTD Pivot'!$D$3:$K$400), "")</f>
        <v/>
      </c>
      <c r="F59" s="193">
        <f>IF(SUMPRODUCT((('MTD Pivot'!$B$3:$B$400=$A$51) + ('MTD Pivot'!$A$3:$A$400=$A$51) &gt; 0) * (TRIM('MTD Pivot'!$C$3:$C$400)=TRIM($A59)) * ('MTD Pivot'!$D$2:$K$2=F$2) * 'MTD Pivot'!$D$3:$K$400)&gt;0, SUMPRODUCT((('MTD Pivot'!$B$3:$B$400=$A$51) + ('MTD Pivot'!$A$3:$A$400=$A$51) &gt; 0) * (TRIM('MTD Pivot'!$C$3:$C$400)=TRIM($A59)) * ('MTD Pivot'!$D$2:$K$2=F$2) * 'MTD Pivot'!$D$3:$K$400), "")</f>
        <v/>
      </c>
      <c r="G59" s="193">
        <f>IF(SUMPRODUCT((('MTD Pivot'!$B$3:$B$400=$A$51) + ('MTD Pivot'!$A$3:$A$400=$A$51) &gt; 0) * (TRIM('MTD Pivot'!$C$3:$C$400)=TRIM($A59)) * ('MTD Pivot'!$D$2:$K$2=G$2) * 'MTD Pivot'!$D$3:$K$400)&gt;0, SUMPRODUCT((('MTD Pivot'!$B$3:$B$400=$A$51) + ('MTD Pivot'!$A$3:$A$400=$A$51) &gt; 0) * (TRIM('MTD Pivot'!$C$3:$C$400)=TRIM($A59)) * ('MTD Pivot'!$D$2:$K$2=G$2) * 'MTD Pivot'!$D$3:$K$400), "")</f>
        <v/>
      </c>
      <c r="H59" s="193">
        <f>IF(SUMPRODUCT((('MTD Pivot'!$B$3:$B$400=$A$51) + ('MTD Pivot'!$A$3:$A$400=$A$51) &gt; 0) * (TRIM('MTD Pivot'!$C$3:$C$400)=TRIM($A59)) * ('MTD Pivot'!$D$2:$K$2=H$2) * 'MTD Pivot'!$D$3:$K$400)&gt;0, SUMPRODUCT((('MTD Pivot'!$B$3:$B$400=$A$51) + ('MTD Pivot'!$A$3:$A$400=$A$51) &gt; 0) * (TRIM('MTD Pivot'!$C$3:$C$400)=TRIM($A59)) * ('MTD Pivot'!$D$2:$K$2=H$2) * 'MTD Pivot'!$D$3:$K$400), "")</f>
        <v/>
      </c>
      <c r="I59" s="193">
        <f>IF(SUMPRODUCT((('MTD Pivot'!$B$3:$B$400=$A$51) + ('MTD Pivot'!$A$3:$A$400=$A$51) &gt; 0) * (TRIM('MTD Pivot'!$C$3:$C$400)=TRIM($A59)) * ('MTD Pivot'!$D$2:$K$2=I$2) * 'MTD Pivot'!$D$3:$K$400)&gt;0, SUMPRODUCT((('MTD Pivot'!$B$3:$B$400=$A$51) + ('MTD Pivot'!$A$3:$A$400=$A$51) &gt; 0) * (TRIM('MTD Pivot'!$C$3:$C$400)=TRIM($A59)) * ('MTD Pivot'!$D$2:$K$2=I$2) * 'MTD Pivot'!$D$3:$K$400), "")</f>
        <v/>
      </c>
      <c r="J59" s="193">
        <f>IF(SUMPRODUCT((('MTD Pivot'!$B$3:$B$400=$A$51) + ('MTD Pivot'!$A$3:$A$400=$A$51) &gt; 0) * (TRIM('MTD Pivot'!$C$3:$C$400)=TRIM($A59)) * ('MTD Pivot'!$D$2:$K$2=J$2) * 'MTD Pivot'!$D$3:$K$400)&gt;0, SUMPRODUCT((('MTD Pivot'!$B$3:$B$400=$A$51) + ('MTD Pivot'!$A$3:$A$400=$A$51) &gt; 0) * (TRIM('MTD Pivot'!$C$3:$C$400)=TRIM($A59)) * ('MTD Pivot'!$D$2:$K$2=J$2) * 'MTD Pivot'!$D$3:$K$400), "")</f>
        <v/>
      </c>
      <c r="K59" s="193">
        <f>IF(SUMPRODUCT((('MTD Pivot'!$B$3:$B$400=$A$51) + ('MTD Pivot'!$A$3:$A$400=$A$51) &gt; 0) * (TRIM('MTD Pivot'!$C$3:$C$400)=TRIM($A59)) * ('MTD Pivot'!$D$2:$K$2=K$2) * 'MTD Pivot'!$D$3:$K$400)&gt;0, SUMPRODUCT((('MTD Pivot'!$B$3:$B$400=$A$51) + ('MTD Pivot'!$A$3:$A$400=$A$51) &gt; 0) * (TRIM('MTD Pivot'!$C$3:$C$400)=TRIM($A59)) * ('MTD Pivot'!$D$2:$K$2=K$2) * 'MTD Pivot'!$D$3:$K$400), "")</f>
        <v/>
      </c>
      <c r="L59" s="193">
        <f>IF(SUMPRODUCT((('MTD Pivot'!$B$3:$B$400=$A$51) + ('MTD Pivot'!$A$3:$A$400=$A$51) &gt; 0) * (TRIM('MTD Pivot'!$C$3:$C$400)=TRIM($A59)) * ('MTD Pivot'!$D$2:$K$2=L$2) * 'MTD Pivot'!$D$3:$K$400)&gt;0, SUMPRODUCT((('MTD Pivot'!$B$3:$B$400=$A$51) + ('MTD Pivot'!$A$3:$A$400=$A$51) &gt; 0) * (TRIM('MTD Pivot'!$C$3:$C$400)=TRIM($A59)) * ('MTD Pivot'!$D$2:$K$2=L$2) * 'MTD Pivot'!$D$3:$K$400), "")</f>
        <v/>
      </c>
      <c r="M59" s="193">
        <f>IF(SUMPRODUCT((('MTD Pivot'!$B$3:$B$400=$A$51) + ('MTD Pivot'!$A$3:$A$400=$A$51) &gt; 0) * (TRIM('MTD Pivot'!$C$3:$C$400)=TRIM($A59)) * ('MTD Pivot'!$D$2:$K$2=M$2) * 'MTD Pivot'!$D$3:$K$400)&gt;0, SUMPRODUCT((('MTD Pivot'!$B$3:$B$400=$A$51) + ('MTD Pivot'!$A$3:$A$400=$A$51) &gt; 0) * (TRIM('MTD Pivot'!$C$3:$C$400)=TRIM($A59)) * ('MTD Pivot'!$D$2:$K$2=M$2) * 'MTD Pivot'!$D$3:$K$400), "")</f>
        <v/>
      </c>
      <c r="N59" s="157">
        <f>IF(AND(ISNUMBER(K59), ISNUMBER(J59), J59&gt;0), (K59-J59)/J59, "")</f>
        <v/>
      </c>
      <c r="O59" s="193">
        <f>IF(SUMPRODUCT((('Full month Pivot'!$B$3:$B$400=$A$51) + ('Full month Pivot'!$A$3:$A$400=$A$51) &gt; 0) * (TRIM('Full month Pivot'!$C$3:$C$400)=TRIM($A59)) * ('Full month Pivot'!$D$2:$K$2=O$2) * 'Full month Pivot'!$D$3:$K$400)&gt;0, SUMPRODUCT((('Full month Pivot'!$B$3:$B$400=$A$51) + ('Full month Pivot'!$A$3:$A$400=$A$51) &gt; 0) * (TRIM('Full month Pivot'!$C$3:$C$400)=TRIM($A59)) * ('Full month Pivot'!$D$2:$K$2=O$2) * 'Full month Pivot'!$D$3:$K$400), "")</f>
        <v/>
      </c>
      <c r="P59" s="193">
        <f>IF(SUMPRODUCT((('Full month Pivot'!$B$3:$B$400=$A$51) + ('Full month Pivot'!$A$3:$A$400=$A$51) &gt; 0) * (TRIM('Full month Pivot'!$C$3:$C$400)=TRIM($A59)) * ('Full month Pivot'!$D$2:$K$2=P$2) * 'Full month Pivot'!$D$3:$K$400)&gt;0, SUMPRODUCT((('Full month Pivot'!$B$3:$B$400=$A$51) + ('Full month Pivot'!$A$3:$A$400=$A$51) &gt; 0) * (TRIM('Full month Pivot'!$C$3:$C$400)=TRIM($A59)) * ('Full month Pivot'!$D$2:$K$2=P$2) * 'Full month Pivot'!$D$3:$K$400), "")</f>
        <v/>
      </c>
      <c r="Q59" s="193">
        <f>IF(SUMPRODUCT((('Full month Pivot'!$B$3:$B$400=$A$51) + ('Full month Pivot'!$A$3:$A$400=$A$51) &gt; 0) * (TRIM('Full month Pivot'!$C$3:$C$400)=TRIM($A59)) * ('Full month Pivot'!$D$2:$K$2=Q$2) * 'Full month Pivot'!$D$3:$K$400)&gt;0, SUMPRODUCT((('Full month Pivot'!$B$3:$B$400=$A$51) + ('Full month Pivot'!$A$3:$A$400=$A$51) &gt; 0) * (TRIM('Full month Pivot'!$C$3:$C$400)=TRIM($A59)) * ('Full month Pivot'!$D$2:$K$2=Q$2) * 'Full month Pivot'!$D$3:$K$400), "")</f>
        <v/>
      </c>
      <c r="R59" s="193">
        <f>IF(SUMPRODUCT((('Full month Pivot'!$B$3:$B$400=$A$51) + ('Full month Pivot'!$A$3:$A$400=$A$51) &gt; 0) * (TRIM('Full month Pivot'!$C$3:$C$400)=TRIM($A59)) * ('Full month Pivot'!$D$2:$K$2=R$2) * 'Full month Pivot'!$D$3:$K$400)&gt;0, SUMPRODUCT((('Full month Pivot'!$B$3:$B$400=$A$51) + ('Full month Pivot'!$A$3:$A$400=$A$51) &gt; 0) * (TRIM('Full month Pivot'!$C$3:$C$400)=TRIM($A59)) * ('Full month Pivot'!$D$2:$K$2=R$2) * 'Full month Pivot'!$D$3:$K$400), "")</f>
        <v/>
      </c>
      <c r="S59" s="193">
        <f>IF(SUMPRODUCT((('Full month Pivot'!$B$3:$B$400=$A$51) + ('Full month Pivot'!$A$3:$A$400=$A$51) &gt; 0) * (TRIM('Full month Pivot'!$C$3:$C$400)=TRIM($A59)) * ('Full month Pivot'!$D$2:$K$2=S$2) * 'Full month Pivot'!$D$3:$K$400)&gt;0, SUMPRODUCT((('Full month Pivot'!$B$3:$B$400=$A$51) + ('Full month Pivot'!$A$3:$A$400=$A$51) &gt; 0) * (TRIM('Full month Pivot'!$C$3:$C$400)=TRIM($A59)) * ('Full month Pivot'!$D$2:$K$2=S$2) * 'Full month Pivot'!$D$3:$K$400), "")</f>
        <v/>
      </c>
      <c r="T59" s="193">
        <f>IF(SUMPRODUCT((('Full month Pivot'!$B$3:$B$400=$A$51) + ('Full month Pivot'!$A$3:$A$400=$A$51) &gt; 0) * (TRIM('Full month Pivot'!$C$3:$C$400)=TRIM($A59)) * ('Full month Pivot'!$D$2:$K$2=T$2) * 'Full month Pivot'!$D$3:$K$400)&gt;0, SUMPRODUCT((('Full month Pivot'!$B$3:$B$400=$A$51) + ('Full month Pivot'!$A$3:$A$400=$A$51) &gt; 0) * (TRIM('Full month Pivot'!$C$3:$C$400)=TRIM($A59)) * ('Full month Pivot'!$D$2:$K$2=T$2) * 'Full month Pivot'!$D$3:$K$400), "")</f>
        <v/>
      </c>
      <c r="U59" s="193">
        <f>IF(SUMPRODUCT((('Full month Pivot'!$B$3:$B$400=$A$51) + ('Full month Pivot'!$A$3:$A$400=$A$51) &gt; 0) * (TRIM('Full month Pivot'!$C$3:$C$400)=TRIM($A59)) * ('Full month Pivot'!$D$2:$K$2=U$2) * 'Full month Pivot'!$D$3:$K$400)&gt;0, SUMPRODUCT((('Full month Pivot'!$B$3:$B$400=$A$51) + ('Full month Pivot'!$A$3:$A$400=$A$51) &gt; 0) * (TRIM('Full month Pivot'!$C$3:$C$400)=TRIM($A59)) * ('Full month Pivot'!$D$2:$K$2=U$2) * 'Full month Pivot'!$D$3:$K$400), "")</f>
        <v/>
      </c>
      <c r="V59" s="193">
        <f>IF(SUMPRODUCT((('Full month Pivot'!$B$3:$B$400=$A$51) + ('Full month Pivot'!$A$3:$A$400=$A$51) &gt; 0) * (TRIM('Full month Pivot'!$C$3:$C$400)=TRIM($A59)) * ('Full month Pivot'!$D$2:$K$2=V$2) * 'Full month Pivot'!$D$3:$K$400)&gt;0, SUMPRODUCT((('Full month Pivot'!$B$3:$B$400=$A$51) + ('Full month Pivot'!$A$3:$A$400=$A$51) &gt; 0) * (TRIM('Full month Pivot'!$C$3:$C$400)=TRIM($A59)) * ('Full month Pivot'!$D$2:$K$2=V$2) * 'Full month Pivot'!$D$3:$K$400), "")</f>
        <v/>
      </c>
      <c r="W59" s="193">
        <f>IF(SUMPRODUCT((('Full month Pivot'!$B$3:$B$400=$A$51) + ('Full month Pivot'!$A$3:$A$400=$A$51) &gt; 0) * (TRIM('Full month Pivot'!$C$3:$C$400)=TRIM($A59)) * ('Full month Pivot'!$D$2:$K$2=W$2) * 'Full month Pivot'!$D$3:$K$400)&gt;0, SUMPRODUCT((('Full month Pivot'!$B$3:$B$400=$A$51) + ('Full month Pivot'!$A$3:$A$400=$A$51) &gt; 0) * (TRIM('Full month Pivot'!$C$3:$C$400)=TRIM($A59)) * ('Full month Pivot'!$D$2:$K$2=W$2) * 'Full month Pivot'!$D$3:$K$400), "")</f>
        <v/>
      </c>
      <c r="X59" s="193">
        <f>IF(SUMPRODUCT((('Full month Pivot'!$B$3:$B$400=$A$51) + ('Full month Pivot'!$A$3:$A$400=$A$51) &gt; 0) * (TRIM('Full month Pivot'!$C$3:$C$400)=TRIM($A59)) * ('Full month Pivot'!$D$2:$K$2=X$2) * 'Full month Pivot'!$D$3:$K$400)&gt;0, SUMPRODUCT((('Full month Pivot'!$B$3:$B$400=$A$51) + ('Full month Pivot'!$A$3:$A$400=$A$51) &gt; 0) * (TRIM('Full month Pivot'!$C$3:$C$400)=TRIM($A59)) * ('Full month Pivot'!$D$2:$K$2=X$2) * 'Full month Pivot'!$D$3:$K$400), "")</f>
        <v/>
      </c>
      <c r="Y59" s="193">
        <f>IF(SUMPRODUCT((('Full month Pivot'!$B$3:$B$400=$A$51) + ('Full month Pivot'!$A$3:$A$400=$A$51) &gt; 0) * (TRIM('Full month Pivot'!$C$3:$C$400)=TRIM($A59)) * ('Full month Pivot'!$D$2:$K$2=Y$2) * 'Full month Pivot'!$D$3:$K$400)&gt;0, SUMPRODUCT((('Full month Pivot'!$B$3:$B$400=$A$51) + ('Full month Pivot'!$A$3:$A$400=$A$51) &gt; 0) * (TRIM('Full month Pivot'!$C$3:$C$400)=TRIM($A59)) * ('Full month Pivot'!$D$2:$K$2=Y$2) * 'Full month Pivot'!$D$3:$K$400), "")</f>
        <v/>
      </c>
      <c r="Z59" s="193">
        <f>IF(SUMPRODUCT((('Full month Pivot'!$B$3:$B$400=$A$51) + ('Full month Pivot'!$A$3:$A$400=$A$51) &gt; 0) * (TRIM('Full month Pivot'!$C$3:$C$400)=TRIM($A59)) * ('Full month Pivot'!$D$2:$K$2=Z$2) * 'Full month Pivot'!$D$3:$K$400)&gt;0, SUMPRODUCT((('Full month Pivot'!$B$3:$B$400=$A$51) + ('Full month Pivot'!$A$3:$A$400=$A$51) &gt; 0) * (TRIM('Full month Pivot'!$C$3:$C$400)=TRIM($A59)) * ('Full month Pivot'!$D$2:$K$2=Z$2) * 'Full month Pivot'!$D$3:$K$400), "")</f>
        <v/>
      </c>
      <c r="AA59" s="157">
        <f>IF(AND(ISNUMBER(X59), ISNUMBER(W59), W59&gt;0), (X59-W59)/W59, "")</f>
        <v/>
      </c>
      <c r="AB59" s="140" t="n"/>
      <c r="AC59" s="140" t="n"/>
      <c r="AD59" s="140" t="n"/>
    </row>
    <row r="60" ht="15.75" customHeight="1" s="346">
      <c r="A60" s="202" t="inlineStr">
        <is>
          <t xml:space="preserve">  Referral</t>
        </is>
      </c>
      <c r="B60" s="193">
        <f>IF(SUMPRODUCT((('MTD Pivot'!$B$3:$B$400=$A$51) + ('MTD Pivot'!$A$3:$A$400=$A$51) &gt; 0) * (TRIM('MTD Pivot'!$C$3:$C$400)=TRIM($A60)) * ('MTD Pivot'!$D$2:$K$2=B$2) * 'MTD Pivot'!$D$3:$K$400)&gt;0, SUMPRODUCT((('MTD Pivot'!$B$3:$B$400=$A$51) + ('MTD Pivot'!$A$3:$A$400=$A$51) &gt; 0) * (TRIM('MTD Pivot'!$C$3:$C$400)=TRIM($A60)) * ('MTD Pivot'!$D$2:$K$2=B$2) * 'MTD Pivot'!$D$3:$K$400), "")</f>
        <v/>
      </c>
      <c r="C60" s="193">
        <f>IF(SUMPRODUCT((('MTD Pivot'!$B$3:$B$400=$A$51) + ('MTD Pivot'!$A$3:$A$400=$A$51) &gt; 0) * (TRIM('MTD Pivot'!$C$3:$C$400)=TRIM($A60)) * ('MTD Pivot'!$D$2:$K$2=C$2) * 'MTD Pivot'!$D$3:$K$400)&gt;0, SUMPRODUCT((('MTD Pivot'!$B$3:$B$400=$A$51) + ('MTD Pivot'!$A$3:$A$400=$A$51) &gt; 0) * (TRIM('MTD Pivot'!$C$3:$C$400)=TRIM($A60)) * ('MTD Pivot'!$D$2:$K$2=C$2) * 'MTD Pivot'!$D$3:$K$400), "")</f>
        <v/>
      </c>
      <c r="D60" s="193">
        <f>IF(SUMPRODUCT((('MTD Pivot'!$B$3:$B$400=$A$51) + ('MTD Pivot'!$A$3:$A$400=$A$51) &gt; 0) * (TRIM('MTD Pivot'!$C$3:$C$400)=TRIM($A60)) * ('MTD Pivot'!$D$2:$K$2=D$2) * 'MTD Pivot'!$D$3:$K$400)&gt;0, SUMPRODUCT((('MTD Pivot'!$B$3:$B$400=$A$51) + ('MTD Pivot'!$A$3:$A$400=$A$51) &gt; 0) * (TRIM('MTD Pivot'!$C$3:$C$400)=TRIM($A60)) * ('MTD Pivot'!$D$2:$K$2=D$2) * 'MTD Pivot'!$D$3:$K$400), "")</f>
        <v/>
      </c>
      <c r="E60" s="193">
        <f>IF(SUMPRODUCT((('MTD Pivot'!$B$3:$B$400=$A$51) + ('MTD Pivot'!$A$3:$A$400=$A$51) &gt; 0) * (TRIM('MTD Pivot'!$C$3:$C$400)=TRIM($A60)) * ('MTD Pivot'!$D$2:$K$2=E$2) * 'MTD Pivot'!$D$3:$K$400)&gt;0, SUMPRODUCT((('MTD Pivot'!$B$3:$B$400=$A$51) + ('MTD Pivot'!$A$3:$A$400=$A$51) &gt; 0) * (TRIM('MTD Pivot'!$C$3:$C$400)=TRIM($A60)) * ('MTD Pivot'!$D$2:$K$2=E$2) * 'MTD Pivot'!$D$3:$K$400), "")</f>
        <v/>
      </c>
      <c r="F60" s="193">
        <f>IF(SUMPRODUCT((('MTD Pivot'!$B$3:$B$400=$A$51) + ('MTD Pivot'!$A$3:$A$400=$A$51) &gt; 0) * (TRIM('MTD Pivot'!$C$3:$C$400)=TRIM($A60)) * ('MTD Pivot'!$D$2:$K$2=F$2) * 'MTD Pivot'!$D$3:$K$400)&gt;0, SUMPRODUCT((('MTD Pivot'!$B$3:$B$400=$A$51) + ('MTD Pivot'!$A$3:$A$400=$A$51) &gt; 0) * (TRIM('MTD Pivot'!$C$3:$C$400)=TRIM($A60)) * ('MTD Pivot'!$D$2:$K$2=F$2) * 'MTD Pivot'!$D$3:$K$400), "")</f>
        <v/>
      </c>
      <c r="G60" s="193">
        <f>IF(SUMPRODUCT((('MTD Pivot'!$B$3:$B$400=$A$51) + ('MTD Pivot'!$A$3:$A$400=$A$51) &gt; 0) * (TRIM('MTD Pivot'!$C$3:$C$400)=TRIM($A60)) * ('MTD Pivot'!$D$2:$K$2=G$2) * 'MTD Pivot'!$D$3:$K$400)&gt;0, SUMPRODUCT((('MTD Pivot'!$B$3:$B$400=$A$51) + ('MTD Pivot'!$A$3:$A$400=$A$51) &gt; 0) * (TRIM('MTD Pivot'!$C$3:$C$400)=TRIM($A60)) * ('MTD Pivot'!$D$2:$K$2=G$2) * 'MTD Pivot'!$D$3:$K$400), "")</f>
        <v/>
      </c>
      <c r="H60" s="193">
        <f>IF(SUMPRODUCT((('MTD Pivot'!$B$3:$B$400=$A$51) + ('MTD Pivot'!$A$3:$A$400=$A$51) &gt; 0) * (TRIM('MTD Pivot'!$C$3:$C$400)=TRIM($A60)) * ('MTD Pivot'!$D$2:$K$2=H$2) * 'MTD Pivot'!$D$3:$K$400)&gt;0, SUMPRODUCT((('MTD Pivot'!$B$3:$B$400=$A$51) + ('MTD Pivot'!$A$3:$A$400=$A$51) &gt; 0) * (TRIM('MTD Pivot'!$C$3:$C$400)=TRIM($A60)) * ('MTD Pivot'!$D$2:$K$2=H$2) * 'MTD Pivot'!$D$3:$K$400), "")</f>
        <v/>
      </c>
      <c r="I60" s="193">
        <f>IF(SUMPRODUCT((('MTD Pivot'!$B$3:$B$400=$A$51) + ('MTD Pivot'!$A$3:$A$400=$A$51) &gt; 0) * (TRIM('MTD Pivot'!$C$3:$C$400)=TRIM($A60)) * ('MTD Pivot'!$D$2:$K$2=I$2) * 'MTD Pivot'!$D$3:$K$400)&gt;0, SUMPRODUCT((('MTD Pivot'!$B$3:$B$400=$A$51) + ('MTD Pivot'!$A$3:$A$400=$A$51) &gt; 0) * (TRIM('MTD Pivot'!$C$3:$C$400)=TRIM($A60)) * ('MTD Pivot'!$D$2:$K$2=I$2) * 'MTD Pivot'!$D$3:$K$400), "")</f>
        <v/>
      </c>
      <c r="J60" s="193">
        <f>IF(SUMPRODUCT((('MTD Pivot'!$B$3:$B$400=$A$51) + ('MTD Pivot'!$A$3:$A$400=$A$51) &gt; 0) * (TRIM('MTD Pivot'!$C$3:$C$400)=TRIM($A60)) * ('MTD Pivot'!$D$2:$K$2=J$2) * 'MTD Pivot'!$D$3:$K$400)&gt;0, SUMPRODUCT((('MTD Pivot'!$B$3:$B$400=$A$51) + ('MTD Pivot'!$A$3:$A$400=$A$51) &gt; 0) * (TRIM('MTD Pivot'!$C$3:$C$400)=TRIM($A60)) * ('MTD Pivot'!$D$2:$K$2=J$2) * 'MTD Pivot'!$D$3:$K$400), "")</f>
        <v/>
      </c>
      <c r="K60" s="193">
        <f>IF(SUMPRODUCT((('MTD Pivot'!$B$3:$B$400=$A$51) + ('MTD Pivot'!$A$3:$A$400=$A$51) &gt; 0) * (TRIM('MTD Pivot'!$C$3:$C$400)=TRIM($A60)) * ('MTD Pivot'!$D$2:$K$2=K$2) * 'MTD Pivot'!$D$3:$K$400)&gt;0, SUMPRODUCT((('MTD Pivot'!$B$3:$B$400=$A$51) + ('MTD Pivot'!$A$3:$A$400=$A$51) &gt; 0) * (TRIM('MTD Pivot'!$C$3:$C$400)=TRIM($A60)) * ('MTD Pivot'!$D$2:$K$2=K$2) * 'MTD Pivot'!$D$3:$K$400), "")</f>
        <v/>
      </c>
      <c r="L60" s="193">
        <f>IF(SUMPRODUCT((('MTD Pivot'!$B$3:$B$400=$A$51) + ('MTD Pivot'!$A$3:$A$400=$A$51) &gt; 0) * (TRIM('MTD Pivot'!$C$3:$C$400)=TRIM($A60)) * ('MTD Pivot'!$D$2:$K$2=L$2) * 'MTD Pivot'!$D$3:$K$400)&gt;0, SUMPRODUCT((('MTD Pivot'!$B$3:$B$400=$A$51) + ('MTD Pivot'!$A$3:$A$400=$A$51) &gt; 0) * (TRIM('MTD Pivot'!$C$3:$C$400)=TRIM($A60)) * ('MTD Pivot'!$D$2:$K$2=L$2) * 'MTD Pivot'!$D$3:$K$400), "")</f>
        <v/>
      </c>
      <c r="M60" s="193">
        <f>IF(SUMPRODUCT((('MTD Pivot'!$B$3:$B$400=$A$51) + ('MTD Pivot'!$A$3:$A$400=$A$51) &gt; 0) * (TRIM('MTD Pivot'!$C$3:$C$400)=TRIM($A60)) * ('MTD Pivot'!$D$2:$K$2=M$2) * 'MTD Pivot'!$D$3:$K$400)&gt;0, SUMPRODUCT((('MTD Pivot'!$B$3:$B$400=$A$51) + ('MTD Pivot'!$A$3:$A$400=$A$51) &gt; 0) * (TRIM('MTD Pivot'!$C$3:$C$400)=TRIM($A60)) * ('MTD Pivot'!$D$2:$K$2=M$2) * 'MTD Pivot'!$D$3:$K$400), "")</f>
        <v/>
      </c>
      <c r="N60" s="157">
        <f>IF(AND(ISNUMBER(K60), ISNUMBER(J60), J60&gt;0), (K60-J60)/J60, "")</f>
        <v/>
      </c>
      <c r="O60" s="193">
        <f>IF(SUMPRODUCT((('Full month Pivot'!$B$3:$B$400=$A$51) + ('Full month Pivot'!$A$3:$A$400=$A$51) &gt; 0) * (TRIM('Full month Pivot'!$C$3:$C$400)=TRIM($A60)) * ('Full month Pivot'!$D$2:$K$2=O$2) * 'Full month Pivot'!$D$3:$K$400)&gt;0, SUMPRODUCT((('Full month Pivot'!$B$3:$B$400=$A$51) + ('Full month Pivot'!$A$3:$A$400=$A$51) &gt; 0) * (TRIM('Full month Pivot'!$C$3:$C$400)=TRIM($A60)) * ('Full month Pivot'!$D$2:$K$2=O$2) * 'Full month Pivot'!$D$3:$K$400), "")</f>
        <v/>
      </c>
      <c r="P60" s="193">
        <f>IF(SUMPRODUCT((('Full month Pivot'!$B$3:$B$400=$A$51) + ('Full month Pivot'!$A$3:$A$400=$A$51) &gt; 0) * (TRIM('Full month Pivot'!$C$3:$C$400)=TRIM($A60)) * ('Full month Pivot'!$D$2:$K$2=P$2) * 'Full month Pivot'!$D$3:$K$400)&gt;0, SUMPRODUCT((('Full month Pivot'!$B$3:$B$400=$A$51) + ('Full month Pivot'!$A$3:$A$400=$A$51) &gt; 0) * (TRIM('Full month Pivot'!$C$3:$C$400)=TRIM($A60)) * ('Full month Pivot'!$D$2:$K$2=P$2) * 'Full month Pivot'!$D$3:$K$400), "")</f>
        <v/>
      </c>
      <c r="Q60" s="193">
        <f>IF(SUMPRODUCT((('Full month Pivot'!$B$3:$B$400=$A$51) + ('Full month Pivot'!$A$3:$A$400=$A$51) &gt; 0) * (TRIM('Full month Pivot'!$C$3:$C$400)=TRIM($A60)) * ('Full month Pivot'!$D$2:$K$2=Q$2) * 'Full month Pivot'!$D$3:$K$400)&gt;0, SUMPRODUCT((('Full month Pivot'!$B$3:$B$400=$A$51) + ('Full month Pivot'!$A$3:$A$400=$A$51) &gt; 0) * (TRIM('Full month Pivot'!$C$3:$C$400)=TRIM($A60)) * ('Full month Pivot'!$D$2:$K$2=Q$2) * 'Full month Pivot'!$D$3:$K$400), "")</f>
        <v/>
      </c>
      <c r="R60" s="193">
        <f>IF(SUMPRODUCT((('Full month Pivot'!$B$3:$B$400=$A$51) + ('Full month Pivot'!$A$3:$A$400=$A$51) &gt; 0) * (TRIM('Full month Pivot'!$C$3:$C$400)=TRIM($A60)) * ('Full month Pivot'!$D$2:$K$2=R$2) * 'Full month Pivot'!$D$3:$K$400)&gt;0, SUMPRODUCT((('Full month Pivot'!$B$3:$B$400=$A$51) + ('Full month Pivot'!$A$3:$A$400=$A$51) &gt; 0) * (TRIM('Full month Pivot'!$C$3:$C$400)=TRIM($A60)) * ('Full month Pivot'!$D$2:$K$2=R$2) * 'Full month Pivot'!$D$3:$K$400), "")</f>
        <v/>
      </c>
      <c r="S60" s="193">
        <f>IF(SUMPRODUCT((('Full month Pivot'!$B$3:$B$400=$A$51) + ('Full month Pivot'!$A$3:$A$400=$A$51) &gt; 0) * (TRIM('Full month Pivot'!$C$3:$C$400)=TRIM($A60)) * ('Full month Pivot'!$D$2:$K$2=S$2) * 'Full month Pivot'!$D$3:$K$400)&gt;0, SUMPRODUCT((('Full month Pivot'!$B$3:$B$400=$A$51) + ('Full month Pivot'!$A$3:$A$400=$A$51) &gt; 0) * (TRIM('Full month Pivot'!$C$3:$C$400)=TRIM($A60)) * ('Full month Pivot'!$D$2:$K$2=S$2) * 'Full month Pivot'!$D$3:$K$400), "")</f>
        <v/>
      </c>
      <c r="T60" s="193">
        <f>IF(SUMPRODUCT((('Full month Pivot'!$B$3:$B$400=$A$51) + ('Full month Pivot'!$A$3:$A$400=$A$51) &gt; 0) * (TRIM('Full month Pivot'!$C$3:$C$400)=TRIM($A60)) * ('Full month Pivot'!$D$2:$K$2=T$2) * 'Full month Pivot'!$D$3:$K$400)&gt;0, SUMPRODUCT((('Full month Pivot'!$B$3:$B$400=$A$51) + ('Full month Pivot'!$A$3:$A$400=$A$51) &gt; 0) * (TRIM('Full month Pivot'!$C$3:$C$400)=TRIM($A60)) * ('Full month Pivot'!$D$2:$K$2=T$2) * 'Full month Pivot'!$D$3:$K$400), "")</f>
        <v/>
      </c>
      <c r="U60" s="193">
        <f>IF(SUMPRODUCT((('Full month Pivot'!$B$3:$B$400=$A$51) + ('Full month Pivot'!$A$3:$A$400=$A$51) &gt; 0) * (TRIM('Full month Pivot'!$C$3:$C$400)=TRIM($A60)) * ('Full month Pivot'!$D$2:$K$2=U$2) * 'Full month Pivot'!$D$3:$K$400)&gt;0, SUMPRODUCT((('Full month Pivot'!$B$3:$B$400=$A$51) + ('Full month Pivot'!$A$3:$A$400=$A$51) &gt; 0) * (TRIM('Full month Pivot'!$C$3:$C$400)=TRIM($A60)) * ('Full month Pivot'!$D$2:$K$2=U$2) * 'Full month Pivot'!$D$3:$K$400), "")</f>
        <v/>
      </c>
      <c r="V60" s="193">
        <f>IF(SUMPRODUCT((('Full month Pivot'!$B$3:$B$400=$A$51) + ('Full month Pivot'!$A$3:$A$400=$A$51) &gt; 0) * (TRIM('Full month Pivot'!$C$3:$C$400)=TRIM($A60)) * ('Full month Pivot'!$D$2:$K$2=V$2) * 'Full month Pivot'!$D$3:$K$400)&gt;0, SUMPRODUCT((('Full month Pivot'!$B$3:$B$400=$A$51) + ('Full month Pivot'!$A$3:$A$400=$A$51) &gt; 0) * (TRIM('Full month Pivot'!$C$3:$C$400)=TRIM($A60)) * ('Full month Pivot'!$D$2:$K$2=V$2) * 'Full month Pivot'!$D$3:$K$400), "")</f>
        <v/>
      </c>
      <c r="W60" s="193">
        <f>IF(SUMPRODUCT((('Full month Pivot'!$B$3:$B$400=$A$51) + ('Full month Pivot'!$A$3:$A$400=$A$51) &gt; 0) * (TRIM('Full month Pivot'!$C$3:$C$400)=TRIM($A60)) * ('Full month Pivot'!$D$2:$K$2=W$2) * 'Full month Pivot'!$D$3:$K$400)&gt;0, SUMPRODUCT((('Full month Pivot'!$B$3:$B$400=$A$51) + ('Full month Pivot'!$A$3:$A$400=$A$51) &gt; 0) * (TRIM('Full month Pivot'!$C$3:$C$400)=TRIM($A60)) * ('Full month Pivot'!$D$2:$K$2=W$2) * 'Full month Pivot'!$D$3:$K$400), "")</f>
        <v/>
      </c>
      <c r="X60" s="193">
        <f>IF(SUMPRODUCT((('Full month Pivot'!$B$3:$B$400=$A$51) + ('Full month Pivot'!$A$3:$A$400=$A$51) &gt; 0) * (TRIM('Full month Pivot'!$C$3:$C$400)=TRIM($A60)) * ('Full month Pivot'!$D$2:$K$2=X$2) * 'Full month Pivot'!$D$3:$K$400)&gt;0, SUMPRODUCT((('Full month Pivot'!$B$3:$B$400=$A$51) + ('Full month Pivot'!$A$3:$A$400=$A$51) &gt; 0) * (TRIM('Full month Pivot'!$C$3:$C$400)=TRIM($A60)) * ('Full month Pivot'!$D$2:$K$2=X$2) * 'Full month Pivot'!$D$3:$K$400), "")</f>
        <v/>
      </c>
      <c r="Y60" s="193">
        <f>IF(SUMPRODUCT((('Full month Pivot'!$B$3:$B$400=$A$51) + ('Full month Pivot'!$A$3:$A$400=$A$51) &gt; 0) * (TRIM('Full month Pivot'!$C$3:$C$400)=TRIM($A60)) * ('Full month Pivot'!$D$2:$K$2=Y$2) * 'Full month Pivot'!$D$3:$K$400)&gt;0, SUMPRODUCT((('Full month Pivot'!$B$3:$B$400=$A$51) + ('Full month Pivot'!$A$3:$A$400=$A$51) &gt; 0) * (TRIM('Full month Pivot'!$C$3:$C$400)=TRIM($A60)) * ('Full month Pivot'!$D$2:$K$2=Y$2) * 'Full month Pivot'!$D$3:$K$400), "")</f>
        <v/>
      </c>
      <c r="Z60" s="193">
        <f>IF(SUMPRODUCT((('Full month Pivot'!$B$3:$B$400=$A$51) + ('Full month Pivot'!$A$3:$A$400=$A$51) &gt; 0) * (TRIM('Full month Pivot'!$C$3:$C$400)=TRIM($A60)) * ('Full month Pivot'!$D$2:$K$2=Z$2) * 'Full month Pivot'!$D$3:$K$400)&gt;0, SUMPRODUCT((('Full month Pivot'!$B$3:$B$400=$A$51) + ('Full month Pivot'!$A$3:$A$400=$A$51) &gt; 0) * (TRIM('Full month Pivot'!$C$3:$C$400)=TRIM($A60)) * ('Full month Pivot'!$D$2:$K$2=Z$2) * 'Full month Pivot'!$D$3:$K$400), "")</f>
        <v/>
      </c>
      <c r="AA60" s="157">
        <f>IF(AND(ISNUMBER(X60), ISNUMBER(W60), W60&gt;0), (X60-W60)/W60, "")</f>
        <v/>
      </c>
      <c r="AB60" s="140" t="n"/>
      <c r="AC60" s="140" t="n"/>
      <c r="AD60" s="140" t="n"/>
    </row>
    <row r="61" ht="15.75" customHeight="1" s="346">
      <c r="A61" s="202" t="inlineStr">
        <is>
          <t xml:space="preserve">  Others</t>
        </is>
      </c>
      <c r="B61" s="193">
        <f>IF(SUMPRODUCT((('MTD Pivot'!$B$3:$B$400=$A$51) + ('MTD Pivot'!$A$3:$A$400=$A$51) &gt; 0) * (TRIM('MTD Pivot'!$C$3:$C$400)=TRIM($A61)) * ('MTD Pivot'!$D$2:$K$2=B$2) * 'MTD Pivot'!$D$3:$K$400)&gt;0, SUMPRODUCT((('MTD Pivot'!$B$3:$B$400=$A$51) + ('MTD Pivot'!$A$3:$A$400=$A$51) &gt; 0) * (TRIM('MTD Pivot'!$C$3:$C$400)=TRIM($A61)) * ('MTD Pivot'!$D$2:$K$2=B$2) * 'MTD Pivot'!$D$3:$K$400), "")</f>
        <v/>
      </c>
      <c r="C61" s="193">
        <f>IF(SUMPRODUCT((('MTD Pivot'!$B$3:$B$400=$A$51) + ('MTD Pivot'!$A$3:$A$400=$A$51) &gt; 0) * (TRIM('MTD Pivot'!$C$3:$C$400)=TRIM($A61)) * ('MTD Pivot'!$D$2:$K$2=C$2) * 'MTD Pivot'!$D$3:$K$400)&gt;0, SUMPRODUCT((('MTD Pivot'!$B$3:$B$400=$A$51) + ('MTD Pivot'!$A$3:$A$400=$A$51) &gt; 0) * (TRIM('MTD Pivot'!$C$3:$C$400)=TRIM($A61)) * ('MTD Pivot'!$D$2:$K$2=C$2) * 'MTD Pivot'!$D$3:$K$400), "")</f>
        <v/>
      </c>
      <c r="D61" s="193">
        <f>IF(SUMPRODUCT((('MTD Pivot'!$B$3:$B$400=$A$51) + ('MTD Pivot'!$A$3:$A$400=$A$51) &gt; 0) * (TRIM('MTD Pivot'!$C$3:$C$400)=TRIM($A61)) * ('MTD Pivot'!$D$2:$K$2=D$2) * 'MTD Pivot'!$D$3:$K$400)&gt;0, SUMPRODUCT((('MTD Pivot'!$B$3:$B$400=$A$51) + ('MTD Pivot'!$A$3:$A$400=$A$51) &gt; 0) * (TRIM('MTD Pivot'!$C$3:$C$400)=TRIM($A61)) * ('MTD Pivot'!$D$2:$K$2=D$2) * 'MTD Pivot'!$D$3:$K$400), "")</f>
        <v/>
      </c>
      <c r="E61" s="193">
        <f>IF(SUMPRODUCT((('MTD Pivot'!$B$3:$B$400=$A$51) + ('MTD Pivot'!$A$3:$A$400=$A$51) &gt; 0) * (TRIM('MTD Pivot'!$C$3:$C$400)=TRIM($A61)) * ('MTD Pivot'!$D$2:$K$2=E$2) * 'MTD Pivot'!$D$3:$K$400)&gt;0, SUMPRODUCT((('MTD Pivot'!$B$3:$B$400=$A$51) + ('MTD Pivot'!$A$3:$A$400=$A$51) &gt; 0) * (TRIM('MTD Pivot'!$C$3:$C$400)=TRIM($A61)) * ('MTD Pivot'!$D$2:$K$2=E$2) * 'MTD Pivot'!$D$3:$K$400), "")</f>
        <v/>
      </c>
      <c r="F61" s="193">
        <f>IF(SUMPRODUCT((('MTD Pivot'!$B$3:$B$400=$A$51) + ('MTD Pivot'!$A$3:$A$400=$A$51) &gt; 0) * (TRIM('MTD Pivot'!$C$3:$C$400)=TRIM($A61)) * ('MTD Pivot'!$D$2:$K$2=F$2) * 'MTD Pivot'!$D$3:$K$400)&gt;0, SUMPRODUCT((('MTD Pivot'!$B$3:$B$400=$A$51) + ('MTD Pivot'!$A$3:$A$400=$A$51) &gt; 0) * (TRIM('MTD Pivot'!$C$3:$C$400)=TRIM($A61)) * ('MTD Pivot'!$D$2:$K$2=F$2) * 'MTD Pivot'!$D$3:$K$400), "")</f>
        <v/>
      </c>
      <c r="G61" s="193">
        <f>IF(SUMPRODUCT((('MTD Pivot'!$B$3:$B$400=$A$51) + ('MTD Pivot'!$A$3:$A$400=$A$51) &gt; 0) * (TRIM('MTD Pivot'!$C$3:$C$400)=TRIM($A61)) * ('MTD Pivot'!$D$2:$K$2=G$2) * 'MTD Pivot'!$D$3:$K$400)&gt;0, SUMPRODUCT((('MTD Pivot'!$B$3:$B$400=$A$51) + ('MTD Pivot'!$A$3:$A$400=$A$51) &gt; 0) * (TRIM('MTD Pivot'!$C$3:$C$400)=TRIM($A61)) * ('MTD Pivot'!$D$2:$K$2=G$2) * 'MTD Pivot'!$D$3:$K$400), "")</f>
        <v/>
      </c>
      <c r="H61" s="193">
        <f>IF(SUMPRODUCT((('MTD Pivot'!$B$3:$B$400=$A$51) + ('MTD Pivot'!$A$3:$A$400=$A$51) &gt; 0) * (TRIM('MTD Pivot'!$C$3:$C$400)=TRIM($A61)) * ('MTD Pivot'!$D$2:$K$2=H$2) * 'MTD Pivot'!$D$3:$K$400)&gt;0, SUMPRODUCT((('MTD Pivot'!$B$3:$B$400=$A$51) + ('MTD Pivot'!$A$3:$A$400=$A$51) &gt; 0) * (TRIM('MTD Pivot'!$C$3:$C$400)=TRIM($A61)) * ('MTD Pivot'!$D$2:$K$2=H$2) * 'MTD Pivot'!$D$3:$K$400), "")</f>
        <v/>
      </c>
      <c r="I61" s="193">
        <f>IF(SUMPRODUCT((('MTD Pivot'!$B$3:$B$400=$A$51) + ('MTD Pivot'!$A$3:$A$400=$A$51) &gt; 0) * (TRIM('MTD Pivot'!$C$3:$C$400)=TRIM($A61)) * ('MTD Pivot'!$D$2:$K$2=I$2) * 'MTD Pivot'!$D$3:$K$400)&gt;0, SUMPRODUCT((('MTD Pivot'!$B$3:$B$400=$A$51) + ('MTD Pivot'!$A$3:$A$400=$A$51) &gt; 0) * (TRIM('MTD Pivot'!$C$3:$C$400)=TRIM($A61)) * ('MTD Pivot'!$D$2:$K$2=I$2) * 'MTD Pivot'!$D$3:$K$400), "")</f>
        <v/>
      </c>
      <c r="J61" s="193">
        <f>IF(SUMPRODUCT((('MTD Pivot'!$B$3:$B$400=$A$51) + ('MTD Pivot'!$A$3:$A$400=$A$51) &gt; 0) * (TRIM('MTD Pivot'!$C$3:$C$400)=TRIM($A61)) * ('MTD Pivot'!$D$2:$K$2=J$2) * 'MTD Pivot'!$D$3:$K$400)&gt;0, SUMPRODUCT((('MTD Pivot'!$B$3:$B$400=$A$51) + ('MTD Pivot'!$A$3:$A$400=$A$51) &gt; 0) * (TRIM('MTD Pivot'!$C$3:$C$400)=TRIM($A61)) * ('MTD Pivot'!$D$2:$K$2=J$2) * 'MTD Pivot'!$D$3:$K$400), "")</f>
        <v/>
      </c>
      <c r="K61" s="193">
        <f>IF(SUMPRODUCT((('MTD Pivot'!$B$3:$B$400=$A$51) + ('MTD Pivot'!$A$3:$A$400=$A$51) &gt; 0) * (TRIM('MTD Pivot'!$C$3:$C$400)=TRIM($A61)) * ('MTD Pivot'!$D$2:$K$2=K$2) * 'MTD Pivot'!$D$3:$K$400)&gt;0, SUMPRODUCT((('MTD Pivot'!$B$3:$B$400=$A$51) + ('MTD Pivot'!$A$3:$A$400=$A$51) &gt; 0) * (TRIM('MTD Pivot'!$C$3:$C$400)=TRIM($A61)) * ('MTD Pivot'!$D$2:$K$2=K$2) * 'MTD Pivot'!$D$3:$K$400), "")</f>
        <v/>
      </c>
      <c r="L61" s="193">
        <f>IF(SUMPRODUCT((('MTD Pivot'!$B$3:$B$400=$A$51) + ('MTD Pivot'!$A$3:$A$400=$A$51) &gt; 0) * (TRIM('MTD Pivot'!$C$3:$C$400)=TRIM($A61)) * ('MTD Pivot'!$D$2:$K$2=L$2) * 'MTD Pivot'!$D$3:$K$400)&gt;0, SUMPRODUCT((('MTD Pivot'!$B$3:$B$400=$A$51) + ('MTD Pivot'!$A$3:$A$400=$A$51) &gt; 0) * (TRIM('MTD Pivot'!$C$3:$C$400)=TRIM($A61)) * ('MTD Pivot'!$D$2:$K$2=L$2) * 'MTD Pivot'!$D$3:$K$400), "")</f>
        <v/>
      </c>
      <c r="M61" s="193">
        <f>IF(SUMPRODUCT((('MTD Pivot'!$B$3:$B$400=$A$51) + ('MTD Pivot'!$A$3:$A$400=$A$51) &gt; 0) * (TRIM('MTD Pivot'!$C$3:$C$400)=TRIM($A61)) * ('MTD Pivot'!$D$2:$K$2=M$2) * 'MTD Pivot'!$D$3:$K$400)&gt;0, SUMPRODUCT((('MTD Pivot'!$B$3:$B$400=$A$51) + ('MTD Pivot'!$A$3:$A$400=$A$51) &gt; 0) * (TRIM('MTD Pivot'!$C$3:$C$400)=TRIM($A61)) * ('MTD Pivot'!$D$2:$K$2=M$2) * 'MTD Pivot'!$D$3:$K$400), "")</f>
        <v/>
      </c>
      <c r="N61" s="157">
        <f>IF(AND(ISNUMBER(K61), ISNUMBER(J61), J61&gt;0), (K61-J61)/J61, "")</f>
        <v/>
      </c>
      <c r="O61" s="193">
        <f>IF(SUMPRODUCT((('Full month Pivot'!$B$3:$B$400=$A$51) + ('Full month Pivot'!$A$3:$A$400=$A$51) &gt; 0) * (TRIM('Full month Pivot'!$C$3:$C$400)=TRIM($A61)) * ('Full month Pivot'!$D$2:$K$2=O$2) * 'Full month Pivot'!$D$3:$K$400)&gt;0, SUMPRODUCT((('Full month Pivot'!$B$3:$B$400=$A$51) + ('Full month Pivot'!$A$3:$A$400=$A$51) &gt; 0) * (TRIM('Full month Pivot'!$C$3:$C$400)=TRIM($A61)) * ('Full month Pivot'!$D$2:$K$2=O$2) * 'Full month Pivot'!$D$3:$K$400), "")</f>
        <v/>
      </c>
      <c r="P61" s="193">
        <f>IF(SUMPRODUCT((('Full month Pivot'!$B$3:$B$400=$A$51) + ('Full month Pivot'!$A$3:$A$400=$A$51) &gt; 0) * (TRIM('Full month Pivot'!$C$3:$C$400)=TRIM($A61)) * ('Full month Pivot'!$D$2:$K$2=P$2) * 'Full month Pivot'!$D$3:$K$400)&gt;0, SUMPRODUCT((('Full month Pivot'!$B$3:$B$400=$A$51) + ('Full month Pivot'!$A$3:$A$400=$A$51) &gt; 0) * (TRIM('Full month Pivot'!$C$3:$C$400)=TRIM($A61)) * ('Full month Pivot'!$D$2:$K$2=P$2) * 'Full month Pivot'!$D$3:$K$400), "")</f>
        <v/>
      </c>
      <c r="Q61" s="193">
        <f>IF(SUMPRODUCT((('Full month Pivot'!$B$3:$B$400=$A$51) + ('Full month Pivot'!$A$3:$A$400=$A$51) &gt; 0) * (TRIM('Full month Pivot'!$C$3:$C$400)=TRIM($A61)) * ('Full month Pivot'!$D$2:$K$2=Q$2) * 'Full month Pivot'!$D$3:$K$400)&gt;0, SUMPRODUCT((('Full month Pivot'!$B$3:$B$400=$A$51) + ('Full month Pivot'!$A$3:$A$400=$A$51) &gt; 0) * (TRIM('Full month Pivot'!$C$3:$C$400)=TRIM($A61)) * ('Full month Pivot'!$D$2:$K$2=Q$2) * 'Full month Pivot'!$D$3:$K$400), "")</f>
        <v/>
      </c>
      <c r="R61" s="193">
        <f>IF(SUMPRODUCT((('Full month Pivot'!$B$3:$B$400=$A$51) + ('Full month Pivot'!$A$3:$A$400=$A$51) &gt; 0) * (TRIM('Full month Pivot'!$C$3:$C$400)=TRIM($A61)) * ('Full month Pivot'!$D$2:$K$2=R$2) * 'Full month Pivot'!$D$3:$K$400)&gt;0, SUMPRODUCT((('Full month Pivot'!$B$3:$B$400=$A$51) + ('Full month Pivot'!$A$3:$A$400=$A$51) &gt; 0) * (TRIM('Full month Pivot'!$C$3:$C$400)=TRIM($A61)) * ('Full month Pivot'!$D$2:$K$2=R$2) * 'Full month Pivot'!$D$3:$K$400), "")</f>
        <v/>
      </c>
      <c r="S61" s="193">
        <f>IF(SUMPRODUCT((('Full month Pivot'!$B$3:$B$400=$A$51) + ('Full month Pivot'!$A$3:$A$400=$A$51) &gt; 0) * (TRIM('Full month Pivot'!$C$3:$C$400)=TRIM($A61)) * ('Full month Pivot'!$D$2:$K$2=S$2) * 'Full month Pivot'!$D$3:$K$400)&gt;0, SUMPRODUCT((('Full month Pivot'!$B$3:$B$400=$A$51) + ('Full month Pivot'!$A$3:$A$400=$A$51) &gt; 0) * (TRIM('Full month Pivot'!$C$3:$C$400)=TRIM($A61)) * ('Full month Pivot'!$D$2:$K$2=S$2) * 'Full month Pivot'!$D$3:$K$400), "")</f>
        <v/>
      </c>
      <c r="T61" s="193">
        <f>IF(SUMPRODUCT((('Full month Pivot'!$B$3:$B$400=$A$51) + ('Full month Pivot'!$A$3:$A$400=$A$51) &gt; 0) * (TRIM('Full month Pivot'!$C$3:$C$400)=TRIM($A61)) * ('Full month Pivot'!$D$2:$K$2=T$2) * 'Full month Pivot'!$D$3:$K$400)&gt;0, SUMPRODUCT((('Full month Pivot'!$B$3:$B$400=$A$51) + ('Full month Pivot'!$A$3:$A$400=$A$51) &gt; 0) * (TRIM('Full month Pivot'!$C$3:$C$400)=TRIM($A61)) * ('Full month Pivot'!$D$2:$K$2=T$2) * 'Full month Pivot'!$D$3:$K$400), "")</f>
        <v/>
      </c>
      <c r="U61" s="193">
        <f>IF(SUMPRODUCT((('Full month Pivot'!$B$3:$B$400=$A$51) + ('Full month Pivot'!$A$3:$A$400=$A$51) &gt; 0) * (TRIM('Full month Pivot'!$C$3:$C$400)=TRIM($A61)) * ('Full month Pivot'!$D$2:$K$2=U$2) * 'Full month Pivot'!$D$3:$K$400)&gt;0, SUMPRODUCT((('Full month Pivot'!$B$3:$B$400=$A$51) + ('Full month Pivot'!$A$3:$A$400=$A$51) &gt; 0) * (TRIM('Full month Pivot'!$C$3:$C$400)=TRIM($A61)) * ('Full month Pivot'!$D$2:$K$2=U$2) * 'Full month Pivot'!$D$3:$K$400), "")</f>
        <v/>
      </c>
      <c r="V61" s="193">
        <f>IF(SUMPRODUCT((('Full month Pivot'!$B$3:$B$400=$A$51) + ('Full month Pivot'!$A$3:$A$400=$A$51) &gt; 0) * (TRIM('Full month Pivot'!$C$3:$C$400)=TRIM($A61)) * ('Full month Pivot'!$D$2:$K$2=V$2) * 'Full month Pivot'!$D$3:$K$400)&gt;0, SUMPRODUCT((('Full month Pivot'!$B$3:$B$400=$A$51) + ('Full month Pivot'!$A$3:$A$400=$A$51) &gt; 0) * (TRIM('Full month Pivot'!$C$3:$C$400)=TRIM($A61)) * ('Full month Pivot'!$D$2:$K$2=V$2) * 'Full month Pivot'!$D$3:$K$400), "")</f>
        <v/>
      </c>
      <c r="W61" s="193">
        <f>IF(SUMPRODUCT((('Full month Pivot'!$B$3:$B$400=$A$51) + ('Full month Pivot'!$A$3:$A$400=$A$51) &gt; 0) * (TRIM('Full month Pivot'!$C$3:$C$400)=TRIM($A61)) * ('Full month Pivot'!$D$2:$K$2=W$2) * 'Full month Pivot'!$D$3:$K$400)&gt;0, SUMPRODUCT((('Full month Pivot'!$B$3:$B$400=$A$51) + ('Full month Pivot'!$A$3:$A$400=$A$51) &gt; 0) * (TRIM('Full month Pivot'!$C$3:$C$400)=TRIM($A61)) * ('Full month Pivot'!$D$2:$K$2=W$2) * 'Full month Pivot'!$D$3:$K$400), "")</f>
        <v/>
      </c>
      <c r="X61" s="193">
        <f>IF(SUMPRODUCT((('Full month Pivot'!$B$3:$B$400=$A$51) + ('Full month Pivot'!$A$3:$A$400=$A$51) &gt; 0) * (TRIM('Full month Pivot'!$C$3:$C$400)=TRIM($A61)) * ('Full month Pivot'!$D$2:$K$2=X$2) * 'Full month Pivot'!$D$3:$K$400)&gt;0, SUMPRODUCT((('Full month Pivot'!$B$3:$B$400=$A$51) + ('Full month Pivot'!$A$3:$A$400=$A$51) &gt; 0) * (TRIM('Full month Pivot'!$C$3:$C$400)=TRIM($A61)) * ('Full month Pivot'!$D$2:$K$2=X$2) * 'Full month Pivot'!$D$3:$K$400), "")</f>
        <v/>
      </c>
      <c r="Y61" s="193">
        <f>IF(SUMPRODUCT((('Full month Pivot'!$B$3:$B$400=$A$51) + ('Full month Pivot'!$A$3:$A$400=$A$51) &gt; 0) * (TRIM('Full month Pivot'!$C$3:$C$400)=TRIM($A61)) * ('Full month Pivot'!$D$2:$K$2=Y$2) * 'Full month Pivot'!$D$3:$K$400)&gt;0, SUMPRODUCT((('Full month Pivot'!$B$3:$B$400=$A$51) + ('Full month Pivot'!$A$3:$A$400=$A$51) &gt; 0) * (TRIM('Full month Pivot'!$C$3:$C$400)=TRIM($A61)) * ('Full month Pivot'!$D$2:$K$2=Y$2) * 'Full month Pivot'!$D$3:$K$400), "")</f>
        <v/>
      </c>
      <c r="Z61" s="193">
        <f>IF(SUMPRODUCT((('Full month Pivot'!$B$3:$B$400=$A$51) + ('Full month Pivot'!$A$3:$A$400=$A$51) &gt; 0) * (TRIM('Full month Pivot'!$C$3:$C$400)=TRIM($A61)) * ('Full month Pivot'!$D$2:$K$2=Z$2) * 'Full month Pivot'!$D$3:$K$400)&gt;0, SUMPRODUCT((('Full month Pivot'!$B$3:$B$400=$A$51) + ('Full month Pivot'!$A$3:$A$400=$A$51) &gt; 0) * (TRIM('Full month Pivot'!$C$3:$C$400)=TRIM($A61)) * ('Full month Pivot'!$D$2:$K$2=Z$2) * 'Full month Pivot'!$D$3:$K$400), "")</f>
        <v/>
      </c>
      <c r="AA61" s="157">
        <f>IF(AND(ISNUMBER(X61), ISNUMBER(W61), W61&gt;0), (X61-W61)/W61, "")</f>
        <v/>
      </c>
      <c r="AB61" s="140" t="n"/>
      <c r="AC61" s="140" t="n"/>
      <c r="AD61" s="140" t="n"/>
    </row>
    <row r="62" ht="15.75" customHeight="1" s="346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140" t="n"/>
      <c r="AC62" s="140" t="n"/>
      <c r="AD62" s="140" t="n"/>
    </row>
    <row r="63" ht="15.75" customHeight="1" s="346">
      <c r="A63" s="145" t="inlineStr">
        <is>
          <t>Tiktok</t>
        </is>
      </c>
      <c r="B63" s="145" t="n"/>
      <c r="C63" s="145" t="n"/>
      <c r="D63" s="145" t="n"/>
      <c r="E63" s="145" t="n"/>
      <c r="F63" s="145" t="n"/>
      <c r="G63" s="145" t="n"/>
      <c r="H63" s="145" t="n"/>
      <c r="I63" s="145" t="n"/>
      <c r="J63" s="145" t="n"/>
      <c r="K63" s="145" t="n"/>
      <c r="L63" s="145" t="n"/>
      <c r="M63" s="145" t="n"/>
      <c r="N63" s="145" t="n"/>
      <c r="O63" s="145" t="n"/>
      <c r="P63" s="145" t="n"/>
      <c r="Q63" s="145" t="n"/>
      <c r="R63" s="145" t="n"/>
      <c r="S63" s="145" t="n"/>
      <c r="T63" s="145" t="n"/>
      <c r="U63" s="145" t="n"/>
      <c r="V63" s="145" t="n"/>
      <c r="W63" s="145" t="n"/>
      <c r="X63" s="145" t="n"/>
      <c r="Y63" s="145" t="n"/>
      <c r="Z63" s="145" t="n"/>
      <c r="AA63" s="145" t="n"/>
      <c r="AB63" s="140" t="n"/>
      <c r="AC63" s="140" t="n"/>
      <c r="AD63" s="140" t="n"/>
    </row>
    <row r="64" ht="15.75" customHeight="1" s="346">
      <c r="A64" s="146" t="inlineStr">
        <is>
          <t>Page views</t>
        </is>
      </c>
      <c r="B64" s="147">
        <f>IF(SUM(B69:B73)&gt;0, SUM(B69:B73), "")</f>
        <v/>
      </c>
      <c r="C64" s="147">
        <f>IF(SUM(C69:C73)&gt;0, SUM(C69:C73), "")</f>
        <v/>
      </c>
      <c r="D64" s="147">
        <f>IF(SUM(D69:D73)&gt;0, SUM(D69:D73), "")</f>
        <v/>
      </c>
      <c r="E64" s="147">
        <f>IF(SUM(E69:E73)&gt;0, SUM(E69:E73), "")</f>
        <v/>
      </c>
      <c r="F64" s="147">
        <f>IF(SUM(F69:F73)&gt;0, SUM(F69:F73), "")</f>
        <v/>
      </c>
      <c r="G64" s="147">
        <f>IF(SUM(G69:G73)&gt;0, SUM(G69:G73), "")</f>
        <v/>
      </c>
      <c r="H64" s="147">
        <f>IF(SUM(H69:H73)&gt;0, SUM(H69:H73), "")</f>
        <v/>
      </c>
      <c r="I64" s="147">
        <f>IF(SUM(I69:I73)&gt;0, SUM(I69:I73), "")</f>
        <v/>
      </c>
      <c r="J64" s="147">
        <f>IF(SUM(J69:J73)&gt;0, SUM(J69:J73), "")</f>
        <v/>
      </c>
      <c r="K64" s="147">
        <f>IF(SUM(K69:K73)&gt;0, SUM(K69:K73), "")</f>
        <v/>
      </c>
      <c r="L64" s="147">
        <f>IF(SUM(L69:L73)&gt;0, SUM(L69:L73), "")</f>
        <v/>
      </c>
      <c r="M64" s="147">
        <f>IF(SUM(M69:M73)&gt;0, SUM(M69:M73), "")</f>
        <v/>
      </c>
      <c r="N64" s="148">
        <f>IFERROR((K64-J64)/J64, "")</f>
        <v/>
      </c>
      <c r="O64" s="147">
        <f>IF(SUM(O69:O73)&gt;0, SUM(O69:O73), "")</f>
        <v/>
      </c>
      <c r="P64" s="147">
        <f>IF(SUM(P69:P73)&gt;0, SUM(P69:P73), "")</f>
        <v/>
      </c>
      <c r="Q64" s="147">
        <f>IF(SUM(Q69:Q73)&gt;0, SUM(Q69:Q73), "")</f>
        <v/>
      </c>
      <c r="R64" s="147">
        <f>IF(SUM(R69:R73)&gt;0, SUM(R69:R73), "")</f>
        <v/>
      </c>
      <c r="S64" s="147">
        <f>IF(SUM(S69:S73)&gt;0, SUM(S69:S73), "")</f>
        <v/>
      </c>
      <c r="T64" s="147">
        <f>IF(SUM(T69:T73)&gt;0, SUM(T69:T73), "")</f>
        <v/>
      </c>
      <c r="U64" s="147">
        <f>IF(SUM(U69:U73)&gt;0, SUM(U69:U73), "")</f>
        <v/>
      </c>
      <c r="V64" s="147">
        <f>IF(SUM(V69:V73)&gt;0, SUM(V69:V73), "")</f>
        <v/>
      </c>
      <c r="W64" s="147">
        <f>IF(SUM(W69:W73)&gt;0, SUM(W69:W73), "")</f>
        <v/>
      </c>
      <c r="X64" s="147">
        <f>IF(SUM(X69:X73)&gt;0, SUM(X69:X73), "")</f>
        <v/>
      </c>
      <c r="Y64" s="147">
        <f>IF(SUM(Y69:Y73)&gt;0, SUM(Y69:Y73), "")</f>
        <v/>
      </c>
      <c r="Z64" s="147">
        <f>IF(SUM(Z69:Z73)&gt;0, SUM(Z69:Z73), "")</f>
        <v/>
      </c>
      <c r="AA64" s="148">
        <f>IFERROR((X64-W64)/W64, "")</f>
        <v/>
      </c>
      <c r="AB64" s="140" t="n"/>
      <c r="AC64" s="140" t="n"/>
      <c r="AD64" s="140" t="n"/>
    </row>
    <row r="65" ht="15.75" customHeight="1" s="346">
      <c r="A65" s="150" t="inlineStr">
        <is>
          <t xml:space="preserve">  Click CTA</t>
        </is>
      </c>
      <c r="B65" s="150" t="n"/>
      <c r="C65" s="150" t="n"/>
      <c r="D65" s="150" t="n"/>
      <c r="E65" s="150" t="n"/>
      <c r="F65" s="150" t="n">
        <v>1414</v>
      </c>
      <c r="G65" s="150" t="n">
        <v>164</v>
      </c>
      <c r="H65" s="150" t="n">
        <v>1647</v>
      </c>
      <c r="I65" s="150" t="n">
        <v>5715</v>
      </c>
      <c r="J65" s="150" t="n">
        <v>6824</v>
      </c>
      <c r="K65" s="150" t="n">
        <v>5819</v>
      </c>
      <c r="L65" s="150" t="n"/>
      <c r="M65" s="150" t="n"/>
      <c r="N65" s="151">
        <f>IFERROR((K65-J65)/J65, "")</f>
        <v/>
      </c>
      <c r="O65" s="150" t="n"/>
      <c r="P65" s="150" t="n"/>
      <c r="Q65" s="150" t="n"/>
      <c r="R65" s="150" t="n"/>
      <c r="S65" s="150" t="n">
        <v>1445</v>
      </c>
      <c r="T65" s="150" t="n">
        <v>174</v>
      </c>
      <c r="U65" s="150" t="n">
        <v>2254</v>
      </c>
      <c r="V65" s="150" t="n">
        <v>6168</v>
      </c>
      <c r="W65" s="150" t="n">
        <v>7237</v>
      </c>
      <c r="X65" s="150" t="n">
        <v>5819</v>
      </c>
      <c r="Y65" s="150" t="n"/>
      <c r="Z65" s="150" t="n"/>
      <c r="AA65" s="151">
        <f>IFERROR((X65-W65)/W65, "")</f>
        <v/>
      </c>
      <c r="AB65" s="140" t="n"/>
      <c r="AC65" s="140" t="n"/>
      <c r="AD65" s="140" t="n"/>
    </row>
    <row r="66" ht="15.75" customHeight="1" s="346">
      <c r="A66" s="152" t="inlineStr">
        <is>
          <t xml:space="preserve">  Net change</t>
        </is>
      </c>
      <c r="B66" s="153" t="n"/>
      <c r="C66" s="153">
        <f>IF(AND(ISNUMBER(C64), ISNUMBER(B64), B64&gt;0, C64&gt;0), C64-B64, "")</f>
        <v/>
      </c>
      <c r="D66" s="153">
        <f>IF(AND(ISNUMBER(D64), ISNUMBER(C64), C64&gt;0, D64&gt;0), D64-C64, "")</f>
        <v/>
      </c>
      <c r="E66" s="153">
        <f>IF(AND(ISNUMBER(E64), ISNUMBER(D64), D64&gt;0, E64&gt;0), E64-D64, "")</f>
        <v/>
      </c>
      <c r="F66" s="153">
        <f>IF(AND(ISNUMBER(F64), ISNUMBER(E64), E64&gt;0, F64&gt;0), F64-E64, "")</f>
        <v/>
      </c>
      <c r="G66" s="153">
        <f>IF(AND(ISNUMBER(G64), ISNUMBER(F64), F64&gt;0, G64&gt;0), G64-F64, "")</f>
        <v/>
      </c>
      <c r="H66" s="153">
        <f>IF(AND(ISNUMBER(H64), ISNUMBER(G64), G64&gt;0, H64&gt;0), H64-G64, "")</f>
        <v/>
      </c>
      <c r="I66" s="153">
        <f>IF(AND(ISNUMBER(I64), ISNUMBER(H64), H64&gt;0, I64&gt;0), I64-H64, "")</f>
        <v/>
      </c>
      <c r="J66" s="153">
        <f>IF(AND(ISNUMBER(J64), ISNUMBER(I64), I64&gt;0, J64&gt;0), J64-I64, "")</f>
        <v/>
      </c>
      <c r="K66" s="153">
        <f>IF(AND(ISNUMBER(K64), ISNUMBER(J64), J64&gt;0, K64&gt;0), K64-J64, "")</f>
        <v/>
      </c>
      <c r="L66" s="153">
        <f>IF(AND(ISNUMBER(L64), ISNUMBER(K64), K64&gt;0, L64&gt;0), L64-K64, "")</f>
        <v/>
      </c>
      <c r="M66" s="153">
        <f>IF(AND(ISNUMBER(M64), ISNUMBER(L64), L64&gt;0, M64&gt;0), M64-L64, "")</f>
        <v/>
      </c>
      <c r="N66" s="153" t="n"/>
      <c r="O66" s="153" t="n"/>
      <c r="P66" s="153">
        <f>IF(AND(ISNUMBER(P64), ISNUMBER(O64), O64&gt;0, P64&gt;0), P64-O64, "")</f>
        <v/>
      </c>
      <c r="Q66" s="153">
        <f>IF(AND(ISNUMBER(Q64), ISNUMBER(P64), P64&gt;0, Q64&gt;0), Q64-P64, "")</f>
        <v/>
      </c>
      <c r="R66" s="153">
        <f>IF(AND(ISNUMBER(R64), ISNUMBER(Q64), Q64&gt;0, R64&gt;0), R64-Q64, "")</f>
        <v/>
      </c>
      <c r="S66" s="153">
        <f>IF(AND(ISNUMBER(S64), ISNUMBER(R64), R64&gt;0, S64&gt;0), S64-R64, "")</f>
        <v/>
      </c>
      <c r="T66" s="153">
        <f>IF(AND(ISNUMBER(T64), ISNUMBER(S64), S64&gt;0, T64&gt;0), T64-S64, "")</f>
        <v/>
      </c>
      <c r="U66" s="153">
        <f>IF(AND(ISNUMBER(U64), ISNUMBER(T64), T64&gt;0, U64&gt;0), U64-T64, "")</f>
        <v/>
      </c>
      <c r="V66" s="153">
        <f>IF(AND(ISNUMBER(V64), ISNUMBER(U64), U64&gt;0, V64&gt;0), V64-U64, "")</f>
        <v/>
      </c>
      <c r="W66" s="153">
        <f>IF(AND(ISNUMBER(W64), ISNUMBER(V64), V64&gt;0, W64&gt;0), W64-V64, "")</f>
        <v/>
      </c>
      <c r="X66" s="153">
        <f>IF(AND(ISNUMBER(X64), ISNUMBER(W64), W64&gt;0, X64&gt;0), X64-W64, "")</f>
        <v/>
      </c>
      <c r="Y66" s="153">
        <f>IF(AND(ISNUMBER(Y64), ISNUMBER(X64), X64&gt;0, Y64&gt;0), Y64-X64, "")</f>
        <v/>
      </c>
      <c r="Z66" s="153">
        <f>IF(AND(ISNUMBER(Z64), ISNUMBER(Y64), Y64&gt;0, Z64&gt;0), Z64-Y64, "")</f>
        <v/>
      </c>
      <c r="AA66" s="153" t="n"/>
      <c r="AB66" s="140" t="n"/>
      <c r="AC66" s="140" t="n"/>
      <c r="AD66" s="140" t="n"/>
    </row>
    <row r="67" ht="15.75" customHeight="1" s="346">
      <c r="A67" s="152" t="inlineStr">
        <is>
          <t xml:space="preserve">  % Growth rate</t>
        </is>
      </c>
      <c r="B67" s="203" t="n"/>
      <c r="C67" s="203">
        <f>IF(AND(ISNUMBER(C64), ISNUMBER(B64), B64&gt;0, C64&gt;0), (C64-B64)/B64, "")</f>
        <v/>
      </c>
      <c r="D67" s="203">
        <f>IF(AND(ISNUMBER(D64), ISNUMBER(C64), C64&gt;0, D64&gt;0), (D64-C64)/C64, "")</f>
        <v/>
      </c>
      <c r="E67" s="203">
        <f>IF(AND(ISNUMBER(E64), ISNUMBER(D64), D64&gt;0, E64&gt;0), (E64-D64)/D64, "")</f>
        <v/>
      </c>
      <c r="F67" s="203">
        <f>IF(AND(ISNUMBER(F64), ISNUMBER(E64), E64&gt;0, F64&gt;0), (F64-E64)/E64, "")</f>
        <v/>
      </c>
      <c r="G67" s="203">
        <f>IF(AND(ISNUMBER(G64), ISNUMBER(F64), F64&gt;0, G64&gt;0), (G64-F64)/F64, "")</f>
        <v/>
      </c>
      <c r="H67" s="203">
        <f>IF(AND(ISNUMBER(H64), ISNUMBER(G64), G64&gt;0, H64&gt;0), (H64-G64)/G64, "")</f>
        <v/>
      </c>
      <c r="I67" s="203">
        <f>IF(AND(ISNUMBER(I64), ISNUMBER(H64), H64&gt;0, I64&gt;0), (I64-H64)/H64, "")</f>
        <v/>
      </c>
      <c r="J67" s="203">
        <f>IF(AND(ISNUMBER(J64), ISNUMBER(I64), I64&gt;0, J64&gt;0), (J64-I64)/I64, "")</f>
        <v/>
      </c>
      <c r="K67" s="203">
        <f>IF(AND(ISNUMBER(K64), ISNUMBER(J64), J64&gt;0, K64&gt;0), (K64-J64)/J64, "")</f>
        <v/>
      </c>
      <c r="L67" s="203">
        <f>IF(AND(ISNUMBER(L64), ISNUMBER(K64), K64&gt;0, L64&gt;0), (L64-K64)/K64, "")</f>
        <v/>
      </c>
      <c r="M67" s="203">
        <f>IF(AND(ISNUMBER(M64), ISNUMBER(L64), L64&gt;0, M64&gt;0), (M64-L64)/L64, "")</f>
        <v/>
      </c>
      <c r="N67" s="203" t="n"/>
      <c r="O67" s="203" t="n"/>
      <c r="P67" s="203">
        <f>IF(AND(ISNUMBER(P64), ISNUMBER(O64), O64&gt;0, P64&gt;0), (P64-O64)/O64, "")</f>
        <v/>
      </c>
      <c r="Q67" s="203">
        <f>IF(AND(ISNUMBER(Q64), ISNUMBER(P64), P64&gt;0, Q64&gt;0), (Q64-P64)/P64, "")</f>
        <v/>
      </c>
      <c r="R67" s="203">
        <f>IF(AND(ISNUMBER(R64), ISNUMBER(Q64), Q64&gt;0, R64&gt;0), (R64-Q64)/Q64, "")</f>
        <v/>
      </c>
      <c r="S67" s="203">
        <f>IF(AND(ISNUMBER(S64), ISNUMBER(R64), R64&gt;0, S64&gt;0), (S64-R64)/R64, "")</f>
        <v/>
      </c>
      <c r="T67" s="203">
        <f>IF(AND(ISNUMBER(T64), ISNUMBER(S64), S64&gt;0, T64&gt;0), (T64-S64)/S64, "")</f>
        <v/>
      </c>
      <c r="U67" s="203">
        <f>IF(AND(ISNUMBER(U64), ISNUMBER(T64), T64&gt;0, U64&gt;0), (U64-T64)/T64, "")</f>
        <v/>
      </c>
      <c r="V67" s="203">
        <f>IF(AND(ISNUMBER(V64), ISNUMBER(U64), U64&gt;0, V64&gt;0), (V64-U64)/U64, "")</f>
        <v/>
      </c>
      <c r="W67" s="203">
        <f>IF(AND(ISNUMBER(W64), ISNUMBER(V64), V64&gt;0, W64&gt;0), (W64-V64)/V64, "")</f>
        <v/>
      </c>
      <c r="X67" s="203">
        <f>IF(AND(ISNUMBER(X64), ISNUMBER(W64), W64&gt;0, X64&gt;0), (X64-W64)/W64, "")</f>
        <v/>
      </c>
      <c r="Y67" s="203">
        <f>IF(AND(ISNUMBER(Y64), ISNUMBER(X64), X64&gt;0, Y64&gt;0), (Y64-X64)/X64, "")</f>
        <v/>
      </c>
      <c r="Z67" s="203">
        <f>IF(AND(ISNUMBER(Z64), ISNUMBER(Y64), Y64&gt;0, Z64&gt;0), (Z64-Y64)/Y64, "")</f>
        <v/>
      </c>
      <c r="AA67" s="203" t="n"/>
      <c r="AB67" s="140" t="n"/>
      <c r="AC67" s="140" t="n"/>
      <c r="AD67" s="140" t="n"/>
    </row>
    <row r="68" ht="15.75" customHeight="1" s="346">
      <c r="A68" s="202" t="inlineStr">
        <is>
          <t>Tỷ trọng trong tổng traffic</t>
        </is>
      </c>
      <c r="B68" s="156">
        <f t="array" ref="B68">IF(AND(ISNUMBER(B64), B64&gt;0), B64/INDEX('MTD Pivot'!$D$3:$K$400, MATCH("Grand Total", 'MTD Pivot'!$A$3:$A$400, 0), MATCH(B$2, 'MTD Pivot'!$D$2:$K$2, 0)), "")</f>
        <v/>
      </c>
      <c r="C68" s="156">
        <f t="array" ref="C68">IF(AND(ISNUMBER(C64), C64&gt;0), C64/INDEX('MTD Pivot'!$D$3:$K$400, MATCH("Grand Total", 'MTD Pivot'!$A$3:$A$400, 0), MATCH(C$2, 'MTD Pivot'!$D$2:$K$2, 0)), "")</f>
        <v/>
      </c>
      <c r="D68" s="156">
        <f t="array" ref="D68">IF(AND(ISNUMBER(D64), D64&gt;0), D64/INDEX('MTD Pivot'!$D$3:$K$400, MATCH("Grand Total", 'MTD Pivot'!$A$3:$A$400, 0), MATCH(D$2, 'MTD Pivot'!$D$2:$K$2, 0)), "")</f>
        <v/>
      </c>
      <c r="E68" s="156">
        <f t="array" ref="E68">IF(AND(ISNUMBER(E64), E64&gt;0), E64/INDEX('MTD Pivot'!$D$3:$K$400, MATCH("Grand Total", 'MTD Pivot'!$A$3:$A$400, 0), MATCH(E$2, 'MTD Pivot'!$D$2:$K$2, 0)), "")</f>
        <v/>
      </c>
      <c r="F68" s="156">
        <f t="array" ref="F68">IF(AND(ISNUMBER(F64), F64&gt;0), F64/INDEX('MTD Pivot'!$D$3:$K$400, MATCH("Grand Total", 'MTD Pivot'!$A$3:$A$400, 0), MATCH(F$2, 'MTD Pivot'!$D$2:$K$2, 0)), "")</f>
        <v/>
      </c>
      <c r="G68" s="156">
        <f t="array" ref="G68">IF(AND(ISNUMBER(G64), G64&gt;0), G64/INDEX('MTD Pivot'!$D$3:$K$400, MATCH("Grand Total", 'MTD Pivot'!$A$3:$A$400, 0), MATCH(G$2, 'MTD Pivot'!$D$2:$K$2, 0)), "")</f>
        <v/>
      </c>
      <c r="H68" s="156">
        <f t="array" ref="H68">IF(AND(ISNUMBER(H64), H64&gt;0), H64/INDEX('MTD Pivot'!$D$3:$K$400, MATCH("Grand Total", 'MTD Pivot'!$A$3:$A$400, 0), MATCH(H$2, 'MTD Pivot'!$D$2:$K$2, 0)), "")</f>
        <v/>
      </c>
      <c r="I68" s="156">
        <f t="array" ref="I68">IF(AND(ISNUMBER(I64), I64&gt;0), I64/INDEX('MTD Pivot'!$D$3:$K$400, MATCH("Grand Total", 'MTD Pivot'!$A$3:$A$400, 0), MATCH(I$2, 'MTD Pivot'!$D$2:$K$2, 0)), "")</f>
        <v/>
      </c>
      <c r="J68" s="156">
        <f t="array" ref="J68">IF(AND(ISNUMBER(J64), J64&gt;0), J64/INDEX('MTD Pivot'!$D$3:$K$400, MATCH("Grand Total", 'MTD Pivot'!$A$3:$A$400, 0), MATCH(J$2, 'MTD Pivot'!$D$2:$K$2, 0)), "")</f>
        <v/>
      </c>
      <c r="K68" s="156">
        <f t="array" ref="K68">IF(AND(ISNUMBER(K64), K64&gt;0), K64/INDEX('MTD Pivot'!$D$3:$K$400, MATCH("Grand Total", 'MTD Pivot'!$A$3:$A$400, 0), MATCH(K$2, 'MTD Pivot'!$D$2:$K$2, 0)), "")</f>
        <v/>
      </c>
      <c r="L68" s="156">
        <f t="array" ref="L68">IF(AND(ISNUMBER(L64), L64&gt;0), L64/INDEX('MTD Pivot'!$D$3:$K$400, MATCH("Grand Total", 'MTD Pivot'!$A$3:$A$400, 0), MATCH(L$2, 'MTD Pivot'!$D$2:$K$2, 0)), "")</f>
        <v/>
      </c>
      <c r="M68" s="156">
        <f t="array" ref="M68">IF(AND(ISNUMBER(M64), M64&gt;0), M64/INDEX('MTD Pivot'!$D$3:$K$400, MATCH("Grand Total", 'MTD Pivot'!$A$3:$A$400, 0), MATCH(M$2, 'MTD Pivot'!$D$2:$K$2, 0)), "")</f>
        <v/>
      </c>
      <c r="N68" s="157">
        <f>IF(AND(ISNUMBER(K68), ISNUMBER(J68)), K68-J68, "")</f>
        <v/>
      </c>
      <c r="O68" s="156">
        <f t="array" ref="O68">IF(AND(ISNUMBER(O64), O64&gt;0), O64/INDEX('Full month Pivot'!$D$3:$K$400, MATCH("Grand Total", 'Full month Pivot'!$A$3:$A$400, 0), MATCH(O$2, 'Full month Pivot'!$D$2:$K$2, 0)), "")</f>
        <v/>
      </c>
      <c r="P68" s="156">
        <f t="array" ref="P68">IF(AND(ISNUMBER(P64), P64&gt;0), P64/INDEX('Full month Pivot'!$D$3:$K$400, MATCH("Grand Total", 'Full month Pivot'!$A$3:$A$400, 0), MATCH(P$2, 'Full month Pivot'!$D$2:$K$2, 0)), "")</f>
        <v/>
      </c>
      <c r="Q68" s="156">
        <f t="array" ref="Q68">IF(AND(ISNUMBER(Q64), Q64&gt;0), Q64/INDEX('Full month Pivot'!$D$3:$K$400, MATCH("Grand Total", 'Full month Pivot'!$A$3:$A$400, 0), MATCH(Q$2, 'Full month Pivot'!$D$2:$K$2, 0)), "")</f>
        <v/>
      </c>
      <c r="R68" s="156">
        <f t="array" ref="R68">IF(AND(ISNUMBER(R64), R64&gt;0), R64/INDEX('Full month Pivot'!$D$3:$K$400, MATCH("Grand Total", 'Full month Pivot'!$A$3:$A$400, 0), MATCH(R$2, 'Full month Pivot'!$D$2:$K$2, 0)), "")</f>
        <v/>
      </c>
      <c r="S68" s="156">
        <f t="array" ref="S68">IF(AND(ISNUMBER(S64), S64&gt;0), S64/INDEX('Full month Pivot'!$D$3:$K$400, MATCH("Grand Total", 'Full month Pivot'!$A$3:$A$400, 0), MATCH(S$2, 'Full month Pivot'!$D$2:$K$2, 0)), "")</f>
        <v/>
      </c>
      <c r="T68" s="156">
        <f t="array" ref="T68">IF(AND(ISNUMBER(T64), T64&gt;0), T64/INDEX('Full month Pivot'!$D$3:$K$400, MATCH("Grand Total", 'Full month Pivot'!$A$3:$A$400, 0), MATCH(T$2, 'Full month Pivot'!$D$2:$K$2, 0)), "")</f>
        <v/>
      </c>
      <c r="U68" s="156">
        <f t="array" ref="U68">IF(AND(ISNUMBER(U64), U64&gt;0), U64/INDEX('Full month Pivot'!$D$3:$K$400, MATCH("Grand Total", 'Full month Pivot'!$A$3:$A$400, 0), MATCH(U$2, 'Full month Pivot'!$D$2:$K$2, 0)), "")</f>
        <v/>
      </c>
      <c r="V68" s="156">
        <f t="array" ref="V68">IF(AND(ISNUMBER(V64), V64&gt;0), V64/INDEX('Full month Pivot'!$D$3:$K$400, MATCH("Grand Total", 'Full month Pivot'!$A$3:$A$400, 0), MATCH(V$2, 'Full month Pivot'!$D$2:$K$2, 0)), "")</f>
        <v/>
      </c>
      <c r="W68" s="156">
        <f t="array" ref="W68">IF(AND(ISNUMBER(W64), W64&gt;0), W64/INDEX('Full month Pivot'!$D$3:$K$400, MATCH("Grand Total", 'Full month Pivot'!$A$3:$A$400, 0), MATCH(W$2, 'Full month Pivot'!$D$2:$K$2, 0)), "")</f>
        <v/>
      </c>
      <c r="X68" s="156">
        <f t="array" ref="X68">IF(AND(ISNUMBER(X64), X64&gt;0), X64/INDEX('Full month Pivot'!$D$3:$K$400, MATCH("Grand Total", 'Full month Pivot'!$A$3:$A$400, 0), MATCH(X$2, 'Full month Pivot'!$D$2:$K$2, 0)), "")</f>
        <v/>
      </c>
      <c r="Y68" s="156">
        <f t="array" ref="Y68">IF(AND(ISNUMBER(Y64), Y64&gt;0), Y64/INDEX('Full month Pivot'!$D$3:$K$400, MATCH("Grand Total", 'Full month Pivot'!$A$3:$A$400, 0), MATCH(Y$2, 'Full month Pivot'!$D$2:$K$2, 0)), "")</f>
        <v/>
      </c>
      <c r="Z68" s="156">
        <f t="array" ref="Z68">IF(AND(ISNUMBER(Z64), Z64&gt;0), Z64/INDEX('Full month Pivot'!$D$3:$K$400, MATCH("Grand Total", 'Full month Pivot'!$A$3:$A$400, 0), MATCH(Z$2, 'Full month Pivot'!$D$2:$K$2, 0)), "")</f>
        <v/>
      </c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202" t="inlineStr">
        <is>
          <t xml:space="preserve">  Organic</t>
        </is>
      </c>
      <c r="B69" s="193">
        <f>IF(SUMPRODUCT((('MTD Pivot'!$B$3:$B$400=$A$63) + ('MTD Pivot'!$A$3:$A$400=$A$63) &gt; 0) * (TRIM('MTD Pivot'!$C$3:$C$400)=TRIM($A69)) * ('MTD Pivot'!$D$2:$K$2=B$2) * 'MTD Pivot'!$D$3:$K$400)&gt;0, SUMPRODUCT((('MTD Pivot'!$B$3:$B$400=$A$63) + ('MTD Pivot'!$A$3:$A$400=$A$63) &gt; 0) * (TRIM('MTD Pivot'!$C$3:$C$400)=TRIM($A69)) * ('MTD Pivot'!$D$2:$K$2=B$2) * 'MTD Pivot'!$D$3:$K$400), "")</f>
        <v/>
      </c>
      <c r="C69" s="193">
        <f>IF(SUMPRODUCT((('MTD Pivot'!$B$3:$B$400=$A$63) + ('MTD Pivot'!$A$3:$A$400=$A$63) &gt; 0) * (TRIM('MTD Pivot'!$C$3:$C$400)=TRIM($A69)) * ('MTD Pivot'!$D$2:$K$2=C$2) * 'MTD Pivot'!$D$3:$K$400)&gt;0, SUMPRODUCT((('MTD Pivot'!$B$3:$B$400=$A$63) + ('MTD Pivot'!$A$3:$A$400=$A$63) &gt; 0) * (TRIM('MTD Pivot'!$C$3:$C$400)=TRIM($A69)) * ('MTD Pivot'!$D$2:$K$2=C$2) * 'MTD Pivot'!$D$3:$K$400), "")</f>
        <v/>
      </c>
      <c r="D69" s="193">
        <f>IF(SUMPRODUCT((('MTD Pivot'!$B$3:$B$400=$A$63) + ('MTD Pivot'!$A$3:$A$400=$A$63) &gt; 0) * (TRIM('MTD Pivot'!$C$3:$C$400)=TRIM($A69)) * ('MTD Pivot'!$D$2:$K$2=D$2) * 'MTD Pivot'!$D$3:$K$400)&gt;0, SUMPRODUCT((('MTD Pivot'!$B$3:$B$400=$A$63) + ('MTD Pivot'!$A$3:$A$400=$A$63) &gt; 0) * (TRIM('MTD Pivot'!$C$3:$C$400)=TRIM($A69)) * ('MTD Pivot'!$D$2:$K$2=D$2) * 'MTD Pivot'!$D$3:$K$400), "")</f>
        <v/>
      </c>
      <c r="E69" s="193">
        <f>IF(SUMPRODUCT((('MTD Pivot'!$B$3:$B$400=$A$63) + ('MTD Pivot'!$A$3:$A$400=$A$63) &gt; 0) * (TRIM('MTD Pivot'!$C$3:$C$400)=TRIM($A69)) * ('MTD Pivot'!$D$2:$K$2=E$2) * 'MTD Pivot'!$D$3:$K$400)&gt;0, SUMPRODUCT((('MTD Pivot'!$B$3:$B$400=$A$63) + ('MTD Pivot'!$A$3:$A$400=$A$63) &gt; 0) * (TRIM('MTD Pivot'!$C$3:$C$400)=TRIM($A69)) * ('MTD Pivot'!$D$2:$K$2=E$2) * 'MTD Pivot'!$D$3:$K$400), "")</f>
        <v/>
      </c>
      <c r="F69" s="193">
        <f>IF(SUMPRODUCT((('MTD Pivot'!$B$3:$B$400=$A$63) + ('MTD Pivot'!$A$3:$A$400=$A$63) &gt; 0) * (TRIM('MTD Pivot'!$C$3:$C$400)=TRIM($A69)) * ('MTD Pivot'!$D$2:$K$2=F$2) * 'MTD Pivot'!$D$3:$K$400)&gt;0, SUMPRODUCT((('MTD Pivot'!$B$3:$B$400=$A$63) + ('MTD Pivot'!$A$3:$A$400=$A$63) &gt; 0) * (TRIM('MTD Pivot'!$C$3:$C$400)=TRIM($A69)) * ('MTD Pivot'!$D$2:$K$2=F$2) * 'MTD Pivot'!$D$3:$K$400), "")</f>
        <v/>
      </c>
      <c r="G69" s="193">
        <f>IF(SUMPRODUCT((('MTD Pivot'!$B$3:$B$400=$A$63) + ('MTD Pivot'!$A$3:$A$400=$A$63) &gt; 0) * (TRIM('MTD Pivot'!$C$3:$C$400)=TRIM($A69)) * ('MTD Pivot'!$D$2:$K$2=G$2) * 'MTD Pivot'!$D$3:$K$400)&gt;0, SUMPRODUCT((('MTD Pivot'!$B$3:$B$400=$A$63) + ('MTD Pivot'!$A$3:$A$400=$A$63) &gt; 0) * (TRIM('MTD Pivot'!$C$3:$C$400)=TRIM($A69)) * ('MTD Pivot'!$D$2:$K$2=G$2) * 'MTD Pivot'!$D$3:$K$400), "")</f>
        <v/>
      </c>
      <c r="H69" s="193">
        <f>IF(SUMPRODUCT((('MTD Pivot'!$B$3:$B$400=$A$63) + ('MTD Pivot'!$A$3:$A$400=$A$63) &gt; 0) * (TRIM('MTD Pivot'!$C$3:$C$400)=TRIM($A69)) * ('MTD Pivot'!$D$2:$K$2=H$2) * 'MTD Pivot'!$D$3:$K$400)&gt;0, SUMPRODUCT((('MTD Pivot'!$B$3:$B$400=$A$63) + ('MTD Pivot'!$A$3:$A$400=$A$63) &gt; 0) * (TRIM('MTD Pivot'!$C$3:$C$400)=TRIM($A69)) * ('MTD Pivot'!$D$2:$K$2=H$2) * 'MTD Pivot'!$D$3:$K$400), "")</f>
        <v/>
      </c>
      <c r="I69" s="193">
        <f>IF(SUMPRODUCT((('MTD Pivot'!$B$3:$B$400=$A$63) + ('MTD Pivot'!$A$3:$A$400=$A$63) &gt; 0) * (TRIM('MTD Pivot'!$C$3:$C$400)=TRIM($A69)) * ('MTD Pivot'!$D$2:$K$2=I$2) * 'MTD Pivot'!$D$3:$K$400)&gt;0, SUMPRODUCT((('MTD Pivot'!$B$3:$B$400=$A$63) + ('MTD Pivot'!$A$3:$A$400=$A$63) &gt; 0) * (TRIM('MTD Pivot'!$C$3:$C$400)=TRIM($A69)) * ('MTD Pivot'!$D$2:$K$2=I$2) * 'MTD Pivot'!$D$3:$K$400), "")</f>
        <v/>
      </c>
      <c r="J69" s="193">
        <f>IF(SUMPRODUCT((('MTD Pivot'!$B$3:$B$400=$A$63) + ('MTD Pivot'!$A$3:$A$400=$A$63) &gt; 0) * (TRIM('MTD Pivot'!$C$3:$C$400)=TRIM($A69)) * ('MTD Pivot'!$D$2:$K$2=J$2) * 'MTD Pivot'!$D$3:$K$400)&gt;0, SUMPRODUCT((('MTD Pivot'!$B$3:$B$400=$A$63) + ('MTD Pivot'!$A$3:$A$400=$A$63) &gt; 0) * (TRIM('MTD Pivot'!$C$3:$C$400)=TRIM($A69)) * ('MTD Pivot'!$D$2:$K$2=J$2) * 'MTD Pivot'!$D$3:$K$400), "")</f>
        <v/>
      </c>
      <c r="K69" s="193">
        <f>IF(SUMPRODUCT((('MTD Pivot'!$B$3:$B$400=$A$63) + ('MTD Pivot'!$A$3:$A$400=$A$63) &gt; 0) * (TRIM('MTD Pivot'!$C$3:$C$400)=TRIM($A69)) * ('MTD Pivot'!$D$2:$K$2=K$2) * 'MTD Pivot'!$D$3:$K$400)&gt;0, SUMPRODUCT((('MTD Pivot'!$B$3:$B$400=$A$63) + ('MTD Pivot'!$A$3:$A$400=$A$63) &gt; 0) * (TRIM('MTD Pivot'!$C$3:$C$400)=TRIM($A69)) * ('MTD Pivot'!$D$2:$K$2=K$2) * 'MTD Pivot'!$D$3:$K$400), "")</f>
        <v/>
      </c>
      <c r="L69" s="193">
        <f>IF(SUMPRODUCT((('MTD Pivot'!$B$3:$B$400=$A$63) + ('MTD Pivot'!$A$3:$A$400=$A$63) &gt; 0) * (TRIM('MTD Pivot'!$C$3:$C$400)=TRIM($A69)) * ('MTD Pivot'!$D$2:$K$2=L$2) * 'MTD Pivot'!$D$3:$K$400)&gt;0, SUMPRODUCT((('MTD Pivot'!$B$3:$B$400=$A$63) + ('MTD Pivot'!$A$3:$A$400=$A$63) &gt; 0) * (TRIM('MTD Pivot'!$C$3:$C$400)=TRIM($A69)) * ('MTD Pivot'!$D$2:$K$2=L$2) * 'MTD Pivot'!$D$3:$K$400), "")</f>
        <v/>
      </c>
      <c r="M69" s="193">
        <f>IF(SUMPRODUCT((('MTD Pivot'!$B$3:$B$400=$A$63) + ('MTD Pivot'!$A$3:$A$400=$A$63) &gt; 0) * (TRIM('MTD Pivot'!$C$3:$C$400)=TRIM($A69)) * ('MTD Pivot'!$D$2:$K$2=M$2) * 'MTD Pivot'!$D$3:$K$400)&gt;0, SUMPRODUCT((('MTD Pivot'!$B$3:$B$400=$A$63) + ('MTD Pivot'!$A$3:$A$400=$A$63) &gt; 0) * (TRIM('MTD Pivot'!$C$3:$C$400)=TRIM($A69)) * ('MTD Pivot'!$D$2:$K$2=M$2) * 'MTD Pivot'!$D$3:$K$400), "")</f>
        <v/>
      </c>
      <c r="N69" s="157">
        <f>IF(AND(ISNUMBER(K69), ISNUMBER(J69), J69&gt;0), (K69-J69)/J69, "")</f>
        <v/>
      </c>
      <c r="O69" s="193">
        <f>IF(SUMPRODUCT((('Full month Pivot'!$B$3:$B$400=$A$63) + ('Full month Pivot'!$A$3:$A$400=$A$63) &gt; 0) * (TRIM('Full month Pivot'!$C$3:$C$400)=TRIM($A69)) * ('Full month Pivot'!$D$2:$K$2=O$2) * 'Full month Pivot'!$D$3:$K$400)&gt;0, SUMPRODUCT((('Full month Pivot'!$B$3:$B$400=$A$63) + ('Full month Pivot'!$A$3:$A$400=$A$63) &gt; 0) * (TRIM('Full month Pivot'!$C$3:$C$400)=TRIM($A69)) * ('Full month Pivot'!$D$2:$K$2=O$2) * 'Full month Pivot'!$D$3:$K$400), "")</f>
        <v/>
      </c>
      <c r="P69" s="193">
        <f>IF(SUMPRODUCT((('Full month Pivot'!$B$3:$B$400=$A$63) + ('Full month Pivot'!$A$3:$A$400=$A$63) &gt; 0) * (TRIM('Full month Pivot'!$C$3:$C$400)=TRIM($A69)) * ('Full month Pivot'!$D$2:$K$2=P$2) * 'Full month Pivot'!$D$3:$K$400)&gt;0, SUMPRODUCT((('Full month Pivot'!$B$3:$B$400=$A$63) + ('Full month Pivot'!$A$3:$A$400=$A$63) &gt; 0) * (TRIM('Full month Pivot'!$C$3:$C$400)=TRIM($A69)) * ('Full month Pivot'!$D$2:$K$2=P$2) * 'Full month Pivot'!$D$3:$K$400), "")</f>
        <v/>
      </c>
      <c r="Q69" s="193">
        <f>IF(SUMPRODUCT((('Full month Pivot'!$B$3:$B$400=$A$63) + ('Full month Pivot'!$A$3:$A$400=$A$63) &gt; 0) * (TRIM('Full month Pivot'!$C$3:$C$400)=TRIM($A69)) * ('Full month Pivot'!$D$2:$K$2=Q$2) * 'Full month Pivot'!$D$3:$K$400)&gt;0, SUMPRODUCT((('Full month Pivot'!$B$3:$B$400=$A$63) + ('Full month Pivot'!$A$3:$A$400=$A$63) &gt; 0) * (TRIM('Full month Pivot'!$C$3:$C$400)=TRIM($A69)) * ('Full month Pivot'!$D$2:$K$2=Q$2) * 'Full month Pivot'!$D$3:$K$400), "")</f>
        <v/>
      </c>
      <c r="R69" s="193">
        <f>IF(SUMPRODUCT((('Full month Pivot'!$B$3:$B$400=$A$63) + ('Full month Pivot'!$A$3:$A$400=$A$63) &gt; 0) * (TRIM('Full month Pivot'!$C$3:$C$400)=TRIM($A69)) * ('Full month Pivot'!$D$2:$K$2=R$2) * 'Full month Pivot'!$D$3:$K$400)&gt;0, SUMPRODUCT((('Full month Pivot'!$B$3:$B$400=$A$63) + ('Full month Pivot'!$A$3:$A$400=$A$63) &gt; 0) * (TRIM('Full month Pivot'!$C$3:$C$400)=TRIM($A69)) * ('Full month Pivot'!$D$2:$K$2=R$2) * 'Full month Pivot'!$D$3:$K$400), "")</f>
        <v/>
      </c>
      <c r="S69" s="193">
        <f>IF(SUMPRODUCT((('Full month Pivot'!$B$3:$B$400=$A$63) + ('Full month Pivot'!$A$3:$A$400=$A$63) &gt; 0) * (TRIM('Full month Pivot'!$C$3:$C$400)=TRIM($A69)) * ('Full month Pivot'!$D$2:$K$2=S$2) * 'Full month Pivot'!$D$3:$K$400)&gt;0, SUMPRODUCT((('Full month Pivot'!$B$3:$B$400=$A$63) + ('Full month Pivot'!$A$3:$A$400=$A$63) &gt; 0) * (TRIM('Full month Pivot'!$C$3:$C$400)=TRIM($A69)) * ('Full month Pivot'!$D$2:$K$2=S$2) * 'Full month Pivot'!$D$3:$K$400), "")</f>
        <v/>
      </c>
      <c r="T69" s="193">
        <f>IF(SUMPRODUCT((('Full month Pivot'!$B$3:$B$400=$A$63) + ('Full month Pivot'!$A$3:$A$400=$A$63) &gt; 0) * (TRIM('Full month Pivot'!$C$3:$C$400)=TRIM($A69)) * ('Full month Pivot'!$D$2:$K$2=T$2) * 'Full month Pivot'!$D$3:$K$400)&gt;0, SUMPRODUCT((('Full month Pivot'!$B$3:$B$400=$A$63) + ('Full month Pivot'!$A$3:$A$400=$A$63) &gt; 0) * (TRIM('Full month Pivot'!$C$3:$C$400)=TRIM($A69)) * ('Full month Pivot'!$D$2:$K$2=T$2) * 'Full month Pivot'!$D$3:$K$400), "")</f>
        <v/>
      </c>
      <c r="U69" s="193">
        <f>IF(SUMPRODUCT((('Full month Pivot'!$B$3:$B$400=$A$63) + ('Full month Pivot'!$A$3:$A$400=$A$63) &gt; 0) * (TRIM('Full month Pivot'!$C$3:$C$400)=TRIM($A69)) * ('Full month Pivot'!$D$2:$K$2=U$2) * 'Full month Pivot'!$D$3:$K$400)&gt;0, SUMPRODUCT((('Full month Pivot'!$B$3:$B$400=$A$63) + ('Full month Pivot'!$A$3:$A$400=$A$63) &gt; 0) * (TRIM('Full month Pivot'!$C$3:$C$400)=TRIM($A69)) * ('Full month Pivot'!$D$2:$K$2=U$2) * 'Full month Pivot'!$D$3:$K$400), "")</f>
        <v/>
      </c>
      <c r="V69" s="193">
        <f>IF(SUMPRODUCT((('Full month Pivot'!$B$3:$B$400=$A$63) + ('Full month Pivot'!$A$3:$A$400=$A$63) &gt; 0) * (TRIM('Full month Pivot'!$C$3:$C$400)=TRIM($A69)) * ('Full month Pivot'!$D$2:$K$2=V$2) * 'Full month Pivot'!$D$3:$K$400)&gt;0, SUMPRODUCT((('Full month Pivot'!$B$3:$B$400=$A$63) + ('Full month Pivot'!$A$3:$A$400=$A$63) &gt; 0) * (TRIM('Full month Pivot'!$C$3:$C$400)=TRIM($A69)) * ('Full month Pivot'!$D$2:$K$2=V$2) * 'Full month Pivot'!$D$3:$K$400), "")</f>
        <v/>
      </c>
      <c r="W69" s="193">
        <f>IF(SUMPRODUCT((('Full month Pivot'!$B$3:$B$400=$A$63) + ('Full month Pivot'!$A$3:$A$400=$A$63) &gt; 0) * (TRIM('Full month Pivot'!$C$3:$C$400)=TRIM($A69)) * ('Full month Pivot'!$D$2:$K$2=W$2) * 'Full month Pivot'!$D$3:$K$400)&gt;0, SUMPRODUCT((('Full month Pivot'!$B$3:$B$400=$A$63) + ('Full month Pivot'!$A$3:$A$400=$A$63) &gt; 0) * (TRIM('Full month Pivot'!$C$3:$C$400)=TRIM($A69)) * ('Full month Pivot'!$D$2:$K$2=W$2) * 'Full month Pivot'!$D$3:$K$400), "")</f>
        <v/>
      </c>
      <c r="X69" s="193">
        <f>IF(SUMPRODUCT((('Full month Pivot'!$B$3:$B$400=$A$63) + ('Full month Pivot'!$A$3:$A$400=$A$63) &gt; 0) * (TRIM('Full month Pivot'!$C$3:$C$400)=TRIM($A69)) * ('Full month Pivot'!$D$2:$K$2=X$2) * 'Full month Pivot'!$D$3:$K$400)&gt;0, SUMPRODUCT((('Full month Pivot'!$B$3:$B$400=$A$63) + ('Full month Pivot'!$A$3:$A$400=$A$63) &gt; 0) * (TRIM('Full month Pivot'!$C$3:$C$400)=TRIM($A69)) * ('Full month Pivot'!$D$2:$K$2=X$2) * 'Full month Pivot'!$D$3:$K$400), "")</f>
        <v/>
      </c>
      <c r="Y69" s="193">
        <f>IF(SUMPRODUCT((('Full month Pivot'!$B$3:$B$400=$A$63) + ('Full month Pivot'!$A$3:$A$400=$A$63) &gt; 0) * (TRIM('Full month Pivot'!$C$3:$C$400)=TRIM($A69)) * ('Full month Pivot'!$D$2:$K$2=Y$2) * 'Full month Pivot'!$D$3:$K$400)&gt;0, SUMPRODUCT((('Full month Pivot'!$B$3:$B$400=$A$63) + ('Full month Pivot'!$A$3:$A$400=$A$63) &gt; 0) * (TRIM('Full month Pivot'!$C$3:$C$400)=TRIM($A69)) * ('Full month Pivot'!$D$2:$K$2=Y$2) * 'Full month Pivot'!$D$3:$K$400), "")</f>
        <v/>
      </c>
      <c r="Z69" s="193">
        <f>IF(SUMPRODUCT((('Full month Pivot'!$B$3:$B$400=$A$63) + ('Full month Pivot'!$A$3:$A$400=$A$63) &gt; 0) * (TRIM('Full month Pivot'!$C$3:$C$400)=TRIM($A69)) * ('Full month Pivot'!$D$2:$K$2=Z$2) * 'Full month Pivot'!$D$3:$K$400)&gt;0, SUMPRODUCT((('Full month Pivot'!$B$3:$B$400=$A$63) + ('Full month Pivot'!$A$3:$A$400=$A$63) &gt; 0) * (TRIM('Full month Pivot'!$C$3:$C$400)=TRIM($A69)) * ('Full month Pivot'!$D$2:$K$2=Z$2) * 'Full month Pivot'!$D$3:$K$400), "")</f>
        <v/>
      </c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202" t="inlineStr">
        <is>
          <t xml:space="preserve">  Paid</t>
        </is>
      </c>
      <c r="B70" s="193">
        <f>IF(SUMPRODUCT((('MTD Pivot'!$B$3:$B$400=$A$63) + ('MTD Pivot'!$A$3:$A$400=$A$63) &gt; 0) * (TRIM('MTD Pivot'!$C$3:$C$400)=TRIM($A70)) * ('MTD Pivot'!$D$2:$K$2=B$2) * 'MTD Pivot'!$D$3:$K$400)&gt;0, SUMPRODUCT((('MTD Pivot'!$B$3:$B$400=$A$63) + ('MTD Pivot'!$A$3:$A$400=$A$63) &gt; 0) * (TRIM('MTD Pivot'!$C$3:$C$400)=TRIM($A70)) * ('MTD Pivot'!$D$2:$K$2=B$2) * 'MTD Pivot'!$D$3:$K$400), "")</f>
        <v/>
      </c>
      <c r="C70" s="193">
        <f>IF(SUMPRODUCT((('MTD Pivot'!$B$3:$B$400=$A$63) + ('MTD Pivot'!$A$3:$A$400=$A$63) &gt; 0) * (TRIM('MTD Pivot'!$C$3:$C$400)=TRIM($A70)) * ('MTD Pivot'!$D$2:$K$2=C$2) * 'MTD Pivot'!$D$3:$K$400)&gt;0, SUMPRODUCT((('MTD Pivot'!$B$3:$B$400=$A$63) + ('MTD Pivot'!$A$3:$A$400=$A$63) &gt; 0) * (TRIM('MTD Pivot'!$C$3:$C$400)=TRIM($A70)) * ('MTD Pivot'!$D$2:$K$2=C$2) * 'MTD Pivot'!$D$3:$K$400), "")</f>
        <v/>
      </c>
      <c r="D70" s="193">
        <f>IF(SUMPRODUCT((('MTD Pivot'!$B$3:$B$400=$A$63) + ('MTD Pivot'!$A$3:$A$400=$A$63) &gt; 0) * (TRIM('MTD Pivot'!$C$3:$C$400)=TRIM($A70)) * ('MTD Pivot'!$D$2:$K$2=D$2) * 'MTD Pivot'!$D$3:$K$400)&gt;0, SUMPRODUCT((('MTD Pivot'!$B$3:$B$400=$A$63) + ('MTD Pivot'!$A$3:$A$400=$A$63) &gt; 0) * (TRIM('MTD Pivot'!$C$3:$C$400)=TRIM($A70)) * ('MTD Pivot'!$D$2:$K$2=D$2) * 'MTD Pivot'!$D$3:$K$400), "")</f>
        <v/>
      </c>
      <c r="E70" s="193">
        <f>IF(SUMPRODUCT((('MTD Pivot'!$B$3:$B$400=$A$63) + ('MTD Pivot'!$A$3:$A$400=$A$63) &gt; 0) * (TRIM('MTD Pivot'!$C$3:$C$400)=TRIM($A70)) * ('MTD Pivot'!$D$2:$K$2=E$2) * 'MTD Pivot'!$D$3:$K$400)&gt;0, SUMPRODUCT((('MTD Pivot'!$B$3:$B$400=$A$63) + ('MTD Pivot'!$A$3:$A$400=$A$63) &gt; 0) * (TRIM('MTD Pivot'!$C$3:$C$400)=TRIM($A70)) * ('MTD Pivot'!$D$2:$K$2=E$2) * 'MTD Pivot'!$D$3:$K$400), "")</f>
        <v/>
      </c>
      <c r="F70" s="193">
        <f>IF(SUMPRODUCT((('MTD Pivot'!$B$3:$B$400=$A$63) + ('MTD Pivot'!$A$3:$A$400=$A$63) &gt; 0) * (TRIM('MTD Pivot'!$C$3:$C$400)=TRIM($A70)) * ('MTD Pivot'!$D$2:$K$2=F$2) * 'MTD Pivot'!$D$3:$K$400)&gt;0, SUMPRODUCT((('MTD Pivot'!$B$3:$B$400=$A$63) + ('MTD Pivot'!$A$3:$A$400=$A$63) &gt; 0) * (TRIM('MTD Pivot'!$C$3:$C$400)=TRIM($A70)) * ('MTD Pivot'!$D$2:$K$2=F$2) * 'MTD Pivot'!$D$3:$K$400), "")</f>
        <v/>
      </c>
      <c r="G70" s="193">
        <f>IF(SUMPRODUCT((('MTD Pivot'!$B$3:$B$400=$A$63) + ('MTD Pivot'!$A$3:$A$400=$A$63) &gt; 0) * (TRIM('MTD Pivot'!$C$3:$C$400)=TRIM($A70)) * ('MTD Pivot'!$D$2:$K$2=G$2) * 'MTD Pivot'!$D$3:$K$400)&gt;0, SUMPRODUCT((('MTD Pivot'!$B$3:$B$400=$A$63) + ('MTD Pivot'!$A$3:$A$400=$A$63) &gt; 0) * (TRIM('MTD Pivot'!$C$3:$C$400)=TRIM($A70)) * ('MTD Pivot'!$D$2:$K$2=G$2) * 'MTD Pivot'!$D$3:$K$400), "")</f>
        <v/>
      </c>
      <c r="H70" s="193">
        <f>IF(SUMPRODUCT((('MTD Pivot'!$B$3:$B$400=$A$63) + ('MTD Pivot'!$A$3:$A$400=$A$63) &gt; 0) * (TRIM('MTD Pivot'!$C$3:$C$400)=TRIM($A70)) * ('MTD Pivot'!$D$2:$K$2=H$2) * 'MTD Pivot'!$D$3:$K$400)&gt;0, SUMPRODUCT((('MTD Pivot'!$B$3:$B$400=$A$63) + ('MTD Pivot'!$A$3:$A$400=$A$63) &gt; 0) * (TRIM('MTD Pivot'!$C$3:$C$400)=TRIM($A70)) * ('MTD Pivot'!$D$2:$K$2=H$2) * 'MTD Pivot'!$D$3:$K$400), "")</f>
        <v/>
      </c>
      <c r="I70" s="193">
        <f>IF(SUMPRODUCT((('MTD Pivot'!$B$3:$B$400=$A$63) + ('MTD Pivot'!$A$3:$A$400=$A$63) &gt; 0) * (TRIM('MTD Pivot'!$C$3:$C$400)=TRIM($A70)) * ('MTD Pivot'!$D$2:$K$2=I$2) * 'MTD Pivot'!$D$3:$K$400)&gt;0, SUMPRODUCT((('MTD Pivot'!$B$3:$B$400=$A$63) + ('MTD Pivot'!$A$3:$A$400=$A$63) &gt; 0) * (TRIM('MTD Pivot'!$C$3:$C$400)=TRIM($A70)) * ('MTD Pivot'!$D$2:$K$2=I$2) * 'MTD Pivot'!$D$3:$K$400), "")</f>
        <v/>
      </c>
      <c r="J70" s="193">
        <f>IF(SUMPRODUCT((('MTD Pivot'!$B$3:$B$400=$A$63) + ('MTD Pivot'!$A$3:$A$400=$A$63) &gt; 0) * (TRIM('MTD Pivot'!$C$3:$C$400)=TRIM($A70)) * ('MTD Pivot'!$D$2:$K$2=J$2) * 'MTD Pivot'!$D$3:$K$400)&gt;0, SUMPRODUCT((('MTD Pivot'!$B$3:$B$400=$A$63) + ('MTD Pivot'!$A$3:$A$400=$A$63) &gt; 0) * (TRIM('MTD Pivot'!$C$3:$C$400)=TRIM($A70)) * ('MTD Pivot'!$D$2:$K$2=J$2) * 'MTD Pivot'!$D$3:$K$400), "")</f>
        <v/>
      </c>
      <c r="K70" s="193">
        <f>IF(SUMPRODUCT((('MTD Pivot'!$B$3:$B$400=$A$63) + ('MTD Pivot'!$A$3:$A$400=$A$63) &gt; 0) * (TRIM('MTD Pivot'!$C$3:$C$400)=TRIM($A70)) * ('MTD Pivot'!$D$2:$K$2=K$2) * 'MTD Pivot'!$D$3:$K$400)&gt;0, SUMPRODUCT((('MTD Pivot'!$B$3:$B$400=$A$63) + ('MTD Pivot'!$A$3:$A$400=$A$63) &gt; 0) * (TRIM('MTD Pivot'!$C$3:$C$400)=TRIM($A70)) * ('MTD Pivot'!$D$2:$K$2=K$2) * 'MTD Pivot'!$D$3:$K$400), "")</f>
        <v/>
      </c>
      <c r="L70" s="193">
        <f>IF(SUMPRODUCT((('MTD Pivot'!$B$3:$B$400=$A$63) + ('MTD Pivot'!$A$3:$A$400=$A$63) &gt; 0) * (TRIM('MTD Pivot'!$C$3:$C$400)=TRIM($A70)) * ('MTD Pivot'!$D$2:$K$2=L$2) * 'MTD Pivot'!$D$3:$K$400)&gt;0, SUMPRODUCT((('MTD Pivot'!$B$3:$B$400=$A$63) + ('MTD Pivot'!$A$3:$A$400=$A$63) &gt; 0) * (TRIM('MTD Pivot'!$C$3:$C$400)=TRIM($A70)) * ('MTD Pivot'!$D$2:$K$2=L$2) * 'MTD Pivot'!$D$3:$K$400), "")</f>
        <v/>
      </c>
      <c r="M70" s="193">
        <f>IF(SUMPRODUCT((('MTD Pivot'!$B$3:$B$400=$A$63) + ('MTD Pivot'!$A$3:$A$400=$A$63) &gt; 0) * (TRIM('MTD Pivot'!$C$3:$C$400)=TRIM($A70)) * ('MTD Pivot'!$D$2:$K$2=M$2) * 'MTD Pivot'!$D$3:$K$400)&gt;0, SUMPRODUCT((('MTD Pivot'!$B$3:$B$400=$A$63) + ('MTD Pivot'!$A$3:$A$400=$A$63) &gt; 0) * (TRIM('MTD Pivot'!$C$3:$C$400)=TRIM($A70)) * ('MTD Pivot'!$D$2:$K$2=M$2) * 'MTD Pivot'!$D$3:$K$400), "")</f>
        <v/>
      </c>
      <c r="N70" s="157">
        <f>IF(AND(ISNUMBER(K70), ISNUMBER(J70), J70&gt;0), (K70-J70)/J70, "")</f>
        <v/>
      </c>
      <c r="O70" s="193">
        <f>IF(SUMPRODUCT((('Full month Pivot'!$B$3:$B$400=$A$63) + ('Full month Pivot'!$A$3:$A$400=$A$63) &gt; 0) * (TRIM('Full month Pivot'!$C$3:$C$400)=TRIM($A70)) * ('Full month Pivot'!$D$2:$K$2=O$2) * 'Full month Pivot'!$D$3:$K$400)&gt;0, SUMPRODUCT((('Full month Pivot'!$B$3:$B$400=$A$63) + ('Full month Pivot'!$A$3:$A$400=$A$63) &gt; 0) * (TRIM('Full month Pivot'!$C$3:$C$400)=TRIM($A70)) * ('Full month Pivot'!$D$2:$K$2=O$2) * 'Full month Pivot'!$D$3:$K$400), "")</f>
        <v/>
      </c>
      <c r="P70" s="193">
        <f>IF(SUMPRODUCT((('Full month Pivot'!$B$3:$B$400=$A$63) + ('Full month Pivot'!$A$3:$A$400=$A$63) &gt; 0) * (TRIM('Full month Pivot'!$C$3:$C$400)=TRIM($A70)) * ('Full month Pivot'!$D$2:$K$2=P$2) * 'Full month Pivot'!$D$3:$K$400)&gt;0, SUMPRODUCT((('Full month Pivot'!$B$3:$B$400=$A$63) + ('Full month Pivot'!$A$3:$A$400=$A$63) &gt; 0) * (TRIM('Full month Pivot'!$C$3:$C$400)=TRIM($A70)) * ('Full month Pivot'!$D$2:$K$2=P$2) * 'Full month Pivot'!$D$3:$K$400), "")</f>
        <v/>
      </c>
      <c r="Q70" s="193">
        <f>IF(SUMPRODUCT((('Full month Pivot'!$B$3:$B$400=$A$63) + ('Full month Pivot'!$A$3:$A$400=$A$63) &gt; 0) * (TRIM('Full month Pivot'!$C$3:$C$400)=TRIM($A70)) * ('Full month Pivot'!$D$2:$K$2=Q$2) * 'Full month Pivot'!$D$3:$K$400)&gt;0, SUMPRODUCT((('Full month Pivot'!$B$3:$B$400=$A$63) + ('Full month Pivot'!$A$3:$A$400=$A$63) &gt; 0) * (TRIM('Full month Pivot'!$C$3:$C$400)=TRIM($A70)) * ('Full month Pivot'!$D$2:$K$2=Q$2) * 'Full month Pivot'!$D$3:$K$400), "")</f>
        <v/>
      </c>
      <c r="R70" s="193">
        <f>IF(SUMPRODUCT((('Full month Pivot'!$B$3:$B$400=$A$63) + ('Full month Pivot'!$A$3:$A$400=$A$63) &gt; 0) * (TRIM('Full month Pivot'!$C$3:$C$400)=TRIM($A70)) * ('Full month Pivot'!$D$2:$K$2=R$2) * 'Full month Pivot'!$D$3:$K$400)&gt;0, SUMPRODUCT((('Full month Pivot'!$B$3:$B$400=$A$63) + ('Full month Pivot'!$A$3:$A$400=$A$63) &gt; 0) * (TRIM('Full month Pivot'!$C$3:$C$400)=TRIM($A70)) * ('Full month Pivot'!$D$2:$K$2=R$2) * 'Full month Pivot'!$D$3:$K$400), "")</f>
        <v/>
      </c>
      <c r="S70" s="193">
        <f>IF(SUMPRODUCT((('Full month Pivot'!$B$3:$B$400=$A$63) + ('Full month Pivot'!$A$3:$A$400=$A$63) &gt; 0) * (TRIM('Full month Pivot'!$C$3:$C$400)=TRIM($A70)) * ('Full month Pivot'!$D$2:$K$2=S$2) * 'Full month Pivot'!$D$3:$K$400)&gt;0, SUMPRODUCT((('Full month Pivot'!$B$3:$B$400=$A$63) + ('Full month Pivot'!$A$3:$A$400=$A$63) &gt; 0) * (TRIM('Full month Pivot'!$C$3:$C$400)=TRIM($A70)) * ('Full month Pivot'!$D$2:$K$2=S$2) * 'Full month Pivot'!$D$3:$K$400), "")</f>
        <v/>
      </c>
      <c r="T70" s="193">
        <f>IF(SUMPRODUCT((('Full month Pivot'!$B$3:$B$400=$A$63) + ('Full month Pivot'!$A$3:$A$400=$A$63) &gt; 0) * (TRIM('Full month Pivot'!$C$3:$C$400)=TRIM($A70)) * ('Full month Pivot'!$D$2:$K$2=T$2) * 'Full month Pivot'!$D$3:$K$400)&gt;0, SUMPRODUCT((('Full month Pivot'!$B$3:$B$400=$A$63) + ('Full month Pivot'!$A$3:$A$400=$A$63) &gt; 0) * (TRIM('Full month Pivot'!$C$3:$C$400)=TRIM($A70)) * ('Full month Pivot'!$D$2:$K$2=T$2) * 'Full month Pivot'!$D$3:$K$400), "")</f>
        <v/>
      </c>
      <c r="U70" s="193">
        <f>IF(SUMPRODUCT((('Full month Pivot'!$B$3:$B$400=$A$63) + ('Full month Pivot'!$A$3:$A$400=$A$63) &gt; 0) * (TRIM('Full month Pivot'!$C$3:$C$400)=TRIM($A70)) * ('Full month Pivot'!$D$2:$K$2=U$2) * 'Full month Pivot'!$D$3:$K$400)&gt;0, SUMPRODUCT((('Full month Pivot'!$B$3:$B$400=$A$63) + ('Full month Pivot'!$A$3:$A$400=$A$63) &gt; 0) * (TRIM('Full month Pivot'!$C$3:$C$400)=TRIM($A70)) * ('Full month Pivot'!$D$2:$K$2=U$2) * 'Full month Pivot'!$D$3:$K$400), "")</f>
        <v/>
      </c>
      <c r="V70" s="193">
        <f>IF(SUMPRODUCT((('Full month Pivot'!$B$3:$B$400=$A$63) + ('Full month Pivot'!$A$3:$A$400=$A$63) &gt; 0) * (TRIM('Full month Pivot'!$C$3:$C$400)=TRIM($A70)) * ('Full month Pivot'!$D$2:$K$2=V$2) * 'Full month Pivot'!$D$3:$K$400)&gt;0, SUMPRODUCT((('Full month Pivot'!$B$3:$B$400=$A$63) + ('Full month Pivot'!$A$3:$A$400=$A$63) &gt; 0) * (TRIM('Full month Pivot'!$C$3:$C$400)=TRIM($A70)) * ('Full month Pivot'!$D$2:$K$2=V$2) * 'Full month Pivot'!$D$3:$K$400), "")</f>
        <v/>
      </c>
      <c r="W70" s="193">
        <f>IF(SUMPRODUCT((('Full month Pivot'!$B$3:$B$400=$A$63) + ('Full month Pivot'!$A$3:$A$400=$A$63) &gt; 0) * (TRIM('Full month Pivot'!$C$3:$C$400)=TRIM($A70)) * ('Full month Pivot'!$D$2:$K$2=W$2) * 'Full month Pivot'!$D$3:$K$400)&gt;0, SUMPRODUCT((('Full month Pivot'!$B$3:$B$400=$A$63) + ('Full month Pivot'!$A$3:$A$400=$A$63) &gt; 0) * (TRIM('Full month Pivot'!$C$3:$C$400)=TRIM($A70)) * ('Full month Pivot'!$D$2:$K$2=W$2) * 'Full month Pivot'!$D$3:$K$400), "")</f>
        <v/>
      </c>
      <c r="X70" s="193">
        <f>IF(SUMPRODUCT((('Full month Pivot'!$B$3:$B$400=$A$63) + ('Full month Pivot'!$A$3:$A$400=$A$63) &gt; 0) * (TRIM('Full month Pivot'!$C$3:$C$400)=TRIM($A70)) * ('Full month Pivot'!$D$2:$K$2=X$2) * 'Full month Pivot'!$D$3:$K$400)&gt;0, SUMPRODUCT((('Full month Pivot'!$B$3:$B$400=$A$63) + ('Full month Pivot'!$A$3:$A$400=$A$63) &gt; 0) * (TRIM('Full month Pivot'!$C$3:$C$400)=TRIM($A70)) * ('Full month Pivot'!$D$2:$K$2=X$2) * 'Full month Pivot'!$D$3:$K$400), "")</f>
        <v/>
      </c>
      <c r="Y70" s="193">
        <f>IF(SUMPRODUCT((('Full month Pivot'!$B$3:$B$400=$A$63) + ('Full month Pivot'!$A$3:$A$400=$A$63) &gt; 0) * (TRIM('Full month Pivot'!$C$3:$C$400)=TRIM($A70)) * ('Full month Pivot'!$D$2:$K$2=Y$2) * 'Full month Pivot'!$D$3:$K$400)&gt;0, SUMPRODUCT((('Full month Pivot'!$B$3:$B$400=$A$63) + ('Full month Pivot'!$A$3:$A$400=$A$63) &gt; 0) * (TRIM('Full month Pivot'!$C$3:$C$400)=TRIM($A70)) * ('Full month Pivot'!$D$2:$K$2=Y$2) * 'Full month Pivot'!$D$3:$K$400), "")</f>
        <v/>
      </c>
      <c r="Z70" s="193">
        <f>IF(SUMPRODUCT((('Full month Pivot'!$B$3:$B$400=$A$63) + ('Full month Pivot'!$A$3:$A$400=$A$63) &gt; 0) * (TRIM('Full month Pivot'!$C$3:$C$400)=TRIM($A70)) * ('Full month Pivot'!$D$2:$K$2=Z$2) * 'Full month Pivot'!$D$3:$K$400)&gt;0, SUMPRODUCT((('Full month Pivot'!$B$3:$B$400=$A$63) + ('Full month Pivot'!$A$3:$A$400=$A$63) &gt; 0) * (TRIM('Full month Pivot'!$C$3:$C$400)=TRIM($A70)) * ('Full month Pivot'!$D$2:$K$2=Z$2) * 'Full month Pivot'!$D$3:$K$400), "")</f>
        <v/>
      </c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202" t="inlineStr">
        <is>
          <t xml:space="preserve">  Direct</t>
        </is>
      </c>
      <c r="B71" s="193">
        <f>IF(SUMPRODUCT((('MTD Pivot'!$B$3:$B$400=$A$63) + ('MTD Pivot'!$A$3:$A$400=$A$63) &gt; 0) * (TRIM('MTD Pivot'!$C$3:$C$400)=TRIM($A71)) * ('MTD Pivot'!$D$2:$K$2=B$2) * 'MTD Pivot'!$D$3:$K$400)&gt;0, SUMPRODUCT((('MTD Pivot'!$B$3:$B$400=$A$63) + ('MTD Pivot'!$A$3:$A$400=$A$63) &gt; 0) * (TRIM('MTD Pivot'!$C$3:$C$400)=TRIM($A71)) * ('MTD Pivot'!$D$2:$K$2=B$2) * 'MTD Pivot'!$D$3:$K$400), "")</f>
        <v/>
      </c>
      <c r="C71" s="193">
        <f>IF(SUMPRODUCT((('MTD Pivot'!$B$3:$B$400=$A$63) + ('MTD Pivot'!$A$3:$A$400=$A$63) &gt; 0) * (TRIM('MTD Pivot'!$C$3:$C$400)=TRIM($A71)) * ('MTD Pivot'!$D$2:$K$2=C$2) * 'MTD Pivot'!$D$3:$K$400)&gt;0, SUMPRODUCT((('MTD Pivot'!$B$3:$B$400=$A$63) + ('MTD Pivot'!$A$3:$A$400=$A$63) &gt; 0) * (TRIM('MTD Pivot'!$C$3:$C$400)=TRIM($A71)) * ('MTD Pivot'!$D$2:$K$2=C$2) * 'MTD Pivot'!$D$3:$K$400), "")</f>
        <v/>
      </c>
      <c r="D71" s="193">
        <f>IF(SUMPRODUCT((('MTD Pivot'!$B$3:$B$400=$A$63) + ('MTD Pivot'!$A$3:$A$400=$A$63) &gt; 0) * (TRIM('MTD Pivot'!$C$3:$C$400)=TRIM($A71)) * ('MTD Pivot'!$D$2:$K$2=D$2) * 'MTD Pivot'!$D$3:$K$400)&gt;0, SUMPRODUCT((('MTD Pivot'!$B$3:$B$400=$A$63) + ('MTD Pivot'!$A$3:$A$400=$A$63) &gt; 0) * (TRIM('MTD Pivot'!$C$3:$C$400)=TRIM($A71)) * ('MTD Pivot'!$D$2:$K$2=D$2) * 'MTD Pivot'!$D$3:$K$400), "")</f>
        <v/>
      </c>
      <c r="E71" s="193">
        <f>IF(SUMPRODUCT((('MTD Pivot'!$B$3:$B$400=$A$63) + ('MTD Pivot'!$A$3:$A$400=$A$63) &gt; 0) * (TRIM('MTD Pivot'!$C$3:$C$400)=TRIM($A71)) * ('MTD Pivot'!$D$2:$K$2=E$2) * 'MTD Pivot'!$D$3:$K$400)&gt;0, SUMPRODUCT((('MTD Pivot'!$B$3:$B$400=$A$63) + ('MTD Pivot'!$A$3:$A$400=$A$63) &gt; 0) * (TRIM('MTD Pivot'!$C$3:$C$400)=TRIM($A71)) * ('MTD Pivot'!$D$2:$K$2=E$2) * 'MTD Pivot'!$D$3:$K$400), "")</f>
        <v/>
      </c>
      <c r="F71" s="193">
        <f>IF(SUMPRODUCT((('MTD Pivot'!$B$3:$B$400=$A$63) + ('MTD Pivot'!$A$3:$A$400=$A$63) &gt; 0) * (TRIM('MTD Pivot'!$C$3:$C$400)=TRIM($A71)) * ('MTD Pivot'!$D$2:$K$2=F$2) * 'MTD Pivot'!$D$3:$K$400)&gt;0, SUMPRODUCT((('MTD Pivot'!$B$3:$B$400=$A$63) + ('MTD Pivot'!$A$3:$A$400=$A$63) &gt; 0) * (TRIM('MTD Pivot'!$C$3:$C$400)=TRIM($A71)) * ('MTD Pivot'!$D$2:$K$2=F$2) * 'MTD Pivot'!$D$3:$K$400), "")</f>
        <v/>
      </c>
      <c r="G71" s="193">
        <f>IF(SUMPRODUCT((('MTD Pivot'!$B$3:$B$400=$A$63) + ('MTD Pivot'!$A$3:$A$400=$A$63) &gt; 0) * (TRIM('MTD Pivot'!$C$3:$C$400)=TRIM($A71)) * ('MTD Pivot'!$D$2:$K$2=G$2) * 'MTD Pivot'!$D$3:$K$400)&gt;0, SUMPRODUCT((('MTD Pivot'!$B$3:$B$400=$A$63) + ('MTD Pivot'!$A$3:$A$400=$A$63) &gt; 0) * (TRIM('MTD Pivot'!$C$3:$C$400)=TRIM($A71)) * ('MTD Pivot'!$D$2:$K$2=G$2) * 'MTD Pivot'!$D$3:$K$400), "")</f>
        <v/>
      </c>
      <c r="H71" s="193">
        <f>IF(SUMPRODUCT((('MTD Pivot'!$B$3:$B$400=$A$63) + ('MTD Pivot'!$A$3:$A$400=$A$63) &gt; 0) * (TRIM('MTD Pivot'!$C$3:$C$400)=TRIM($A71)) * ('MTD Pivot'!$D$2:$K$2=H$2) * 'MTD Pivot'!$D$3:$K$400)&gt;0, SUMPRODUCT((('MTD Pivot'!$B$3:$B$400=$A$63) + ('MTD Pivot'!$A$3:$A$400=$A$63) &gt; 0) * (TRIM('MTD Pivot'!$C$3:$C$400)=TRIM($A71)) * ('MTD Pivot'!$D$2:$K$2=H$2) * 'MTD Pivot'!$D$3:$K$400), "")</f>
        <v/>
      </c>
      <c r="I71" s="193">
        <f>IF(SUMPRODUCT((('MTD Pivot'!$B$3:$B$400=$A$63) + ('MTD Pivot'!$A$3:$A$400=$A$63) &gt; 0) * (TRIM('MTD Pivot'!$C$3:$C$400)=TRIM($A71)) * ('MTD Pivot'!$D$2:$K$2=I$2) * 'MTD Pivot'!$D$3:$K$400)&gt;0, SUMPRODUCT((('MTD Pivot'!$B$3:$B$400=$A$63) + ('MTD Pivot'!$A$3:$A$400=$A$63) &gt; 0) * (TRIM('MTD Pivot'!$C$3:$C$400)=TRIM($A71)) * ('MTD Pivot'!$D$2:$K$2=I$2) * 'MTD Pivot'!$D$3:$K$400), "")</f>
        <v/>
      </c>
      <c r="J71" s="193">
        <f>IF(SUMPRODUCT((('MTD Pivot'!$B$3:$B$400=$A$63) + ('MTD Pivot'!$A$3:$A$400=$A$63) &gt; 0) * (TRIM('MTD Pivot'!$C$3:$C$400)=TRIM($A71)) * ('MTD Pivot'!$D$2:$K$2=J$2) * 'MTD Pivot'!$D$3:$K$400)&gt;0, SUMPRODUCT((('MTD Pivot'!$B$3:$B$400=$A$63) + ('MTD Pivot'!$A$3:$A$400=$A$63) &gt; 0) * (TRIM('MTD Pivot'!$C$3:$C$400)=TRIM($A71)) * ('MTD Pivot'!$D$2:$K$2=J$2) * 'MTD Pivot'!$D$3:$K$400), "")</f>
        <v/>
      </c>
      <c r="K71" s="193">
        <f>IF(SUMPRODUCT((('MTD Pivot'!$B$3:$B$400=$A$63) + ('MTD Pivot'!$A$3:$A$400=$A$63) &gt; 0) * (TRIM('MTD Pivot'!$C$3:$C$400)=TRIM($A71)) * ('MTD Pivot'!$D$2:$K$2=K$2) * 'MTD Pivot'!$D$3:$K$400)&gt;0, SUMPRODUCT((('MTD Pivot'!$B$3:$B$400=$A$63) + ('MTD Pivot'!$A$3:$A$400=$A$63) &gt; 0) * (TRIM('MTD Pivot'!$C$3:$C$400)=TRIM($A71)) * ('MTD Pivot'!$D$2:$K$2=K$2) * 'MTD Pivot'!$D$3:$K$400), "")</f>
        <v/>
      </c>
      <c r="L71" s="193">
        <f>IF(SUMPRODUCT((('MTD Pivot'!$B$3:$B$400=$A$63) + ('MTD Pivot'!$A$3:$A$400=$A$63) &gt; 0) * (TRIM('MTD Pivot'!$C$3:$C$400)=TRIM($A71)) * ('MTD Pivot'!$D$2:$K$2=L$2) * 'MTD Pivot'!$D$3:$K$400)&gt;0, SUMPRODUCT((('MTD Pivot'!$B$3:$B$400=$A$63) + ('MTD Pivot'!$A$3:$A$400=$A$63) &gt; 0) * (TRIM('MTD Pivot'!$C$3:$C$400)=TRIM($A71)) * ('MTD Pivot'!$D$2:$K$2=L$2) * 'MTD Pivot'!$D$3:$K$400), "")</f>
        <v/>
      </c>
      <c r="M71" s="193">
        <f>IF(SUMPRODUCT((('MTD Pivot'!$B$3:$B$400=$A$63) + ('MTD Pivot'!$A$3:$A$400=$A$63) &gt; 0) * (TRIM('MTD Pivot'!$C$3:$C$400)=TRIM($A71)) * ('MTD Pivot'!$D$2:$K$2=M$2) * 'MTD Pivot'!$D$3:$K$400)&gt;0, SUMPRODUCT((('MTD Pivot'!$B$3:$B$400=$A$63) + ('MTD Pivot'!$A$3:$A$400=$A$63) &gt; 0) * (TRIM('MTD Pivot'!$C$3:$C$400)=TRIM($A71)) * ('MTD Pivot'!$D$2:$K$2=M$2) * 'MTD Pivot'!$D$3:$K$400), "")</f>
        <v/>
      </c>
      <c r="N71" s="157">
        <f>IF(AND(ISNUMBER(K71), ISNUMBER(J71), J71&gt;0), (K71-J71)/J71, "")</f>
        <v/>
      </c>
      <c r="O71" s="193">
        <f>IF(SUMPRODUCT((('Full month Pivot'!$B$3:$B$400=$A$63) + ('Full month Pivot'!$A$3:$A$400=$A$63) &gt; 0) * (TRIM('Full month Pivot'!$C$3:$C$400)=TRIM($A71)) * ('Full month Pivot'!$D$2:$K$2=O$2) * 'Full month Pivot'!$D$3:$K$400)&gt;0, SUMPRODUCT((('Full month Pivot'!$B$3:$B$400=$A$63) + ('Full month Pivot'!$A$3:$A$400=$A$63) &gt; 0) * (TRIM('Full month Pivot'!$C$3:$C$400)=TRIM($A71)) * ('Full month Pivot'!$D$2:$K$2=O$2) * 'Full month Pivot'!$D$3:$K$400), "")</f>
        <v/>
      </c>
      <c r="P71" s="193">
        <f>IF(SUMPRODUCT((('Full month Pivot'!$B$3:$B$400=$A$63) + ('Full month Pivot'!$A$3:$A$400=$A$63) &gt; 0) * (TRIM('Full month Pivot'!$C$3:$C$400)=TRIM($A71)) * ('Full month Pivot'!$D$2:$K$2=P$2) * 'Full month Pivot'!$D$3:$K$400)&gt;0, SUMPRODUCT((('Full month Pivot'!$B$3:$B$400=$A$63) + ('Full month Pivot'!$A$3:$A$400=$A$63) &gt; 0) * (TRIM('Full month Pivot'!$C$3:$C$400)=TRIM($A71)) * ('Full month Pivot'!$D$2:$K$2=P$2) * 'Full month Pivot'!$D$3:$K$400), "")</f>
        <v/>
      </c>
      <c r="Q71" s="193">
        <f>IF(SUMPRODUCT((('Full month Pivot'!$B$3:$B$400=$A$63) + ('Full month Pivot'!$A$3:$A$400=$A$63) &gt; 0) * (TRIM('Full month Pivot'!$C$3:$C$400)=TRIM($A71)) * ('Full month Pivot'!$D$2:$K$2=Q$2) * 'Full month Pivot'!$D$3:$K$400)&gt;0, SUMPRODUCT((('Full month Pivot'!$B$3:$B$400=$A$63) + ('Full month Pivot'!$A$3:$A$400=$A$63) &gt; 0) * (TRIM('Full month Pivot'!$C$3:$C$400)=TRIM($A71)) * ('Full month Pivot'!$D$2:$K$2=Q$2) * 'Full month Pivot'!$D$3:$K$400), "")</f>
        <v/>
      </c>
      <c r="R71" s="193">
        <f>IF(SUMPRODUCT((('Full month Pivot'!$B$3:$B$400=$A$63) + ('Full month Pivot'!$A$3:$A$400=$A$63) &gt; 0) * (TRIM('Full month Pivot'!$C$3:$C$400)=TRIM($A71)) * ('Full month Pivot'!$D$2:$K$2=R$2) * 'Full month Pivot'!$D$3:$K$400)&gt;0, SUMPRODUCT((('Full month Pivot'!$B$3:$B$400=$A$63) + ('Full month Pivot'!$A$3:$A$400=$A$63) &gt; 0) * (TRIM('Full month Pivot'!$C$3:$C$400)=TRIM($A71)) * ('Full month Pivot'!$D$2:$K$2=R$2) * 'Full month Pivot'!$D$3:$K$400), "")</f>
        <v/>
      </c>
      <c r="S71" s="193">
        <f>IF(SUMPRODUCT((('Full month Pivot'!$B$3:$B$400=$A$63) + ('Full month Pivot'!$A$3:$A$400=$A$63) &gt; 0) * (TRIM('Full month Pivot'!$C$3:$C$400)=TRIM($A71)) * ('Full month Pivot'!$D$2:$K$2=S$2) * 'Full month Pivot'!$D$3:$K$400)&gt;0, SUMPRODUCT((('Full month Pivot'!$B$3:$B$400=$A$63) + ('Full month Pivot'!$A$3:$A$400=$A$63) &gt; 0) * (TRIM('Full month Pivot'!$C$3:$C$400)=TRIM($A71)) * ('Full month Pivot'!$D$2:$K$2=S$2) * 'Full month Pivot'!$D$3:$K$400), "")</f>
        <v/>
      </c>
      <c r="T71" s="193">
        <f>IF(SUMPRODUCT((('Full month Pivot'!$B$3:$B$400=$A$63) + ('Full month Pivot'!$A$3:$A$400=$A$63) &gt; 0) * (TRIM('Full month Pivot'!$C$3:$C$400)=TRIM($A71)) * ('Full month Pivot'!$D$2:$K$2=T$2) * 'Full month Pivot'!$D$3:$K$400)&gt;0, SUMPRODUCT((('Full month Pivot'!$B$3:$B$400=$A$63) + ('Full month Pivot'!$A$3:$A$400=$A$63) &gt; 0) * (TRIM('Full month Pivot'!$C$3:$C$400)=TRIM($A71)) * ('Full month Pivot'!$D$2:$K$2=T$2) * 'Full month Pivot'!$D$3:$K$400), "")</f>
        <v/>
      </c>
      <c r="U71" s="193">
        <f>IF(SUMPRODUCT((('Full month Pivot'!$B$3:$B$400=$A$63) + ('Full month Pivot'!$A$3:$A$400=$A$63) &gt; 0) * (TRIM('Full month Pivot'!$C$3:$C$400)=TRIM($A71)) * ('Full month Pivot'!$D$2:$K$2=U$2) * 'Full month Pivot'!$D$3:$K$400)&gt;0, SUMPRODUCT((('Full month Pivot'!$B$3:$B$400=$A$63) + ('Full month Pivot'!$A$3:$A$400=$A$63) &gt; 0) * (TRIM('Full month Pivot'!$C$3:$C$400)=TRIM($A71)) * ('Full month Pivot'!$D$2:$K$2=U$2) * 'Full month Pivot'!$D$3:$K$400), "")</f>
        <v/>
      </c>
      <c r="V71" s="193">
        <f>IF(SUMPRODUCT((('Full month Pivot'!$B$3:$B$400=$A$63) + ('Full month Pivot'!$A$3:$A$400=$A$63) &gt; 0) * (TRIM('Full month Pivot'!$C$3:$C$400)=TRIM($A71)) * ('Full month Pivot'!$D$2:$K$2=V$2) * 'Full month Pivot'!$D$3:$K$400)&gt;0, SUMPRODUCT((('Full month Pivot'!$B$3:$B$400=$A$63) + ('Full month Pivot'!$A$3:$A$400=$A$63) &gt; 0) * (TRIM('Full month Pivot'!$C$3:$C$400)=TRIM($A71)) * ('Full month Pivot'!$D$2:$K$2=V$2) * 'Full month Pivot'!$D$3:$K$400), "")</f>
        <v/>
      </c>
      <c r="W71" s="193">
        <f>IF(SUMPRODUCT((('Full month Pivot'!$B$3:$B$400=$A$63) + ('Full month Pivot'!$A$3:$A$400=$A$63) &gt; 0) * (TRIM('Full month Pivot'!$C$3:$C$400)=TRIM($A71)) * ('Full month Pivot'!$D$2:$K$2=W$2) * 'Full month Pivot'!$D$3:$K$400)&gt;0, SUMPRODUCT((('Full month Pivot'!$B$3:$B$400=$A$63) + ('Full month Pivot'!$A$3:$A$400=$A$63) &gt; 0) * (TRIM('Full month Pivot'!$C$3:$C$400)=TRIM($A71)) * ('Full month Pivot'!$D$2:$K$2=W$2) * 'Full month Pivot'!$D$3:$K$400), "")</f>
        <v/>
      </c>
      <c r="X71" s="193">
        <f>IF(SUMPRODUCT((('Full month Pivot'!$B$3:$B$400=$A$63) + ('Full month Pivot'!$A$3:$A$400=$A$63) &gt; 0) * (TRIM('Full month Pivot'!$C$3:$C$400)=TRIM($A71)) * ('Full month Pivot'!$D$2:$K$2=X$2) * 'Full month Pivot'!$D$3:$K$400)&gt;0, SUMPRODUCT((('Full month Pivot'!$B$3:$B$400=$A$63) + ('Full month Pivot'!$A$3:$A$400=$A$63) &gt; 0) * (TRIM('Full month Pivot'!$C$3:$C$400)=TRIM($A71)) * ('Full month Pivot'!$D$2:$K$2=X$2) * 'Full month Pivot'!$D$3:$K$400), "")</f>
        <v/>
      </c>
      <c r="Y71" s="193">
        <f>IF(SUMPRODUCT((('Full month Pivot'!$B$3:$B$400=$A$63) + ('Full month Pivot'!$A$3:$A$400=$A$63) &gt; 0) * (TRIM('Full month Pivot'!$C$3:$C$400)=TRIM($A71)) * ('Full month Pivot'!$D$2:$K$2=Y$2) * 'Full month Pivot'!$D$3:$K$400)&gt;0, SUMPRODUCT((('Full month Pivot'!$B$3:$B$400=$A$63) + ('Full month Pivot'!$A$3:$A$400=$A$63) &gt; 0) * (TRIM('Full month Pivot'!$C$3:$C$400)=TRIM($A71)) * ('Full month Pivot'!$D$2:$K$2=Y$2) * 'Full month Pivot'!$D$3:$K$400), "")</f>
        <v/>
      </c>
      <c r="Z71" s="193">
        <f>IF(SUMPRODUCT((('Full month Pivot'!$B$3:$B$400=$A$63) + ('Full month Pivot'!$A$3:$A$400=$A$63) &gt; 0) * (TRIM('Full month Pivot'!$C$3:$C$400)=TRIM($A71)) * ('Full month Pivot'!$D$2:$K$2=Z$2) * 'Full month Pivot'!$D$3:$K$400)&gt;0, SUMPRODUCT((('Full month Pivot'!$B$3:$B$400=$A$63) + ('Full month Pivot'!$A$3:$A$400=$A$63) &gt; 0) * (TRIM('Full month Pivot'!$C$3:$C$400)=TRIM($A71)) * ('Full month Pivot'!$D$2:$K$2=Z$2) * 'Full month Pivot'!$D$3:$K$400), "")</f>
        <v/>
      </c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202" t="inlineStr">
        <is>
          <t xml:space="preserve">  Referral</t>
        </is>
      </c>
      <c r="B72" s="193">
        <f>IF(SUMPRODUCT((('MTD Pivot'!$B$3:$B$400=$A$63) + ('MTD Pivot'!$A$3:$A$400=$A$63) &gt; 0) * (TRIM('MTD Pivot'!$C$3:$C$400)=TRIM($A72)) * ('MTD Pivot'!$D$2:$K$2=B$2) * 'MTD Pivot'!$D$3:$K$400)&gt;0, SUMPRODUCT((('MTD Pivot'!$B$3:$B$400=$A$63) + ('MTD Pivot'!$A$3:$A$400=$A$63) &gt; 0) * (TRIM('MTD Pivot'!$C$3:$C$400)=TRIM($A72)) * ('MTD Pivot'!$D$2:$K$2=B$2) * 'MTD Pivot'!$D$3:$K$400), "")</f>
        <v/>
      </c>
      <c r="C72" s="193">
        <f>IF(SUMPRODUCT((('MTD Pivot'!$B$3:$B$400=$A$63) + ('MTD Pivot'!$A$3:$A$400=$A$63) &gt; 0) * (TRIM('MTD Pivot'!$C$3:$C$400)=TRIM($A72)) * ('MTD Pivot'!$D$2:$K$2=C$2) * 'MTD Pivot'!$D$3:$K$400)&gt;0, SUMPRODUCT((('MTD Pivot'!$B$3:$B$400=$A$63) + ('MTD Pivot'!$A$3:$A$400=$A$63) &gt; 0) * (TRIM('MTD Pivot'!$C$3:$C$400)=TRIM($A72)) * ('MTD Pivot'!$D$2:$K$2=C$2) * 'MTD Pivot'!$D$3:$K$400), "")</f>
        <v/>
      </c>
      <c r="D72" s="193">
        <f>IF(SUMPRODUCT((('MTD Pivot'!$B$3:$B$400=$A$63) + ('MTD Pivot'!$A$3:$A$400=$A$63) &gt; 0) * (TRIM('MTD Pivot'!$C$3:$C$400)=TRIM($A72)) * ('MTD Pivot'!$D$2:$K$2=D$2) * 'MTD Pivot'!$D$3:$K$400)&gt;0, SUMPRODUCT((('MTD Pivot'!$B$3:$B$400=$A$63) + ('MTD Pivot'!$A$3:$A$400=$A$63) &gt; 0) * (TRIM('MTD Pivot'!$C$3:$C$400)=TRIM($A72)) * ('MTD Pivot'!$D$2:$K$2=D$2) * 'MTD Pivot'!$D$3:$K$400), "")</f>
        <v/>
      </c>
      <c r="E72" s="193">
        <f>IF(SUMPRODUCT((('MTD Pivot'!$B$3:$B$400=$A$63) + ('MTD Pivot'!$A$3:$A$400=$A$63) &gt; 0) * (TRIM('MTD Pivot'!$C$3:$C$400)=TRIM($A72)) * ('MTD Pivot'!$D$2:$K$2=E$2) * 'MTD Pivot'!$D$3:$K$400)&gt;0, SUMPRODUCT((('MTD Pivot'!$B$3:$B$400=$A$63) + ('MTD Pivot'!$A$3:$A$400=$A$63) &gt; 0) * (TRIM('MTD Pivot'!$C$3:$C$400)=TRIM($A72)) * ('MTD Pivot'!$D$2:$K$2=E$2) * 'MTD Pivot'!$D$3:$K$400), "")</f>
        <v/>
      </c>
      <c r="F72" s="193">
        <f>IF(SUMPRODUCT((('MTD Pivot'!$B$3:$B$400=$A$63) + ('MTD Pivot'!$A$3:$A$400=$A$63) &gt; 0) * (TRIM('MTD Pivot'!$C$3:$C$400)=TRIM($A72)) * ('MTD Pivot'!$D$2:$K$2=F$2) * 'MTD Pivot'!$D$3:$K$400)&gt;0, SUMPRODUCT((('MTD Pivot'!$B$3:$B$400=$A$63) + ('MTD Pivot'!$A$3:$A$400=$A$63) &gt; 0) * (TRIM('MTD Pivot'!$C$3:$C$400)=TRIM($A72)) * ('MTD Pivot'!$D$2:$K$2=F$2) * 'MTD Pivot'!$D$3:$K$400), "")</f>
        <v/>
      </c>
      <c r="G72" s="193">
        <f>IF(SUMPRODUCT((('MTD Pivot'!$B$3:$B$400=$A$63) + ('MTD Pivot'!$A$3:$A$400=$A$63) &gt; 0) * (TRIM('MTD Pivot'!$C$3:$C$400)=TRIM($A72)) * ('MTD Pivot'!$D$2:$K$2=G$2) * 'MTD Pivot'!$D$3:$K$400)&gt;0, SUMPRODUCT((('MTD Pivot'!$B$3:$B$400=$A$63) + ('MTD Pivot'!$A$3:$A$400=$A$63) &gt; 0) * (TRIM('MTD Pivot'!$C$3:$C$400)=TRIM($A72)) * ('MTD Pivot'!$D$2:$K$2=G$2) * 'MTD Pivot'!$D$3:$K$400), "")</f>
        <v/>
      </c>
      <c r="H72" s="193">
        <f>IF(SUMPRODUCT((('MTD Pivot'!$B$3:$B$400=$A$63) + ('MTD Pivot'!$A$3:$A$400=$A$63) &gt; 0) * (TRIM('MTD Pivot'!$C$3:$C$400)=TRIM($A72)) * ('MTD Pivot'!$D$2:$K$2=H$2) * 'MTD Pivot'!$D$3:$K$400)&gt;0, SUMPRODUCT((('MTD Pivot'!$B$3:$B$400=$A$63) + ('MTD Pivot'!$A$3:$A$400=$A$63) &gt; 0) * (TRIM('MTD Pivot'!$C$3:$C$400)=TRIM($A72)) * ('MTD Pivot'!$D$2:$K$2=H$2) * 'MTD Pivot'!$D$3:$K$400), "")</f>
        <v/>
      </c>
      <c r="I72" s="193">
        <f>IF(SUMPRODUCT((('MTD Pivot'!$B$3:$B$400=$A$63) + ('MTD Pivot'!$A$3:$A$400=$A$63) &gt; 0) * (TRIM('MTD Pivot'!$C$3:$C$400)=TRIM($A72)) * ('MTD Pivot'!$D$2:$K$2=I$2) * 'MTD Pivot'!$D$3:$K$400)&gt;0, SUMPRODUCT((('MTD Pivot'!$B$3:$B$400=$A$63) + ('MTD Pivot'!$A$3:$A$400=$A$63) &gt; 0) * (TRIM('MTD Pivot'!$C$3:$C$400)=TRIM($A72)) * ('MTD Pivot'!$D$2:$K$2=I$2) * 'MTD Pivot'!$D$3:$K$400), "")</f>
        <v/>
      </c>
      <c r="J72" s="193">
        <f>IF(SUMPRODUCT((('MTD Pivot'!$B$3:$B$400=$A$63) + ('MTD Pivot'!$A$3:$A$400=$A$63) &gt; 0) * (TRIM('MTD Pivot'!$C$3:$C$400)=TRIM($A72)) * ('MTD Pivot'!$D$2:$K$2=J$2) * 'MTD Pivot'!$D$3:$K$400)&gt;0, SUMPRODUCT((('MTD Pivot'!$B$3:$B$400=$A$63) + ('MTD Pivot'!$A$3:$A$400=$A$63) &gt; 0) * (TRIM('MTD Pivot'!$C$3:$C$400)=TRIM($A72)) * ('MTD Pivot'!$D$2:$K$2=J$2) * 'MTD Pivot'!$D$3:$K$400), "")</f>
        <v/>
      </c>
      <c r="K72" s="193">
        <f>IF(SUMPRODUCT((('MTD Pivot'!$B$3:$B$400=$A$63) + ('MTD Pivot'!$A$3:$A$400=$A$63) &gt; 0) * (TRIM('MTD Pivot'!$C$3:$C$400)=TRIM($A72)) * ('MTD Pivot'!$D$2:$K$2=K$2) * 'MTD Pivot'!$D$3:$K$400)&gt;0, SUMPRODUCT((('MTD Pivot'!$B$3:$B$400=$A$63) + ('MTD Pivot'!$A$3:$A$400=$A$63) &gt; 0) * (TRIM('MTD Pivot'!$C$3:$C$400)=TRIM($A72)) * ('MTD Pivot'!$D$2:$K$2=K$2) * 'MTD Pivot'!$D$3:$K$400), "")</f>
        <v/>
      </c>
      <c r="L72" s="193">
        <f>IF(SUMPRODUCT((('MTD Pivot'!$B$3:$B$400=$A$63) + ('MTD Pivot'!$A$3:$A$400=$A$63) &gt; 0) * (TRIM('MTD Pivot'!$C$3:$C$400)=TRIM($A72)) * ('MTD Pivot'!$D$2:$K$2=L$2) * 'MTD Pivot'!$D$3:$K$400)&gt;0, SUMPRODUCT((('MTD Pivot'!$B$3:$B$400=$A$63) + ('MTD Pivot'!$A$3:$A$400=$A$63) &gt; 0) * (TRIM('MTD Pivot'!$C$3:$C$400)=TRIM($A72)) * ('MTD Pivot'!$D$2:$K$2=L$2) * 'MTD Pivot'!$D$3:$K$400), "")</f>
        <v/>
      </c>
      <c r="M72" s="193">
        <f>IF(SUMPRODUCT((('MTD Pivot'!$B$3:$B$400=$A$63) + ('MTD Pivot'!$A$3:$A$400=$A$63) &gt; 0) * (TRIM('MTD Pivot'!$C$3:$C$400)=TRIM($A72)) * ('MTD Pivot'!$D$2:$K$2=M$2) * 'MTD Pivot'!$D$3:$K$400)&gt;0, SUMPRODUCT((('MTD Pivot'!$B$3:$B$400=$A$63) + ('MTD Pivot'!$A$3:$A$400=$A$63) &gt; 0) * (TRIM('MTD Pivot'!$C$3:$C$400)=TRIM($A72)) * ('MTD Pivot'!$D$2:$K$2=M$2) * 'MTD Pivot'!$D$3:$K$400), "")</f>
        <v/>
      </c>
      <c r="N72" s="157">
        <f>IF(AND(ISNUMBER(K72), ISNUMBER(J72), J72&gt;0), (K72-J72)/J72, "")</f>
        <v/>
      </c>
      <c r="O72" s="193">
        <f>IF(SUMPRODUCT((('Full month Pivot'!$B$3:$B$400=$A$63) + ('Full month Pivot'!$A$3:$A$400=$A$63) &gt; 0) * (TRIM('Full month Pivot'!$C$3:$C$400)=TRIM($A72)) * ('Full month Pivot'!$D$2:$K$2=O$2) * 'Full month Pivot'!$D$3:$K$400)&gt;0, SUMPRODUCT((('Full month Pivot'!$B$3:$B$400=$A$63) + ('Full month Pivot'!$A$3:$A$400=$A$63) &gt; 0) * (TRIM('Full month Pivot'!$C$3:$C$400)=TRIM($A72)) * ('Full month Pivot'!$D$2:$K$2=O$2) * 'Full month Pivot'!$D$3:$K$400), "")</f>
        <v/>
      </c>
      <c r="P72" s="193">
        <f>IF(SUMPRODUCT((('Full month Pivot'!$B$3:$B$400=$A$63) + ('Full month Pivot'!$A$3:$A$400=$A$63) &gt; 0) * (TRIM('Full month Pivot'!$C$3:$C$400)=TRIM($A72)) * ('Full month Pivot'!$D$2:$K$2=P$2) * 'Full month Pivot'!$D$3:$K$400)&gt;0, SUMPRODUCT((('Full month Pivot'!$B$3:$B$400=$A$63) + ('Full month Pivot'!$A$3:$A$400=$A$63) &gt; 0) * (TRIM('Full month Pivot'!$C$3:$C$400)=TRIM($A72)) * ('Full month Pivot'!$D$2:$K$2=P$2) * 'Full month Pivot'!$D$3:$K$400), "")</f>
        <v/>
      </c>
      <c r="Q72" s="193">
        <f>IF(SUMPRODUCT((('Full month Pivot'!$B$3:$B$400=$A$63) + ('Full month Pivot'!$A$3:$A$400=$A$63) &gt; 0) * (TRIM('Full month Pivot'!$C$3:$C$400)=TRIM($A72)) * ('Full month Pivot'!$D$2:$K$2=Q$2) * 'Full month Pivot'!$D$3:$K$400)&gt;0, SUMPRODUCT((('Full month Pivot'!$B$3:$B$400=$A$63) + ('Full month Pivot'!$A$3:$A$400=$A$63) &gt; 0) * (TRIM('Full month Pivot'!$C$3:$C$400)=TRIM($A72)) * ('Full month Pivot'!$D$2:$K$2=Q$2) * 'Full month Pivot'!$D$3:$K$400), "")</f>
        <v/>
      </c>
      <c r="R72" s="193">
        <f>IF(SUMPRODUCT((('Full month Pivot'!$B$3:$B$400=$A$63) + ('Full month Pivot'!$A$3:$A$400=$A$63) &gt; 0) * (TRIM('Full month Pivot'!$C$3:$C$400)=TRIM($A72)) * ('Full month Pivot'!$D$2:$K$2=R$2) * 'Full month Pivot'!$D$3:$K$400)&gt;0, SUMPRODUCT((('Full month Pivot'!$B$3:$B$400=$A$63) + ('Full month Pivot'!$A$3:$A$400=$A$63) &gt; 0) * (TRIM('Full month Pivot'!$C$3:$C$400)=TRIM($A72)) * ('Full month Pivot'!$D$2:$K$2=R$2) * 'Full month Pivot'!$D$3:$K$400), "")</f>
        <v/>
      </c>
      <c r="S72" s="193">
        <f>IF(SUMPRODUCT((('Full month Pivot'!$B$3:$B$400=$A$63) + ('Full month Pivot'!$A$3:$A$400=$A$63) &gt; 0) * (TRIM('Full month Pivot'!$C$3:$C$400)=TRIM($A72)) * ('Full month Pivot'!$D$2:$K$2=S$2) * 'Full month Pivot'!$D$3:$K$400)&gt;0, SUMPRODUCT((('Full month Pivot'!$B$3:$B$400=$A$63) + ('Full month Pivot'!$A$3:$A$400=$A$63) &gt; 0) * (TRIM('Full month Pivot'!$C$3:$C$400)=TRIM($A72)) * ('Full month Pivot'!$D$2:$K$2=S$2) * 'Full month Pivot'!$D$3:$K$400), "")</f>
        <v/>
      </c>
      <c r="T72" s="193">
        <f>IF(SUMPRODUCT((('Full month Pivot'!$B$3:$B$400=$A$63) + ('Full month Pivot'!$A$3:$A$400=$A$63) &gt; 0) * (TRIM('Full month Pivot'!$C$3:$C$400)=TRIM($A72)) * ('Full month Pivot'!$D$2:$K$2=T$2) * 'Full month Pivot'!$D$3:$K$400)&gt;0, SUMPRODUCT((('Full month Pivot'!$B$3:$B$400=$A$63) + ('Full month Pivot'!$A$3:$A$400=$A$63) &gt; 0) * (TRIM('Full month Pivot'!$C$3:$C$400)=TRIM($A72)) * ('Full month Pivot'!$D$2:$K$2=T$2) * 'Full month Pivot'!$D$3:$K$400), "")</f>
        <v/>
      </c>
      <c r="U72" s="193">
        <f>IF(SUMPRODUCT((('Full month Pivot'!$B$3:$B$400=$A$63) + ('Full month Pivot'!$A$3:$A$400=$A$63) &gt; 0) * (TRIM('Full month Pivot'!$C$3:$C$400)=TRIM($A72)) * ('Full month Pivot'!$D$2:$K$2=U$2) * 'Full month Pivot'!$D$3:$K$400)&gt;0, SUMPRODUCT((('Full month Pivot'!$B$3:$B$400=$A$63) + ('Full month Pivot'!$A$3:$A$400=$A$63) &gt; 0) * (TRIM('Full month Pivot'!$C$3:$C$400)=TRIM($A72)) * ('Full month Pivot'!$D$2:$K$2=U$2) * 'Full month Pivot'!$D$3:$K$400), "")</f>
        <v/>
      </c>
      <c r="V72" s="193">
        <f>IF(SUMPRODUCT((('Full month Pivot'!$B$3:$B$400=$A$63) + ('Full month Pivot'!$A$3:$A$400=$A$63) &gt; 0) * (TRIM('Full month Pivot'!$C$3:$C$400)=TRIM($A72)) * ('Full month Pivot'!$D$2:$K$2=V$2) * 'Full month Pivot'!$D$3:$K$400)&gt;0, SUMPRODUCT((('Full month Pivot'!$B$3:$B$400=$A$63) + ('Full month Pivot'!$A$3:$A$400=$A$63) &gt; 0) * (TRIM('Full month Pivot'!$C$3:$C$400)=TRIM($A72)) * ('Full month Pivot'!$D$2:$K$2=V$2) * 'Full month Pivot'!$D$3:$K$400), "")</f>
        <v/>
      </c>
      <c r="W72" s="193">
        <f>IF(SUMPRODUCT((('Full month Pivot'!$B$3:$B$400=$A$63) + ('Full month Pivot'!$A$3:$A$400=$A$63) &gt; 0) * (TRIM('Full month Pivot'!$C$3:$C$400)=TRIM($A72)) * ('Full month Pivot'!$D$2:$K$2=W$2) * 'Full month Pivot'!$D$3:$K$400)&gt;0, SUMPRODUCT((('Full month Pivot'!$B$3:$B$400=$A$63) + ('Full month Pivot'!$A$3:$A$400=$A$63) &gt; 0) * (TRIM('Full month Pivot'!$C$3:$C$400)=TRIM($A72)) * ('Full month Pivot'!$D$2:$K$2=W$2) * 'Full month Pivot'!$D$3:$K$400), "")</f>
        <v/>
      </c>
      <c r="X72" s="193">
        <f>IF(SUMPRODUCT((('Full month Pivot'!$B$3:$B$400=$A$63) + ('Full month Pivot'!$A$3:$A$400=$A$63) &gt; 0) * (TRIM('Full month Pivot'!$C$3:$C$400)=TRIM($A72)) * ('Full month Pivot'!$D$2:$K$2=X$2) * 'Full month Pivot'!$D$3:$K$400)&gt;0, SUMPRODUCT((('Full month Pivot'!$B$3:$B$400=$A$63) + ('Full month Pivot'!$A$3:$A$400=$A$63) &gt; 0) * (TRIM('Full month Pivot'!$C$3:$C$400)=TRIM($A72)) * ('Full month Pivot'!$D$2:$K$2=X$2) * 'Full month Pivot'!$D$3:$K$400), "")</f>
        <v/>
      </c>
      <c r="Y72" s="193">
        <f>IF(SUMPRODUCT((('Full month Pivot'!$B$3:$B$400=$A$63) + ('Full month Pivot'!$A$3:$A$400=$A$63) &gt; 0) * (TRIM('Full month Pivot'!$C$3:$C$400)=TRIM($A72)) * ('Full month Pivot'!$D$2:$K$2=Y$2) * 'Full month Pivot'!$D$3:$K$400)&gt;0, SUMPRODUCT((('Full month Pivot'!$B$3:$B$400=$A$63) + ('Full month Pivot'!$A$3:$A$400=$A$63) &gt; 0) * (TRIM('Full month Pivot'!$C$3:$C$400)=TRIM($A72)) * ('Full month Pivot'!$D$2:$K$2=Y$2) * 'Full month Pivot'!$D$3:$K$400), "")</f>
        <v/>
      </c>
      <c r="Z72" s="193">
        <f>IF(SUMPRODUCT((('Full month Pivot'!$B$3:$B$400=$A$63) + ('Full month Pivot'!$A$3:$A$400=$A$63) &gt; 0) * (TRIM('Full month Pivot'!$C$3:$C$400)=TRIM($A72)) * ('Full month Pivot'!$D$2:$K$2=Z$2) * 'Full month Pivot'!$D$3:$K$400)&gt;0, SUMPRODUCT((('Full month Pivot'!$B$3:$B$400=$A$63) + ('Full month Pivot'!$A$3:$A$400=$A$63) &gt; 0) * (TRIM('Full month Pivot'!$C$3:$C$400)=TRIM($A72)) * ('Full month Pivot'!$D$2:$K$2=Z$2) * 'Full month Pivot'!$D$3:$K$400), "")</f>
        <v/>
      </c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202" t="inlineStr">
        <is>
          <t xml:space="preserve">  Others</t>
        </is>
      </c>
      <c r="B73" s="193">
        <f>IF(SUMPRODUCT((('MTD Pivot'!$B$3:$B$400=$A$63) + ('MTD Pivot'!$A$3:$A$400=$A$63) &gt; 0) * (TRIM('MTD Pivot'!$C$3:$C$400)=TRIM($A73)) * ('MTD Pivot'!$D$2:$K$2=B$2) * 'MTD Pivot'!$D$3:$K$400)&gt;0, SUMPRODUCT((('MTD Pivot'!$B$3:$B$400=$A$63) + ('MTD Pivot'!$A$3:$A$400=$A$63) &gt; 0) * (TRIM('MTD Pivot'!$C$3:$C$400)=TRIM($A73)) * ('MTD Pivot'!$D$2:$K$2=B$2) * 'MTD Pivot'!$D$3:$K$400), "")</f>
        <v/>
      </c>
      <c r="C73" s="193">
        <f>IF(SUMPRODUCT((('MTD Pivot'!$B$3:$B$400=$A$63) + ('MTD Pivot'!$A$3:$A$400=$A$63) &gt; 0) * (TRIM('MTD Pivot'!$C$3:$C$400)=TRIM($A73)) * ('MTD Pivot'!$D$2:$K$2=C$2) * 'MTD Pivot'!$D$3:$K$400)&gt;0, SUMPRODUCT((('MTD Pivot'!$B$3:$B$400=$A$63) + ('MTD Pivot'!$A$3:$A$400=$A$63) &gt; 0) * (TRIM('MTD Pivot'!$C$3:$C$400)=TRIM($A73)) * ('MTD Pivot'!$D$2:$K$2=C$2) * 'MTD Pivot'!$D$3:$K$400), "")</f>
        <v/>
      </c>
      <c r="D73" s="193">
        <f>IF(SUMPRODUCT((('MTD Pivot'!$B$3:$B$400=$A$63) + ('MTD Pivot'!$A$3:$A$400=$A$63) &gt; 0) * (TRIM('MTD Pivot'!$C$3:$C$400)=TRIM($A73)) * ('MTD Pivot'!$D$2:$K$2=D$2) * 'MTD Pivot'!$D$3:$K$400)&gt;0, SUMPRODUCT((('MTD Pivot'!$B$3:$B$400=$A$63) + ('MTD Pivot'!$A$3:$A$400=$A$63) &gt; 0) * (TRIM('MTD Pivot'!$C$3:$C$400)=TRIM($A73)) * ('MTD Pivot'!$D$2:$K$2=D$2) * 'MTD Pivot'!$D$3:$K$400), "")</f>
        <v/>
      </c>
      <c r="E73" s="193">
        <f>IF(SUMPRODUCT((('MTD Pivot'!$B$3:$B$400=$A$63) + ('MTD Pivot'!$A$3:$A$400=$A$63) &gt; 0) * (TRIM('MTD Pivot'!$C$3:$C$400)=TRIM($A73)) * ('MTD Pivot'!$D$2:$K$2=E$2) * 'MTD Pivot'!$D$3:$K$400)&gt;0, SUMPRODUCT((('MTD Pivot'!$B$3:$B$400=$A$63) + ('MTD Pivot'!$A$3:$A$400=$A$63) &gt; 0) * (TRIM('MTD Pivot'!$C$3:$C$400)=TRIM($A73)) * ('MTD Pivot'!$D$2:$K$2=E$2) * 'MTD Pivot'!$D$3:$K$400), "")</f>
        <v/>
      </c>
      <c r="F73" s="193">
        <f>IF(SUMPRODUCT((('MTD Pivot'!$B$3:$B$400=$A$63) + ('MTD Pivot'!$A$3:$A$400=$A$63) &gt; 0) * (TRIM('MTD Pivot'!$C$3:$C$400)=TRIM($A73)) * ('MTD Pivot'!$D$2:$K$2=F$2) * 'MTD Pivot'!$D$3:$K$400)&gt;0, SUMPRODUCT((('MTD Pivot'!$B$3:$B$400=$A$63) + ('MTD Pivot'!$A$3:$A$400=$A$63) &gt; 0) * (TRIM('MTD Pivot'!$C$3:$C$400)=TRIM($A73)) * ('MTD Pivot'!$D$2:$K$2=F$2) * 'MTD Pivot'!$D$3:$K$400), "")</f>
        <v/>
      </c>
      <c r="G73" s="193">
        <f>IF(SUMPRODUCT((('MTD Pivot'!$B$3:$B$400=$A$63) + ('MTD Pivot'!$A$3:$A$400=$A$63) &gt; 0) * (TRIM('MTD Pivot'!$C$3:$C$400)=TRIM($A73)) * ('MTD Pivot'!$D$2:$K$2=G$2) * 'MTD Pivot'!$D$3:$K$400)&gt;0, SUMPRODUCT((('MTD Pivot'!$B$3:$B$400=$A$63) + ('MTD Pivot'!$A$3:$A$400=$A$63) &gt; 0) * (TRIM('MTD Pivot'!$C$3:$C$400)=TRIM($A73)) * ('MTD Pivot'!$D$2:$K$2=G$2) * 'MTD Pivot'!$D$3:$K$400), "")</f>
        <v/>
      </c>
      <c r="H73" s="193">
        <f>IF(SUMPRODUCT((('MTD Pivot'!$B$3:$B$400=$A$63) + ('MTD Pivot'!$A$3:$A$400=$A$63) &gt; 0) * (TRIM('MTD Pivot'!$C$3:$C$400)=TRIM($A73)) * ('MTD Pivot'!$D$2:$K$2=H$2) * 'MTD Pivot'!$D$3:$K$400)&gt;0, SUMPRODUCT((('MTD Pivot'!$B$3:$B$400=$A$63) + ('MTD Pivot'!$A$3:$A$400=$A$63) &gt; 0) * (TRIM('MTD Pivot'!$C$3:$C$400)=TRIM($A73)) * ('MTD Pivot'!$D$2:$K$2=H$2) * 'MTD Pivot'!$D$3:$K$400), "")</f>
        <v/>
      </c>
      <c r="I73" s="193">
        <f>IF(SUMPRODUCT((('MTD Pivot'!$B$3:$B$400=$A$63) + ('MTD Pivot'!$A$3:$A$400=$A$63) &gt; 0) * (TRIM('MTD Pivot'!$C$3:$C$400)=TRIM($A73)) * ('MTD Pivot'!$D$2:$K$2=I$2) * 'MTD Pivot'!$D$3:$K$400)&gt;0, SUMPRODUCT((('MTD Pivot'!$B$3:$B$400=$A$63) + ('MTD Pivot'!$A$3:$A$400=$A$63) &gt; 0) * (TRIM('MTD Pivot'!$C$3:$C$400)=TRIM($A73)) * ('MTD Pivot'!$D$2:$K$2=I$2) * 'MTD Pivot'!$D$3:$K$400), "")</f>
        <v/>
      </c>
      <c r="J73" s="193">
        <f>IF(SUMPRODUCT((('MTD Pivot'!$B$3:$B$400=$A$63) + ('MTD Pivot'!$A$3:$A$400=$A$63) &gt; 0) * (TRIM('MTD Pivot'!$C$3:$C$400)=TRIM($A73)) * ('MTD Pivot'!$D$2:$K$2=J$2) * 'MTD Pivot'!$D$3:$K$400)&gt;0, SUMPRODUCT((('MTD Pivot'!$B$3:$B$400=$A$63) + ('MTD Pivot'!$A$3:$A$400=$A$63) &gt; 0) * (TRIM('MTD Pivot'!$C$3:$C$400)=TRIM($A73)) * ('MTD Pivot'!$D$2:$K$2=J$2) * 'MTD Pivot'!$D$3:$K$400), "")</f>
        <v/>
      </c>
      <c r="K73" s="193">
        <f>IF(SUMPRODUCT((('MTD Pivot'!$B$3:$B$400=$A$63) + ('MTD Pivot'!$A$3:$A$400=$A$63) &gt; 0) * (TRIM('MTD Pivot'!$C$3:$C$400)=TRIM($A73)) * ('MTD Pivot'!$D$2:$K$2=K$2) * 'MTD Pivot'!$D$3:$K$400)&gt;0, SUMPRODUCT((('MTD Pivot'!$B$3:$B$400=$A$63) + ('MTD Pivot'!$A$3:$A$400=$A$63) &gt; 0) * (TRIM('MTD Pivot'!$C$3:$C$400)=TRIM($A73)) * ('MTD Pivot'!$D$2:$K$2=K$2) * 'MTD Pivot'!$D$3:$K$400), "")</f>
        <v/>
      </c>
      <c r="L73" s="193">
        <f>IF(SUMPRODUCT((('MTD Pivot'!$B$3:$B$400=$A$63) + ('MTD Pivot'!$A$3:$A$400=$A$63) &gt; 0) * (TRIM('MTD Pivot'!$C$3:$C$400)=TRIM($A73)) * ('MTD Pivot'!$D$2:$K$2=L$2) * 'MTD Pivot'!$D$3:$K$400)&gt;0, SUMPRODUCT((('MTD Pivot'!$B$3:$B$400=$A$63) + ('MTD Pivot'!$A$3:$A$400=$A$63) &gt; 0) * (TRIM('MTD Pivot'!$C$3:$C$400)=TRIM($A73)) * ('MTD Pivot'!$D$2:$K$2=L$2) * 'MTD Pivot'!$D$3:$K$400), "")</f>
        <v/>
      </c>
      <c r="M73" s="193">
        <f>IF(SUMPRODUCT((('MTD Pivot'!$B$3:$B$400=$A$63) + ('MTD Pivot'!$A$3:$A$400=$A$63) &gt; 0) * (TRIM('MTD Pivot'!$C$3:$C$400)=TRIM($A73)) * ('MTD Pivot'!$D$2:$K$2=M$2) * 'MTD Pivot'!$D$3:$K$400)&gt;0, SUMPRODUCT((('MTD Pivot'!$B$3:$B$400=$A$63) + ('MTD Pivot'!$A$3:$A$400=$A$63) &gt; 0) * (TRIM('MTD Pivot'!$C$3:$C$400)=TRIM($A73)) * ('MTD Pivot'!$D$2:$K$2=M$2) * 'MTD Pivot'!$D$3:$K$400), "")</f>
        <v/>
      </c>
      <c r="N73" s="157">
        <f>IF(AND(ISNUMBER(K73), ISNUMBER(J73), J73&gt;0), (K73-J73)/J73, "")</f>
        <v/>
      </c>
      <c r="O73" s="193">
        <f>IF(SUMPRODUCT((('Full month Pivot'!$B$3:$B$400=$A$63) + ('Full month Pivot'!$A$3:$A$400=$A$63) &gt; 0) * (TRIM('Full month Pivot'!$C$3:$C$400)=TRIM($A73)) * ('Full month Pivot'!$D$2:$K$2=O$2) * 'Full month Pivot'!$D$3:$K$400)&gt;0, SUMPRODUCT((('Full month Pivot'!$B$3:$B$400=$A$63) + ('Full month Pivot'!$A$3:$A$400=$A$63) &gt; 0) * (TRIM('Full month Pivot'!$C$3:$C$400)=TRIM($A73)) * ('Full month Pivot'!$D$2:$K$2=O$2) * 'Full month Pivot'!$D$3:$K$400), "")</f>
        <v/>
      </c>
      <c r="P73" s="193">
        <f>IF(SUMPRODUCT((('Full month Pivot'!$B$3:$B$400=$A$63) + ('Full month Pivot'!$A$3:$A$400=$A$63) &gt; 0) * (TRIM('Full month Pivot'!$C$3:$C$400)=TRIM($A73)) * ('Full month Pivot'!$D$2:$K$2=P$2) * 'Full month Pivot'!$D$3:$K$400)&gt;0, SUMPRODUCT((('Full month Pivot'!$B$3:$B$400=$A$63) + ('Full month Pivot'!$A$3:$A$400=$A$63) &gt; 0) * (TRIM('Full month Pivot'!$C$3:$C$400)=TRIM($A73)) * ('Full month Pivot'!$D$2:$K$2=P$2) * 'Full month Pivot'!$D$3:$K$400), "")</f>
        <v/>
      </c>
      <c r="Q73" s="193">
        <f>IF(SUMPRODUCT((('Full month Pivot'!$B$3:$B$400=$A$63) + ('Full month Pivot'!$A$3:$A$400=$A$63) &gt; 0) * (TRIM('Full month Pivot'!$C$3:$C$400)=TRIM($A73)) * ('Full month Pivot'!$D$2:$K$2=Q$2) * 'Full month Pivot'!$D$3:$K$400)&gt;0, SUMPRODUCT((('Full month Pivot'!$B$3:$B$400=$A$63) + ('Full month Pivot'!$A$3:$A$400=$A$63) &gt; 0) * (TRIM('Full month Pivot'!$C$3:$C$400)=TRIM($A73)) * ('Full month Pivot'!$D$2:$K$2=Q$2) * 'Full month Pivot'!$D$3:$K$400), "")</f>
        <v/>
      </c>
      <c r="R73" s="193">
        <f>IF(SUMPRODUCT((('Full month Pivot'!$B$3:$B$400=$A$63) + ('Full month Pivot'!$A$3:$A$400=$A$63) &gt; 0) * (TRIM('Full month Pivot'!$C$3:$C$400)=TRIM($A73)) * ('Full month Pivot'!$D$2:$K$2=R$2) * 'Full month Pivot'!$D$3:$K$400)&gt;0, SUMPRODUCT((('Full month Pivot'!$B$3:$B$400=$A$63) + ('Full month Pivot'!$A$3:$A$400=$A$63) &gt; 0) * (TRIM('Full month Pivot'!$C$3:$C$400)=TRIM($A73)) * ('Full month Pivot'!$D$2:$K$2=R$2) * 'Full month Pivot'!$D$3:$K$400), "")</f>
        <v/>
      </c>
      <c r="S73" s="193">
        <f>IF(SUMPRODUCT((('Full month Pivot'!$B$3:$B$400=$A$63) + ('Full month Pivot'!$A$3:$A$400=$A$63) &gt; 0) * (TRIM('Full month Pivot'!$C$3:$C$400)=TRIM($A73)) * ('Full month Pivot'!$D$2:$K$2=S$2) * 'Full month Pivot'!$D$3:$K$400)&gt;0, SUMPRODUCT((('Full month Pivot'!$B$3:$B$400=$A$63) + ('Full month Pivot'!$A$3:$A$400=$A$63) &gt; 0) * (TRIM('Full month Pivot'!$C$3:$C$400)=TRIM($A73)) * ('Full month Pivot'!$D$2:$K$2=S$2) * 'Full month Pivot'!$D$3:$K$400), "")</f>
        <v/>
      </c>
      <c r="T73" s="193">
        <f>IF(SUMPRODUCT((('Full month Pivot'!$B$3:$B$400=$A$63) + ('Full month Pivot'!$A$3:$A$400=$A$63) &gt; 0) * (TRIM('Full month Pivot'!$C$3:$C$400)=TRIM($A73)) * ('Full month Pivot'!$D$2:$K$2=T$2) * 'Full month Pivot'!$D$3:$K$400)&gt;0, SUMPRODUCT((('Full month Pivot'!$B$3:$B$400=$A$63) + ('Full month Pivot'!$A$3:$A$400=$A$63) &gt; 0) * (TRIM('Full month Pivot'!$C$3:$C$400)=TRIM($A73)) * ('Full month Pivot'!$D$2:$K$2=T$2) * 'Full month Pivot'!$D$3:$K$400), "")</f>
        <v/>
      </c>
      <c r="U73" s="193">
        <f>IF(SUMPRODUCT((('Full month Pivot'!$B$3:$B$400=$A$63) + ('Full month Pivot'!$A$3:$A$400=$A$63) &gt; 0) * (TRIM('Full month Pivot'!$C$3:$C$400)=TRIM($A73)) * ('Full month Pivot'!$D$2:$K$2=U$2) * 'Full month Pivot'!$D$3:$K$400)&gt;0, SUMPRODUCT((('Full month Pivot'!$B$3:$B$400=$A$63) + ('Full month Pivot'!$A$3:$A$400=$A$63) &gt; 0) * (TRIM('Full month Pivot'!$C$3:$C$400)=TRIM($A73)) * ('Full month Pivot'!$D$2:$K$2=U$2) * 'Full month Pivot'!$D$3:$K$400), "")</f>
        <v/>
      </c>
      <c r="V73" s="193">
        <f>IF(SUMPRODUCT((('Full month Pivot'!$B$3:$B$400=$A$63) + ('Full month Pivot'!$A$3:$A$400=$A$63) &gt; 0) * (TRIM('Full month Pivot'!$C$3:$C$400)=TRIM($A73)) * ('Full month Pivot'!$D$2:$K$2=V$2) * 'Full month Pivot'!$D$3:$K$400)&gt;0, SUMPRODUCT((('Full month Pivot'!$B$3:$B$400=$A$63) + ('Full month Pivot'!$A$3:$A$400=$A$63) &gt; 0) * (TRIM('Full month Pivot'!$C$3:$C$400)=TRIM($A73)) * ('Full month Pivot'!$D$2:$K$2=V$2) * 'Full month Pivot'!$D$3:$K$400), "")</f>
        <v/>
      </c>
      <c r="W73" s="193">
        <f>IF(SUMPRODUCT((('Full month Pivot'!$B$3:$B$400=$A$63) + ('Full month Pivot'!$A$3:$A$400=$A$63) &gt; 0) * (TRIM('Full month Pivot'!$C$3:$C$400)=TRIM($A73)) * ('Full month Pivot'!$D$2:$K$2=W$2) * 'Full month Pivot'!$D$3:$K$400)&gt;0, SUMPRODUCT((('Full month Pivot'!$B$3:$B$400=$A$63) + ('Full month Pivot'!$A$3:$A$400=$A$63) &gt; 0) * (TRIM('Full month Pivot'!$C$3:$C$400)=TRIM($A73)) * ('Full month Pivot'!$D$2:$K$2=W$2) * 'Full month Pivot'!$D$3:$K$400), "")</f>
        <v/>
      </c>
      <c r="X73" s="193">
        <f>IF(SUMPRODUCT((('Full month Pivot'!$B$3:$B$400=$A$63) + ('Full month Pivot'!$A$3:$A$400=$A$63) &gt; 0) * (TRIM('Full month Pivot'!$C$3:$C$400)=TRIM($A73)) * ('Full month Pivot'!$D$2:$K$2=X$2) * 'Full month Pivot'!$D$3:$K$400)&gt;0, SUMPRODUCT((('Full month Pivot'!$B$3:$B$400=$A$63) + ('Full month Pivot'!$A$3:$A$400=$A$63) &gt; 0) * (TRIM('Full month Pivot'!$C$3:$C$400)=TRIM($A73)) * ('Full month Pivot'!$D$2:$K$2=X$2) * 'Full month Pivot'!$D$3:$K$400), "")</f>
        <v/>
      </c>
      <c r="Y73" s="193">
        <f>IF(SUMPRODUCT((('Full month Pivot'!$B$3:$B$400=$A$63) + ('Full month Pivot'!$A$3:$A$400=$A$63) &gt; 0) * (TRIM('Full month Pivot'!$C$3:$C$400)=TRIM($A73)) * ('Full month Pivot'!$D$2:$K$2=Y$2) * 'Full month Pivot'!$D$3:$K$400)&gt;0, SUMPRODUCT((('Full month Pivot'!$B$3:$B$400=$A$63) + ('Full month Pivot'!$A$3:$A$400=$A$63) &gt; 0) * (TRIM('Full month Pivot'!$C$3:$C$400)=TRIM($A73)) * ('Full month Pivot'!$D$2:$K$2=Y$2) * 'Full month Pivot'!$D$3:$K$400), "")</f>
        <v/>
      </c>
      <c r="Z73" s="193">
        <f>IF(SUMPRODUCT((('Full month Pivot'!$B$3:$B$400=$A$63) + ('Full month Pivot'!$A$3:$A$400=$A$63) &gt; 0) * (TRIM('Full month Pivot'!$C$3:$C$400)=TRIM($A73)) * ('Full month Pivot'!$D$2:$K$2=Z$2) * 'Full month Pivot'!$D$3:$K$400)&gt;0, SUMPRODUCT((('Full month Pivot'!$B$3:$B$400=$A$63) + ('Full month Pivot'!$A$3:$A$400=$A$63) &gt; 0) * (TRIM('Full month Pivot'!$C$3:$C$400)=TRIM($A73)) * ('Full month Pivot'!$D$2:$K$2=Z$2) * 'Full month Pivot'!$D$3:$K$400), "")</f>
        <v/>
      </c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140" t="n"/>
      <c r="AC74" s="140" t="n"/>
      <c r="AD74" s="140" t="n"/>
    </row>
    <row r="75" ht="15.75" customHeight="1" s="346">
      <c r="A75" s="145" t="inlineStr">
        <is>
          <t>New User</t>
        </is>
      </c>
      <c r="B75" s="145" t="n"/>
      <c r="C75" s="145" t="n"/>
      <c r="D75" s="145" t="n"/>
      <c r="E75" s="145" t="n"/>
      <c r="F75" s="145" t="n"/>
      <c r="G75" s="145" t="n"/>
      <c r="H75" s="145" t="n"/>
      <c r="I75" s="145" t="n"/>
      <c r="J75" s="145" t="n"/>
      <c r="K75" s="145" t="n"/>
      <c r="L75" s="145" t="n"/>
      <c r="M75" s="145" t="n"/>
      <c r="N75" s="145" t="n"/>
      <c r="O75" s="145" t="n"/>
      <c r="P75" s="145" t="n"/>
      <c r="Q75" s="145" t="n"/>
      <c r="R75" s="145" t="n"/>
      <c r="S75" s="145" t="n"/>
      <c r="T75" s="145" t="n"/>
      <c r="U75" s="145" t="n"/>
      <c r="V75" s="145" t="n"/>
      <c r="W75" s="145" t="n"/>
      <c r="X75" s="145" t="n"/>
      <c r="Y75" s="145" t="n"/>
      <c r="Z75" s="145" t="n"/>
      <c r="AA75" s="145" t="n"/>
      <c r="AB75" s="140" t="n"/>
      <c r="AC75" s="140" t="n"/>
      <c r="AD75" s="140" t="n"/>
    </row>
    <row r="76" ht="15.75" customHeight="1" s="346">
      <c r="A76" s="146" t="inlineStr">
        <is>
          <t>Page views</t>
        </is>
      </c>
      <c r="B76" s="147">
        <f>IF(SUM(B81:B85)&gt;0, SUM(B81:B85), "")</f>
        <v/>
      </c>
      <c r="C76" s="147">
        <f>IF(SUM(C81:C85)&gt;0, SUM(C81:C85), "")</f>
        <v/>
      </c>
      <c r="D76" s="147">
        <f>IF(SUM(D81:D85)&gt;0, SUM(D81:D85), "")</f>
        <v/>
      </c>
      <c r="E76" s="147">
        <f>IF(SUM(E81:E85)&gt;0, SUM(E81:E85), "")</f>
        <v/>
      </c>
      <c r="F76" s="147">
        <f>IF(SUM(F81:F85)&gt;0, SUM(F81:F85), "")</f>
        <v/>
      </c>
      <c r="G76" s="147">
        <f>IF(SUM(G81:G85)&gt;0, SUM(G81:G85), "")</f>
        <v/>
      </c>
      <c r="H76" s="147">
        <f>IF(SUM(H81:H85)&gt;0, SUM(H81:H85), "")</f>
        <v/>
      </c>
      <c r="I76" s="147">
        <f>IF(SUM(I81:I85)&gt;0, SUM(I81:I85), "")</f>
        <v/>
      </c>
      <c r="J76" s="147">
        <f>IF(SUM(J81:J85)&gt;0, SUM(J81:J85), "")</f>
        <v/>
      </c>
      <c r="K76" s="147">
        <f>IF(SUM(K81:K85)&gt;0, SUM(K81:K85), "")</f>
        <v/>
      </c>
      <c r="L76" s="147">
        <f>IF(SUM(L81:L85)&gt;0, SUM(L81:L85), "")</f>
        <v/>
      </c>
      <c r="M76" s="147">
        <f>IF(SUM(M81:M85)&gt;0, SUM(M81:M85), "")</f>
        <v/>
      </c>
      <c r="N76" s="148">
        <f>IFERROR((K76-J76)/J76, "")</f>
        <v/>
      </c>
      <c r="O76" s="147">
        <f>IF(SUM(O81:O85)&gt;0, SUM(O81:O85), "")</f>
        <v/>
      </c>
      <c r="P76" s="147">
        <f>IF(SUM(P81:P85)&gt;0, SUM(P81:P85), "")</f>
        <v/>
      </c>
      <c r="Q76" s="147">
        <f>IF(SUM(Q81:Q85)&gt;0, SUM(Q81:Q85), "")</f>
        <v/>
      </c>
      <c r="R76" s="147">
        <f>IF(SUM(R81:R85)&gt;0, SUM(R81:R85), "")</f>
        <v/>
      </c>
      <c r="S76" s="147">
        <f>IF(SUM(S81:S85)&gt;0, SUM(S81:S85), "")</f>
        <v/>
      </c>
      <c r="T76" s="147">
        <f>IF(SUM(T81:T85)&gt;0, SUM(T81:T85), "")</f>
        <v/>
      </c>
      <c r="U76" s="147">
        <f>IF(SUM(U81:U85)&gt;0, SUM(U81:U85), "")</f>
        <v/>
      </c>
      <c r="V76" s="147">
        <f>IF(SUM(V81:V85)&gt;0, SUM(V81:V85), "")</f>
        <v/>
      </c>
      <c r="W76" s="147">
        <f>IF(SUM(W81:W85)&gt;0, SUM(W81:W85), "")</f>
        <v/>
      </c>
      <c r="X76" s="147">
        <f>IF(SUM(X81:X85)&gt;0, SUM(X81:X85), "")</f>
        <v/>
      </c>
      <c r="Y76" s="147">
        <f>IF(SUM(Y81:Y85)&gt;0, SUM(Y81:Y85), "")</f>
        <v/>
      </c>
      <c r="Z76" s="147">
        <f>IF(SUM(Z81:Z85)&gt;0, SUM(Z81:Z85), "")</f>
        <v/>
      </c>
      <c r="AA76" s="148">
        <f>IFERROR((X76-W76)/W76, "")</f>
        <v/>
      </c>
      <c r="AB76" s="140" t="n"/>
      <c r="AC76" s="140" t="n"/>
      <c r="AD76" s="140" t="n"/>
    </row>
    <row r="77" ht="15.75" customHeight="1" s="346">
      <c r="A77" s="150" t="inlineStr">
        <is>
          <t xml:space="preserve">  Click CTA</t>
        </is>
      </c>
      <c r="B77" s="150" t="n"/>
      <c r="C77" s="150" t="n"/>
      <c r="D77" s="150" t="n"/>
      <c r="E77" s="150" t="n"/>
      <c r="F77" s="150" t="n">
        <v>2337</v>
      </c>
      <c r="G77" s="150" t="n">
        <v>498</v>
      </c>
      <c r="H77" s="150" t="n">
        <v>765</v>
      </c>
      <c r="I77" s="150" t="n">
        <v>4925</v>
      </c>
      <c r="J77" s="150" t="n">
        <v>3939</v>
      </c>
      <c r="K77" s="150" t="n">
        <v>5714</v>
      </c>
      <c r="L77" s="150" t="n"/>
      <c r="M77" s="150" t="n"/>
      <c r="N77" s="151">
        <f>IFERROR((K77-J77)/J77, "")</f>
        <v/>
      </c>
      <c r="O77" s="150" t="n"/>
      <c r="P77" s="150" t="n"/>
      <c r="Q77" s="150" t="n"/>
      <c r="R77" s="150" t="n"/>
      <c r="S77" s="150" t="n">
        <v>2392</v>
      </c>
      <c r="T77" s="150" t="n">
        <v>525</v>
      </c>
      <c r="U77" s="150" t="n">
        <v>850</v>
      </c>
      <c r="V77" s="150" t="n">
        <v>5357</v>
      </c>
      <c r="W77" s="150" t="n">
        <v>4131</v>
      </c>
      <c r="X77" s="150" t="n">
        <v>5714</v>
      </c>
      <c r="Y77" s="150" t="n"/>
      <c r="Z77" s="150" t="n"/>
      <c r="AA77" s="151">
        <f>IFERROR((X77-W77)/W77, "")</f>
        <v/>
      </c>
      <c r="AB77" s="140" t="n"/>
      <c r="AC77" s="140" t="n"/>
      <c r="AD77" s="140" t="n"/>
    </row>
    <row r="78" ht="15.75" customHeight="1" s="346">
      <c r="A78" s="152" t="inlineStr">
        <is>
          <t xml:space="preserve">  Net change</t>
        </is>
      </c>
      <c r="B78" s="153" t="n"/>
      <c r="C78" s="153">
        <f>IF(AND(ISNUMBER(C76), ISNUMBER(B76), B76&gt;0, C76&gt;0), C76-B76, "")</f>
        <v/>
      </c>
      <c r="D78" s="153">
        <f>IF(AND(ISNUMBER(D76), ISNUMBER(C76), C76&gt;0, D76&gt;0), D76-C76, "")</f>
        <v/>
      </c>
      <c r="E78" s="153">
        <f>IF(AND(ISNUMBER(E76), ISNUMBER(D76), D76&gt;0, E76&gt;0), E76-D76, "")</f>
        <v/>
      </c>
      <c r="F78" s="153">
        <f>IF(AND(ISNUMBER(F76), ISNUMBER(E76), E76&gt;0, F76&gt;0), F76-E76, "")</f>
        <v/>
      </c>
      <c r="G78" s="153">
        <f>IF(AND(ISNUMBER(G76), ISNUMBER(F76), F76&gt;0, G76&gt;0), G76-F76, "")</f>
        <v/>
      </c>
      <c r="H78" s="153">
        <f>IF(AND(ISNUMBER(H76), ISNUMBER(G76), G76&gt;0, H76&gt;0), H76-G76, "")</f>
        <v/>
      </c>
      <c r="I78" s="153">
        <f>IF(AND(ISNUMBER(I76), ISNUMBER(H76), H76&gt;0, I76&gt;0), I76-H76, "")</f>
        <v/>
      </c>
      <c r="J78" s="153">
        <f>IF(AND(ISNUMBER(J76), ISNUMBER(I76), I76&gt;0, J76&gt;0), J76-I76, "")</f>
        <v/>
      </c>
      <c r="K78" s="153">
        <f>IF(AND(ISNUMBER(K76), ISNUMBER(J76), J76&gt;0, K76&gt;0), K76-J76, "")</f>
        <v/>
      </c>
      <c r="L78" s="153">
        <f>IF(AND(ISNUMBER(L76), ISNUMBER(K76), K76&gt;0, L76&gt;0), L76-K76, "")</f>
        <v/>
      </c>
      <c r="M78" s="153">
        <f>IF(AND(ISNUMBER(M76), ISNUMBER(L76), L76&gt;0, M76&gt;0), M76-L76, "")</f>
        <v/>
      </c>
      <c r="N78" s="153" t="n"/>
      <c r="O78" s="153" t="n"/>
      <c r="P78" s="153">
        <f>IF(AND(ISNUMBER(P76), ISNUMBER(O76), O76&gt;0, P76&gt;0), P76-O76, "")</f>
        <v/>
      </c>
      <c r="Q78" s="153">
        <f>IF(AND(ISNUMBER(Q76), ISNUMBER(P76), P76&gt;0, Q76&gt;0), Q76-P76, "")</f>
        <v/>
      </c>
      <c r="R78" s="153">
        <f>IF(AND(ISNUMBER(R76), ISNUMBER(Q76), Q76&gt;0, R76&gt;0), R76-Q76, "")</f>
        <v/>
      </c>
      <c r="S78" s="153">
        <f>IF(AND(ISNUMBER(S76), ISNUMBER(R76), R76&gt;0, S76&gt;0), S76-R76, "")</f>
        <v/>
      </c>
      <c r="T78" s="153">
        <f>IF(AND(ISNUMBER(T76), ISNUMBER(S76), S76&gt;0, T76&gt;0), T76-S76, "")</f>
        <v/>
      </c>
      <c r="U78" s="153">
        <f>IF(AND(ISNUMBER(U76), ISNUMBER(T76), T76&gt;0, U76&gt;0), U76-T76, "")</f>
        <v/>
      </c>
      <c r="V78" s="153">
        <f>IF(AND(ISNUMBER(V76), ISNUMBER(U76), U76&gt;0, V76&gt;0), V76-U76, "")</f>
        <v/>
      </c>
      <c r="W78" s="153">
        <f>IF(AND(ISNUMBER(W76), ISNUMBER(V76), V76&gt;0, W76&gt;0), W76-V76, "")</f>
        <v/>
      </c>
      <c r="X78" s="153">
        <f>IF(AND(ISNUMBER(X76), ISNUMBER(W76), W76&gt;0, X76&gt;0), X76-W76, "")</f>
        <v/>
      </c>
      <c r="Y78" s="153">
        <f>IF(AND(ISNUMBER(Y76), ISNUMBER(X76), X76&gt;0, Y76&gt;0), Y76-X76, "")</f>
        <v/>
      </c>
      <c r="Z78" s="153">
        <f>IF(AND(ISNUMBER(Z76), ISNUMBER(Y76), Y76&gt;0, Z76&gt;0), Z76-Y76, "")</f>
        <v/>
      </c>
      <c r="AA78" s="153" t="n"/>
      <c r="AB78" s="140" t="n"/>
      <c r="AC78" s="140" t="n"/>
      <c r="AD78" s="140" t="n"/>
    </row>
    <row r="79" ht="15.75" customHeight="1" s="346">
      <c r="A79" s="152" t="inlineStr">
        <is>
          <t xml:space="preserve">  % Growth rate</t>
        </is>
      </c>
      <c r="B79" s="203" t="n"/>
      <c r="C79" s="203">
        <f>IF(AND(ISNUMBER(C76), ISNUMBER(B76), B76&gt;0, C76&gt;0), (C76-B76)/B76, "")</f>
        <v/>
      </c>
      <c r="D79" s="203">
        <f>IF(AND(ISNUMBER(D76), ISNUMBER(C76), C76&gt;0, D76&gt;0), (D76-C76)/C76, "")</f>
        <v/>
      </c>
      <c r="E79" s="203">
        <f>IF(AND(ISNUMBER(E76), ISNUMBER(D76), D76&gt;0, E76&gt;0), (E76-D76)/D76, "")</f>
        <v/>
      </c>
      <c r="F79" s="203">
        <f>IF(AND(ISNUMBER(F76), ISNUMBER(E76), E76&gt;0, F76&gt;0), (F76-E76)/E76, "")</f>
        <v/>
      </c>
      <c r="G79" s="203">
        <f>IF(AND(ISNUMBER(G76), ISNUMBER(F76), F76&gt;0, G76&gt;0), (G76-F76)/F76, "")</f>
        <v/>
      </c>
      <c r="H79" s="203">
        <f>IF(AND(ISNUMBER(H76), ISNUMBER(G76), G76&gt;0, H76&gt;0), (H76-G76)/G76, "")</f>
        <v/>
      </c>
      <c r="I79" s="203">
        <f>IF(AND(ISNUMBER(I76), ISNUMBER(H76), H76&gt;0, I76&gt;0), (I76-H76)/H76, "")</f>
        <v/>
      </c>
      <c r="J79" s="203">
        <f>IF(AND(ISNUMBER(J76), ISNUMBER(I76), I76&gt;0, J76&gt;0), (J76-I76)/I76, "")</f>
        <v/>
      </c>
      <c r="K79" s="203">
        <f>IF(AND(ISNUMBER(K76), ISNUMBER(J76), J76&gt;0, K76&gt;0), (K76-J76)/J76, "")</f>
        <v/>
      </c>
      <c r="L79" s="203">
        <f>IF(AND(ISNUMBER(L76), ISNUMBER(K76), K76&gt;0, L76&gt;0), (L76-K76)/K76, "")</f>
        <v/>
      </c>
      <c r="M79" s="203">
        <f>IF(AND(ISNUMBER(M76), ISNUMBER(L76), L76&gt;0, M76&gt;0), (M76-L76)/L76, "")</f>
        <v/>
      </c>
      <c r="N79" s="203" t="n"/>
      <c r="O79" s="203" t="n"/>
      <c r="P79" s="203">
        <f>IF(AND(ISNUMBER(P76), ISNUMBER(O76), O76&gt;0, P76&gt;0), (P76-O76)/O76, "")</f>
        <v/>
      </c>
      <c r="Q79" s="203">
        <f>IF(AND(ISNUMBER(Q76), ISNUMBER(P76), P76&gt;0, Q76&gt;0), (Q76-P76)/P76, "")</f>
        <v/>
      </c>
      <c r="R79" s="203">
        <f>IF(AND(ISNUMBER(R76), ISNUMBER(Q76), Q76&gt;0, R76&gt;0), (R76-Q76)/Q76, "")</f>
        <v/>
      </c>
      <c r="S79" s="203">
        <f>IF(AND(ISNUMBER(S76), ISNUMBER(R76), R76&gt;0, S76&gt;0), (S76-R76)/R76, "")</f>
        <v/>
      </c>
      <c r="T79" s="203">
        <f>IF(AND(ISNUMBER(T76), ISNUMBER(S76), S76&gt;0, T76&gt;0), (T76-S76)/S76, "")</f>
        <v/>
      </c>
      <c r="U79" s="203">
        <f>IF(AND(ISNUMBER(U76), ISNUMBER(T76), T76&gt;0, U76&gt;0), (U76-T76)/T76, "")</f>
        <v/>
      </c>
      <c r="V79" s="203">
        <f>IF(AND(ISNUMBER(V76), ISNUMBER(U76), U76&gt;0, V76&gt;0), (V76-U76)/U76, "")</f>
        <v/>
      </c>
      <c r="W79" s="203">
        <f>IF(AND(ISNUMBER(W76), ISNUMBER(V76), V76&gt;0, W76&gt;0), (W76-V76)/V76, "")</f>
        <v/>
      </c>
      <c r="X79" s="203">
        <f>IF(AND(ISNUMBER(X76), ISNUMBER(W76), W76&gt;0, X76&gt;0), (X76-W76)/W76, "")</f>
        <v/>
      </c>
      <c r="Y79" s="203">
        <f>IF(AND(ISNUMBER(Y76), ISNUMBER(X76), X76&gt;0, Y76&gt;0), (Y76-X76)/X76, "")</f>
        <v/>
      </c>
      <c r="Z79" s="203">
        <f>IF(AND(ISNUMBER(Z76), ISNUMBER(Y76), Y76&gt;0, Z76&gt;0), (Z76-Y76)/Y76, "")</f>
        <v/>
      </c>
      <c r="AA79" s="203" t="n"/>
      <c r="AB79" s="140" t="n"/>
      <c r="AC79" s="140" t="n"/>
      <c r="AD79" s="140" t="n"/>
    </row>
    <row r="80" ht="15.75" customHeight="1" s="346">
      <c r="A80" s="202" t="inlineStr">
        <is>
          <t>Tỷ trọng trong tổng traffic</t>
        </is>
      </c>
      <c r="B80" s="156">
        <f t="array" ref="B80">IF(AND(ISNUMBER(B76), B76&gt;0), B76/INDEX('MTD Pivot'!$D$3:$K$400, MATCH("Grand Total", 'MTD Pivot'!$A$3:$A$400, 0), MATCH(B$2, 'MTD Pivot'!$D$2:$K$2, 0)), "")</f>
        <v/>
      </c>
      <c r="C80" s="156">
        <f t="array" ref="C80">IF(AND(ISNUMBER(C76), C76&gt;0), C76/INDEX('MTD Pivot'!$D$3:$K$400, MATCH("Grand Total", 'MTD Pivot'!$A$3:$A$400, 0), MATCH(C$2, 'MTD Pivot'!$D$2:$K$2, 0)), "")</f>
        <v/>
      </c>
      <c r="D80" s="156">
        <f t="array" ref="D80">IF(AND(ISNUMBER(D76), D76&gt;0), D76/INDEX('MTD Pivot'!$D$3:$K$400, MATCH("Grand Total", 'MTD Pivot'!$A$3:$A$400, 0), MATCH(D$2, 'MTD Pivot'!$D$2:$K$2, 0)), "")</f>
        <v/>
      </c>
      <c r="E80" s="156">
        <f t="array" ref="E80">IF(AND(ISNUMBER(E76), E76&gt;0), E76/INDEX('MTD Pivot'!$D$3:$K$400, MATCH("Grand Total", 'MTD Pivot'!$A$3:$A$400, 0), MATCH(E$2, 'MTD Pivot'!$D$2:$K$2, 0)), "")</f>
        <v/>
      </c>
      <c r="F80" s="156">
        <f t="array" ref="F80">IF(AND(ISNUMBER(F76), F76&gt;0), F76/INDEX('MTD Pivot'!$D$3:$K$400, MATCH("Grand Total", 'MTD Pivot'!$A$3:$A$400, 0), MATCH(F$2, 'MTD Pivot'!$D$2:$K$2, 0)), "")</f>
        <v/>
      </c>
      <c r="G80" s="156">
        <f t="array" ref="G80">IF(AND(ISNUMBER(G76), G76&gt;0), G76/INDEX('MTD Pivot'!$D$3:$K$400, MATCH("Grand Total", 'MTD Pivot'!$A$3:$A$400, 0), MATCH(G$2, 'MTD Pivot'!$D$2:$K$2, 0)), "")</f>
        <v/>
      </c>
      <c r="H80" s="156">
        <f t="array" ref="H80">IF(AND(ISNUMBER(H76), H76&gt;0), H76/INDEX('MTD Pivot'!$D$3:$K$400, MATCH("Grand Total", 'MTD Pivot'!$A$3:$A$400, 0), MATCH(H$2, 'MTD Pivot'!$D$2:$K$2, 0)), "")</f>
        <v/>
      </c>
      <c r="I80" s="156">
        <f t="array" ref="I80">IF(AND(ISNUMBER(I76), I76&gt;0), I76/INDEX('MTD Pivot'!$D$3:$K$400, MATCH("Grand Total", 'MTD Pivot'!$A$3:$A$400, 0), MATCH(I$2, 'MTD Pivot'!$D$2:$K$2, 0)), "")</f>
        <v/>
      </c>
      <c r="J80" s="156">
        <f t="array" ref="J80">IF(AND(ISNUMBER(J76), J76&gt;0), J76/INDEX('MTD Pivot'!$D$3:$K$400, MATCH("Grand Total", 'MTD Pivot'!$A$3:$A$400, 0), MATCH(J$2, 'MTD Pivot'!$D$2:$K$2, 0)), "")</f>
        <v/>
      </c>
      <c r="K80" s="156">
        <f t="array" ref="K80">IF(AND(ISNUMBER(K76), K76&gt;0), K76/INDEX('MTD Pivot'!$D$3:$K$400, MATCH("Grand Total", 'MTD Pivot'!$A$3:$A$400, 0), MATCH(K$2, 'MTD Pivot'!$D$2:$K$2, 0)), "")</f>
        <v/>
      </c>
      <c r="L80" s="156">
        <f t="array" ref="L80">IF(AND(ISNUMBER(L76), L76&gt;0), L76/INDEX('MTD Pivot'!$D$3:$K$400, MATCH("Grand Total", 'MTD Pivot'!$A$3:$A$400, 0), MATCH(L$2, 'MTD Pivot'!$D$2:$K$2, 0)), "")</f>
        <v/>
      </c>
      <c r="M80" s="156">
        <f t="array" ref="M80">IF(AND(ISNUMBER(M76), M76&gt;0), M76/INDEX('MTD Pivot'!$D$3:$K$400, MATCH("Grand Total", 'MTD Pivot'!$A$3:$A$400, 0), MATCH(M$2, 'MTD Pivot'!$D$2:$K$2, 0)), "")</f>
        <v/>
      </c>
      <c r="N80" s="157">
        <f>IF(AND(ISNUMBER(K80), ISNUMBER(J80)), K80-J80, "")</f>
        <v/>
      </c>
      <c r="O80" s="156">
        <f t="array" ref="O80">IF(AND(ISNUMBER(O76), O76&gt;0), O76/INDEX('Full month Pivot'!$D$3:$K$400, MATCH("Grand Total", 'Full month Pivot'!$A$3:$A$400, 0), MATCH(O$2, 'Full month Pivot'!$D$2:$K$2, 0)), "")</f>
        <v/>
      </c>
      <c r="P80" s="156">
        <f t="array" ref="P80">IF(AND(ISNUMBER(P76), P76&gt;0), P76/INDEX('Full month Pivot'!$D$3:$K$400, MATCH("Grand Total", 'Full month Pivot'!$A$3:$A$400, 0), MATCH(P$2, 'Full month Pivot'!$D$2:$K$2, 0)), "")</f>
        <v/>
      </c>
      <c r="Q80" s="156">
        <f t="array" ref="Q80">IF(AND(ISNUMBER(Q76), Q76&gt;0), Q76/INDEX('Full month Pivot'!$D$3:$K$400, MATCH("Grand Total", 'Full month Pivot'!$A$3:$A$400, 0), MATCH(Q$2, 'Full month Pivot'!$D$2:$K$2, 0)), "")</f>
        <v/>
      </c>
      <c r="R80" s="156">
        <f t="array" ref="R80">IF(AND(ISNUMBER(R76), R76&gt;0), R76/INDEX('Full month Pivot'!$D$3:$K$400, MATCH("Grand Total", 'Full month Pivot'!$A$3:$A$400, 0), MATCH(R$2, 'Full month Pivot'!$D$2:$K$2, 0)), "")</f>
        <v/>
      </c>
      <c r="S80" s="156">
        <f t="array" ref="S80">IF(AND(ISNUMBER(S76), S76&gt;0), S76/INDEX('Full month Pivot'!$D$3:$K$400, MATCH("Grand Total", 'Full month Pivot'!$A$3:$A$400, 0), MATCH(S$2, 'Full month Pivot'!$D$2:$K$2, 0)), "")</f>
        <v/>
      </c>
      <c r="T80" s="156">
        <f t="array" ref="T80">IF(AND(ISNUMBER(T76), T76&gt;0), T76/INDEX('Full month Pivot'!$D$3:$K$400, MATCH("Grand Total", 'Full month Pivot'!$A$3:$A$400, 0), MATCH(T$2, 'Full month Pivot'!$D$2:$K$2, 0)), "")</f>
        <v/>
      </c>
      <c r="U80" s="156">
        <f t="array" ref="U80">IF(AND(ISNUMBER(U76), U76&gt;0), U76/INDEX('Full month Pivot'!$D$3:$K$400, MATCH("Grand Total", 'Full month Pivot'!$A$3:$A$400, 0), MATCH(U$2, 'Full month Pivot'!$D$2:$K$2, 0)), "")</f>
        <v/>
      </c>
      <c r="V80" s="156">
        <f t="array" ref="V80">IF(AND(ISNUMBER(V76), V76&gt;0), V76/INDEX('Full month Pivot'!$D$3:$K$400, MATCH("Grand Total", 'Full month Pivot'!$A$3:$A$400, 0), MATCH(V$2, 'Full month Pivot'!$D$2:$K$2, 0)), "")</f>
        <v/>
      </c>
      <c r="W80" s="156">
        <f t="array" ref="W80">IF(AND(ISNUMBER(W76), W76&gt;0), W76/INDEX('Full month Pivot'!$D$3:$K$400, MATCH("Grand Total", 'Full month Pivot'!$A$3:$A$400, 0), MATCH(W$2, 'Full month Pivot'!$D$2:$K$2, 0)), "")</f>
        <v/>
      </c>
      <c r="X80" s="156">
        <f t="array" ref="X80">IF(AND(ISNUMBER(X76), X76&gt;0), X76/INDEX('Full month Pivot'!$D$3:$K$400, MATCH("Grand Total", 'Full month Pivot'!$A$3:$A$400, 0), MATCH(X$2, 'Full month Pivot'!$D$2:$K$2, 0)), "")</f>
        <v/>
      </c>
      <c r="Y80" s="156">
        <f t="array" ref="Y80">IF(AND(ISNUMBER(Y76), Y76&gt;0), Y76/INDEX('Full month Pivot'!$D$3:$K$400, MATCH("Grand Total", 'Full month Pivot'!$A$3:$A$400, 0), MATCH(Y$2, 'Full month Pivot'!$D$2:$K$2, 0)), "")</f>
        <v/>
      </c>
      <c r="Z80" s="156">
        <f t="array" ref="Z80">IF(AND(ISNUMBER(Z76), Z76&gt;0), Z76/INDEX('Full month Pivot'!$D$3:$K$400, MATCH("Grand Total", 'Full month Pivot'!$A$3:$A$400, 0), MATCH(Z$2, 'Full month Pivot'!$D$2:$K$2, 0)), "")</f>
        <v/>
      </c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202" t="inlineStr">
        <is>
          <t xml:space="preserve">  Organic</t>
        </is>
      </c>
      <c r="B81" s="193">
        <f>IF(SUMPRODUCT((('MTD Pivot'!$B$3:$B$400=$A$75) + ('MTD Pivot'!$A$3:$A$400=$A$75) &gt; 0) * (TRIM('MTD Pivot'!$C$3:$C$400)=TRIM($A81)) * ('MTD Pivot'!$D$2:$K$2=B$2) * 'MTD Pivot'!$D$3:$K$400)&gt;0, SUMPRODUCT((('MTD Pivot'!$B$3:$B$400=$A$75) + ('MTD Pivot'!$A$3:$A$400=$A$75) &gt; 0) * (TRIM('MTD Pivot'!$C$3:$C$400)=TRIM($A81)) * ('MTD Pivot'!$D$2:$K$2=B$2) * 'MTD Pivot'!$D$3:$K$400), "")</f>
        <v/>
      </c>
      <c r="C81" s="193">
        <f>IF(SUMPRODUCT((('MTD Pivot'!$B$3:$B$400=$A$75) + ('MTD Pivot'!$A$3:$A$400=$A$75) &gt; 0) * (TRIM('MTD Pivot'!$C$3:$C$400)=TRIM($A81)) * ('MTD Pivot'!$D$2:$K$2=C$2) * 'MTD Pivot'!$D$3:$K$400)&gt;0, SUMPRODUCT((('MTD Pivot'!$B$3:$B$400=$A$75) + ('MTD Pivot'!$A$3:$A$400=$A$75) &gt; 0) * (TRIM('MTD Pivot'!$C$3:$C$400)=TRIM($A81)) * ('MTD Pivot'!$D$2:$K$2=C$2) * 'MTD Pivot'!$D$3:$K$400), "")</f>
        <v/>
      </c>
      <c r="D81" s="193">
        <f>IF(SUMPRODUCT((('MTD Pivot'!$B$3:$B$400=$A$75) + ('MTD Pivot'!$A$3:$A$400=$A$75) &gt; 0) * (TRIM('MTD Pivot'!$C$3:$C$400)=TRIM($A81)) * ('MTD Pivot'!$D$2:$K$2=D$2) * 'MTD Pivot'!$D$3:$K$400)&gt;0, SUMPRODUCT((('MTD Pivot'!$B$3:$B$400=$A$75) + ('MTD Pivot'!$A$3:$A$400=$A$75) &gt; 0) * (TRIM('MTD Pivot'!$C$3:$C$400)=TRIM($A81)) * ('MTD Pivot'!$D$2:$K$2=D$2) * 'MTD Pivot'!$D$3:$K$400), "")</f>
        <v/>
      </c>
      <c r="E81" s="193">
        <f>IF(SUMPRODUCT((('MTD Pivot'!$B$3:$B$400=$A$75) + ('MTD Pivot'!$A$3:$A$400=$A$75) &gt; 0) * (TRIM('MTD Pivot'!$C$3:$C$400)=TRIM($A81)) * ('MTD Pivot'!$D$2:$K$2=E$2) * 'MTD Pivot'!$D$3:$K$400)&gt;0, SUMPRODUCT((('MTD Pivot'!$B$3:$B$400=$A$75) + ('MTD Pivot'!$A$3:$A$400=$A$75) &gt; 0) * (TRIM('MTD Pivot'!$C$3:$C$400)=TRIM($A81)) * ('MTD Pivot'!$D$2:$K$2=E$2) * 'MTD Pivot'!$D$3:$K$400), "")</f>
        <v/>
      </c>
      <c r="F81" s="193">
        <f>IF(SUMPRODUCT((('MTD Pivot'!$B$3:$B$400=$A$75) + ('MTD Pivot'!$A$3:$A$400=$A$75) &gt; 0) * (TRIM('MTD Pivot'!$C$3:$C$400)=TRIM($A81)) * ('MTD Pivot'!$D$2:$K$2=F$2) * 'MTD Pivot'!$D$3:$K$400)&gt;0, SUMPRODUCT((('MTD Pivot'!$B$3:$B$400=$A$75) + ('MTD Pivot'!$A$3:$A$400=$A$75) &gt; 0) * (TRIM('MTD Pivot'!$C$3:$C$400)=TRIM($A81)) * ('MTD Pivot'!$D$2:$K$2=F$2) * 'MTD Pivot'!$D$3:$K$400), "")</f>
        <v/>
      </c>
      <c r="G81" s="193">
        <f>IF(SUMPRODUCT((('MTD Pivot'!$B$3:$B$400=$A$75) + ('MTD Pivot'!$A$3:$A$400=$A$75) &gt; 0) * (TRIM('MTD Pivot'!$C$3:$C$400)=TRIM($A81)) * ('MTD Pivot'!$D$2:$K$2=G$2) * 'MTD Pivot'!$D$3:$K$400)&gt;0, SUMPRODUCT((('MTD Pivot'!$B$3:$B$400=$A$75) + ('MTD Pivot'!$A$3:$A$400=$A$75) &gt; 0) * (TRIM('MTD Pivot'!$C$3:$C$400)=TRIM($A81)) * ('MTD Pivot'!$D$2:$K$2=G$2) * 'MTD Pivot'!$D$3:$K$400), "")</f>
        <v/>
      </c>
      <c r="H81" s="193">
        <f>IF(SUMPRODUCT((('MTD Pivot'!$B$3:$B$400=$A$75) + ('MTD Pivot'!$A$3:$A$400=$A$75) &gt; 0) * (TRIM('MTD Pivot'!$C$3:$C$400)=TRIM($A81)) * ('MTD Pivot'!$D$2:$K$2=H$2) * 'MTD Pivot'!$D$3:$K$400)&gt;0, SUMPRODUCT((('MTD Pivot'!$B$3:$B$400=$A$75) + ('MTD Pivot'!$A$3:$A$400=$A$75) &gt; 0) * (TRIM('MTD Pivot'!$C$3:$C$400)=TRIM($A81)) * ('MTD Pivot'!$D$2:$K$2=H$2) * 'MTD Pivot'!$D$3:$K$400), "")</f>
        <v/>
      </c>
      <c r="I81" s="193">
        <f>IF(SUMPRODUCT((('MTD Pivot'!$B$3:$B$400=$A$75) + ('MTD Pivot'!$A$3:$A$400=$A$75) &gt; 0) * (TRIM('MTD Pivot'!$C$3:$C$400)=TRIM($A81)) * ('MTD Pivot'!$D$2:$K$2=I$2) * 'MTD Pivot'!$D$3:$K$400)&gt;0, SUMPRODUCT((('MTD Pivot'!$B$3:$B$400=$A$75) + ('MTD Pivot'!$A$3:$A$400=$A$75) &gt; 0) * (TRIM('MTD Pivot'!$C$3:$C$400)=TRIM($A81)) * ('MTD Pivot'!$D$2:$K$2=I$2) * 'MTD Pivot'!$D$3:$K$400), "")</f>
        <v/>
      </c>
      <c r="J81" s="193">
        <f>IF(SUMPRODUCT((('MTD Pivot'!$B$3:$B$400=$A$75) + ('MTD Pivot'!$A$3:$A$400=$A$75) &gt; 0) * (TRIM('MTD Pivot'!$C$3:$C$400)=TRIM($A81)) * ('MTD Pivot'!$D$2:$K$2=J$2) * 'MTD Pivot'!$D$3:$K$400)&gt;0, SUMPRODUCT((('MTD Pivot'!$B$3:$B$400=$A$75) + ('MTD Pivot'!$A$3:$A$400=$A$75) &gt; 0) * (TRIM('MTD Pivot'!$C$3:$C$400)=TRIM($A81)) * ('MTD Pivot'!$D$2:$K$2=J$2) * 'MTD Pivot'!$D$3:$K$400), "")</f>
        <v/>
      </c>
      <c r="K81" s="193">
        <f>IF(SUMPRODUCT((('MTD Pivot'!$B$3:$B$400=$A$75) + ('MTD Pivot'!$A$3:$A$400=$A$75) &gt; 0) * (TRIM('MTD Pivot'!$C$3:$C$400)=TRIM($A81)) * ('MTD Pivot'!$D$2:$K$2=K$2) * 'MTD Pivot'!$D$3:$K$400)&gt;0, SUMPRODUCT((('MTD Pivot'!$B$3:$B$400=$A$75) + ('MTD Pivot'!$A$3:$A$400=$A$75) &gt; 0) * (TRIM('MTD Pivot'!$C$3:$C$400)=TRIM($A81)) * ('MTD Pivot'!$D$2:$K$2=K$2) * 'MTD Pivot'!$D$3:$K$400), "")</f>
        <v/>
      </c>
      <c r="L81" s="193">
        <f>IF(SUMPRODUCT((('MTD Pivot'!$B$3:$B$400=$A$75) + ('MTD Pivot'!$A$3:$A$400=$A$75) &gt; 0) * (TRIM('MTD Pivot'!$C$3:$C$400)=TRIM($A81)) * ('MTD Pivot'!$D$2:$K$2=L$2) * 'MTD Pivot'!$D$3:$K$400)&gt;0, SUMPRODUCT((('MTD Pivot'!$B$3:$B$400=$A$75) + ('MTD Pivot'!$A$3:$A$400=$A$75) &gt; 0) * (TRIM('MTD Pivot'!$C$3:$C$400)=TRIM($A81)) * ('MTD Pivot'!$D$2:$K$2=L$2) * 'MTD Pivot'!$D$3:$K$400), "")</f>
        <v/>
      </c>
      <c r="M81" s="193">
        <f>IF(SUMPRODUCT((('MTD Pivot'!$B$3:$B$400=$A$75) + ('MTD Pivot'!$A$3:$A$400=$A$75) &gt; 0) * (TRIM('MTD Pivot'!$C$3:$C$400)=TRIM($A81)) * ('MTD Pivot'!$D$2:$K$2=M$2) * 'MTD Pivot'!$D$3:$K$400)&gt;0, SUMPRODUCT((('MTD Pivot'!$B$3:$B$400=$A$75) + ('MTD Pivot'!$A$3:$A$400=$A$75) &gt; 0) * (TRIM('MTD Pivot'!$C$3:$C$400)=TRIM($A81)) * ('MTD Pivot'!$D$2:$K$2=M$2) * 'MTD Pivot'!$D$3:$K$400), "")</f>
        <v/>
      </c>
      <c r="N81" s="157">
        <f>IF(AND(ISNUMBER(K81), ISNUMBER(J81), J81&gt;0), (K81-J81)/J81, "")</f>
        <v/>
      </c>
      <c r="O81" s="193">
        <f>IF(SUMPRODUCT((('Full month Pivot'!$B$3:$B$400=$A$75) + ('Full month Pivot'!$A$3:$A$400=$A$75) &gt; 0) * (TRIM('Full month Pivot'!$C$3:$C$400)=TRIM($A81)) * ('Full month Pivot'!$D$2:$K$2=O$2) * 'Full month Pivot'!$D$3:$K$400)&gt;0, SUMPRODUCT((('Full month Pivot'!$B$3:$B$400=$A$75) + ('Full month Pivot'!$A$3:$A$400=$A$75) &gt; 0) * (TRIM('Full month Pivot'!$C$3:$C$400)=TRIM($A81)) * ('Full month Pivot'!$D$2:$K$2=O$2) * 'Full month Pivot'!$D$3:$K$400), "")</f>
        <v/>
      </c>
      <c r="P81" s="193">
        <f>IF(SUMPRODUCT((('Full month Pivot'!$B$3:$B$400=$A$75) + ('Full month Pivot'!$A$3:$A$400=$A$75) &gt; 0) * (TRIM('Full month Pivot'!$C$3:$C$400)=TRIM($A81)) * ('Full month Pivot'!$D$2:$K$2=P$2) * 'Full month Pivot'!$D$3:$K$400)&gt;0, SUMPRODUCT((('Full month Pivot'!$B$3:$B$400=$A$75) + ('Full month Pivot'!$A$3:$A$400=$A$75) &gt; 0) * (TRIM('Full month Pivot'!$C$3:$C$400)=TRIM($A81)) * ('Full month Pivot'!$D$2:$K$2=P$2) * 'Full month Pivot'!$D$3:$K$400), "")</f>
        <v/>
      </c>
      <c r="Q81" s="193">
        <f>IF(SUMPRODUCT((('Full month Pivot'!$B$3:$B$400=$A$75) + ('Full month Pivot'!$A$3:$A$400=$A$75) &gt; 0) * (TRIM('Full month Pivot'!$C$3:$C$400)=TRIM($A81)) * ('Full month Pivot'!$D$2:$K$2=Q$2) * 'Full month Pivot'!$D$3:$K$400)&gt;0, SUMPRODUCT((('Full month Pivot'!$B$3:$B$400=$A$75) + ('Full month Pivot'!$A$3:$A$400=$A$75) &gt; 0) * (TRIM('Full month Pivot'!$C$3:$C$400)=TRIM($A81)) * ('Full month Pivot'!$D$2:$K$2=Q$2) * 'Full month Pivot'!$D$3:$K$400), "")</f>
        <v/>
      </c>
      <c r="R81" s="193">
        <f>IF(SUMPRODUCT((('Full month Pivot'!$B$3:$B$400=$A$75) + ('Full month Pivot'!$A$3:$A$400=$A$75) &gt; 0) * (TRIM('Full month Pivot'!$C$3:$C$400)=TRIM($A81)) * ('Full month Pivot'!$D$2:$K$2=R$2) * 'Full month Pivot'!$D$3:$K$400)&gt;0, SUMPRODUCT((('Full month Pivot'!$B$3:$B$400=$A$75) + ('Full month Pivot'!$A$3:$A$400=$A$75) &gt; 0) * (TRIM('Full month Pivot'!$C$3:$C$400)=TRIM($A81)) * ('Full month Pivot'!$D$2:$K$2=R$2) * 'Full month Pivot'!$D$3:$K$400), "")</f>
        <v/>
      </c>
      <c r="S81" s="193">
        <f>IF(SUMPRODUCT((('Full month Pivot'!$B$3:$B$400=$A$75) + ('Full month Pivot'!$A$3:$A$400=$A$75) &gt; 0) * (TRIM('Full month Pivot'!$C$3:$C$400)=TRIM($A81)) * ('Full month Pivot'!$D$2:$K$2=S$2) * 'Full month Pivot'!$D$3:$K$400)&gt;0, SUMPRODUCT((('Full month Pivot'!$B$3:$B$400=$A$75) + ('Full month Pivot'!$A$3:$A$400=$A$75) &gt; 0) * (TRIM('Full month Pivot'!$C$3:$C$400)=TRIM($A81)) * ('Full month Pivot'!$D$2:$K$2=S$2) * 'Full month Pivot'!$D$3:$K$400), "")</f>
        <v/>
      </c>
      <c r="T81" s="193">
        <f>IF(SUMPRODUCT((('Full month Pivot'!$B$3:$B$400=$A$75) + ('Full month Pivot'!$A$3:$A$400=$A$75) &gt; 0) * (TRIM('Full month Pivot'!$C$3:$C$400)=TRIM($A81)) * ('Full month Pivot'!$D$2:$K$2=T$2) * 'Full month Pivot'!$D$3:$K$400)&gt;0, SUMPRODUCT((('Full month Pivot'!$B$3:$B$400=$A$75) + ('Full month Pivot'!$A$3:$A$400=$A$75) &gt; 0) * (TRIM('Full month Pivot'!$C$3:$C$400)=TRIM($A81)) * ('Full month Pivot'!$D$2:$K$2=T$2) * 'Full month Pivot'!$D$3:$K$400), "")</f>
        <v/>
      </c>
      <c r="U81" s="193">
        <f>IF(SUMPRODUCT((('Full month Pivot'!$B$3:$B$400=$A$75) + ('Full month Pivot'!$A$3:$A$400=$A$75) &gt; 0) * (TRIM('Full month Pivot'!$C$3:$C$400)=TRIM($A81)) * ('Full month Pivot'!$D$2:$K$2=U$2) * 'Full month Pivot'!$D$3:$K$400)&gt;0, SUMPRODUCT((('Full month Pivot'!$B$3:$B$400=$A$75) + ('Full month Pivot'!$A$3:$A$400=$A$75) &gt; 0) * (TRIM('Full month Pivot'!$C$3:$C$400)=TRIM($A81)) * ('Full month Pivot'!$D$2:$K$2=U$2) * 'Full month Pivot'!$D$3:$K$400), "")</f>
        <v/>
      </c>
      <c r="V81" s="193">
        <f>IF(SUMPRODUCT((('Full month Pivot'!$B$3:$B$400=$A$75) + ('Full month Pivot'!$A$3:$A$400=$A$75) &gt; 0) * (TRIM('Full month Pivot'!$C$3:$C$400)=TRIM($A81)) * ('Full month Pivot'!$D$2:$K$2=V$2) * 'Full month Pivot'!$D$3:$K$400)&gt;0, SUMPRODUCT((('Full month Pivot'!$B$3:$B$400=$A$75) + ('Full month Pivot'!$A$3:$A$400=$A$75) &gt; 0) * (TRIM('Full month Pivot'!$C$3:$C$400)=TRIM($A81)) * ('Full month Pivot'!$D$2:$K$2=V$2) * 'Full month Pivot'!$D$3:$K$400), "")</f>
        <v/>
      </c>
      <c r="W81" s="193">
        <f>IF(SUMPRODUCT((('Full month Pivot'!$B$3:$B$400=$A$75) + ('Full month Pivot'!$A$3:$A$400=$A$75) &gt; 0) * (TRIM('Full month Pivot'!$C$3:$C$400)=TRIM($A81)) * ('Full month Pivot'!$D$2:$K$2=W$2) * 'Full month Pivot'!$D$3:$K$400)&gt;0, SUMPRODUCT((('Full month Pivot'!$B$3:$B$400=$A$75) + ('Full month Pivot'!$A$3:$A$400=$A$75) &gt; 0) * (TRIM('Full month Pivot'!$C$3:$C$400)=TRIM($A81)) * ('Full month Pivot'!$D$2:$K$2=W$2) * 'Full month Pivot'!$D$3:$K$400), "")</f>
        <v/>
      </c>
      <c r="X81" s="193">
        <f>IF(SUMPRODUCT((('Full month Pivot'!$B$3:$B$400=$A$75) + ('Full month Pivot'!$A$3:$A$400=$A$75) &gt; 0) * (TRIM('Full month Pivot'!$C$3:$C$400)=TRIM($A81)) * ('Full month Pivot'!$D$2:$K$2=X$2) * 'Full month Pivot'!$D$3:$K$400)&gt;0, SUMPRODUCT((('Full month Pivot'!$B$3:$B$400=$A$75) + ('Full month Pivot'!$A$3:$A$400=$A$75) &gt; 0) * (TRIM('Full month Pivot'!$C$3:$C$400)=TRIM($A81)) * ('Full month Pivot'!$D$2:$K$2=X$2) * 'Full month Pivot'!$D$3:$K$400), "")</f>
        <v/>
      </c>
      <c r="Y81" s="193">
        <f>IF(SUMPRODUCT((('Full month Pivot'!$B$3:$B$400=$A$75) + ('Full month Pivot'!$A$3:$A$400=$A$75) &gt; 0) * (TRIM('Full month Pivot'!$C$3:$C$400)=TRIM($A81)) * ('Full month Pivot'!$D$2:$K$2=Y$2) * 'Full month Pivot'!$D$3:$K$400)&gt;0, SUMPRODUCT((('Full month Pivot'!$B$3:$B$400=$A$75) + ('Full month Pivot'!$A$3:$A$400=$A$75) &gt; 0) * (TRIM('Full month Pivot'!$C$3:$C$400)=TRIM($A81)) * ('Full month Pivot'!$D$2:$K$2=Y$2) * 'Full month Pivot'!$D$3:$K$400), "")</f>
        <v/>
      </c>
      <c r="Z81" s="193">
        <f>IF(SUMPRODUCT((('Full month Pivot'!$B$3:$B$400=$A$75) + ('Full month Pivot'!$A$3:$A$400=$A$75) &gt; 0) * (TRIM('Full month Pivot'!$C$3:$C$400)=TRIM($A81)) * ('Full month Pivot'!$D$2:$K$2=Z$2) * 'Full month Pivot'!$D$3:$K$400)&gt;0, SUMPRODUCT((('Full month Pivot'!$B$3:$B$400=$A$75) + ('Full month Pivot'!$A$3:$A$400=$A$75) &gt; 0) * (TRIM('Full month Pivot'!$C$3:$C$400)=TRIM($A81)) * ('Full month Pivot'!$D$2:$K$2=Z$2) * 'Full month Pivot'!$D$3:$K$400), "")</f>
        <v/>
      </c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202" t="inlineStr">
        <is>
          <t xml:space="preserve">  Paid</t>
        </is>
      </c>
      <c r="B82" s="193">
        <f>IF(SUMPRODUCT((('MTD Pivot'!$B$3:$B$400=$A$75) + ('MTD Pivot'!$A$3:$A$400=$A$75) &gt; 0) * (TRIM('MTD Pivot'!$C$3:$C$400)=TRIM($A82)) * ('MTD Pivot'!$D$2:$K$2=B$2) * 'MTD Pivot'!$D$3:$K$400)&gt;0, SUMPRODUCT((('MTD Pivot'!$B$3:$B$400=$A$75) + ('MTD Pivot'!$A$3:$A$400=$A$75) &gt; 0) * (TRIM('MTD Pivot'!$C$3:$C$400)=TRIM($A82)) * ('MTD Pivot'!$D$2:$K$2=B$2) * 'MTD Pivot'!$D$3:$K$400), "")</f>
        <v/>
      </c>
      <c r="C82" s="193">
        <f>IF(SUMPRODUCT((('MTD Pivot'!$B$3:$B$400=$A$75) + ('MTD Pivot'!$A$3:$A$400=$A$75) &gt; 0) * (TRIM('MTD Pivot'!$C$3:$C$400)=TRIM($A82)) * ('MTD Pivot'!$D$2:$K$2=C$2) * 'MTD Pivot'!$D$3:$K$400)&gt;0, SUMPRODUCT((('MTD Pivot'!$B$3:$B$400=$A$75) + ('MTD Pivot'!$A$3:$A$400=$A$75) &gt; 0) * (TRIM('MTD Pivot'!$C$3:$C$400)=TRIM($A82)) * ('MTD Pivot'!$D$2:$K$2=C$2) * 'MTD Pivot'!$D$3:$K$400), "")</f>
        <v/>
      </c>
      <c r="D82" s="193">
        <f>IF(SUMPRODUCT((('MTD Pivot'!$B$3:$B$400=$A$75) + ('MTD Pivot'!$A$3:$A$400=$A$75) &gt; 0) * (TRIM('MTD Pivot'!$C$3:$C$400)=TRIM($A82)) * ('MTD Pivot'!$D$2:$K$2=D$2) * 'MTD Pivot'!$D$3:$K$400)&gt;0, SUMPRODUCT((('MTD Pivot'!$B$3:$B$400=$A$75) + ('MTD Pivot'!$A$3:$A$400=$A$75) &gt; 0) * (TRIM('MTD Pivot'!$C$3:$C$400)=TRIM($A82)) * ('MTD Pivot'!$D$2:$K$2=D$2) * 'MTD Pivot'!$D$3:$K$400), "")</f>
        <v/>
      </c>
      <c r="E82" s="193">
        <f>IF(SUMPRODUCT((('MTD Pivot'!$B$3:$B$400=$A$75) + ('MTD Pivot'!$A$3:$A$400=$A$75) &gt; 0) * (TRIM('MTD Pivot'!$C$3:$C$400)=TRIM($A82)) * ('MTD Pivot'!$D$2:$K$2=E$2) * 'MTD Pivot'!$D$3:$K$400)&gt;0, SUMPRODUCT((('MTD Pivot'!$B$3:$B$400=$A$75) + ('MTD Pivot'!$A$3:$A$400=$A$75) &gt; 0) * (TRIM('MTD Pivot'!$C$3:$C$400)=TRIM($A82)) * ('MTD Pivot'!$D$2:$K$2=E$2) * 'MTD Pivot'!$D$3:$K$400), "")</f>
        <v/>
      </c>
      <c r="F82" s="193">
        <f>IF(SUMPRODUCT((('MTD Pivot'!$B$3:$B$400=$A$75) + ('MTD Pivot'!$A$3:$A$400=$A$75) &gt; 0) * (TRIM('MTD Pivot'!$C$3:$C$400)=TRIM($A82)) * ('MTD Pivot'!$D$2:$K$2=F$2) * 'MTD Pivot'!$D$3:$K$400)&gt;0, SUMPRODUCT((('MTD Pivot'!$B$3:$B$400=$A$75) + ('MTD Pivot'!$A$3:$A$400=$A$75) &gt; 0) * (TRIM('MTD Pivot'!$C$3:$C$400)=TRIM($A82)) * ('MTD Pivot'!$D$2:$K$2=F$2) * 'MTD Pivot'!$D$3:$K$400), "")</f>
        <v/>
      </c>
      <c r="G82" s="193">
        <f>IF(SUMPRODUCT((('MTD Pivot'!$B$3:$B$400=$A$75) + ('MTD Pivot'!$A$3:$A$400=$A$75) &gt; 0) * (TRIM('MTD Pivot'!$C$3:$C$400)=TRIM($A82)) * ('MTD Pivot'!$D$2:$K$2=G$2) * 'MTD Pivot'!$D$3:$K$400)&gt;0, SUMPRODUCT((('MTD Pivot'!$B$3:$B$400=$A$75) + ('MTD Pivot'!$A$3:$A$400=$A$75) &gt; 0) * (TRIM('MTD Pivot'!$C$3:$C$400)=TRIM($A82)) * ('MTD Pivot'!$D$2:$K$2=G$2) * 'MTD Pivot'!$D$3:$K$400), "")</f>
        <v/>
      </c>
      <c r="H82" s="193">
        <f>IF(SUMPRODUCT((('MTD Pivot'!$B$3:$B$400=$A$75) + ('MTD Pivot'!$A$3:$A$400=$A$75) &gt; 0) * (TRIM('MTD Pivot'!$C$3:$C$400)=TRIM($A82)) * ('MTD Pivot'!$D$2:$K$2=H$2) * 'MTD Pivot'!$D$3:$K$400)&gt;0, SUMPRODUCT((('MTD Pivot'!$B$3:$B$400=$A$75) + ('MTD Pivot'!$A$3:$A$400=$A$75) &gt; 0) * (TRIM('MTD Pivot'!$C$3:$C$400)=TRIM($A82)) * ('MTD Pivot'!$D$2:$K$2=H$2) * 'MTD Pivot'!$D$3:$K$400), "")</f>
        <v/>
      </c>
      <c r="I82" s="193">
        <f>IF(SUMPRODUCT((('MTD Pivot'!$B$3:$B$400=$A$75) + ('MTD Pivot'!$A$3:$A$400=$A$75) &gt; 0) * (TRIM('MTD Pivot'!$C$3:$C$400)=TRIM($A82)) * ('MTD Pivot'!$D$2:$K$2=I$2) * 'MTD Pivot'!$D$3:$K$400)&gt;0, SUMPRODUCT((('MTD Pivot'!$B$3:$B$400=$A$75) + ('MTD Pivot'!$A$3:$A$400=$A$75) &gt; 0) * (TRIM('MTD Pivot'!$C$3:$C$400)=TRIM($A82)) * ('MTD Pivot'!$D$2:$K$2=I$2) * 'MTD Pivot'!$D$3:$K$400), "")</f>
        <v/>
      </c>
      <c r="J82" s="193">
        <f>IF(SUMPRODUCT((('MTD Pivot'!$B$3:$B$400=$A$75) + ('MTD Pivot'!$A$3:$A$400=$A$75) &gt; 0) * (TRIM('MTD Pivot'!$C$3:$C$400)=TRIM($A82)) * ('MTD Pivot'!$D$2:$K$2=J$2) * 'MTD Pivot'!$D$3:$K$400)&gt;0, SUMPRODUCT((('MTD Pivot'!$B$3:$B$400=$A$75) + ('MTD Pivot'!$A$3:$A$400=$A$75) &gt; 0) * (TRIM('MTD Pivot'!$C$3:$C$400)=TRIM($A82)) * ('MTD Pivot'!$D$2:$K$2=J$2) * 'MTD Pivot'!$D$3:$K$400), "")</f>
        <v/>
      </c>
      <c r="K82" s="193">
        <f>IF(SUMPRODUCT((('MTD Pivot'!$B$3:$B$400=$A$75) + ('MTD Pivot'!$A$3:$A$400=$A$75) &gt; 0) * (TRIM('MTD Pivot'!$C$3:$C$400)=TRIM($A82)) * ('MTD Pivot'!$D$2:$K$2=K$2) * 'MTD Pivot'!$D$3:$K$400)&gt;0, SUMPRODUCT((('MTD Pivot'!$B$3:$B$400=$A$75) + ('MTD Pivot'!$A$3:$A$400=$A$75) &gt; 0) * (TRIM('MTD Pivot'!$C$3:$C$400)=TRIM($A82)) * ('MTD Pivot'!$D$2:$K$2=K$2) * 'MTD Pivot'!$D$3:$K$400), "")</f>
        <v/>
      </c>
      <c r="L82" s="193">
        <f>IF(SUMPRODUCT((('MTD Pivot'!$B$3:$B$400=$A$75) + ('MTD Pivot'!$A$3:$A$400=$A$75) &gt; 0) * (TRIM('MTD Pivot'!$C$3:$C$400)=TRIM($A82)) * ('MTD Pivot'!$D$2:$K$2=L$2) * 'MTD Pivot'!$D$3:$K$400)&gt;0, SUMPRODUCT((('MTD Pivot'!$B$3:$B$400=$A$75) + ('MTD Pivot'!$A$3:$A$400=$A$75) &gt; 0) * (TRIM('MTD Pivot'!$C$3:$C$400)=TRIM($A82)) * ('MTD Pivot'!$D$2:$K$2=L$2) * 'MTD Pivot'!$D$3:$K$400), "")</f>
        <v/>
      </c>
      <c r="M82" s="193">
        <f>IF(SUMPRODUCT((('MTD Pivot'!$B$3:$B$400=$A$75) + ('MTD Pivot'!$A$3:$A$400=$A$75) &gt; 0) * (TRIM('MTD Pivot'!$C$3:$C$400)=TRIM($A82)) * ('MTD Pivot'!$D$2:$K$2=M$2) * 'MTD Pivot'!$D$3:$K$400)&gt;0, SUMPRODUCT((('MTD Pivot'!$B$3:$B$400=$A$75) + ('MTD Pivot'!$A$3:$A$400=$A$75) &gt; 0) * (TRIM('MTD Pivot'!$C$3:$C$400)=TRIM($A82)) * ('MTD Pivot'!$D$2:$K$2=M$2) * 'MTD Pivot'!$D$3:$K$400), "")</f>
        <v/>
      </c>
      <c r="N82" s="157">
        <f>IF(AND(ISNUMBER(K82), ISNUMBER(J82), J82&gt;0), (K82-J82)/J82, "")</f>
        <v/>
      </c>
      <c r="O82" s="193">
        <f>IF(SUMPRODUCT((('Full month Pivot'!$B$3:$B$400=$A$75) + ('Full month Pivot'!$A$3:$A$400=$A$75) &gt; 0) * (TRIM('Full month Pivot'!$C$3:$C$400)=TRIM($A82)) * ('Full month Pivot'!$D$2:$K$2=O$2) * 'Full month Pivot'!$D$3:$K$400)&gt;0, SUMPRODUCT((('Full month Pivot'!$B$3:$B$400=$A$75) + ('Full month Pivot'!$A$3:$A$400=$A$75) &gt; 0) * (TRIM('Full month Pivot'!$C$3:$C$400)=TRIM($A82)) * ('Full month Pivot'!$D$2:$K$2=O$2) * 'Full month Pivot'!$D$3:$K$400), "")</f>
        <v/>
      </c>
      <c r="P82" s="193">
        <f>IF(SUMPRODUCT((('Full month Pivot'!$B$3:$B$400=$A$75) + ('Full month Pivot'!$A$3:$A$400=$A$75) &gt; 0) * (TRIM('Full month Pivot'!$C$3:$C$400)=TRIM($A82)) * ('Full month Pivot'!$D$2:$K$2=P$2) * 'Full month Pivot'!$D$3:$K$400)&gt;0, SUMPRODUCT((('Full month Pivot'!$B$3:$B$400=$A$75) + ('Full month Pivot'!$A$3:$A$400=$A$75) &gt; 0) * (TRIM('Full month Pivot'!$C$3:$C$400)=TRIM($A82)) * ('Full month Pivot'!$D$2:$K$2=P$2) * 'Full month Pivot'!$D$3:$K$400), "")</f>
        <v/>
      </c>
      <c r="Q82" s="193">
        <f>IF(SUMPRODUCT((('Full month Pivot'!$B$3:$B$400=$A$75) + ('Full month Pivot'!$A$3:$A$400=$A$75) &gt; 0) * (TRIM('Full month Pivot'!$C$3:$C$400)=TRIM($A82)) * ('Full month Pivot'!$D$2:$K$2=Q$2) * 'Full month Pivot'!$D$3:$K$400)&gt;0, SUMPRODUCT((('Full month Pivot'!$B$3:$B$400=$A$75) + ('Full month Pivot'!$A$3:$A$400=$A$75) &gt; 0) * (TRIM('Full month Pivot'!$C$3:$C$400)=TRIM($A82)) * ('Full month Pivot'!$D$2:$K$2=Q$2) * 'Full month Pivot'!$D$3:$K$400), "")</f>
        <v/>
      </c>
      <c r="R82" s="193">
        <f>IF(SUMPRODUCT((('Full month Pivot'!$B$3:$B$400=$A$75) + ('Full month Pivot'!$A$3:$A$400=$A$75) &gt; 0) * (TRIM('Full month Pivot'!$C$3:$C$400)=TRIM($A82)) * ('Full month Pivot'!$D$2:$K$2=R$2) * 'Full month Pivot'!$D$3:$K$400)&gt;0, SUMPRODUCT((('Full month Pivot'!$B$3:$B$400=$A$75) + ('Full month Pivot'!$A$3:$A$400=$A$75) &gt; 0) * (TRIM('Full month Pivot'!$C$3:$C$400)=TRIM($A82)) * ('Full month Pivot'!$D$2:$K$2=R$2) * 'Full month Pivot'!$D$3:$K$400), "")</f>
        <v/>
      </c>
      <c r="S82" s="193">
        <f>IF(SUMPRODUCT((('Full month Pivot'!$B$3:$B$400=$A$75) + ('Full month Pivot'!$A$3:$A$400=$A$75) &gt; 0) * (TRIM('Full month Pivot'!$C$3:$C$400)=TRIM($A82)) * ('Full month Pivot'!$D$2:$K$2=S$2) * 'Full month Pivot'!$D$3:$K$400)&gt;0, SUMPRODUCT((('Full month Pivot'!$B$3:$B$400=$A$75) + ('Full month Pivot'!$A$3:$A$400=$A$75) &gt; 0) * (TRIM('Full month Pivot'!$C$3:$C$400)=TRIM($A82)) * ('Full month Pivot'!$D$2:$K$2=S$2) * 'Full month Pivot'!$D$3:$K$400), "")</f>
        <v/>
      </c>
      <c r="T82" s="193">
        <f>IF(SUMPRODUCT((('Full month Pivot'!$B$3:$B$400=$A$75) + ('Full month Pivot'!$A$3:$A$400=$A$75) &gt; 0) * (TRIM('Full month Pivot'!$C$3:$C$400)=TRIM($A82)) * ('Full month Pivot'!$D$2:$K$2=T$2) * 'Full month Pivot'!$D$3:$K$400)&gt;0, SUMPRODUCT((('Full month Pivot'!$B$3:$B$400=$A$75) + ('Full month Pivot'!$A$3:$A$400=$A$75) &gt; 0) * (TRIM('Full month Pivot'!$C$3:$C$400)=TRIM($A82)) * ('Full month Pivot'!$D$2:$K$2=T$2) * 'Full month Pivot'!$D$3:$K$400), "")</f>
        <v/>
      </c>
      <c r="U82" s="193">
        <f>IF(SUMPRODUCT((('Full month Pivot'!$B$3:$B$400=$A$75) + ('Full month Pivot'!$A$3:$A$400=$A$75) &gt; 0) * (TRIM('Full month Pivot'!$C$3:$C$400)=TRIM($A82)) * ('Full month Pivot'!$D$2:$K$2=U$2) * 'Full month Pivot'!$D$3:$K$400)&gt;0, SUMPRODUCT((('Full month Pivot'!$B$3:$B$400=$A$75) + ('Full month Pivot'!$A$3:$A$400=$A$75) &gt; 0) * (TRIM('Full month Pivot'!$C$3:$C$400)=TRIM($A82)) * ('Full month Pivot'!$D$2:$K$2=U$2) * 'Full month Pivot'!$D$3:$K$400), "")</f>
        <v/>
      </c>
      <c r="V82" s="193">
        <f>IF(SUMPRODUCT((('Full month Pivot'!$B$3:$B$400=$A$75) + ('Full month Pivot'!$A$3:$A$400=$A$75) &gt; 0) * (TRIM('Full month Pivot'!$C$3:$C$400)=TRIM($A82)) * ('Full month Pivot'!$D$2:$K$2=V$2) * 'Full month Pivot'!$D$3:$K$400)&gt;0, SUMPRODUCT((('Full month Pivot'!$B$3:$B$400=$A$75) + ('Full month Pivot'!$A$3:$A$400=$A$75) &gt; 0) * (TRIM('Full month Pivot'!$C$3:$C$400)=TRIM($A82)) * ('Full month Pivot'!$D$2:$K$2=V$2) * 'Full month Pivot'!$D$3:$K$400), "")</f>
        <v/>
      </c>
      <c r="W82" s="193">
        <f>IF(SUMPRODUCT((('Full month Pivot'!$B$3:$B$400=$A$75) + ('Full month Pivot'!$A$3:$A$400=$A$75) &gt; 0) * (TRIM('Full month Pivot'!$C$3:$C$400)=TRIM($A82)) * ('Full month Pivot'!$D$2:$K$2=W$2) * 'Full month Pivot'!$D$3:$K$400)&gt;0, SUMPRODUCT((('Full month Pivot'!$B$3:$B$400=$A$75) + ('Full month Pivot'!$A$3:$A$400=$A$75) &gt; 0) * (TRIM('Full month Pivot'!$C$3:$C$400)=TRIM($A82)) * ('Full month Pivot'!$D$2:$K$2=W$2) * 'Full month Pivot'!$D$3:$K$400), "")</f>
        <v/>
      </c>
      <c r="X82" s="193">
        <f>IF(SUMPRODUCT((('Full month Pivot'!$B$3:$B$400=$A$75) + ('Full month Pivot'!$A$3:$A$400=$A$75) &gt; 0) * (TRIM('Full month Pivot'!$C$3:$C$400)=TRIM($A82)) * ('Full month Pivot'!$D$2:$K$2=X$2) * 'Full month Pivot'!$D$3:$K$400)&gt;0, SUMPRODUCT((('Full month Pivot'!$B$3:$B$400=$A$75) + ('Full month Pivot'!$A$3:$A$400=$A$75) &gt; 0) * (TRIM('Full month Pivot'!$C$3:$C$400)=TRIM($A82)) * ('Full month Pivot'!$D$2:$K$2=X$2) * 'Full month Pivot'!$D$3:$K$400), "")</f>
        <v/>
      </c>
      <c r="Y82" s="193">
        <f>IF(SUMPRODUCT((('Full month Pivot'!$B$3:$B$400=$A$75) + ('Full month Pivot'!$A$3:$A$400=$A$75) &gt; 0) * (TRIM('Full month Pivot'!$C$3:$C$400)=TRIM($A82)) * ('Full month Pivot'!$D$2:$K$2=Y$2) * 'Full month Pivot'!$D$3:$K$400)&gt;0, SUMPRODUCT((('Full month Pivot'!$B$3:$B$400=$A$75) + ('Full month Pivot'!$A$3:$A$400=$A$75) &gt; 0) * (TRIM('Full month Pivot'!$C$3:$C$400)=TRIM($A82)) * ('Full month Pivot'!$D$2:$K$2=Y$2) * 'Full month Pivot'!$D$3:$K$400), "")</f>
        <v/>
      </c>
      <c r="Z82" s="193">
        <f>IF(SUMPRODUCT((('Full month Pivot'!$B$3:$B$400=$A$75) + ('Full month Pivot'!$A$3:$A$400=$A$75) &gt; 0) * (TRIM('Full month Pivot'!$C$3:$C$400)=TRIM($A82)) * ('Full month Pivot'!$D$2:$K$2=Z$2) * 'Full month Pivot'!$D$3:$K$400)&gt;0, SUMPRODUCT((('Full month Pivot'!$B$3:$B$400=$A$75) + ('Full month Pivot'!$A$3:$A$400=$A$75) &gt; 0) * (TRIM('Full month Pivot'!$C$3:$C$400)=TRIM($A82)) * ('Full month Pivot'!$D$2:$K$2=Z$2) * 'Full month Pivot'!$D$3:$K$400), "")</f>
        <v/>
      </c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202" t="inlineStr">
        <is>
          <t xml:space="preserve">  Direct</t>
        </is>
      </c>
      <c r="B83" s="193">
        <f>IF(SUMPRODUCT((('MTD Pivot'!$B$3:$B$400=$A$75) + ('MTD Pivot'!$A$3:$A$400=$A$75) &gt; 0) * (TRIM('MTD Pivot'!$C$3:$C$400)=TRIM($A83)) * ('MTD Pivot'!$D$2:$K$2=B$2) * 'MTD Pivot'!$D$3:$K$400)&gt;0, SUMPRODUCT((('MTD Pivot'!$B$3:$B$400=$A$75) + ('MTD Pivot'!$A$3:$A$400=$A$75) &gt; 0) * (TRIM('MTD Pivot'!$C$3:$C$400)=TRIM($A83)) * ('MTD Pivot'!$D$2:$K$2=B$2) * 'MTD Pivot'!$D$3:$K$400), "")</f>
        <v/>
      </c>
      <c r="C83" s="193">
        <f>IF(SUMPRODUCT((('MTD Pivot'!$B$3:$B$400=$A$75) + ('MTD Pivot'!$A$3:$A$400=$A$75) &gt; 0) * (TRIM('MTD Pivot'!$C$3:$C$400)=TRIM($A83)) * ('MTD Pivot'!$D$2:$K$2=C$2) * 'MTD Pivot'!$D$3:$K$400)&gt;0, SUMPRODUCT((('MTD Pivot'!$B$3:$B$400=$A$75) + ('MTD Pivot'!$A$3:$A$400=$A$75) &gt; 0) * (TRIM('MTD Pivot'!$C$3:$C$400)=TRIM($A83)) * ('MTD Pivot'!$D$2:$K$2=C$2) * 'MTD Pivot'!$D$3:$K$400), "")</f>
        <v/>
      </c>
      <c r="D83" s="193">
        <f>IF(SUMPRODUCT((('MTD Pivot'!$B$3:$B$400=$A$75) + ('MTD Pivot'!$A$3:$A$400=$A$75) &gt; 0) * (TRIM('MTD Pivot'!$C$3:$C$400)=TRIM($A83)) * ('MTD Pivot'!$D$2:$K$2=D$2) * 'MTD Pivot'!$D$3:$K$400)&gt;0, SUMPRODUCT((('MTD Pivot'!$B$3:$B$400=$A$75) + ('MTD Pivot'!$A$3:$A$400=$A$75) &gt; 0) * (TRIM('MTD Pivot'!$C$3:$C$400)=TRIM($A83)) * ('MTD Pivot'!$D$2:$K$2=D$2) * 'MTD Pivot'!$D$3:$K$400), "")</f>
        <v/>
      </c>
      <c r="E83" s="193">
        <f>IF(SUMPRODUCT((('MTD Pivot'!$B$3:$B$400=$A$75) + ('MTD Pivot'!$A$3:$A$400=$A$75) &gt; 0) * (TRIM('MTD Pivot'!$C$3:$C$400)=TRIM($A83)) * ('MTD Pivot'!$D$2:$K$2=E$2) * 'MTD Pivot'!$D$3:$K$400)&gt;0, SUMPRODUCT((('MTD Pivot'!$B$3:$B$400=$A$75) + ('MTD Pivot'!$A$3:$A$400=$A$75) &gt; 0) * (TRIM('MTD Pivot'!$C$3:$C$400)=TRIM($A83)) * ('MTD Pivot'!$D$2:$K$2=E$2) * 'MTD Pivot'!$D$3:$K$400), "")</f>
        <v/>
      </c>
      <c r="F83" s="193">
        <f>IF(SUMPRODUCT((('MTD Pivot'!$B$3:$B$400=$A$75) + ('MTD Pivot'!$A$3:$A$400=$A$75) &gt; 0) * (TRIM('MTD Pivot'!$C$3:$C$400)=TRIM($A83)) * ('MTD Pivot'!$D$2:$K$2=F$2) * 'MTD Pivot'!$D$3:$K$400)&gt;0, SUMPRODUCT((('MTD Pivot'!$B$3:$B$400=$A$75) + ('MTD Pivot'!$A$3:$A$400=$A$75) &gt; 0) * (TRIM('MTD Pivot'!$C$3:$C$400)=TRIM($A83)) * ('MTD Pivot'!$D$2:$K$2=F$2) * 'MTD Pivot'!$D$3:$K$400), "")</f>
        <v/>
      </c>
      <c r="G83" s="193">
        <f>IF(SUMPRODUCT((('MTD Pivot'!$B$3:$B$400=$A$75) + ('MTD Pivot'!$A$3:$A$400=$A$75) &gt; 0) * (TRIM('MTD Pivot'!$C$3:$C$400)=TRIM($A83)) * ('MTD Pivot'!$D$2:$K$2=G$2) * 'MTD Pivot'!$D$3:$K$400)&gt;0, SUMPRODUCT((('MTD Pivot'!$B$3:$B$400=$A$75) + ('MTD Pivot'!$A$3:$A$400=$A$75) &gt; 0) * (TRIM('MTD Pivot'!$C$3:$C$400)=TRIM($A83)) * ('MTD Pivot'!$D$2:$K$2=G$2) * 'MTD Pivot'!$D$3:$K$400), "")</f>
        <v/>
      </c>
      <c r="H83" s="193">
        <f>IF(SUMPRODUCT((('MTD Pivot'!$B$3:$B$400=$A$75) + ('MTD Pivot'!$A$3:$A$400=$A$75) &gt; 0) * (TRIM('MTD Pivot'!$C$3:$C$400)=TRIM($A83)) * ('MTD Pivot'!$D$2:$K$2=H$2) * 'MTD Pivot'!$D$3:$K$400)&gt;0, SUMPRODUCT((('MTD Pivot'!$B$3:$B$400=$A$75) + ('MTD Pivot'!$A$3:$A$400=$A$75) &gt; 0) * (TRIM('MTD Pivot'!$C$3:$C$400)=TRIM($A83)) * ('MTD Pivot'!$D$2:$K$2=H$2) * 'MTD Pivot'!$D$3:$K$400), "")</f>
        <v/>
      </c>
      <c r="I83" s="193">
        <f>IF(SUMPRODUCT((('MTD Pivot'!$B$3:$B$400=$A$75) + ('MTD Pivot'!$A$3:$A$400=$A$75) &gt; 0) * (TRIM('MTD Pivot'!$C$3:$C$400)=TRIM($A83)) * ('MTD Pivot'!$D$2:$K$2=I$2) * 'MTD Pivot'!$D$3:$K$400)&gt;0, SUMPRODUCT((('MTD Pivot'!$B$3:$B$400=$A$75) + ('MTD Pivot'!$A$3:$A$400=$A$75) &gt; 0) * (TRIM('MTD Pivot'!$C$3:$C$400)=TRIM($A83)) * ('MTD Pivot'!$D$2:$K$2=I$2) * 'MTD Pivot'!$D$3:$K$400), "")</f>
        <v/>
      </c>
      <c r="J83" s="193">
        <f>IF(SUMPRODUCT((('MTD Pivot'!$B$3:$B$400=$A$75) + ('MTD Pivot'!$A$3:$A$400=$A$75) &gt; 0) * (TRIM('MTD Pivot'!$C$3:$C$400)=TRIM($A83)) * ('MTD Pivot'!$D$2:$K$2=J$2) * 'MTD Pivot'!$D$3:$K$400)&gt;0, SUMPRODUCT((('MTD Pivot'!$B$3:$B$400=$A$75) + ('MTD Pivot'!$A$3:$A$400=$A$75) &gt; 0) * (TRIM('MTD Pivot'!$C$3:$C$400)=TRIM($A83)) * ('MTD Pivot'!$D$2:$K$2=J$2) * 'MTD Pivot'!$D$3:$K$400), "")</f>
        <v/>
      </c>
      <c r="K83" s="193">
        <f>IF(SUMPRODUCT((('MTD Pivot'!$B$3:$B$400=$A$75) + ('MTD Pivot'!$A$3:$A$400=$A$75) &gt; 0) * (TRIM('MTD Pivot'!$C$3:$C$400)=TRIM($A83)) * ('MTD Pivot'!$D$2:$K$2=K$2) * 'MTD Pivot'!$D$3:$K$400)&gt;0, SUMPRODUCT((('MTD Pivot'!$B$3:$B$400=$A$75) + ('MTD Pivot'!$A$3:$A$400=$A$75) &gt; 0) * (TRIM('MTD Pivot'!$C$3:$C$400)=TRIM($A83)) * ('MTD Pivot'!$D$2:$K$2=K$2) * 'MTD Pivot'!$D$3:$K$400), "")</f>
        <v/>
      </c>
      <c r="L83" s="193">
        <f>IF(SUMPRODUCT((('MTD Pivot'!$B$3:$B$400=$A$75) + ('MTD Pivot'!$A$3:$A$400=$A$75) &gt; 0) * (TRIM('MTD Pivot'!$C$3:$C$400)=TRIM($A83)) * ('MTD Pivot'!$D$2:$K$2=L$2) * 'MTD Pivot'!$D$3:$K$400)&gt;0, SUMPRODUCT((('MTD Pivot'!$B$3:$B$400=$A$75) + ('MTD Pivot'!$A$3:$A$400=$A$75) &gt; 0) * (TRIM('MTD Pivot'!$C$3:$C$400)=TRIM($A83)) * ('MTD Pivot'!$D$2:$K$2=L$2) * 'MTD Pivot'!$D$3:$K$400), "")</f>
        <v/>
      </c>
      <c r="M83" s="193">
        <f>IF(SUMPRODUCT((('MTD Pivot'!$B$3:$B$400=$A$75) + ('MTD Pivot'!$A$3:$A$400=$A$75) &gt; 0) * (TRIM('MTD Pivot'!$C$3:$C$400)=TRIM($A83)) * ('MTD Pivot'!$D$2:$K$2=M$2) * 'MTD Pivot'!$D$3:$K$400)&gt;0, SUMPRODUCT((('MTD Pivot'!$B$3:$B$400=$A$75) + ('MTD Pivot'!$A$3:$A$400=$A$75) &gt; 0) * (TRIM('MTD Pivot'!$C$3:$C$400)=TRIM($A83)) * ('MTD Pivot'!$D$2:$K$2=M$2) * 'MTD Pivot'!$D$3:$K$400), "")</f>
        <v/>
      </c>
      <c r="N83" s="157">
        <f>IF(AND(ISNUMBER(K83), ISNUMBER(J83), J83&gt;0), (K83-J83)/J83, "")</f>
        <v/>
      </c>
      <c r="O83" s="193">
        <f>IF(SUMPRODUCT((('Full month Pivot'!$B$3:$B$400=$A$75) + ('Full month Pivot'!$A$3:$A$400=$A$75) &gt; 0) * (TRIM('Full month Pivot'!$C$3:$C$400)=TRIM($A83)) * ('Full month Pivot'!$D$2:$K$2=O$2) * 'Full month Pivot'!$D$3:$K$400)&gt;0, SUMPRODUCT((('Full month Pivot'!$B$3:$B$400=$A$75) + ('Full month Pivot'!$A$3:$A$400=$A$75) &gt; 0) * (TRIM('Full month Pivot'!$C$3:$C$400)=TRIM($A83)) * ('Full month Pivot'!$D$2:$K$2=O$2) * 'Full month Pivot'!$D$3:$K$400), "")</f>
        <v/>
      </c>
      <c r="P83" s="193">
        <f>IF(SUMPRODUCT((('Full month Pivot'!$B$3:$B$400=$A$75) + ('Full month Pivot'!$A$3:$A$400=$A$75) &gt; 0) * (TRIM('Full month Pivot'!$C$3:$C$400)=TRIM($A83)) * ('Full month Pivot'!$D$2:$K$2=P$2) * 'Full month Pivot'!$D$3:$K$400)&gt;0, SUMPRODUCT((('Full month Pivot'!$B$3:$B$400=$A$75) + ('Full month Pivot'!$A$3:$A$400=$A$75) &gt; 0) * (TRIM('Full month Pivot'!$C$3:$C$400)=TRIM($A83)) * ('Full month Pivot'!$D$2:$K$2=P$2) * 'Full month Pivot'!$D$3:$K$400), "")</f>
        <v/>
      </c>
      <c r="Q83" s="193">
        <f>IF(SUMPRODUCT((('Full month Pivot'!$B$3:$B$400=$A$75) + ('Full month Pivot'!$A$3:$A$400=$A$75) &gt; 0) * (TRIM('Full month Pivot'!$C$3:$C$400)=TRIM($A83)) * ('Full month Pivot'!$D$2:$K$2=Q$2) * 'Full month Pivot'!$D$3:$K$400)&gt;0, SUMPRODUCT((('Full month Pivot'!$B$3:$B$400=$A$75) + ('Full month Pivot'!$A$3:$A$400=$A$75) &gt; 0) * (TRIM('Full month Pivot'!$C$3:$C$400)=TRIM($A83)) * ('Full month Pivot'!$D$2:$K$2=Q$2) * 'Full month Pivot'!$D$3:$K$400), "")</f>
        <v/>
      </c>
      <c r="R83" s="193">
        <f>IF(SUMPRODUCT((('Full month Pivot'!$B$3:$B$400=$A$75) + ('Full month Pivot'!$A$3:$A$400=$A$75) &gt; 0) * (TRIM('Full month Pivot'!$C$3:$C$400)=TRIM($A83)) * ('Full month Pivot'!$D$2:$K$2=R$2) * 'Full month Pivot'!$D$3:$K$400)&gt;0, SUMPRODUCT((('Full month Pivot'!$B$3:$B$400=$A$75) + ('Full month Pivot'!$A$3:$A$400=$A$75) &gt; 0) * (TRIM('Full month Pivot'!$C$3:$C$400)=TRIM($A83)) * ('Full month Pivot'!$D$2:$K$2=R$2) * 'Full month Pivot'!$D$3:$K$400), "")</f>
        <v/>
      </c>
      <c r="S83" s="193">
        <f>IF(SUMPRODUCT((('Full month Pivot'!$B$3:$B$400=$A$75) + ('Full month Pivot'!$A$3:$A$400=$A$75) &gt; 0) * (TRIM('Full month Pivot'!$C$3:$C$400)=TRIM($A83)) * ('Full month Pivot'!$D$2:$K$2=S$2) * 'Full month Pivot'!$D$3:$K$400)&gt;0, SUMPRODUCT((('Full month Pivot'!$B$3:$B$400=$A$75) + ('Full month Pivot'!$A$3:$A$400=$A$75) &gt; 0) * (TRIM('Full month Pivot'!$C$3:$C$400)=TRIM($A83)) * ('Full month Pivot'!$D$2:$K$2=S$2) * 'Full month Pivot'!$D$3:$K$400), "")</f>
        <v/>
      </c>
      <c r="T83" s="193">
        <f>IF(SUMPRODUCT((('Full month Pivot'!$B$3:$B$400=$A$75) + ('Full month Pivot'!$A$3:$A$400=$A$75) &gt; 0) * (TRIM('Full month Pivot'!$C$3:$C$400)=TRIM($A83)) * ('Full month Pivot'!$D$2:$K$2=T$2) * 'Full month Pivot'!$D$3:$K$400)&gt;0, SUMPRODUCT((('Full month Pivot'!$B$3:$B$400=$A$75) + ('Full month Pivot'!$A$3:$A$400=$A$75) &gt; 0) * (TRIM('Full month Pivot'!$C$3:$C$400)=TRIM($A83)) * ('Full month Pivot'!$D$2:$K$2=T$2) * 'Full month Pivot'!$D$3:$K$400), "")</f>
        <v/>
      </c>
      <c r="U83" s="193">
        <f>IF(SUMPRODUCT((('Full month Pivot'!$B$3:$B$400=$A$75) + ('Full month Pivot'!$A$3:$A$400=$A$75) &gt; 0) * (TRIM('Full month Pivot'!$C$3:$C$400)=TRIM($A83)) * ('Full month Pivot'!$D$2:$K$2=U$2) * 'Full month Pivot'!$D$3:$K$400)&gt;0, SUMPRODUCT((('Full month Pivot'!$B$3:$B$400=$A$75) + ('Full month Pivot'!$A$3:$A$400=$A$75) &gt; 0) * (TRIM('Full month Pivot'!$C$3:$C$400)=TRIM($A83)) * ('Full month Pivot'!$D$2:$K$2=U$2) * 'Full month Pivot'!$D$3:$K$400), "")</f>
        <v/>
      </c>
      <c r="V83" s="193">
        <f>IF(SUMPRODUCT((('Full month Pivot'!$B$3:$B$400=$A$75) + ('Full month Pivot'!$A$3:$A$400=$A$75) &gt; 0) * (TRIM('Full month Pivot'!$C$3:$C$400)=TRIM($A83)) * ('Full month Pivot'!$D$2:$K$2=V$2) * 'Full month Pivot'!$D$3:$K$400)&gt;0, SUMPRODUCT((('Full month Pivot'!$B$3:$B$400=$A$75) + ('Full month Pivot'!$A$3:$A$400=$A$75) &gt; 0) * (TRIM('Full month Pivot'!$C$3:$C$400)=TRIM($A83)) * ('Full month Pivot'!$D$2:$K$2=V$2) * 'Full month Pivot'!$D$3:$K$400), "")</f>
        <v/>
      </c>
      <c r="W83" s="193">
        <f>IF(SUMPRODUCT((('Full month Pivot'!$B$3:$B$400=$A$75) + ('Full month Pivot'!$A$3:$A$400=$A$75) &gt; 0) * (TRIM('Full month Pivot'!$C$3:$C$400)=TRIM($A83)) * ('Full month Pivot'!$D$2:$K$2=W$2) * 'Full month Pivot'!$D$3:$K$400)&gt;0, SUMPRODUCT((('Full month Pivot'!$B$3:$B$400=$A$75) + ('Full month Pivot'!$A$3:$A$400=$A$75) &gt; 0) * (TRIM('Full month Pivot'!$C$3:$C$400)=TRIM($A83)) * ('Full month Pivot'!$D$2:$K$2=W$2) * 'Full month Pivot'!$D$3:$K$400), "")</f>
        <v/>
      </c>
      <c r="X83" s="193">
        <f>IF(SUMPRODUCT((('Full month Pivot'!$B$3:$B$400=$A$75) + ('Full month Pivot'!$A$3:$A$400=$A$75) &gt; 0) * (TRIM('Full month Pivot'!$C$3:$C$400)=TRIM($A83)) * ('Full month Pivot'!$D$2:$K$2=X$2) * 'Full month Pivot'!$D$3:$K$400)&gt;0, SUMPRODUCT((('Full month Pivot'!$B$3:$B$400=$A$75) + ('Full month Pivot'!$A$3:$A$400=$A$75) &gt; 0) * (TRIM('Full month Pivot'!$C$3:$C$400)=TRIM($A83)) * ('Full month Pivot'!$D$2:$K$2=X$2) * 'Full month Pivot'!$D$3:$K$400), "")</f>
        <v/>
      </c>
      <c r="Y83" s="193">
        <f>IF(SUMPRODUCT((('Full month Pivot'!$B$3:$B$400=$A$75) + ('Full month Pivot'!$A$3:$A$400=$A$75) &gt; 0) * (TRIM('Full month Pivot'!$C$3:$C$400)=TRIM($A83)) * ('Full month Pivot'!$D$2:$K$2=Y$2) * 'Full month Pivot'!$D$3:$K$400)&gt;0, SUMPRODUCT((('Full month Pivot'!$B$3:$B$400=$A$75) + ('Full month Pivot'!$A$3:$A$400=$A$75) &gt; 0) * (TRIM('Full month Pivot'!$C$3:$C$400)=TRIM($A83)) * ('Full month Pivot'!$D$2:$K$2=Y$2) * 'Full month Pivot'!$D$3:$K$400), "")</f>
        <v/>
      </c>
      <c r="Z83" s="193">
        <f>IF(SUMPRODUCT((('Full month Pivot'!$B$3:$B$400=$A$75) + ('Full month Pivot'!$A$3:$A$400=$A$75) &gt; 0) * (TRIM('Full month Pivot'!$C$3:$C$400)=TRIM($A83)) * ('Full month Pivot'!$D$2:$K$2=Z$2) * 'Full month Pivot'!$D$3:$K$400)&gt;0, SUMPRODUCT((('Full month Pivot'!$B$3:$B$400=$A$75) + ('Full month Pivot'!$A$3:$A$400=$A$75) &gt; 0) * (TRIM('Full month Pivot'!$C$3:$C$400)=TRIM($A83)) * ('Full month Pivot'!$D$2:$K$2=Z$2) * 'Full month Pivot'!$D$3:$K$400), "")</f>
        <v/>
      </c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202" t="inlineStr">
        <is>
          <t xml:space="preserve">  Referral</t>
        </is>
      </c>
      <c r="B84" s="193">
        <f>IF(SUMPRODUCT((('MTD Pivot'!$B$3:$B$400=$A$75) + ('MTD Pivot'!$A$3:$A$400=$A$75) &gt; 0) * (TRIM('MTD Pivot'!$C$3:$C$400)=TRIM($A84)) * ('MTD Pivot'!$D$2:$K$2=B$2) * 'MTD Pivot'!$D$3:$K$400)&gt;0, SUMPRODUCT((('MTD Pivot'!$B$3:$B$400=$A$75) + ('MTD Pivot'!$A$3:$A$400=$A$75) &gt; 0) * (TRIM('MTD Pivot'!$C$3:$C$400)=TRIM($A84)) * ('MTD Pivot'!$D$2:$K$2=B$2) * 'MTD Pivot'!$D$3:$K$400), "")</f>
        <v/>
      </c>
      <c r="C84" s="193">
        <f>IF(SUMPRODUCT((('MTD Pivot'!$B$3:$B$400=$A$75) + ('MTD Pivot'!$A$3:$A$400=$A$75) &gt; 0) * (TRIM('MTD Pivot'!$C$3:$C$400)=TRIM($A84)) * ('MTD Pivot'!$D$2:$K$2=C$2) * 'MTD Pivot'!$D$3:$K$400)&gt;0, SUMPRODUCT((('MTD Pivot'!$B$3:$B$400=$A$75) + ('MTD Pivot'!$A$3:$A$400=$A$75) &gt; 0) * (TRIM('MTD Pivot'!$C$3:$C$400)=TRIM($A84)) * ('MTD Pivot'!$D$2:$K$2=C$2) * 'MTD Pivot'!$D$3:$K$400), "")</f>
        <v/>
      </c>
      <c r="D84" s="193">
        <f>IF(SUMPRODUCT((('MTD Pivot'!$B$3:$B$400=$A$75) + ('MTD Pivot'!$A$3:$A$400=$A$75) &gt; 0) * (TRIM('MTD Pivot'!$C$3:$C$400)=TRIM($A84)) * ('MTD Pivot'!$D$2:$K$2=D$2) * 'MTD Pivot'!$D$3:$K$400)&gt;0, SUMPRODUCT((('MTD Pivot'!$B$3:$B$400=$A$75) + ('MTD Pivot'!$A$3:$A$400=$A$75) &gt; 0) * (TRIM('MTD Pivot'!$C$3:$C$400)=TRIM($A84)) * ('MTD Pivot'!$D$2:$K$2=D$2) * 'MTD Pivot'!$D$3:$K$400), "")</f>
        <v/>
      </c>
      <c r="E84" s="193">
        <f>IF(SUMPRODUCT((('MTD Pivot'!$B$3:$B$400=$A$75) + ('MTD Pivot'!$A$3:$A$400=$A$75) &gt; 0) * (TRIM('MTD Pivot'!$C$3:$C$400)=TRIM($A84)) * ('MTD Pivot'!$D$2:$K$2=E$2) * 'MTD Pivot'!$D$3:$K$400)&gt;0, SUMPRODUCT((('MTD Pivot'!$B$3:$B$400=$A$75) + ('MTD Pivot'!$A$3:$A$400=$A$75) &gt; 0) * (TRIM('MTD Pivot'!$C$3:$C$400)=TRIM($A84)) * ('MTD Pivot'!$D$2:$K$2=E$2) * 'MTD Pivot'!$D$3:$K$400), "")</f>
        <v/>
      </c>
      <c r="F84" s="193">
        <f>IF(SUMPRODUCT((('MTD Pivot'!$B$3:$B$400=$A$75) + ('MTD Pivot'!$A$3:$A$400=$A$75) &gt; 0) * (TRIM('MTD Pivot'!$C$3:$C$400)=TRIM($A84)) * ('MTD Pivot'!$D$2:$K$2=F$2) * 'MTD Pivot'!$D$3:$K$400)&gt;0, SUMPRODUCT((('MTD Pivot'!$B$3:$B$400=$A$75) + ('MTD Pivot'!$A$3:$A$400=$A$75) &gt; 0) * (TRIM('MTD Pivot'!$C$3:$C$400)=TRIM($A84)) * ('MTD Pivot'!$D$2:$K$2=F$2) * 'MTD Pivot'!$D$3:$K$400), "")</f>
        <v/>
      </c>
      <c r="G84" s="193">
        <f>IF(SUMPRODUCT((('MTD Pivot'!$B$3:$B$400=$A$75) + ('MTD Pivot'!$A$3:$A$400=$A$75) &gt; 0) * (TRIM('MTD Pivot'!$C$3:$C$400)=TRIM($A84)) * ('MTD Pivot'!$D$2:$K$2=G$2) * 'MTD Pivot'!$D$3:$K$400)&gt;0, SUMPRODUCT((('MTD Pivot'!$B$3:$B$400=$A$75) + ('MTD Pivot'!$A$3:$A$400=$A$75) &gt; 0) * (TRIM('MTD Pivot'!$C$3:$C$400)=TRIM($A84)) * ('MTD Pivot'!$D$2:$K$2=G$2) * 'MTD Pivot'!$D$3:$K$400), "")</f>
        <v/>
      </c>
      <c r="H84" s="193">
        <f>IF(SUMPRODUCT((('MTD Pivot'!$B$3:$B$400=$A$75) + ('MTD Pivot'!$A$3:$A$400=$A$75) &gt; 0) * (TRIM('MTD Pivot'!$C$3:$C$400)=TRIM($A84)) * ('MTD Pivot'!$D$2:$K$2=H$2) * 'MTD Pivot'!$D$3:$K$400)&gt;0, SUMPRODUCT((('MTD Pivot'!$B$3:$B$400=$A$75) + ('MTD Pivot'!$A$3:$A$400=$A$75) &gt; 0) * (TRIM('MTD Pivot'!$C$3:$C$400)=TRIM($A84)) * ('MTD Pivot'!$D$2:$K$2=H$2) * 'MTD Pivot'!$D$3:$K$400), "")</f>
        <v/>
      </c>
      <c r="I84" s="193">
        <f>IF(SUMPRODUCT((('MTD Pivot'!$B$3:$B$400=$A$75) + ('MTD Pivot'!$A$3:$A$400=$A$75) &gt; 0) * (TRIM('MTD Pivot'!$C$3:$C$400)=TRIM($A84)) * ('MTD Pivot'!$D$2:$K$2=I$2) * 'MTD Pivot'!$D$3:$K$400)&gt;0, SUMPRODUCT((('MTD Pivot'!$B$3:$B$400=$A$75) + ('MTD Pivot'!$A$3:$A$400=$A$75) &gt; 0) * (TRIM('MTD Pivot'!$C$3:$C$400)=TRIM($A84)) * ('MTD Pivot'!$D$2:$K$2=I$2) * 'MTD Pivot'!$D$3:$K$400), "")</f>
        <v/>
      </c>
      <c r="J84" s="193">
        <f>IF(SUMPRODUCT((('MTD Pivot'!$B$3:$B$400=$A$75) + ('MTD Pivot'!$A$3:$A$400=$A$75) &gt; 0) * (TRIM('MTD Pivot'!$C$3:$C$400)=TRIM($A84)) * ('MTD Pivot'!$D$2:$K$2=J$2) * 'MTD Pivot'!$D$3:$K$400)&gt;0, SUMPRODUCT((('MTD Pivot'!$B$3:$B$400=$A$75) + ('MTD Pivot'!$A$3:$A$400=$A$75) &gt; 0) * (TRIM('MTD Pivot'!$C$3:$C$400)=TRIM($A84)) * ('MTD Pivot'!$D$2:$K$2=J$2) * 'MTD Pivot'!$D$3:$K$400), "")</f>
        <v/>
      </c>
      <c r="K84" s="193">
        <f>IF(SUMPRODUCT((('MTD Pivot'!$B$3:$B$400=$A$75) + ('MTD Pivot'!$A$3:$A$400=$A$75) &gt; 0) * (TRIM('MTD Pivot'!$C$3:$C$400)=TRIM($A84)) * ('MTD Pivot'!$D$2:$K$2=K$2) * 'MTD Pivot'!$D$3:$K$400)&gt;0, SUMPRODUCT((('MTD Pivot'!$B$3:$B$400=$A$75) + ('MTD Pivot'!$A$3:$A$400=$A$75) &gt; 0) * (TRIM('MTD Pivot'!$C$3:$C$400)=TRIM($A84)) * ('MTD Pivot'!$D$2:$K$2=K$2) * 'MTD Pivot'!$D$3:$K$400), "")</f>
        <v/>
      </c>
      <c r="L84" s="193">
        <f>IF(SUMPRODUCT((('MTD Pivot'!$B$3:$B$400=$A$75) + ('MTD Pivot'!$A$3:$A$400=$A$75) &gt; 0) * (TRIM('MTD Pivot'!$C$3:$C$400)=TRIM($A84)) * ('MTD Pivot'!$D$2:$K$2=L$2) * 'MTD Pivot'!$D$3:$K$400)&gt;0, SUMPRODUCT((('MTD Pivot'!$B$3:$B$400=$A$75) + ('MTD Pivot'!$A$3:$A$400=$A$75) &gt; 0) * (TRIM('MTD Pivot'!$C$3:$C$400)=TRIM($A84)) * ('MTD Pivot'!$D$2:$K$2=L$2) * 'MTD Pivot'!$D$3:$K$400), "")</f>
        <v/>
      </c>
      <c r="M84" s="193">
        <f>IF(SUMPRODUCT((('MTD Pivot'!$B$3:$B$400=$A$75) + ('MTD Pivot'!$A$3:$A$400=$A$75) &gt; 0) * (TRIM('MTD Pivot'!$C$3:$C$400)=TRIM($A84)) * ('MTD Pivot'!$D$2:$K$2=M$2) * 'MTD Pivot'!$D$3:$K$400)&gt;0, SUMPRODUCT((('MTD Pivot'!$B$3:$B$400=$A$75) + ('MTD Pivot'!$A$3:$A$400=$A$75) &gt; 0) * (TRIM('MTD Pivot'!$C$3:$C$400)=TRIM($A84)) * ('MTD Pivot'!$D$2:$K$2=M$2) * 'MTD Pivot'!$D$3:$K$400), "")</f>
        <v/>
      </c>
      <c r="N84" s="157">
        <f>IF(AND(ISNUMBER(K84), ISNUMBER(J84), J84&gt;0), (K84-J84)/J84, "")</f>
        <v/>
      </c>
      <c r="O84" s="193">
        <f>IF(SUMPRODUCT((('Full month Pivot'!$B$3:$B$400=$A$75) + ('Full month Pivot'!$A$3:$A$400=$A$75) &gt; 0) * (TRIM('Full month Pivot'!$C$3:$C$400)=TRIM($A84)) * ('Full month Pivot'!$D$2:$K$2=O$2) * 'Full month Pivot'!$D$3:$K$400)&gt;0, SUMPRODUCT((('Full month Pivot'!$B$3:$B$400=$A$75) + ('Full month Pivot'!$A$3:$A$400=$A$75) &gt; 0) * (TRIM('Full month Pivot'!$C$3:$C$400)=TRIM($A84)) * ('Full month Pivot'!$D$2:$K$2=O$2) * 'Full month Pivot'!$D$3:$K$400), "")</f>
        <v/>
      </c>
      <c r="P84" s="193">
        <f>IF(SUMPRODUCT((('Full month Pivot'!$B$3:$B$400=$A$75) + ('Full month Pivot'!$A$3:$A$400=$A$75) &gt; 0) * (TRIM('Full month Pivot'!$C$3:$C$400)=TRIM($A84)) * ('Full month Pivot'!$D$2:$K$2=P$2) * 'Full month Pivot'!$D$3:$K$400)&gt;0, SUMPRODUCT((('Full month Pivot'!$B$3:$B$400=$A$75) + ('Full month Pivot'!$A$3:$A$400=$A$75) &gt; 0) * (TRIM('Full month Pivot'!$C$3:$C$400)=TRIM($A84)) * ('Full month Pivot'!$D$2:$K$2=P$2) * 'Full month Pivot'!$D$3:$K$400), "")</f>
        <v/>
      </c>
      <c r="Q84" s="193">
        <f>IF(SUMPRODUCT((('Full month Pivot'!$B$3:$B$400=$A$75) + ('Full month Pivot'!$A$3:$A$400=$A$75) &gt; 0) * (TRIM('Full month Pivot'!$C$3:$C$400)=TRIM($A84)) * ('Full month Pivot'!$D$2:$K$2=Q$2) * 'Full month Pivot'!$D$3:$K$400)&gt;0, SUMPRODUCT((('Full month Pivot'!$B$3:$B$400=$A$75) + ('Full month Pivot'!$A$3:$A$400=$A$75) &gt; 0) * (TRIM('Full month Pivot'!$C$3:$C$400)=TRIM($A84)) * ('Full month Pivot'!$D$2:$K$2=Q$2) * 'Full month Pivot'!$D$3:$K$400), "")</f>
        <v/>
      </c>
      <c r="R84" s="193">
        <f>IF(SUMPRODUCT((('Full month Pivot'!$B$3:$B$400=$A$75) + ('Full month Pivot'!$A$3:$A$400=$A$75) &gt; 0) * (TRIM('Full month Pivot'!$C$3:$C$400)=TRIM($A84)) * ('Full month Pivot'!$D$2:$K$2=R$2) * 'Full month Pivot'!$D$3:$K$400)&gt;0, SUMPRODUCT((('Full month Pivot'!$B$3:$B$400=$A$75) + ('Full month Pivot'!$A$3:$A$400=$A$75) &gt; 0) * (TRIM('Full month Pivot'!$C$3:$C$400)=TRIM($A84)) * ('Full month Pivot'!$D$2:$K$2=R$2) * 'Full month Pivot'!$D$3:$K$400), "")</f>
        <v/>
      </c>
      <c r="S84" s="193">
        <f>IF(SUMPRODUCT((('Full month Pivot'!$B$3:$B$400=$A$75) + ('Full month Pivot'!$A$3:$A$400=$A$75) &gt; 0) * (TRIM('Full month Pivot'!$C$3:$C$400)=TRIM($A84)) * ('Full month Pivot'!$D$2:$K$2=S$2) * 'Full month Pivot'!$D$3:$K$400)&gt;0, SUMPRODUCT((('Full month Pivot'!$B$3:$B$400=$A$75) + ('Full month Pivot'!$A$3:$A$400=$A$75) &gt; 0) * (TRIM('Full month Pivot'!$C$3:$C$400)=TRIM($A84)) * ('Full month Pivot'!$D$2:$K$2=S$2) * 'Full month Pivot'!$D$3:$K$400), "")</f>
        <v/>
      </c>
      <c r="T84" s="193">
        <f>IF(SUMPRODUCT((('Full month Pivot'!$B$3:$B$400=$A$75) + ('Full month Pivot'!$A$3:$A$400=$A$75) &gt; 0) * (TRIM('Full month Pivot'!$C$3:$C$400)=TRIM($A84)) * ('Full month Pivot'!$D$2:$K$2=T$2) * 'Full month Pivot'!$D$3:$K$400)&gt;0, SUMPRODUCT((('Full month Pivot'!$B$3:$B$400=$A$75) + ('Full month Pivot'!$A$3:$A$400=$A$75) &gt; 0) * (TRIM('Full month Pivot'!$C$3:$C$400)=TRIM($A84)) * ('Full month Pivot'!$D$2:$K$2=T$2) * 'Full month Pivot'!$D$3:$K$400), "")</f>
        <v/>
      </c>
      <c r="U84" s="193">
        <f>IF(SUMPRODUCT((('Full month Pivot'!$B$3:$B$400=$A$75) + ('Full month Pivot'!$A$3:$A$400=$A$75) &gt; 0) * (TRIM('Full month Pivot'!$C$3:$C$400)=TRIM($A84)) * ('Full month Pivot'!$D$2:$K$2=U$2) * 'Full month Pivot'!$D$3:$K$400)&gt;0, SUMPRODUCT((('Full month Pivot'!$B$3:$B$400=$A$75) + ('Full month Pivot'!$A$3:$A$400=$A$75) &gt; 0) * (TRIM('Full month Pivot'!$C$3:$C$400)=TRIM($A84)) * ('Full month Pivot'!$D$2:$K$2=U$2) * 'Full month Pivot'!$D$3:$K$400), "")</f>
        <v/>
      </c>
      <c r="V84" s="193">
        <f>IF(SUMPRODUCT((('Full month Pivot'!$B$3:$B$400=$A$75) + ('Full month Pivot'!$A$3:$A$400=$A$75) &gt; 0) * (TRIM('Full month Pivot'!$C$3:$C$400)=TRIM($A84)) * ('Full month Pivot'!$D$2:$K$2=V$2) * 'Full month Pivot'!$D$3:$K$400)&gt;0, SUMPRODUCT((('Full month Pivot'!$B$3:$B$400=$A$75) + ('Full month Pivot'!$A$3:$A$400=$A$75) &gt; 0) * (TRIM('Full month Pivot'!$C$3:$C$400)=TRIM($A84)) * ('Full month Pivot'!$D$2:$K$2=V$2) * 'Full month Pivot'!$D$3:$K$400), "")</f>
        <v/>
      </c>
      <c r="W84" s="193">
        <f>IF(SUMPRODUCT((('Full month Pivot'!$B$3:$B$400=$A$75) + ('Full month Pivot'!$A$3:$A$400=$A$75) &gt; 0) * (TRIM('Full month Pivot'!$C$3:$C$400)=TRIM($A84)) * ('Full month Pivot'!$D$2:$K$2=W$2) * 'Full month Pivot'!$D$3:$K$400)&gt;0, SUMPRODUCT((('Full month Pivot'!$B$3:$B$400=$A$75) + ('Full month Pivot'!$A$3:$A$400=$A$75) &gt; 0) * (TRIM('Full month Pivot'!$C$3:$C$400)=TRIM($A84)) * ('Full month Pivot'!$D$2:$K$2=W$2) * 'Full month Pivot'!$D$3:$K$400), "")</f>
        <v/>
      </c>
      <c r="X84" s="193">
        <f>IF(SUMPRODUCT((('Full month Pivot'!$B$3:$B$400=$A$75) + ('Full month Pivot'!$A$3:$A$400=$A$75) &gt; 0) * (TRIM('Full month Pivot'!$C$3:$C$400)=TRIM($A84)) * ('Full month Pivot'!$D$2:$K$2=X$2) * 'Full month Pivot'!$D$3:$K$400)&gt;0, SUMPRODUCT((('Full month Pivot'!$B$3:$B$400=$A$75) + ('Full month Pivot'!$A$3:$A$400=$A$75) &gt; 0) * (TRIM('Full month Pivot'!$C$3:$C$400)=TRIM($A84)) * ('Full month Pivot'!$D$2:$K$2=X$2) * 'Full month Pivot'!$D$3:$K$400), "")</f>
        <v/>
      </c>
      <c r="Y84" s="193">
        <f>IF(SUMPRODUCT((('Full month Pivot'!$B$3:$B$400=$A$75) + ('Full month Pivot'!$A$3:$A$400=$A$75) &gt; 0) * (TRIM('Full month Pivot'!$C$3:$C$400)=TRIM($A84)) * ('Full month Pivot'!$D$2:$K$2=Y$2) * 'Full month Pivot'!$D$3:$K$400)&gt;0, SUMPRODUCT((('Full month Pivot'!$B$3:$B$400=$A$75) + ('Full month Pivot'!$A$3:$A$400=$A$75) &gt; 0) * (TRIM('Full month Pivot'!$C$3:$C$400)=TRIM($A84)) * ('Full month Pivot'!$D$2:$K$2=Y$2) * 'Full month Pivot'!$D$3:$K$400), "")</f>
        <v/>
      </c>
      <c r="Z84" s="193">
        <f>IF(SUMPRODUCT((('Full month Pivot'!$B$3:$B$400=$A$75) + ('Full month Pivot'!$A$3:$A$400=$A$75) &gt; 0) * (TRIM('Full month Pivot'!$C$3:$C$400)=TRIM($A84)) * ('Full month Pivot'!$D$2:$K$2=Z$2) * 'Full month Pivot'!$D$3:$K$400)&gt;0, SUMPRODUCT((('Full month Pivot'!$B$3:$B$400=$A$75) + ('Full month Pivot'!$A$3:$A$400=$A$75) &gt; 0) * (TRIM('Full month Pivot'!$C$3:$C$400)=TRIM($A84)) * ('Full month Pivot'!$D$2:$K$2=Z$2) * 'Full month Pivot'!$D$3:$K$400), "")</f>
        <v/>
      </c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202" t="inlineStr">
        <is>
          <t xml:space="preserve">  Others</t>
        </is>
      </c>
      <c r="B85" s="193">
        <f>IF(SUMPRODUCT((('MTD Pivot'!$B$3:$B$400=$A$75) + ('MTD Pivot'!$A$3:$A$400=$A$75) &gt; 0) * (TRIM('MTD Pivot'!$C$3:$C$400)=TRIM($A85)) * ('MTD Pivot'!$D$2:$K$2=B$2) * 'MTD Pivot'!$D$3:$K$400)&gt;0, SUMPRODUCT((('MTD Pivot'!$B$3:$B$400=$A$75) + ('MTD Pivot'!$A$3:$A$400=$A$75) &gt; 0) * (TRIM('MTD Pivot'!$C$3:$C$400)=TRIM($A85)) * ('MTD Pivot'!$D$2:$K$2=B$2) * 'MTD Pivot'!$D$3:$K$400), "")</f>
        <v/>
      </c>
      <c r="C85" s="193">
        <f>IF(SUMPRODUCT((('MTD Pivot'!$B$3:$B$400=$A$75) + ('MTD Pivot'!$A$3:$A$400=$A$75) &gt; 0) * (TRIM('MTD Pivot'!$C$3:$C$400)=TRIM($A85)) * ('MTD Pivot'!$D$2:$K$2=C$2) * 'MTD Pivot'!$D$3:$K$400)&gt;0, SUMPRODUCT((('MTD Pivot'!$B$3:$B$400=$A$75) + ('MTD Pivot'!$A$3:$A$400=$A$75) &gt; 0) * (TRIM('MTD Pivot'!$C$3:$C$400)=TRIM($A85)) * ('MTD Pivot'!$D$2:$K$2=C$2) * 'MTD Pivot'!$D$3:$K$400), "")</f>
        <v/>
      </c>
      <c r="D85" s="193">
        <f>IF(SUMPRODUCT((('MTD Pivot'!$B$3:$B$400=$A$75) + ('MTD Pivot'!$A$3:$A$400=$A$75) &gt; 0) * (TRIM('MTD Pivot'!$C$3:$C$400)=TRIM($A85)) * ('MTD Pivot'!$D$2:$K$2=D$2) * 'MTD Pivot'!$D$3:$K$400)&gt;0, SUMPRODUCT((('MTD Pivot'!$B$3:$B$400=$A$75) + ('MTD Pivot'!$A$3:$A$400=$A$75) &gt; 0) * (TRIM('MTD Pivot'!$C$3:$C$400)=TRIM($A85)) * ('MTD Pivot'!$D$2:$K$2=D$2) * 'MTD Pivot'!$D$3:$K$400), "")</f>
        <v/>
      </c>
      <c r="E85" s="193">
        <f>IF(SUMPRODUCT((('MTD Pivot'!$B$3:$B$400=$A$75) + ('MTD Pivot'!$A$3:$A$400=$A$75) &gt; 0) * (TRIM('MTD Pivot'!$C$3:$C$400)=TRIM($A85)) * ('MTD Pivot'!$D$2:$K$2=E$2) * 'MTD Pivot'!$D$3:$K$400)&gt;0, SUMPRODUCT((('MTD Pivot'!$B$3:$B$400=$A$75) + ('MTD Pivot'!$A$3:$A$400=$A$75) &gt; 0) * (TRIM('MTD Pivot'!$C$3:$C$400)=TRIM($A85)) * ('MTD Pivot'!$D$2:$K$2=E$2) * 'MTD Pivot'!$D$3:$K$400), "")</f>
        <v/>
      </c>
      <c r="F85" s="193">
        <f>IF(SUMPRODUCT((('MTD Pivot'!$B$3:$B$400=$A$75) + ('MTD Pivot'!$A$3:$A$400=$A$75) &gt; 0) * (TRIM('MTD Pivot'!$C$3:$C$400)=TRIM($A85)) * ('MTD Pivot'!$D$2:$K$2=F$2) * 'MTD Pivot'!$D$3:$K$400)&gt;0, SUMPRODUCT((('MTD Pivot'!$B$3:$B$400=$A$75) + ('MTD Pivot'!$A$3:$A$400=$A$75) &gt; 0) * (TRIM('MTD Pivot'!$C$3:$C$400)=TRIM($A85)) * ('MTD Pivot'!$D$2:$K$2=F$2) * 'MTD Pivot'!$D$3:$K$400), "")</f>
        <v/>
      </c>
      <c r="G85" s="193">
        <f>IF(SUMPRODUCT((('MTD Pivot'!$B$3:$B$400=$A$75) + ('MTD Pivot'!$A$3:$A$400=$A$75) &gt; 0) * (TRIM('MTD Pivot'!$C$3:$C$400)=TRIM($A85)) * ('MTD Pivot'!$D$2:$K$2=G$2) * 'MTD Pivot'!$D$3:$K$400)&gt;0, SUMPRODUCT((('MTD Pivot'!$B$3:$B$400=$A$75) + ('MTD Pivot'!$A$3:$A$400=$A$75) &gt; 0) * (TRIM('MTD Pivot'!$C$3:$C$400)=TRIM($A85)) * ('MTD Pivot'!$D$2:$K$2=G$2) * 'MTD Pivot'!$D$3:$K$400), "")</f>
        <v/>
      </c>
      <c r="H85" s="193">
        <f>IF(SUMPRODUCT((('MTD Pivot'!$B$3:$B$400=$A$75) + ('MTD Pivot'!$A$3:$A$400=$A$75) &gt; 0) * (TRIM('MTD Pivot'!$C$3:$C$400)=TRIM($A85)) * ('MTD Pivot'!$D$2:$K$2=H$2) * 'MTD Pivot'!$D$3:$K$400)&gt;0, SUMPRODUCT((('MTD Pivot'!$B$3:$B$400=$A$75) + ('MTD Pivot'!$A$3:$A$400=$A$75) &gt; 0) * (TRIM('MTD Pivot'!$C$3:$C$400)=TRIM($A85)) * ('MTD Pivot'!$D$2:$K$2=H$2) * 'MTD Pivot'!$D$3:$K$400), "")</f>
        <v/>
      </c>
      <c r="I85" s="193">
        <f>IF(SUMPRODUCT((('MTD Pivot'!$B$3:$B$400=$A$75) + ('MTD Pivot'!$A$3:$A$400=$A$75) &gt; 0) * (TRIM('MTD Pivot'!$C$3:$C$400)=TRIM($A85)) * ('MTD Pivot'!$D$2:$K$2=I$2) * 'MTD Pivot'!$D$3:$K$400)&gt;0, SUMPRODUCT((('MTD Pivot'!$B$3:$B$400=$A$75) + ('MTD Pivot'!$A$3:$A$400=$A$75) &gt; 0) * (TRIM('MTD Pivot'!$C$3:$C$400)=TRIM($A85)) * ('MTD Pivot'!$D$2:$K$2=I$2) * 'MTD Pivot'!$D$3:$K$400), "")</f>
        <v/>
      </c>
      <c r="J85" s="193">
        <f>IF(SUMPRODUCT((('MTD Pivot'!$B$3:$B$400=$A$75) + ('MTD Pivot'!$A$3:$A$400=$A$75) &gt; 0) * (TRIM('MTD Pivot'!$C$3:$C$400)=TRIM($A85)) * ('MTD Pivot'!$D$2:$K$2=J$2) * 'MTD Pivot'!$D$3:$K$400)&gt;0, SUMPRODUCT((('MTD Pivot'!$B$3:$B$400=$A$75) + ('MTD Pivot'!$A$3:$A$400=$A$75) &gt; 0) * (TRIM('MTD Pivot'!$C$3:$C$400)=TRIM($A85)) * ('MTD Pivot'!$D$2:$K$2=J$2) * 'MTD Pivot'!$D$3:$K$400), "")</f>
        <v/>
      </c>
      <c r="K85" s="193">
        <f>IF(SUMPRODUCT((('MTD Pivot'!$B$3:$B$400=$A$75) + ('MTD Pivot'!$A$3:$A$400=$A$75) &gt; 0) * (TRIM('MTD Pivot'!$C$3:$C$400)=TRIM($A85)) * ('MTD Pivot'!$D$2:$K$2=K$2) * 'MTD Pivot'!$D$3:$K$400)&gt;0, SUMPRODUCT((('MTD Pivot'!$B$3:$B$400=$A$75) + ('MTD Pivot'!$A$3:$A$400=$A$75) &gt; 0) * (TRIM('MTD Pivot'!$C$3:$C$400)=TRIM($A85)) * ('MTD Pivot'!$D$2:$K$2=K$2) * 'MTD Pivot'!$D$3:$K$400), "")</f>
        <v/>
      </c>
      <c r="L85" s="193">
        <f>IF(SUMPRODUCT((('MTD Pivot'!$B$3:$B$400=$A$75) + ('MTD Pivot'!$A$3:$A$400=$A$75) &gt; 0) * (TRIM('MTD Pivot'!$C$3:$C$400)=TRIM($A85)) * ('MTD Pivot'!$D$2:$K$2=L$2) * 'MTD Pivot'!$D$3:$K$400)&gt;0, SUMPRODUCT((('MTD Pivot'!$B$3:$B$400=$A$75) + ('MTD Pivot'!$A$3:$A$400=$A$75) &gt; 0) * (TRIM('MTD Pivot'!$C$3:$C$400)=TRIM($A85)) * ('MTD Pivot'!$D$2:$K$2=L$2) * 'MTD Pivot'!$D$3:$K$400), "")</f>
        <v/>
      </c>
      <c r="M85" s="193">
        <f>IF(SUMPRODUCT((('MTD Pivot'!$B$3:$B$400=$A$75) + ('MTD Pivot'!$A$3:$A$400=$A$75) &gt; 0) * (TRIM('MTD Pivot'!$C$3:$C$400)=TRIM($A85)) * ('MTD Pivot'!$D$2:$K$2=M$2) * 'MTD Pivot'!$D$3:$K$400)&gt;0, SUMPRODUCT((('MTD Pivot'!$B$3:$B$400=$A$75) + ('MTD Pivot'!$A$3:$A$400=$A$75) &gt; 0) * (TRIM('MTD Pivot'!$C$3:$C$400)=TRIM($A85)) * ('MTD Pivot'!$D$2:$K$2=M$2) * 'MTD Pivot'!$D$3:$K$400), "")</f>
        <v/>
      </c>
      <c r="N85" s="157">
        <f>IF(AND(ISNUMBER(K85), ISNUMBER(J85), J85&gt;0), (K85-J85)/J85, "")</f>
        <v/>
      </c>
      <c r="O85" s="193">
        <f>IF(SUMPRODUCT((('Full month Pivot'!$B$3:$B$400=$A$75) + ('Full month Pivot'!$A$3:$A$400=$A$75) &gt; 0) * (TRIM('Full month Pivot'!$C$3:$C$400)=TRIM($A85)) * ('Full month Pivot'!$D$2:$K$2=O$2) * 'Full month Pivot'!$D$3:$K$400)&gt;0, SUMPRODUCT((('Full month Pivot'!$B$3:$B$400=$A$75) + ('Full month Pivot'!$A$3:$A$400=$A$75) &gt; 0) * (TRIM('Full month Pivot'!$C$3:$C$400)=TRIM($A85)) * ('Full month Pivot'!$D$2:$K$2=O$2) * 'Full month Pivot'!$D$3:$K$400), "")</f>
        <v/>
      </c>
      <c r="P85" s="193">
        <f>IF(SUMPRODUCT((('Full month Pivot'!$B$3:$B$400=$A$75) + ('Full month Pivot'!$A$3:$A$400=$A$75) &gt; 0) * (TRIM('Full month Pivot'!$C$3:$C$400)=TRIM($A85)) * ('Full month Pivot'!$D$2:$K$2=P$2) * 'Full month Pivot'!$D$3:$K$400)&gt;0, SUMPRODUCT((('Full month Pivot'!$B$3:$B$400=$A$75) + ('Full month Pivot'!$A$3:$A$400=$A$75) &gt; 0) * (TRIM('Full month Pivot'!$C$3:$C$400)=TRIM($A85)) * ('Full month Pivot'!$D$2:$K$2=P$2) * 'Full month Pivot'!$D$3:$K$400), "")</f>
        <v/>
      </c>
      <c r="Q85" s="193">
        <f>IF(SUMPRODUCT((('Full month Pivot'!$B$3:$B$400=$A$75) + ('Full month Pivot'!$A$3:$A$400=$A$75) &gt; 0) * (TRIM('Full month Pivot'!$C$3:$C$400)=TRIM($A85)) * ('Full month Pivot'!$D$2:$K$2=Q$2) * 'Full month Pivot'!$D$3:$K$400)&gt;0, SUMPRODUCT((('Full month Pivot'!$B$3:$B$400=$A$75) + ('Full month Pivot'!$A$3:$A$400=$A$75) &gt; 0) * (TRIM('Full month Pivot'!$C$3:$C$400)=TRIM($A85)) * ('Full month Pivot'!$D$2:$K$2=Q$2) * 'Full month Pivot'!$D$3:$K$400), "")</f>
        <v/>
      </c>
      <c r="R85" s="193">
        <f>IF(SUMPRODUCT((('Full month Pivot'!$B$3:$B$400=$A$75) + ('Full month Pivot'!$A$3:$A$400=$A$75) &gt; 0) * (TRIM('Full month Pivot'!$C$3:$C$400)=TRIM($A85)) * ('Full month Pivot'!$D$2:$K$2=R$2) * 'Full month Pivot'!$D$3:$K$400)&gt;0, SUMPRODUCT((('Full month Pivot'!$B$3:$B$400=$A$75) + ('Full month Pivot'!$A$3:$A$400=$A$75) &gt; 0) * (TRIM('Full month Pivot'!$C$3:$C$400)=TRIM($A85)) * ('Full month Pivot'!$D$2:$K$2=R$2) * 'Full month Pivot'!$D$3:$K$400), "")</f>
        <v/>
      </c>
      <c r="S85" s="193">
        <f>IF(SUMPRODUCT((('Full month Pivot'!$B$3:$B$400=$A$75) + ('Full month Pivot'!$A$3:$A$400=$A$75) &gt; 0) * (TRIM('Full month Pivot'!$C$3:$C$400)=TRIM($A85)) * ('Full month Pivot'!$D$2:$K$2=S$2) * 'Full month Pivot'!$D$3:$K$400)&gt;0, SUMPRODUCT((('Full month Pivot'!$B$3:$B$400=$A$75) + ('Full month Pivot'!$A$3:$A$400=$A$75) &gt; 0) * (TRIM('Full month Pivot'!$C$3:$C$400)=TRIM($A85)) * ('Full month Pivot'!$D$2:$K$2=S$2) * 'Full month Pivot'!$D$3:$K$400), "")</f>
        <v/>
      </c>
      <c r="T85" s="193">
        <f>IF(SUMPRODUCT((('Full month Pivot'!$B$3:$B$400=$A$75) + ('Full month Pivot'!$A$3:$A$400=$A$75) &gt; 0) * (TRIM('Full month Pivot'!$C$3:$C$400)=TRIM($A85)) * ('Full month Pivot'!$D$2:$K$2=T$2) * 'Full month Pivot'!$D$3:$K$400)&gt;0, SUMPRODUCT((('Full month Pivot'!$B$3:$B$400=$A$75) + ('Full month Pivot'!$A$3:$A$400=$A$75) &gt; 0) * (TRIM('Full month Pivot'!$C$3:$C$400)=TRIM($A85)) * ('Full month Pivot'!$D$2:$K$2=T$2) * 'Full month Pivot'!$D$3:$K$400), "")</f>
        <v/>
      </c>
      <c r="U85" s="193">
        <f>IF(SUMPRODUCT((('Full month Pivot'!$B$3:$B$400=$A$75) + ('Full month Pivot'!$A$3:$A$400=$A$75) &gt; 0) * (TRIM('Full month Pivot'!$C$3:$C$400)=TRIM($A85)) * ('Full month Pivot'!$D$2:$K$2=U$2) * 'Full month Pivot'!$D$3:$K$400)&gt;0, SUMPRODUCT((('Full month Pivot'!$B$3:$B$400=$A$75) + ('Full month Pivot'!$A$3:$A$400=$A$75) &gt; 0) * (TRIM('Full month Pivot'!$C$3:$C$400)=TRIM($A85)) * ('Full month Pivot'!$D$2:$K$2=U$2) * 'Full month Pivot'!$D$3:$K$400), "")</f>
        <v/>
      </c>
      <c r="V85" s="193">
        <f>IF(SUMPRODUCT((('Full month Pivot'!$B$3:$B$400=$A$75) + ('Full month Pivot'!$A$3:$A$400=$A$75) &gt; 0) * (TRIM('Full month Pivot'!$C$3:$C$400)=TRIM($A85)) * ('Full month Pivot'!$D$2:$K$2=V$2) * 'Full month Pivot'!$D$3:$K$400)&gt;0, SUMPRODUCT((('Full month Pivot'!$B$3:$B$400=$A$75) + ('Full month Pivot'!$A$3:$A$400=$A$75) &gt; 0) * (TRIM('Full month Pivot'!$C$3:$C$400)=TRIM($A85)) * ('Full month Pivot'!$D$2:$K$2=V$2) * 'Full month Pivot'!$D$3:$K$400), "")</f>
        <v/>
      </c>
      <c r="W85" s="193">
        <f>IF(SUMPRODUCT((('Full month Pivot'!$B$3:$B$400=$A$75) + ('Full month Pivot'!$A$3:$A$400=$A$75) &gt; 0) * (TRIM('Full month Pivot'!$C$3:$C$400)=TRIM($A85)) * ('Full month Pivot'!$D$2:$K$2=W$2) * 'Full month Pivot'!$D$3:$K$400)&gt;0, SUMPRODUCT((('Full month Pivot'!$B$3:$B$400=$A$75) + ('Full month Pivot'!$A$3:$A$400=$A$75) &gt; 0) * (TRIM('Full month Pivot'!$C$3:$C$400)=TRIM($A85)) * ('Full month Pivot'!$D$2:$K$2=W$2) * 'Full month Pivot'!$D$3:$K$400), "")</f>
        <v/>
      </c>
      <c r="X85" s="193">
        <f>IF(SUMPRODUCT((('Full month Pivot'!$B$3:$B$400=$A$75) + ('Full month Pivot'!$A$3:$A$400=$A$75) &gt; 0) * (TRIM('Full month Pivot'!$C$3:$C$400)=TRIM($A85)) * ('Full month Pivot'!$D$2:$K$2=X$2) * 'Full month Pivot'!$D$3:$K$400)&gt;0, SUMPRODUCT((('Full month Pivot'!$B$3:$B$400=$A$75) + ('Full month Pivot'!$A$3:$A$400=$A$75) &gt; 0) * (TRIM('Full month Pivot'!$C$3:$C$400)=TRIM($A85)) * ('Full month Pivot'!$D$2:$K$2=X$2) * 'Full month Pivot'!$D$3:$K$400), "")</f>
        <v/>
      </c>
      <c r="Y85" s="193">
        <f>IF(SUMPRODUCT((('Full month Pivot'!$B$3:$B$400=$A$75) + ('Full month Pivot'!$A$3:$A$400=$A$75) &gt; 0) * (TRIM('Full month Pivot'!$C$3:$C$400)=TRIM($A85)) * ('Full month Pivot'!$D$2:$K$2=Y$2) * 'Full month Pivot'!$D$3:$K$400)&gt;0, SUMPRODUCT((('Full month Pivot'!$B$3:$B$400=$A$75) + ('Full month Pivot'!$A$3:$A$400=$A$75) &gt; 0) * (TRIM('Full month Pivot'!$C$3:$C$400)=TRIM($A85)) * ('Full month Pivot'!$D$2:$K$2=Y$2) * 'Full month Pivot'!$D$3:$K$400), "")</f>
        <v/>
      </c>
      <c r="Z85" s="193">
        <f>IF(SUMPRODUCT((('Full month Pivot'!$B$3:$B$400=$A$75) + ('Full month Pivot'!$A$3:$A$400=$A$75) &gt; 0) * (TRIM('Full month Pivot'!$C$3:$C$400)=TRIM($A85)) * ('Full month Pivot'!$D$2:$K$2=Z$2) * 'Full month Pivot'!$D$3:$K$400)&gt;0, SUMPRODUCT((('Full month Pivot'!$B$3:$B$400=$A$75) + ('Full month Pivot'!$A$3:$A$400=$A$75) &gt; 0) * (TRIM('Full month Pivot'!$C$3:$C$400)=TRIM($A85)) * ('Full month Pivot'!$D$2:$K$2=Z$2) * 'Full month Pivot'!$D$3:$K$400), "")</f>
        <v/>
      </c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202" t="n"/>
      <c r="B86" s="202" t="n"/>
      <c r="C86" s="202" t="n"/>
      <c r="D86" s="202" t="n"/>
      <c r="E86" s="202" t="n"/>
      <c r="F86" s="202" t="n"/>
      <c r="G86" s="202" t="n"/>
      <c r="H86" s="202" t="n"/>
      <c r="I86" s="202" t="n"/>
      <c r="J86" s="202" t="n"/>
      <c r="K86" s="202" t="n"/>
      <c r="L86" s="202" t="n"/>
      <c r="M86" s="202" t="n"/>
      <c r="N86" s="202" t="n"/>
      <c r="O86" s="202" t="n"/>
      <c r="P86" s="202" t="n"/>
      <c r="Q86" s="202" t="n"/>
      <c r="R86" s="202" t="n"/>
      <c r="S86" s="202" t="n"/>
      <c r="T86" s="202" t="n"/>
      <c r="U86" s="202" t="n"/>
      <c r="V86" s="202" t="n"/>
      <c r="W86" s="202" t="n"/>
      <c r="X86" s="202" t="n"/>
      <c r="Y86" s="202" t="n"/>
      <c r="Z86" s="202" t="n"/>
      <c r="AA86" s="202" t="n"/>
      <c r="AB86" s="140" t="n"/>
      <c r="AC86" s="140" t="n"/>
      <c r="AD86" s="140" t="n"/>
    </row>
    <row r="87" ht="15.75" customHeight="1" s="346">
      <c r="A87" s="145" t="inlineStr">
        <is>
          <t>Hỏi đáp</t>
        </is>
      </c>
      <c r="B87" s="145" t="n"/>
      <c r="C87" s="145" t="n"/>
      <c r="D87" s="145" t="n"/>
      <c r="E87" s="145" t="n"/>
      <c r="F87" s="145" t="n"/>
      <c r="G87" s="145" t="n"/>
      <c r="H87" s="145" t="n"/>
      <c r="I87" s="145" t="n"/>
      <c r="J87" s="145" t="n"/>
      <c r="K87" s="145" t="n"/>
      <c r="L87" s="145" t="n"/>
      <c r="M87" s="145" t="n"/>
      <c r="N87" s="145" t="n"/>
      <c r="O87" s="145" t="n"/>
      <c r="P87" s="145" t="n"/>
      <c r="Q87" s="145" t="n"/>
      <c r="R87" s="145" t="n"/>
      <c r="S87" s="145" t="n"/>
      <c r="T87" s="145" t="n"/>
      <c r="U87" s="145" t="n"/>
      <c r="V87" s="145" t="n"/>
      <c r="W87" s="145" t="n"/>
      <c r="X87" s="145" t="n"/>
      <c r="Y87" s="145" t="n"/>
      <c r="Z87" s="145" t="n"/>
      <c r="AA87" s="145" t="n"/>
      <c r="AB87" s="140" t="n"/>
      <c r="AC87" s="140" t="n"/>
      <c r="AD87" s="140" t="n"/>
    </row>
    <row r="88" ht="15.75" customHeight="1" s="346">
      <c r="A88" s="146" t="inlineStr">
        <is>
          <t>Page views</t>
        </is>
      </c>
      <c r="B88" s="147">
        <f>IF(SUM(B93:B97)&gt;0, SUM(B93:B97), "")</f>
        <v/>
      </c>
      <c r="C88" s="147">
        <f>IF(SUM(C93:C97)&gt;0, SUM(C93:C97), "")</f>
        <v/>
      </c>
      <c r="D88" s="147">
        <f>IF(SUM(D93:D97)&gt;0, SUM(D93:D97), "")</f>
        <v/>
      </c>
      <c r="E88" s="147">
        <f>IF(SUM(E93:E97)&gt;0, SUM(E93:E97), "")</f>
        <v/>
      </c>
      <c r="F88" s="147">
        <f>IF(SUM(F93:F97)&gt;0, SUM(F93:F97), "")</f>
        <v/>
      </c>
      <c r="G88" s="147">
        <f>IF(SUM(G93:G97)&gt;0, SUM(G93:G97), "")</f>
        <v/>
      </c>
      <c r="H88" s="147">
        <f>IF(SUM(H93:H97)&gt;0, SUM(H93:H97), "")</f>
        <v/>
      </c>
      <c r="I88" s="147">
        <f>IF(SUM(I93:I97)&gt;0, SUM(I93:I97), "")</f>
        <v/>
      </c>
      <c r="J88" s="147">
        <f>IF(SUM(J93:J97)&gt;0, SUM(J93:J97), "")</f>
        <v/>
      </c>
      <c r="K88" s="147">
        <f>IF(SUM(K93:K97)&gt;0, SUM(K93:K97), "")</f>
        <v/>
      </c>
      <c r="L88" s="147">
        <f>IF(SUM(L93:L97)&gt;0, SUM(L93:L97), "")</f>
        <v/>
      </c>
      <c r="M88" s="147">
        <f>IF(SUM(M93:M97)&gt;0, SUM(M93:M97), "")</f>
        <v/>
      </c>
      <c r="N88" s="148">
        <f>IFERROR((K88-J88)/J88, "")</f>
        <v/>
      </c>
      <c r="O88" s="147">
        <f>IF(SUM(O93:O97)&gt;0, SUM(O93:O97), "")</f>
        <v/>
      </c>
      <c r="P88" s="147">
        <f>IF(SUM(P93:P97)&gt;0, SUM(P93:P97), "")</f>
        <v/>
      </c>
      <c r="Q88" s="147">
        <f>IF(SUM(Q93:Q97)&gt;0, SUM(Q93:Q97), "")</f>
        <v/>
      </c>
      <c r="R88" s="147">
        <f>IF(SUM(R93:R97)&gt;0, SUM(R93:R97), "")</f>
        <v/>
      </c>
      <c r="S88" s="147">
        <f>IF(SUM(S93:S97)&gt;0, SUM(S93:S97), "")</f>
        <v/>
      </c>
      <c r="T88" s="147">
        <f>IF(SUM(T93:T97)&gt;0, SUM(T93:T97), "")</f>
        <v/>
      </c>
      <c r="U88" s="147">
        <f>IF(SUM(U93:U97)&gt;0, SUM(U93:U97), "")</f>
        <v/>
      </c>
      <c r="V88" s="147">
        <f>IF(SUM(V93:V97)&gt;0, SUM(V93:V97), "")</f>
        <v/>
      </c>
      <c r="W88" s="147">
        <f>IF(SUM(W93:W97)&gt;0, SUM(W93:W97), "")</f>
        <v/>
      </c>
      <c r="X88" s="147">
        <f>IF(SUM(X93:X97)&gt;0, SUM(X93:X97), "")</f>
        <v/>
      </c>
      <c r="Y88" s="147">
        <f>IF(SUM(Y93:Y97)&gt;0, SUM(Y93:Y97), "")</f>
        <v/>
      </c>
      <c r="Z88" s="147">
        <f>IF(SUM(Z93:Z97)&gt;0, SUM(Z93:Z97), "")</f>
        <v/>
      </c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150" t="inlineStr">
        <is>
          <t xml:space="preserve">  Click CTA</t>
        </is>
      </c>
      <c r="B89" s="150" t="n"/>
      <c r="C89" s="150" t="n"/>
      <c r="D89" s="150" t="n"/>
      <c r="E89" s="150" t="n"/>
      <c r="F89" s="150" t="n">
        <v>1422</v>
      </c>
      <c r="G89" s="150" t="n">
        <v>1602</v>
      </c>
      <c r="H89" s="150" t="n">
        <v>1394</v>
      </c>
      <c r="I89" s="150" t="n">
        <v>2090</v>
      </c>
      <c r="J89" s="150" t="n">
        <v>1587</v>
      </c>
      <c r="K89" s="150" t="n">
        <v>1677</v>
      </c>
      <c r="L89" s="150" t="n"/>
      <c r="M89" s="150" t="n"/>
      <c r="N89" s="151">
        <f>IFERROR((K89-J89)/J89, "")</f>
        <v/>
      </c>
      <c r="O89" s="150" t="n"/>
      <c r="P89" s="150" t="n"/>
      <c r="Q89" s="150" t="n"/>
      <c r="R89" s="150" t="n"/>
      <c r="S89" s="150" t="n">
        <v>1618</v>
      </c>
      <c r="T89" s="150" t="n">
        <v>1702</v>
      </c>
      <c r="U89" s="150" t="n">
        <v>1615</v>
      </c>
      <c r="V89" s="150" t="n">
        <v>2270</v>
      </c>
      <c r="W89" s="150" t="n">
        <v>1712</v>
      </c>
      <c r="X89" s="150" t="n">
        <v>1677</v>
      </c>
      <c r="Y89" s="150" t="n"/>
      <c r="Z89" s="150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152" t="inlineStr">
        <is>
          <t xml:space="preserve">  Net change</t>
        </is>
      </c>
      <c r="B90" s="153" t="n"/>
      <c r="C90" s="153">
        <f>IF(AND(ISNUMBER(C88), ISNUMBER(B88), B88&gt;0, C88&gt;0), C88-B88, "")</f>
        <v/>
      </c>
      <c r="D90" s="153">
        <f>IF(AND(ISNUMBER(D88), ISNUMBER(C88), C88&gt;0, D88&gt;0), D88-C88, "")</f>
        <v/>
      </c>
      <c r="E90" s="153">
        <f>IF(AND(ISNUMBER(E88), ISNUMBER(D88), D88&gt;0, E88&gt;0), E88-D88, "")</f>
        <v/>
      </c>
      <c r="F90" s="153">
        <f>IF(AND(ISNUMBER(F88), ISNUMBER(E88), E88&gt;0, F88&gt;0), F88-E88, "")</f>
        <v/>
      </c>
      <c r="G90" s="153">
        <f>IF(AND(ISNUMBER(G88), ISNUMBER(F88), F88&gt;0, G88&gt;0), G88-F88, "")</f>
        <v/>
      </c>
      <c r="H90" s="153">
        <f>IF(AND(ISNUMBER(H88), ISNUMBER(G88), G88&gt;0, H88&gt;0), H88-G88, "")</f>
        <v/>
      </c>
      <c r="I90" s="153">
        <f>IF(AND(ISNUMBER(I88), ISNUMBER(H88), H88&gt;0, I88&gt;0), I88-H88, "")</f>
        <v/>
      </c>
      <c r="J90" s="153">
        <f>IF(AND(ISNUMBER(J88), ISNUMBER(I88), I88&gt;0, J88&gt;0), J88-I88, "")</f>
        <v/>
      </c>
      <c r="K90" s="153">
        <f>IF(AND(ISNUMBER(K88), ISNUMBER(J88), J88&gt;0, K88&gt;0), K88-J88, "")</f>
        <v/>
      </c>
      <c r="L90" s="153">
        <f>IF(AND(ISNUMBER(L88), ISNUMBER(K88), K88&gt;0, L88&gt;0), L88-K88, "")</f>
        <v/>
      </c>
      <c r="M90" s="153">
        <f>IF(AND(ISNUMBER(M88), ISNUMBER(L88), L88&gt;0, M88&gt;0), M88-L88, "")</f>
        <v/>
      </c>
      <c r="N90" s="153" t="n"/>
      <c r="O90" s="153" t="n"/>
      <c r="P90" s="153">
        <f>IF(AND(ISNUMBER(P88), ISNUMBER(O88), O88&gt;0, P88&gt;0), P88-O88, "")</f>
        <v/>
      </c>
      <c r="Q90" s="153">
        <f>IF(AND(ISNUMBER(Q88), ISNUMBER(P88), P88&gt;0, Q88&gt;0), Q88-P88, "")</f>
        <v/>
      </c>
      <c r="R90" s="153">
        <f>IF(AND(ISNUMBER(R88), ISNUMBER(Q88), Q88&gt;0, R88&gt;0), R88-Q88, "")</f>
        <v/>
      </c>
      <c r="S90" s="153">
        <f>IF(AND(ISNUMBER(S88), ISNUMBER(R88), R88&gt;0, S88&gt;0), S88-R88, "")</f>
        <v/>
      </c>
      <c r="T90" s="153">
        <f>IF(AND(ISNUMBER(T88), ISNUMBER(S88), S88&gt;0, T88&gt;0), T88-S88, "")</f>
        <v/>
      </c>
      <c r="U90" s="153">
        <f>IF(AND(ISNUMBER(U88), ISNUMBER(T88), T88&gt;0, U88&gt;0), U88-T88, "")</f>
        <v/>
      </c>
      <c r="V90" s="153">
        <f>IF(AND(ISNUMBER(V88), ISNUMBER(U88), U88&gt;0, V88&gt;0), V88-U88, "")</f>
        <v/>
      </c>
      <c r="W90" s="153">
        <f>IF(AND(ISNUMBER(W88), ISNUMBER(V88), V88&gt;0, W88&gt;0), W88-V88, "")</f>
        <v/>
      </c>
      <c r="X90" s="153">
        <f>IF(AND(ISNUMBER(X88), ISNUMBER(W88), W88&gt;0, X88&gt;0), X88-W88, "")</f>
        <v/>
      </c>
      <c r="Y90" s="153">
        <f>IF(AND(ISNUMBER(Y88), ISNUMBER(X88), X88&gt;0, Y88&gt;0), Y88-X88, "")</f>
        <v/>
      </c>
      <c r="Z90" s="153">
        <f>IF(AND(ISNUMBER(Z88), ISNUMBER(Y88), Y88&gt;0, Z88&gt;0), Z88-Y88, "")</f>
        <v/>
      </c>
      <c r="AA90" s="153" t="n"/>
      <c r="AB90" s="140" t="n"/>
      <c r="AC90" s="140" t="n"/>
      <c r="AD90" s="140" t="n"/>
    </row>
    <row r="91" ht="15.75" customHeight="1" s="346">
      <c r="A91" s="152" t="inlineStr">
        <is>
          <t xml:space="preserve">  % Growth rate</t>
        </is>
      </c>
      <c r="B91" s="203" t="n"/>
      <c r="C91" s="203">
        <f>IF(AND(ISNUMBER(C88), ISNUMBER(B88), B88&gt;0, C88&gt;0), (C88-B88)/B88, "")</f>
        <v/>
      </c>
      <c r="D91" s="203">
        <f>IF(AND(ISNUMBER(D88), ISNUMBER(C88), C88&gt;0, D88&gt;0), (D88-C88)/C88, "")</f>
        <v/>
      </c>
      <c r="E91" s="203">
        <f>IF(AND(ISNUMBER(E88), ISNUMBER(D88), D88&gt;0, E88&gt;0), (E88-D88)/D88, "")</f>
        <v/>
      </c>
      <c r="F91" s="203">
        <f>IF(AND(ISNUMBER(F88), ISNUMBER(E88), E88&gt;0, F88&gt;0), (F88-E88)/E88, "")</f>
        <v/>
      </c>
      <c r="G91" s="203">
        <f>IF(AND(ISNUMBER(G88), ISNUMBER(F88), F88&gt;0, G88&gt;0), (G88-F88)/F88, "")</f>
        <v/>
      </c>
      <c r="H91" s="203">
        <f>IF(AND(ISNUMBER(H88), ISNUMBER(G88), G88&gt;0, H88&gt;0), (H88-G88)/G88, "")</f>
        <v/>
      </c>
      <c r="I91" s="203">
        <f>IF(AND(ISNUMBER(I88), ISNUMBER(H88), H88&gt;0, I88&gt;0), (I88-H88)/H88, "")</f>
        <v/>
      </c>
      <c r="J91" s="203">
        <f>IF(AND(ISNUMBER(J88), ISNUMBER(I88), I88&gt;0, J88&gt;0), (J88-I88)/I88, "")</f>
        <v/>
      </c>
      <c r="K91" s="203">
        <f>IF(AND(ISNUMBER(K88), ISNUMBER(J88), J88&gt;0, K88&gt;0), (K88-J88)/J88, "")</f>
        <v/>
      </c>
      <c r="L91" s="203">
        <f>IF(AND(ISNUMBER(L88), ISNUMBER(K88), K88&gt;0, L88&gt;0), (L88-K88)/K88, "")</f>
        <v/>
      </c>
      <c r="M91" s="203">
        <f>IF(AND(ISNUMBER(M88), ISNUMBER(L88), L88&gt;0, M88&gt;0), (M88-L88)/L88, "")</f>
        <v/>
      </c>
      <c r="N91" s="203" t="n"/>
      <c r="O91" s="203" t="n"/>
      <c r="P91" s="203">
        <f>IF(AND(ISNUMBER(P88), ISNUMBER(O88), O88&gt;0, P88&gt;0), (P88-O88)/O88, "")</f>
        <v/>
      </c>
      <c r="Q91" s="203">
        <f>IF(AND(ISNUMBER(Q88), ISNUMBER(P88), P88&gt;0, Q88&gt;0), (Q88-P88)/P88, "")</f>
        <v/>
      </c>
      <c r="R91" s="203">
        <f>IF(AND(ISNUMBER(R88), ISNUMBER(Q88), Q88&gt;0, R88&gt;0), (R88-Q88)/Q88, "")</f>
        <v/>
      </c>
      <c r="S91" s="203">
        <f>IF(AND(ISNUMBER(S88), ISNUMBER(R88), R88&gt;0, S88&gt;0), (S88-R88)/R88, "")</f>
        <v/>
      </c>
      <c r="T91" s="203">
        <f>IF(AND(ISNUMBER(T88), ISNUMBER(S88), S88&gt;0, T88&gt;0), (T88-S88)/S88, "")</f>
        <v/>
      </c>
      <c r="U91" s="203">
        <f>IF(AND(ISNUMBER(U88), ISNUMBER(T88), T88&gt;0, U88&gt;0), (U88-T88)/T88, "")</f>
        <v/>
      </c>
      <c r="V91" s="203">
        <f>IF(AND(ISNUMBER(V88), ISNUMBER(U88), U88&gt;0, V88&gt;0), (V88-U88)/U88, "")</f>
        <v/>
      </c>
      <c r="W91" s="203">
        <f>IF(AND(ISNUMBER(W88), ISNUMBER(V88), V88&gt;0, W88&gt;0), (W88-V88)/V88, "")</f>
        <v/>
      </c>
      <c r="X91" s="203">
        <f>IF(AND(ISNUMBER(X88), ISNUMBER(W88), W88&gt;0, X88&gt;0), (X88-W88)/W88, "")</f>
        <v/>
      </c>
      <c r="Y91" s="203">
        <f>IF(AND(ISNUMBER(Y88), ISNUMBER(X88), X88&gt;0, Y88&gt;0), (Y88-X88)/X88, "")</f>
        <v/>
      </c>
      <c r="Z91" s="203">
        <f>IF(AND(ISNUMBER(Z88), ISNUMBER(Y88), Y88&gt;0, Z88&gt;0), (Z88-Y88)/Y88, "")</f>
        <v/>
      </c>
      <c r="AA91" s="203" t="n"/>
      <c r="AB91" s="140" t="n"/>
      <c r="AC91" s="140" t="n"/>
      <c r="AD91" s="140" t="n"/>
    </row>
    <row r="92" ht="15.75" customHeight="1" s="346">
      <c r="A92" s="202" t="inlineStr">
        <is>
          <t>Tỷ trọng trong tổng traffic</t>
        </is>
      </c>
      <c r="B92" s="156">
        <f t="array" ref="B92">IF(AND(ISNUMBER(B88), B88&gt;0), B88/INDEX('MTD Pivot'!$D$3:$K$400, MATCH("Grand Total", 'MTD Pivot'!$A$3:$A$400, 0), MATCH(B$2, 'MTD Pivot'!$D$2:$K$2, 0)), "")</f>
        <v/>
      </c>
      <c r="C92" s="156">
        <f t="array" ref="C92">IF(AND(ISNUMBER(C88), C88&gt;0), C88/INDEX('MTD Pivot'!$D$3:$K$400, MATCH("Grand Total", 'MTD Pivot'!$A$3:$A$400, 0), MATCH(C$2, 'MTD Pivot'!$D$2:$K$2, 0)), "")</f>
        <v/>
      </c>
      <c r="D92" s="156">
        <f t="array" ref="D92">IF(AND(ISNUMBER(D88), D88&gt;0), D88/INDEX('MTD Pivot'!$D$3:$K$400, MATCH("Grand Total", 'MTD Pivot'!$A$3:$A$400, 0), MATCH(D$2, 'MTD Pivot'!$D$2:$K$2, 0)), "")</f>
        <v/>
      </c>
      <c r="E92" s="156">
        <f t="array" ref="E92">IF(AND(ISNUMBER(E88), E88&gt;0), E88/INDEX('MTD Pivot'!$D$3:$K$400, MATCH("Grand Total", 'MTD Pivot'!$A$3:$A$400, 0), MATCH(E$2, 'MTD Pivot'!$D$2:$K$2, 0)), "")</f>
        <v/>
      </c>
      <c r="F92" s="156">
        <f t="array" ref="F92">IF(AND(ISNUMBER(F88), F88&gt;0), F88/INDEX('MTD Pivot'!$D$3:$K$400, MATCH("Grand Total", 'MTD Pivot'!$A$3:$A$400, 0), MATCH(F$2, 'MTD Pivot'!$D$2:$K$2, 0)), "")</f>
        <v/>
      </c>
      <c r="G92" s="156">
        <f t="array" ref="G92">IF(AND(ISNUMBER(G88), G88&gt;0), G88/INDEX('MTD Pivot'!$D$3:$K$400, MATCH("Grand Total", 'MTD Pivot'!$A$3:$A$400, 0), MATCH(G$2, 'MTD Pivot'!$D$2:$K$2, 0)), "")</f>
        <v/>
      </c>
      <c r="H92" s="156">
        <f t="array" ref="H92">IF(AND(ISNUMBER(H88), H88&gt;0), H88/INDEX('MTD Pivot'!$D$3:$K$400, MATCH("Grand Total", 'MTD Pivot'!$A$3:$A$400, 0), MATCH(H$2, 'MTD Pivot'!$D$2:$K$2, 0)), "")</f>
        <v/>
      </c>
      <c r="I92" s="156">
        <f t="array" ref="I92">IF(AND(ISNUMBER(I88), I88&gt;0), I88/INDEX('MTD Pivot'!$D$3:$K$400, MATCH("Grand Total", 'MTD Pivot'!$A$3:$A$400, 0), MATCH(I$2, 'MTD Pivot'!$D$2:$K$2, 0)), "")</f>
        <v/>
      </c>
      <c r="J92" s="156">
        <f t="array" ref="J92">IF(AND(ISNUMBER(J88), J88&gt;0), J88/INDEX('MTD Pivot'!$D$3:$K$400, MATCH("Grand Total", 'MTD Pivot'!$A$3:$A$400, 0), MATCH(J$2, 'MTD Pivot'!$D$2:$K$2, 0)), "")</f>
        <v/>
      </c>
      <c r="K92" s="156">
        <f t="array" ref="K92">IF(AND(ISNUMBER(K88), K88&gt;0), K88/INDEX('MTD Pivot'!$D$3:$K$400, MATCH("Grand Total", 'MTD Pivot'!$A$3:$A$400, 0), MATCH(K$2, 'MTD Pivot'!$D$2:$K$2, 0)), "")</f>
        <v/>
      </c>
      <c r="L92" s="156">
        <f t="array" ref="L92">IF(AND(ISNUMBER(L88), L88&gt;0), L88/INDEX('MTD Pivot'!$D$3:$K$400, MATCH("Grand Total", 'MTD Pivot'!$A$3:$A$400, 0), MATCH(L$2, 'MTD Pivot'!$D$2:$K$2, 0)), "")</f>
        <v/>
      </c>
      <c r="M92" s="156">
        <f t="array" ref="M92">IF(AND(ISNUMBER(M88), M88&gt;0), M88/INDEX('MTD Pivot'!$D$3:$K$400, MATCH("Grand Total", 'MTD Pivot'!$A$3:$A$400, 0), MATCH(M$2, 'MTD Pivot'!$D$2:$K$2, 0)), "")</f>
        <v/>
      </c>
      <c r="N92" s="157">
        <f>IF(AND(ISNUMBER(K92), ISNUMBER(J92)), K92-J92, "")</f>
        <v/>
      </c>
      <c r="O92" s="156">
        <f t="array" ref="O92">IF(AND(ISNUMBER(O88), O88&gt;0), O88/INDEX('Full month Pivot'!$D$3:$K$400, MATCH("Grand Total", 'Full month Pivot'!$A$3:$A$400, 0), MATCH(O$2, 'Full month Pivot'!$D$2:$K$2, 0)), "")</f>
        <v/>
      </c>
      <c r="P92" s="156">
        <f t="array" ref="P92">IF(AND(ISNUMBER(P88), P88&gt;0), P88/INDEX('Full month Pivot'!$D$3:$K$400, MATCH("Grand Total", 'Full month Pivot'!$A$3:$A$400, 0), MATCH(P$2, 'Full month Pivot'!$D$2:$K$2, 0)), "")</f>
        <v/>
      </c>
      <c r="Q92" s="156">
        <f t="array" ref="Q92">IF(AND(ISNUMBER(Q88), Q88&gt;0), Q88/INDEX('Full month Pivot'!$D$3:$K$400, MATCH("Grand Total", 'Full month Pivot'!$A$3:$A$400, 0), MATCH(Q$2, 'Full month Pivot'!$D$2:$K$2, 0)), "")</f>
        <v/>
      </c>
      <c r="R92" s="156">
        <f t="array" ref="R92">IF(AND(ISNUMBER(R88), R88&gt;0), R88/INDEX('Full month Pivot'!$D$3:$K$400, MATCH("Grand Total", 'Full month Pivot'!$A$3:$A$400, 0), MATCH(R$2, 'Full month Pivot'!$D$2:$K$2, 0)), "")</f>
        <v/>
      </c>
      <c r="S92" s="156">
        <f t="array" ref="S92">IF(AND(ISNUMBER(S88), S88&gt;0), S88/INDEX('Full month Pivot'!$D$3:$K$400, MATCH("Grand Total", 'Full month Pivot'!$A$3:$A$400, 0), MATCH(S$2, 'Full month Pivot'!$D$2:$K$2, 0)), "")</f>
        <v/>
      </c>
      <c r="T92" s="156">
        <f t="array" ref="T92">IF(AND(ISNUMBER(T88), T88&gt;0), T88/INDEX('Full month Pivot'!$D$3:$K$400, MATCH("Grand Total", 'Full month Pivot'!$A$3:$A$400, 0), MATCH(T$2, 'Full month Pivot'!$D$2:$K$2, 0)), "")</f>
        <v/>
      </c>
      <c r="U92" s="156">
        <f t="array" ref="U92">IF(AND(ISNUMBER(U88), U88&gt;0), U88/INDEX('Full month Pivot'!$D$3:$K$400, MATCH("Grand Total", 'Full month Pivot'!$A$3:$A$400, 0), MATCH(U$2, 'Full month Pivot'!$D$2:$K$2, 0)), "")</f>
        <v/>
      </c>
      <c r="V92" s="156">
        <f t="array" ref="V92">IF(AND(ISNUMBER(V88), V88&gt;0), V88/INDEX('Full month Pivot'!$D$3:$K$400, MATCH("Grand Total", 'Full month Pivot'!$A$3:$A$400, 0), MATCH(V$2, 'Full month Pivot'!$D$2:$K$2, 0)), "")</f>
        <v/>
      </c>
      <c r="W92" s="156">
        <f t="array" ref="W92">IF(AND(ISNUMBER(W88), W88&gt;0), W88/INDEX('Full month Pivot'!$D$3:$K$400, MATCH("Grand Total", 'Full month Pivot'!$A$3:$A$400, 0), MATCH(W$2, 'Full month Pivot'!$D$2:$K$2, 0)), "")</f>
        <v/>
      </c>
      <c r="X92" s="156">
        <f t="array" ref="X92">IF(AND(ISNUMBER(X88), X88&gt;0), X88/INDEX('Full month Pivot'!$D$3:$K$400, MATCH("Grand Total", 'Full month Pivot'!$A$3:$A$400, 0), MATCH(X$2, 'Full month Pivot'!$D$2:$K$2, 0)), "")</f>
        <v/>
      </c>
      <c r="Y92" s="156">
        <f t="array" ref="Y92">IF(AND(ISNUMBER(Y88), Y88&gt;0), Y88/INDEX('Full month Pivot'!$D$3:$K$400, MATCH("Grand Total", 'Full month Pivot'!$A$3:$A$400, 0), MATCH(Y$2, 'Full month Pivot'!$D$2:$K$2, 0)), "")</f>
        <v/>
      </c>
      <c r="Z92" s="156">
        <f t="array" ref="Z92">IF(AND(ISNUMBER(Z88), Z88&gt;0), Z88/INDEX('Full month Pivot'!$D$3:$K$400, MATCH("Grand Total", 'Full month Pivot'!$A$3:$A$400, 0), MATCH(Z$2, 'Full month Pivot'!$D$2:$K$2, 0)), "")</f>
        <v/>
      </c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202" t="inlineStr">
        <is>
          <t xml:space="preserve">  Organic</t>
        </is>
      </c>
      <c r="B93" s="193">
        <f>IF(SUMPRODUCT((('MTD Pivot'!$B$3:$B$400=$A$87) + ('MTD Pivot'!$A$3:$A$400=$A$87) &gt; 0) * (TRIM('MTD Pivot'!$C$3:$C$400)=TRIM($A93)) * ('MTD Pivot'!$D$2:$K$2=B$2) * 'MTD Pivot'!$D$3:$K$400)&gt;0, SUMPRODUCT((('MTD Pivot'!$B$3:$B$400=$A$87) + ('MTD Pivot'!$A$3:$A$400=$A$87) &gt; 0) * (TRIM('MTD Pivot'!$C$3:$C$400)=TRIM($A93)) * ('MTD Pivot'!$D$2:$K$2=B$2) * 'MTD Pivot'!$D$3:$K$400), "")</f>
        <v/>
      </c>
      <c r="C93" s="193">
        <f>IF(SUMPRODUCT((('MTD Pivot'!$B$3:$B$400=$A$87) + ('MTD Pivot'!$A$3:$A$400=$A$87) &gt; 0) * (TRIM('MTD Pivot'!$C$3:$C$400)=TRIM($A93)) * ('MTD Pivot'!$D$2:$K$2=C$2) * 'MTD Pivot'!$D$3:$K$400)&gt;0, SUMPRODUCT((('MTD Pivot'!$B$3:$B$400=$A$87) + ('MTD Pivot'!$A$3:$A$400=$A$87) &gt; 0) * (TRIM('MTD Pivot'!$C$3:$C$400)=TRIM($A93)) * ('MTD Pivot'!$D$2:$K$2=C$2) * 'MTD Pivot'!$D$3:$K$400), "")</f>
        <v/>
      </c>
      <c r="D93" s="193">
        <f>IF(SUMPRODUCT((('MTD Pivot'!$B$3:$B$400=$A$87) + ('MTD Pivot'!$A$3:$A$400=$A$87) &gt; 0) * (TRIM('MTD Pivot'!$C$3:$C$400)=TRIM($A93)) * ('MTD Pivot'!$D$2:$K$2=D$2) * 'MTD Pivot'!$D$3:$K$400)&gt;0, SUMPRODUCT((('MTD Pivot'!$B$3:$B$400=$A$87) + ('MTD Pivot'!$A$3:$A$400=$A$87) &gt; 0) * (TRIM('MTD Pivot'!$C$3:$C$400)=TRIM($A93)) * ('MTD Pivot'!$D$2:$K$2=D$2) * 'MTD Pivot'!$D$3:$K$400), "")</f>
        <v/>
      </c>
      <c r="E93" s="193">
        <f>IF(SUMPRODUCT((('MTD Pivot'!$B$3:$B$400=$A$87) + ('MTD Pivot'!$A$3:$A$400=$A$87) &gt; 0) * (TRIM('MTD Pivot'!$C$3:$C$400)=TRIM($A93)) * ('MTD Pivot'!$D$2:$K$2=E$2) * 'MTD Pivot'!$D$3:$K$400)&gt;0, SUMPRODUCT((('MTD Pivot'!$B$3:$B$400=$A$87) + ('MTD Pivot'!$A$3:$A$400=$A$87) &gt; 0) * (TRIM('MTD Pivot'!$C$3:$C$400)=TRIM($A93)) * ('MTD Pivot'!$D$2:$K$2=E$2) * 'MTD Pivot'!$D$3:$K$400), "")</f>
        <v/>
      </c>
      <c r="F93" s="193">
        <f>IF(SUMPRODUCT((('MTD Pivot'!$B$3:$B$400=$A$87) + ('MTD Pivot'!$A$3:$A$400=$A$87) &gt; 0) * (TRIM('MTD Pivot'!$C$3:$C$400)=TRIM($A93)) * ('MTD Pivot'!$D$2:$K$2=F$2) * 'MTD Pivot'!$D$3:$K$400)&gt;0, SUMPRODUCT((('MTD Pivot'!$B$3:$B$400=$A$87) + ('MTD Pivot'!$A$3:$A$400=$A$87) &gt; 0) * (TRIM('MTD Pivot'!$C$3:$C$400)=TRIM($A93)) * ('MTD Pivot'!$D$2:$K$2=F$2) * 'MTD Pivot'!$D$3:$K$400), "")</f>
        <v/>
      </c>
      <c r="G93" s="193">
        <f>IF(SUMPRODUCT((('MTD Pivot'!$B$3:$B$400=$A$87) + ('MTD Pivot'!$A$3:$A$400=$A$87) &gt; 0) * (TRIM('MTD Pivot'!$C$3:$C$400)=TRIM($A93)) * ('MTD Pivot'!$D$2:$K$2=G$2) * 'MTD Pivot'!$D$3:$K$400)&gt;0, SUMPRODUCT((('MTD Pivot'!$B$3:$B$400=$A$87) + ('MTD Pivot'!$A$3:$A$400=$A$87) &gt; 0) * (TRIM('MTD Pivot'!$C$3:$C$400)=TRIM($A93)) * ('MTD Pivot'!$D$2:$K$2=G$2) * 'MTD Pivot'!$D$3:$K$400), "")</f>
        <v/>
      </c>
      <c r="H93" s="193">
        <f>IF(SUMPRODUCT((('MTD Pivot'!$B$3:$B$400=$A$87) + ('MTD Pivot'!$A$3:$A$400=$A$87) &gt; 0) * (TRIM('MTD Pivot'!$C$3:$C$400)=TRIM($A93)) * ('MTD Pivot'!$D$2:$K$2=H$2) * 'MTD Pivot'!$D$3:$K$400)&gt;0, SUMPRODUCT((('MTD Pivot'!$B$3:$B$400=$A$87) + ('MTD Pivot'!$A$3:$A$400=$A$87) &gt; 0) * (TRIM('MTD Pivot'!$C$3:$C$400)=TRIM($A93)) * ('MTD Pivot'!$D$2:$K$2=H$2) * 'MTD Pivot'!$D$3:$K$400), "")</f>
        <v/>
      </c>
      <c r="I93" s="193">
        <f>IF(SUMPRODUCT((('MTD Pivot'!$B$3:$B$400=$A$87) + ('MTD Pivot'!$A$3:$A$400=$A$87) &gt; 0) * (TRIM('MTD Pivot'!$C$3:$C$400)=TRIM($A93)) * ('MTD Pivot'!$D$2:$K$2=I$2) * 'MTD Pivot'!$D$3:$K$400)&gt;0, SUMPRODUCT((('MTD Pivot'!$B$3:$B$400=$A$87) + ('MTD Pivot'!$A$3:$A$400=$A$87) &gt; 0) * (TRIM('MTD Pivot'!$C$3:$C$400)=TRIM($A93)) * ('MTD Pivot'!$D$2:$K$2=I$2) * 'MTD Pivot'!$D$3:$K$400), "")</f>
        <v/>
      </c>
      <c r="J93" s="193">
        <f>IF(SUMPRODUCT((('MTD Pivot'!$B$3:$B$400=$A$87) + ('MTD Pivot'!$A$3:$A$400=$A$87) &gt; 0) * (TRIM('MTD Pivot'!$C$3:$C$400)=TRIM($A93)) * ('MTD Pivot'!$D$2:$K$2=J$2) * 'MTD Pivot'!$D$3:$K$400)&gt;0, SUMPRODUCT((('MTD Pivot'!$B$3:$B$400=$A$87) + ('MTD Pivot'!$A$3:$A$400=$A$87) &gt; 0) * (TRIM('MTD Pivot'!$C$3:$C$400)=TRIM($A93)) * ('MTD Pivot'!$D$2:$K$2=J$2) * 'MTD Pivot'!$D$3:$K$400), "")</f>
        <v/>
      </c>
      <c r="K93" s="193">
        <f>IF(SUMPRODUCT((('MTD Pivot'!$B$3:$B$400=$A$87) + ('MTD Pivot'!$A$3:$A$400=$A$87) &gt; 0) * (TRIM('MTD Pivot'!$C$3:$C$400)=TRIM($A93)) * ('MTD Pivot'!$D$2:$K$2=K$2) * 'MTD Pivot'!$D$3:$K$400)&gt;0, SUMPRODUCT((('MTD Pivot'!$B$3:$B$400=$A$87) + ('MTD Pivot'!$A$3:$A$400=$A$87) &gt; 0) * (TRIM('MTD Pivot'!$C$3:$C$400)=TRIM($A93)) * ('MTD Pivot'!$D$2:$K$2=K$2) * 'MTD Pivot'!$D$3:$K$400), "")</f>
        <v/>
      </c>
      <c r="L93" s="193">
        <f>IF(SUMPRODUCT((('MTD Pivot'!$B$3:$B$400=$A$87) + ('MTD Pivot'!$A$3:$A$400=$A$87) &gt; 0) * (TRIM('MTD Pivot'!$C$3:$C$400)=TRIM($A93)) * ('MTD Pivot'!$D$2:$K$2=L$2) * 'MTD Pivot'!$D$3:$K$400)&gt;0, SUMPRODUCT((('MTD Pivot'!$B$3:$B$400=$A$87) + ('MTD Pivot'!$A$3:$A$400=$A$87) &gt; 0) * (TRIM('MTD Pivot'!$C$3:$C$400)=TRIM($A93)) * ('MTD Pivot'!$D$2:$K$2=L$2) * 'MTD Pivot'!$D$3:$K$400), "")</f>
        <v/>
      </c>
      <c r="M93" s="193">
        <f>IF(SUMPRODUCT((('MTD Pivot'!$B$3:$B$400=$A$87) + ('MTD Pivot'!$A$3:$A$400=$A$87) &gt; 0) * (TRIM('MTD Pivot'!$C$3:$C$400)=TRIM($A93)) * ('MTD Pivot'!$D$2:$K$2=M$2) * 'MTD Pivot'!$D$3:$K$400)&gt;0, SUMPRODUCT((('MTD Pivot'!$B$3:$B$400=$A$87) + ('MTD Pivot'!$A$3:$A$400=$A$87) &gt; 0) * (TRIM('MTD Pivot'!$C$3:$C$400)=TRIM($A93)) * ('MTD Pivot'!$D$2:$K$2=M$2) * 'MTD Pivot'!$D$3:$K$400), "")</f>
        <v/>
      </c>
      <c r="N93" s="157">
        <f>IF(AND(ISNUMBER(K93), ISNUMBER(J93), J93&gt;0), (K93-J93)/J93, "")</f>
        <v/>
      </c>
      <c r="O93" s="193">
        <f>IF(SUMPRODUCT((('Full month Pivot'!$B$3:$B$400=$A$87) + ('Full month Pivot'!$A$3:$A$400=$A$87) &gt; 0) * (TRIM('Full month Pivot'!$C$3:$C$400)=TRIM($A93)) * ('Full month Pivot'!$D$2:$K$2=O$2) * 'Full month Pivot'!$D$3:$K$400)&gt;0, SUMPRODUCT((('Full month Pivot'!$B$3:$B$400=$A$87) + ('Full month Pivot'!$A$3:$A$400=$A$87) &gt; 0) * (TRIM('Full month Pivot'!$C$3:$C$400)=TRIM($A93)) * ('Full month Pivot'!$D$2:$K$2=O$2) * 'Full month Pivot'!$D$3:$K$400), "")</f>
        <v/>
      </c>
      <c r="P93" s="193">
        <f>IF(SUMPRODUCT((('Full month Pivot'!$B$3:$B$400=$A$87) + ('Full month Pivot'!$A$3:$A$400=$A$87) &gt; 0) * (TRIM('Full month Pivot'!$C$3:$C$400)=TRIM($A93)) * ('Full month Pivot'!$D$2:$K$2=P$2) * 'Full month Pivot'!$D$3:$K$400)&gt;0, SUMPRODUCT((('Full month Pivot'!$B$3:$B$400=$A$87) + ('Full month Pivot'!$A$3:$A$400=$A$87) &gt; 0) * (TRIM('Full month Pivot'!$C$3:$C$400)=TRIM($A93)) * ('Full month Pivot'!$D$2:$K$2=P$2) * 'Full month Pivot'!$D$3:$K$400), "")</f>
        <v/>
      </c>
      <c r="Q93" s="193">
        <f>IF(SUMPRODUCT((('Full month Pivot'!$B$3:$B$400=$A$87) + ('Full month Pivot'!$A$3:$A$400=$A$87) &gt; 0) * (TRIM('Full month Pivot'!$C$3:$C$400)=TRIM($A93)) * ('Full month Pivot'!$D$2:$K$2=Q$2) * 'Full month Pivot'!$D$3:$K$400)&gt;0, SUMPRODUCT((('Full month Pivot'!$B$3:$B$400=$A$87) + ('Full month Pivot'!$A$3:$A$400=$A$87) &gt; 0) * (TRIM('Full month Pivot'!$C$3:$C$400)=TRIM($A93)) * ('Full month Pivot'!$D$2:$K$2=Q$2) * 'Full month Pivot'!$D$3:$K$400), "")</f>
        <v/>
      </c>
      <c r="R93" s="193">
        <f>IF(SUMPRODUCT((('Full month Pivot'!$B$3:$B$400=$A$87) + ('Full month Pivot'!$A$3:$A$400=$A$87) &gt; 0) * (TRIM('Full month Pivot'!$C$3:$C$400)=TRIM($A93)) * ('Full month Pivot'!$D$2:$K$2=R$2) * 'Full month Pivot'!$D$3:$K$400)&gt;0, SUMPRODUCT((('Full month Pivot'!$B$3:$B$400=$A$87) + ('Full month Pivot'!$A$3:$A$400=$A$87) &gt; 0) * (TRIM('Full month Pivot'!$C$3:$C$400)=TRIM($A93)) * ('Full month Pivot'!$D$2:$K$2=R$2) * 'Full month Pivot'!$D$3:$K$400), "")</f>
        <v/>
      </c>
      <c r="S93" s="193">
        <f>IF(SUMPRODUCT((('Full month Pivot'!$B$3:$B$400=$A$87) + ('Full month Pivot'!$A$3:$A$400=$A$87) &gt; 0) * (TRIM('Full month Pivot'!$C$3:$C$400)=TRIM($A93)) * ('Full month Pivot'!$D$2:$K$2=S$2) * 'Full month Pivot'!$D$3:$K$400)&gt;0, SUMPRODUCT((('Full month Pivot'!$B$3:$B$400=$A$87) + ('Full month Pivot'!$A$3:$A$400=$A$87) &gt; 0) * (TRIM('Full month Pivot'!$C$3:$C$400)=TRIM($A93)) * ('Full month Pivot'!$D$2:$K$2=S$2) * 'Full month Pivot'!$D$3:$K$400), "")</f>
        <v/>
      </c>
      <c r="T93" s="193">
        <f>IF(SUMPRODUCT((('Full month Pivot'!$B$3:$B$400=$A$87) + ('Full month Pivot'!$A$3:$A$400=$A$87) &gt; 0) * (TRIM('Full month Pivot'!$C$3:$C$400)=TRIM($A93)) * ('Full month Pivot'!$D$2:$K$2=T$2) * 'Full month Pivot'!$D$3:$K$400)&gt;0, SUMPRODUCT((('Full month Pivot'!$B$3:$B$400=$A$87) + ('Full month Pivot'!$A$3:$A$400=$A$87) &gt; 0) * (TRIM('Full month Pivot'!$C$3:$C$400)=TRIM($A93)) * ('Full month Pivot'!$D$2:$K$2=T$2) * 'Full month Pivot'!$D$3:$K$400), "")</f>
        <v/>
      </c>
      <c r="U93" s="193">
        <f>IF(SUMPRODUCT((('Full month Pivot'!$B$3:$B$400=$A$87) + ('Full month Pivot'!$A$3:$A$400=$A$87) &gt; 0) * (TRIM('Full month Pivot'!$C$3:$C$400)=TRIM($A93)) * ('Full month Pivot'!$D$2:$K$2=U$2) * 'Full month Pivot'!$D$3:$K$400)&gt;0, SUMPRODUCT((('Full month Pivot'!$B$3:$B$400=$A$87) + ('Full month Pivot'!$A$3:$A$400=$A$87) &gt; 0) * (TRIM('Full month Pivot'!$C$3:$C$400)=TRIM($A93)) * ('Full month Pivot'!$D$2:$K$2=U$2) * 'Full month Pivot'!$D$3:$K$400), "")</f>
        <v/>
      </c>
      <c r="V93" s="193">
        <f>IF(SUMPRODUCT((('Full month Pivot'!$B$3:$B$400=$A$87) + ('Full month Pivot'!$A$3:$A$400=$A$87) &gt; 0) * (TRIM('Full month Pivot'!$C$3:$C$400)=TRIM($A93)) * ('Full month Pivot'!$D$2:$K$2=V$2) * 'Full month Pivot'!$D$3:$K$400)&gt;0, SUMPRODUCT((('Full month Pivot'!$B$3:$B$400=$A$87) + ('Full month Pivot'!$A$3:$A$400=$A$87) &gt; 0) * (TRIM('Full month Pivot'!$C$3:$C$400)=TRIM($A93)) * ('Full month Pivot'!$D$2:$K$2=V$2) * 'Full month Pivot'!$D$3:$K$400), "")</f>
        <v/>
      </c>
      <c r="W93" s="193">
        <f>IF(SUMPRODUCT((('Full month Pivot'!$B$3:$B$400=$A$87) + ('Full month Pivot'!$A$3:$A$400=$A$87) &gt; 0) * (TRIM('Full month Pivot'!$C$3:$C$400)=TRIM($A93)) * ('Full month Pivot'!$D$2:$K$2=W$2) * 'Full month Pivot'!$D$3:$K$400)&gt;0, SUMPRODUCT((('Full month Pivot'!$B$3:$B$400=$A$87) + ('Full month Pivot'!$A$3:$A$400=$A$87) &gt; 0) * (TRIM('Full month Pivot'!$C$3:$C$400)=TRIM($A93)) * ('Full month Pivot'!$D$2:$K$2=W$2) * 'Full month Pivot'!$D$3:$K$400), "")</f>
        <v/>
      </c>
      <c r="X93" s="193">
        <f>IF(SUMPRODUCT((('Full month Pivot'!$B$3:$B$400=$A$87) + ('Full month Pivot'!$A$3:$A$400=$A$87) &gt; 0) * (TRIM('Full month Pivot'!$C$3:$C$400)=TRIM($A93)) * ('Full month Pivot'!$D$2:$K$2=X$2) * 'Full month Pivot'!$D$3:$K$400)&gt;0, SUMPRODUCT((('Full month Pivot'!$B$3:$B$400=$A$87) + ('Full month Pivot'!$A$3:$A$400=$A$87) &gt; 0) * (TRIM('Full month Pivot'!$C$3:$C$400)=TRIM($A93)) * ('Full month Pivot'!$D$2:$K$2=X$2) * 'Full month Pivot'!$D$3:$K$400), "")</f>
        <v/>
      </c>
      <c r="Y93" s="193">
        <f>IF(SUMPRODUCT((('Full month Pivot'!$B$3:$B$400=$A$87) + ('Full month Pivot'!$A$3:$A$400=$A$87) &gt; 0) * (TRIM('Full month Pivot'!$C$3:$C$400)=TRIM($A93)) * ('Full month Pivot'!$D$2:$K$2=Y$2) * 'Full month Pivot'!$D$3:$K$400)&gt;0, SUMPRODUCT((('Full month Pivot'!$B$3:$B$400=$A$87) + ('Full month Pivot'!$A$3:$A$400=$A$87) &gt; 0) * (TRIM('Full month Pivot'!$C$3:$C$400)=TRIM($A93)) * ('Full month Pivot'!$D$2:$K$2=Y$2) * 'Full month Pivot'!$D$3:$K$400), "")</f>
        <v/>
      </c>
      <c r="Z93" s="193">
        <f>IF(SUMPRODUCT((('Full month Pivot'!$B$3:$B$400=$A$87) + ('Full month Pivot'!$A$3:$A$400=$A$87) &gt; 0) * (TRIM('Full month Pivot'!$C$3:$C$400)=TRIM($A93)) * ('Full month Pivot'!$D$2:$K$2=Z$2) * 'Full month Pivot'!$D$3:$K$400)&gt;0, SUMPRODUCT((('Full month Pivot'!$B$3:$B$400=$A$87) + ('Full month Pivot'!$A$3:$A$400=$A$87) &gt; 0) * (TRIM('Full month Pivot'!$C$3:$C$400)=TRIM($A93)) * ('Full month Pivot'!$D$2:$K$2=Z$2) * 'Full month Pivot'!$D$3:$K$400), "")</f>
        <v/>
      </c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202" t="inlineStr">
        <is>
          <t xml:space="preserve">  Paid</t>
        </is>
      </c>
      <c r="B94" s="193">
        <f>IF(SUMPRODUCT((('MTD Pivot'!$B$3:$B$400=$A$87) + ('MTD Pivot'!$A$3:$A$400=$A$87) &gt; 0) * (TRIM('MTD Pivot'!$C$3:$C$400)=TRIM($A94)) * ('MTD Pivot'!$D$2:$K$2=B$2) * 'MTD Pivot'!$D$3:$K$400)&gt;0, SUMPRODUCT((('MTD Pivot'!$B$3:$B$400=$A$87) + ('MTD Pivot'!$A$3:$A$400=$A$87) &gt; 0) * (TRIM('MTD Pivot'!$C$3:$C$400)=TRIM($A94)) * ('MTD Pivot'!$D$2:$K$2=B$2) * 'MTD Pivot'!$D$3:$K$400), "")</f>
        <v/>
      </c>
      <c r="C94" s="193">
        <f>IF(SUMPRODUCT((('MTD Pivot'!$B$3:$B$400=$A$87) + ('MTD Pivot'!$A$3:$A$400=$A$87) &gt; 0) * (TRIM('MTD Pivot'!$C$3:$C$400)=TRIM($A94)) * ('MTD Pivot'!$D$2:$K$2=C$2) * 'MTD Pivot'!$D$3:$K$400)&gt;0, SUMPRODUCT((('MTD Pivot'!$B$3:$B$400=$A$87) + ('MTD Pivot'!$A$3:$A$400=$A$87) &gt; 0) * (TRIM('MTD Pivot'!$C$3:$C$400)=TRIM($A94)) * ('MTD Pivot'!$D$2:$K$2=C$2) * 'MTD Pivot'!$D$3:$K$400), "")</f>
        <v/>
      </c>
      <c r="D94" s="193">
        <f>IF(SUMPRODUCT((('MTD Pivot'!$B$3:$B$400=$A$87) + ('MTD Pivot'!$A$3:$A$400=$A$87) &gt; 0) * (TRIM('MTD Pivot'!$C$3:$C$400)=TRIM($A94)) * ('MTD Pivot'!$D$2:$K$2=D$2) * 'MTD Pivot'!$D$3:$K$400)&gt;0, SUMPRODUCT((('MTD Pivot'!$B$3:$B$400=$A$87) + ('MTD Pivot'!$A$3:$A$400=$A$87) &gt; 0) * (TRIM('MTD Pivot'!$C$3:$C$400)=TRIM($A94)) * ('MTD Pivot'!$D$2:$K$2=D$2) * 'MTD Pivot'!$D$3:$K$400), "")</f>
        <v/>
      </c>
      <c r="E94" s="193">
        <f>IF(SUMPRODUCT((('MTD Pivot'!$B$3:$B$400=$A$87) + ('MTD Pivot'!$A$3:$A$400=$A$87) &gt; 0) * (TRIM('MTD Pivot'!$C$3:$C$400)=TRIM($A94)) * ('MTD Pivot'!$D$2:$K$2=E$2) * 'MTD Pivot'!$D$3:$K$400)&gt;0, SUMPRODUCT((('MTD Pivot'!$B$3:$B$400=$A$87) + ('MTD Pivot'!$A$3:$A$400=$A$87) &gt; 0) * (TRIM('MTD Pivot'!$C$3:$C$400)=TRIM($A94)) * ('MTD Pivot'!$D$2:$K$2=E$2) * 'MTD Pivot'!$D$3:$K$400), "")</f>
        <v/>
      </c>
      <c r="F94" s="193">
        <f>IF(SUMPRODUCT((('MTD Pivot'!$B$3:$B$400=$A$87) + ('MTD Pivot'!$A$3:$A$400=$A$87) &gt; 0) * (TRIM('MTD Pivot'!$C$3:$C$400)=TRIM($A94)) * ('MTD Pivot'!$D$2:$K$2=F$2) * 'MTD Pivot'!$D$3:$K$400)&gt;0, SUMPRODUCT((('MTD Pivot'!$B$3:$B$400=$A$87) + ('MTD Pivot'!$A$3:$A$400=$A$87) &gt; 0) * (TRIM('MTD Pivot'!$C$3:$C$400)=TRIM($A94)) * ('MTD Pivot'!$D$2:$K$2=F$2) * 'MTD Pivot'!$D$3:$K$400), "")</f>
        <v/>
      </c>
      <c r="G94" s="193">
        <f>IF(SUMPRODUCT((('MTD Pivot'!$B$3:$B$400=$A$87) + ('MTD Pivot'!$A$3:$A$400=$A$87) &gt; 0) * (TRIM('MTD Pivot'!$C$3:$C$400)=TRIM($A94)) * ('MTD Pivot'!$D$2:$K$2=G$2) * 'MTD Pivot'!$D$3:$K$400)&gt;0, SUMPRODUCT((('MTD Pivot'!$B$3:$B$400=$A$87) + ('MTD Pivot'!$A$3:$A$400=$A$87) &gt; 0) * (TRIM('MTD Pivot'!$C$3:$C$400)=TRIM($A94)) * ('MTD Pivot'!$D$2:$K$2=G$2) * 'MTD Pivot'!$D$3:$K$400), "")</f>
        <v/>
      </c>
      <c r="H94" s="193">
        <f>IF(SUMPRODUCT((('MTD Pivot'!$B$3:$B$400=$A$87) + ('MTD Pivot'!$A$3:$A$400=$A$87) &gt; 0) * (TRIM('MTD Pivot'!$C$3:$C$400)=TRIM($A94)) * ('MTD Pivot'!$D$2:$K$2=H$2) * 'MTD Pivot'!$D$3:$K$400)&gt;0, SUMPRODUCT((('MTD Pivot'!$B$3:$B$400=$A$87) + ('MTD Pivot'!$A$3:$A$400=$A$87) &gt; 0) * (TRIM('MTD Pivot'!$C$3:$C$400)=TRIM($A94)) * ('MTD Pivot'!$D$2:$K$2=H$2) * 'MTD Pivot'!$D$3:$K$400), "")</f>
        <v/>
      </c>
      <c r="I94" s="193">
        <f>IF(SUMPRODUCT((('MTD Pivot'!$B$3:$B$400=$A$87) + ('MTD Pivot'!$A$3:$A$400=$A$87) &gt; 0) * (TRIM('MTD Pivot'!$C$3:$C$400)=TRIM($A94)) * ('MTD Pivot'!$D$2:$K$2=I$2) * 'MTD Pivot'!$D$3:$K$400)&gt;0, SUMPRODUCT((('MTD Pivot'!$B$3:$B$400=$A$87) + ('MTD Pivot'!$A$3:$A$400=$A$87) &gt; 0) * (TRIM('MTD Pivot'!$C$3:$C$400)=TRIM($A94)) * ('MTD Pivot'!$D$2:$K$2=I$2) * 'MTD Pivot'!$D$3:$K$400), "")</f>
        <v/>
      </c>
      <c r="J94" s="193">
        <f>IF(SUMPRODUCT((('MTD Pivot'!$B$3:$B$400=$A$87) + ('MTD Pivot'!$A$3:$A$400=$A$87) &gt; 0) * (TRIM('MTD Pivot'!$C$3:$C$400)=TRIM($A94)) * ('MTD Pivot'!$D$2:$K$2=J$2) * 'MTD Pivot'!$D$3:$K$400)&gt;0, SUMPRODUCT((('MTD Pivot'!$B$3:$B$400=$A$87) + ('MTD Pivot'!$A$3:$A$400=$A$87) &gt; 0) * (TRIM('MTD Pivot'!$C$3:$C$400)=TRIM($A94)) * ('MTD Pivot'!$D$2:$K$2=J$2) * 'MTD Pivot'!$D$3:$K$400), "")</f>
        <v/>
      </c>
      <c r="K94" s="193">
        <f>IF(SUMPRODUCT((('MTD Pivot'!$B$3:$B$400=$A$87) + ('MTD Pivot'!$A$3:$A$400=$A$87) &gt; 0) * (TRIM('MTD Pivot'!$C$3:$C$400)=TRIM($A94)) * ('MTD Pivot'!$D$2:$K$2=K$2) * 'MTD Pivot'!$D$3:$K$400)&gt;0, SUMPRODUCT((('MTD Pivot'!$B$3:$B$400=$A$87) + ('MTD Pivot'!$A$3:$A$400=$A$87) &gt; 0) * (TRIM('MTD Pivot'!$C$3:$C$400)=TRIM($A94)) * ('MTD Pivot'!$D$2:$K$2=K$2) * 'MTD Pivot'!$D$3:$K$400), "")</f>
        <v/>
      </c>
      <c r="L94" s="193">
        <f>IF(SUMPRODUCT((('MTD Pivot'!$B$3:$B$400=$A$87) + ('MTD Pivot'!$A$3:$A$400=$A$87) &gt; 0) * (TRIM('MTD Pivot'!$C$3:$C$400)=TRIM($A94)) * ('MTD Pivot'!$D$2:$K$2=L$2) * 'MTD Pivot'!$D$3:$K$400)&gt;0, SUMPRODUCT((('MTD Pivot'!$B$3:$B$400=$A$87) + ('MTD Pivot'!$A$3:$A$400=$A$87) &gt; 0) * (TRIM('MTD Pivot'!$C$3:$C$400)=TRIM($A94)) * ('MTD Pivot'!$D$2:$K$2=L$2) * 'MTD Pivot'!$D$3:$K$400), "")</f>
        <v/>
      </c>
      <c r="M94" s="193">
        <f>IF(SUMPRODUCT((('MTD Pivot'!$B$3:$B$400=$A$87) + ('MTD Pivot'!$A$3:$A$400=$A$87) &gt; 0) * (TRIM('MTD Pivot'!$C$3:$C$400)=TRIM($A94)) * ('MTD Pivot'!$D$2:$K$2=M$2) * 'MTD Pivot'!$D$3:$K$400)&gt;0, SUMPRODUCT((('MTD Pivot'!$B$3:$B$400=$A$87) + ('MTD Pivot'!$A$3:$A$400=$A$87) &gt; 0) * (TRIM('MTD Pivot'!$C$3:$C$400)=TRIM($A94)) * ('MTD Pivot'!$D$2:$K$2=M$2) * 'MTD Pivot'!$D$3:$K$400), "")</f>
        <v/>
      </c>
      <c r="N94" s="157">
        <f>IF(AND(ISNUMBER(K94), ISNUMBER(J94), J94&gt;0), (K94-J94)/J94, "")</f>
        <v/>
      </c>
      <c r="O94" s="193">
        <f>IF(SUMPRODUCT((('Full month Pivot'!$B$3:$B$400=$A$87) + ('Full month Pivot'!$A$3:$A$400=$A$87) &gt; 0) * (TRIM('Full month Pivot'!$C$3:$C$400)=TRIM($A94)) * ('Full month Pivot'!$D$2:$K$2=O$2) * 'Full month Pivot'!$D$3:$K$400)&gt;0, SUMPRODUCT((('Full month Pivot'!$B$3:$B$400=$A$87) + ('Full month Pivot'!$A$3:$A$400=$A$87) &gt; 0) * (TRIM('Full month Pivot'!$C$3:$C$400)=TRIM($A94)) * ('Full month Pivot'!$D$2:$K$2=O$2) * 'Full month Pivot'!$D$3:$K$400), "")</f>
        <v/>
      </c>
      <c r="P94" s="193">
        <f>IF(SUMPRODUCT((('Full month Pivot'!$B$3:$B$400=$A$87) + ('Full month Pivot'!$A$3:$A$400=$A$87) &gt; 0) * (TRIM('Full month Pivot'!$C$3:$C$400)=TRIM($A94)) * ('Full month Pivot'!$D$2:$K$2=P$2) * 'Full month Pivot'!$D$3:$K$400)&gt;0, SUMPRODUCT((('Full month Pivot'!$B$3:$B$400=$A$87) + ('Full month Pivot'!$A$3:$A$400=$A$87) &gt; 0) * (TRIM('Full month Pivot'!$C$3:$C$400)=TRIM($A94)) * ('Full month Pivot'!$D$2:$K$2=P$2) * 'Full month Pivot'!$D$3:$K$400), "")</f>
        <v/>
      </c>
      <c r="Q94" s="193">
        <f>IF(SUMPRODUCT((('Full month Pivot'!$B$3:$B$400=$A$87) + ('Full month Pivot'!$A$3:$A$400=$A$87) &gt; 0) * (TRIM('Full month Pivot'!$C$3:$C$400)=TRIM($A94)) * ('Full month Pivot'!$D$2:$K$2=Q$2) * 'Full month Pivot'!$D$3:$K$400)&gt;0, SUMPRODUCT((('Full month Pivot'!$B$3:$B$400=$A$87) + ('Full month Pivot'!$A$3:$A$400=$A$87) &gt; 0) * (TRIM('Full month Pivot'!$C$3:$C$400)=TRIM($A94)) * ('Full month Pivot'!$D$2:$K$2=Q$2) * 'Full month Pivot'!$D$3:$K$400), "")</f>
        <v/>
      </c>
      <c r="R94" s="193">
        <f>IF(SUMPRODUCT((('Full month Pivot'!$B$3:$B$400=$A$87) + ('Full month Pivot'!$A$3:$A$400=$A$87) &gt; 0) * (TRIM('Full month Pivot'!$C$3:$C$400)=TRIM($A94)) * ('Full month Pivot'!$D$2:$K$2=R$2) * 'Full month Pivot'!$D$3:$K$400)&gt;0, SUMPRODUCT((('Full month Pivot'!$B$3:$B$400=$A$87) + ('Full month Pivot'!$A$3:$A$400=$A$87) &gt; 0) * (TRIM('Full month Pivot'!$C$3:$C$400)=TRIM($A94)) * ('Full month Pivot'!$D$2:$K$2=R$2) * 'Full month Pivot'!$D$3:$K$400), "")</f>
        <v/>
      </c>
      <c r="S94" s="193">
        <f>IF(SUMPRODUCT((('Full month Pivot'!$B$3:$B$400=$A$87) + ('Full month Pivot'!$A$3:$A$400=$A$87) &gt; 0) * (TRIM('Full month Pivot'!$C$3:$C$400)=TRIM($A94)) * ('Full month Pivot'!$D$2:$K$2=S$2) * 'Full month Pivot'!$D$3:$K$400)&gt;0, SUMPRODUCT((('Full month Pivot'!$B$3:$B$400=$A$87) + ('Full month Pivot'!$A$3:$A$400=$A$87) &gt; 0) * (TRIM('Full month Pivot'!$C$3:$C$400)=TRIM($A94)) * ('Full month Pivot'!$D$2:$K$2=S$2) * 'Full month Pivot'!$D$3:$K$400), "")</f>
        <v/>
      </c>
      <c r="T94" s="193">
        <f>IF(SUMPRODUCT((('Full month Pivot'!$B$3:$B$400=$A$87) + ('Full month Pivot'!$A$3:$A$400=$A$87) &gt; 0) * (TRIM('Full month Pivot'!$C$3:$C$400)=TRIM($A94)) * ('Full month Pivot'!$D$2:$K$2=T$2) * 'Full month Pivot'!$D$3:$K$400)&gt;0, SUMPRODUCT((('Full month Pivot'!$B$3:$B$400=$A$87) + ('Full month Pivot'!$A$3:$A$400=$A$87) &gt; 0) * (TRIM('Full month Pivot'!$C$3:$C$400)=TRIM($A94)) * ('Full month Pivot'!$D$2:$K$2=T$2) * 'Full month Pivot'!$D$3:$K$400), "")</f>
        <v/>
      </c>
      <c r="U94" s="193">
        <f>IF(SUMPRODUCT((('Full month Pivot'!$B$3:$B$400=$A$87) + ('Full month Pivot'!$A$3:$A$400=$A$87) &gt; 0) * (TRIM('Full month Pivot'!$C$3:$C$400)=TRIM($A94)) * ('Full month Pivot'!$D$2:$K$2=U$2) * 'Full month Pivot'!$D$3:$K$400)&gt;0, SUMPRODUCT((('Full month Pivot'!$B$3:$B$400=$A$87) + ('Full month Pivot'!$A$3:$A$400=$A$87) &gt; 0) * (TRIM('Full month Pivot'!$C$3:$C$400)=TRIM($A94)) * ('Full month Pivot'!$D$2:$K$2=U$2) * 'Full month Pivot'!$D$3:$K$400), "")</f>
        <v/>
      </c>
      <c r="V94" s="193">
        <f>IF(SUMPRODUCT((('Full month Pivot'!$B$3:$B$400=$A$87) + ('Full month Pivot'!$A$3:$A$400=$A$87) &gt; 0) * (TRIM('Full month Pivot'!$C$3:$C$400)=TRIM($A94)) * ('Full month Pivot'!$D$2:$K$2=V$2) * 'Full month Pivot'!$D$3:$K$400)&gt;0, SUMPRODUCT((('Full month Pivot'!$B$3:$B$400=$A$87) + ('Full month Pivot'!$A$3:$A$400=$A$87) &gt; 0) * (TRIM('Full month Pivot'!$C$3:$C$400)=TRIM($A94)) * ('Full month Pivot'!$D$2:$K$2=V$2) * 'Full month Pivot'!$D$3:$K$400), "")</f>
        <v/>
      </c>
      <c r="W94" s="193">
        <f>IF(SUMPRODUCT((('Full month Pivot'!$B$3:$B$400=$A$87) + ('Full month Pivot'!$A$3:$A$400=$A$87) &gt; 0) * (TRIM('Full month Pivot'!$C$3:$C$400)=TRIM($A94)) * ('Full month Pivot'!$D$2:$K$2=W$2) * 'Full month Pivot'!$D$3:$K$400)&gt;0, SUMPRODUCT((('Full month Pivot'!$B$3:$B$400=$A$87) + ('Full month Pivot'!$A$3:$A$400=$A$87) &gt; 0) * (TRIM('Full month Pivot'!$C$3:$C$400)=TRIM($A94)) * ('Full month Pivot'!$D$2:$K$2=W$2) * 'Full month Pivot'!$D$3:$K$400), "")</f>
        <v/>
      </c>
      <c r="X94" s="193">
        <f>IF(SUMPRODUCT((('Full month Pivot'!$B$3:$B$400=$A$87) + ('Full month Pivot'!$A$3:$A$400=$A$87) &gt; 0) * (TRIM('Full month Pivot'!$C$3:$C$400)=TRIM($A94)) * ('Full month Pivot'!$D$2:$K$2=X$2) * 'Full month Pivot'!$D$3:$K$400)&gt;0, SUMPRODUCT((('Full month Pivot'!$B$3:$B$400=$A$87) + ('Full month Pivot'!$A$3:$A$400=$A$87) &gt; 0) * (TRIM('Full month Pivot'!$C$3:$C$400)=TRIM($A94)) * ('Full month Pivot'!$D$2:$K$2=X$2) * 'Full month Pivot'!$D$3:$K$400), "")</f>
        <v/>
      </c>
      <c r="Y94" s="193">
        <f>IF(SUMPRODUCT((('Full month Pivot'!$B$3:$B$400=$A$87) + ('Full month Pivot'!$A$3:$A$400=$A$87) &gt; 0) * (TRIM('Full month Pivot'!$C$3:$C$400)=TRIM($A94)) * ('Full month Pivot'!$D$2:$K$2=Y$2) * 'Full month Pivot'!$D$3:$K$400)&gt;0, SUMPRODUCT((('Full month Pivot'!$B$3:$B$400=$A$87) + ('Full month Pivot'!$A$3:$A$400=$A$87) &gt; 0) * (TRIM('Full month Pivot'!$C$3:$C$400)=TRIM($A94)) * ('Full month Pivot'!$D$2:$K$2=Y$2) * 'Full month Pivot'!$D$3:$K$400), "")</f>
        <v/>
      </c>
      <c r="Z94" s="193">
        <f>IF(SUMPRODUCT((('Full month Pivot'!$B$3:$B$400=$A$87) + ('Full month Pivot'!$A$3:$A$400=$A$87) &gt; 0) * (TRIM('Full month Pivot'!$C$3:$C$400)=TRIM($A94)) * ('Full month Pivot'!$D$2:$K$2=Z$2) * 'Full month Pivot'!$D$3:$K$400)&gt;0, SUMPRODUCT((('Full month Pivot'!$B$3:$B$400=$A$87) + ('Full month Pivot'!$A$3:$A$400=$A$87) &gt; 0) * (TRIM('Full month Pivot'!$C$3:$C$400)=TRIM($A94)) * ('Full month Pivot'!$D$2:$K$2=Z$2) * 'Full month Pivot'!$D$3:$K$400), "")</f>
        <v/>
      </c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202" t="inlineStr">
        <is>
          <t xml:space="preserve">  Direct</t>
        </is>
      </c>
      <c r="B95" s="193">
        <f>IF(SUMPRODUCT((('MTD Pivot'!$B$3:$B$400=$A$87) + ('MTD Pivot'!$A$3:$A$400=$A$87) &gt; 0) * (TRIM('MTD Pivot'!$C$3:$C$400)=TRIM($A95)) * ('MTD Pivot'!$D$2:$K$2=B$2) * 'MTD Pivot'!$D$3:$K$400)&gt;0, SUMPRODUCT((('MTD Pivot'!$B$3:$B$400=$A$87) + ('MTD Pivot'!$A$3:$A$400=$A$87) &gt; 0) * (TRIM('MTD Pivot'!$C$3:$C$400)=TRIM($A95)) * ('MTD Pivot'!$D$2:$K$2=B$2) * 'MTD Pivot'!$D$3:$K$400), "")</f>
        <v/>
      </c>
      <c r="C95" s="193">
        <f>IF(SUMPRODUCT((('MTD Pivot'!$B$3:$B$400=$A$87) + ('MTD Pivot'!$A$3:$A$400=$A$87) &gt; 0) * (TRIM('MTD Pivot'!$C$3:$C$400)=TRIM($A95)) * ('MTD Pivot'!$D$2:$K$2=C$2) * 'MTD Pivot'!$D$3:$K$400)&gt;0, SUMPRODUCT((('MTD Pivot'!$B$3:$B$400=$A$87) + ('MTD Pivot'!$A$3:$A$400=$A$87) &gt; 0) * (TRIM('MTD Pivot'!$C$3:$C$400)=TRIM($A95)) * ('MTD Pivot'!$D$2:$K$2=C$2) * 'MTD Pivot'!$D$3:$K$400), "")</f>
        <v/>
      </c>
      <c r="D95" s="193">
        <f>IF(SUMPRODUCT((('MTD Pivot'!$B$3:$B$400=$A$87) + ('MTD Pivot'!$A$3:$A$400=$A$87) &gt; 0) * (TRIM('MTD Pivot'!$C$3:$C$400)=TRIM($A95)) * ('MTD Pivot'!$D$2:$K$2=D$2) * 'MTD Pivot'!$D$3:$K$400)&gt;0, SUMPRODUCT((('MTD Pivot'!$B$3:$B$400=$A$87) + ('MTD Pivot'!$A$3:$A$400=$A$87) &gt; 0) * (TRIM('MTD Pivot'!$C$3:$C$400)=TRIM($A95)) * ('MTD Pivot'!$D$2:$K$2=D$2) * 'MTD Pivot'!$D$3:$K$400), "")</f>
        <v/>
      </c>
      <c r="E95" s="193">
        <f>IF(SUMPRODUCT((('MTD Pivot'!$B$3:$B$400=$A$87) + ('MTD Pivot'!$A$3:$A$400=$A$87) &gt; 0) * (TRIM('MTD Pivot'!$C$3:$C$400)=TRIM($A95)) * ('MTD Pivot'!$D$2:$K$2=E$2) * 'MTD Pivot'!$D$3:$K$400)&gt;0, SUMPRODUCT((('MTD Pivot'!$B$3:$B$400=$A$87) + ('MTD Pivot'!$A$3:$A$400=$A$87) &gt; 0) * (TRIM('MTD Pivot'!$C$3:$C$400)=TRIM($A95)) * ('MTD Pivot'!$D$2:$K$2=E$2) * 'MTD Pivot'!$D$3:$K$400), "")</f>
        <v/>
      </c>
      <c r="F95" s="193">
        <f>IF(SUMPRODUCT((('MTD Pivot'!$B$3:$B$400=$A$87) + ('MTD Pivot'!$A$3:$A$400=$A$87) &gt; 0) * (TRIM('MTD Pivot'!$C$3:$C$400)=TRIM($A95)) * ('MTD Pivot'!$D$2:$K$2=F$2) * 'MTD Pivot'!$D$3:$K$400)&gt;0, SUMPRODUCT((('MTD Pivot'!$B$3:$B$400=$A$87) + ('MTD Pivot'!$A$3:$A$400=$A$87) &gt; 0) * (TRIM('MTD Pivot'!$C$3:$C$400)=TRIM($A95)) * ('MTD Pivot'!$D$2:$K$2=F$2) * 'MTD Pivot'!$D$3:$K$400), "")</f>
        <v/>
      </c>
      <c r="G95" s="193">
        <f>IF(SUMPRODUCT((('MTD Pivot'!$B$3:$B$400=$A$87) + ('MTD Pivot'!$A$3:$A$400=$A$87) &gt; 0) * (TRIM('MTD Pivot'!$C$3:$C$400)=TRIM($A95)) * ('MTD Pivot'!$D$2:$K$2=G$2) * 'MTD Pivot'!$D$3:$K$400)&gt;0, SUMPRODUCT((('MTD Pivot'!$B$3:$B$400=$A$87) + ('MTD Pivot'!$A$3:$A$400=$A$87) &gt; 0) * (TRIM('MTD Pivot'!$C$3:$C$400)=TRIM($A95)) * ('MTD Pivot'!$D$2:$K$2=G$2) * 'MTD Pivot'!$D$3:$K$400), "")</f>
        <v/>
      </c>
      <c r="H95" s="193">
        <f>IF(SUMPRODUCT((('MTD Pivot'!$B$3:$B$400=$A$87) + ('MTD Pivot'!$A$3:$A$400=$A$87) &gt; 0) * (TRIM('MTD Pivot'!$C$3:$C$400)=TRIM($A95)) * ('MTD Pivot'!$D$2:$K$2=H$2) * 'MTD Pivot'!$D$3:$K$400)&gt;0, SUMPRODUCT((('MTD Pivot'!$B$3:$B$400=$A$87) + ('MTD Pivot'!$A$3:$A$400=$A$87) &gt; 0) * (TRIM('MTD Pivot'!$C$3:$C$400)=TRIM($A95)) * ('MTD Pivot'!$D$2:$K$2=H$2) * 'MTD Pivot'!$D$3:$K$400), "")</f>
        <v/>
      </c>
      <c r="I95" s="193">
        <f>IF(SUMPRODUCT((('MTD Pivot'!$B$3:$B$400=$A$87) + ('MTD Pivot'!$A$3:$A$400=$A$87) &gt; 0) * (TRIM('MTD Pivot'!$C$3:$C$400)=TRIM($A95)) * ('MTD Pivot'!$D$2:$K$2=I$2) * 'MTD Pivot'!$D$3:$K$400)&gt;0, SUMPRODUCT((('MTD Pivot'!$B$3:$B$400=$A$87) + ('MTD Pivot'!$A$3:$A$400=$A$87) &gt; 0) * (TRIM('MTD Pivot'!$C$3:$C$400)=TRIM($A95)) * ('MTD Pivot'!$D$2:$K$2=I$2) * 'MTD Pivot'!$D$3:$K$400), "")</f>
        <v/>
      </c>
      <c r="J95" s="193">
        <f>IF(SUMPRODUCT((('MTD Pivot'!$B$3:$B$400=$A$87) + ('MTD Pivot'!$A$3:$A$400=$A$87) &gt; 0) * (TRIM('MTD Pivot'!$C$3:$C$400)=TRIM($A95)) * ('MTD Pivot'!$D$2:$K$2=J$2) * 'MTD Pivot'!$D$3:$K$400)&gt;0, SUMPRODUCT((('MTD Pivot'!$B$3:$B$400=$A$87) + ('MTD Pivot'!$A$3:$A$400=$A$87) &gt; 0) * (TRIM('MTD Pivot'!$C$3:$C$400)=TRIM($A95)) * ('MTD Pivot'!$D$2:$K$2=J$2) * 'MTD Pivot'!$D$3:$K$400), "")</f>
        <v/>
      </c>
      <c r="K95" s="193">
        <f>IF(SUMPRODUCT((('MTD Pivot'!$B$3:$B$400=$A$87) + ('MTD Pivot'!$A$3:$A$400=$A$87) &gt; 0) * (TRIM('MTD Pivot'!$C$3:$C$400)=TRIM($A95)) * ('MTD Pivot'!$D$2:$K$2=K$2) * 'MTD Pivot'!$D$3:$K$400)&gt;0, SUMPRODUCT((('MTD Pivot'!$B$3:$B$400=$A$87) + ('MTD Pivot'!$A$3:$A$400=$A$87) &gt; 0) * (TRIM('MTD Pivot'!$C$3:$C$400)=TRIM($A95)) * ('MTD Pivot'!$D$2:$K$2=K$2) * 'MTD Pivot'!$D$3:$K$400), "")</f>
        <v/>
      </c>
      <c r="L95" s="193">
        <f>IF(SUMPRODUCT((('MTD Pivot'!$B$3:$B$400=$A$87) + ('MTD Pivot'!$A$3:$A$400=$A$87) &gt; 0) * (TRIM('MTD Pivot'!$C$3:$C$400)=TRIM($A95)) * ('MTD Pivot'!$D$2:$K$2=L$2) * 'MTD Pivot'!$D$3:$K$400)&gt;0, SUMPRODUCT((('MTD Pivot'!$B$3:$B$400=$A$87) + ('MTD Pivot'!$A$3:$A$400=$A$87) &gt; 0) * (TRIM('MTD Pivot'!$C$3:$C$400)=TRIM($A95)) * ('MTD Pivot'!$D$2:$K$2=L$2) * 'MTD Pivot'!$D$3:$K$400), "")</f>
        <v/>
      </c>
      <c r="M95" s="193">
        <f>IF(SUMPRODUCT((('MTD Pivot'!$B$3:$B$400=$A$87) + ('MTD Pivot'!$A$3:$A$400=$A$87) &gt; 0) * (TRIM('MTD Pivot'!$C$3:$C$400)=TRIM($A95)) * ('MTD Pivot'!$D$2:$K$2=M$2) * 'MTD Pivot'!$D$3:$K$400)&gt;0, SUMPRODUCT((('MTD Pivot'!$B$3:$B$400=$A$87) + ('MTD Pivot'!$A$3:$A$400=$A$87) &gt; 0) * (TRIM('MTD Pivot'!$C$3:$C$400)=TRIM($A95)) * ('MTD Pivot'!$D$2:$K$2=M$2) * 'MTD Pivot'!$D$3:$K$400), "")</f>
        <v/>
      </c>
      <c r="N95" s="157">
        <f>IF(AND(ISNUMBER(K95), ISNUMBER(J95), J95&gt;0), (K95-J95)/J95, "")</f>
        <v/>
      </c>
      <c r="O95" s="193">
        <f>IF(SUMPRODUCT((('Full month Pivot'!$B$3:$B$400=$A$87) + ('Full month Pivot'!$A$3:$A$400=$A$87) &gt; 0) * (TRIM('Full month Pivot'!$C$3:$C$400)=TRIM($A95)) * ('Full month Pivot'!$D$2:$K$2=O$2) * 'Full month Pivot'!$D$3:$K$400)&gt;0, SUMPRODUCT((('Full month Pivot'!$B$3:$B$400=$A$87) + ('Full month Pivot'!$A$3:$A$400=$A$87) &gt; 0) * (TRIM('Full month Pivot'!$C$3:$C$400)=TRIM($A95)) * ('Full month Pivot'!$D$2:$K$2=O$2) * 'Full month Pivot'!$D$3:$K$400), "")</f>
        <v/>
      </c>
      <c r="P95" s="193">
        <f>IF(SUMPRODUCT((('Full month Pivot'!$B$3:$B$400=$A$87) + ('Full month Pivot'!$A$3:$A$400=$A$87) &gt; 0) * (TRIM('Full month Pivot'!$C$3:$C$400)=TRIM($A95)) * ('Full month Pivot'!$D$2:$K$2=P$2) * 'Full month Pivot'!$D$3:$K$400)&gt;0, SUMPRODUCT((('Full month Pivot'!$B$3:$B$400=$A$87) + ('Full month Pivot'!$A$3:$A$400=$A$87) &gt; 0) * (TRIM('Full month Pivot'!$C$3:$C$400)=TRIM($A95)) * ('Full month Pivot'!$D$2:$K$2=P$2) * 'Full month Pivot'!$D$3:$K$400), "")</f>
        <v/>
      </c>
      <c r="Q95" s="193">
        <f>IF(SUMPRODUCT((('Full month Pivot'!$B$3:$B$400=$A$87) + ('Full month Pivot'!$A$3:$A$400=$A$87) &gt; 0) * (TRIM('Full month Pivot'!$C$3:$C$400)=TRIM($A95)) * ('Full month Pivot'!$D$2:$K$2=Q$2) * 'Full month Pivot'!$D$3:$K$400)&gt;0, SUMPRODUCT((('Full month Pivot'!$B$3:$B$400=$A$87) + ('Full month Pivot'!$A$3:$A$400=$A$87) &gt; 0) * (TRIM('Full month Pivot'!$C$3:$C$400)=TRIM($A95)) * ('Full month Pivot'!$D$2:$K$2=Q$2) * 'Full month Pivot'!$D$3:$K$400), "")</f>
        <v/>
      </c>
      <c r="R95" s="193">
        <f>IF(SUMPRODUCT((('Full month Pivot'!$B$3:$B$400=$A$87) + ('Full month Pivot'!$A$3:$A$400=$A$87) &gt; 0) * (TRIM('Full month Pivot'!$C$3:$C$400)=TRIM($A95)) * ('Full month Pivot'!$D$2:$K$2=R$2) * 'Full month Pivot'!$D$3:$K$400)&gt;0, SUMPRODUCT((('Full month Pivot'!$B$3:$B$400=$A$87) + ('Full month Pivot'!$A$3:$A$400=$A$87) &gt; 0) * (TRIM('Full month Pivot'!$C$3:$C$400)=TRIM($A95)) * ('Full month Pivot'!$D$2:$K$2=R$2) * 'Full month Pivot'!$D$3:$K$400), "")</f>
        <v/>
      </c>
      <c r="S95" s="193">
        <f>IF(SUMPRODUCT((('Full month Pivot'!$B$3:$B$400=$A$87) + ('Full month Pivot'!$A$3:$A$400=$A$87) &gt; 0) * (TRIM('Full month Pivot'!$C$3:$C$400)=TRIM($A95)) * ('Full month Pivot'!$D$2:$K$2=S$2) * 'Full month Pivot'!$D$3:$K$400)&gt;0, SUMPRODUCT((('Full month Pivot'!$B$3:$B$400=$A$87) + ('Full month Pivot'!$A$3:$A$400=$A$87) &gt; 0) * (TRIM('Full month Pivot'!$C$3:$C$400)=TRIM($A95)) * ('Full month Pivot'!$D$2:$K$2=S$2) * 'Full month Pivot'!$D$3:$K$400), "")</f>
        <v/>
      </c>
      <c r="T95" s="193">
        <f>IF(SUMPRODUCT((('Full month Pivot'!$B$3:$B$400=$A$87) + ('Full month Pivot'!$A$3:$A$400=$A$87) &gt; 0) * (TRIM('Full month Pivot'!$C$3:$C$400)=TRIM($A95)) * ('Full month Pivot'!$D$2:$K$2=T$2) * 'Full month Pivot'!$D$3:$K$400)&gt;0, SUMPRODUCT((('Full month Pivot'!$B$3:$B$400=$A$87) + ('Full month Pivot'!$A$3:$A$400=$A$87) &gt; 0) * (TRIM('Full month Pivot'!$C$3:$C$400)=TRIM($A95)) * ('Full month Pivot'!$D$2:$K$2=T$2) * 'Full month Pivot'!$D$3:$K$400), "")</f>
        <v/>
      </c>
      <c r="U95" s="193">
        <f>IF(SUMPRODUCT((('Full month Pivot'!$B$3:$B$400=$A$87) + ('Full month Pivot'!$A$3:$A$400=$A$87) &gt; 0) * (TRIM('Full month Pivot'!$C$3:$C$400)=TRIM($A95)) * ('Full month Pivot'!$D$2:$K$2=U$2) * 'Full month Pivot'!$D$3:$K$400)&gt;0, SUMPRODUCT((('Full month Pivot'!$B$3:$B$400=$A$87) + ('Full month Pivot'!$A$3:$A$400=$A$87) &gt; 0) * (TRIM('Full month Pivot'!$C$3:$C$400)=TRIM($A95)) * ('Full month Pivot'!$D$2:$K$2=U$2) * 'Full month Pivot'!$D$3:$K$400), "")</f>
        <v/>
      </c>
      <c r="V95" s="193">
        <f>IF(SUMPRODUCT((('Full month Pivot'!$B$3:$B$400=$A$87) + ('Full month Pivot'!$A$3:$A$400=$A$87) &gt; 0) * (TRIM('Full month Pivot'!$C$3:$C$400)=TRIM($A95)) * ('Full month Pivot'!$D$2:$K$2=V$2) * 'Full month Pivot'!$D$3:$K$400)&gt;0, SUMPRODUCT((('Full month Pivot'!$B$3:$B$400=$A$87) + ('Full month Pivot'!$A$3:$A$400=$A$87) &gt; 0) * (TRIM('Full month Pivot'!$C$3:$C$400)=TRIM($A95)) * ('Full month Pivot'!$D$2:$K$2=V$2) * 'Full month Pivot'!$D$3:$K$400), "")</f>
        <v/>
      </c>
      <c r="W95" s="193">
        <f>IF(SUMPRODUCT((('Full month Pivot'!$B$3:$B$400=$A$87) + ('Full month Pivot'!$A$3:$A$400=$A$87) &gt; 0) * (TRIM('Full month Pivot'!$C$3:$C$400)=TRIM($A95)) * ('Full month Pivot'!$D$2:$K$2=W$2) * 'Full month Pivot'!$D$3:$K$400)&gt;0, SUMPRODUCT((('Full month Pivot'!$B$3:$B$400=$A$87) + ('Full month Pivot'!$A$3:$A$400=$A$87) &gt; 0) * (TRIM('Full month Pivot'!$C$3:$C$400)=TRIM($A95)) * ('Full month Pivot'!$D$2:$K$2=W$2) * 'Full month Pivot'!$D$3:$K$400), "")</f>
        <v/>
      </c>
      <c r="X95" s="193">
        <f>IF(SUMPRODUCT((('Full month Pivot'!$B$3:$B$400=$A$87) + ('Full month Pivot'!$A$3:$A$400=$A$87) &gt; 0) * (TRIM('Full month Pivot'!$C$3:$C$400)=TRIM($A95)) * ('Full month Pivot'!$D$2:$K$2=X$2) * 'Full month Pivot'!$D$3:$K$400)&gt;0, SUMPRODUCT((('Full month Pivot'!$B$3:$B$400=$A$87) + ('Full month Pivot'!$A$3:$A$400=$A$87) &gt; 0) * (TRIM('Full month Pivot'!$C$3:$C$400)=TRIM($A95)) * ('Full month Pivot'!$D$2:$K$2=X$2) * 'Full month Pivot'!$D$3:$K$400), "")</f>
        <v/>
      </c>
      <c r="Y95" s="193">
        <f>IF(SUMPRODUCT((('Full month Pivot'!$B$3:$B$400=$A$87) + ('Full month Pivot'!$A$3:$A$400=$A$87) &gt; 0) * (TRIM('Full month Pivot'!$C$3:$C$400)=TRIM($A95)) * ('Full month Pivot'!$D$2:$K$2=Y$2) * 'Full month Pivot'!$D$3:$K$400)&gt;0, SUMPRODUCT((('Full month Pivot'!$B$3:$B$400=$A$87) + ('Full month Pivot'!$A$3:$A$400=$A$87) &gt; 0) * (TRIM('Full month Pivot'!$C$3:$C$400)=TRIM($A95)) * ('Full month Pivot'!$D$2:$K$2=Y$2) * 'Full month Pivot'!$D$3:$K$400), "")</f>
        <v/>
      </c>
      <c r="Z95" s="193">
        <f>IF(SUMPRODUCT((('Full month Pivot'!$B$3:$B$400=$A$87) + ('Full month Pivot'!$A$3:$A$400=$A$87) &gt; 0) * (TRIM('Full month Pivot'!$C$3:$C$400)=TRIM($A95)) * ('Full month Pivot'!$D$2:$K$2=Z$2) * 'Full month Pivot'!$D$3:$K$400)&gt;0, SUMPRODUCT((('Full month Pivot'!$B$3:$B$400=$A$87) + ('Full month Pivot'!$A$3:$A$400=$A$87) &gt; 0) * (TRIM('Full month Pivot'!$C$3:$C$400)=TRIM($A95)) * ('Full month Pivot'!$D$2:$K$2=Z$2) * 'Full month Pivot'!$D$3:$K$400), "")</f>
        <v/>
      </c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202" t="inlineStr">
        <is>
          <t xml:space="preserve">  Referral</t>
        </is>
      </c>
      <c r="B96" s="193">
        <f>IF(SUMPRODUCT((('MTD Pivot'!$B$3:$B$400=$A$87) + ('MTD Pivot'!$A$3:$A$400=$A$87) &gt; 0) * (TRIM('MTD Pivot'!$C$3:$C$400)=TRIM($A96)) * ('MTD Pivot'!$D$2:$K$2=B$2) * 'MTD Pivot'!$D$3:$K$400)&gt;0, SUMPRODUCT((('MTD Pivot'!$B$3:$B$400=$A$87) + ('MTD Pivot'!$A$3:$A$400=$A$87) &gt; 0) * (TRIM('MTD Pivot'!$C$3:$C$400)=TRIM($A96)) * ('MTD Pivot'!$D$2:$K$2=B$2) * 'MTD Pivot'!$D$3:$K$400), "")</f>
        <v/>
      </c>
      <c r="C96" s="193">
        <f>IF(SUMPRODUCT((('MTD Pivot'!$B$3:$B$400=$A$87) + ('MTD Pivot'!$A$3:$A$400=$A$87) &gt; 0) * (TRIM('MTD Pivot'!$C$3:$C$400)=TRIM($A96)) * ('MTD Pivot'!$D$2:$K$2=C$2) * 'MTD Pivot'!$D$3:$K$400)&gt;0, SUMPRODUCT((('MTD Pivot'!$B$3:$B$400=$A$87) + ('MTD Pivot'!$A$3:$A$400=$A$87) &gt; 0) * (TRIM('MTD Pivot'!$C$3:$C$400)=TRIM($A96)) * ('MTD Pivot'!$D$2:$K$2=C$2) * 'MTD Pivot'!$D$3:$K$400), "")</f>
        <v/>
      </c>
      <c r="D96" s="193">
        <f>IF(SUMPRODUCT((('MTD Pivot'!$B$3:$B$400=$A$87) + ('MTD Pivot'!$A$3:$A$400=$A$87) &gt; 0) * (TRIM('MTD Pivot'!$C$3:$C$400)=TRIM($A96)) * ('MTD Pivot'!$D$2:$K$2=D$2) * 'MTD Pivot'!$D$3:$K$400)&gt;0, SUMPRODUCT((('MTD Pivot'!$B$3:$B$400=$A$87) + ('MTD Pivot'!$A$3:$A$400=$A$87) &gt; 0) * (TRIM('MTD Pivot'!$C$3:$C$400)=TRIM($A96)) * ('MTD Pivot'!$D$2:$K$2=D$2) * 'MTD Pivot'!$D$3:$K$400), "")</f>
        <v/>
      </c>
      <c r="E96" s="193">
        <f>IF(SUMPRODUCT((('MTD Pivot'!$B$3:$B$400=$A$87) + ('MTD Pivot'!$A$3:$A$400=$A$87) &gt; 0) * (TRIM('MTD Pivot'!$C$3:$C$400)=TRIM($A96)) * ('MTD Pivot'!$D$2:$K$2=E$2) * 'MTD Pivot'!$D$3:$K$400)&gt;0, SUMPRODUCT((('MTD Pivot'!$B$3:$B$400=$A$87) + ('MTD Pivot'!$A$3:$A$400=$A$87) &gt; 0) * (TRIM('MTD Pivot'!$C$3:$C$400)=TRIM($A96)) * ('MTD Pivot'!$D$2:$K$2=E$2) * 'MTD Pivot'!$D$3:$K$400), "")</f>
        <v/>
      </c>
      <c r="F96" s="193">
        <f>IF(SUMPRODUCT((('MTD Pivot'!$B$3:$B$400=$A$87) + ('MTD Pivot'!$A$3:$A$400=$A$87) &gt; 0) * (TRIM('MTD Pivot'!$C$3:$C$400)=TRIM($A96)) * ('MTD Pivot'!$D$2:$K$2=F$2) * 'MTD Pivot'!$D$3:$K$400)&gt;0, SUMPRODUCT((('MTD Pivot'!$B$3:$B$400=$A$87) + ('MTD Pivot'!$A$3:$A$400=$A$87) &gt; 0) * (TRIM('MTD Pivot'!$C$3:$C$400)=TRIM($A96)) * ('MTD Pivot'!$D$2:$K$2=F$2) * 'MTD Pivot'!$D$3:$K$400), "")</f>
        <v/>
      </c>
      <c r="G96" s="193">
        <f>IF(SUMPRODUCT((('MTD Pivot'!$B$3:$B$400=$A$87) + ('MTD Pivot'!$A$3:$A$400=$A$87) &gt; 0) * (TRIM('MTD Pivot'!$C$3:$C$400)=TRIM($A96)) * ('MTD Pivot'!$D$2:$K$2=G$2) * 'MTD Pivot'!$D$3:$K$400)&gt;0, SUMPRODUCT((('MTD Pivot'!$B$3:$B$400=$A$87) + ('MTD Pivot'!$A$3:$A$400=$A$87) &gt; 0) * (TRIM('MTD Pivot'!$C$3:$C$400)=TRIM($A96)) * ('MTD Pivot'!$D$2:$K$2=G$2) * 'MTD Pivot'!$D$3:$K$400), "")</f>
        <v/>
      </c>
      <c r="H96" s="193">
        <f>IF(SUMPRODUCT((('MTD Pivot'!$B$3:$B$400=$A$87) + ('MTD Pivot'!$A$3:$A$400=$A$87) &gt; 0) * (TRIM('MTD Pivot'!$C$3:$C$400)=TRIM($A96)) * ('MTD Pivot'!$D$2:$K$2=H$2) * 'MTD Pivot'!$D$3:$K$400)&gt;0, SUMPRODUCT((('MTD Pivot'!$B$3:$B$400=$A$87) + ('MTD Pivot'!$A$3:$A$400=$A$87) &gt; 0) * (TRIM('MTD Pivot'!$C$3:$C$400)=TRIM($A96)) * ('MTD Pivot'!$D$2:$K$2=H$2) * 'MTD Pivot'!$D$3:$K$400), "")</f>
        <v/>
      </c>
      <c r="I96" s="193">
        <f>IF(SUMPRODUCT((('MTD Pivot'!$B$3:$B$400=$A$87) + ('MTD Pivot'!$A$3:$A$400=$A$87) &gt; 0) * (TRIM('MTD Pivot'!$C$3:$C$400)=TRIM($A96)) * ('MTD Pivot'!$D$2:$K$2=I$2) * 'MTD Pivot'!$D$3:$K$400)&gt;0, SUMPRODUCT((('MTD Pivot'!$B$3:$B$400=$A$87) + ('MTD Pivot'!$A$3:$A$400=$A$87) &gt; 0) * (TRIM('MTD Pivot'!$C$3:$C$400)=TRIM($A96)) * ('MTD Pivot'!$D$2:$K$2=I$2) * 'MTD Pivot'!$D$3:$K$400), "")</f>
        <v/>
      </c>
      <c r="J96" s="193">
        <f>IF(SUMPRODUCT((('MTD Pivot'!$B$3:$B$400=$A$87) + ('MTD Pivot'!$A$3:$A$400=$A$87) &gt; 0) * (TRIM('MTD Pivot'!$C$3:$C$400)=TRIM($A96)) * ('MTD Pivot'!$D$2:$K$2=J$2) * 'MTD Pivot'!$D$3:$K$400)&gt;0, SUMPRODUCT((('MTD Pivot'!$B$3:$B$400=$A$87) + ('MTD Pivot'!$A$3:$A$400=$A$87) &gt; 0) * (TRIM('MTD Pivot'!$C$3:$C$400)=TRIM($A96)) * ('MTD Pivot'!$D$2:$K$2=J$2) * 'MTD Pivot'!$D$3:$K$400), "")</f>
        <v/>
      </c>
      <c r="K96" s="193">
        <f>IF(SUMPRODUCT((('MTD Pivot'!$B$3:$B$400=$A$87) + ('MTD Pivot'!$A$3:$A$400=$A$87) &gt; 0) * (TRIM('MTD Pivot'!$C$3:$C$400)=TRIM($A96)) * ('MTD Pivot'!$D$2:$K$2=K$2) * 'MTD Pivot'!$D$3:$K$400)&gt;0, SUMPRODUCT((('MTD Pivot'!$B$3:$B$400=$A$87) + ('MTD Pivot'!$A$3:$A$400=$A$87) &gt; 0) * (TRIM('MTD Pivot'!$C$3:$C$400)=TRIM($A96)) * ('MTD Pivot'!$D$2:$K$2=K$2) * 'MTD Pivot'!$D$3:$K$400), "")</f>
        <v/>
      </c>
      <c r="L96" s="193">
        <f>IF(SUMPRODUCT((('MTD Pivot'!$B$3:$B$400=$A$87) + ('MTD Pivot'!$A$3:$A$400=$A$87) &gt; 0) * (TRIM('MTD Pivot'!$C$3:$C$400)=TRIM($A96)) * ('MTD Pivot'!$D$2:$K$2=L$2) * 'MTD Pivot'!$D$3:$K$400)&gt;0, SUMPRODUCT((('MTD Pivot'!$B$3:$B$400=$A$87) + ('MTD Pivot'!$A$3:$A$400=$A$87) &gt; 0) * (TRIM('MTD Pivot'!$C$3:$C$400)=TRIM($A96)) * ('MTD Pivot'!$D$2:$K$2=L$2) * 'MTD Pivot'!$D$3:$K$400), "")</f>
        <v/>
      </c>
      <c r="M96" s="193">
        <f>IF(SUMPRODUCT((('MTD Pivot'!$B$3:$B$400=$A$87) + ('MTD Pivot'!$A$3:$A$400=$A$87) &gt; 0) * (TRIM('MTD Pivot'!$C$3:$C$400)=TRIM($A96)) * ('MTD Pivot'!$D$2:$K$2=M$2) * 'MTD Pivot'!$D$3:$K$400)&gt;0, SUMPRODUCT((('MTD Pivot'!$B$3:$B$400=$A$87) + ('MTD Pivot'!$A$3:$A$400=$A$87) &gt; 0) * (TRIM('MTD Pivot'!$C$3:$C$400)=TRIM($A96)) * ('MTD Pivot'!$D$2:$K$2=M$2) * 'MTD Pivot'!$D$3:$K$400), "")</f>
        <v/>
      </c>
      <c r="N96" s="157">
        <f>IF(AND(ISNUMBER(K96), ISNUMBER(J96), J96&gt;0), (K96-J96)/J96, "")</f>
        <v/>
      </c>
      <c r="O96" s="193">
        <f>IF(SUMPRODUCT((('Full month Pivot'!$B$3:$B$400=$A$87) + ('Full month Pivot'!$A$3:$A$400=$A$87) &gt; 0) * (TRIM('Full month Pivot'!$C$3:$C$400)=TRIM($A96)) * ('Full month Pivot'!$D$2:$K$2=O$2) * 'Full month Pivot'!$D$3:$K$400)&gt;0, SUMPRODUCT((('Full month Pivot'!$B$3:$B$400=$A$87) + ('Full month Pivot'!$A$3:$A$400=$A$87) &gt; 0) * (TRIM('Full month Pivot'!$C$3:$C$400)=TRIM($A96)) * ('Full month Pivot'!$D$2:$K$2=O$2) * 'Full month Pivot'!$D$3:$K$400), "")</f>
        <v/>
      </c>
      <c r="P96" s="193">
        <f>IF(SUMPRODUCT((('Full month Pivot'!$B$3:$B$400=$A$87) + ('Full month Pivot'!$A$3:$A$400=$A$87) &gt; 0) * (TRIM('Full month Pivot'!$C$3:$C$400)=TRIM($A96)) * ('Full month Pivot'!$D$2:$K$2=P$2) * 'Full month Pivot'!$D$3:$K$400)&gt;0, SUMPRODUCT((('Full month Pivot'!$B$3:$B$400=$A$87) + ('Full month Pivot'!$A$3:$A$400=$A$87) &gt; 0) * (TRIM('Full month Pivot'!$C$3:$C$400)=TRIM($A96)) * ('Full month Pivot'!$D$2:$K$2=P$2) * 'Full month Pivot'!$D$3:$K$400), "")</f>
        <v/>
      </c>
      <c r="Q96" s="193">
        <f>IF(SUMPRODUCT((('Full month Pivot'!$B$3:$B$400=$A$87) + ('Full month Pivot'!$A$3:$A$400=$A$87) &gt; 0) * (TRIM('Full month Pivot'!$C$3:$C$400)=TRIM($A96)) * ('Full month Pivot'!$D$2:$K$2=Q$2) * 'Full month Pivot'!$D$3:$K$400)&gt;0, SUMPRODUCT((('Full month Pivot'!$B$3:$B$400=$A$87) + ('Full month Pivot'!$A$3:$A$400=$A$87) &gt; 0) * (TRIM('Full month Pivot'!$C$3:$C$400)=TRIM($A96)) * ('Full month Pivot'!$D$2:$K$2=Q$2) * 'Full month Pivot'!$D$3:$K$400), "")</f>
        <v/>
      </c>
      <c r="R96" s="193">
        <f>IF(SUMPRODUCT((('Full month Pivot'!$B$3:$B$400=$A$87) + ('Full month Pivot'!$A$3:$A$400=$A$87) &gt; 0) * (TRIM('Full month Pivot'!$C$3:$C$400)=TRIM($A96)) * ('Full month Pivot'!$D$2:$K$2=R$2) * 'Full month Pivot'!$D$3:$K$400)&gt;0, SUMPRODUCT((('Full month Pivot'!$B$3:$B$400=$A$87) + ('Full month Pivot'!$A$3:$A$400=$A$87) &gt; 0) * (TRIM('Full month Pivot'!$C$3:$C$400)=TRIM($A96)) * ('Full month Pivot'!$D$2:$K$2=R$2) * 'Full month Pivot'!$D$3:$K$400), "")</f>
        <v/>
      </c>
      <c r="S96" s="193">
        <f>IF(SUMPRODUCT((('Full month Pivot'!$B$3:$B$400=$A$87) + ('Full month Pivot'!$A$3:$A$400=$A$87) &gt; 0) * (TRIM('Full month Pivot'!$C$3:$C$400)=TRIM($A96)) * ('Full month Pivot'!$D$2:$K$2=S$2) * 'Full month Pivot'!$D$3:$K$400)&gt;0, SUMPRODUCT((('Full month Pivot'!$B$3:$B$400=$A$87) + ('Full month Pivot'!$A$3:$A$400=$A$87) &gt; 0) * (TRIM('Full month Pivot'!$C$3:$C$400)=TRIM($A96)) * ('Full month Pivot'!$D$2:$K$2=S$2) * 'Full month Pivot'!$D$3:$K$400), "")</f>
        <v/>
      </c>
      <c r="T96" s="193">
        <f>IF(SUMPRODUCT((('Full month Pivot'!$B$3:$B$400=$A$87) + ('Full month Pivot'!$A$3:$A$400=$A$87) &gt; 0) * (TRIM('Full month Pivot'!$C$3:$C$400)=TRIM($A96)) * ('Full month Pivot'!$D$2:$K$2=T$2) * 'Full month Pivot'!$D$3:$K$400)&gt;0, SUMPRODUCT((('Full month Pivot'!$B$3:$B$400=$A$87) + ('Full month Pivot'!$A$3:$A$400=$A$87) &gt; 0) * (TRIM('Full month Pivot'!$C$3:$C$400)=TRIM($A96)) * ('Full month Pivot'!$D$2:$K$2=T$2) * 'Full month Pivot'!$D$3:$K$400), "")</f>
        <v/>
      </c>
      <c r="U96" s="193">
        <f>IF(SUMPRODUCT((('Full month Pivot'!$B$3:$B$400=$A$87) + ('Full month Pivot'!$A$3:$A$400=$A$87) &gt; 0) * (TRIM('Full month Pivot'!$C$3:$C$400)=TRIM($A96)) * ('Full month Pivot'!$D$2:$K$2=U$2) * 'Full month Pivot'!$D$3:$K$400)&gt;0, SUMPRODUCT((('Full month Pivot'!$B$3:$B$400=$A$87) + ('Full month Pivot'!$A$3:$A$400=$A$87) &gt; 0) * (TRIM('Full month Pivot'!$C$3:$C$400)=TRIM($A96)) * ('Full month Pivot'!$D$2:$K$2=U$2) * 'Full month Pivot'!$D$3:$K$400), "")</f>
        <v/>
      </c>
      <c r="V96" s="193">
        <f>IF(SUMPRODUCT((('Full month Pivot'!$B$3:$B$400=$A$87) + ('Full month Pivot'!$A$3:$A$400=$A$87) &gt; 0) * (TRIM('Full month Pivot'!$C$3:$C$400)=TRIM($A96)) * ('Full month Pivot'!$D$2:$K$2=V$2) * 'Full month Pivot'!$D$3:$K$400)&gt;0, SUMPRODUCT((('Full month Pivot'!$B$3:$B$400=$A$87) + ('Full month Pivot'!$A$3:$A$400=$A$87) &gt; 0) * (TRIM('Full month Pivot'!$C$3:$C$400)=TRIM($A96)) * ('Full month Pivot'!$D$2:$K$2=V$2) * 'Full month Pivot'!$D$3:$K$400), "")</f>
        <v/>
      </c>
      <c r="W96" s="193">
        <f>IF(SUMPRODUCT((('Full month Pivot'!$B$3:$B$400=$A$87) + ('Full month Pivot'!$A$3:$A$400=$A$87) &gt; 0) * (TRIM('Full month Pivot'!$C$3:$C$400)=TRIM($A96)) * ('Full month Pivot'!$D$2:$K$2=W$2) * 'Full month Pivot'!$D$3:$K$400)&gt;0, SUMPRODUCT((('Full month Pivot'!$B$3:$B$400=$A$87) + ('Full month Pivot'!$A$3:$A$400=$A$87) &gt; 0) * (TRIM('Full month Pivot'!$C$3:$C$400)=TRIM($A96)) * ('Full month Pivot'!$D$2:$K$2=W$2) * 'Full month Pivot'!$D$3:$K$400), "")</f>
        <v/>
      </c>
      <c r="X96" s="193">
        <f>IF(SUMPRODUCT((('Full month Pivot'!$B$3:$B$400=$A$87) + ('Full month Pivot'!$A$3:$A$400=$A$87) &gt; 0) * (TRIM('Full month Pivot'!$C$3:$C$400)=TRIM($A96)) * ('Full month Pivot'!$D$2:$K$2=X$2) * 'Full month Pivot'!$D$3:$K$400)&gt;0, SUMPRODUCT((('Full month Pivot'!$B$3:$B$400=$A$87) + ('Full month Pivot'!$A$3:$A$400=$A$87) &gt; 0) * (TRIM('Full month Pivot'!$C$3:$C$400)=TRIM($A96)) * ('Full month Pivot'!$D$2:$K$2=X$2) * 'Full month Pivot'!$D$3:$K$400), "")</f>
        <v/>
      </c>
      <c r="Y96" s="193">
        <f>IF(SUMPRODUCT((('Full month Pivot'!$B$3:$B$400=$A$87) + ('Full month Pivot'!$A$3:$A$400=$A$87) &gt; 0) * (TRIM('Full month Pivot'!$C$3:$C$400)=TRIM($A96)) * ('Full month Pivot'!$D$2:$K$2=Y$2) * 'Full month Pivot'!$D$3:$K$400)&gt;0, SUMPRODUCT((('Full month Pivot'!$B$3:$B$400=$A$87) + ('Full month Pivot'!$A$3:$A$400=$A$87) &gt; 0) * (TRIM('Full month Pivot'!$C$3:$C$400)=TRIM($A96)) * ('Full month Pivot'!$D$2:$K$2=Y$2) * 'Full month Pivot'!$D$3:$K$400), "")</f>
        <v/>
      </c>
      <c r="Z96" s="193">
        <f>IF(SUMPRODUCT((('Full month Pivot'!$B$3:$B$400=$A$87) + ('Full month Pivot'!$A$3:$A$400=$A$87) &gt; 0) * (TRIM('Full month Pivot'!$C$3:$C$400)=TRIM($A96)) * ('Full month Pivot'!$D$2:$K$2=Z$2) * 'Full month Pivot'!$D$3:$K$400)&gt;0, SUMPRODUCT((('Full month Pivot'!$B$3:$B$400=$A$87) + ('Full month Pivot'!$A$3:$A$400=$A$87) &gt; 0) * (TRIM('Full month Pivot'!$C$3:$C$400)=TRIM($A96)) * ('Full month Pivot'!$D$2:$K$2=Z$2) * 'Full month Pivot'!$D$3:$K$400), "")</f>
        <v/>
      </c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202" t="inlineStr">
        <is>
          <t xml:space="preserve">  Others</t>
        </is>
      </c>
      <c r="B97" s="193">
        <f>IF(SUMPRODUCT((('MTD Pivot'!$B$3:$B$400=$A$87) + ('MTD Pivot'!$A$3:$A$400=$A$87) &gt; 0) * (TRIM('MTD Pivot'!$C$3:$C$400)=TRIM($A97)) * ('MTD Pivot'!$D$2:$K$2=B$2) * 'MTD Pivot'!$D$3:$K$400)&gt;0, SUMPRODUCT((('MTD Pivot'!$B$3:$B$400=$A$87) + ('MTD Pivot'!$A$3:$A$400=$A$87) &gt; 0) * (TRIM('MTD Pivot'!$C$3:$C$400)=TRIM($A97)) * ('MTD Pivot'!$D$2:$K$2=B$2) * 'MTD Pivot'!$D$3:$K$400), "")</f>
        <v/>
      </c>
      <c r="C97" s="193">
        <f>IF(SUMPRODUCT((('MTD Pivot'!$B$3:$B$400=$A$87) + ('MTD Pivot'!$A$3:$A$400=$A$87) &gt; 0) * (TRIM('MTD Pivot'!$C$3:$C$400)=TRIM($A97)) * ('MTD Pivot'!$D$2:$K$2=C$2) * 'MTD Pivot'!$D$3:$K$400)&gt;0, SUMPRODUCT((('MTD Pivot'!$B$3:$B$400=$A$87) + ('MTD Pivot'!$A$3:$A$400=$A$87) &gt; 0) * (TRIM('MTD Pivot'!$C$3:$C$400)=TRIM($A97)) * ('MTD Pivot'!$D$2:$K$2=C$2) * 'MTD Pivot'!$D$3:$K$400), "")</f>
        <v/>
      </c>
      <c r="D97" s="193">
        <f>IF(SUMPRODUCT((('MTD Pivot'!$B$3:$B$400=$A$87) + ('MTD Pivot'!$A$3:$A$400=$A$87) &gt; 0) * (TRIM('MTD Pivot'!$C$3:$C$400)=TRIM($A97)) * ('MTD Pivot'!$D$2:$K$2=D$2) * 'MTD Pivot'!$D$3:$K$400)&gt;0, SUMPRODUCT((('MTD Pivot'!$B$3:$B$400=$A$87) + ('MTD Pivot'!$A$3:$A$400=$A$87) &gt; 0) * (TRIM('MTD Pivot'!$C$3:$C$400)=TRIM($A97)) * ('MTD Pivot'!$D$2:$K$2=D$2) * 'MTD Pivot'!$D$3:$K$400), "")</f>
        <v/>
      </c>
      <c r="E97" s="193">
        <f>IF(SUMPRODUCT((('MTD Pivot'!$B$3:$B$400=$A$87) + ('MTD Pivot'!$A$3:$A$400=$A$87) &gt; 0) * (TRIM('MTD Pivot'!$C$3:$C$400)=TRIM($A97)) * ('MTD Pivot'!$D$2:$K$2=E$2) * 'MTD Pivot'!$D$3:$K$400)&gt;0, SUMPRODUCT((('MTD Pivot'!$B$3:$B$400=$A$87) + ('MTD Pivot'!$A$3:$A$400=$A$87) &gt; 0) * (TRIM('MTD Pivot'!$C$3:$C$400)=TRIM($A97)) * ('MTD Pivot'!$D$2:$K$2=E$2) * 'MTD Pivot'!$D$3:$K$400), "")</f>
        <v/>
      </c>
      <c r="F97" s="193">
        <f>IF(SUMPRODUCT((('MTD Pivot'!$B$3:$B$400=$A$87) + ('MTD Pivot'!$A$3:$A$400=$A$87) &gt; 0) * (TRIM('MTD Pivot'!$C$3:$C$400)=TRIM($A97)) * ('MTD Pivot'!$D$2:$K$2=F$2) * 'MTD Pivot'!$D$3:$K$400)&gt;0, SUMPRODUCT((('MTD Pivot'!$B$3:$B$400=$A$87) + ('MTD Pivot'!$A$3:$A$400=$A$87) &gt; 0) * (TRIM('MTD Pivot'!$C$3:$C$400)=TRIM($A97)) * ('MTD Pivot'!$D$2:$K$2=F$2) * 'MTD Pivot'!$D$3:$K$400), "")</f>
        <v/>
      </c>
      <c r="G97" s="193">
        <f>IF(SUMPRODUCT((('MTD Pivot'!$B$3:$B$400=$A$87) + ('MTD Pivot'!$A$3:$A$400=$A$87) &gt; 0) * (TRIM('MTD Pivot'!$C$3:$C$400)=TRIM($A97)) * ('MTD Pivot'!$D$2:$K$2=G$2) * 'MTD Pivot'!$D$3:$K$400)&gt;0, SUMPRODUCT((('MTD Pivot'!$B$3:$B$400=$A$87) + ('MTD Pivot'!$A$3:$A$400=$A$87) &gt; 0) * (TRIM('MTD Pivot'!$C$3:$C$400)=TRIM($A97)) * ('MTD Pivot'!$D$2:$K$2=G$2) * 'MTD Pivot'!$D$3:$K$400), "")</f>
        <v/>
      </c>
      <c r="H97" s="193">
        <f>IF(SUMPRODUCT((('MTD Pivot'!$B$3:$B$400=$A$87) + ('MTD Pivot'!$A$3:$A$400=$A$87) &gt; 0) * (TRIM('MTD Pivot'!$C$3:$C$400)=TRIM($A97)) * ('MTD Pivot'!$D$2:$K$2=H$2) * 'MTD Pivot'!$D$3:$K$400)&gt;0, SUMPRODUCT((('MTD Pivot'!$B$3:$B$400=$A$87) + ('MTD Pivot'!$A$3:$A$400=$A$87) &gt; 0) * (TRIM('MTD Pivot'!$C$3:$C$400)=TRIM($A97)) * ('MTD Pivot'!$D$2:$K$2=H$2) * 'MTD Pivot'!$D$3:$K$400), "")</f>
        <v/>
      </c>
      <c r="I97" s="193">
        <f>IF(SUMPRODUCT((('MTD Pivot'!$B$3:$B$400=$A$87) + ('MTD Pivot'!$A$3:$A$400=$A$87) &gt; 0) * (TRIM('MTD Pivot'!$C$3:$C$400)=TRIM($A97)) * ('MTD Pivot'!$D$2:$K$2=I$2) * 'MTD Pivot'!$D$3:$K$400)&gt;0, SUMPRODUCT((('MTD Pivot'!$B$3:$B$400=$A$87) + ('MTD Pivot'!$A$3:$A$400=$A$87) &gt; 0) * (TRIM('MTD Pivot'!$C$3:$C$400)=TRIM($A97)) * ('MTD Pivot'!$D$2:$K$2=I$2) * 'MTD Pivot'!$D$3:$K$400), "")</f>
        <v/>
      </c>
      <c r="J97" s="193">
        <f>IF(SUMPRODUCT((('MTD Pivot'!$B$3:$B$400=$A$87) + ('MTD Pivot'!$A$3:$A$400=$A$87) &gt; 0) * (TRIM('MTD Pivot'!$C$3:$C$400)=TRIM($A97)) * ('MTD Pivot'!$D$2:$K$2=J$2) * 'MTD Pivot'!$D$3:$K$400)&gt;0, SUMPRODUCT((('MTD Pivot'!$B$3:$B$400=$A$87) + ('MTD Pivot'!$A$3:$A$400=$A$87) &gt; 0) * (TRIM('MTD Pivot'!$C$3:$C$400)=TRIM($A97)) * ('MTD Pivot'!$D$2:$K$2=J$2) * 'MTD Pivot'!$D$3:$K$400), "")</f>
        <v/>
      </c>
      <c r="K97" s="193">
        <f>IF(SUMPRODUCT((('MTD Pivot'!$B$3:$B$400=$A$87) + ('MTD Pivot'!$A$3:$A$400=$A$87) &gt; 0) * (TRIM('MTD Pivot'!$C$3:$C$400)=TRIM($A97)) * ('MTD Pivot'!$D$2:$K$2=K$2) * 'MTD Pivot'!$D$3:$K$400)&gt;0, SUMPRODUCT((('MTD Pivot'!$B$3:$B$400=$A$87) + ('MTD Pivot'!$A$3:$A$400=$A$87) &gt; 0) * (TRIM('MTD Pivot'!$C$3:$C$400)=TRIM($A97)) * ('MTD Pivot'!$D$2:$K$2=K$2) * 'MTD Pivot'!$D$3:$K$400), "")</f>
        <v/>
      </c>
      <c r="L97" s="193">
        <f>IF(SUMPRODUCT((('MTD Pivot'!$B$3:$B$400=$A$87) + ('MTD Pivot'!$A$3:$A$400=$A$87) &gt; 0) * (TRIM('MTD Pivot'!$C$3:$C$400)=TRIM($A97)) * ('MTD Pivot'!$D$2:$K$2=L$2) * 'MTD Pivot'!$D$3:$K$400)&gt;0, SUMPRODUCT((('MTD Pivot'!$B$3:$B$400=$A$87) + ('MTD Pivot'!$A$3:$A$400=$A$87) &gt; 0) * (TRIM('MTD Pivot'!$C$3:$C$400)=TRIM($A97)) * ('MTD Pivot'!$D$2:$K$2=L$2) * 'MTD Pivot'!$D$3:$K$400), "")</f>
        <v/>
      </c>
      <c r="M97" s="193">
        <f>IF(SUMPRODUCT((('MTD Pivot'!$B$3:$B$400=$A$87) + ('MTD Pivot'!$A$3:$A$400=$A$87) &gt; 0) * (TRIM('MTD Pivot'!$C$3:$C$400)=TRIM($A97)) * ('MTD Pivot'!$D$2:$K$2=M$2) * 'MTD Pivot'!$D$3:$K$400)&gt;0, SUMPRODUCT((('MTD Pivot'!$B$3:$B$400=$A$87) + ('MTD Pivot'!$A$3:$A$400=$A$87) &gt; 0) * (TRIM('MTD Pivot'!$C$3:$C$400)=TRIM($A97)) * ('MTD Pivot'!$D$2:$K$2=M$2) * 'MTD Pivot'!$D$3:$K$400), "")</f>
        <v/>
      </c>
      <c r="N97" s="157">
        <f>IF(AND(ISNUMBER(K97), ISNUMBER(J97), J97&gt;0), (K97-J97)/J97, "")</f>
        <v/>
      </c>
      <c r="O97" s="193">
        <f>IF(SUMPRODUCT((('Full month Pivot'!$B$3:$B$400=$A$87) + ('Full month Pivot'!$A$3:$A$400=$A$87) &gt; 0) * (TRIM('Full month Pivot'!$C$3:$C$400)=TRIM($A97)) * ('Full month Pivot'!$D$2:$K$2=O$2) * 'Full month Pivot'!$D$3:$K$400)&gt;0, SUMPRODUCT((('Full month Pivot'!$B$3:$B$400=$A$87) + ('Full month Pivot'!$A$3:$A$400=$A$87) &gt; 0) * (TRIM('Full month Pivot'!$C$3:$C$400)=TRIM($A97)) * ('Full month Pivot'!$D$2:$K$2=O$2) * 'Full month Pivot'!$D$3:$K$400), "")</f>
        <v/>
      </c>
      <c r="P97" s="193">
        <f>IF(SUMPRODUCT((('Full month Pivot'!$B$3:$B$400=$A$87) + ('Full month Pivot'!$A$3:$A$400=$A$87) &gt; 0) * (TRIM('Full month Pivot'!$C$3:$C$400)=TRIM($A97)) * ('Full month Pivot'!$D$2:$K$2=P$2) * 'Full month Pivot'!$D$3:$K$400)&gt;0, SUMPRODUCT((('Full month Pivot'!$B$3:$B$400=$A$87) + ('Full month Pivot'!$A$3:$A$400=$A$87) &gt; 0) * (TRIM('Full month Pivot'!$C$3:$C$400)=TRIM($A97)) * ('Full month Pivot'!$D$2:$K$2=P$2) * 'Full month Pivot'!$D$3:$K$400), "")</f>
        <v/>
      </c>
      <c r="Q97" s="193">
        <f>IF(SUMPRODUCT((('Full month Pivot'!$B$3:$B$400=$A$87) + ('Full month Pivot'!$A$3:$A$400=$A$87) &gt; 0) * (TRIM('Full month Pivot'!$C$3:$C$400)=TRIM($A97)) * ('Full month Pivot'!$D$2:$K$2=Q$2) * 'Full month Pivot'!$D$3:$K$400)&gt;0, SUMPRODUCT((('Full month Pivot'!$B$3:$B$400=$A$87) + ('Full month Pivot'!$A$3:$A$400=$A$87) &gt; 0) * (TRIM('Full month Pivot'!$C$3:$C$400)=TRIM($A97)) * ('Full month Pivot'!$D$2:$K$2=Q$2) * 'Full month Pivot'!$D$3:$K$400), "")</f>
        <v/>
      </c>
      <c r="R97" s="193">
        <f>IF(SUMPRODUCT((('Full month Pivot'!$B$3:$B$400=$A$87) + ('Full month Pivot'!$A$3:$A$400=$A$87) &gt; 0) * (TRIM('Full month Pivot'!$C$3:$C$400)=TRIM($A97)) * ('Full month Pivot'!$D$2:$K$2=R$2) * 'Full month Pivot'!$D$3:$K$400)&gt;0, SUMPRODUCT((('Full month Pivot'!$B$3:$B$400=$A$87) + ('Full month Pivot'!$A$3:$A$400=$A$87) &gt; 0) * (TRIM('Full month Pivot'!$C$3:$C$400)=TRIM($A97)) * ('Full month Pivot'!$D$2:$K$2=R$2) * 'Full month Pivot'!$D$3:$K$400), "")</f>
        <v/>
      </c>
      <c r="S97" s="193">
        <f>IF(SUMPRODUCT((('Full month Pivot'!$B$3:$B$400=$A$87) + ('Full month Pivot'!$A$3:$A$400=$A$87) &gt; 0) * (TRIM('Full month Pivot'!$C$3:$C$400)=TRIM($A97)) * ('Full month Pivot'!$D$2:$K$2=S$2) * 'Full month Pivot'!$D$3:$K$400)&gt;0, SUMPRODUCT((('Full month Pivot'!$B$3:$B$400=$A$87) + ('Full month Pivot'!$A$3:$A$400=$A$87) &gt; 0) * (TRIM('Full month Pivot'!$C$3:$C$400)=TRIM($A97)) * ('Full month Pivot'!$D$2:$K$2=S$2) * 'Full month Pivot'!$D$3:$K$400), "")</f>
        <v/>
      </c>
      <c r="T97" s="193">
        <f>IF(SUMPRODUCT((('Full month Pivot'!$B$3:$B$400=$A$87) + ('Full month Pivot'!$A$3:$A$400=$A$87) &gt; 0) * (TRIM('Full month Pivot'!$C$3:$C$400)=TRIM($A97)) * ('Full month Pivot'!$D$2:$K$2=T$2) * 'Full month Pivot'!$D$3:$K$400)&gt;0, SUMPRODUCT((('Full month Pivot'!$B$3:$B$400=$A$87) + ('Full month Pivot'!$A$3:$A$400=$A$87) &gt; 0) * (TRIM('Full month Pivot'!$C$3:$C$400)=TRIM($A97)) * ('Full month Pivot'!$D$2:$K$2=T$2) * 'Full month Pivot'!$D$3:$K$400), "")</f>
        <v/>
      </c>
      <c r="U97" s="193">
        <f>IF(SUMPRODUCT((('Full month Pivot'!$B$3:$B$400=$A$87) + ('Full month Pivot'!$A$3:$A$400=$A$87) &gt; 0) * (TRIM('Full month Pivot'!$C$3:$C$400)=TRIM($A97)) * ('Full month Pivot'!$D$2:$K$2=U$2) * 'Full month Pivot'!$D$3:$K$400)&gt;0, SUMPRODUCT((('Full month Pivot'!$B$3:$B$400=$A$87) + ('Full month Pivot'!$A$3:$A$400=$A$87) &gt; 0) * (TRIM('Full month Pivot'!$C$3:$C$400)=TRIM($A97)) * ('Full month Pivot'!$D$2:$K$2=U$2) * 'Full month Pivot'!$D$3:$K$400), "")</f>
        <v/>
      </c>
      <c r="V97" s="193">
        <f>IF(SUMPRODUCT((('Full month Pivot'!$B$3:$B$400=$A$87) + ('Full month Pivot'!$A$3:$A$400=$A$87) &gt; 0) * (TRIM('Full month Pivot'!$C$3:$C$400)=TRIM($A97)) * ('Full month Pivot'!$D$2:$K$2=V$2) * 'Full month Pivot'!$D$3:$K$400)&gt;0, SUMPRODUCT((('Full month Pivot'!$B$3:$B$400=$A$87) + ('Full month Pivot'!$A$3:$A$400=$A$87) &gt; 0) * (TRIM('Full month Pivot'!$C$3:$C$400)=TRIM($A97)) * ('Full month Pivot'!$D$2:$K$2=V$2) * 'Full month Pivot'!$D$3:$K$400), "")</f>
        <v/>
      </c>
      <c r="W97" s="193">
        <f>IF(SUMPRODUCT((('Full month Pivot'!$B$3:$B$400=$A$87) + ('Full month Pivot'!$A$3:$A$400=$A$87) &gt; 0) * (TRIM('Full month Pivot'!$C$3:$C$400)=TRIM($A97)) * ('Full month Pivot'!$D$2:$K$2=W$2) * 'Full month Pivot'!$D$3:$K$400)&gt;0, SUMPRODUCT((('Full month Pivot'!$B$3:$B$400=$A$87) + ('Full month Pivot'!$A$3:$A$400=$A$87) &gt; 0) * (TRIM('Full month Pivot'!$C$3:$C$400)=TRIM($A97)) * ('Full month Pivot'!$D$2:$K$2=W$2) * 'Full month Pivot'!$D$3:$K$400), "")</f>
        <v/>
      </c>
      <c r="X97" s="193">
        <f>IF(SUMPRODUCT((('Full month Pivot'!$B$3:$B$400=$A$87) + ('Full month Pivot'!$A$3:$A$400=$A$87) &gt; 0) * (TRIM('Full month Pivot'!$C$3:$C$400)=TRIM($A97)) * ('Full month Pivot'!$D$2:$K$2=X$2) * 'Full month Pivot'!$D$3:$K$400)&gt;0, SUMPRODUCT((('Full month Pivot'!$B$3:$B$400=$A$87) + ('Full month Pivot'!$A$3:$A$400=$A$87) &gt; 0) * (TRIM('Full month Pivot'!$C$3:$C$400)=TRIM($A97)) * ('Full month Pivot'!$D$2:$K$2=X$2) * 'Full month Pivot'!$D$3:$K$400), "")</f>
        <v/>
      </c>
      <c r="Y97" s="193">
        <f>IF(SUMPRODUCT((('Full month Pivot'!$B$3:$B$400=$A$87) + ('Full month Pivot'!$A$3:$A$400=$A$87) &gt; 0) * (TRIM('Full month Pivot'!$C$3:$C$400)=TRIM($A97)) * ('Full month Pivot'!$D$2:$K$2=Y$2) * 'Full month Pivot'!$D$3:$K$400)&gt;0, SUMPRODUCT((('Full month Pivot'!$B$3:$B$400=$A$87) + ('Full month Pivot'!$A$3:$A$400=$A$87) &gt; 0) * (TRIM('Full month Pivot'!$C$3:$C$400)=TRIM($A97)) * ('Full month Pivot'!$D$2:$K$2=Y$2) * 'Full month Pivot'!$D$3:$K$400), "")</f>
        <v/>
      </c>
      <c r="Z97" s="193">
        <f>IF(SUMPRODUCT((('Full month Pivot'!$B$3:$B$400=$A$87) + ('Full month Pivot'!$A$3:$A$400=$A$87) &gt; 0) * (TRIM('Full month Pivot'!$C$3:$C$400)=TRIM($A97)) * ('Full month Pivot'!$D$2:$K$2=Z$2) * 'Full month Pivot'!$D$3:$K$400)&gt;0, SUMPRODUCT((('Full month Pivot'!$B$3:$B$400=$A$87) + ('Full month Pivot'!$A$3:$A$400=$A$87) &gt; 0) * (TRIM('Full month Pivot'!$C$3:$C$400)=TRIM($A97)) * ('Full month Pivot'!$D$2:$K$2=Z$2) * 'Full month Pivot'!$D$3:$K$400), "")</f>
        <v/>
      </c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202" t="n"/>
      <c r="B98" s="202" t="n"/>
      <c r="C98" s="202" t="n"/>
      <c r="D98" s="202" t="n"/>
      <c r="E98" s="202" t="n"/>
      <c r="F98" s="202" t="n"/>
      <c r="G98" s="202" t="n"/>
      <c r="H98" s="202" t="n"/>
      <c r="I98" s="202" t="n"/>
      <c r="J98" s="202" t="n"/>
      <c r="K98" s="202" t="n"/>
      <c r="L98" s="202" t="n"/>
      <c r="M98" s="202" t="n"/>
      <c r="N98" s="202" t="n"/>
      <c r="O98" s="202" t="n"/>
      <c r="P98" s="202" t="n"/>
      <c r="Q98" s="202" t="n"/>
      <c r="R98" s="202" t="n"/>
      <c r="S98" s="202" t="n"/>
      <c r="T98" s="202" t="n"/>
      <c r="U98" s="202" t="n"/>
      <c r="V98" s="202" t="n"/>
      <c r="W98" s="202" t="n"/>
      <c r="X98" s="202" t="n"/>
      <c r="Y98" s="202" t="n"/>
      <c r="Z98" s="202" t="n"/>
      <c r="AA98" s="202" t="n"/>
      <c r="AB98" s="140" t="n"/>
      <c r="AC98" s="140" t="n"/>
      <c r="AD98" s="140" t="n"/>
    </row>
    <row r="99" ht="15.75" customHeight="1" s="346">
      <c r="A99" s="145" t="inlineStr">
        <is>
          <t>Merchant</t>
        </is>
      </c>
      <c r="B99" s="145" t="n"/>
      <c r="C99" s="145" t="n"/>
      <c r="D99" s="145" t="n"/>
      <c r="E99" s="145" t="n"/>
      <c r="F99" s="145" t="n"/>
      <c r="G99" s="145" t="n"/>
      <c r="H99" s="145" t="n"/>
      <c r="I99" s="145" t="n"/>
      <c r="J99" s="145" t="n"/>
      <c r="K99" s="145" t="n"/>
      <c r="L99" s="145" t="n"/>
      <c r="M99" s="145" t="n"/>
      <c r="N99" s="145" t="n"/>
      <c r="O99" s="145" t="n"/>
      <c r="P99" s="145" t="n"/>
      <c r="Q99" s="145" t="n"/>
      <c r="R99" s="145" t="n"/>
      <c r="S99" s="145" t="n"/>
      <c r="T99" s="145" t="n"/>
      <c r="U99" s="145" t="n"/>
      <c r="V99" s="145" t="n"/>
      <c r="W99" s="145" t="n"/>
      <c r="X99" s="145" t="n"/>
      <c r="Y99" s="145" t="n"/>
      <c r="Z99" s="145" t="n"/>
      <c r="AA99" s="145" t="n"/>
      <c r="AB99" s="140" t="n"/>
      <c r="AC99" s="140" t="n"/>
      <c r="AD99" s="140" t="n"/>
    </row>
    <row r="100" ht="15.75" customHeight="1" s="346">
      <c r="A100" s="146" t="inlineStr">
        <is>
          <t>Page views</t>
        </is>
      </c>
      <c r="B100" s="147">
        <f>IF(SUM(B105:B109)&gt;0, SUM(B105:B109), "")</f>
        <v/>
      </c>
      <c r="C100" s="147">
        <f>IF(SUM(C105:C109)&gt;0, SUM(C105:C109), "")</f>
        <v/>
      </c>
      <c r="D100" s="147">
        <f>IF(SUM(D105:D109)&gt;0, SUM(D105:D109), "")</f>
        <v/>
      </c>
      <c r="E100" s="147">
        <f>IF(SUM(E105:E109)&gt;0, SUM(E105:E109), "")</f>
        <v/>
      </c>
      <c r="F100" s="147">
        <f>IF(SUM(F105:F109)&gt;0, SUM(F105:F109), "")</f>
        <v/>
      </c>
      <c r="G100" s="147">
        <f>IF(SUM(G105:G109)&gt;0, SUM(G105:G109), "")</f>
        <v/>
      </c>
      <c r="H100" s="147">
        <f>IF(SUM(H105:H109)&gt;0, SUM(H105:H109), "")</f>
        <v/>
      </c>
      <c r="I100" s="147">
        <f>IF(SUM(I105:I109)&gt;0, SUM(I105:I109), "")</f>
        <v/>
      </c>
      <c r="J100" s="147">
        <f>IF(SUM(J105:J109)&gt;0, SUM(J105:J109), "")</f>
        <v/>
      </c>
      <c r="K100" s="147">
        <f>IF(SUM(K105:K109)&gt;0, SUM(K105:K109), "")</f>
        <v/>
      </c>
      <c r="L100" s="147">
        <f>IF(SUM(L105:L109)&gt;0, SUM(L105:L109), "")</f>
        <v/>
      </c>
      <c r="M100" s="147">
        <f>IF(SUM(M105:M109)&gt;0, SUM(M105:M109), "")</f>
        <v/>
      </c>
      <c r="N100" s="148">
        <f>IFERROR((K100-J100)/J100, "")</f>
        <v/>
      </c>
      <c r="O100" s="147">
        <f>IF(SUM(O105:O109)&gt;0, SUM(O105:O109), "")</f>
        <v/>
      </c>
      <c r="P100" s="147">
        <f>IF(SUM(P105:P109)&gt;0, SUM(P105:P109), "")</f>
        <v/>
      </c>
      <c r="Q100" s="147">
        <f>IF(SUM(Q105:Q109)&gt;0, SUM(Q105:Q109), "")</f>
        <v/>
      </c>
      <c r="R100" s="147">
        <f>IF(SUM(R105:R109)&gt;0, SUM(R105:R109), "")</f>
        <v/>
      </c>
      <c r="S100" s="147">
        <f>IF(SUM(S105:S109)&gt;0, SUM(S105:S109), "")</f>
        <v/>
      </c>
      <c r="T100" s="147">
        <f>IF(SUM(T105:T109)&gt;0, SUM(T105:T109), "")</f>
        <v/>
      </c>
      <c r="U100" s="147">
        <f>IF(SUM(U105:U109)&gt;0, SUM(U105:U109), "")</f>
        <v/>
      </c>
      <c r="V100" s="147">
        <f>IF(SUM(V105:V109)&gt;0, SUM(V105:V109), "")</f>
        <v/>
      </c>
      <c r="W100" s="147">
        <f>IF(SUM(W105:W109)&gt;0, SUM(W105:W109), "")</f>
        <v/>
      </c>
      <c r="X100" s="147">
        <f>IF(SUM(X105:X109)&gt;0, SUM(X105:X109), "")</f>
        <v/>
      </c>
      <c r="Y100" s="147">
        <f>IF(SUM(Y105:Y109)&gt;0, SUM(Y105:Y109), "")</f>
        <v/>
      </c>
      <c r="Z100" s="147">
        <f>IF(SUM(Z105:Z109)&gt;0, SUM(Z105:Z109), "")</f>
        <v/>
      </c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150" t="inlineStr">
        <is>
          <t xml:space="preserve">  Click CTA</t>
        </is>
      </c>
      <c r="B101" s="150" t="n"/>
      <c r="C101" s="150" t="n"/>
      <c r="D101" s="150" t="n"/>
      <c r="E101" s="150" t="n"/>
      <c r="F101" s="150" t="n">
        <v>572</v>
      </c>
      <c r="G101" s="150" t="n">
        <v>623</v>
      </c>
      <c r="H101" s="150" t="n">
        <v>598</v>
      </c>
      <c r="I101" s="150" t="n">
        <v>816</v>
      </c>
      <c r="J101" s="150" t="n">
        <v>712</v>
      </c>
      <c r="K101" s="150" t="n">
        <v>754</v>
      </c>
      <c r="L101" s="150" t="n"/>
      <c r="M101" s="150" t="n"/>
      <c r="N101" s="151">
        <f>IFERROR((K101-J101)/J101, "")</f>
        <v/>
      </c>
      <c r="O101" s="150" t="n"/>
      <c r="P101" s="150" t="n"/>
      <c r="Q101" s="150" t="n"/>
      <c r="R101" s="150" t="n"/>
      <c r="S101" s="150" t="n">
        <v>647</v>
      </c>
      <c r="T101" s="150" t="n">
        <v>653</v>
      </c>
      <c r="U101" s="150" t="n">
        <v>669</v>
      </c>
      <c r="V101" s="150" t="n">
        <v>900</v>
      </c>
      <c r="W101" s="150" t="n">
        <v>732</v>
      </c>
      <c r="X101" s="150" t="n">
        <v>754</v>
      </c>
      <c r="Y101" s="150" t="n"/>
      <c r="Z101" s="150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152" t="inlineStr">
        <is>
          <t xml:space="preserve">  Net change</t>
        </is>
      </c>
      <c r="B102" s="153" t="n"/>
      <c r="C102" s="153">
        <f>IF(AND(ISNUMBER(C100), ISNUMBER(B100), B100&gt;0, C100&gt;0), C100-B100, "")</f>
        <v/>
      </c>
      <c r="D102" s="153">
        <f>IF(AND(ISNUMBER(D100), ISNUMBER(C100), C100&gt;0, D100&gt;0), D100-C100, "")</f>
        <v/>
      </c>
      <c r="E102" s="153">
        <f>IF(AND(ISNUMBER(E100), ISNUMBER(D100), D100&gt;0, E100&gt;0), E100-D100, "")</f>
        <v/>
      </c>
      <c r="F102" s="153">
        <f>IF(AND(ISNUMBER(F100), ISNUMBER(E100), E100&gt;0, F100&gt;0), F100-E100, "")</f>
        <v/>
      </c>
      <c r="G102" s="153">
        <f>IF(AND(ISNUMBER(G100), ISNUMBER(F100), F100&gt;0, G100&gt;0), G100-F100, "")</f>
        <v/>
      </c>
      <c r="H102" s="153">
        <f>IF(AND(ISNUMBER(H100), ISNUMBER(G100), G100&gt;0, H100&gt;0), H100-G100, "")</f>
        <v/>
      </c>
      <c r="I102" s="153">
        <f>IF(AND(ISNUMBER(I100), ISNUMBER(H100), H100&gt;0, I100&gt;0), I100-H100, "")</f>
        <v/>
      </c>
      <c r="J102" s="153">
        <f>IF(AND(ISNUMBER(J100), ISNUMBER(I100), I100&gt;0, J100&gt;0), J100-I100, "")</f>
        <v/>
      </c>
      <c r="K102" s="153">
        <f>IF(AND(ISNUMBER(K100), ISNUMBER(J100), J100&gt;0, K100&gt;0), K100-J100, "")</f>
        <v/>
      </c>
      <c r="L102" s="153">
        <f>IF(AND(ISNUMBER(L100), ISNUMBER(K100), K100&gt;0, L100&gt;0), L100-K100, "")</f>
        <v/>
      </c>
      <c r="M102" s="153">
        <f>IF(AND(ISNUMBER(M100), ISNUMBER(L100), L100&gt;0, M100&gt;0), M100-L100, "")</f>
        <v/>
      </c>
      <c r="N102" s="153" t="n"/>
      <c r="O102" s="153" t="n"/>
      <c r="P102" s="153">
        <f>IF(AND(ISNUMBER(P100), ISNUMBER(O100), O100&gt;0, P100&gt;0), P100-O100, "")</f>
        <v/>
      </c>
      <c r="Q102" s="153">
        <f>IF(AND(ISNUMBER(Q100), ISNUMBER(P100), P100&gt;0, Q100&gt;0), Q100-P100, "")</f>
        <v/>
      </c>
      <c r="R102" s="153">
        <f>IF(AND(ISNUMBER(R100), ISNUMBER(Q100), Q100&gt;0, R100&gt;0), R100-Q100, "")</f>
        <v/>
      </c>
      <c r="S102" s="153">
        <f>IF(AND(ISNUMBER(S100), ISNUMBER(R100), R100&gt;0, S100&gt;0), S100-R100, "")</f>
        <v/>
      </c>
      <c r="T102" s="153">
        <f>IF(AND(ISNUMBER(T100), ISNUMBER(S100), S100&gt;0, T100&gt;0), T100-S100, "")</f>
        <v/>
      </c>
      <c r="U102" s="153">
        <f>IF(AND(ISNUMBER(U100), ISNUMBER(T100), T100&gt;0, U100&gt;0), U100-T100, "")</f>
        <v/>
      </c>
      <c r="V102" s="153">
        <f>IF(AND(ISNUMBER(V100), ISNUMBER(U100), U100&gt;0, V100&gt;0), V100-U100, "")</f>
        <v/>
      </c>
      <c r="W102" s="153">
        <f>IF(AND(ISNUMBER(W100), ISNUMBER(V100), V100&gt;0, W100&gt;0), W100-V100, "")</f>
        <v/>
      </c>
      <c r="X102" s="153">
        <f>IF(AND(ISNUMBER(X100), ISNUMBER(W100), W100&gt;0, X100&gt;0), X100-W100, "")</f>
        <v/>
      </c>
      <c r="Y102" s="153">
        <f>IF(AND(ISNUMBER(Y100), ISNUMBER(X100), X100&gt;0, Y100&gt;0), Y100-X100, "")</f>
        <v/>
      </c>
      <c r="Z102" s="153">
        <f>IF(AND(ISNUMBER(Z100), ISNUMBER(Y100), Y100&gt;0, Z100&gt;0), Z100-Y100, "")</f>
        <v/>
      </c>
      <c r="AA102" s="153" t="n"/>
      <c r="AB102" s="140" t="n"/>
      <c r="AC102" s="140" t="n"/>
      <c r="AD102" s="140" t="n"/>
    </row>
    <row r="103" ht="15.75" customHeight="1" s="346">
      <c r="A103" s="152" t="inlineStr">
        <is>
          <t xml:space="preserve">  % Growth rate</t>
        </is>
      </c>
      <c r="B103" s="203" t="n"/>
      <c r="C103" s="203">
        <f>IF(AND(ISNUMBER(C100), ISNUMBER(B100), B100&gt;0, C100&gt;0), (C100-B100)/B100, "")</f>
        <v/>
      </c>
      <c r="D103" s="203">
        <f>IF(AND(ISNUMBER(D100), ISNUMBER(C100), C100&gt;0, D100&gt;0), (D100-C100)/C100, "")</f>
        <v/>
      </c>
      <c r="E103" s="203">
        <f>IF(AND(ISNUMBER(E100), ISNUMBER(D100), D100&gt;0, E100&gt;0), (E100-D100)/D100, "")</f>
        <v/>
      </c>
      <c r="F103" s="203">
        <f>IF(AND(ISNUMBER(F100), ISNUMBER(E100), E100&gt;0, F100&gt;0), (F100-E100)/E100, "")</f>
        <v/>
      </c>
      <c r="G103" s="203">
        <f>IF(AND(ISNUMBER(G100), ISNUMBER(F100), F100&gt;0, G100&gt;0), (G100-F100)/F100, "")</f>
        <v/>
      </c>
      <c r="H103" s="203">
        <f>IF(AND(ISNUMBER(H100), ISNUMBER(G100), G100&gt;0, H100&gt;0), (H100-G100)/G100, "")</f>
        <v/>
      </c>
      <c r="I103" s="203">
        <f>IF(AND(ISNUMBER(I100), ISNUMBER(H100), H100&gt;0, I100&gt;0), (I100-H100)/H100, "")</f>
        <v/>
      </c>
      <c r="J103" s="203">
        <f>IF(AND(ISNUMBER(J100), ISNUMBER(I100), I100&gt;0, J100&gt;0), (J100-I100)/I100, "")</f>
        <v/>
      </c>
      <c r="K103" s="203">
        <f>IF(AND(ISNUMBER(K100), ISNUMBER(J100), J100&gt;0, K100&gt;0), (K100-J100)/J100, "")</f>
        <v/>
      </c>
      <c r="L103" s="203">
        <f>IF(AND(ISNUMBER(L100), ISNUMBER(K100), K100&gt;0, L100&gt;0), (L100-K100)/K100, "")</f>
        <v/>
      </c>
      <c r="M103" s="203">
        <f>IF(AND(ISNUMBER(M100), ISNUMBER(L100), L100&gt;0, M100&gt;0), (M100-L100)/L100, "")</f>
        <v/>
      </c>
      <c r="N103" s="203" t="n"/>
      <c r="O103" s="203" t="n"/>
      <c r="P103" s="203">
        <f>IF(AND(ISNUMBER(P100), ISNUMBER(O100), O100&gt;0, P100&gt;0), (P100-O100)/O100, "")</f>
        <v/>
      </c>
      <c r="Q103" s="203">
        <f>IF(AND(ISNUMBER(Q100), ISNUMBER(P100), P100&gt;0, Q100&gt;0), (Q100-P100)/P100, "")</f>
        <v/>
      </c>
      <c r="R103" s="203">
        <f>IF(AND(ISNUMBER(R100), ISNUMBER(Q100), Q100&gt;0, R100&gt;0), (R100-Q100)/Q100, "")</f>
        <v/>
      </c>
      <c r="S103" s="203">
        <f>IF(AND(ISNUMBER(S100), ISNUMBER(R100), R100&gt;0, S100&gt;0), (S100-R100)/R100, "")</f>
        <v/>
      </c>
      <c r="T103" s="203">
        <f>IF(AND(ISNUMBER(T100), ISNUMBER(S100), S100&gt;0, T100&gt;0), (T100-S100)/S100, "")</f>
        <v/>
      </c>
      <c r="U103" s="203">
        <f>IF(AND(ISNUMBER(U100), ISNUMBER(T100), T100&gt;0, U100&gt;0), (U100-T100)/T100, "")</f>
        <v/>
      </c>
      <c r="V103" s="203">
        <f>IF(AND(ISNUMBER(V100), ISNUMBER(U100), U100&gt;0, V100&gt;0), (V100-U100)/U100, "")</f>
        <v/>
      </c>
      <c r="W103" s="203">
        <f>IF(AND(ISNUMBER(W100), ISNUMBER(V100), V100&gt;0, W100&gt;0), (W100-V100)/V100, "")</f>
        <v/>
      </c>
      <c r="X103" s="203">
        <f>IF(AND(ISNUMBER(X100), ISNUMBER(W100), W100&gt;0, X100&gt;0), (X100-W100)/W100, "")</f>
        <v/>
      </c>
      <c r="Y103" s="203">
        <f>IF(AND(ISNUMBER(Y100), ISNUMBER(X100), X100&gt;0, Y100&gt;0), (Y100-X100)/X100, "")</f>
        <v/>
      </c>
      <c r="Z103" s="203">
        <f>IF(AND(ISNUMBER(Z100), ISNUMBER(Y100), Y100&gt;0, Z100&gt;0), (Z100-Y100)/Y100, "")</f>
        <v/>
      </c>
      <c r="AA103" s="203" t="n"/>
      <c r="AB103" s="140" t="n"/>
      <c r="AC103" s="140" t="n"/>
      <c r="AD103" s="140" t="n"/>
    </row>
    <row r="104" ht="15.75" customHeight="1" s="346">
      <c r="A104" s="202" t="inlineStr">
        <is>
          <t>Tỷ trọng trong tổng traffic</t>
        </is>
      </c>
      <c r="B104" s="156">
        <f t="array" ref="B104">IF(AND(ISNUMBER(B100), B100&gt;0), B100/INDEX('MTD Pivot'!$D$3:$K$400, MATCH("Grand Total", 'MTD Pivot'!$A$3:$A$400, 0), MATCH(B$2, 'MTD Pivot'!$D$2:$K$2, 0)), "")</f>
        <v/>
      </c>
      <c r="C104" s="156">
        <f t="array" ref="C104">IF(AND(ISNUMBER(C100), C100&gt;0), C100/INDEX('MTD Pivot'!$D$3:$K$400, MATCH("Grand Total", 'MTD Pivot'!$A$3:$A$400, 0), MATCH(C$2, 'MTD Pivot'!$D$2:$K$2, 0)), "")</f>
        <v/>
      </c>
      <c r="D104" s="156">
        <f t="array" ref="D104">IF(AND(ISNUMBER(D100), D100&gt;0), D100/INDEX('MTD Pivot'!$D$3:$K$400, MATCH("Grand Total", 'MTD Pivot'!$A$3:$A$400, 0), MATCH(D$2, 'MTD Pivot'!$D$2:$K$2, 0)), "")</f>
        <v/>
      </c>
      <c r="E104" s="156">
        <f t="array" ref="E104">IF(AND(ISNUMBER(E100), E100&gt;0), E100/INDEX('MTD Pivot'!$D$3:$K$400, MATCH("Grand Total", 'MTD Pivot'!$A$3:$A$400, 0), MATCH(E$2, 'MTD Pivot'!$D$2:$K$2, 0)), "")</f>
        <v/>
      </c>
      <c r="F104" s="156">
        <f t="array" ref="F104">IF(AND(ISNUMBER(F100), F100&gt;0), F100/INDEX('MTD Pivot'!$D$3:$K$400, MATCH("Grand Total", 'MTD Pivot'!$A$3:$A$400, 0), MATCH(F$2, 'MTD Pivot'!$D$2:$K$2, 0)), "")</f>
        <v/>
      </c>
      <c r="G104" s="156">
        <f t="array" ref="G104">IF(AND(ISNUMBER(G100), G100&gt;0), G100/INDEX('MTD Pivot'!$D$3:$K$400, MATCH("Grand Total", 'MTD Pivot'!$A$3:$A$400, 0), MATCH(G$2, 'MTD Pivot'!$D$2:$K$2, 0)), "")</f>
        <v/>
      </c>
      <c r="H104" s="156">
        <f t="array" ref="H104">IF(AND(ISNUMBER(H100), H100&gt;0), H100/INDEX('MTD Pivot'!$D$3:$K$400, MATCH("Grand Total", 'MTD Pivot'!$A$3:$A$400, 0), MATCH(H$2, 'MTD Pivot'!$D$2:$K$2, 0)), "")</f>
        <v/>
      </c>
      <c r="I104" s="156">
        <f t="array" ref="I104">IF(AND(ISNUMBER(I100), I100&gt;0), I100/INDEX('MTD Pivot'!$D$3:$K$400, MATCH("Grand Total", 'MTD Pivot'!$A$3:$A$400, 0), MATCH(I$2, 'MTD Pivot'!$D$2:$K$2, 0)), "")</f>
        <v/>
      </c>
      <c r="J104" s="156">
        <f t="array" ref="J104">IF(AND(ISNUMBER(J100), J100&gt;0), J100/INDEX('MTD Pivot'!$D$3:$K$400, MATCH("Grand Total", 'MTD Pivot'!$A$3:$A$400, 0), MATCH(J$2, 'MTD Pivot'!$D$2:$K$2, 0)), "")</f>
        <v/>
      </c>
      <c r="K104" s="156">
        <f t="array" ref="K104">IF(AND(ISNUMBER(K100), K100&gt;0), K100/INDEX('MTD Pivot'!$D$3:$K$400, MATCH("Grand Total", 'MTD Pivot'!$A$3:$A$400, 0), MATCH(K$2, 'MTD Pivot'!$D$2:$K$2, 0)), "")</f>
        <v/>
      </c>
      <c r="L104" s="156">
        <f t="array" ref="L104">IF(AND(ISNUMBER(L100), L100&gt;0), L100/INDEX('MTD Pivot'!$D$3:$K$400, MATCH("Grand Total", 'MTD Pivot'!$A$3:$A$400, 0), MATCH(L$2, 'MTD Pivot'!$D$2:$K$2, 0)), "")</f>
        <v/>
      </c>
      <c r="M104" s="156">
        <f t="array" ref="M104">IF(AND(ISNUMBER(M100), M100&gt;0), M100/INDEX('MTD Pivot'!$D$3:$K$400, MATCH("Grand Total", 'MTD Pivot'!$A$3:$A$400, 0), MATCH(M$2, 'MTD Pivot'!$D$2:$K$2, 0)), "")</f>
        <v/>
      </c>
      <c r="N104" s="157">
        <f>IF(AND(ISNUMBER(K104), ISNUMBER(J104)), K104-J104, "")</f>
        <v/>
      </c>
      <c r="O104" s="156">
        <f t="array" ref="O104">IF(AND(ISNUMBER(O100), O100&gt;0), O100/INDEX('Full month Pivot'!$D$3:$K$400, MATCH("Grand Total", 'Full month Pivot'!$A$3:$A$400, 0), MATCH(O$2, 'Full month Pivot'!$D$2:$K$2, 0)), "")</f>
        <v/>
      </c>
      <c r="P104" s="156">
        <f t="array" ref="P104">IF(AND(ISNUMBER(P100), P100&gt;0), P100/INDEX('Full month Pivot'!$D$3:$K$400, MATCH("Grand Total", 'Full month Pivot'!$A$3:$A$400, 0), MATCH(P$2, 'Full month Pivot'!$D$2:$K$2, 0)), "")</f>
        <v/>
      </c>
      <c r="Q104" s="156">
        <f t="array" ref="Q104">IF(AND(ISNUMBER(Q100), Q100&gt;0), Q100/INDEX('Full month Pivot'!$D$3:$K$400, MATCH("Grand Total", 'Full month Pivot'!$A$3:$A$400, 0), MATCH(Q$2, 'Full month Pivot'!$D$2:$K$2, 0)), "")</f>
        <v/>
      </c>
      <c r="R104" s="156">
        <f t="array" ref="R104">IF(AND(ISNUMBER(R100), R100&gt;0), R100/INDEX('Full month Pivot'!$D$3:$K$400, MATCH("Grand Total", 'Full month Pivot'!$A$3:$A$400, 0), MATCH(R$2, 'Full month Pivot'!$D$2:$K$2, 0)), "")</f>
        <v/>
      </c>
      <c r="S104" s="156">
        <f t="array" ref="S104">IF(AND(ISNUMBER(S100), S100&gt;0), S100/INDEX('Full month Pivot'!$D$3:$K$400, MATCH("Grand Total", 'Full month Pivot'!$A$3:$A$400, 0), MATCH(S$2, 'Full month Pivot'!$D$2:$K$2, 0)), "")</f>
        <v/>
      </c>
      <c r="T104" s="156">
        <f t="array" ref="T104">IF(AND(ISNUMBER(T100), T100&gt;0), T100/INDEX('Full month Pivot'!$D$3:$K$400, MATCH("Grand Total", 'Full month Pivot'!$A$3:$A$400, 0), MATCH(T$2, 'Full month Pivot'!$D$2:$K$2, 0)), "")</f>
        <v/>
      </c>
      <c r="U104" s="156">
        <f t="array" ref="U104">IF(AND(ISNUMBER(U100), U100&gt;0), U100/INDEX('Full month Pivot'!$D$3:$K$400, MATCH("Grand Total", 'Full month Pivot'!$A$3:$A$400, 0), MATCH(U$2, 'Full month Pivot'!$D$2:$K$2, 0)), "")</f>
        <v/>
      </c>
      <c r="V104" s="156">
        <f t="array" ref="V104">IF(AND(ISNUMBER(V100), V100&gt;0), V100/INDEX('Full month Pivot'!$D$3:$K$400, MATCH("Grand Total", 'Full month Pivot'!$A$3:$A$400, 0), MATCH(V$2, 'Full month Pivot'!$D$2:$K$2, 0)), "")</f>
        <v/>
      </c>
      <c r="W104" s="156">
        <f t="array" ref="W104">IF(AND(ISNUMBER(W100), W100&gt;0), W100/INDEX('Full month Pivot'!$D$3:$K$400, MATCH("Grand Total", 'Full month Pivot'!$A$3:$A$400, 0), MATCH(W$2, 'Full month Pivot'!$D$2:$K$2, 0)), "")</f>
        <v/>
      </c>
      <c r="X104" s="156">
        <f t="array" ref="X104">IF(AND(ISNUMBER(X100), X100&gt;0), X100/INDEX('Full month Pivot'!$D$3:$K$400, MATCH("Grand Total", 'Full month Pivot'!$A$3:$A$400, 0), MATCH(X$2, 'Full month Pivot'!$D$2:$K$2, 0)), "")</f>
        <v/>
      </c>
      <c r="Y104" s="156">
        <f t="array" ref="Y104">IF(AND(ISNUMBER(Y100), Y100&gt;0), Y100/INDEX('Full month Pivot'!$D$3:$K$400, MATCH("Grand Total", 'Full month Pivot'!$A$3:$A$400, 0), MATCH(Y$2, 'Full month Pivot'!$D$2:$K$2, 0)), "")</f>
        <v/>
      </c>
      <c r="Z104" s="156">
        <f t="array" ref="Z104">IF(AND(ISNUMBER(Z100), Z100&gt;0), Z100/INDEX('Full month Pivot'!$D$3:$K$400, MATCH("Grand Total", 'Full month Pivot'!$A$3:$A$400, 0), MATCH(Z$2, 'Full month Pivot'!$D$2:$K$2, 0)), "")</f>
        <v/>
      </c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202" t="inlineStr">
        <is>
          <t xml:space="preserve">  Organic</t>
        </is>
      </c>
      <c r="B105" s="193">
        <f>IF(SUMPRODUCT((('MTD Pivot'!$B$3:$B$400=$A$99) + ('MTD Pivot'!$A$3:$A$400=$A$99) &gt; 0) * (TRIM('MTD Pivot'!$C$3:$C$400)=TRIM($A105)) * ('MTD Pivot'!$D$2:$K$2=B$2) * 'MTD Pivot'!$D$3:$K$400)&gt;0, SUMPRODUCT((('MTD Pivot'!$B$3:$B$400=$A$99) + ('MTD Pivot'!$A$3:$A$400=$A$99) &gt; 0) * (TRIM('MTD Pivot'!$C$3:$C$400)=TRIM($A105)) * ('MTD Pivot'!$D$2:$K$2=B$2) * 'MTD Pivot'!$D$3:$K$400), "")</f>
        <v/>
      </c>
      <c r="C105" s="193">
        <f>IF(SUMPRODUCT((('MTD Pivot'!$B$3:$B$400=$A$99) + ('MTD Pivot'!$A$3:$A$400=$A$99) &gt; 0) * (TRIM('MTD Pivot'!$C$3:$C$400)=TRIM($A105)) * ('MTD Pivot'!$D$2:$K$2=C$2) * 'MTD Pivot'!$D$3:$K$400)&gt;0, SUMPRODUCT((('MTD Pivot'!$B$3:$B$400=$A$99) + ('MTD Pivot'!$A$3:$A$400=$A$99) &gt; 0) * (TRIM('MTD Pivot'!$C$3:$C$400)=TRIM($A105)) * ('MTD Pivot'!$D$2:$K$2=C$2) * 'MTD Pivot'!$D$3:$K$400), "")</f>
        <v/>
      </c>
      <c r="D105" s="193">
        <f>IF(SUMPRODUCT((('MTD Pivot'!$B$3:$B$400=$A$99) + ('MTD Pivot'!$A$3:$A$400=$A$99) &gt; 0) * (TRIM('MTD Pivot'!$C$3:$C$400)=TRIM($A105)) * ('MTD Pivot'!$D$2:$K$2=D$2) * 'MTD Pivot'!$D$3:$K$400)&gt;0, SUMPRODUCT((('MTD Pivot'!$B$3:$B$400=$A$99) + ('MTD Pivot'!$A$3:$A$400=$A$99) &gt; 0) * (TRIM('MTD Pivot'!$C$3:$C$400)=TRIM($A105)) * ('MTD Pivot'!$D$2:$K$2=D$2) * 'MTD Pivot'!$D$3:$K$400), "")</f>
        <v/>
      </c>
      <c r="E105" s="193">
        <f>IF(SUMPRODUCT((('MTD Pivot'!$B$3:$B$400=$A$99) + ('MTD Pivot'!$A$3:$A$400=$A$99) &gt; 0) * (TRIM('MTD Pivot'!$C$3:$C$400)=TRIM($A105)) * ('MTD Pivot'!$D$2:$K$2=E$2) * 'MTD Pivot'!$D$3:$K$400)&gt;0, SUMPRODUCT((('MTD Pivot'!$B$3:$B$400=$A$99) + ('MTD Pivot'!$A$3:$A$400=$A$99) &gt; 0) * (TRIM('MTD Pivot'!$C$3:$C$400)=TRIM($A105)) * ('MTD Pivot'!$D$2:$K$2=E$2) * 'MTD Pivot'!$D$3:$K$400), "")</f>
        <v/>
      </c>
      <c r="F105" s="193">
        <f>IF(SUMPRODUCT((('MTD Pivot'!$B$3:$B$400=$A$99) + ('MTD Pivot'!$A$3:$A$400=$A$99) &gt; 0) * (TRIM('MTD Pivot'!$C$3:$C$400)=TRIM($A105)) * ('MTD Pivot'!$D$2:$K$2=F$2) * 'MTD Pivot'!$D$3:$K$400)&gt;0, SUMPRODUCT((('MTD Pivot'!$B$3:$B$400=$A$99) + ('MTD Pivot'!$A$3:$A$400=$A$99) &gt; 0) * (TRIM('MTD Pivot'!$C$3:$C$400)=TRIM($A105)) * ('MTD Pivot'!$D$2:$K$2=F$2) * 'MTD Pivot'!$D$3:$K$400), "")</f>
        <v/>
      </c>
      <c r="G105" s="193">
        <f>IF(SUMPRODUCT((('MTD Pivot'!$B$3:$B$400=$A$99) + ('MTD Pivot'!$A$3:$A$400=$A$99) &gt; 0) * (TRIM('MTD Pivot'!$C$3:$C$400)=TRIM($A105)) * ('MTD Pivot'!$D$2:$K$2=G$2) * 'MTD Pivot'!$D$3:$K$400)&gt;0, SUMPRODUCT((('MTD Pivot'!$B$3:$B$400=$A$99) + ('MTD Pivot'!$A$3:$A$400=$A$99) &gt; 0) * (TRIM('MTD Pivot'!$C$3:$C$400)=TRIM($A105)) * ('MTD Pivot'!$D$2:$K$2=G$2) * 'MTD Pivot'!$D$3:$K$400), "")</f>
        <v/>
      </c>
      <c r="H105" s="193">
        <f>IF(SUMPRODUCT((('MTD Pivot'!$B$3:$B$400=$A$99) + ('MTD Pivot'!$A$3:$A$400=$A$99) &gt; 0) * (TRIM('MTD Pivot'!$C$3:$C$400)=TRIM($A105)) * ('MTD Pivot'!$D$2:$K$2=H$2) * 'MTD Pivot'!$D$3:$K$400)&gt;0, SUMPRODUCT((('MTD Pivot'!$B$3:$B$400=$A$99) + ('MTD Pivot'!$A$3:$A$400=$A$99) &gt; 0) * (TRIM('MTD Pivot'!$C$3:$C$400)=TRIM($A105)) * ('MTD Pivot'!$D$2:$K$2=H$2) * 'MTD Pivot'!$D$3:$K$400), "")</f>
        <v/>
      </c>
      <c r="I105" s="193">
        <f>IF(SUMPRODUCT((('MTD Pivot'!$B$3:$B$400=$A$99) + ('MTD Pivot'!$A$3:$A$400=$A$99) &gt; 0) * (TRIM('MTD Pivot'!$C$3:$C$400)=TRIM($A105)) * ('MTD Pivot'!$D$2:$K$2=I$2) * 'MTD Pivot'!$D$3:$K$400)&gt;0, SUMPRODUCT((('MTD Pivot'!$B$3:$B$400=$A$99) + ('MTD Pivot'!$A$3:$A$400=$A$99) &gt; 0) * (TRIM('MTD Pivot'!$C$3:$C$400)=TRIM($A105)) * ('MTD Pivot'!$D$2:$K$2=I$2) * 'MTD Pivot'!$D$3:$K$400), "")</f>
        <v/>
      </c>
      <c r="J105" s="193">
        <f>IF(SUMPRODUCT((('MTD Pivot'!$B$3:$B$400=$A$99) + ('MTD Pivot'!$A$3:$A$400=$A$99) &gt; 0) * (TRIM('MTD Pivot'!$C$3:$C$400)=TRIM($A105)) * ('MTD Pivot'!$D$2:$K$2=J$2) * 'MTD Pivot'!$D$3:$K$400)&gt;0, SUMPRODUCT((('MTD Pivot'!$B$3:$B$400=$A$99) + ('MTD Pivot'!$A$3:$A$400=$A$99) &gt; 0) * (TRIM('MTD Pivot'!$C$3:$C$400)=TRIM($A105)) * ('MTD Pivot'!$D$2:$K$2=J$2) * 'MTD Pivot'!$D$3:$K$400), "")</f>
        <v/>
      </c>
      <c r="K105" s="193">
        <f>IF(SUMPRODUCT((('MTD Pivot'!$B$3:$B$400=$A$99) + ('MTD Pivot'!$A$3:$A$400=$A$99) &gt; 0) * (TRIM('MTD Pivot'!$C$3:$C$400)=TRIM($A105)) * ('MTD Pivot'!$D$2:$K$2=K$2) * 'MTD Pivot'!$D$3:$K$400)&gt;0, SUMPRODUCT((('MTD Pivot'!$B$3:$B$400=$A$99) + ('MTD Pivot'!$A$3:$A$400=$A$99) &gt; 0) * (TRIM('MTD Pivot'!$C$3:$C$400)=TRIM($A105)) * ('MTD Pivot'!$D$2:$K$2=K$2) * 'MTD Pivot'!$D$3:$K$400), "")</f>
        <v/>
      </c>
      <c r="L105" s="193">
        <f>IF(SUMPRODUCT((('MTD Pivot'!$B$3:$B$400=$A$99) + ('MTD Pivot'!$A$3:$A$400=$A$99) &gt; 0) * (TRIM('MTD Pivot'!$C$3:$C$400)=TRIM($A105)) * ('MTD Pivot'!$D$2:$K$2=L$2) * 'MTD Pivot'!$D$3:$K$400)&gt;0, SUMPRODUCT((('MTD Pivot'!$B$3:$B$400=$A$99) + ('MTD Pivot'!$A$3:$A$400=$A$99) &gt; 0) * (TRIM('MTD Pivot'!$C$3:$C$400)=TRIM($A105)) * ('MTD Pivot'!$D$2:$K$2=L$2) * 'MTD Pivot'!$D$3:$K$400), "")</f>
        <v/>
      </c>
      <c r="M105" s="193">
        <f>IF(SUMPRODUCT((('MTD Pivot'!$B$3:$B$400=$A$99) + ('MTD Pivot'!$A$3:$A$400=$A$99) &gt; 0) * (TRIM('MTD Pivot'!$C$3:$C$400)=TRIM($A105)) * ('MTD Pivot'!$D$2:$K$2=M$2) * 'MTD Pivot'!$D$3:$K$400)&gt;0, SUMPRODUCT((('MTD Pivot'!$B$3:$B$400=$A$99) + ('MTD Pivot'!$A$3:$A$400=$A$99) &gt; 0) * (TRIM('MTD Pivot'!$C$3:$C$400)=TRIM($A105)) * ('MTD Pivot'!$D$2:$K$2=M$2) * 'MTD Pivot'!$D$3:$K$400), "")</f>
        <v/>
      </c>
      <c r="N105" s="157">
        <f>IF(AND(ISNUMBER(K105), ISNUMBER(J105), J105&gt;0), (K105-J105)/J105, "")</f>
        <v/>
      </c>
      <c r="O105" s="193">
        <f>IF(SUMPRODUCT((('Full month Pivot'!$B$3:$B$400=$A$99) + ('Full month Pivot'!$A$3:$A$400=$A$99) &gt; 0) * (TRIM('Full month Pivot'!$C$3:$C$400)=TRIM($A105)) * ('Full month Pivot'!$D$2:$K$2=O$2) * 'Full month Pivot'!$D$3:$K$400)&gt;0, SUMPRODUCT((('Full month Pivot'!$B$3:$B$400=$A$99) + ('Full month Pivot'!$A$3:$A$400=$A$99) &gt; 0) * (TRIM('Full month Pivot'!$C$3:$C$400)=TRIM($A105)) * ('Full month Pivot'!$D$2:$K$2=O$2) * 'Full month Pivot'!$D$3:$K$400), "")</f>
        <v/>
      </c>
      <c r="P105" s="193">
        <f>IF(SUMPRODUCT((('Full month Pivot'!$B$3:$B$400=$A$99) + ('Full month Pivot'!$A$3:$A$400=$A$99) &gt; 0) * (TRIM('Full month Pivot'!$C$3:$C$400)=TRIM($A105)) * ('Full month Pivot'!$D$2:$K$2=P$2) * 'Full month Pivot'!$D$3:$K$400)&gt;0, SUMPRODUCT((('Full month Pivot'!$B$3:$B$400=$A$99) + ('Full month Pivot'!$A$3:$A$400=$A$99) &gt; 0) * (TRIM('Full month Pivot'!$C$3:$C$400)=TRIM($A105)) * ('Full month Pivot'!$D$2:$K$2=P$2) * 'Full month Pivot'!$D$3:$K$400), "")</f>
        <v/>
      </c>
      <c r="Q105" s="193">
        <f>IF(SUMPRODUCT((('Full month Pivot'!$B$3:$B$400=$A$99) + ('Full month Pivot'!$A$3:$A$400=$A$99) &gt; 0) * (TRIM('Full month Pivot'!$C$3:$C$400)=TRIM($A105)) * ('Full month Pivot'!$D$2:$K$2=Q$2) * 'Full month Pivot'!$D$3:$K$400)&gt;0, SUMPRODUCT((('Full month Pivot'!$B$3:$B$400=$A$99) + ('Full month Pivot'!$A$3:$A$400=$A$99) &gt; 0) * (TRIM('Full month Pivot'!$C$3:$C$400)=TRIM($A105)) * ('Full month Pivot'!$D$2:$K$2=Q$2) * 'Full month Pivot'!$D$3:$K$400), "")</f>
        <v/>
      </c>
      <c r="R105" s="193">
        <f>IF(SUMPRODUCT((('Full month Pivot'!$B$3:$B$400=$A$99) + ('Full month Pivot'!$A$3:$A$400=$A$99) &gt; 0) * (TRIM('Full month Pivot'!$C$3:$C$400)=TRIM($A105)) * ('Full month Pivot'!$D$2:$K$2=R$2) * 'Full month Pivot'!$D$3:$K$400)&gt;0, SUMPRODUCT((('Full month Pivot'!$B$3:$B$400=$A$99) + ('Full month Pivot'!$A$3:$A$400=$A$99) &gt; 0) * (TRIM('Full month Pivot'!$C$3:$C$400)=TRIM($A105)) * ('Full month Pivot'!$D$2:$K$2=R$2) * 'Full month Pivot'!$D$3:$K$400), "")</f>
        <v/>
      </c>
      <c r="S105" s="193">
        <f>IF(SUMPRODUCT((('Full month Pivot'!$B$3:$B$400=$A$99) + ('Full month Pivot'!$A$3:$A$400=$A$99) &gt; 0) * (TRIM('Full month Pivot'!$C$3:$C$400)=TRIM($A105)) * ('Full month Pivot'!$D$2:$K$2=S$2) * 'Full month Pivot'!$D$3:$K$400)&gt;0, SUMPRODUCT((('Full month Pivot'!$B$3:$B$400=$A$99) + ('Full month Pivot'!$A$3:$A$400=$A$99) &gt; 0) * (TRIM('Full month Pivot'!$C$3:$C$400)=TRIM($A105)) * ('Full month Pivot'!$D$2:$K$2=S$2) * 'Full month Pivot'!$D$3:$K$400), "")</f>
        <v/>
      </c>
      <c r="T105" s="193">
        <f>IF(SUMPRODUCT((('Full month Pivot'!$B$3:$B$400=$A$99) + ('Full month Pivot'!$A$3:$A$400=$A$99) &gt; 0) * (TRIM('Full month Pivot'!$C$3:$C$400)=TRIM($A105)) * ('Full month Pivot'!$D$2:$K$2=T$2) * 'Full month Pivot'!$D$3:$K$400)&gt;0, SUMPRODUCT((('Full month Pivot'!$B$3:$B$400=$A$99) + ('Full month Pivot'!$A$3:$A$400=$A$99) &gt; 0) * (TRIM('Full month Pivot'!$C$3:$C$400)=TRIM($A105)) * ('Full month Pivot'!$D$2:$K$2=T$2) * 'Full month Pivot'!$D$3:$K$400), "")</f>
        <v/>
      </c>
      <c r="U105" s="193">
        <f>IF(SUMPRODUCT((('Full month Pivot'!$B$3:$B$400=$A$99) + ('Full month Pivot'!$A$3:$A$400=$A$99) &gt; 0) * (TRIM('Full month Pivot'!$C$3:$C$400)=TRIM($A105)) * ('Full month Pivot'!$D$2:$K$2=U$2) * 'Full month Pivot'!$D$3:$K$400)&gt;0, SUMPRODUCT((('Full month Pivot'!$B$3:$B$400=$A$99) + ('Full month Pivot'!$A$3:$A$400=$A$99) &gt; 0) * (TRIM('Full month Pivot'!$C$3:$C$400)=TRIM($A105)) * ('Full month Pivot'!$D$2:$K$2=U$2) * 'Full month Pivot'!$D$3:$K$400), "")</f>
        <v/>
      </c>
      <c r="V105" s="193">
        <f>IF(SUMPRODUCT((('Full month Pivot'!$B$3:$B$400=$A$99) + ('Full month Pivot'!$A$3:$A$400=$A$99) &gt; 0) * (TRIM('Full month Pivot'!$C$3:$C$400)=TRIM($A105)) * ('Full month Pivot'!$D$2:$K$2=V$2) * 'Full month Pivot'!$D$3:$K$400)&gt;0, SUMPRODUCT((('Full month Pivot'!$B$3:$B$400=$A$99) + ('Full month Pivot'!$A$3:$A$400=$A$99) &gt; 0) * (TRIM('Full month Pivot'!$C$3:$C$400)=TRIM($A105)) * ('Full month Pivot'!$D$2:$K$2=V$2) * 'Full month Pivot'!$D$3:$K$400), "")</f>
        <v/>
      </c>
      <c r="W105" s="193">
        <f>IF(SUMPRODUCT((('Full month Pivot'!$B$3:$B$400=$A$99) + ('Full month Pivot'!$A$3:$A$400=$A$99) &gt; 0) * (TRIM('Full month Pivot'!$C$3:$C$400)=TRIM($A105)) * ('Full month Pivot'!$D$2:$K$2=W$2) * 'Full month Pivot'!$D$3:$K$400)&gt;0, SUMPRODUCT((('Full month Pivot'!$B$3:$B$400=$A$99) + ('Full month Pivot'!$A$3:$A$400=$A$99) &gt; 0) * (TRIM('Full month Pivot'!$C$3:$C$400)=TRIM($A105)) * ('Full month Pivot'!$D$2:$K$2=W$2) * 'Full month Pivot'!$D$3:$K$400), "")</f>
        <v/>
      </c>
      <c r="X105" s="193">
        <f>IF(SUMPRODUCT((('Full month Pivot'!$B$3:$B$400=$A$99) + ('Full month Pivot'!$A$3:$A$400=$A$99) &gt; 0) * (TRIM('Full month Pivot'!$C$3:$C$400)=TRIM($A105)) * ('Full month Pivot'!$D$2:$K$2=X$2) * 'Full month Pivot'!$D$3:$K$400)&gt;0, SUMPRODUCT((('Full month Pivot'!$B$3:$B$400=$A$99) + ('Full month Pivot'!$A$3:$A$400=$A$99) &gt; 0) * (TRIM('Full month Pivot'!$C$3:$C$400)=TRIM($A105)) * ('Full month Pivot'!$D$2:$K$2=X$2) * 'Full month Pivot'!$D$3:$K$400), "")</f>
        <v/>
      </c>
      <c r="Y105" s="193">
        <f>IF(SUMPRODUCT((('Full month Pivot'!$B$3:$B$400=$A$99) + ('Full month Pivot'!$A$3:$A$400=$A$99) &gt; 0) * (TRIM('Full month Pivot'!$C$3:$C$400)=TRIM($A105)) * ('Full month Pivot'!$D$2:$K$2=Y$2) * 'Full month Pivot'!$D$3:$K$400)&gt;0, SUMPRODUCT((('Full month Pivot'!$B$3:$B$400=$A$99) + ('Full month Pivot'!$A$3:$A$400=$A$99) &gt; 0) * (TRIM('Full month Pivot'!$C$3:$C$400)=TRIM($A105)) * ('Full month Pivot'!$D$2:$K$2=Y$2) * 'Full month Pivot'!$D$3:$K$400), "")</f>
        <v/>
      </c>
      <c r="Z105" s="193">
        <f>IF(SUMPRODUCT((('Full month Pivot'!$B$3:$B$400=$A$99) + ('Full month Pivot'!$A$3:$A$400=$A$99) &gt; 0) * (TRIM('Full month Pivot'!$C$3:$C$400)=TRIM($A105)) * ('Full month Pivot'!$D$2:$K$2=Z$2) * 'Full month Pivot'!$D$3:$K$400)&gt;0, SUMPRODUCT((('Full month Pivot'!$B$3:$B$400=$A$99) + ('Full month Pivot'!$A$3:$A$400=$A$99) &gt; 0) * (TRIM('Full month Pivot'!$C$3:$C$400)=TRIM($A105)) * ('Full month Pivot'!$D$2:$K$2=Z$2) * 'Full month Pivot'!$D$3:$K$400), "")</f>
        <v/>
      </c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202" t="inlineStr">
        <is>
          <t xml:space="preserve">  Paid</t>
        </is>
      </c>
      <c r="B106" s="193">
        <f>IF(SUMPRODUCT((('MTD Pivot'!$B$3:$B$400=$A$99) + ('MTD Pivot'!$A$3:$A$400=$A$99) &gt; 0) * (TRIM('MTD Pivot'!$C$3:$C$400)=TRIM($A106)) * ('MTD Pivot'!$D$2:$K$2=B$2) * 'MTD Pivot'!$D$3:$K$400)&gt;0, SUMPRODUCT((('MTD Pivot'!$B$3:$B$400=$A$99) + ('MTD Pivot'!$A$3:$A$400=$A$99) &gt; 0) * (TRIM('MTD Pivot'!$C$3:$C$400)=TRIM($A106)) * ('MTD Pivot'!$D$2:$K$2=B$2) * 'MTD Pivot'!$D$3:$K$400), "")</f>
        <v/>
      </c>
      <c r="C106" s="193">
        <f>IF(SUMPRODUCT((('MTD Pivot'!$B$3:$B$400=$A$99) + ('MTD Pivot'!$A$3:$A$400=$A$99) &gt; 0) * (TRIM('MTD Pivot'!$C$3:$C$400)=TRIM($A106)) * ('MTD Pivot'!$D$2:$K$2=C$2) * 'MTD Pivot'!$D$3:$K$400)&gt;0, SUMPRODUCT((('MTD Pivot'!$B$3:$B$400=$A$99) + ('MTD Pivot'!$A$3:$A$400=$A$99) &gt; 0) * (TRIM('MTD Pivot'!$C$3:$C$400)=TRIM($A106)) * ('MTD Pivot'!$D$2:$K$2=C$2) * 'MTD Pivot'!$D$3:$K$400), "")</f>
        <v/>
      </c>
      <c r="D106" s="193">
        <f>IF(SUMPRODUCT((('MTD Pivot'!$B$3:$B$400=$A$99) + ('MTD Pivot'!$A$3:$A$400=$A$99) &gt; 0) * (TRIM('MTD Pivot'!$C$3:$C$400)=TRIM($A106)) * ('MTD Pivot'!$D$2:$K$2=D$2) * 'MTD Pivot'!$D$3:$K$400)&gt;0, SUMPRODUCT((('MTD Pivot'!$B$3:$B$400=$A$99) + ('MTD Pivot'!$A$3:$A$400=$A$99) &gt; 0) * (TRIM('MTD Pivot'!$C$3:$C$400)=TRIM($A106)) * ('MTD Pivot'!$D$2:$K$2=D$2) * 'MTD Pivot'!$D$3:$K$400), "")</f>
        <v/>
      </c>
      <c r="E106" s="193">
        <f>IF(SUMPRODUCT((('MTD Pivot'!$B$3:$B$400=$A$99) + ('MTD Pivot'!$A$3:$A$400=$A$99) &gt; 0) * (TRIM('MTD Pivot'!$C$3:$C$400)=TRIM($A106)) * ('MTD Pivot'!$D$2:$K$2=E$2) * 'MTD Pivot'!$D$3:$K$400)&gt;0, SUMPRODUCT((('MTD Pivot'!$B$3:$B$400=$A$99) + ('MTD Pivot'!$A$3:$A$400=$A$99) &gt; 0) * (TRIM('MTD Pivot'!$C$3:$C$400)=TRIM($A106)) * ('MTD Pivot'!$D$2:$K$2=E$2) * 'MTD Pivot'!$D$3:$K$400), "")</f>
        <v/>
      </c>
      <c r="F106" s="193">
        <f>IF(SUMPRODUCT((('MTD Pivot'!$B$3:$B$400=$A$99) + ('MTD Pivot'!$A$3:$A$400=$A$99) &gt; 0) * (TRIM('MTD Pivot'!$C$3:$C$400)=TRIM($A106)) * ('MTD Pivot'!$D$2:$K$2=F$2) * 'MTD Pivot'!$D$3:$K$400)&gt;0, SUMPRODUCT((('MTD Pivot'!$B$3:$B$400=$A$99) + ('MTD Pivot'!$A$3:$A$400=$A$99) &gt; 0) * (TRIM('MTD Pivot'!$C$3:$C$400)=TRIM($A106)) * ('MTD Pivot'!$D$2:$K$2=F$2) * 'MTD Pivot'!$D$3:$K$400), "")</f>
        <v/>
      </c>
      <c r="G106" s="193">
        <f>IF(SUMPRODUCT((('MTD Pivot'!$B$3:$B$400=$A$99) + ('MTD Pivot'!$A$3:$A$400=$A$99) &gt; 0) * (TRIM('MTD Pivot'!$C$3:$C$400)=TRIM($A106)) * ('MTD Pivot'!$D$2:$K$2=G$2) * 'MTD Pivot'!$D$3:$K$400)&gt;0, SUMPRODUCT((('MTD Pivot'!$B$3:$B$400=$A$99) + ('MTD Pivot'!$A$3:$A$400=$A$99) &gt; 0) * (TRIM('MTD Pivot'!$C$3:$C$400)=TRIM($A106)) * ('MTD Pivot'!$D$2:$K$2=G$2) * 'MTD Pivot'!$D$3:$K$400), "")</f>
        <v/>
      </c>
      <c r="H106" s="193">
        <f>IF(SUMPRODUCT((('MTD Pivot'!$B$3:$B$400=$A$99) + ('MTD Pivot'!$A$3:$A$400=$A$99) &gt; 0) * (TRIM('MTD Pivot'!$C$3:$C$400)=TRIM($A106)) * ('MTD Pivot'!$D$2:$K$2=H$2) * 'MTD Pivot'!$D$3:$K$400)&gt;0, SUMPRODUCT((('MTD Pivot'!$B$3:$B$400=$A$99) + ('MTD Pivot'!$A$3:$A$400=$A$99) &gt; 0) * (TRIM('MTD Pivot'!$C$3:$C$400)=TRIM($A106)) * ('MTD Pivot'!$D$2:$K$2=H$2) * 'MTD Pivot'!$D$3:$K$400), "")</f>
        <v/>
      </c>
      <c r="I106" s="193">
        <f>IF(SUMPRODUCT((('MTD Pivot'!$B$3:$B$400=$A$99) + ('MTD Pivot'!$A$3:$A$400=$A$99) &gt; 0) * (TRIM('MTD Pivot'!$C$3:$C$400)=TRIM($A106)) * ('MTD Pivot'!$D$2:$K$2=I$2) * 'MTD Pivot'!$D$3:$K$400)&gt;0, SUMPRODUCT((('MTD Pivot'!$B$3:$B$400=$A$99) + ('MTD Pivot'!$A$3:$A$400=$A$99) &gt; 0) * (TRIM('MTD Pivot'!$C$3:$C$400)=TRIM($A106)) * ('MTD Pivot'!$D$2:$K$2=I$2) * 'MTD Pivot'!$D$3:$K$400), "")</f>
        <v/>
      </c>
      <c r="J106" s="193">
        <f>IF(SUMPRODUCT((('MTD Pivot'!$B$3:$B$400=$A$99) + ('MTD Pivot'!$A$3:$A$400=$A$99) &gt; 0) * (TRIM('MTD Pivot'!$C$3:$C$400)=TRIM($A106)) * ('MTD Pivot'!$D$2:$K$2=J$2) * 'MTD Pivot'!$D$3:$K$400)&gt;0, SUMPRODUCT((('MTD Pivot'!$B$3:$B$400=$A$99) + ('MTD Pivot'!$A$3:$A$400=$A$99) &gt; 0) * (TRIM('MTD Pivot'!$C$3:$C$400)=TRIM($A106)) * ('MTD Pivot'!$D$2:$K$2=J$2) * 'MTD Pivot'!$D$3:$K$400), "")</f>
        <v/>
      </c>
      <c r="K106" s="193">
        <f>IF(SUMPRODUCT((('MTD Pivot'!$B$3:$B$400=$A$99) + ('MTD Pivot'!$A$3:$A$400=$A$99) &gt; 0) * (TRIM('MTD Pivot'!$C$3:$C$400)=TRIM($A106)) * ('MTD Pivot'!$D$2:$K$2=K$2) * 'MTD Pivot'!$D$3:$K$400)&gt;0, SUMPRODUCT((('MTD Pivot'!$B$3:$B$400=$A$99) + ('MTD Pivot'!$A$3:$A$400=$A$99) &gt; 0) * (TRIM('MTD Pivot'!$C$3:$C$400)=TRIM($A106)) * ('MTD Pivot'!$D$2:$K$2=K$2) * 'MTD Pivot'!$D$3:$K$400), "")</f>
        <v/>
      </c>
      <c r="L106" s="193">
        <f>IF(SUMPRODUCT((('MTD Pivot'!$B$3:$B$400=$A$99) + ('MTD Pivot'!$A$3:$A$400=$A$99) &gt; 0) * (TRIM('MTD Pivot'!$C$3:$C$400)=TRIM($A106)) * ('MTD Pivot'!$D$2:$K$2=L$2) * 'MTD Pivot'!$D$3:$K$400)&gt;0, SUMPRODUCT((('MTD Pivot'!$B$3:$B$400=$A$99) + ('MTD Pivot'!$A$3:$A$400=$A$99) &gt; 0) * (TRIM('MTD Pivot'!$C$3:$C$400)=TRIM($A106)) * ('MTD Pivot'!$D$2:$K$2=L$2) * 'MTD Pivot'!$D$3:$K$400), "")</f>
        <v/>
      </c>
      <c r="M106" s="193">
        <f>IF(SUMPRODUCT((('MTD Pivot'!$B$3:$B$400=$A$99) + ('MTD Pivot'!$A$3:$A$400=$A$99) &gt; 0) * (TRIM('MTD Pivot'!$C$3:$C$400)=TRIM($A106)) * ('MTD Pivot'!$D$2:$K$2=M$2) * 'MTD Pivot'!$D$3:$K$400)&gt;0, SUMPRODUCT((('MTD Pivot'!$B$3:$B$400=$A$99) + ('MTD Pivot'!$A$3:$A$400=$A$99) &gt; 0) * (TRIM('MTD Pivot'!$C$3:$C$400)=TRIM($A106)) * ('MTD Pivot'!$D$2:$K$2=M$2) * 'MTD Pivot'!$D$3:$K$400), "")</f>
        <v/>
      </c>
      <c r="N106" s="157">
        <f>IF(AND(ISNUMBER(K106), ISNUMBER(J106), J106&gt;0), (K106-J106)/J106, "")</f>
        <v/>
      </c>
      <c r="O106" s="193">
        <f>IF(SUMPRODUCT((('Full month Pivot'!$B$3:$B$400=$A$99) + ('Full month Pivot'!$A$3:$A$400=$A$99) &gt; 0) * (TRIM('Full month Pivot'!$C$3:$C$400)=TRIM($A106)) * ('Full month Pivot'!$D$2:$K$2=O$2) * 'Full month Pivot'!$D$3:$K$400)&gt;0, SUMPRODUCT((('Full month Pivot'!$B$3:$B$400=$A$99) + ('Full month Pivot'!$A$3:$A$400=$A$99) &gt; 0) * (TRIM('Full month Pivot'!$C$3:$C$400)=TRIM($A106)) * ('Full month Pivot'!$D$2:$K$2=O$2) * 'Full month Pivot'!$D$3:$K$400), "")</f>
        <v/>
      </c>
      <c r="P106" s="193">
        <f>IF(SUMPRODUCT((('Full month Pivot'!$B$3:$B$400=$A$99) + ('Full month Pivot'!$A$3:$A$400=$A$99) &gt; 0) * (TRIM('Full month Pivot'!$C$3:$C$400)=TRIM($A106)) * ('Full month Pivot'!$D$2:$K$2=P$2) * 'Full month Pivot'!$D$3:$K$400)&gt;0, SUMPRODUCT((('Full month Pivot'!$B$3:$B$400=$A$99) + ('Full month Pivot'!$A$3:$A$400=$A$99) &gt; 0) * (TRIM('Full month Pivot'!$C$3:$C$400)=TRIM($A106)) * ('Full month Pivot'!$D$2:$K$2=P$2) * 'Full month Pivot'!$D$3:$K$400), "")</f>
        <v/>
      </c>
      <c r="Q106" s="193">
        <f>IF(SUMPRODUCT((('Full month Pivot'!$B$3:$B$400=$A$99) + ('Full month Pivot'!$A$3:$A$400=$A$99) &gt; 0) * (TRIM('Full month Pivot'!$C$3:$C$400)=TRIM($A106)) * ('Full month Pivot'!$D$2:$K$2=Q$2) * 'Full month Pivot'!$D$3:$K$400)&gt;0, SUMPRODUCT((('Full month Pivot'!$B$3:$B$400=$A$99) + ('Full month Pivot'!$A$3:$A$400=$A$99) &gt; 0) * (TRIM('Full month Pivot'!$C$3:$C$400)=TRIM($A106)) * ('Full month Pivot'!$D$2:$K$2=Q$2) * 'Full month Pivot'!$D$3:$K$400), "")</f>
        <v/>
      </c>
      <c r="R106" s="193">
        <f>IF(SUMPRODUCT((('Full month Pivot'!$B$3:$B$400=$A$99) + ('Full month Pivot'!$A$3:$A$400=$A$99) &gt; 0) * (TRIM('Full month Pivot'!$C$3:$C$400)=TRIM($A106)) * ('Full month Pivot'!$D$2:$K$2=R$2) * 'Full month Pivot'!$D$3:$K$400)&gt;0, SUMPRODUCT((('Full month Pivot'!$B$3:$B$400=$A$99) + ('Full month Pivot'!$A$3:$A$400=$A$99) &gt; 0) * (TRIM('Full month Pivot'!$C$3:$C$400)=TRIM($A106)) * ('Full month Pivot'!$D$2:$K$2=R$2) * 'Full month Pivot'!$D$3:$K$400), "")</f>
        <v/>
      </c>
      <c r="S106" s="193">
        <f>IF(SUMPRODUCT((('Full month Pivot'!$B$3:$B$400=$A$99) + ('Full month Pivot'!$A$3:$A$400=$A$99) &gt; 0) * (TRIM('Full month Pivot'!$C$3:$C$400)=TRIM($A106)) * ('Full month Pivot'!$D$2:$K$2=S$2) * 'Full month Pivot'!$D$3:$K$400)&gt;0, SUMPRODUCT((('Full month Pivot'!$B$3:$B$400=$A$99) + ('Full month Pivot'!$A$3:$A$400=$A$99) &gt; 0) * (TRIM('Full month Pivot'!$C$3:$C$400)=TRIM($A106)) * ('Full month Pivot'!$D$2:$K$2=S$2) * 'Full month Pivot'!$D$3:$K$400), "")</f>
        <v/>
      </c>
      <c r="T106" s="193">
        <f>IF(SUMPRODUCT((('Full month Pivot'!$B$3:$B$400=$A$99) + ('Full month Pivot'!$A$3:$A$400=$A$99) &gt; 0) * (TRIM('Full month Pivot'!$C$3:$C$400)=TRIM($A106)) * ('Full month Pivot'!$D$2:$K$2=T$2) * 'Full month Pivot'!$D$3:$K$400)&gt;0, SUMPRODUCT((('Full month Pivot'!$B$3:$B$400=$A$99) + ('Full month Pivot'!$A$3:$A$400=$A$99) &gt; 0) * (TRIM('Full month Pivot'!$C$3:$C$400)=TRIM($A106)) * ('Full month Pivot'!$D$2:$K$2=T$2) * 'Full month Pivot'!$D$3:$K$400), "")</f>
        <v/>
      </c>
      <c r="U106" s="193">
        <f>IF(SUMPRODUCT((('Full month Pivot'!$B$3:$B$400=$A$99) + ('Full month Pivot'!$A$3:$A$400=$A$99) &gt; 0) * (TRIM('Full month Pivot'!$C$3:$C$400)=TRIM($A106)) * ('Full month Pivot'!$D$2:$K$2=U$2) * 'Full month Pivot'!$D$3:$K$400)&gt;0, SUMPRODUCT((('Full month Pivot'!$B$3:$B$400=$A$99) + ('Full month Pivot'!$A$3:$A$400=$A$99) &gt; 0) * (TRIM('Full month Pivot'!$C$3:$C$400)=TRIM($A106)) * ('Full month Pivot'!$D$2:$K$2=U$2) * 'Full month Pivot'!$D$3:$K$400), "")</f>
        <v/>
      </c>
      <c r="V106" s="193">
        <f>IF(SUMPRODUCT((('Full month Pivot'!$B$3:$B$400=$A$99) + ('Full month Pivot'!$A$3:$A$400=$A$99) &gt; 0) * (TRIM('Full month Pivot'!$C$3:$C$400)=TRIM($A106)) * ('Full month Pivot'!$D$2:$K$2=V$2) * 'Full month Pivot'!$D$3:$K$400)&gt;0, SUMPRODUCT((('Full month Pivot'!$B$3:$B$400=$A$99) + ('Full month Pivot'!$A$3:$A$400=$A$99) &gt; 0) * (TRIM('Full month Pivot'!$C$3:$C$400)=TRIM($A106)) * ('Full month Pivot'!$D$2:$K$2=V$2) * 'Full month Pivot'!$D$3:$K$400), "")</f>
        <v/>
      </c>
      <c r="W106" s="193">
        <f>IF(SUMPRODUCT((('Full month Pivot'!$B$3:$B$400=$A$99) + ('Full month Pivot'!$A$3:$A$400=$A$99) &gt; 0) * (TRIM('Full month Pivot'!$C$3:$C$400)=TRIM($A106)) * ('Full month Pivot'!$D$2:$K$2=W$2) * 'Full month Pivot'!$D$3:$K$400)&gt;0, SUMPRODUCT((('Full month Pivot'!$B$3:$B$400=$A$99) + ('Full month Pivot'!$A$3:$A$400=$A$99) &gt; 0) * (TRIM('Full month Pivot'!$C$3:$C$400)=TRIM($A106)) * ('Full month Pivot'!$D$2:$K$2=W$2) * 'Full month Pivot'!$D$3:$K$400), "")</f>
        <v/>
      </c>
      <c r="X106" s="193">
        <f>IF(SUMPRODUCT((('Full month Pivot'!$B$3:$B$400=$A$99) + ('Full month Pivot'!$A$3:$A$400=$A$99) &gt; 0) * (TRIM('Full month Pivot'!$C$3:$C$400)=TRIM($A106)) * ('Full month Pivot'!$D$2:$K$2=X$2) * 'Full month Pivot'!$D$3:$K$400)&gt;0, SUMPRODUCT((('Full month Pivot'!$B$3:$B$400=$A$99) + ('Full month Pivot'!$A$3:$A$400=$A$99) &gt; 0) * (TRIM('Full month Pivot'!$C$3:$C$400)=TRIM($A106)) * ('Full month Pivot'!$D$2:$K$2=X$2) * 'Full month Pivot'!$D$3:$K$400), "")</f>
        <v/>
      </c>
      <c r="Y106" s="193">
        <f>IF(SUMPRODUCT((('Full month Pivot'!$B$3:$B$400=$A$99) + ('Full month Pivot'!$A$3:$A$400=$A$99) &gt; 0) * (TRIM('Full month Pivot'!$C$3:$C$400)=TRIM($A106)) * ('Full month Pivot'!$D$2:$K$2=Y$2) * 'Full month Pivot'!$D$3:$K$400)&gt;0, SUMPRODUCT((('Full month Pivot'!$B$3:$B$400=$A$99) + ('Full month Pivot'!$A$3:$A$400=$A$99) &gt; 0) * (TRIM('Full month Pivot'!$C$3:$C$400)=TRIM($A106)) * ('Full month Pivot'!$D$2:$K$2=Y$2) * 'Full month Pivot'!$D$3:$K$400), "")</f>
        <v/>
      </c>
      <c r="Z106" s="193">
        <f>IF(SUMPRODUCT((('Full month Pivot'!$B$3:$B$400=$A$99) + ('Full month Pivot'!$A$3:$A$400=$A$99) &gt; 0) * (TRIM('Full month Pivot'!$C$3:$C$400)=TRIM($A106)) * ('Full month Pivot'!$D$2:$K$2=Z$2) * 'Full month Pivot'!$D$3:$K$400)&gt;0, SUMPRODUCT((('Full month Pivot'!$B$3:$B$400=$A$99) + ('Full month Pivot'!$A$3:$A$400=$A$99) &gt; 0) * (TRIM('Full month Pivot'!$C$3:$C$400)=TRIM($A106)) * ('Full month Pivot'!$D$2:$K$2=Z$2) * 'Full month Pivot'!$D$3:$K$400), "")</f>
        <v/>
      </c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202" t="inlineStr">
        <is>
          <t xml:space="preserve">  Direct</t>
        </is>
      </c>
      <c r="B107" s="193">
        <f>IF(SUMPRODUCT((('MTD Pivot'!$B$3:$B$400=$A$99) + ('MTD Pivot'!$A$3:$A$400=$A$99) &gt; 0) * (TRIM('MTD Pivot'!$C$3:$C$400)=TRIM($A107)) * ('MTD Pivot'!$D$2:$K$2=B$2) * 'MTD Pivot'!$D$3:$K$400)&gt;0, SUMPRODUCT((('MTD Pivot'!$B$3:$B$400=$A$99) + ('MTD Pivot'!$A$3:$A$400=$A$99) &gt; 0) * (TRIM('MTD Pivot'!$C$3:$C$400)=TRIM($A107)) * ('MTD Pivot'!$D$2:$K$2=B$2) * 'MTD Pivot'!$D$3:$K$400), "")</f>
        <v/>
      </c>
      <c r="C107" s="193">
        <f>IF(SUMPRODUCT((('MTD Pivot'!$B$3:$B$400=$A$99) + ('MTD Pivot'!$A$3:$A$400=$A$99) &gt; 0) * (TRIM('MTD Pivot'!$C$3:$C$400)=TRIM($A107)) * ('MTD Pivot'!$D$2:$K$2=C$2) * 'MTD Pivot'!$D$3:$K$400)&gt;0, SUMPRODUCT((('MTD Pivot'!$B$3:$B$400=$A$99) + ('MTD Pivot'!$A$3:$A$400=$A$99) &gt; 0) * (TRIM('MTD Pivot'!$C$3:$C$400)=TRIM($A107)) * ('MTD Pivot'!$D$2:$K$2=C$2) * 'MTD Pivot'!$D$3:$K$400), "")</f>
        <v/>
      </c>
      <c r="D107" s="193">
        <f>IF(SUMPRODUCT((('MTD Pivot'!$B$3:$B$400=$A$99) + ('MTD Pivot'!$A$3:$A$400=$A$99) &gt; 0) * (TRIM('MTD Pivot'!$C$3:$C$400)=TRIM($A107)) * ('MTD Pivot'!$D$2:$K$2=D$2) * 'MTD Pivot'!$D$3:$K$400)&gt;0, SUMPRODUCT((('MTD Pivot'!$B$3:$B$400=$A$99) + ('MTD Pivot'!$A$3:$A$400=$A$99) &gt; 0) * (TRIM('MTD Pivot'!$C$3:$C$400)=TRIM($A107)) * ('MTD Pivot'!$D$2:$K$2=D$2) * 'MTD Pivot'!$D$3:$K$400), "")</f>
        <v/>
      </c>
      <c r="E107" s="193">
        <f>IF(SUMPRODUCT((('MTD Pivot'!$B$3:$B$400=$A$99) + ('MTD Pivot'!$A$3:$A$400=$A$99) &gt; 0) * (TRIM('MTD Pivot'!$C$3:$C$400)=TRIM($A107)) * ('MTD Pivot'!$D$2:$K$2=E$2) * 'MTD Pivot'!$D$3:$K$400)&gt;0, SUMPRODUCT((('MTD Pivot'!$B$3:$B$400=$A$99) + ('MTD Pivot'!$A$3:$A$400=$A$99) &gt; 0) * (TRIM('MTD Pivot'!$C$3:$C$400)=TRIM($A107)) * ('MTD Pivot'!$D$2:$K$2=E$2) * 'MTD Pivot'!$D$3:$K$400), "")</f>
        <v/>
      </c>
      <c r="F107" s="193">
        <f>IF(SUMPRODUCT((('MTD Pivot'!$B$3:$B$400=$A$99) + ('MTD Pivot'!$A$3:$A$400=$A$99) &gt; 0) * (TRIM('MTD Pivot'!$C$3:$C$400)=TRIM($A107)) * ('MTD Pivot'!$D$2:$K$2=F$2) * 'MTD Pivot'!$D$3:$K$400)&gt;0, SUMPRODUCT((('MTD Pivot'!$B$3:$B$400=$A$99) + ('MTD Pivot'!$A$3:$A$400=$A$99) &gt; 0) * (TRIM('MTD Pivot'!$C$3:$C$400)=TRIM($A107)) * ('MTD Pivot'!$D$2:$K$2=F$2) * 'MTD Pivot'!$D$3:$K$400), "")</f>
        <v/>
      </c>
      <c r="G107" s="193">
        <f>IF(SUMPRODUCT((('MTD Pivot'!$B$3:$B$400=$A$99) + ('MTD Pivot'!$A$3:$A$400=$A$99) &gt; 0) * (TRIM('MTD Pivot'!$C$3:$C$400)=TRIM($A107)) * ('MTD Pivot'!$D$2:$K$2=G$2) * 'MTD Pivot'!$D$3:$K$400)&gt;0, SUMPRODUCT((('MTD Pivot'!$B$3:$B$400=$A$99) + ('MTD Pivot'!$A$3:$A$400=$A$99) &gt; 0) * (TRIM('MTD Pivot'!$C$3:$C$400)=TRIM($A107)) * ('MTD Pivot'!$D$2:$K$2=G$2) * 'MTD Pivot'!$D$3:$K$400), "")</f>
        <v/>
      </c>
      <c r="H107" s="193">
        <f>IF(SUMPRODUCT((('MTD Pivot'!$B$3:$B$400=$A$99) + ('MTD Pivot'!$A$3:$A$400=$A$99) &gt; 0) * (TRIM('MTD Pivot'!$C$3:$C$400)=TRIM($A107)) * ('MTD Pivot'!$D$2:$K$2=H$2) * 'MTD Pivot'!$D$3:$K$400)&gt;0, SUMPRODUCT((('MTD Pivot'!$B$3:$B$400=$A$99) + ('MTD Pivot'!$A$3:$A$400=$A$99) &gt; 0) * (TRIM('MTD Pivot'!$C$3:$C$400)=TRIM($A107)) * ('MTD Pivot'!$D$2:$K$2=H$2) * 'MTD Pivot'!$D$3:$K$400), "")</f>
        <v/>
      </c>
      <c r="I107" s="193">
        <f>IF(SUMPRODUCT((('MTD Pivot'!$B$3:$B$400=$A$99) + ('MTD Pivot'!$A$3:$A$400=$A$99) &gt; 0) * (TRIM('MTD Pivot'!$C$3:$C$400)=TRIM($A107)) * ('MTD Pivot'!$D$2:$K$2=I$2) * 'MTD Pivot'!$D$3:$K$400)&gt;0, SUMPRODUCT((('MTD Pivot'!$B$3:$B$400=$A$99) + ('MTD Pivot'!$A$3:$A$400=$A$99) &gt; 0) * (TRIM('MTD Pivot'!$C$3:$C$400)=TRIM($A107)) * ('MTD Pivot'!$D$2:$K$2=I$2) * 'MTD Pivot'!$D$3:$K$400), "")</f>
        <v/>
      </c>
      <c r="J107" s="193">
        <f>IF(SUMPRODUCT((('MTD Pivot'!$B$3:$B$400=$A$99) + ('MTD Pivot'!$A$3:$A$400=$A$99) &gt; 0) * (TRIM('MTD Pivot'!$C$3:$C$400)=TRIM($A107)) * ('MTD Pivot'!$D$2:$K$2=J$2) * 'MTD Pivot'!$D$3:$K$400)&gt;0, SUMPRODUCT((('MTD Pivot'!$B$3:$B$400=$A$99) + ('MTD Pivot'!$A$3:$A$400=$A$99) &gt; 0) * (TRIM('MTD Pivot'!$C$3:$C$400)=TRIM($A107)) * ('MTD Pivot'!$D$2:$K$2=J$2) * 'MTD Pivot'!$D$3:$K$400), "")</f>
        <v/>
      </c>
      <c r="K107" s="193">
        <f>IF(SUMPRODUCT((('MTD Pivot'!$B$3:$B$400=$A$99) + ('MTD Pivot'!$A$3:$A$400=$A$99) &gt; 0) * (TRIM('MTD Pivot'!$C$3:$C$400)=TRIM($A107)) * ('MTD Pivot'!$D$2:$K$2=K$2) * 'MTD Pivot'!$D$3:$K$400)&gt;0, SUMPRODUCT((('MTD Pivot'!$B$3:$B$400=$A$99) + ('MTD Pivot'!$A$3:$A$400=$A$99) &gt; 0) * (TRIM('MTD Pivot'!$C$3:$C$400)=TRIM($A107)) * ('MTD Pivot'!$D$2:$K$2=K$2) * 'MTD Pivot'!$D$3:$K$400), "")</f>
        <v/>
      </c>
      <c r="L107" s="193">
        <f>IF(SUMPRODUCT((('MTD Pivot'!$B$3:$B$400=$A$99) + ('MTD Pivot'!$A$3:$A$400=$A$99) &gt; 0) * (TRIM('MTD Pivot'!$C$3:$C$400)=TRIM($A107)) * ('MTD Pivot'!$D$2:$K$2=L$2) * 'MTD Pivot'!$D$3:$K$400)&gt;0, SUMPRODUCT((('MTD Pivot'!$B$3:$B$400=$A$99) + ('MTD Pivot'!$A$3:$A$400=$A$99) &gt; 0) * (TRIM('MTD Pivot'!$C$3:$C$400)=TRIM($A107)) * ('MTD Pivot'!$D$2:$K$2=L$2) * 'MTD Pivot'!$D$3:$K$400), "")</f>
        <v/>
      </c>
      <c r="M107" s="193">
        <f>IF(SUMPRODUCT((('MTD Pivot'!$B$3:$B$400=$A$99) + ('MTD Pivot'!$A$3:$A$400=$A$99) &gt; 0) * (TRIM('MTD Pivot'!$C$3:$C$400)=TRIM($A107)) * ('MTD Pivot'!$D$2:$K$2=M$2) * 'MTD Pivot'!$D$3:$K$400)&gt;0, SUMPRODUCT((('MTD Pivot'!$B$3:$B$400=$A$99) + ('MTD Pivot'!$A$3:$A$400=$A$99) &gt; 0) * (TRIM('MTD Pivot'!$C$3:$C$400)=TRIM($A107)) * ('MTD Pivot'!$D$2:$K$2=M$2) * 'MTD Pivot'!$D$3:$K$400), "")</f>
        <v/>
      </c>
      <c r="N107" s="157">
        <f>IF(AND(ISNUMBER(K107), ISNUMBER(J107), J107&gt;0), (K107-J107)/J107, "")</f>
        <v/>
      </c>
      <c r="O107" s="193">
        <f>IF(SUMPRODUCT((('Full month Pivot'!$B$3:$B$400=$A$99) + ('Full month Pivot'!$A$3:$A$400=$A$99) &gt; 0) * (TRIM('Full month Pivot'!$C$3:$C$400)=TRIM($A107)) * ('Full month Pivot'!$D$2:$K$2=O$2) * 'Full month Pivot'!$D$3:$K$400)&gt;0, SUMPRODUCT((('Full month Pivot'!$B$3:$B$400=$A$99) + ('Full month Pivot'!$A$3:$A$400=$A$99) &gt; 0) * (TRIM('Full month Pivot'!$C$3:$C$400)=TRIM($A107)) * ('Full month Pivot'!$D$2:$K$2=O$2) * 'Full month Pivot'!$D$3:$K$400), "")</f>
        <v/>
      </c>
      <c r="P107" s="193">
        <f>IF(SUMPRODUCT((('Full month Pivot'!$B$3:$B$400=$A$99) + ('Full month Pivot'!$A$3:$A$400=$A$99) &gt; 0) * (TRIM('Full month Pivot'!$C$3:$C$400)=TRIM($A107)) * ('Full month Pivot'!$D$2:$K$2=P$2) * 'Full month Pivot'!$D$3:$K$400)&gt;0, SUMPRODUCT((('Full month Pivot'!$B$3:$B$400=$A$99) + ('Full month Pivot'!$A$3:$A$400=$A$99) &gt; 0) * (TRIM('Full month Pivot'!$C$3:$C$400)=TRIM($A107)) * ('Full month Pivot'!$D$2:$K$2=P$2) * 'Full month Pivot'!$D$3:$K$400), "")</f>
        <v/>
      </c>
      <c r="Q107" s="193">
        <f>IF(SUMPRODUCT((('Full month Pivot'!$B$3:$B$400=$A$99) + ('Full month Pivot'!$A$3:$A$400=$A$99) &gt; 0) * (TRIM('Full month Pivot'!$C$3:$C$400)=TRIM($A107)) * ('Full month Pivot'!$D$2:$K$2=Q$2) * 'Full month Pivot'!$D$3:$K$400)&gt;0, SUMPRODUCT((('Full month Pivot'!$B$3:$B$400=$A$99) + ('Full month Pivot'!$A$3:$A$400=$A$99) &gt; 0) * (TRIM('Full month Pivot'!$C$3:$C$400)=TRIM($A107)) * ('Full month Pivot'!$D$2:$K$2=Q$2) * 'Full month Pivot'!$D$3:$K$400), "")</f>
        <v/>
      </c>
      <c r="R107" s="193">
        <f>IF(SUMPRODUCT((('Full month Pivot'!$B$3:$B$400=$A$99) + ('Full month Pivot'!$A$3:$A$400=$A$99) &gt; 0) * (TRIM('Full month Pivot'!$C$3:$C$400)=TRIM($A107)) * ('Full month Pivot'!$D$2:$K$2=R$2) * 'Full month Pivot'!$D$3:$K$400)&gt;0, SUMPRODUCT((('Full month Pivot'!$B$3:$B$400=$A$99) + ('Full month Pivot'!$A$3:$A$400=$A$99) &gt; 0) * (TRIM('Full month Pivot'!$C$3:$C$400)=TRIM($A107)) * ('Full month Pivot'!$D$2:$K$2=R$2) * 'Full month Pivot'!$D$3:$K$400), "")</f>
        <v/>
      </c>
      <c r="S107" s="193">
        <f>IF(SUMPRODUCT((('Full month Pivot'!$B$3:$B$400=$A$99) + ('Full month Pivot'!$A$3:$A$400=$A$99) &gt; 0) * (TRIM('Full month Pivot'!$C$3:$C$400)=TRIM($A107)) * ('Full month Pivot'!$D$2:$K$2=S$2) * 'Full month Pivot'!$D$3:$K$400)&gt;0, SUMPRODUCT((('Full month Pivot'!$B$3:$B$400=$A$99) + ('Full month Pivot'!$A$3:$A$400=$A$99) &gt; 0) * (TRIM('Full month Pivot'!$C$3:$C$400)=TRIM($A107)) * ('Full month Pivot'!$D$2:$K$2=S$2) * 'Full month Pivot'!$D$3:$K$400), "")</f>
        <v/>
      </c>
      <c r="T107" s="193">
        <f>IF(SUMPRODUCT((('Full month Pivot'!$B$3:$B$400=$A$99) + ('Full month Pivot'!$A$3:$A$400=$A$99) &gt; 0) * (TRIM('Full month Pivot'!$C$3:$C$400)=TRIM($A107)) * ('Full month Pivot'!$D$2:$K$2=T$2) * 'Full month Pivot'!$D$3:$K$400)&gt;0, SUMPRODUCT((('Full month Pivot'!$B$3:$B$400=$A$99) + ('Full month Pivot'!$A$3:$A$400=$A$99) &gt; 0) * (TRIM('Full month Pivot'!$C$3:$C$400)=TRIM($A107)) * ('Full month Pivot'!$D$2:$K$2=T$2) * 'Full month Pivot'!$D$3:$K$400), "")</f>
        <v/>
      </c>
      <c r="U107" s="193">
        <f>IF(SUMPRODUCT((('Full month Pivot'!$B$3:$B$400=$A$99) + ('Full month Pivot'!$A$3:$A$400=$A$99) &gt; 0) * (TRIM('Full month Pivot'!$C$3:$C$400)=TRIM($A107)) * ('Full month Pivot'!$D$2:$K$2=U$2) * 'Full month Pivot'!$D$3:$K$400)&gt;0, SUMPRODUCT((('Full month Pivot'!$B$3:$B$400=$A$99) + ('Full month Pivot'!$A$3:$A$400=$A$99) &gt; 0) * (TRIM('Full month Pivot'!$C$3:$C$400)=TRIM($A107)) * ('Full month Pivot'!$D$2:$K$2=U$2) * 'Full month Pivot'!$D$3:$K$400), "")</f>
        <v/>
      </c>
      <c r="V107" s="193">
        <f>IF(SUMPRODUCT((('Full month Pivot'!$B$3:$B$400=$A$99) + ('Full month Pivot'!$A$3:$A$400=$A$99) &gt; 0) * (TRIM('Full month Pivot'!$C$3:$C$400)=TRIM($A107)) * ('Full month Pivot'!$D$2:$K$2=V$2) * 'Full month Pivot'!$D$3:$K$400)&gt;0, SUMPRODUCT((('Full month Pivot'!$B$3:$B$400=$A$99) + ('Full month Pivot'!$A$3:$A$400=$A$99) &gt; 0) * (TRIM('Full month Pivot'!$C$3:$C$400)=TRIM($A107)) * ('Full month Pivot'!$D$2:$K$2=V$2) * 'Full month Pivot'!$D$3:$K$400), "")</f>
        <v/>
      </c>
      <c r="W107" s="193">
        <f>IF(SUMPRODUCT((('Full month Pivot'!$B$3:$B$400=$A$99) + ('Full month Pivot'!$A$3:$A$400=$A$99) &gt; 0) * (TRIM('Full month Pivot'!$C$3:$C$400)=TRIM($A107)) * ('Full month Pivot'!$D$2:$K$2=W$2) * 'Full month Pivot'!$D$3:$K$400)&gt;0, SUMPRODUCT((('Full month Pivot'!$B$3:$B$400=$A$99) + ('Full month Pivot'!$A$3:$A$400=$A$99) &gt; 0) * (TRIM('Full month Pivot'!$C$3:$C$400)=TRIM($A107)) * ('Full month Pivot'!$D$2:$K$2=W$2) * 'Full month Pivot'!$D$3:$K$400), "")</f>
        <v/>
      </c>
      <c r="X107" s="193">
        <f>IF(SUMPRODUCT((('Full month Pivot'!$B$3:$B$400=$A$99) + ('Full month Pivot'!$A$3:$A$400=$A$99) &gt; 0) * (TRIM('Full month Pivot'!$C$3:$C$400)=TRIM($A107)) * ('Full month Pivot'!$D$2:$K$2=X$2) * 'Full month Pivot'!$D$3:$K$400)&gt;0, SUMPRODUCT((('Full month Pivot'!$B$3:$B$400=$A$99) + ('Full month Pivot'!$A$3:$A$400=$A$99) &gt; 0) * (TRIM('Full month Pivot'!$C$3:$C$400)=TRIM($A107)) * ('Full month Pivot'!$D$2:$K$2=X$2) * 'Full month Pivot'!$D$3:$K$400), "")</f>
        <v/>
      </c>
      <c r="Y107" s="193">
        <f>IF(SUMPRODUCT((('Full month Pivot'!$B$3:$B$400=$A$99) + ('Full month Pivot'!$A$3:$A$400=$A$99) &gt; 0) * (TRIM('Full month Pivot'!$C$3:$C$400)=TRIM($A107)) * ('Full month Pivot'!$D$2:$K$2=Y$2) * 'Full month Pivot'!$D$3:$K$400)&gt;0, SUMPRODUCT((('Full month Pivot'!$B$3:$B$400=$A$99) + ('Full month Pivot'!$A$3:$A$400=$A$99) &gt; 0) * (TRIM('Full month Pivot'!$C$3:$C$400)=TRIM($A107)) * ('Full month Pivot'!$D$2:$K$2=Y$2) * 'Full month Pivot'!$D$3:$K$400), "")</f>
        <v/>
      </c>
      <c r="Z107" s="193">
        <f>IF(SUMPRODUCT((('Full month Pivot'!$B$3:$B$400=$A$99) + ('Full month Pivot'!$A$3:$A$400=$A$99) &gt; 0) * (TRIM('Full month Pivot'!$C$3:$C$400)=TRIM($A107)) * ('Full month Pivot'!$D$2:$K$2=Z$2) * 'Full month Pivot'!$D$3:$K$400)&gt;0, SUMPRODUCT((('Full month Pivot'!$B$3:$B$400=$A$99) + ('Full month Pivot'!$A$3:$A$400=$A$99) &gt; 0) * (TRIM('Full month Pivot'!$C$3:$C$400)=TRIM($A107)) * ('Full month Pivot'!$D$2:$K$2=Z$2) * 'Full month Pivot'!$D$3:$K$400), "")</f>
        <v/>
      </c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202" t="inlineStr">
        <is>
          <t xml:space="preserve">  Referral</t>
        </is>
      </c>
      <c r="B108" s="193">
        <f>IF(SUMPRODUCT((('MTD Pivot'!$B$3:$B$400=$A$99) + ('MTD Pivot'!$A$3:$A$400=$A$99) &gt; 0) * (TRIM('MTD Pivot'!$C$3:$C$400)=TRIM($A108)) * ('MTD Pivot'!$D$2:$K$2=B$2) * 'MTD Pivot'!$D$3:$K$400)&gt;0, SUMPRODUCT((('MTD Pivot'!$B$3:$B$400=$A$99) + ('MTD Pivot'!$A$3:$A$400=$A$99) &gt; 0) * (TRIM('MTD Pivot'!$C$3:$C$400)=TRIM($A108)) * ('MTD Pivot'!$D$2:$K$2=B$2) * 'MTD Pivot'!$D$3:$K$400), "")</f>
        <v/>
      </c>
      <c r="C108" s="193">
        <f>IF(SUMPRODUCT((('MTD Pivot'!$B$3:$B$400=$A$99) + ('MTD Pivot'!$A$3:$A$400=$A$99) &gt; 0) * (TRIM('MTD Pivot'!$C$3:$C$400)=TRIM($A108)) * ('MTD Pivot'!$D$2:$K$2=C$2) * 'MTD Pivot'!$D$3:$K$400)&gt;0, SUMPRODUCT((('MTD Pivot'!$B$3:$B$400=$A$99) + ('MTD Pivot'!$A$3:$A$400=$A$99) &gt; 0) * (TRIM('MTD Pivot'!$C$3:$C$400)=TRIM($A108)) * ('MTD Pivot'!$D$2:$K$2=C$2) * 'MTD Pivot'!$D$3:$K$400), "")</f>
        <v/>
      </c>
      <c r="D108" s="193">
        <f>IF(SUMPRODUCT((('MTD Pivot'!$B$3:$B$400=$A$99) + ('MTD Pivot'!$A$3:$A$400=$A$99) &gt; 0) * (TRIM('MTD Pivot'!$C$3:$C$400)=TRIM($A108)) * ('MTD Pivot'!$D$2:$K$2=D$2) * 'MTD Pivot'!$D$3:$K$400)&gt;0, SUMPRODUCT((('MTD Pivot'!$B$3:$B$400=$A$99) + ('MTD Pivot'!$A$3:$A$400=$A$99) &gt; 0) * (TRIM('MTD Pivot'!$C$3:$C$400)=TRIM($A108)) * ('MTD Pivot'!$D$2:$K$2=D$2) * 'MTD Pivot'!$D$3:$K$400), "")</f>
        <v/>
      </c>
      <c r="E108" s="193">
        <f>IF(SUMPRODUCT((('MTD Pivot'!$B$3:$B$400=$A$99) + ('MTD Pivot'!$A$3:$A$400=$A$99) &gt; 0) * (TRIM('MTD Pivot'!$C$3:$C$400)=TRIM($A108)) * ('MTD Pivot'!$D$2:$K$2=E$2) * 'MTD Pivot'!$D$3:$K$400)&gt;0, SUMPRODUCT((('MTD Pivot'!$B$3:$B$400=$A$99) + ('MTD Pivot'!$A$3:$A$400=$A$99) &gt; 0) * (TRIM('MTD Pivot'!$C$3:$C$400)=TRIM($A108)) * ('MTD Pivot'!$D$2:$K$2=E$2) * 'MTD Pivot'!$D$3:$K$400), "")</f>
        <v/>
      </c>
      <c r="F108" s="193">
        <f>IF(SUMPRODUCT((('MTD Pivot'!$B$3:$B$400=$A$99) + ('MTD Pivot'!$A$3:$A$400=$A$99) &gt; 0) * (TRIM('MTD Pivot'!$C$3:$C$400)=TRIM($A108)) * ('MTD Pivot'!$D$2:$K$2=F$2) * 'MTD Pivot'!$D$3:$K$400)&gt;0, SUMPRODUCT((('MTD Pivot'!$B$3:$B$400=$A$99) + ('MTD Pivot'!$A$3:$A$400=$A$99) &gt; 0) * (TRIM('MTD Pivot'!$C$3:$C$400)=TRIM($A108)) * ('MTD Pivot'!$D$2:$K$2=F$2) * 'MTD Pivot'!$D$3:$K$400), "")</f>
        <v/>
      </c>
      <c r="G108" s="193">
        <f>IF(SUMPRODUCT((('MTD Pivot'!$B$3:$B$400=$A$99) + ('MTD Pivot'!$A$3:$A$400=$A$99) &gt; 0) * (TRIM('MTD Pivot'!$C$3:$C$400)=TRIM($A108)) * ('MTD Pivot'!$D$2:$K$2=G$2) * 'MTD Pivot'!$D$3:$K$400)&gt;0, SUMPRODUCT((('MTD Pivot'!$B$3:$B$400=$A$99) + ('MTD Pivot'!$A$3:$A$400=$A$99) &gt; 0) * (TRIM('MTD Pivot'!$C$3:$C$400)=TRIM($A108)) * ('MTD Pivot'!$D$2:$K$2=G$2) * 'MTD Pivot'!$D$3:$K$400), "")</f>
        <v/>
      </c>
      <c r="H108" s="193">
        <f>IF(SUMPRODUCT((('MTD Pivot'!$B$3:$B$400=$A$99) + ('MTD Pivot'!$A$3:$A$400=$A$99) &gt; 0) * (TRIM('MTD Pivot'!$C$3:$C$400)=TRIM($A108)) * ('MTD Pivot'!$D$2:$K$2=H$2) * 'MTD Pivot'!$D$3:$K$400)&gt;0, SUMPRODUCT((('MTD Pivot'!$B$3:$B$400=$A$99) + ('MTD Pivot'!$A$3:$A$400=$A$99) &gt; 0) * (TRIM('MTD Pivot'!$C$3:$C$400)=TRIM($A108)) * ('MTD Pivot'!$D$2:$K$2=H$2) * 'MTD Pivot'!$D$3:$K$400), "")</f>
        <v/>
      </c>
      <c r="I108" s="193">
        <f>IF(SUMPRODUCT((('MTD Pivot'!$B$3:$B$400=$A$99) + ('MTD Pivot'!$A$3:$A$400=$A$99) &gt; 0) * (TRIM('MTD Pivot'!$C$3:$C$400)=TRIM($A108)) * ('MTD Pivot'!$D$2:$K$2=I$2) * 'MTD Pivot'!$D$3:$K$400)&gt;0, SUMPRODUCT((('MTD Pivot'!$B$3:$B$400=$A$99) + ('MTD Pivot'!$A$3:$A$400=$A$99) &gt; 0) * (TRIM('MTD Pivot'!$C$3:$C$400)=TRIM($A108)) * ('MTD Pivot'!$D$2:$K$2=I$2) * 'MTD Pivot'!$D$3:$K$400), "")</f>
        <v/>
      </c>
      <c r="J108" s="193">
        <f>IF(SUMPRODUCT((('MTD Pivot'!$B$3:$B$400=$A$99) + ('MTD Pivot'!$A$3:$A$400=$A$99) &gt; 0) * (TRIM('MTD Pivot'!$C$3:$C$400)=TRIM($A108)) * ('MTD Pivot'!$D$2:$K$2=J$2) * 'MTD Pivot'!$D$3:$K$400)&gt;0, SUMPRODUCT((('MTD Pivot'!$B$3:$B$400=$A$99) + ('MTD Pivot'!$A$3:$A$400=$A$99) &gt; 0) * (TRIM('MTD Pivot'!$C$3:$C$400)=TRIM($A108)) * ('MTD Pivot'!$D$2:$K$2=J$2) * 'MTD Pivot'!$D$3:$K$400), "")</f>
        <v/>
      </c>
      <c r="K108" s="193">
        <f>IF(SUMPRODUCT((('MTD Pivot'!$B$3:$B$400=$A$99) + ('MTD Pivot'!$A$3:$A$400=$A$99) &gt; 0) * (TRIM('MTD Pivot'!$C$3:$C$400)=TRIM($A108)) * ('MTD Pivot'!$D$2:$K$2=K$2) * 'MTD Pivot'!$D$3:$K$400)&gt;0, SUMPRODUCT((('MTD Pivot'!$B$3:$B$400=$A$99) + ('MTD Pivot'!$A$3:$A$400=$A$99) &gt; 0) * (TRIM('MTD Pivot'!$C$3:$C$400)=TRIM($A108)) * ('MTD Pivot'!$D$2:$K$2=K$2) * 'MTD Pivot'!$D$3:$K$400), "")</f>
        <v/>
      </c>
      <c r="L108" s="193">
        <f>IF(SUMPRODUCT((('MTD Pivot'!$B$3:$B$400=$A$99) + ('MTD Pivot'!$A$3:$A$400=$A$99) &gt; 0) * (TRIM('MTD Pivot'!$C$3:$C$400)=TRIM($A108)) * ('MTD Pivot'!$D$2:$K$2=L$2) * 'MTD Pivot'!$D$3:$K$400)&gt;0, SUMPRODUCT((('MTD Pivot'!$B$3:$B$400=$A$99) + ('MTD Pivot'!$A$3:$A$400=$A$99) &gt; 0) * (TRIM('MTD Pivot'!$C$3:$C$400)=TRIM($A108)) * ('MTD Pivot'!$D$2:$K$2=L$2) * 'MTD Pivot'!$D$3:$K$400), "")</f>
        <v/>
      </c>
      <c r="M108" s="193">
        <f>IF(SUMPRODUCT((('MTD Pivot'!$B$3:$B$400=$A$99) + ('MTD Pivot'!$A$3:$A$400=$A$99) &gt; 0) * (TRIM('MTD Pivot'!$C$3:$C$400)=TRIM($A108)) * ('MTD Pivot'!$D$2:$K$2=M$2) * 'MTD Pivot'!$D$3:$K$400)&gt;0, SUMPRODUCT((('MTD Pivot'!$B$3:$B$400=$A$99) + ('MTD Pivot'!$A$3:$A$400=$A$99) &gt; 0) * (TRIM('MTD Pivot'!$C$3:$C$400)=TRIM($A108)) * ('MTD Pivot'!$D$2:$K$2=M$2) * 'MTD Pivot'!$D$3:$K$400), "")</f>
        <v/>
      </c>
      <c r="N108" s="157">
        <f>IF(AND(ISNUMBER(K108), ISNUMBER(J108), J108&gt;0), (K108-J108)/J108, "")</f>
        <v/>
      </c>
      <c r="O108" s="193">
        <f>IF(SUMPRODUCT((('Full month Pivot'!$B$3:$B$400=$A$99) + ('Full month Pivot'!$A$3:$A$400=$A$99) &gt; 0) * (TRIM('Full month Pivot'!$C$3:$C$400)=TRIM($A108)) * ('Full month Pivot'!$D$2:$K$2=O$2) * 'Full month Pivot'!$D$3:$K$400)&gt;0, SUMPRODUCT((('Full month Pivot'!$B$3:$B$400=$A$99) + ('Full month Pivot'!$A$3:$A$400=$A$99) &gt; 0) * (TRIM('Full month Pivot'!$C$3:$C$400)=TRIM($A108)) * ('Full month Pivot'!$D$2:$K$2=O$2) * 'Full month Pivot'!$D$3:$K$400), "")</f>
        <v/>
      </c>
      <c r="P108" s="193">
        <f>IF(SUMPRODUCT((('Full month Pivot'!$B$3:$B$400=$A$99) + ('Full month Pivot'!$A$3:$A$400=$A$99) &gt; 0) * (TRIM('Full month Pivot'!$C$3:$C$400)=TRIM($A108)) * ('Full month Pivot'!$D$2:$K$2=P$2) * 'Full month Pivot'!$D$3:$K$400)&gt;0, SUMPRODUCT((('Full month Pivot'!$B$3:$B$400=$A$99) + ('Full month Pivot'!$A$3:$A$400=$A$99) &gt; 0) * (TRIM('Full month Pivot'!$C$3:$C$400)=TRIM($A108)) * ('Full month Pivot'!$D$2:$K$2=P$2) * 'Full month Pivot'!$D$3:$K$400), "")</f>
        <v/>
      </c>
      <c r="Q108" s="193">
        <f>IF(SUMPRODUCT((('Full month Pivot'!$B$3:$B$400=$A$99) + ('Full month Pivot'!$A$3:$A$400=$A$99) &gt; 0) * (TRIM('Full month Pivot'!$C$3:$C$400)=TRIM($A108)) * ('Full month Pivot'!$D$2:$K$2=Q$2) * 'Full month Pivot'!$D$3:$K$400)&gt;0, SUMPRODUCT((('Full month Pivot'!$B$3:$B$400=$A$99) + ('Full month Pivot'!$A$3:$A$400=$A$99) &gt; 0) * (TRIM('Full month Pivot'!$C$3:$C$400)=TRIM($A108)) * ('Full month Pivot'!$D$2:$K$2=Q$2) * 'Full month Pivot'!$D$3:$K$400), "")</f>
        <v/>
      </c>
      <c r="R108" s="193">
        <f>IF(SUMPRODUCT((('Full month Pivot'!$B$3:$B$400=$A$99) + ('Full month Pivot'!$A$3:$A$400=$A$99) &gt; 0) * (TRIM('Full month Pivot'!$C$3:$C$400)=TRIM($A108)) * ('Full month Pivot'!$D$2:$K$2=R$2) * 'Full month Pivot'!$D$3:$K$400)&gt;0, SUMPRODUCT((('Full month Pivot'!$B$3:$B$400=$A$99) + ('Full month Pivot'!$A$3:$A$400=$A$99) &gt; 0) * (TRIM('Full month Pivot'!$C$3:$C$400)=TRIM($A108)) * ('Full month Pivot'!$D$2:$K$2=R$2) * 'Full month Pivot'!$D$3:$K$400), "")</f>
        <v/>
      </c>
      <c r="S108" s="193">
        <f>IF(SUMPRODUCT((('Full month Pivot'!$B$3:$B$400=$A$99) + ('Full month Pivot'!$A$3:$A$400=$A$99) &gt; 0) * (TRIM('Full month Pivot'!$C$3:$C$400)=TRIM($A108)) * ('Full month Pivot'!$D$2:$K$2=S$2) * 'Full month Pivot'!$D$3:$K$400)&gt;0, SUMPRODUCT((('Full month Pivot'!$B$3:$B$400=$A$99) + ('Full month Pivot'!$A$3:$A$400=$A$99) &gt; 0) * (TRIM('Full month Pivot'!$C$3:$C$400)=TRIM($A108)) * ('Full month Pivot'!$D$2:$K$2=S$2) * 'Full month Pivot'!$D$3:$K$400), "")</f>
        <v/>
      </c>
      <c r="T108" s="193">
        <f>IF(SUMPRODUCT((('Full month Pivot'!$B$3:$B$400=$A$99) + ('Full month Pivot'!$A$3:$A$400=$A$99) &gt; 0) * (TRIM('Full month Pivot'!$C$3:$C$400)=TRIM($A108)) * ('Full month Pivot'!$D$2:$K$2=T$2) * 'Full month Pivot'!$D$3:$K$400)&gt;0, SUMPRODUCT((('Full month Pivot'!$B$3:$B$400=$A$99) + ('Full month Pivot'!$A$3:$A$400=$A$99) &gt; 0) * (TRIM('Full month Pivot'!$C$3:$C$400)=TRIM($A108)) * ('Full month Pivot'!$D$2:$K$2=T$2) * 'Full month Pivot'!$D$3:$K$400), "")</f>
        <v/>
      </c>
      <c r="U108" s="193">
        <f>IF(SUMPRODUCT((('Full month Pivot'!$B$3:$B$400=$A$99) + ('Full month Pivot'!$A$3:$A$400=$A$99) &gt; 0) * (TRIM('Full month Pivot'!$C$3:$C$400)=TRIM($A108)) * ('Full month Pivot'!$D$2:$K$2=U$2) * 'Full month Pivot'!$D$3:$K$400)&gt;0, SUMPRODUCT((('Full month Pivot'!$B$3:$B$400=$A$99) + ('Full month Pivot'!$A$3:$A$400=$A$99) &gt; 0) * (TRIM('Full month Pivot'!$C$3:$C$400)=TRIM($A108)) * ('Full month Pivot'!$D$2:$K$2=U$2) * 'Full month Pivot'!$D$3:$K$400), "")</f>
        <v/>
      </c>
      <c r="V108" s="193">
        <f>IF(SUMPRODUCT((('Full month Pivot'!$B$3:$B$400=$A$99) + ('Full month Pivot'!$A$3:$A$400=$A$99) &gt; 0) * (TRIM('Full month Pivot'!$C$3:$C$400)=TRIM($A108)) * ('Full month Pivot'!$D$2:$K$2=V$2) * 'Full month Pivot'!$D$3:$K$400)&gt;0, SUMPRODUCT((('Full month Pivot'!$B$3:$B$400=$A$99) + ('Full month Pivot'!$A$3:$A$400=$A$99) &gt; 0) * (TRIM('Full month Pivot'!$C$3:$C$400)=TRIM($A108)) * ('Full month Pivot'!$D$2:$K$2=V$2) * 'Full month Pivot'!$D$3:$K$400), "")</f>
        <v/>
      </c>
      <c r="W108" s="193">
        <f>IF(SUMPRODUCT((('Full month Pivot'!$B$3:$B$400=$A$99) + ('Full month Pivot'!$A$3:$A$400=$A$99) &gt; 0) * (TRIM('Full month Pivot'!$C$3:$C$400)=TRIM($A108)) * ('Full month Pivot'!$D$2:$K$2=W$2) * 'Full month Pivot'!$D$3:$K$400)&gt;0, SUMPRODUCT((('Full month Pivot'!$B$3:$B$400=$A$99) + ('Full month Pivot'!$A$3:$A$400=$A$99) &gt; 0) * (TRIM('Full month Pivot'!$C$3:$C$400)=TRIM($A108)) * ('Full month Pivot'!$D$2:$K$2=W$2) * 'Full month Pivot'!$D$3:$K$400), "")</f>
        <v/>
      </c>
      <c r="X108" s="193">
        <f>IF(SUMPRODUCT((('Full month Pivot'!$B$3:$B$400=$A$99) + ('Full month Pivot'!$A$3:$A$400=$A$99) &gt; 0) * (TRIM('Full month Pivot'!$C$3:$C$400)=TRIM($A108)) * ('Full month Pivot'!$D$2:$K$2=X$2) * 'Full month Pivot'!$D$3:$K$400)&gt;0, SUMPRODUCT((('Full month Pivot'!$B$3:$B$400=$A$99) + ('Full month Pivot'!$A$3:$A$400=$A$99) &gt; 0) * (TRIM('Full month Pivot'!$C$3:$C$400)=TRIM($A108)) * ('Full month Pivot'!$D$2:$K$2=X$2) * 'Full month Pivot'!$D$3:$K$400), "")</f>
        <v/>
      </c>
      <c r="Y108" s="193">
        <f>IF(SUMPRODUCT((('Full month Pivot'!$B$3:$B$400=$A$99) + ('Full month Pivot'!$A$3:$A$400=$A$99) &gt; 0) * (TRIM('Full month Pivot'!$C$3:$C$400)=TRIM($A108)) * ('Full month Pivot'!$D$2:$K$2=Y$2) * 'Full month Pivot'!$D$3:$K$400)&gt;0, SUMPRODUCT((('Full month Pivot'!$B$3:$B$400=$A$99) + ('Full month Pivot'!$A$3:$A$400=$A$99) &gt; 0) * (TRIM('Full month Pivot'!$C$3:$C$400)=TRIM($A108)) * ('Full month Pivot'!$D$2:$K$2=Y$2) * 'Full month Pivot'!$D$3:$K$400), "")</f>
        <v/>
      </c>
      <c r="Z108" s="193">
        <f>IF(SUMPRODUCT((('Full month Pivot'!$B$3:$B$400=$A$99) + ('Full month Pivot'!$A$3:$A$400=$A$99) &gt; 0) * (TRIM('Full month Pivot'!$C$3:$C$400)=TRIM($A108)) * ('Full month Pivot'!$D$2:$K$2=Z$2) * 'Full month Pivot'!$D$3:$K$400)&gt;0, SUMPRODUCT((('Full month Pivot'!$B$3:$B$400=$A$99) + ('Full month Pivot'!$A$3:$A$400=$A$99) &gt; 0) * (TRIM('Full month Pivot'!$C$3:$C$400)=TRIM($A108)) * ('Full month Pivot'!$D$2:$K$2=Z$2) * 'Full month Pivot'!$D$3:$K$400), "")</f>
        <v/>
      </c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202" t="inlineStr">
        <is>
          <t xml:space="preserve">  Others</t>
        </is>
      </c>
      <c r="B109" s="193">
        <f>IF(SUMPRODUCT((('MTD Pivot'!$B$3:$B$400=$A$99) + ('MTD Pivot'!$A$3:$A$400=$A$99) &gt; 0) * (TRIM('MTD Pivot'!$C$3:$C$400)=TRIM($A109)) * ('MTD Pivot'!$D$2:$K$2=B$2) * 'MTD Pivot'!$D$3:$K$400)&gt;0, SUMPRODUCT((('MTD Pivot'!$B$3:$B$400=$A$99) + ('MTD Pivot'!$A$3:$A$400=$A$99) &gt; 0) * (TRIM('MTD Pivot'!$C$3:$C$400)=TRIM($A109)) * ('MTD Pivot'!$D$2:$K$2=B$2) * 'MTD Pivot'!$D$3:$K$400), "")</f>
        <v/>
      </c>
      <c r="C109" s="193">
        <f>IF(SUMPRODUCT((('MTD Pivot'!$B$3:$B$400=$A$99) + ('MTD Pivot'!$A$3:$A$400=$A$99) &gt; 0) * (TRIM('MTD Pivot'!$C$3:$C$400)=TRIM($A109)) * ('MTD Pivot'!$D$2:$K$2=C$2) * 'MTD Pivot'!$D$3:$K$400)&gt;0, SUMPRODUCT((('MTD Pivot'!$B$3:$B$400=$A$99) + ('MTD Pivot'!$A$3:$A$400=$A$99) &gt; 0) * (TRIM('MTD Pivot'!$C$3:$C$400)=TRIM($A109)) * ('MTD Pivot'!$D$2:$K$2=C$2) * 'MTD Pivot'!$D$3:$K$400), "")</f>
        <v/>
      </c>
      <c r="D109" s="193">
        <f>IF(SUMPRODUCT((('MTD Pivot'!$B$3:$B$400=$A$99) + ('MTD Pivot'!$A$3:$A$400=$A$99) &gt; 0) * (TRIM('MTD Pivot'!$C$3:$C$400)=TRIM($A109)) * ('MTD Pivot'!$D$2:$K$2=D$2) * 'MTD Pivot'!$D$3:$K$400)&gt;0, SUMPRODUCT((('MTD Pivot'!$B$3:$B$400=$A$99) + ('MTD Pivot'!$A$3:$A$400=$A$99) &gt; 0) * (TRIM('MTD Pivot'!$C$3:$C$400)=TRIM($A109)) * ('MTD Pivot'!$D$2:$K$2=D$2) * 'MTD Pivot'!$D$3:$K$400), "")</f>
        <v/>
      </c>
      <c r="E109" s="193">
        <f>IF(SUMPRODUCT((('MTD Pivot'!$B$3:$B$400=$A$99) + ('MTD Pivot'!$A$3:$A$400=$A$99) &gt; 0) * (TRIM('MTD Pivot'!$C$3:$C$400)=TRIM($A109)) * ('MTD Pivot'!$D$2:$K$2=E$2) * 'MTD Pivot'!$D$3:$K$400)&gt;0, SUMPRODUCT((('MTD Pivot'!$B$3:$B$400=$A$99) + ('MTD Pivot'!$A$3:$A$400=$A$99) &gt; 0) * (TRIM('MTD Pivot'!$C$3:$C$400)=TRIM($A109)) * ('MTD Pivot'!$D$2:$K$2=E$2) * 'MTD Pivot'!$D$3:$K$400), "")</f>
        <v/>
      </c>
      <c r="F109" s="193">
        <f>IF(SUMPRODUCT((('MTD Pivot'!$B$3:$B$400=$A$99) + ('MTD Pivot'!$A$3:$A$400=$A$99) &gt; 0) * (TRIM('MTD Pivot'!$C$3:$C$400)=TRIM($A109)) * ('MTD Pivot'!$D$2:$K$2=F$2) * 'MTD Pivot'!$D$3:$K$400)&gt;0, SUMPRODUCT((('MTD Pivot'!$B$3:$B$400=$A$99) + ('MTD Pivot'!$A$3:$A$400=$A$99) &gt; 0) * (TRIM('MTD Pivot'!$C$3:$C$400)=TRIM($A109)) * ('MTD Pivot'!$D$2:$K$2=F$2) * 'MTD Pivot'!$D$3:$K$400), "")</f>
        <v/>
      </c>
      <c r="G109" s="193">
        <f>IF(SUMPRODUCT((('MTD Pivot'!$B$3:$B$400=$A$99) + ('MTD Pivot'!$A$3:$A$400=$A$99) &gt; 0) * (TRIM('MTD Pivot'!$C$3:$C$400)=TRIM($A109)) * ('MTD Pivot'!$D$2:$K$2=G$2) * 'MTD Pivot'!$D$3:$K$400)&gt;0, SUMPRODUCT((('MTD Pivot'!$B$3:$B$400=$A$99) + ('MTD Pivot'!$A$3:$A$400=$A$99) &gt; 0) * (TRIM('MTD Pivot'!$C$3:$C$400)=TRIM($A109)) * ('MTD Pivot'!$D$2:$K$2=G$2) * 'MTD Pivot'!$D$3:$K$400), "")</f>
        <v/>
      </c>
      <c r="H109" s="193">
        <f>IF(SUMPRODUCT((('MTD Pivot'!$B$3:$B$400=$A$99) + ('MTD Pivot'!$A$3:$A$400=$A$99) &gt; 0) * (TRIM('MTD Pivot'!$C$3:$C$400)=TRIM($A109)) * ('MTD Pivot'!$D$2:$K$2=H$2) * 'MTD Pivot'!$D$3:$K$400)&gt;0, SUMPRODUCT((('MTD Pivot'!$B$3:$B$400=$A$99) + ('MTD Pivot'!$A$3:$A$400=$A$99) &gt; 0) * (TRIM('MTD Pivot'!$C$3:$C$400)=TRIM($A109)) * ('MTD Pivot'!$D$2:$K$2=H$2) * 'MTD Pivot'!$D$3:$K$400), "")</f>
        <v/>
      </c>
      <c r="I109" s="193">
        <f>IF(SUMPRODUCT((('MTD Pivot'!$B$3:$B$400=$A$99) + ('MTD Pivot'!$A$3:$A$400=$A$99) &gt; 0) * (TRIM('MTD Pivot'!$C$3:$C$400)=TRIM($A109)) * ('MTD Pivot'!$D$2:$K$2=I$2) * 'MTD Pivot'!$D$3:$K$400)&gt;0, SUMPRODUCT((('MTD Pivot'!$B$3:$B$400=$A$99) + ('MTD Pivot'!$A$3:$A$400=$A$99) &gt; 0) * (TRIM('MTD Pivot'!$C$3:$C$400)=TRIM($A109)) * ('MTD Pivot'!$D$2:$K$2=I$2) * 'MTD Pivot'!$D$3:$K$400), "")</f>
        <v/>
      </c>
      <c r="J109" s="193">
        <f>IF(SUMPRODUCT((('MTD Pivot'!$B$3:$B$400=$A$99) + ('MTD Pivot'!$A$3:$A$400=$A$99) &gt; 0) * (TRIM('MTD Pivot'!$C$3:$C$400)=TRIM($A109)) * ('MTD Pivot'!$D$2:$K$2=J$2) * 'MTD Pivot'!$D$3:$K$400)&gt;0, SUMPRODUCT((('MTD Pivot'!$B$3:$B$400=$A$99) + ('MTD Pivot'!$A$3:$A$400=$A$99) &gt; 0) * (TRIM('MTD Pivot'!$C$3:$C$400)=TRIM($A109)) * ('MTD Pivot'!$D$2:$K$2=J$2) * 'MTD Pivot'!$D$3:$K$400), "")</f>
        <v/>
      </c>
      <c r="K109" s="193">
        <f>IF(SUMPRODUCT((('MTD Pivot'!$B$3:$B$400=$A$99) + ('MTD Pivot'!$A$3:$A$400=$A$99) &gt; 0) * (TRIM('MTD Pivot'!$C$3:$C$400)=TRIM($A109)) * ('MTD Pivot'!$D$2:$K$2=K$2) * 'MTD Pivot'!$D$3:$K$400)&gt;0, SUMPRODUCT((('MTD Pivot'!$B$3:$B$400=$A$99) + ('MTD Pivot'!$A$3:$A$400=$A$99) &gt; 0) * (TRIM('MTD Pivot'!$C$3:$C$400)=TRIM($A109)) * ('MTD Pivot'!$D$2:$K$2=K$2) * 'MTD Pivot'!$D$3:$K$400), "")</f>
        <v/>
      </c>
      <c r="L109" s="193">
        <f>IF(SUMPRODUCT((('MTD Pivot'!$B$3:$B$400=$A$99) + ('MTD Pivot'!$A$3:$A$400=$A$99) &gt; 0) * (TRIM('MTD Pivot'!$C$3:$C$400)=TRIM($A109)) * ('MTD Pivot'!$D$2:$K$2=L$2) * 'MTD Pivot'!$D$3:$K$400)&gt;0, SUMPRODUCT((('MTD Pivot'!$B$3:$B$400=$A$99) + ('MTD Pivot'!$A$3:$A$400=$A$99) &gt; 0) * (TRIM('MTD Pivot'!$C$3:$C$400)=TRIM($A109)) * ('MTD Pivot'!$D$2:$K$2=L$2) * 'MTD Pivot'!$D$3:$K$400), "")</f>
        <v/>
      </c>
      <c r="M109" s="193">
        <f>IF(SUMPRODUCT((('MTD Pivot'!$B$3:$B$400=$A$99) + ('MTD Pivot'!$A$3:$A$400=$A$99) &gt; 0) * (TRIM('MTD Pivot'!$C$3:$C$400)=TRIM($A109)) * ('MTD Pivot'!$D$2:$K$2=M$2) * 'MTD Pivot'!$D$3:$K$400)&gt;0, SUMPRODUCT((('MTD Pivot'!$B$3:$B$400=$A$99) + ('MTD Pivot'!$A$3:$A$400=$A$99) &gt; 0) * (TRIM('MTD Pivot'!$C$3:$C$400)=TRIM($A109)) * ('MTD Pivot'!$D$2:$K$2=M$2) * 'MTD Pivot'!$D$3:$K$400), "")</f>
        <v/>
      </c>
      <c r="N109" s="157">
        <f>IF(AND(ISNUMBER(K109), ISNUMBER(J109), J109&gt;0), (K109-J109)/J109, "")</f>
        <v/>
      </c>
      <c r="O109" s="193">
        <f>IF(SUMPRODUCT((('Full month Pivot'!$B$3:$B$400=$A$99) + ('Full month Pivot'!$A$3:$A$400=$A$99) &gt; 0) * (TRIM('Full month Pivot'!$C$3:$C$400)=TRIM($A109)) * ('Full month Pivot'!$D$2:$K$2=O$2) * 'Full month Pivot'!$D$3:$K$400)&gt;0, SUMPRODUCT((('Full month Pivot'!$B$3:$B$400=$A$99) + ('Full month Pivot'!$A$3:$A$400=$A$99) &gt; 0) * (TRIM('Full month Pivot'!$C$3:$C$400)=TRIM($A109)) * ('Full month Pivot'!$D$2:$K$2=O$2) * 'Full month Pivot'!$D$3:$K$400), "")</f>
        <v/>
      </c>
      <c r="P109" s="193">
        <f>IF(SUMPRODUCT((('Full month Pivot'!$B$3:$B$400=$A$99) + ('Full month Pivot'!$A$3:$A$400=$A$99) &gt; 0) * (TRIM('Full month Pivot'!$C$3:$C$400)=TRIM($A109)) * ('Full month Pivot'!$D$2:$K$2=P$2) * 'Full month Pivot'!$D$3:$K$400)&gt;0, SUMPRODUCT((('Full month Pivot'!$B$3:$B$400=$A$99) + ('Full month Pivot'!$A$3:$A$400=$A$99) &gt; 0) * (TRIM('Full month Pivot'!$C$3:$C$400)=TRIM($A109)) * ('Full month Pivot'!$D$2:$K$2=P$2) * 'Full month Pivot'!$D$3:$K$400), "")</f>
        <v/>
      </c>
      <c r="Q109" s="193">
        <f>IF(SUMPRODUCT((('Full month Pivot'!$B$3:$B$400=$A$99) + ('Full month Pivot'!$A$3:$A$400=$A$99) &gt; 0) * (TRIM('Full month Pivot'!$C$3:$C$400)=TRIM($A109)) * ('Full month Pivot'!$D$2:$K$2=Q$2) * 'Full month Pivot'!$D$3:$K$400)&gt;0, SUMPRODUCT((('Full month Pivot'!$B$3:$B$400=$A$99) + ('Full month Pivot'!$A$3:$A$400=$A$99) &gt; 0) * (TRIM('Full month Pivot'!$C$3:$C$400)=TRIM($A109)) * ('Full month Pivot'!$D$2:$K$2=Q$2) * 'Full month Pivot'!$D$3:$K$400), "")</f>
        <v/>
      </c>
      <c r="R109" s="193">
        <f>IF(SUMPRODUCT((('Full month Pivot'!$B$3:$B$400=$A$99) + ('Full month Pivot'!$A$3:$A$400=$A$99) &gt; 0) * (TRIM('Full month Pivot'!$C$3:$C$400)=TRIM($A109)) * ('Full month Pivot'!$D$2:$K$2=R$2) * 'Full month Pivot'!$D$3:$K$400)&gt;0, SUMPRODUCT((('Full month Pivot'!$B$3:$B$400=$A$99) + ('Full month Pivot'!$A$3:$A$400=$A$99) &gt; 0) * (TRIM('Full month Pivot'!$C$3:$C$400)=TRIM($A109)) * ('Full month Pivot'!$D$2:$K$2=R$2) * 'Full month Pivot'!$D$3:$K$400), "")</f>
        <v/>
      </c>
      <c r="S109" s="193">
        <f>IF(SUMPRODUCT((('Full month Pivot'!$B$3:$B$400=$A$99) + ('Full month Pivot'!$A$3:$A$400=$A$99) &gt; 0) * (TRIM('Full month Pivot'!$C$3:$C$400)=TRIM($A109)) * ('Full month Pivot'!$D$2:$K$2=S$2) * 'Full month Pivot'!$D$3:$K$400)&gt;0, SUMPRODUCT((('Full month Pivot'!$B$3:$B$400=$A$99) + ('Full month Pivot'!$A$3:$A$400=$A$99) &gt; 0) * (TRIM('Full month Pivot'!$C$3:$C$400)=TRIM($A109)) * ('Full month Pivot'!$D$2:$K$2=S$2) * 'Full month Pivot'!$D$3:$K$400), "")</f>
        <v/>
      </c>
      <c r="T109" s="193">
        <f>IF(SUMPRODUCT((('Full month Pivot'!$B$3:$B$400=$A$99) + ('Full month Pivot'!$A$3:$A$400=$A$99) &gt; 0) * (TRIM('Full month Pivot'!$C$3:$C$400)=TRIM($A109)) * ('Full month Pivot'!$D$2:$K$2=T$2) * 'Full month Pivot'!$D$3:$K$400)&gt;0, SUMPRODUCT((('Full month Pivot'!$B$3:$B$400=$A$99) + ('Full month Pivot'!$A$3:$A$400=$A$99) &gt; 0) * (TRIM('Full month Pivot'!$C$3:$C$400)=TRIM($A109)) * ('Full month Pivot'!$D$2:$K$2=T$2) * 'Full month Pivot'!$D$3:$K$400), "")</f>
        <v/>
      </c>
      <c r="U109" s="193">
        <f>IF(SUMPRODUCT((('Full month Pivot'!$B$3:$B$400=$A$99) + ('Full month Pivot'!$A$3:$A$400=$A$99) &gt; 0) * (TRIM('Full month Pivot'!$C$3:$C$400)=TRIM($A109)) * ('Full month Pivot'!$D$2:$K$2=U$2) * 'Full month Pivot'!$D$3:$K$400)&gt;0, SUMPRODUCT((('Full month Pivot'!$B$3:$B$400=$A$99) + ('Full month Pivot'!$A$3:$A$400=$A$99) &gt; 0) * (TRIM('Full month Pivot'!$C$3:$C$400)=TRIM($A109)) * ('Full month Pivot'!$D$2:$K$2=U$2) * 'Full month Pivot'!$D$3:$K$400), "")</f>
        <v/>
      </c>
      <c r="V109" s="193">
        <f>IF(SUMPRODUCT((('Full month Pivot'!$B$3:$B$400=$A$99) + ('Full month Pivot'!$A$3:$A$400=$A$99) &gt; 0) * (TRIM('Full month Pivot'!$C$3:$C$400)=TRIM($A109)) * ('Full month Pivot'!$D$2:$K$2=V$2) * 'Full month Pivot'!$D$3:$K$400)&gt;0, SUMPRODUCT((('Full month Pivot'!$B$3:$B$400=$A$99) + ('Full month Pivot'!$A$3:$A$400=$A$99) &gt; 0) * (TRIM('Full month Pivot'!$C$3:$C$400)=TRIM($A109)) * ('Full month Pivot'!$D$2:$K$2=V$2) * 'Full month Pivot'!$D$3:$K$400), "")</f>
        <v/>
      </c>
      <c r="W109" s="193">
        <f>IF(SUMPRODUCT((('Full month Pivot'!$B$3:$B$400=$A$99) + ('Full month Pivot'!$A$3:$A$400=$A$99) &gt; 0) * (TRIM('Full month Pivot'!$C$3:$C$400)=TRIM($A109)) * ('Full month Pivot'!$D$2:$K$2=W$2) * 'Full month Pivot'!$D$3:$K$400)&gt;0, SUMPRODUCT((('Full month Pivot'!$B$3:$B$400=$A$99) + ('Full month Pivot'!$A$3:$A$400=$A$99) &gt; 0) * (TRIM('Full month Pivot'!$C$3:$C$400)=TRIM($A109)) * ('Full month Pivot'!$D$2:$K$2=W$2) * 'Full month Pivot'!$D$3:$K$400), "")</f>
        <v/>
      </c>
      <c r="X109" s="193">
        <f>IF(SUMPRODUCT((('Full month Pivot'!$B$3:$B$400=$A$99) + ('Full month Pivot'!$A$3:$A$400=$A$99) &gt; 0) * (TRIM('Full month Pivot'!$C$3:$C$400)=TRIM($A109)) * ('Full month Pivot'!$D$2:$K$2=X$2) * 'Full month Pivot'!$D$3:$K$400)&gt;0, SUMPRODUCT((('Full month Pivot'!$B$3:$B$400=$A$99) + ('Full month Pivot'!$A$3:$A$400=$A$99) &gt; 0) * (TRIM('Full month Pivot'!$C$3:$C$400)=TRIM($A109)) * ('Full month Pivot'!$D$2:$K$2=X$2) * 'Full month Pivot'!$D$3:$K$400), "")</f>
        <v/>
      </c>
      <c r="Y109" s="193">
        <f>IF(SUMPRODUCT((('Full month Pivot'!$B$3:$B$400=$A$99) + ('Full month Pivot'!$A$3:$A$400=$A$99) &gt; 0) * (TRIM('Full month Pivot'!$C$3:$C$400)=TRIM($A109)) * ('Full month Pivot'!$D$2:$K$2=Y$2) * 'Full month Pivot'!$D$3:$K$400)&gt;0, SUMPRODUCT((('Full month Pivot'!$B$3:$B$400=$A$99) + ('Full month Pivot'!$A$3:$A$400=$A$99) &gt; 0) * (TRIM('Full month Pivot'!$C$3:$C$400)=TRIM($A109)) * ('Full month Pivot'!$D$2:$K$2=Y$2) * 'Full month Pivot'!$D$3:$K$400), "")</f>
        <v/>
      </c>
      <c r="Z109" s="193">
        <f>IF(SUMPRODUCT((('Full month Pivot'!$B$3:$B$400=$A$99) + ('Full month Pivot'!$A$3:$A$400=$A$99) &gt; 0) * (TRIM('Full month Pivot'!$C$3:$C$400)=TRIM($A109)) * ('Full month Pivot'!$D$2:$K$2=Z$2) * 'Full month Pivot'!$D$3:$K$400)&gt;0, SUMPRODUCT((('Full month Pivot'!$B$3:$B$400=$A$99) + ('Full month Pivot'!$A$3:$A$400=$A$99) &gt; 0) * (TRIM('Full month Pivot'!$C$3:$C$400)=TRIM($A109)) * ('Full month Pivot'!$D$2:$K$2=Z$2) * 'Full month Pivot'!$D$3:$K$400), "")</f>
        <v/>
      </c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202" t="n"/>
      <c r="B110" s="202" t="n"/>
      <c r="C110" s="202" t="n"/>
      <c r="D110" s="202" t="n"/>
      <c r="E110" s="202" t="n"/>
      <c r="F110" s="202" t="n"/>
      <c r="G110" s="202" t="n"/>
      <c r="H110" s="202" t="n"/>
      <c r="I110" s="202" t="n"/>
      <c r="J110" s="202" t="n"/>
      <c r="K110" s="202" t="n"/>
      <c r="L110" s="202" t="n"/>
      <c r="M110" s="202" t="n"/>
      <c r="N110" s="202" t="n"/>
      <c r="O110" s="202" t="n"/>
      <c r="P110" s="202" t="n"/>
      <c r="Q110" s="202" t="n"/>
      <c r="R110" s="202" t="n"/>
      <c r="S110" s="202" t="n"/>
      <c r="T110" s="202" t="n"/>
      <c r="U110" s="202" t="n"/>
      <c r="V110" s="202" t="n"/>
      <c r="W110" s="202" t="n"/>
      <c r="X110" s="202" t="n"/>
      <c r="Y110" s="202" t="n"/>
      <c r="Z110" s="202" t="n"/>
      <c r="AA110" s="202" t="n"/>
      <c r="AB110" s="140" t="n"/>
      <c r="AC110" s="140" t="n"/>
      <c r="AD110" s="140" t="n"/>
    </row>
    <row r="111" ht="15.75" customHeight="1" s="346">
      <c r="A111" s="145" t="inlineStr">
        <is>
          <t>Vé Xe</t>
        </is>
      </c>
      <c r="B111" s="145" t="n"/>
      <c r="C111" s="145" t="n"/>
      <c r="D111" s="145" t="n"/>
      <c r="E111" s="145" t="n"/>
      <c r="F111" s="145" t="n"/>
      <c r="G111" s="145" t="n"/>
      <c r="H111" s="145" t="n"/>
      <c r="I111" s="145" t="n"/>
      <c r="J111" s="145" t="n"/>
      <c r="K111" s="145" t="n"/>
      <c r="L111" s="145" t="n"/>
      <c r="M111" s="145" t="n"/>
      <c r="N111" s="145" t="n"/>
      <c r="O111" s="145" t="n"/>
      <c r="P111" s="145" t="n"/>
      <c r="Q111" s="145" t="n"/>
      <c r="R111" s="145" t="n"/>
      <c r="S111" s="145" t="n"/>
      <c r="T111" s="145" t="n"/>
      <c r="U111" s="145" t="n"/>
      <c r="V111" s="145" t="n"/>
      <c r="W111" s="145" t="n"/>
      <c r="X111" s="145" t="n"/>
      <c r="Y111" s="145" t="n"/>
      <c r="Z111" s="145" t="n"/>
      <c r="AA111" s="145" t="n"/>
      <c r="AB111" s="140" t="n"/>
      <c r="AC111" s="140" t="n"/>
      <c r="AD111" s="140" t="n"/>
    </row>
    <row r="112" ht="15.75" customHeight="1" s="346">
      <c r="A112" s="146" t="inlineStr">
        <is>
          <t>Page views</t>
        </is>
      </c>
      <c r="B112" s="147">
        <f>IF(SUM(B117:B121)&gt;0, SUM(B117:B121), "")</f>
        <v/>
      </c>
      <c r="C112" s="147">
        <f>IF(SUM(C117:C121)&gt;0, SUM(C117:C121), "")</f>
        <v/>
      </c>
      <c r="D112" s="147">
        <f>IF(SUM(D117:D121)&gt;0, SUM(D117:D121), "")</f>
        <v/>
      </c>
      <c r="E112" s="147">
        <f>IF(SUM(E117:E121)&gt;0, SUM(E117:E121), "")</f>
        <v/>
      </c>
      <c r="F112" s="147">
        <f>IF(SUM(F117:F121)&gt;0, SUM(F117:F121), "")</f>
        <v/>
      </c>
      <c r="G112" s="147">
        <f>IF(SUM(G117:G121)&gt;0, SUM(G117:G121), "")</f>
        <v/>
      </c>
      <c r="H112" s="147">
        <f>IF(SUM(H117:H121)&gt;0, SUM(H117:H121), "")</f>
        <v/>
      </c>
      <c r="I112" s="147">
        <f>IF(SUM(I117:I121)&gt;0, SUM(I117:I121), "")</f>
        <v/>
      </c>
      <c r="J112" s="147">
        <f>IF(SUM(J117:J121)&gt;0, SUM(J117:J121), "")</f>
        <v/>
      </c>
      <c r="K112" s="147">
        <f>IF(SUM(K117:K121)&gt;0, SUM(K117:K121), "")</f>
        <v/>
      </c>
      <c r="L112" s="147">
        <f>IF(SUM(L117:L121)&gt;0, SUM(L117:L121), "")</f>
        <v/>
      </c>
      <c r="M112" s="147">
        <f>IF(SUM(M117:M121)&gt;0, SUM(M117:M121), "")</f>
        <v/>
      </c>
      <c r="N112" s="148">
        <f>IFERROR((K112-J112)/J112, "")</f>
        <v/>
      </c>
      <c r="O112" s="147">
        <f>IF(SUM(O117:O121)&gt;0, SUM(O117:O121), "")</f>
        <v/>
      </c>
      <c r="P112" s="147">
        <f>IF(SUM(P117:P121)&gt;0, SUM(P117:P121), "")</f>
        <v/>
      </c>
      <c r="Q112" s="147">
        <f>IF(SUM(Q117:Q121)&gt;0, SUM(Q117:Q121), "")</f>
        <v/>
      </c>
      <c r="R112" s="147">
        <f>IF(SUM(R117:R121)&gt;0, SUM(R117:R121), "")</f>
        <v/>
      </c>
      <c r="S112" s="147">
        <f>IF(SUM(S117:S121)&gt;0, SUM(S117:S121), "")</f>
        <v/>
      </c>
      <c r="T112" s="147">
        <f>IF(SUM(T117:T121)&gt;0, SUM(T117:T121), "")</f>
        <v/>
      </c>
      <c r="U112" s="147">
        <f>IF(SUM(U117:U121)&gt;0, SUM(U117:U121), "")</f>
        <v/>
      </c>
      <c r="V112" s="147">
        <f>IF(SUM(V117:V121)&gt;0, SUM(V117:V121), "")</f>
        <v/>
      </c>
      <c r="W112" s="147">
        <f>IF(SUM(W117:W121)&gt;0, SUM(W117:W121), "")</f>
        <v/>
      </c>
      <c r="X112" s="147">
        <f>IF(SUM(X117:X121)&gt;0, SUM(X117:X121), "")</f>
        <v/>
      </c>
      <c r="Y112" s="147">
        <f>IF(SUM(Y117:Y121)&gt;0, SUM(Y117:Y121), "")</f>
        <v/>
      </c>
      <c r="Z112" s="147">
        <f>IF(SUM(Z117:Z121)&gt;0, SUM(Z117:Z121), "")</f>
        <v/>
      </c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150" t="inlineStr">
        <is>
          <t xml:space="preserve">  Click CTA</t>
        </is>
      </c>
      <c r="B113" s="150" t="n"/>
      <c r="C113" s="150" t="n"/>
      <c r="D113" s="150" t="n"/>
      <c r="E113" s="150" t="n"/>
      <c r="F113" s="150" t="n">
        <v>663</v>
      </c>
      <c r="G113" s="150" t="n">
        <v>298</v>
      </c>
      <c r="H113" s="150" t="n">
        <v>727</v>
      </c>
      <c r="I113" s="150" t="n">
        <v>199</v>
      </c>
      <c r="J113" s="150" t="n">
        <v>96</v>
      </c>
      <c r="K113" s="150" t="n">
        <v>71</v>
      </c>
      <c r="L113" s="150" t="n"/>
      <c r="M113" s="150" t="n"/>
      <c r="N113" s="151">
        <f>IFERROR((K113-J113)/J113, "")</f>
        <v/>
      </c>
      <c r="O113" s="150" t="n"/>
      <c r="P113" s="150" t="n"/>
      <c r="Q113" s="150" t="n"/>
      <c r="R113" s="150" t="n"/>
      <c r="S113" s="150" t="n">
        <v>701</v>
      </c>
      <c r="T113" s="150" t="n">
        <v>374</v>
      </c>
      <c r="U113" s="150" t="n">
        <v>824</v>
      </c>
      <c r="V113" s="150" t="n">
        <v>209</v>
      </c>
      <c r="W113" s="150" t="n">
        <v>98</v>
      </c>
      <c r="X113" s="150" t="n">
        <v>71</v>
      </c>
      <c r="Y113" s="150" t="n"/>
      <c r="Z113" s="150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152" t="inlineStr">
        <is>
          <t xml:space="preserve">  Net change</t>
        </is>
      </c>
      <c r="B114" s="153" t="n"/>
      <c r="C114" s="153">
        <f>IF(AND(ISNUMBER(C112), ISNUMBER(B112), B112&gt;0, C112&gt;0), C112-B112, "")</f>
        <v/>
      </c>
      <c r="D114" s="153">
        <f>IF(AND(ISNUMBER(D112), ISNUMBER(C112), C112&gt;0, D112&gt;0), D112-C112, "")</f>
        <v/>
      </c>
      <c r="E114" s="153">
        <f>IF(AND(ISNUMBER(E112), ISNUMBER(D112), D112&gt;0, E112&gt;0), E112-D112, "")</f>
        <v/>
      </c>
      <c r="F114" s="153">
        <f>IF(AND(ISNUMBER(F112), ISNUMBER(E112), E112&gt;0, F112&gt;0), F112-E112, "")</f>
        <v/>
      </c>
      <c r="G114" s="153">
        <f>IF(AND(ISNUMBER(G112), ISNUMBER(F112), F112&gt;0, G112&gt;0), G112-F112, "")</f>
        <v/>
      </c>
      <c r="H114" s="153">
        <f>IF(AND(ISNUMBER(H112), ISNUMBER(G112), G112&gt;0, H112&gt;0), H112-G112, "")</f>
        <v/>
      </c>
      <c r="I114" s="153">
        <f>IF(AND(ISNUMBER(I112), ISNUMBER(H112), H112&gt;0, I112&gt;0), I112-H112, "")</f>
        <v/>
      </c>
      <c r="J114" s="153">
        <f>IF(AND(ISNUMBER(J112), ISNUMBER(I112), I112&gt;0, J112&gt;0), J112-I112, "")</f>
        <v/>
      </c>
      <c r="K114" s="153">
        <f>IF(AND(ISNUMBER(K112), ISNUMBER(J112), J112&gt;0, K112&gt;0), K112-J112, "")</f>
        <v/>
      </c>
      <c r="L114" s="153">
        <f>IF(AND(ISNUMBER(L112), ISNUMBER(K112), K112&gt;0, L112&gt;0), L112-K112, "")</f>
        <v/>
      </c>
      <c r="M114" s="153">
        <f>IF(AND(ISNUMBER(M112), ISNUMBER(L112), L112&gt;0, M112&gt;0), M112-L112, "")</f>
        <v/>
      </c>
      <c r="N114" s="153" t="n"/>
      <c r="O114" s="153" t="n"/>
      <c r="P114" s="153">
        <f>IF(AND(ISNUMBER(P112), ISNUMBER(O112), O112&gt;0, P112&gt;0), P112-O112, "")</f>
        <v/>
      </c>
      <c r="Q114" s="153">
        <f>IF(AND(ISNUMBER(Q112), ISNUMBER(P112), P112&gt;0, Q112&gt;0), Q112-P112, "")</f>
        <v/>
      </c>
      <c r="R114" s="153">
        <f>IF(AND(ISNUMBER(R112), ISNUMBER(Q112), Q112&gt;0, R112&gt;0), R112-Q112, "")</f>
        <v/>
      </c>
      <c r="S114" s="153">
        <f>IF(AND(ISNUMBER(S112), ISNUMBER(R112), R112&gt;0, S112&gt;0), S112-R112, "")</f>
        <v/>
      </c>
      <c r="T114" s="153">
        <f>IF(AND(ISNUMBER(T112), ISNUMBER(S112), S112&gt;0, T112&gt;0), T112-S112, "")</f>
        <v/>
      </c>
      <c r="U114" s="153">
        <f>IF(AND(ISNUMBER(U112), ISNUMBER(T112), T112&gt;0, U112&gt;0), U112-T112, "")</f>
        <v/>
      </c>
      <c r="V114" s="153">
        <f>IF(AND(ISNUMBER(V112), ISNUMBER(U112), U112&gt;0, V112&gt;0), V112-U112, "")</f>
        <v/>
      </c>
      <c r="W114" s="153">
        <f>IF(AND(ISNUMBER(W112), ISNUMBER(V112), V112&gt;0, W112&gt;0), W112-V112, "")</f>
        <v/>
      </c>
      <c r="X114" s="153">
        <f>IF(AND(ISNUMBER(X112), ISNUMBER(W112), W112&gt;0, X112&gt;0), X112-W112, "")</f>
        <v/>
      </c>
      <c r="Y114" s="153">
        <f>IF(AND(ISNUMBER(Y112), ISNUMBER(X112), X112&gt;0, Y112&gt;0), Y112-X112, "")</f>
        <v/>
      </c>
      <c r="Z114" s="153">
        <f>IF(AND(ISNUMBER(Z112), ISNUMBER(Y112), Y112&gt;0, Z112&gt;0), Z112-Y112, "")</f>
        <v/>
      </c>
      <c r="AA114" s="153" t="n"/>
      <c r="AB114" s="140" t="n"/>
      <c r="AC114" s="140" t="n"/>
      <c r="AD114" s="140" t="n"/>
    </row>
    <row r="115" ht="15.75" customHeight="1" s="346">
      <c r="A115" s="152" t="inlineStr">
        <is>
          <t xml:space="preserve">  % Growth rate</t>
        </is>
      </c>
      <c r="B115" s="203" t="n"/>
      <c r="C115" s="203">
        <f>IF(AND(ISNUMBER(C112), ISNUMBER(B112), B112&gt;0, C112&gt;0), (C112-B112)/B112, "")</f>
        <v/>
      </c>
      <c r="D115" s="203">
        <f>IF(AND(ISNUMBER(D112), ISNUMBER(C112), C112&gt;0, D112&gt;0), (D112-C112)/C112, "")</f>
        <v/>
      </c>
      <c r="E115" s="203">
        <f>IF(AND(ISNUMBER(E112), ISNUMBER(D112), D112&gt;0, E112&gt;0), (E112-D112)/D112, "")</f>
        <v/>
      </c>
      <c r="F115" s="203">
        <f>IF(AND(ISNUMBER(F112), ISNUMBER(E112), E112&gt;0, F112&gt;0), (F112-E112)/E112, "")</f>
        <v/>
      </c>
      <c r="G115" s="203">
        <f>IF(AND(ISNUMBER(G112), ISNUMBER(F112), F112&gt;0, G112&gt;0), (G112-F112)/F112, "")</f>
        <v/>
      </c>
      <c r="H115" s="203">
        <f>IF(AND(ISNUMBER(H112), ISNUMBER(G112), G112&gt;0, H112&gt;0), (H112-G112)/G112, "")</f>
        <v/>
      </c>
      <c r="I115" s="203">
        <f>IF(AND(ISNUMBER(I112), ISNUMBER(H112), H112&gt;0, I112&gt;0), (I112-H112)/H112, "")</f>
        <v/>
      </c>
      <c r="J115" s="203">
        <f>IF(AND(ISNUMBER(J112), ISNUMBER(I112), I112&gt;0, J112&gt;0), (J112-I112)/I112, "")</f>
        <v/>
      </c>
      <c r="K115" s="203">
        <f>IF(AND(ISNUMBER(K112), ISNUMBER(J112), J112&gt;0, K112&gt;0), (K112-J112)/J112, "")</f>
        <v/>
      </c>
      <c r="L115" s="203">
        <f>IF(AND(ISNUMBER(L112), ISNUMBER(K112), K112&gt;0, L112&gt;0), (L112-K112)/K112, "")</f>
        <v/>
      </c>
      <c r="M115" s="203">
        <f>IF(AND(ISNUMBER(M112), ISNUMBER(L112), L112&gt;0, M112&gt;0), (M112-L112)/L112, "")</f>
        <v/>
      </c>
      <c r="N115" s="203" t="n"/>
      <c r="O115" s="203" t="n"/>
      <c r="P115" s="203">
        <f>IF(AND(ISNUMBER(P112), ISNUMBER(O112), O112&gt;0, P112&gt;0), (P112-O112)/O112, "")</f>
        <v/>
      </c>
      <c r="Q115" s="203">
        <f>IF(AND(ISNUMBER(Q112), ISNUMBER(P112), P112&gt;0, Q112&gt;0), (Q112-P112)/P112, "")</f>
        <v/>
      </c>
      <c r="R115" s="203">
        <f>IF(AND(ISNUMBER(R112), ISNUMBER(Q112), Q112&gt;0, R112&gt;0), (R112-Q112)/Q112, "")</f>
        <v/>
      </c>
      <c r="S115" s="203">
        <f>IF(AND(ISNUMBER(S112), ISNUMBER(R112), R112&gt;0, S112&gt;0), (S112-R112)/R112, "")</f>
        <v/>
      </c>
      <c r="T115" s="203">
        <f>IF(AND(ISNUMBER(T112), ISNUMBER(S112), S112&gt;0, T112&gt;0), (T112-S112)/S112, "")</f>
        <v/>
      </c>
      <c r="U115" s="203">
        <f>IF(AND(ISNUMBER(U112), ISNUMBER(T112), T112&gt;0, U112&gt;0), (U112-T112)/T112, "")</f>
        <v/>
      </c>
      <c r="V115" s="203">
        <f>IF(AND(ISNUMBER(V112), ISNUMBER(U112), U112&gt;0, V112&gt;0), (V112-U112)/U112, "")</f>
        <v/>
      </c>
      <c r="W115" s="203">
        <f>IF(AND(ISNUMBER(W112), ISNUMBER(V112), V112&gt;0, W112&gt;0), (W112-V112)/V112, "")</f>
        <v/>
      </c>
      <c r="X115" s="203">
        <f>IF(AND(ISNUMBER(X112), ISNUMBER(W112), W112&gt;0, X112&gt;0), (X112-W112)/W112, "")</f>
        <v/>
      </c>
      <c r="Y115" s="203">
        <f>IF(AND(ISNUMBER(Y112), ISNUMBER(X112), X112&gt;0, Y112&gt;0), (Y112-X112)/X112, "")</f>
        <v/>
      </c>
      <c r="Z115" s="203">
        <f>IF(AND(ISNUMBER(Z112), ISNUMBER(Y112), Y112&gt;0, Z112&gt;0), (Z112-Y112)/Y112, "")</f>
        <v/>
      </c>
      <c r="AA115" s="203" t="n"/>
      <c r="AB115" s="140" t="n"/>
      <c r="AC115" s="140" t="n"/>
      <c r="AD115" s="140" t="n"/>
    </row>
    <row r="116" ht="15.75" customHeight="1" s="346">
      <c r="A116" s="202" t="inlineStr">
        <is>
          <t>Tỷ trọng trong tổng traffic</t>
        </is>
      </c>
      <c r="B116" s="156">
        <f t="array" ref="B116">IF(AND(ISNUMBER(B112), B112&gt;0), B112/INDEX('MTD Pivot'!$D$3:$K$400, MATCH("Grand Total", 'MTD Pivot'!$A$3:$A$400, 0), MATCH(B$2, 'MTD Pivot'!$D$2:$K$2, 0)), "")</f>
        <v/>
      </c>
      <c r="C116" s="156">
        <f t="array" ref="C116">IF(AND(ISNUMBER(C112), C112&gt;0), C112/INDEX('MTD Pivot'!$D$3:$K$400, MATCH("Grand Total", 'MTD Pivot'!$A$3:$A$400, 0), MATCH(C$2, 'MTD Pivot'!$D$2:$K$2, 0)), "")</f>
        <v/>
      </c>
      <c r="D116" s="156">
        <f t="array" ref="D116">IF(AND(ISNUMBER(D112), D112&gt;0), D112/INDEX('MTD Pivot'!$D$3:$K$400, MATCH("Grand Total", 'MTD Pivot'!$A$3:$A$400, 0), MATCH(D$2, 'MTD Pivot'!$D$2:$K$2, 0)), "")</f>
        <v/>
      </c>
      <c r="E116" s="156">
        <f t="array" ref="E116">IF(AND(ISNUMBER(E112), E112&gt;0), E112/INDEX('MTD Pivot'!$D$3:$K$400, MATCH("Grand Total", 'MTD Pivot'!$A$3:$A$400, 0), MATCH(E$2, 'MTD Pivot'!$D$2:$K$2, 0)), "")</f>
        <v/>
      </c>
      <c r="F116" s="156">
        <f t="array" ref="F116">IF(AND(ISNUMBER(F112), F112&gt;0), F112/INDEX('MTD Pivot'!$D$3:$K$400, MATCH("Grand Total", 'MTD Pivot'!$A$3:$A$400, 0), MATCH(F$2, 'MTD Pivot'!$D$2:$K$2, 0)), "")</f>
        <v/>
      </c>
      <c r="G116" s="156">
        <f t="array" ref="G116">IF(AND(ISNUMBER(G112), G112&gt;0), G112/INDEX('MTD Pivot'!$D$3:$K$400, MATCH("Grand Total", 'MTD Pivot'!$A$3:$A$400, 0), MATCH(G$2, 'MTD Pivot'!$D$2:$K$2, 0)), "")</f>
        <v/>
      </c>
      <c r="H116" s="156">
        <f t="array" ref="H116">IF(AND(ISNUMBER(H112), H112&gt;0), H112/INDEX('MTD Pivot'!$D$3:$K$400, MATCH("Grand Total", 'MTD Pivot'!$A$3:$A$400, 0), MATCH(H$2, 'MTD Pivot'!$D$2:$K$2, 0)), "")</f>
        <v/>
      </c>
      <c r="I116" s="156">
        <f t="array" ref="I116">IF(AND(ISNUMBER(I112), I112&gt;0), I112/INDEX('MTD Pivot'!$D$3:$K$400, MATCH("Grand Total", 'MTD Pivot'!$A$3:$A$400, 0), MATCH(I$2, 'MTD Pivot'!$D$2:$K$2, 0)), "")</f>
        <v/>
      </c>
      <c r="J116" s="156">
        <f t="array" ref="J116">IF(AND(ISNUMBER(J112), J112&gt;0), J112/INDEX('MTD Pivot'!$D$3:$K$400, MATCH("Grand Total", 'MTD Pivot'!$A$3:$A$400, 0), MATCH(J$2, 'MTD Pivot'!$D$2:$K$2, 0)), "")</f>
        <v/>
      </c>
      <c r="K116" s="156">
        <f t="array" ref="K116">IF(AND(ISNUMBER(K112), K112&gt;0), K112/INDEX('MTD Pivot'!$D$3:$K$400, MATCH("Grand Total", 'MTD Pivot'!$A$3:$A$400, 0), MATCH(K$2, 'MTD Pivot'!$D$2:$K$2, 0)), "")</f>
        <v/>
      </c>
      <c r="L116" s="156">
        <f t="array" ref="L116">IF(AND(ISNUMBER(L112), L112&gt;0), L112/INDEX('MTD Pivot'!$D$3:$K$400, MATCH("Grand Total", 'MTD Pivot'!$A$3:$A$400, 0), MATCH(L$2, 'MTD Pivot'!$D$2:$K$2, 0)), "")</f>
        <v/>
      </c>
      <c r="M116" s="156">
        <f t="array" ref="M116">IF(AND(ISNUMBER(M112), M112&gt;0), M112/INDEX('MTD Pivot'!$D$3:$K$400, MATCH("Grand Total", 'MTD Pivot'!$A$3:$A$400, 0), MATCH(M$2, 'MTD Pivot'!$D$2:$K$2, 0)), "")</f>
        <v/>
      </c>
      <c r="N116" s="157">
        <f>IF(AND(ISNUMBER(K116), ISNUMBER(J116)), K116-J116, "")</f>
        <v/>
      </c>
      <c r="O116" s="156">
        <f t="array" ref="O116">IF(AND(ISNUMBER(O112), O112&gt;0), O112/INDEX('Full month Pivot'!$D$3:$K$400, MATCH("Grand Total", 'Full month Pivot'!$A$3:$A$400, 0), MATCH(O$2, 'Full month Pivot'!$D$2:$K$2, 0)), "")</f>
        <v/>
      </c>
      <c r="P116" s="156">
        <f t="array" ref="P116">IF(AND(ISNUMBER(P112), P112&gt;0), P112/INDEX('Full month Pivot'!$D$3:$K$400, MATCH("Grand Total", 'Full month Pivot'!$A$3:$A$400, 0), MATCH(P$2, 'Full month Pivot'!$D$2:$K$2, 0)), "")</f>
        <v/>
      </c>
      <c r="Q116" s="156">
        <f t="array" ref="Q116">IF(AND(ISNUMBER(Q112), Q112&gt;0), Q112/INDEX('Full month Pivot'!$D$3:$K$400, MATCH("Grand Total", 'Full month Pivot'!$A$3:$A$400, 0), MATCH(Q$2, 'Full month Pivot'!$D$2:$K$2, 0)), "")</f>
        <v/>
      </c>
      <c r="R116" s="156">
        <f t="array" ref="R116">IF(AND(ISNUMBER(R112), R112&gt;0), R112/INDEX('Full month Pivot'!$D$3:$K$400, MATCH("Grand Total", 'Full month Pivot'!$A$3:$A$400, 0), MATCH(R$2, 'Full month Pivot'!$D$2:$K$2, 0)), "")</f>
        <v/>
      </c>
      <c r="S116" s="156">
        <f t="array" ref="S116">IF(AND(ISNUMBER(S112), S112&gt;0), S112/INDEX('Full month Pivot'!$D$3:$K$400, MATCH("Grand Total", 'Full month Pivot'!$A$3:$A$400, 0), MATCH(S$2, 'Full month Pivot'!$D$2:$K$2, 0)), "")</f>
        <v/>
      </c>
      <c r="T116" s="156">
        <f t="array" ref="T116">IF(AND(ISNUMBER(T112), T112&gt;0), T112/INDEX('Full month Pivot'!$D$3:$K$400, MATCH("Grand Total", 'Full month Pivot'!$A$3:$A$400, 0), MATCH(T$2, 'Full month Pivot'!$D$2:$K$2, 0)), "")</f>
        <v/>
      </c>
      <c r="U116" s="156">
        <f t="array" ref="U116">IF(AND(ISNUMBER(U112), U112&gt;0), U112/INDEX('Full month Pivot'!$D$3:$K$400, MATCH("Grand Total", 'Full month Pivot'!$A$3:$A$400, 0), MATCH(U$2, 'Full month Pivot'!$D$2:$K$2, 0)), "")</f>
        <v/>
      </c>
      <c r="V116" s="156">
        <f t="array" ref="V116">IF(AND(ISNUMBER(V112), V112&gt;0), V112/INDEX('Full month Pivot'!$D$3:$K$400, MATCH("Grand Total", 'Full month Pivot'!$A$3:$A$400, 0), MATCH(V$2, 'Full month Pivot'!$D$2:$K$2, 0)), "")</f>
        <v/>
      </c>
      <c r="W116" s="156">
        <f t="array" ref="W116">IF(AND(ISNUMBER(W112), W112&gt;0), W112/INDEX('Full month Pivot'!$D$3:$K$400, MATCH("Grand Total", 'Full month Pivot'!$A$3:$A$400, 0), MATCH(W$2, 'Full month Pivot'!$D$2:$K$2, 0)), "")</f>
        <v/>
      </c>
      <c r="X116" s="156">
        <f t="array" ref="X116">IF(AND(ISNUMBER(X112), X112&gt;0), X112/INDEX('Full month Pivot'!$D$3:$K$400, MATCH("Grand Total", 'Full month Pivot'!$A$3:$A$400, 0), MATCH(X$2, 'Full month Pivot'!$D$2:$K$2, 0)), "")</f>
        <v/>
      </c>
      <c r="Y116" s="156">
        <f t="array" ref="Y116">IF(AND(ISNUMBER(Y112), Y112&gt;0), Y112/INDEX('Full month Pivot'!$D$3:$K$400, MATCH("Grand Total", 'Full month Pivot'!$A$3:$A$400, 0), MATCH(Y$2, 'Full month Pivot'!$D$2:$K$2, 0)), "")</f>
        <v/>
      </c>
      <c r="Z116" s="156">
        <f t="array" ref="Z116">IF(AND(ISNUMBER(Z112), Z112&gt;0), Z112/INDEX('Full month Pivot'!$D$3:$K$400, MATCH("Grand Total", 'Full month Pivot'!$A$3:$A$400, 0), MATCH(Z$2, 'Full month Pivot'!$D$2:$K$2, 0)), "")</f>
        <v/>
      </c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202" t="inlineStr">
        <is>
          <t xml:space="preserve">  Organic</t>
        </is>
      </c>
      <c r="B117" s="193">
        <f>IF(SUMPRODUCT((('MTD Pivot'!$B$3:$B$400=$A$111) + ('MTD Pivot'!$A$3:$A$400=$A$111) &gt; 0) * (TRIM('MTD Pivot'!$C$3:$C$400)=TRIM($A117)) * ('MTD Pivot'!$D$2:$K$2=B$2) * 'MTD Pivot'!$D$3:$K$400)&gt;0, SUMPRODUCT((('MTD Pivot'!$B$3:$B$400=$A$111) + ('MTD Pivot'!$A$3:$A$400=$A$111) &gt; 0) * (TRIM('MTD Pivot'!$C$3:$C$400)=TRIM($A117)) * ('MTD Pivot'!$D$2:$K$2=B$2) * 'MTD Pivot'!$D$3:$K$400), "")</f>
        <v/>
      </c>
      <c r="C117" s="193">
        <f>IF(SUMPRODUCT((('MTD Pivot'!$B$3:$B$400=$A$111) + ('MTD Pivot'!$A$3:$A$400=$A$111) &gt; 0) * (TRIM('MTD Pivot'!$C$3:$C$400)=TRIM($A117)) * ('MTD Pivot'!$D$2:$K$2=C$2) * 'MTD Pivot'!$D$3:$K$400)&gt;0, SUMPRODUCT((('MTD Pivot'!$B$3:$B$400=$A$111) + ('MTD Pivot'!$A$3:$A$400=$A$111) &gt; 0) * (TRIM('MTD Pivot'!$C$3:$C$400)=TRIM($A117)) * ('MTD Pivot'!$D$2:$K$2=C$2) * 'MTD Pivot'!$D$3:$K$400), "")</f>
        <v/>
      </c>
      <c r="D117" s="193">
        <f>IF(SUMPRODUCT((('MTD Pivot'!$B$3:$B$400=$A$111) + ('MTD Pivot'!$A$3:$A$400=$A$111) &gt; 0) * (TRIM('MTD Pivot'!$C$3:$C$400)=TRIM($A117)) * ('MTD Pivot'!$D$2:$K$2=D$2) * 'MTD Pivot'!$D$3:$K$400)&gt;0, SUMPRODUCT((('MTD Pivot'!$B$3:$B$400=$A$111) + ('MTD Pivot'!$A$3:$A$400=$A$111) &gt; 0) * (TRIM('MTD Pivot'!$C$3:$C$400)=TRIM($A117)) * ('MTD Pivot'!$D$2:$K$2=D$2) * 'MTD Pivot'!$D$3:$K$400), "")</f>
        <v/>
      </c>
      <c r="E117" s="193">
        <f>IF(SUMPRODUCT((('MTD Pivot'!$B$3:$B$400=$A$111) + ('MTD Pivot'!$A$3:$A$400=$A$111) &gt; 0) * (TRIM('MTD Pivot'!$C$3:$C$400)=TRIM($A117)) * ('MTD Pivot'!$D$2:$K$2=E$2) * 'MTD Pivot'!$D$3:$K$400)&gt;0, SUMPRODUCT((('MTD Pivot'!$B$3:$B$400=$A$111) + ('MTD Pivot'!$A$3:$A$400=$A$111) &gt; 0) * (TRIM('MTD Pivot'!$C$3:$C$400)=TRIM($A117)) * ('MTD Pivot'!$D$2:$K$2=E$2) * 'MTD Pivot'!$D$3:$K$400), "")</f>
        <v/>
      </c>
      <c r="F117" s="193">
        <f>IF(SUMPRODUCT((('MTD Pivot'!$B$3:$B$400=$A$111) + ('MTD Pivot'!$A$3:$A$400=$A$111) &gt; 0) * (TRIM('MTD Pivot'!$C$3:$C$400)=TRIM($A117)) * ('MTD Pivot'!$D$2:$K$2=F$2) * 'MTD Pivot'!$D$3:$K$400)&gt;0, SUMPRODUCT((('MTD Pivot'!$B$3:$B$400=$A$111) + ('MTD Pivot'!$A$3:$A$400=$A$111) &gt; 0) * (TRIM('MTD Pivot'!$C$3:$C$400)=TRIM($A117)) * ('MTD Pivot'!$D$2:$K$2=F$2) * 'MTD Pivot'!$D$3:$K$400), "")</f>
        <v/>
      </c>
      <c r="G117" s="193">
        <f>IF(SUMPRODUCT((('MTD Pivot'!$B$3:$B$400=$A$111) + ('MTD Pivot'!$A$3:$A$400=$A$111) &gt; 0) * (TRIM('MTD Pivot'!$C$3:$C$400)=TRIM($A117)) * ('MTD Pivot'!$D$2:$K$2=G$2) * 'MTD Pivot'!$D$3:$K$400)&gt;0, SUMPRODUCT((('MTD Pivot'!$B$3:$B$400=$A$111) + ('MTD Pivot'!$A$3:$A$400=$A$111) &gt; 0) * (TRIM('MTD Pivot'!$C$3:$C$400)=TRIM($A117)) * ('MTD Pivot'!$D$2:$K$2=G$2) * 'MTD Pivot'!$D$3:$K$400), "")</f>
        <v/>
      </c>
      <c r="H117" s="193">
        <f>IF(SUMPRODUCT((('MTD Pivot'!$B$3:$B$400=$A$111) + ('MTD Pivot'!$A$3:$A$400=$A$111) &gt; 0) * (TRIM('MTD Pivot'!$C$3:$C$400)=TRIM($A117)) * ('MTD Pivot'!$D$2:$K$2=H$2) * 'MTD Pivot'!$D$3:$K$400)&gt;0, SUMPRODUCT((('MTD Pivot'!$B$3:$B$400=$A$111) + ('MTD Pivot'!$A$3:$A$400=$A$111) &gt; 0) * (TRIM('MTD Pivot'!$C$3:$C$400)=TRIM($A117)) * ('MTD Pivot'!$D$2:$K$2=H$2) * 'MTD Pivot'!$D$3:$K$400), "")</f>
        <v/>
      </c>
      <c r="I117" s="193">
        <f>IF(SUMPRODUCT((('MTD Pivot'!$B$3:$B$400=$A$111) + ('MTD Pivot'!$A$3:$A$400=$A$111) &gt; 0) * (TRIM('MTD Pivot'!$C$3:$C$400)=TRIM($A117)) * ('MTD Pivot'!$D$2:$K$2=I$2) * 'MTD Pivot'!$D$3:$K$400)&gt;0, SUMPRODUCT((('MTD Pivot'!$B$3:$B$400=$A$111) + ('MTD Pivot'!$A$3:$A$400=$A$111) &gt; 0) * (TRIM('MTD Pivot'!$C$3:$C$400)=TRIM($A117)) * ('MTD Pivot'!$D$2:$K$2=I$2) * 'MTD Pivot'!$D$3:$K$400), "")</f>
        <v/>
      </c>
      <c r="J117" s="193">
        <f>IF(SUMPRODUCT((('MTD Pivot'!$B$3:$B$400=$A$111) + ('MTD Pivot'!$A$3:$A$400=$A$111) &gt; 0) * (TRIM('MTD Pivot'!$C$3:$C$400)=TRIM($A117)) * ('MTD Pivot'!$D$2:$K$2=J$2) * 'MTD Pivot'!$D$3:$K$400)&gt;0, SUMPRODUCT((('MTD Pivot'!$B$3:$B$400=$A$111) + ('MTD Pivot'!$A$3:$A$400=$A$111) &gt; 0) * (TRIM('MTD Pivot'!$C$3:$C$400)=TRIM($A117)) * ('MTD Pivot'!$D$2:$K$2=J$2) * 'MTD Pivot'!$D$3:$K$400), "")</f>
        <v/>
      </c>
      <c r="K117" s="193">
        <f>IF(SUMPRODUCT((('MTD Pivot'!$B$3:$B$400=$A$111) + ('MTD Pivot'!$A$3:$A$400=$A$111) &gt; 0) * (TRIM('MTD Pivot'!$C$3:$C$400)=TRIM($A117)) * ('MTD Pivot'!$D$2:$K$2=K$2) * 'MTD Pivot'!$D$3:$K$400)&gt;0, SUMPRODUCT((('MTD Pivot'!$B$3:$B$400=$A$111) + ('MTD Pivot'!$A$3:$A$400=$A$111) &gt; 0) * (TRIM('MTD Pivot'!$C$3:$C$400)=TRIM($A117)) * ('MTD Pivot'!$D$2:$K$2=K$2) * 'MTD Pivot'!$D$3:$K$400), "")</f>
        <v/>
      </c>
      <c r="L117" s="193">
        <f>IF(SUMPRODUCT((('MTD Pivot'!$B$3:$B$400=$A$111) + ('MTD Pivot'!$A$3:$A$400=$A$111) &gt; 0) * (TRIM('MTD Pivot'!$C$3:$C$400)=TRIM($A117)) * ('MTD Pivot'!$D$2:$K$2=L$2) * 'MTD Pivot'!$D$3:$K$400)&gt;0, SUMPRODUCT((('MTD Pivot'!$B$3:$B$400=$A$111) + ('MTD Pivot'!$A$3:$A$400=$A$111) &gt; 0) * (TRIM('MTD Pivot'!$C$3:$C$400)=TRIM($A117)) * ('MTD Pivot'!$D$2:$K$2=L$2) * 'MTD Pivot'!$D$3:$K$400), "")</f>
        <v/>
      </c>
      <c r="M117" s="193">
        <f>IF(SUMPRODUCT((('MTD Pivot'!$B$3:$B$400=$A$111) + ('MTD Pivot'!$A$3:$A$400=$A$111) &gt; 0) * (TRIM('MTD Pivot'!$C$3:$C$400)=TRIM($A117)) * ('MTD Pivot'!$D$2:$K$2=M$2) * 'MTD Pivot'!$D$3:$K$400)&gt;0, SUMPRODUCT((('MTD Pivot'!$B$3:$B$400=$A$111) + ('MTD Pivot'!$A$3:$A$400=$A$111) &gt; 0) * (TRIM('MTD Pivot'!$C$3:$C$400)=TRIM($A117)) * ('MTD Pivot'!$D$2:$K$2=M$2) * 'MTD Pivot'!$D$3:$K$400), "")</f>
        <v/>
      </c>
      <c r="N117" s="157">
        <f>IF(AND(ISNUMBER(K117), ISNUMBER(J117), J117&gt;0), (K117-J117)/J117, "")</f>
        <v/>
      </c>
      <c r="O117" s="193">
        <f>IF(SUMPRODUCT((('Full month Pivot'!$B$3:$B$400=$A$111) + ('Full month Pivot'!$A$3:$A$400=$A$111) &gt; 0) * (TRIM('Full month Pivot'!$C$3:$C$400)=TRIM($A117)) * ('Full month Pivot'!$D$2:$K$2=O$2) * 'Full month Pivot'!$D$3:$K$400)&gt;0, SUMPRODUCT((('Full month Pivot'!$B$3:$B$400=$A$111) + ('Full month Pivot'!$A$3:$A$400=$A$111) &gt; 0) * (TRIM('Full month Pivot'!$C$3:$C$400)=TRIM($A117)) * ('Full month Pivot'!$D$2:$K$2=O$2) * 'Full month Pivot'!$D$3:$K$400), "")</f>
        <v/>
      </c>
      <c r="P117" s="193">
        <f>IF(SUMPRODUCT((('Full month Pivot'!$B$3:$B$400=$A$111) + ('Full month Pivot'!$A$3:$A$400=$A$111) &gt; 0) * (TRIM('Full month Pivot'!$C$3:$C$400)=TRIM($A117)) * ('Full month Pivot'!$D$2:$K$2=P$2) * 'Full month Pivot'!$D$3:$K$400)&gt;0, SUMPRODUCT((('Full month Pivot'!$B$3:$B$400=$A$111) + ('Full month Pivot'!$A$3:$A$400=$A$111) &gt; 0) * (TRIM('Full month Pivot'!$C$3:$C$400)=TRIM($A117)) * ('Full month Pivot'!$D$2:$K$2=P$2) * 'Full month Pivot'!$D$3:$K$400), "")</f>
        <v/>
      </c>
      <c r="Q117" s="193">
        <f>IF(SUMPRODUCT((('Full month Pivot'!$B$3:$B$400=$A$111) + ('Full month Pivot'!$A$3:$A$400=$A$111) &gt; 0) * (TRIM('Full month Pivot'!$C$3:$C$400)=TRIM($A117)) * ('Full month Pivot'!$D$2:$K$2=Q$2) * 'Full month Pivot'!$D$3:$K$400)&gt;0, SUMPRODUCT((('Full month Pivot'!$B$3:$B$400=$A$111) + ('Full month Pivot'!$A$3:$A$400=$A$111) &gt; 0) * (TRIM('Full month Pivot'!$C$3:$C$400)=TRIM($A117)) * ('Full month Pivot'!$D$2:$K$2=Q$2) * 'Full month Pivot'!$D$3:$K$400), "")</f>
        <v/>
      </c>
      <c r="R117" s="193">
        <f>IF(SUMPRODUCT((('Full month Pivot'!$B$3:$B$400=$A$111) + ('Full month Pivot'!$A$3:$A$400=$A$111) &gt; 0) * (TRIM('Full month Pivot'!$C$3:$C$400)=TRIM($A117)) * ('Full month Pivot'!$D$2:$K$2=R$2) * 'Full month Pivot'!$D$3:$K$400)&gt;0, SUMPRODUCT((('Full month Pivot'!$B$3:$B$400=$A$111) + ('Full month Pivot'!$A$3:$A$400=$A$111) &gt; 0) * (TRIM('Full month Pivot'!$C$3:$C$400)=TRIM($A117)) * ('Full month Pivot'!$D$2:$K$2=R$2) * 'Full month Pivot'!$D$3:$K$400), "")</f>
        <v/>
      </c>
      <c r="S117" s="193">
        <f>IF(SUMPRODUCT((('Full month Pivot'!$B$3:$B$400=$A$111) + ('Full month Pivot'!$A$3:$A$400=$A$111) &gt; 0) * (TRIM('Full month Pivot'!$C$3:$C$400)=TRIM($A117)) * ('Full month Pivot'!$D$2:$K$2=S$2) * 'Full month Pivot'!$D$3:$K$400)&gt;0, SUMPRODUCT((('Full month Pivot'!$B$3:$B$400=$A$111) + ('Full month Pivot'!$A$3:$A$400=$A$111) &gt; 0) * (TRIM('Full month Pivot'!$C$3:$C$400)=TRIM($A117)) * ('Full month Pivot'!$D$2:$K$2=S$2) * 'Full month Pivot'!$D$3:$K$400), "")</f>
        <v/>
      </c>
      <c r="T117" s="193">
        <f>IF(SUMPRODUCT((('Full month Pivot'!$B$3:$B$400=$A$111) + ('Full month Pivot'!$A$3:$A$400=$A$111) &gt; 0) * (TRIM('Full month Pivot'!$C$3:$C$400)=TRIM($A117)) * ('Full month Pivot'!$D$2:$K$2=T$2) * 'Full month Pivot'!$D$3:$K$400)&gt;0, SUMPRODUCT((('Full month Pivot'!$B$3:$B$400=$A$111) + ('Full month Pivot'!$A$3:$A$400=$A$111) &gt; 0) * (TRIM('Full month Pivot'!$C$3:$C$400)=TRIM($A117)) * ('Full month Pivot'!$D$2:$K$2=T$2) * 'Full month Pivot'!$D$3:$K$400), "")</f>
        <v/>
      </c>
      <c r="U117" s="193">
        <f>IF(SUMPRODUCT((('Full month Pivot'!$B$3:$B$400=$A$111) + ('Full month Pivot'!$A$3:$A$400=$A$111) &gt; 0) * (TRIM('Full month Pivot'!$C$3:$C$400)=TRIM($A117)) * ('Full month Pivot'!$D$2:$K$2=U$2) * 'Full month Pivot'!$D$3:$K$400)&gt;0, SUMPRODUCT((('Full month Pivot'!$B$3:$B$400=$A$111) + ('Full month Pivot'!$A$3:$A$400=$A$111) &gt; 0) * (TRIM('Full month Pivot'!$C$3:$C$400)=TRIM($A117)) * ('Full month Pivot'!$D$2:$K$2=U$2) * 'Full month Pivot'!$D$3:$K$400), "")</f>
        <v/>
      </c>
      <c r="V117" s="193">
        <f>IF(SUMPRODUCT((('Full month Pivot'!$B$3:$B$400=$A$111) + ('Full month Pivot'!$A$3:$A$400=$A$111) &gt; 0) * (TRIM('Full month Pivot'!$C$3:$C$400)=TRIM($A117)) * ('Full month Pivot'!$D$2:$K$2=V$2) * 'Full month Pivot'!$D$3:$K$400)&gt;0, SUMPRODUCT((('Full month Pivot'!$B$3:$B$400=$A$111) + ('Full month Pivot'!$A$3:$A$400=$A$111) &gt; 0) * (TRIM('Full month Pivot'!$C$3:$C$400)=TRIM($A117)) * ('Full month Pivot'!$D$2:$K$2=V$2) * 'Full month Pivot'!$D$3:$K$400), "")</f>
        <v/>
      </c>
      <c r="W117" s="193">
        <f>IF(SUMPRODUCT((('Full month Pivot'!$B$3:$B$400=$A$111) + ('Full month Pivot'!$A$3:$A$400=$A$111) &gt; 0) * (TRIM('Full month Pivot'!$C$3:$C$400)=TRIM($A117)) * ('Full month Pivot'!$D$2:$K$2=W$2) * 'Full month Pivot'!$D$3:$K$400)&gt;0, SUMPRODUCT((('Full month Pivot'!$B$3:$B$400=$A$111) + ('Full month Pivot'!$A$3:$A$400=$A$111) &gt; 0) * (TRIM('Full month Pivot'!$C$3:$C$400)=TRIM($A117)) * ('Full month Pivot'!$D$2:$K$2=W$2) * 'Full month Pivot'!$D$3:$K$400), "")</f>
        <v/>
      </c>
      <c r="X117" s="193">
        <f>IF(SUMPRODUCT((('Full month Pivot'!$B$3:$B$400=$A$111) + ('Full month Pivot'!$A$3:$A$400=$A$111) &gt; 0) * (TRIM('Full month Pivot'!$C$3:$C$400)=TRIM($A117)) * ('Full month Pivot'!$D$2:$K$2=X$2) * 'Full month Pivot'!$D$3:$K$400)&gt;0, SUMPRODUCT((('Full month Pivot'!$B$3:$B$400=$A$111) + ('Full month Pivot'!$A$3:$A$400=$A$111) &gt; 0) * (TRIM('Full month Pivot'!$C$3:$C$400)=TRIM($A117)) * ('Full month Pivot'!$D$2:$K$2=X$2) * 'Full month Pivot'!$D$3:$K$400), "")</f>
        <v/>
      </c>
      <c r="Y117" s="193">
        <f>IF(SUMPRODUCT((('Full month Pivot'!$B$3:$B$400=$A$111) + ('Full month Pivot'!$A$3:$A$400=$A$111) &gt; 0) * (TRIM('Full month Pivot'!$C$3:$C$400)=TRIM($A117)) * ('Full month Pivot'!$D$2:$K$2=Y$2) * 'Full month Pivot'!$D$3:$K$400)&gt;0, SUMPRODUCT((('Full month Pivot'!$B$3:$B$400=$A$111) + ('Full month Pivot'!$A$3:$A$400=$A$111) &gt; 0) * (TRIM('Full month Pivot'!$C$3:$C$400)=TRIM($A117)) * ('Full month Pivot'!$D$2:$K$2=Y$2) * 'Full month Pivot'!$D$3:$K$400), "")</f>
        <v/>
      </c>
      <c r="Z117" s="193">
        <f>IF(SUMPRODUCT((('Full month Pivot'!$B$3:$B$400=$A$111) + ('Full month Pivot'!$A$3:$A$400=$A$111) &gt; 0) * (TRIM('Full month Pivot'!$C$3:$C$400)=TRIM($A117)) * ('Full month Pivot'!$D$2:$K$2=Z$2) * 'Full month Pivot'!$D$3:$K$400)&gt;0, SUMPRODUCT((('Full month Pivot'!$B$3:$B$400=$A$111) + ('Full month Pivot'!$A$3:$A$400=$A$111) &gt; 0) * (TRIM('Full month Pivot'!$C$3:$C$400)=TRIM($A117)) * ('Full month Pivot'!$D$2:$K$2=Z$2) * 'Full month Pivot'!$D$3:$K$400), "")</f>
        <v/>
      </c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202" t="inlineStr">
        <is>
          <t xml:space="preserve">  Paid</t>
        </is>
      </c>
      <c r="B118" s="193">
        <f>IF(SUMPRODUCT((('MTD Pivot'!$B$3:$B$400=$A$111) + ('MTD Pivot'!$A$3:$A$400=$A$111) &gt; 0) * (TRIM('MTD Pivot'!$C$3:$C$400)=TRIM($A118)) * ('MTD Pivot'!$D$2:$K$2=B$2) * 'MTD Pivot'!$D$3:$K$400)&gt;0, SUMPRODUCT((('MTD Pivot'!$B$3:$B$400=$A$111) + ('MTD Pivot'!$A$3:$A$400=$A$111) &gt; 0) * (TRIM('MTD Pivot'!$C$3:$C$400)=TRIM($A118)) * ('MTD Pivot'!$D$2:$K$2=B$2) * 'MTD Pivot'!$D$3:$K$400), "")</f>
        <v/>
      </c>
      <c r="C118" s="193">
        <f>IF(SUMPRODUCT((('MTD Pivot'!$B$3:$B$400=$A$111) + ('MTD Pivot'!$A$3:$A$400=$A$111) &gt; 0) * (TRIM('MTD Pivot'!$C$3:$C$400)=TRIM($A118)) * ('MTD Pivot'!$D$2:$K$2=C$2) * 'MTD Pivot'!$D$3:$K$400)&gt;0, SUMPRODUCT((('MTD Pivot'!$B$3:$B$400=$A$111) + ('MTD Pivot'!$A$3:$A$400=$A$111) &gt; 0) * (TRIM('MTD Pivot'!$C$3:$C$400)=TRIM($A118)) * ('MTD Pivot'!$D$2:$K$2=C$2) * 'MTD Pivot'!$D$3:$K$400), "")</f>
        <v/>
      </c>
      <c r="D118" s="193">
        <f>IF(SUMPRODUCT((('MTD Pivot'!$B$3:$B$400=$A$111) + ('MTD Pivot'!$A$3:$A$400=$A$111) &gt; 0) * (TRIM('MTD Pivot'!$C$3:$C$400)=TRIM($A118)) * ('MTD Pivot'!$D$2:$K$2=D$2) * 'MTD Pivot'!$D$3:$K$400)&gt;0, SUMPRODUCT((('MTD Pivot'!$B$3:$B$400=$A$111) + ('MTD Pivot'!$A$3:$A$400=$A$111) &gt; 0) * (TRIM('MTD Pivot'!$C$3:$C$400)=TRIM($A118)) * ('MTD Pivot'!$D$2:$K$2=D$2) * 'MTD Pivot'!$D$3:$K$400), "")</f>
        <v/>
      </c>
      <c r="E118" s="193">
        <f>IF(SUMPRODUCT((('MTD Pivot'!$B$3:$B$400=$A$111) + ('MTD Pivot'!$A$3:$A$400=$A$111) &gt; 0) * (TRIM('MTD Pivot'!$C$3:$C$400)=TRIM($A118)) * ('MTD Pivot'!$D$2:$K$2=E$2) * 'MTD Pivot'!$D$3:$K$400)&gt;0, SUMPRODUCT((('MTD Pivot'!$B$3:$B$400=$A$111) + ('MTD Pivot'!$A$3:$A$400=$A$111) &gt; 0) * (TRIM('MTD Pivot'!$C$3:$C$400)=TRIM($A118)) * ('MTD Pivot'!$D$2:$K$2=E$2) * 'MTD Pivot'!$D$3:$K$400), "")</f>
        <v/>
      </c>
      <c r="F118" s="193">
        <f>IF(SUMPRODUCT((('MTD Pivot'!$B$3:$B$400=$A$111) + ('MTD Pivot'!$A$3:$A$400=$A$111) &gt; 0) * (TRIM('MTD Pivot'!$C$3:$C$400)=TRIM($A118)) * ('MTD Pivot'!$D$2:$K$2=F$2) * 'MTD Pivot'!$D$3:$K$400)&gt;0, SUMPRODUCT((('MTD Pivot'!$B$3:$B$400=$A$111) + ('MTD Pivot'!$A$3:$A$400=$A$111) &gt; 0) * (TRIM('MTD Pivot'!$C$3:$C$400)=TRIM($A118)) * ('MTD Pivot'!$D$2:$K$2=F$2) * 'MTD Pivot'!$D$3:$K$400), "")</f>
        <v/>
      </c>
      <c r="G118" s="193">
        <f>IF(SUMPRODUCT((('MTD Pivot'!$B$3:$B$400=$A$111) + ('MTD Pivot'!$A$3:$A$400=$A$111) &gt; 0) * (TRIM('MTD Pivot'!$C$3:$C$400)=TRIM($A118)) * ('MTD Pivot'!$D$2:$K$2=G$2) * 'MTD Pivot'!$D$3:$K$400)&gt;0, SUMPRODUCT((('MTD Pivot'!$B$3:$B$400=$A$111) + ('MTD Pivot'!$A$3:$A$400=$A$111) &gt; 0) * (TRIM('MTD Pivot'!$C$3:$C$400)=TRIM($A118)) * ('MTD Pivot'!$D$2:$K$2=G$2) * 'MTD Pivot'!$D$3:$K$400), "")</f>
        <v/>
      </c>
      <c r="H118" s="193">
        <f>IF(SUMPRODUCT((('MTD Pivot'!$B$3:$B$400=$A$111) + ('MTD Pivot'!$A$3:$A$400=$A$111) &gt; 0) * (TRIM('MTD Pivot'!$C$3:$C$400)=TRIM($A118)) * ('MTD Pivot'!$D$2:$K$2=H$2) * 'MTD Pivot'!$D$3:$K$400)&gt;0, SUMPRODUCT((('MTD Pivot'!$B$3:$B$400=$A$111) + ('MTD Pivot'!$A$3:$A$400=$A$111) &gt; 0) * (TRIM('MTD Pivot'!$C$3:$C$400)=TRIM($A118)) * ('MTD Pivot'!$D$2:$K$2=H$2) * 'MTD Pivot'!$D$3:$K$400), "")</f>
        <v/>
      </c>
      <c r="I118" s="193">
        <f>IF(SUMPRODUCT((('MTD Pivot'!$B$3:$B$400=$A$111) + ('MTD Pivot'!$A$3:$A$400=$A$111) &gt; 0) * (TRIM('MTD Pivot'!$C$3:$C$400)=TRIM($A118)) * ('MTD Pivot'!$D$2:$K$2=I$2) * 'MTD Pivot'!$D$3:$K$400)&gt;0, SUMPRODUCT((('MTD Pivot'!$B$3:$B$400=$A$111) + ('MTD Pivot'!$A$3:$A$400=$A$111) &gt; 0) * (TRIM('MTD Pivot'!$C$3:$C$400)=TRIM($A118)) * ('MTD Pivot'!$D$2:$K$2=I$2) * 'MTD Pivot'!$D$3:$K$400), "")</f>
        <v/>
      </c>
      <c r="J118" s="193">
        <f>IF(SUMPRODUCT((('MTD Pivot'!$B$3:$B$400=$A$111) + ('MTD Pivot'!$A$3:$A$400=$A$111) &gt; 0) * (TRIM('MTD Pivot'!$C$3:$C$400)=TRIM($A118)) * ('MTD Pivot'!$D$2:$K$2=J$2) * 'MTD Pivot'!$D$3:$K$400)&gt;0, SUMPRODUCT((('MTD Pivot'!$B$3:$B$400=$A$111) + ('MTD Pivot'!$A$3:$A$400=$A$111) &gt; 0) * (TRIM('MTD Pivot'!$C$3:$C$400)=TRIM($A118)) * ('MTD Pivot'!$D$2:$K$2=J$2) * 'MTD Pivot'!$D$3:$K$400), "")</f>
        <v/>
      </c>
      <c r="K118" s="193">
        <f>IF(SUMPRODUCT((('MTD Pivot'!$B$3:$B$400=$A$111) + ('MTD Pivot'!$A$3:$A$400=$A$111) &gt; 0) * (TRIM('MTD Pivot'!$C$3:$C$400)=TRIM($A118)) * ('MTD Pivot'!$D$2:$K$2=K$2) * 'MTD Pivot'!$D$3:$K$400)&gt;0, SUMPRODUCT((('MTD Pivot'!$B$3:$B$400=$A$111) + ('MTD Pivot'!$A$3:$A$400=$A$111) &gt; 0) * (TRIM('MTD Pivot'!$C$3:$C$400)=TRIM($A118)) * ('MTD Pivot'!$D$2:$K$2=K$2) * 'MTD Pivot'!$D$3:$K$400), "")</f>
        <v/>
      </c>
      <c r="L118" s="193">
        <f>IF(SUMPRODUCT((('MTD Pivot'!$B$3:$B$400=$A$111) + ('MTD Pivot'!$A$3:$A$400=$A$111) &gt; 0) * (TRIM('MTD Pivot'!$C$3:$C$400)=TRIM($A118)) * ('MTD Pivot'!$D$2:$K$2=L$2) * 'MTD Pivot'!$D$3:$K$400)&gt;0, SUMPRODUCT((('MTD Pivot'!$B$3:$B$400=$A$111) + ('MTD Pivot'!$A$3:$A$400=$A$111) &gt; 0) * (TRIM('MTD Pivot'!$C$3:$C$400)=TRIM($A118)) * ('MTD Pivot'!$D$2:$K$2=L$2) * 'MTD Pivot'!$D$3:$K$400), "")</f>
        <v/>
      </c>
      <c r="M118" s="193">
        <f>IF(SUMPRODUCT((('MTD Pivot'!$B$3:$B$400=$A$111) + ('MTD Pivot'!$A$3:$A$400=$A$111) &gt; 0) * (TRIM('MTD Pivot'!$C$3:$C$400)=TRIM($A118)) * ('MTD Pivot'!$D$2:$K$2=M$2) * 'MTD Pivot'!$D$3:$K$400)&gt;0, SUMPRODUCT((('MTD Pivot'!$B$3:$B$400=$A$111) + ('MTD Pivot'!$A$3:$A$400=$A$111) &gt; 0) * (TRIM('MTD Pivot'!$C$3:$C$400)=TRIM($A118)) * ('MTD Pivot'!$D$2:$K$2=M$2) * 'MTD Pivot'!$D$3:$K$400), "")</f>
        <v/>
      </c>
      <c r="N118" s="157">
        <f>IF(AND(ISNUMBER(K118), ISNUMBER(J118), J118&gt;0), (K118-J118)/J118, "")</f>
        <v/>
      </c>
      <c r="O118" s="193">
        <f>IF(SUMPRODUCT((('Full month Pivot'!$B$3:$B$400=$A$111) + ('Full month Pivot'!$A$3:$A$400=$A$111) &gt; 0) * (TRIM('Full month Pivot'!$C$3:$C$400)=TRIM($A118)) * ('Full month Pivot'!$D$2:$K$2=O$2) * 'Full month Pivot'!$D$3:$K$400)&gt;0, SUMPRODUCT((('Full month Pivot'!$B$3:$B$400=$A$111) + ('Full month Pivot'!$A$3:$A$400=$A$111) &gt; 0) * (TRIM('Full month Pivot'!$C$3:$C$400)=TRIM($A118)) * ('Full month Pivot'!$D$2:$K$2=O$2) * 'Full month Pivot'!$D$3:$K$400), "")</f>
        <v/>
      </c>
      <c r="P118" s="193">
        <f>IF(SUMPRODUCT((('Full month Pivot'!$B$3:$B$400=$A$111) + ('Full month Pivot'!$A$3:$A$400=$A$111) &gt; 0) * (TRIM('Full month Pivot'!$C$3:$C$400)=TRIM($A118)) * ('Full month Pivot'!$D$2:$K$2=P$2) * 'Full month Pivot'!$D$3:$K$400)&gt;0, SUMPRODUCT((('Full month Pivot'!$B$3:$B$400=$A$111) + ('Full month Pivot'!$A$3:$A$400=$A$111) &gt; 0) * (TRIM('Full month Pivot'!$C$3:$C$400)=TRIM($A118)) * ('Full month Pivot'!$D$2:$K$2=P$2) * 'Full month Pivot'!$D$3:$K$400), "")</f>
        <v/>
      </c>
      <c r="Q118" s="193">
        <f>IF(SUMPRODUCT((('Full month Pivot'!$B$3:$B$400=$A$111) + ('Full month Pivot'!$A$3:$A$400=$A$111) &gt; 0) * (TRIM('Full month Pivot'!$C$3:$C$400)=TRIM($A118)) * ('Full month Pivot'!$D$2:$K$2=Q$2) * 'Full month Pivot'!$D$3:$K$400)&gt;0, SUMPRODUCT((('Full month Pivot'!$B$3:$B$400=$A$111) + ('Full month Pivot'!$A$3:$A$400=$A$111) &gt; 0) * (TRIM('Full month Pivot'!$C$3:$C$400)=TRIM($A118)) * ('Full month Pivot'!$D$2:$K$2=Q$2) * 'Full month Pivot'!$D$3:$K$400), "")</f>
        <v/>
      </c>
      <c r="R118" s="193">
        <f>IF(SUMPRODUCT((('Full month Pivot'!$B$3:$B$400=$A$111) + ('Full month Pivot'!$A$3:$A$400=$A$111) &gt; 0) * (TRIM('Full month Pivot'!$C$3:$C$400)=TRIM($A118)) * ('Full month Pivot'!$D$2:$K$2=R$2) * 'Full month Pivot'!$D$3:$K$400)&gt;0, SUMPRODUCT((('Full month Pivot'!$B$3:$B$400=$A$111) + ('Full month Pivot'!$A$3:$A$400=$A$111) &gt; 0) * (TRIM('Full month Pivot'!$C$3:$C$400)=TRIM($A118)) * ('Full month Pivot'!$D$2:$K$2=R$2) * 'Full month Pivot'!$D$3:$K$400), "")</f>
        <v/>
      </c>
      <c r="S118" s="193">
        <f>IF(SUMPRODUCT((('Full month Pivot'!$B$3:$B$400=$A$111) + ('Full month Pivot'!$A$3:$A$400=$A$111) &gt; 0) * (TRIM('Full month Pivot'!$C$3:$C$400)=TRIM($A118)) * ('Full month Pivot'!$D$2:$K$2=S$2) * 'Full month Pivot'!$D$3:$K$400)&gt;0, SUMPRODUCT((('Full month Pivot'!$B$3:$B$400=$A$111) + ('Full month Pivot'!$A$3:$A$400=$A$111) &gt; 0) * (TRIM('Full month Pivot'!$C$3:$C$400)=TRIM($A118)) * ('Full month Pivot'!$D$2:$K$2=S$2) * 'Full month Pivot'!$D$3:$K$400), "")</f>
        <v/>
      </c>
      <c r="T118" s="193">
        <f>IF(SUMPRODUCT((('Full month Pivot'!$B$3:$B$400=$A$111) + ('Full month Pivot'!$A$3:$A$400=$A$111) &gt; 0) * (TRIM('Full month Pivot'!$C$3:$C$400)=TRIM($A118)) * ('Full month Pivot'!$D$2:$K$2=T$2) * 'Full month Pivot'!$D$3:$K$400)&gt;0, SUMPRODUCT((('Full month Pivot'!$B$3:$B$400=$A$111) + ('Full month Pivot'!$A$3:$A$400=$A$111) &gt; 0) * (TRIM('Full month Pivot'!$C$3:$C$400)=TRIM($A118)) * ('Full month Pivot'!$D$2:$K$2=T$2) * 'Full month Pivot'!$D$3:$K$400), "")</f>
        <v/>
      </c>
      <c r="U118" s="193">
        <f>IF(SUMPRODUCT((('Full month Pivot'!$B$3:$B$400=$A$111) + ('Full month Pivot'!$A$3:$A$400=$A$111) &gt; 0) * (TRIM('Full month Pivot'!$C$3:$C$400)=TRIM($A118)) * ('Full month Pivot'!$D$2:$K$2=U$2) * 'Full month Pivot'!$D$3:$K$400)&gt;0, SUMPRODUCT((('Full month Pivot'!$B$3:$B$400=$A$111) + ('Full month Pivot'!$A$3:$A$400=$A$111) &gt; 0) * (TRIM('Full month Pivot'!$C$3:$C$400)=TRIM($A118)) * ('Full month Pivot'!$D$2:$K$2=U$2) * 'Full month Pivot'!$D$3:$K$400), "")</f>
        <v/>
      </c>
      <c r="V118" s="193">
        <f>IF(SUMPRODUCT((('Full month Pivot'!$B$3:$B$400=$A$111) + ('Full month Pivot'!$A$3:$A$400=$A$111) &gt; 0) * (TRIM('Full month Pivot'!$C$3:$C$400)=TRIM($A118)) * ('Full month Pivot'!$D$2:$K$2=V$2) * 'Full month Pivot'!$D$3:$K$400)&gt;0, SUMPRODUCT((('Full month Pivot'!$B$3:$B$400=$A$111) + ('Full month Pivot'!$A$3:$A$400=$A$111) &gt; 0) * (TRIM('Full month Pivot'!$C$3:$C$400)=TRIM($A118)) * ('Full month Pivot'!$D$2:$K$2=V$2) * 'Full month Pivot'!$D$3:$K$400), "")</f>
        <v/>
      </c>
      <c r="W118" s="193">
        <f>IF(SUMPRODUCT((('Full month Pivot'!$B$3:$B$400=$A$111) + ('Full month Pivot'!$A$3:$A$400=$A$111) &gt; 0) * (TRIM('Full month Pivot'!$C$3:$C$400)=TRIM($A118)) * ('Full month Pivot'!$D$2:$K$2=W$2) * 'Full month Pivot'!$D$3:$K$400)&gt;0, SUMPRODUCT((('Full month Pivot'!$B$3:$B$400=$A$111) + ('Full month Pivot'!$A$3:$A$400=$A$111) &gt; 0) * (TRIM('Full month Pivot'!$C$3:$C$400)=TRIM($A118)) * ('Full month Pivot'!$D$2:$K$2=W$2) * 'Full month Pivot'!$D$3:$K$400), "")</f>
        <v/>
      </c>
      <c r="X118" s="193">
        <f>IF(SUMPRODUCT((('Full month Pivot'!$B$3:$B$400=$A$111) + ('Full month Pivot'!$A$3:$A$400=$A$111) &gt; 0) * (TRIM('Full month Pivot'!$C$3:$C$400)=TRIM($A118)) * ('Full month Pivot'!$D$2:$K$2=X$2) * 'Full month Pivot'!$D$3:$K$400)&gt;0, SUMPRODUCT((('Full month Pivot'!$B$3:$B$400=$A$111) + ('Full month Pivot'!$A$3:$A$400=$A$111) &gt; 0) * (TRIM('Full month Pivot'!$C$3:$C$400)=TRIM($A118)) * ('Full month Pivot'!$D$2:$K$2=X$2) * 'Full month Pivot'!$D$3:$K$400), "")</f>
        <v/>
      </c>
      <c r="Y118" s="193">
        <f>IF(SUMPRODUCT((('Full month Pivot'!$B$3:$B$400=$A$111) + ('Full month Pivot'!$A$3:$A$400=$A$111) &gt; 0) * (TRIM('Full month Pivot'!$C$3:$C$400)=TRIM($A118)) * ('Full month Pivot'!$D$2:$K$2=Y$2) * 'Full month Pivot'!$D$3:$K$400)&gt;0, SUMPRODUCT((('Full month Pivot'!$B$3:$B$400=$A$111) + ('Full month Pivot'!$A$3:$A$400=$A$111) &gt; 0) * (TRIM('Full month Pivot'!$C$3:$C$400)=TRIM($A118)) * ('Full month Pivot'!$D$2:$K$2=Y$2) * 'Full month Pivot'!$D$3:$K$400), "")</f>
        <v/>
      </c>
      <c r="Z118" s="193">
        <f>IF(SUMPRODUCT((('Full month Pivot'!$B$3:$B$400=$A$111) + ('Full month Pivot'!$A$3:$A$400=$A$111) &gt; 0) * (TRIM('Full month Pivot'!$C$3:$C$400)=TRIM($A118)) * ('Full month Pivot'!$D$2:$K$2=Z$2) * 'Full month Pivot'!$D$3:$K$400)&gt;0, SUMPRODUCT((('Full month Pivot'!$B$3:$B$400=$A$111) + ('Full month Pivot'!$A$3:$A$400=$A$111) &gt; 0) * (TRIM('Full month Pivot'!$C$3:$C$400)=TRIM($A118)) * ('Full month Pivot'!$D$2:$K$2=Z$2) * 'Full month Pivot'!$D$3:$K$400), "")</f>
        <v/>
      </c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202" t="inlineStr">
        <is>
          <t xml:space="preserve">  Direct</t>
        </is>
      </c>
      <c r="B119" s="193">
        <f>IF(SUMPRODUCT((('MTD Pivot'!$B$3:$B$400=$A$111) + ('MTD Pivot'!$A$3:$A$400=$A$111) &gt; 0) * (TRIM('MTD Pivot'!$C$3:$C$400)=TRIM($A119)) * ('MTD Pivot'!$D$2:$K$2=B$2) * 'MTD Pivot'!$D$3:$K$400)&gt;0, SUMPRODUCT((('MTD Pivot'!$B$3:$B$400=$A$111) + ('MTD Pivot'!$A$3:$A$400=$A$111) &gt; 0) * (TRIM('MTD Pivot'!$C$3:$C$400)=TRIM($A119)) * ('MTD Pivot'!$D$2:$K$2=B$2) * 'MTD Pivot'!$D$3:$K$400), "")</f>
        <v/>
      </c>
      <c r="C119" s="193">
        <f>IF(SUMPRODUCT((('MTD Pivot'!$B$3:$B$400=$A$111) + ('MTD Pivot'!$A$3:$A$400=$A$111) &gt; 0) * (TRIM('MTD Pivot'!$C$3:$C$400)=TRIM($A119)) * ('MTD Pivot'!$D$2:$K$2=C$2) * 'MTD Pivot'!$D$3:$K$400)&gt;0, SUMPRODUCT((('MTD Pivot'!$B$3:$B$400=$A$111) + ('MTD Pivot'!$A$3:$A$400=$A$111) &gt; 0) * (TRIM('MTD Pivot'!$C$3:$C$400)=TRIM($A119)) * ('MTD Pivot'!$D$2:$K$2=C$2) * 'MTD Pivot'!$D$3:$K$400), "")</f>
        <v/>
      </c>
      <c r="D119" s="193">
        <f>IF(SUMPRODUCT((('MTD Pivot'!$B$3:$B$400=$A$111) + ('MTD Pivot'!$A$3:$A$400=$A$111) &gt; 0) * (TRIM('MTD Pivot'!$C$3:$C$400)=TRIM($A119)) * ('MTD Pivot'!$D$2:$K$2=D$2) * 'MTD Pivot'!$D$3:$K$400)&gt;0, SUMPRODUCT((('MTD Pivot'!$B$3:$B$400=$A$111) + ('MTD Pivot'!$A$3:$A$400=$A$111) &gt; 0) * (TRIM('MTD Pivot'!$C$3:$C$400)=TRIM($A119)) * ('MTD Pivot'!$D$2:$K$2=D$2) * 'MTD Pivot'!$D$3:$K$400), "")</f>
        <v/>
      </c>
      <c r="E119" s="193">
        <f>IF(SUMPRODUCT((('MTD Pivot'!$B$3:$B$400=$A$111) + ('MTD Pivot'!$A$3:$A$400=$A$111) &gt; 0) * (TRIM('MTD Pivot'!$C$3:$C$400)=TRIM($A119)) * ('MTD Pivot'!$D$2:$K$2=E$2) * 'MTD Pivot'!$D$3:$K$400)&gt;0, SUMPRODUCT((('MTD Pivot'!$B$3:$B$400=$A$111) + ('MTD Pivot'!$A$3:$A$400=$A$111) &gt; 0) * (TRIM('MTD Pivot'!$C$3:$C$400)=TRIM($A119)) * ('MTD Pivot'!$D$2:$K$2=E$2) * 'MTD Pivot'!$D$3:$K$400), "")</f>
        <v/>
      </c>
      <c r="F119" s="193">
        <f>IF(SUMPRODUCT((('MTD Pivot'!$B$3:$B$400=$A$111) + ('MTD Pivot'!$A$3:$A$400=$A$111) &gt; 0) * (TRIM('MTD Pivot'!$C$3:$C$400)=TRIM($A119)) * ('MTD Pivot'!$D$2:$K$2=F$2) * 'MTD Pivot'!$D$3:$K$400)&gt;0, SUMPRODUCT((('MTD Pivot'!$B$3:$B$400=$A$111) + ('MTD Pivot'!$A$3:$A$400=$A$111) &gt; 0) * (TRIM('MTD Pivot'!$C$3:$C$400)=TRIM($A119)) * ('MTD Pivot'!$D$2:$K$2=F$2) * 'MTD Pivot'!$D$3:$K$400), "")</f>
        <v/>
      </c>
      <c r="G119" s="193">
        <f>IF(SUMPRODUCT((('MTD Pivot'!$B$3:$B$400=$A$111) + ('MTD Pivot'!$A$3:$A$400=$A$111) &gt; 0) * (TRIM('MTD Pivot'!$C$3:$C$400)=TRIM($A119)) * ('MTD Pivot'!$D$2:$K$2=G$2) * 'MTD Pivot'!$D$3:$K$400)&gt;0, SUMPRODUCT((('MTD Pivot'!$B$3:$B$400=$A$111) + ('MTD Pivot'!$A$3:$A$400=$A$111) &gt; 0) * (TRIM('MTD Pivot'!$C$3:$C$400)=TRIM($A119)) * ('MTD Pivot'!$D$2:$K$2=G$2) * 'MTD Pivot'!$D$3:$K$400), "")</f>
        <v/>
      </c>
      <c r="H119" s="193">
        <f>IF(SUMPRODUCT((('MTD Pivot'!$B$3:$B$400=$A$111) + ('MTD Pivot'!$A$3:$A$400=$A$111) &gt; 0) * (TRIM('MTD Pivot'!$C$3:$C$400)=TRIM($A119)) * ('MTD Pivot'!$D$2:$K$2=H$2) * 'MTD Pivot'!$D$3:$K$400)&gt;0, SUMPRODUCT((('MTD Pivot'!$B$3:$B$400=$A$111) + ('MTD Pivot'!$A$3:$A$400=$A$111) &gt; 0) * (TRIM('MTD Pivot'!$C$3:$C$400)=TRIM($A119)) * ('MTD Pivot'!$D$2:$K$2=H$2) * 'MTD Pivot'!$D$3:$K$400), "")</f>
        <v/>
      </c>
      <c r="I119" s="193">
        <f>IF(SUMPRODUCT((('MTD Pivot'!$B$3:$B$400=$A$111) + ('MTD Pivot'!$A$3:$A$400=$A$111) &gt; 0) * (TRIM('MTD Pivot'!$C$3:$C$400)=TRIM($A119)) * ('MTD Pivot'!$D$2:$K$2=I$2) * 'MTD Pivot'!$D$3:$K$400)&gt;0, SUMPRODUCT((('MTD Pivot'!$B$3:$B$400=$A$111) + ('MTD Pivot'!$A$3:$A$400=$A$111) &gt; 0) * (TRIM('MTD Pivot'!$C$3:$C$400)=TRIM($A119)) * ('MTD Pivot'!$D$2:$K$2=I$2) * 'MTD Pivot'!$D$3:$K$400), "")</f>
        <v/>
      </c>
      <c r="J119" s="193">
        <f>IF(SUMPRODUCT((('MTD Pivot'!$B$3:$B$400=$A$111) + ('MTD Pivot'!$A$3:$A$400=$A$111) &gt; 0) * (TRIM('MTD Pivot'!$C$3:$C$400)=TRIM($A119)) * ('MTD Pivot'!$D$2:$K$2=J$2) * 'MTD Pivot'!$D$3:$K$400)&gt;0, SUMPRODUCT((('MTD Pivot'!$B$3:$B$400=$A$111) + ('MTD Pivot'!$A$3:$A$400=$A$111) &gt; 0) * (TRIM('MTD Pivot'!$C$3:$C$400)=TRIM($A119)) * ('MTD Pivot'!$D$2:$K$2=J$2) * 'MTD Pivot'!$D$3:$K$400), "")</f>
        <v/>
      </c>
      <c r="K119" s="193">
        <f>IF(SUMPRODUCT((('MTD Pivot'!$B$3:$B$400=$A$111) + ('MTD Pivot'!$A$3:$A$400=$A$111) &gt; 0) * (TRIM('MTD Pivot'!$C$3:$C$400)=TRIM($A119)) * ('MTD Pivot'!$D$2:$K$2=K$2) * 'MTD Pivot'!$D$3:$K$400)&gt;0, SUMPRODUCT((('MTD Pivot'!$B$3:$B$400=$A$111) + ('MTD Pivot'!$A$3:$A$400=$A$111) &gt; 0) * (TRIM('MTD Pivot'!$C$3:$C$400)=TRIM($A119)) * ('MTD Pivot'!$D$2:$K$2=K$2) * 'MTD Pivot'!$D$3:$K$400), "")</f>
        <v/>
      </c>
      <c r="L119" s="193">
        <f>IF(SUMPRODUCT((('MTD Pivot'!$B$3:$B$400=$A$111) + ('MTD Pivot'!$A$3:$A$400=$A$111) &gt; 0) * (TRIM('MTD Pivot'!$C$3:$C$400)=TRIM($A119)) * ('MTD Pivot'!$D$2:$K$2=L$2) * 'MTD Pivot'!$D$3:$K$400)&gt;0, SUMPRODUCT((('MTD Pivot'!$B$3:$B$400=$A$111) + ('MTD Pivot'!$A$3:$A$400=$A$111) &gt; 0) * (TRIM('MTD Pivot'!$C$3:$C$400)=TRIM($A119)) * ('MTD Pivot'!$D$2:$K$2=L$2) * 'MTD Pivot'!$D$3:$K$400), "")</f>
        <v/>
      </c>
      <c r="M119" s="193">
        <f>IF(SUMPRODUCT((('MTD Pivot'!$B$3:$B$400=$A$111) + ('MTD Pivot'!$A$3:$A$400=$A$111) &gt; 0) * (TRIM('MTD Pivot'!$C$3:$C$400)=TRIM($A119)) * ('MTD Pivot'!$D$2:$K$2=M$2) * 'MTD Pivot'!$D$3:$K$400)&gt;0, SUMPRODUCT((('MTD Pivot'!$B$3:$B$400=$A$111) + ('MTD Pivot'!$A$3:$A$400=$A$111) &gt; 0) * (TRIM('MTD Pivot'!$C$3:$C$400)=TRIM($A119)) * ('MTD Pivot'!$D$2:$K$2=M$2) * 'MTD Pivot'!$D$3:$K$400), "")</f>
        <v/>
      </c>
      <c r="N119" s="157">
        <f>IF(AND(ISNUMBER(K119), ISNUMBER(J119), J119&gt;0), (K119-J119)/J119, "")</f>
        <v/>
      </c>
      <c r="O119" s="193">
        <f>IF(SUMPRODUCT((('Full month Pivot'!$B$3:$B$400=$A$111) + ('Full month Pivot'!$A$3:$A$400=$A$111) &gt; 0) * (TRIM('Full month Pivot'!$C$3:$C$400)=TRIM($A119)) * ('Full month Pivot'!$D$2:$K$2=O$2) * 'Full month Pivot'!$D$3:$K$400)&gt;0, SUMPRODUCT((('Full month Pivot'!$B$3:$B$400=$A$111) + ('Full month Pivot'!$A$3:$A$400=$A$111) &gt; 0) * (TRIM('Full month Pivot'!$C$3:$C$400)=TRIM($A119)) * ('Full month Pivot'!$D$2:$K$2=O$2) * 'Full month Pivot'!$D$3:$K$400), "")</f>
        <v/>
      </c>
      <c r="P119" s="193">
        <f>IF(SUMPRODUCT((('Full month Pivot'!$B$3:$B$400=$A$111) + ('Full month Pivot'!$A$3:$A$400=$A$111) &gt; 0) * (TRIM('Full month Pivot'!$C$3:$C$400)=TRIM($A119)) * ('Full month Pivot'!$D$2:$K$2=P$2) * 'Full month Pivot'!$D$3:$K$400)&gt;0, SUMPRODUCT((('Full month Pivot'!$B$3:$B$400=$A$111) + ('Full month Pivot'!$A$3:$A$400=$A$111) &gt; 0) * (TRIM('Full month Pivot'!$C$3:$C$400)=TRIM($A119)) * ('Full month Pivot'!$D$2:$K$2=P$2) * 'Full month Pivot'!$D$3:$K$400), "")</f>
        <v/>
      </c>
      <c r="Q119" s="193">
        <f>IF(SUMPRODUCT((('Full month Pivot'!$B$3:$B$400=$A$111) + ('Full month Pivot'!$A$3:$A$400=$A$111) &gt; 0) * (TRIM('Full month Pivot'!$C$3:$C$400)=TRIM($A119)) * ('Full month Pivot'!$D$2:$K$2=Q$2) * 'Full month Pivot'!$D$3:$K$400)&gt;0, SUMPRODUCT((('Full month Pivot'!$B$3:$B$400=$A$111) + ('Full month Pivot'!$A$3:$A$400=$A$111) &gt; 0) * (TRIM('Full month Pivot'!$C$3:$C$400)=TRIM($A119)) * ('Full month Pivot'!$D$2:$K$2=Q$2) * 'Full month Pivot'!$D$3:$K$400), "")</f>
        <v/>
      </c>
      <c r="R119" s="193">
        <f>IF(SUMPRODUCT((('Full month Pivot'!$B$3:$B$400=$A$111) + ('Full month Pivot'!$A$3:$A$400=$A$111) &gt; 0) * (TRIM('Full month Pivot'!$C$3:$C$400)=TRIM($A119)) * ('Full month Pivot'!$D$2:$K$2=R$2) * 'Full month Pivot'!$D$3:$K$400)&gt;0, SUMPRODUCT((('Full month Pivot'!$B$3:$B$400=$A$111) + ('Full month Pivot'!$A$3:$A$400=$A$111) &gt; 0) * (TRIM('Full month Pivot'!$C$3:$C$400)=TRIM($A119)) * ('Full month Pivot'!$D$2:$K$2=R$2) * 'Full month Pivot'!$D$3:$K$400), "")</f>
        <v/>
      </c>
      <c r="S119" s="193">
        <f>IF(SUMPRODUCT((('Full month Pivot'!$B$3:$B$400=$A$111) + ('Full month Pivot'!$A$3:$A$400=$A$111) &gt; 0) * (TRIM('Full month Pivot'!$C$3:$C$400)=TRIM($A119)) * ('Full month Pivot'!$D$2:$K$2=S$2) * 'Full month Pivot'!$D$3:$K$400)&gt;0, SUMPRODUCT((('Full month Pivot'!$B$3:$B$400=$A$111) + ('Full month Pivot'!$A$3:$A$400=$A$111) &gt; 0) * (TRIM('Full month Pivot'!$C$3:$C$400)=TRIM($A119)) * ('Full month Pivot'!$D$2:$K$2=S$2) * 'Full month Pivot'!$D$3:$K$400), "")</f>
        <v/>
      </c>
      <c r="T119" s="193">
        <f>IF(SUMPRODUCT((('Full month Pivot'!$B$3:$B$400=$A$111) + ('Full month Pivot'!$A$3:$A$400=$A$111) &gt; 0) * (TRIM('Full month Pivot'!$C$3:$C$400)=TRIM($A119)) * ('Full month Pivot'!$D$2:$K$2=T$2) * 'Full month Pivot'!$D$3:$K$400)&gt;0, SUMPRODUCT((('Full month Pivot'!$B$3:$B$400=$A$111) + ('Full month Pivot'!$A$3:$A$400=$A$111) &gt; 0) * (TRIM('Full month Pivot'!$C$3:$C$400)=TRIM($A119)) * ('Full month Pivot'!$D$2:$K$2=T$2) * 'Full month Pivot'!$D$3:$K$400), "")</f>
        <v/>
      </c>
      <c r="U119" s="193">
        <f>IF(SUMPRODUCT((('Full month Pivot'!$B$3:$B$400=$A$111) + ('Full month Pivot'!$A$3:$A$400=$A$111) &gt; 0) * (TRIM('Full month Pivot'!$C$3:$C$400)=TRIM($A119)) * ('Full month Pivot'!$D$2:$K$2=U$2) * 'Full month Pivot'!$D$3:$K$400)&gt;0, SUMPRODUCT((('Full month Pivot'!$B$3:$B$400=$A$111) + ('Full month Pivot'!$A$3:$A$400=$A$111) &gt; 0) * (TRIM('Full month Pivot'!$C$3:$C$400)=TRIM($A119)) * ('Full month Pivot'!$D$2:$K$2=U$2) * 'Full month Pivot'!$D$3:$K$400), "")</f>
        <v/>
      </c>
      <c r="V119" s="193">
        <f>IF(SUMPRODUCT((('Full month Pivot'!$B$3:$B$400=$A$111) + ('Full month Pivot'!$A$3:$A$400=$A$111) &gt; 0) * (TRIM('Full month Pivot'!$C$3:$C$400)=TRIM($A119)) * ('Full month Pivot'!$D$2:$K$2=V$2) * 'Full month Pivot'!$D$3:$K$400)&gt;0, SUMPRODUCT((('Full month Pivot'!$B$3:$B$400=$A$111) + ('Full month Pivot'!$A$3:$A$400=$A$111) &gt; 0) * (TRIM('Full month Pivot'!$C$3:$C$400)=TRIM($A119)) * ('Full month Pivot'!$D$2:$K$2=V$2) * 'Full month Pivot'!$D$3:$K$400), "")</f>
        <v/>
      </c>
      <c r="W119" s="193">
        <f>IF(SUMPRODUCT((('Full month Pivot'!$B$3:$B$400=$A$111) + ('Full month Pivot'!$A$3:$A$400=$A$111) &gt; 0) * (TRIM('Full month Pivot'!$C$3:$C$400)=TRIM($A119)) * ('Full month Pivot'!$D$2:$K$2=W$2) * 'Full month Pivot'!$D$3:$K$400)&gt;0, SUMPRODUCT((('Full month Pivot'!$B$3:$B$400=$A$111) + ('Full month Pivot'!$A$3:$A$400=$A$111) &gt; 0) * (TRIM('Full month Pivot'!$C$3:$C$400)=TRIM($A119)) * ('Full month Pivot'!$D$2:$K$2=W$2) * 'Full month Pivot'!$D$3:$K$400), "")</f>
        <v/>
      </c>
      <c r="X119" s="193">
        <f>IF(SUMPRODUCT((('Full month Pivot'!$B$3:$B$400=$A$111) + ('Full month Pivot'!$A$3:$A$400=$A$111) &gt; 0) * (TRIM('Full month Pivot'!$C$3:$C$400)=TRIM($A119)) * ('Full month Pivot'!$D$2:$K$2=X$2) * 'Full month Pivot'!$D$3:$K$400)&gt;0, SUMPRODUCT((('Full month Pivot'!$B$3:$B$400=$A$111) + ('Full month Pivot'!$A$3:$A$400=$A$111) &gt; 0) * (TRIM('Full month Pivot'!$C$3:$C$400)=TRIM($A119)) * ('Full month Pivot'!$D$2:$K$2=X$2) * 'Full month Pivot'!$D$3:$K$400), "")</f>
        <v/>
      </c>
      <c r="Y119" s="193">
        <f>IF(SUMPRODUCT((('Full month Pivot'!$B$3:$B$400=$A$111) + ('Full month Pivot'!$A$3:$A$400=$A$111) &gt; 0) * (TRIM('Full month Pivot'!$C$3:$C$400)=TRIM($A119)) * ('Full month Pivot'!$D$2:$K$2=Y$2) * 'Full month Pivot'!$D$3:$K$400)&gt;0, SUMPRODUCT((('Full month Pivot'!$B$3:$B$400=$A$111) + ('Full month Pivot'!$A$3:$A$400=$A$111) &gt; 0) * (TRIM('Full month Pivot'!$C$3:$C$400)=TRIM($A119)) * ('Full month Pivot'!$D$2:$K$2=Y$2) * 'Full month Pivot'!$D$3:$K$400), "")</f>
        <v/>
      </c>
      <c r="Z119" s="193">
        <f>IF(SUMPRODUCT((('Full month Pivot'!$B$3:$B$400=$A$111) + ('Full month Pivot'!$A$3:$A$400=$A$111) &gt; 0) * (TRIM('Full month Pivot'!$C$3:$C$400)=TRIM($A119)) * ('Full month Pivot'!$D$2:$K$2=Z$2) * 'Full month Pivot'!$D$3:$K$400)&gt;0, SUMPRODUCT((('Full month Pivot'!$B$3:$B$400=$A$111) + ('Full month Pivot'!$A$3:$A$400=$A$111) &gt; 0) * (TRIM('Full month Pivot'!$C$3:$C$400)=TRIM($A119)) * ('Full month Pivot'!$D$2:$K$2=Z$2) * 'Full month Pivot'!$D$3:$K$400), "")</f>
        <v/>
      </c>
      <c r="AA119" s="157">
        <f>IF(AND(ISNUMBER(X119), ISNUMBER(W119), W119&gt;0), (X119-W119)/W119, "")</f>
        <v/>
      </c>
      <c r="AB119" s="140" t="n"/>
      <c r="AC119" s="140" t="n"/>
      <c r="AD119" s="140" t="n"/>
    </row>
    <row r="120" ht="15.75" customHeight="1" s="346">
      <c r="A120" s="202" t="inlineStr">
        <is>
          <t xml:space="preserve">  Referral</t>
        </is>
      </c>
      <c r="B120" s="193">
        <f>IF(SUMPRODUCT((('MTD Pivot'!$B$3:$B$400=$A$111) + ('MTD Pivot'!$A$3:$A$400=$A$111) &gt; 0) * (TRIM('MTD Pivot'!$C$3:$C$400)=TRIM($A120)) * ('MTD Pivot'!$D$2:$K$2=B$2) * 'MTD Pivot'!$D$3:$K$400)&gt;0, SUMPRODUCT((('MTD Pivot'!$B$3:$B$400=$A$111) + ('MTD Pivot'!$A$3:$A$400=$A$111) &gt; 0) * (TRIM('MTD Pivot'!$C$3:$C$400)=TRIM($A120)) * ('MTD Pivot'!$D$2:$K$2=B$2) * 'MTD Pivot'!$D$3:$K$400), "")</f>
        <v/>
      </c>
      <c r="C120" s="193">
        <f>IF(SUMPRODUCT((('MTD Pivot'!$B$3:$B$400=$A$111) + ('MTD Pivot'!$A$3:$A$400=$A$111) &gt; 0) * (TRIM('MTD Pivot'!$C$3:$C$400)=TRIM($A120)) * ('MTD Pivot'!$D$2:$K$2=C$2) * 'MTD Pivot'!$D$3:$K$400)&gt;0, SUMPRODUCT((('MTD Pivot'!$B$3:$B$400=$A$111) + ('MTD Pivot'!$A$3:$A$400=$A$111) &gt; 0) * (TRIM('MTD Pivot'!$C$3:$C$400)=TRIM($A120)) * ('MTD Pivot'!$D$2:$K$2=C$2) * 'MTD Pivot'!$D$3:$K$400), "")</f>
        <v/>
      </c>
      <c r="D120" s="193">
        <f>IF(SUMPRODUCT((('MTD Pivot'!$B$3:$B$400=$A$111) + ('MTD Pivot'!$A$3:$A$400=$A$111) &gt; 0) * (TRIM('MTD Pivot'!$C$3:$C$400)=TRIM($A120)) * ('MTD Pivot'!$D$2:$K$2=D$2) * 'MTD Pivot'!$D$3:$K$400)&gt;0, SUMPRODUCT((('MTD Pivot'!$B$3:$B$400=$A$111) + ('MTD Pivot'!$A$3:$A$400=$A$111) &gt; 0) * (TRIM('MTD Pivot'!$C$3:$C$400)=TRIM($A120)) * ('MTD Pivot'!$D$2:$K$2=D$2) * 'MTD Pivot'!$D$3:$K$400), "")</f>
        <v/>
      </c>
      <c r="E120" s="193">
        <f>IF(SUMPRODUCT((('MTD Pivot'!$B$3:$B$400=$A$111) + ('MTD Pivot'!$A$3:$A$400=$A$111) &gt; 0) * (TRIM('MTD Pivot'!$C$3:$C$400)=TRIM($A120)) * ('MTD Pivot'!$D$2:$K$2=E$2) * 'MTD Pivot'!$D$3:$K$400)&gt;0, SUMPRODUCT((('MTD Pivot'!$B$3:$B$400=$A$111) + ('MTD Pivot'!$A$3:$A$400=$A$111) &gt; 0) * (TRIM('MTD Pivot'!$C$3:$C$400)=TRIM($A120)) * ('MTD Pivot'!$D$2:$K$2=E$2) * 'MTD Pivot'!$D$3:$K$400), "")</f>
        <v/>
      </c>
      <c r="F120" s="193">
        <f>IF(SUMPRODUCT((('MTD Pivot'!$B$3:$B$400=$A$111) + ('MTD Pivot'!$A$3:$A$400=$A$111) &gt; 0) * (TRIM('MTD Pivot'!$C$3:$C$400)=TRIM($A120)) * ('MTD Pivot'!$D$2:$K$2=F$2) * 'MTD Pivot'!$D$3:$K$400)&gt;0, SUMPRODUCT((('MTD Pivot'!$B$3:$B$400=$A$111) + ('MTD Pivot'!$A$3:$A$400=$A$111) &gt; 0) * (TRIM('MTD Pivot'!$C$3:$C$400)=TRIM($A120)) * ('MTD Pivot'!$D$2:$K$2=F$2) * 'MTD Pivot'!$D$3:$K$400), "")</f>
        <v/>
      </c>
      <c r="G120" s="193">
        <f>IF(SUMPRODUCT((('MTD Pivot'!$B$3:$B$400=$A$111) + ('MTD Pivot'!$A$3:$A$400=$A$111) &gt; 0) * (TRIM('MTD Pivot'!$C$3:$C$400)=TRIM($A120)) * ('MTD Pivot'!$D$2:$K$2=G$2) * 'MTD Pivot'!$D$3:$K$400)&gt;0, SUMPRODUCT((('MTD Pivot'!$B$3:$B$400=$A$111) + ('MTD Pivot'!$A$3:$A$400=$A$111) &gt; 0) * (TRIM('MTD Pivot'!$C$3:$C$400)=TRIM($A120)) * ('MTD Pivot'!$D$2:$K$2=G$2) * 'MTD Pivot'!$D$3:$K$400), "")</f>
        <v/>
      </c>
      <c r="H120" s="193">
        <f>IF(SUMPRODUCT((('MTD Pivot'!$B$3:$B$400=$A$111) + ('MTD Pivot'!$A$3:$A$400=$A$111) &gt; 0) * (TRIM('MTD Pivot'!$C$3:$C$400)=TRIM($A120)) * ('MTD Pivot'!$D$2:$K$2=H$2) * 'MTD Pivot'!$D$3:$K$400)&gt;0, SUMPRODUCT((('MTD Pivot'!$B$3:$B$400=$A$111) + ('MTD Pivot'!$A$3:$A$400=$A$111) &gt; 0) * (TRIM('MTD Pivot'!$C$3:$C$400)=TRIM($A120)) * ('MTD Pivot'!$D$2:$K$2=H$2) * 'MTD Pivot'!$D$3:$K$400), "")</f>
        <v/>
      </c>
      <c r="I120" s="193">
        <f>IF(SUMPRODUCT((('MTD Pivot'!$B$3:$B$400=$A$111) + ('MTD Pivot'!$A$3:$A$400=$A$111) &gt; 0) * (TRIM('MTD Pivot'!$C$3:$C$400)=TRIM($A120)) * ('MTD Pivot'!$D$2:$K$2=I$2) * 'MTD Pivot'!$D$3:$K$400)&gt;0, SUMPRODUCT((('MTD Pivot'!$B$3:$B$400=$A$111) + ('MTD Pivot'!$A$3:$A$400=$A$111) &gt; 0) * (TRIM('MTD Pivot'!$C$3:$C$400)=TRIM($A120)) * ('MTD Pivot'!$D$2:$K$2=I$2) * 'MTD Pivot'!$D$3:$K$400), "")</f>
        <v/>
      </c>
      <c r="J120" s="193">
        <f>IF(SUMPRODUCT((('MTD Pivot'!$B$3:$B$400=$A$111) + ('MTD Pivot'!$A$3:$A$400=$A$111) &gt; 0) * (TRIM('MTD Pivot'!$C$3:$C$400)=TRIM($A120)) * ('MTD Pivot'!$D$2:$K$2=J$2) * 'MTD Pivot'!$D$3:$K$400)&gt;0, SUMPRODUCT((('MTD Pivot'!$B$3:$B$400=$A$111) + ('MTD Pivot'!$A$3:$A$400=$A$111) &gt; 0) * (TRIM('MTD Pivot'!$C$3:$C$400)=TRIM($A120)) * ('MTD Pivot'!$D$2:$K$2=J$2) * 'MTD Pivot'!$D$3:$K$400), "")</f>
        <v/>
      </c>
      <c r="K120" s="193">
        <f>IF(SUMPRODUCT((('MTD Pivot'!$B$3:$B$400=$A$111) + ('MTD Pivot'!$A$3:$A$400=$A$111) &gt; 0) * (TRIM('MTD Pivot'!$C$3:$C$400)=TRIM($A120)) * ('MTD Pivot'!$D$2:$K$2=K$2) * 'MTD Pivot'!$D$3:$K$400)&gt;0, SUMPRODUCT((('MTD Pivot'!$B$3:$B$400=$A$111) + ('MTD Pivot'!$A$3:$A$400=$A$111) &gt; 0) * (TRIM('MTD Pivot'!$C$3:$C$400)=TRIM($A120)) * ('MTD Pivot'!$D$2:$K$2=K$2) * 'MTD Pivot'!$D$3:$K$400), "")</f>
        <v/>
      </c>
      <c r="L120" s="193">
        <f>IF(SUMPRODUCT((('MTD Pivot'!$B$3:$B$400=$A$111) + ('MTD Pivot'!$A$3:$A$400=$A$111) &gt; 0) * (TRIM('MTD Pivot'!$C$3:$C$400)=TRIM($A120)) * ('MTD Pivot'!$D$2:$K$2=L$2) * 'MTD Pivot'!$D$3:$K$400)&gt;0, SUMPRODUCT((('MTD Pivot'!$B$3:$B$400=$A$111) + ('MTD Pivot'!$A$3:$A$400=$A$111) &gt; 0) * (TRIM('MTD Pivot'!$C$3:$C$400)=TRIM($A120)) * ('MTD Pivot'!$D$2:$K$2=L$2) * 'MTD Pivot'!$D$3:$K$400), "")</f>
        <v/>
      </c>
      <c r="M120" s="193">
        <f>IF(SUMPRODUCT((('MTD Pivot'!$B$3:$B$400=$A$111) + ('MTD Pivot'!$A$3:$A$400=$A$111) &gt; 0) * (TRIM('MTD Pivot'!$C$3:$C$400)=TRIM($A120)) * ('MTD Pivot'!$D$2:$K$2=M$2) * 'MTD Pivot'!$D$3:$K$400)&gt;0, SUMPRODUCT((('MTD Pivot'!$B$3:$B$400=$A$111) + ('MTD Pivot'!$A$3:$A$400=$A$111) &gt; 0) * (TRIM('MTD Pivot'!$C$3:$C$400)=TRIM($A120)) * ('MTD Pivot'!$D$2:$K$2=M$2) * 'MTD Pivot'!$D$3:$K$400), "")</f>
        <v/>
      </c>
      <c r="N120" s="157">
        <f>IF(AND(ISNUMBER(K120), ISNUMBER(J120), J120&gt;0), (K120-J120)/J120, "")</f>
        <v/>
      </c>
      <c r="O120" s="193">
        <f>IF(SUMPRODUCT((('Full month Pivot'!$B$3:$B$400=$A$111) + ('Full month Pivot'!$A$3:$A$400=$A$111) &gt; 0) * (TRIM('Full month Pivot'!$C$3:$C$400)=TRIM($A120)) * ('Full month Pivot'!$D$2:$K$2=O$2) * 'Full month Pivot'!$D$3:$K$400)&gt;0, SUMPRODUCT((('Full month Pivot'!$B$3:$B$400=$A$111) + ('Full month Pivot'!$A$3:$A$400=$A$111) &gt; 0) * (TRIM('Full month Pivot'!$C$3:$C$400)=TRIM($A120)) * ('Full month Pivot'!$D$2:$K$2=O$2) * 'Full month Pivot'!$D$3:$K$400), "")</f>
        <v/>
      </c>
      <c r="P120" s="193">
        <f>IF(SUMPRODUCT((('Full month Pivot'!$B$3:$B$400=$A$111) + ('Full month Pivot'!$A$3:$A$400=$A$111) &gt; 0) * (TRIM('Full month Pivot'!$C$3:$C$400)=TRIM($A120)) * ('Full month Pivot'!$D$2:$K$2=P$2) * 'Full month Pivot'!$D$3:$K$400)&gt;0, SUMPRODUCT((('Full month Pivot'!$B$3:$B$400=$A$111) + ('Full month Pivot'!$A$3:$A$400=$A$111) &gt; 0) * (TRIM('Full month Pivot'!$C$3:$C$400)=TRIM($A120)) * ('Full month Pivot'!$D$2:$K$2=P$2) * 'Full month Pivot'!$D$3:$K$400), "")</f>
        <v/>
      </c>
      <c r="Q120" s="193">
        <f>IF(SUMPRODUCT((('Full month Pivot'!$B$3:$B$400=$A$111) + ('Full month Pivot'!$A$3:$A$400=$A$111) &gt; 0) * (TRIM('Full month Pivot'!$C$3:$C$400)=TRIM($A120)) * ('Full month Pivot'!$D$2:$K$2=Q$2) * 'Full month Pivot'!$D$3:$K$400)&gt;0, SUMPRODUCT((('Full month Pivot'!$B$3:$B$400=$A$111) + ('Full month Pivot'!$A$3:$A$400=$A$111) &gt; 0) * (TRIM('Full month Pivot'!$C$3:$C$400)=TRIM($A120)) * ('Full month Pivot'!$D$2:$K$2=Q$2) * 'Full month Pivot'!$D$3:$K$400), "")</f>
        <v/>
      </c>
      <c r="R120" s="193">
        <f>IF(SUMPRODUCT((('Full month Pivot'!$B$3:$B$400=$A$111) + ('Full month Pivot'!$A$3:$A$400=$A$111) &gt; 0) * (TRIM('Full month Pivot'!$C$3:$C$400)=TRIM($A120)) * ('Full month Pivot'!$D$2:$K$2=R$2) * 'Full month Pivot'!$D$3:$K$400)&gt;0, SUMPRODUCT((('Full month Pivot'!$B$3:$B$400=$A$111) + ('Full month Pivot'!$A$3:$A$400=$A$111) &gt; 0) * (TRIM('Full month Pivot'!$C$3:$C$400)=TRIM($A120)) * ('Full month Pivot'!$D$2:$K$2=R$2) * 'Full month Pivot'!$D$3:$K$400), "")</f>
        <v/>
      </c>
      <c r="S120" s="193">
        <f>IF(SUMPRODUCT((('Full month Pivot'!$B$3:$B$400=$A$111) + ('Full month Pivot'!$A$3:$A$400=$A$111) &gt; 0) * (TRIM('Full month Pivot'!$C$3:$C$400)=TRIM($A120)) * ('Full month Pivot'!$D$2:$K$2=S$2) * 'Full month Pivot'!$D$3:$K$400)&gt;0, SUMPRODUCT((('Full month Pivot'!$B$3:$B$400=$A$111) + ('Full month Pivot'!$A$3:$A$400=$A$111) &gt; 0) * (TRIM('Full month Pivot'!$C$3:$C$400)=TRIM($A120)) * ('Full month Pivot'!$D$2:$K$2=S$2) * 'Full month Pivot'!$D$3:$K$400), "")</f>
        <v/>
      </c>
      <c r="T120" s="193">
        <f>IF(SUMPRODUCT((('Full month Pivot'!$B$3:$B$400=$A$111) + ('Full month Pivot'!$A$3:$A$400=$A$111) &gt; 0) * (TRIM('Full month Pivot'!$C$3:$C$400)=TRIM($A120)) * ('Full month Pivot'!$D$2:$K$2=T$2) * 'Full month Pivot'!$D$3:$K$400)&gt;0, SUMPRODUCT((('Full month Pivot'!$B$3:$B$400=$A$111) + ('Full month Pivot'!$A$3:$A$400=$A$111) &gt; 0) * (TRIM('Full month Pivot'!$C$3:$C$400)=TRIM($A120)) * ('Full month Pivot'!$D$2:$K$2=T$2) * 'Full month Pivot'!$D$3:$K$400), "")</f>
        <v/>
      </c>
      <c r="U120" s="193">
        <f>IF(SUMPRODUCT((('Full month Pivot'!$B$3:$B$400=$A$111) + ('Full month Pivot'!$A$3:$A$400=$A$111) &gt; 0) * (TRIM('Full month Pivot'!$C$3:$C$400)=TRIM($A120)) * ('Full month Pivot'!$D$2:$K$2=U$2) * 'Full month Pivot'!$D$3:$K$400)&gt;0, SUMPRODUCT((('Full month Pivot'!$B$3:$B$400=$A$111) + ('Full month Pivot'!$A$3:$A$400=$A$111) &gt; 0) * (TRIM('Full month Pivot'!$C$3:$C$400)=TRIM($A120)) * ('Full month Pivot'!$D$2:$K$2=U$2) * 'Full month Pivot'!$D$3:$K$400), "")</f>
        <v/>
      </c>
      <c r="V120" s="193">
        <f>IF(SUMPRODUCT((('Full month Pivot'!$B$3:$B$400=$A$111) + ('Full month Pivot'!$A$3:$A$400=$A$111) &gt; 0) * (TRIM('Full month Pivot'!$C$3:$C$400)=TRIM($A120)) * ('Full month Pivot'!$D$2:$K$2=V$2) * 'Full month Pivot'!$D$3:$K$400)&gt;0, SUMPRODUCT((('Full month Pivot'!$B$3:$B$400=$A$111) + ('Full month Pivot'!$A$3:$A$400=$A$111) &gt; 0) * (TRIM('Full month Pivot'!$C$3:$C$400)=TRIM($A120)) * ('Full month Pivot'!$D$2:$K$2=V$2) * 'Full month Pivot'!$D$3:$K$400), "")</f>
        <v/>
      </c>
      <c r="W120" s="193">
        <f>IF(SUMPRODUCT((('Full month Pivot'!$B$3:$B$400=$A$111) + ('Full month Pivot'!$A$3:$A$400=$A$111) &gt; 0) * (TRIM('Full month Pivot'!$C$3:$C$400)=TRIM($A120)) * ('Full month Pivot'!$D$2:$K$2=W$2) * 'Full month Pivot'!$D$3:$K$400)&gt;0, SUMPRODUCT((('Full month Pivot'!$B$3:$B$400=$A$111) + ('Full month Pivot'!$A$3:$A$400=$A$111) &gt; 0) * (TRIM('Full month Pivot'!$C$3:$C$400)=TRIM($A120)) * ('Full month Pivot'!$D$2:$K$2=W$2) * 'Full month Pivot'!$D$3:$K$400), "")</f>
        <v/>
      </c>
      <c r="X120" s="193">
        <f>IF(SUMPRODUCT((('Full month Pivot'!$B$3:$B$400=$A$111) + ('Full month Pivot'!$A$3:$A$400=$A$111) &gt; 0) * (TRIM('Full month Pivot'!$C$3:$C$400)=TRIM($A120)) * ('Full month Pivot'!$D$2:$K$2=X$2) * 'Full month Pivot'!$D$3:$K$400)&gt;0, SUMPRODUCT((('Full month Pivot'!$B$3:$B$400=$A$111) + ('Full month Pivot'!$A$3:$A$400=$A$111) &gt; 0) * (TRIM('Full month Pivot'!$C$3:$C$400)=TRIM($A120)) * ('Full month Pivot'!$D$2:$K$2=X$2) * 'Full month Pivot'!$D$3:$K$400), "")</f>
        <v/>
      </c>
      <c r="Y120" s="193">
        <f>IF(SUMPRODUCT((('Full month Pivot'!$B$3:$B$400=$A$111) + ('Full month Pivot'!$A$3:$A$400=$A$111) &gt; 0) * (TRIM('Full month Pivot'!$C$3:$C$400)=TRIM($A120)) * ('Full month Pivot'!$D$2:$K$2=Y$2) * 'Full month Pivot'!$D$3:$K$400)&gt;0, SUMPRODUCT((('Full month Pivot'!$B$3:$B$400=$A$111) + ('Full month Pivot'!$A$3:$A$400=$A$111) &gt; 0) * (TRIM('Full month Pivot'!$C$3:$C$400)=TRIM($A120)) * ('Full month Pivot'!$D$2:$K$2=Y$2) * 'Full month Pivot'!$D$3:$K$400), "")</f>
        <v/>
      </c>
      <c r="Z120" s="193">
        <f>IF(SUMPRODUCT((('Full month Pivot'!$B$3:$B$400=$A$111) + ('Full month Pivot'!$A$3:$A$400=$A$111) &gt; 0) * (TRIM('Full month Pivot'!$C$3:$C$400)=TRIM($A120)) * ('Full month Pivot'!$D$2:$K$2=Z$2) * 'Full month Pivot'!$D$3:$K$400)&gt;0, SUMPRODUCT((('Full month Pivot'!$B$3:$B$400=$A$111) + ('Full month Pivot'!$A$3:$A$400=$A$111) &gt; 0) * (TRIM('Full month Pivot'!$C$3:$C$400)=TRIM($A120)) * ('Full month Pivot'!$D$2:$K$2=Z$2) * 'Full month Pivot'!$D$3:$K$400), "")</f>
        <v/>
      </c>
      <c r="AA120" s="157">
        <f>IF(AND(ISNUMBER(X120), ISNUMBER(W120), W120&gt;0), (X120-W120)/W120, "")</f>
        <v/>
      </c>
      <c r="AB120" s="140" t="n"/>
      <c r="AC120" s="140" t="n"/>
      <c r="AD120" s="140" t="n"/>
    </row>
    <row r="121" ht="15.75" customHeight="1" s="346">
      <c r="A121" s="202" t="inlineStr">
        <is>
          <t xml:space="preserve">  Others</t>
        </is>
      </c>
      <c r="B121" s="193">
        <f>IF(SUMPRODUCT((('MTD Pivot'!$B$3:$B$400=$A$111) + ('MTD Pivot'!$A$3:$A$400=$A$111) &gt; 0) * (TRIM('MTD Pivot'!$C$3:$C$400)=TRIM($A121)) * ('MTD Pivot'!$D$2:$K$2=B$2) * 'MTD Pivot'!$D$3:$K$400)&gt;0, SUMPRODUCT((('MTD Pivot'!$B$3:$B$400=$A$111) + ('MTD Pivot'!$A$3:$A$400=$A$111) &gt; 0) * (TRIM('MTD Pivot'!$C$3:$C$400)=TRIM($A121)) * ('MTD Pivot'!$D$2:$K$2=B$2) * 'MTD Pivot'!$D$3:$K$400), "")</f>
        <v/>
      </c>
      <c r="C121" s="193">
        <f>IF(SUMPRODUCT((('MTD Pivot'!$B$3:$B$400=$A$111) + ('MTD Pivot'!$A$3:$A$400=$A$111) &gt; 0) * (TRIM('MTD Pivot'!$C$3:$C$400)=TRIM($A121)) * ('MTD Pivot'!$D$2:$K$2=C$2) * 'MTD Pivot'!$D$3:$K$400)&gt;0, SUMPRODUCT((('MTD Pivot'!$B$3:$B$400=$A$111) + ('MTD Pivot'!$A$3:$A$400=$A$111) &gt; 0) * (TRIM('MTD Pivot'!$C$3:$C$400)=TRIM($A121)) * ('MTD Pivot'!$D$2:$K$2=C$2) * 'MTD Pivot'!$D$3:$K$400), "")</f>
        <v/>
      </c>
      <c r="D121" s="193">
        <f>IF(SUMPRODUCT((('MTD Pivot'!$B$3:$B$400=$A$111) + ('MTD Pivot'!$A$3:$A$400=$A$111) &gt; 0) * (TRIM('MTD Pivot'!$C$3:$C$400)=TRIM($A121)) * ('MTD Pivot'!$D$2:$K$2=D$2) * 'MTD Pivot'!$D$3:$K$400)&gt;0, SUMPRODUCT((('MTD Pivot'!$B$3:$B$400=$A$111) + ('MTD Pivot'!$A$3:$A$400=$A$111) &gt; 0) * (TRIM('MTD Pivot'!$C$3:$C$400)=TRIM($A121)) * ('MTD Pivot'!$D$2:$K$2=D$2) * 'MTD Pivot'!$D$3:$K$400), "")</f>
        <v/>
      </c>
      <c r="E121" s="193">
        <f>IF(SUMPRODUCT((('MTD Pivot'!$B$3:$B$400=$A$111) + ('MTD Pivot'!$A$3:$A$400=$A$111) &gt; 0) * (TRIM('MTD Pivot'!$C$3:$C$400)=TRIM($A121)) * ('MTD Pivot'!$D$2:$K$2=E$2) * 'MTD Pivot'!$D$3:$K$400)&gt;0, SUMPRODUCT((('MTD Pivot'!$B$3:$B$400=$A$111) + ('MTD Pivot'!$A$3:$A$400=$A$111) &gt; 0) * (TRIM('MTD Pivot'!$C$3:$C$400)=TRIM($A121)) * ('MTD Pivot'!$D$2:$K$2=E$2) * 'MTD Pivot'!$D$3:$K$400), "")</f>
        <v/>
      </c>
      <c r="F121" s="193">
        <f>IF(SUMPRODUCT((('MTD Pivot'!$B$3:$B$400=$A$111) + ('MTD Pivot'!$A$3:$A$400=$A$111) &gt; 0) * (TRIM('MTD Pivot'!$C$3:$C$400)=TRIM($A121)) * ('MTD Pivot'!$D$2:$K$2=F$2) * 'MTD Pivot'!$D$3:$K$400)&gt;0, SUMPRODUCT((('MTD Pivot'!$B$3:$B$400=$A$111) + ('MTD Pivot'!$A$3:$A$400=$A$111) &gt; 0) * (TRIM('MTD Pivot'!$C$3:$C$400)=TRIM($A121)) * ('MTD Pivot'!$D$2:$K$2=F$2) * 'MTD Pivot'!$D$3:$K$400), "")</f>
        <v/>
      </c>
      <c r="G121" s="193">
        <f>IF(SUMPRODUCT((('MTD Pivot'!$B$3:$B$400=$A$111) + ('MTD Pivot'!$A$3:$A$400=$A$111) &gt; 0) * (TRIM('MTD Pivot'!$C$3:$C$400)=TRIM($A121)) * ('MTD Pivot'!$D$2:$K$2=G$2) * 'MTD Pivot'!$D$3:$K$400)&gt;0, SUMPRODUCT((('MTD Pivot'!$B$3:$B$400=$A$111) + ('MTD Pivot'!$A$3:$A$400=$A$111) &gt; 0) * (TRIM('MTD Pivot'!$C$3:$C$400)=TRIM($A121)) * ('MTD Pivot'!$D$2:$K$2=G$2) * 'MTD Pivot'!$D$3:$K$400), "")</f>
        <v/>
      </c>
      <c r="H121" s="193">
        <f>IF(SUMPRODUCT((('MTD Pivot'!$B$3:$B$400=$A$111) + ('MTD Pivot'!$A$3:$A$400=$A$111) &gt; 0) * (TRIM('MTD Pivot'!$C$3:$C$400)=TRIM($A121)) * ('MTD Pivot'!$D$2:$K$2=H$2) * 'MTD Pivot'!$D$3:$K$400)&gt;0, SUMPRODUCT((('MTD Pivot'!$B$3:$B$400=$A$111) + ('MTD Pivot'!$A$3:$A$400=$A$111) &gt; 0) * (TRIM('MTD Pivot'!$C$3:$C$400)=TRIM($A121)) * ('MTD Pivot'!$D$2:$K$2=H$2) * 'MTD Pivot'!$D$3:$K$400), "")</f>
        <v/>
      </c>
      <c r="I121" s="193">
        <f>IF(SUMPRODUCT((('MTD Pivot'!$B$3:$B$400=$A$111) + ('MTD Pivot'!$A$3:$A$400=$A$111) &gt; 0) * (TRIM('MTD Pivot'!$C$3:$C$400)=TRIM($A121)) * ('MTD Pivot'!$D$2:$K$2=I$2) * 'MTD Pivot'!$D$3:$K$400)&gt;0, SUMPRODUCT((('MTD Pivot'!$B$3:$B$400=$A$111) + ('MTD Pivot'!$A$3:$A$400=$A$111) &gt; 0) * (TRIM('MTD Pivot'!$C$3:$C$400)=TRIM($A121)) * ('MTD Pivot'!$D$2:$K$2=I$2) * 'MTD Pivot'!$D$3:$K$400), "")</f>
        <v/>
      </c>
      <c r="J121" s="193">
        <f>IF(SUMPRODUCT((('MTD Pivot'!$B$3:$B$400=$A$111) + ('MTD Pivot'!$A$3:$A$400=$A$111) &gt; 0) * (TRIM('MTD Pivot'!$C$3:$C$400)=TRIM($A121)) * ('MTD Pivot'!$D$2:$K$2=J$2) * 'MTD Pivot'!$D$3:$K$400)&gt;0, SUMPRODUCT((('MTD Pivot'!$B$3:$B$400=$A$111) + ('MTD Pivot'!$A$3:$A$400=$A$111) &gt; 0) * (TRIM('MTD Pivot'!$C$3:$C$400)=TRIM($A121)) * ('MTD Pivot'!$D$2:$K$2=J$2) * 'MTD Pivot'!$D$3:$K$400), "")</f>
        <v/>
      </c>
      <c r="K121" s="193">
        <f>IF(SUMPRODUCT((('MTD Pivot'!$B$3:$B$400=$A$111) + ('MTD Pivot'!$A$3:$A$400=$A$111) &gt; 0) * (TRIM('MTD Pivot'!$C$3:$C$400)=TRIM($A121)) * ('MTD Pivot'!$D$2:$K$2=K$2) * 'MTD Pivot'!$D$3:$K$400)&gt;0, SUMPRODUCT((('MTD Pivot'!$B$3:$B$400=$A$111) + ('MTD Pivot'!$A$3:$A$400=$A$111) &gt; 0) * (TRIM('MTD Pivot'!$C$3:$C$400)=TRIM($A121)) * ('MTD Pivot'!$D$2:$K$2=K$2) * 'MTD Pivot'!$D$3:$K$400), "")</f>
        <v/>
      </c>
      <c r="L121" s="193">
        <f>IF(SUMPRODUCT((('MTD Pivot'!$B$3:$B$400=$A$111) + ('MTD Pivot'!$A$3:$A$400=$A$111) &gt; 0) * (TRIM('MTD Pivot'!$C$3:$C$400)=TRIM($A121)) * ('MTD Pivot'!$D$2:$K$2=L$2) * 'MTD Pivot'!$D$3:$K$400)&gt;0, SUMPRODUCT((('MTD Pivot'!$B$3:$B$400=$A$111) + ('MTD Pivot'!$A$3:$A$400=$A$111) &gt; 0) * (TRIM('MTD Pivot'!$C$3:$C$400)=TRIM($A121)) * ('MTD Pivot'!$D$2:$K$2=L$2) * 'MTD Pivot'!$D$3:$K$400), "")</f>
        <v/>
      </c>
      <c r="M121" s="193">
        <f>IF(SUMPRODUCT((('MTD Pivot'!$B$3:$B$400=$A$111) + ('MTD Pivot'!$A$3:$A$400=$A$111) &gt; 0) * (TRIM('MTD Pivot'!$C$3:$C$400)=TRIM($A121)) * ('MTD Pivot'!$D$2:$K$2=M$2) * 'MTD Pivot'!$D$3:$K$400)&gt;0, SUMPRODUCT((('MTD Pivot'!$B$3:$B$400=$A$111) + ('MTD Pivot'!$A$3:$A$400=$A$111) &gt; 0) * (TRIM('MTD Pivot'!$C$3:$C$400)=TRIM($A121)) * ('MTD Pivot'!$D$2:$K$2=M$2) * 'MTD Pivot'!$D$3:$K$400), "")</f>
        <v/>
      </c>
      <c r="N121" s="157">
        <f>IF(AND(ISNUMBER(K121), ISNUMBER(J121), J121&gt;0), (K121-J121)/J121, "")</f>
        <v/>
      </c>
      <c r="O121" s="193">
        <f>IF(SUMPRODUCT((('Full month Pivot'!$B$3:$B$400=$A$111) + ('Full month Pivot'!$A$3:$A$400=$A$111) &gt; 0) * (TRIM('Full month Pivot'!$C$3:$C$400)=TRIM($A121)) * ('Full month Pivot'!$D$2:$K$2=O$2) * 'Full month Pivot'!$D$3:$K$400)&gt;0, SUMPRODUCT((('Full month Pivot'!$B$3:$B$400=$A$111) + ('Full month Pivot'!$A$3:$A$400=$A$111) &gt; 0) * (TRIM('Full month Pivot'!$C$3:$C$400)=TRIM($A121)) * ('Full month Pivot'!$D$2:$K$2=O$2) * 'Full month Pivot'!$D$3:$K$400), "")</f>
        <v/>
      </c>
      <c r="P121" s="193">
        <f>IF(SUMPRODUCT((('Full month Pivot'!$B$3:$B$400=$A$111) + ('Full month Pivot'!$A$3:$A$400=$A$111) &gt; 0) * (TRIM('Full month Pivot'!$C$3:$C$400)=TRIM($A121)) * ('Full month Pivot'!$D$2:$K$2=P$2) * 'Full month Pivot'!$D$3:$K$400)&gt;0, SUMPRODUCT((('Full month Pivot'!$B$3:$B$400=$A$111) + ('Full month Pivot'!$A$3:$A$400=$A$111) &gt; 0) * (TRIM('Full month Pivot'!$C$3:$C$400)=TRIM($A121)) * ('Full month Pivot'!$D$2:$K$2=P$2) * 'Full month Pivot'!$D$3:$K$400), "")</f>
        <v/>
      </c>
      <c r="Q121" s="193">
        <f>IF(SUMPRODUCT((('Full month Pivot'!$B$3:$B$400=$A$111) + ('Full month Pivot'!$A$3:$A$400=$A$111) &gt; 0) * (TRIM('Full month Pivot'!$C$3:$C$400)=TRIM($A121)) * ('Full month Pivot'!$D$2:$K$2=Q$2) * 'Full month Pivot'!$D$3:$K$400)&gt;0, SUMPRODUCT((('Full month Pivot'!$B$3:$B$400=$A$111) + ('Full month Pivot'!$A$3:$A$400=$A$111) &gt; 0) * (TRIM('Full month Pivot'!$C$3:$C$400)=TRIM($A121)) * ('Full month Pivot'!$D$2:$K$2=Q$2) * 'Full month Pivot'!$D$3:$K$400), "")</f>
        <v/>
      </c>
      <c r="R121" s="193">
        <f>IF(SUMPRODUCT((('Full month Pivot'!$B$3:$B$400=$A$111) + ('Full month Pivot'!$A$3:$A$400=$A$111) &gt; 0) * (TRIM('Full month Pivot'!$C$3:$C$400)=TRIM($A121)) * ('Full month Pivot'!$D$2:$K$2=R$2) * 'Full month Pivot'!$D$3:$K$400)&gt;0, SUMPRODUCT((('Full month Pivot'!$B$3:$B$400=$A$111) + ('Full month Pivot'!$A$3:$A$400=$A$111) &gt; 0) * (TRIM('Full month Pivot'!$C$3:$C$400)=TRIM($A121)) * ('Full month Pivot'!$D$2:$K$2=R$2) * 'Full month Pivot'!$D$3:$K$400), "")</f>
        <v/>
      </c>
      <c r="S121" s="193">
        <f>IF(SUMPRODUCT((('Full month Pivot'!$B$3:$B$400=$A$111) + ('Full month Pivot'!$A$3:$A$400=$A$111) &gt; 0) * (TRIM('Full month Pivot'!$C$3:$C$400)=TRIM($A121)) * ('Full month Pivot'!$D$2:$K$2=S$2) * 'Full month Pivot'!$D$3:$K$400)&gt;0, SUMPRODUCT((('Full month Pivot'!$B$3:$B$400=$A$111) + ('Full month Pivot'!$A$3:$A$400=$A$111) &gt; 0) * (TRIM('Full month Pivot'!$C$3:$C$400)=TRIM($A121)) * ('Full month Pivot'!$D$2:$K$2=S$2) * 'Full month Pivot'!$D$3:$K$400), "")</f>
        <v/>
      </c>
      <c r="T121" s="193">
        <f>IF(SUMPRODUCT((('Full month Pivot'!$B$3:$B$400=$A$111) + ('Full month Pivot'!$A$3:$A$400=$A$111) &gt; 0) * (TRIM('Full month Pivot'!$C$3:$C$400)=TRIM($A121)) * ('Full month Pivot'!$D$2:$K$2=T$2) * 'Full month Pivot'!$D$3:$K$400)&gt;0, SUMPRODUCT((('Full month Pivot'!$B$3:$B$400=$A$111) + ('Full month Pivot'!$A$3:$A$400=$A$111) &gt; 0) * (TRIM('Full month Pivot'!$C$3:$C$400)=TRIM($A121)) * ('Full month Pivot'!$D$2:$K$2=T$2) * 'Full month Pivot'!$D$3:$K$400), "")</f>
        <v/>
      </c>
      <c r="U121" s="193">
        <f>IF(SUMPRODUCT((('Full month Pivot'!$B$3:$B$400=$A$111) + ('Full month Pivot'!$A$3:$A$400=$A$111) &gt; 0) * (TRIM('Full month Pivot'!$C$3:$C$400)=TRIM($A121)) * ('Full month Pivot'!$D$2:$K$2=U$2) * 'Full month Pivot'!$D$3:$K$400)&gt;0, SUMPRODUCT((('Full month Pivot'!$B$3:$B$400=$A$111) + ('Full month Pivot'!$A$3:$A$400=$A$111) &gt; 0) * (TRIM('Full month Pivot'!$C$3:$C$400)=TRIM($A121)) * ('Full month Pivot'!$D$2:$K$2=U$2) * 'Full month Pivot'!$D$3:$K$400), "")</f>
        <v/>
      </c>
      <c r="V121" s="193">
        <f>IF(SUMPRODUCT((('Full month Pivot'!$B$3:$B$400=$A$111) + ('Full month Pivot'!$A$3:$A$400=$A$111) &gt; 0) * (TRIM('Full month Pivot'!$C$3:$C$400)=TRIM($A121)) * ('Full month Pivot'!$D$2:$K$2=V$2) * 'Full month Pivot'!$D$3:$K$400)&gt;0, SUMPRODUCT((('Full month Pivot'!$B$3:$B$400=$A$111) + ('Full month Pivot'!$A$3:$A$400=$A$111) &gt; 0) * (TRIM('Full month Pivot'!$C$3:$C$400)=TRIM($A121)) * ('Full month Pivot'!$D$2:$K$2=V$2) * 'Full month Pivot'!$D$3:$K$400), "")</f>
        <v/>
      </c>
      <c r="W121" s="193">
        <f>IF(SUMPRODUCT((('Full month Pivot'!$B$3:$B$400=$A$111) + ('Full month Pivot'!$A$3:$A$400=$A$111) &gt; 0) * (TRIM('Full month Pivot'!$C$3:$C$400)=TRIM($A121)) * ('Full month Pivot'!$D$2:$K$2=W$2) * 'Full month Pivot'!$D$3:$K$400)&gt;0, SUMPRODUCT((('Full month Pivot'!$B$3:$B$400=$A$111) + ('Full month Pivot'!$A$3:$A$400=$A$111) &gt; 0) * (TRIM('Full month Pivot'!$C$3:$C$400)=TRIM($A121)) * ('Full month Pivot'!$D$2:$K$2=W$2) * 'Full month Pivot'!$D$3:$K$400), "")</f>
        <v/>
      </c>
      <c r="X121" s="193">
        <f>IF(SUMPRODUCT((('Full month Pivot'!$B$3:$B$400=$A$111) + ('Full month Pivot'!$A$3:$A$400=$A$111) &gt; 0) * (TRIM('Full month Pivot'!$C$3:$C$400)=TRIM($A121)) * ('Full month Pivot'!$D$2:$K$2=X$2) * 'Full month Pivot'!$D$3:$K$400)&gt;0, SUMPRODUCT((('Full month Pivot'!$B$3:$B$400=$A$111) + ('Full month Pivot'!$A$3:$A$400=$A$111) &gt; 0) * (TRIM('Full month Pivot'!$C$3:$C$400)=TRIM($A121)) * ('Full month Pivot'!$D$2:$K$2=X$2) * 'Full month Pivot'!$D$3:$K$400), "")</f>
        <v/>
      </c>
      <c r="Y121" s="193">
        <f>IF(SUMPRODUCT((('Full month Pivot'!$B$3:$B$400=$A$111) + ('Full month Pivot'!$A$3:$A$400=$A$111) &gt; 0) * (TRIM('Full month Pivot'!$C$3:$C$400)=TRIM($A121)) * ('Full month Pivot'!$D$2:$K$2=Y$2) * 'Full month Pivot'!$D$3:$K$400)&gt;0, SUMPRODUCT((('Full month Pivot'!$B$3:$B$400=$A$111) + ('Full month Pivot'!$A$3:$A$400=$A$111) &gt; 0) * (TRIM('Full month Pivot'!$C$3:$C$400)=TRIM($A121)) * ('Full month Pivot'!$D$2:$K$2=Y$2) * 'Full month Pivot'!$D$3:$K$400), "")</f>
        <v/>
      </c>
      <c r="Z121" s="193">
        <f>IF(SUMPRODUCT((('Full month Pivot'!$B$3:$B$400=$A$111) + ('Full month Pivot'!$A$3:$A$400=$A$111) &gt; 0) * (TRIM('Full month Pivot'!$C$3:$C$400)=TRIM($A121)) * ('Full month Pivot'!$D$2:$K$2=Z$2) * 'Full month Pivot'!$D$3:$K$400)&gt;0, SUMPRODUCT((('Full month Pivot'!$B$3:$B$400=$A$111) + ('Full month Pivot'!$A$3:$A$400=$A$111) &gt; 0) * (TRIM('Full month Pivot'!$C$3:$C$400)=TRIM($A121)) * ('Full month Pivot'!$D$2:$K$2=Z$2) * 'Full month Pivot'!$D$3:$K$400), "")</f>
        <v/>
      </c>
      <c r="AA121" s="157">
        <f>IF(AND(ISNUMBER(X121), ISNUMBER(W121), W121&gt;0), (X121-W121)/W121, "")</f>
        <v/>
      </c>
      <c r="AB121" s="140" t="n"/>
      <c r="AC121" s="140" t="n"/>
      <c r="AD121" s="140" t="n"/>
    </row>
    <row r="122" ht="15.75" customHeight="1" s="346">
      <c r="A122" s="202" t="n"/>
      <c r="B122" s="202" t="n"/>
      <c r="C122" s="202" t="n"/>
      <c r="D122" s="202" t="n"/>
      <c r="E122" s="202" t="n"/>
      <c r="F122" s="202" t="n"/>
      <c r="G122" s="202" t="n"/>
      <c r="H122" s="202" t="n"/>
      <c r="I122" s="202" t="n"/>
      <c r="J122" s="202" t="n"/>
      <c r="K122" s="202" t="n"/>
      <c r="L122" s="202" t="n"/>
      <c r="M122" s="202" t="n"/>
      <c r="N122" s="202" t="n"/>
      <c r="O122" s="202" t="n"/>
      <c r="P122" s="202" t="n"/>
      <c r="Q122" s="202" t="n"/>
      <c r="R122" s="202" t="n"/>
      <c r="S122" s="202" t="n"/>
      <c r="T122" s="202" t="n"/>
      <c r="U122" s="202" t="n"/>
      <c r="V122" s="202" t="n"/>
      <c r="W122" s="202" t="n"/>
      <c r="X122" s="202" t="n"/>
      <c r="Y122" s="202" t="n"/>
      <c r="Z122" s="202" t="n"/>
      <c r="AA122" s="202" t="n"/>
      <c r="AB122" s="140" t="n"/>
      <c r="AC122" s="140" t="n"/>
      <c r="AD122" s="140" t="n"/>
    </row>
    <row r="123" ht="15.75" customHeight="1" s="346">
      <c r="A123" s="145" t="inlineStr">
        <is>
          <t>Vehicle Hub</t>
        </is>
      </c>
      <c r="B123" s="145" t="n"/>
      <c r="C123" s="145" t="n"/>
      <c r="D123" s="145" t="n"/>
      <c r="E123" s="145" t="n"/>
      <c r="F123" s="145" t="n"/>
      <c r="G123" s="145" t="n"/>
      <c r="H123" s="145" t="n"/>
      <c r="I123" s="145" t="n"/>
      <c r="J123" s="145" t="n"/>
      <c r="K123" s="145" t="n"/>
      <c r="L123" s="145" t="n"/>
      <c r="M123" s="145" t="n"/>
      <c r="N123" s="145" t="n"/>
      <c r="O123" s="145" t="n"/>
      <c r="P123" s="145" t="n"/>
      <c r="Q123" s="145" t="n"/>
      <c r="R123" s="145" t="n"/>
      <c r="S123" s="145" t="n"/>
      <c r="T123" s="145" t="n"/>
      <c r="U123" s="145" t="n"/>
      <c r="V123" s="145" t="n"/>
      <c r="W123" s="145" t="n"/>
      <c r="X123" s="145" t="n"/>
      <c r="Y123" s="145" t="n"/>
      <c r="Z123" s="145" t="n"/>
      <c r="AA123" s="145" t="n"/>
      <c r="AB123" s="140" t="n"/>
      <c r="AC123" s="140" t="n"/>
      <c r="AD123" s="140" t="n"/>
    </row>
    <row r="124" ht="15.75" customHeight="1" s="346">
      <c r="A124" s="146" t="inlineStr">
        <is>
          <t>Page views</t>
        </is>
      </c>
      <c r="B124" s="147">
        <f>IF(SUM(B129:B133)&gt;0, SUM(B129:B133), "")</f>
        <v/>
      </c>
      <c r="C124" s="147">
        <f>IF(SUM(C129:C133)&gt;0, SUM(C129:C133), "")</f>
        <v/>
      </c>
      <c r="D124" s="147">
        <f>IF(SUM(D129:D133)&gt;0, SUM(D129:D133), "")</f>
        <v/>
      </c>
      <c r="E124" s="147">
        <f>IF(SUM(E129:E133)&gt;0, SUM(E129:E133), "")</f>
        <v/>
      </c>
      <c r="F124" s="147">
        <f>IF(SUM(F129:F133)&gt;0, SUM(F129:F133), "")</f>
        <v/>
      </c>
      <c r="G124" s="147">
        <f>IF(SUM(G129:G133)&gt;0, SUM(G129:G133), "")</f>
        <v/>
      </c>
      <c r="H124" s="147">
        <f>IF(SUM(H129:H133)&gt;0, SUM(H129:H133), "")</f>
        <v/>
      </c>
      <c r="I124" s="147">
        <f>IF(SUM(I129:I133)&gt;0, SUM(I129:I133), "")</f>
        <v/>
      </c>
      <c r="J124" s="147">
        <f>IF(SUM(J129:J133)&gt;0, SUM(J129:J133), "")</f>
        <v/>
      </c>
      <c r="K124" s="147">
        <f>IF(SUM(K129:K133)&gt;0, SUM(K129:K133), "")</f>
        <v/>
      </c>
      <c r="L124" s="147">
        <f>IF(SUM(L129:L133)&gt;0, SUM(L129:L133), "")</f>
        <v/>
      </c>
      <c r="M124" s="147">
        <f>IF(SUM(M129:M133)&gt;0, SUM(M129:M133), "")</f>
        <v/>
      </c>
      <c r="N124" s="148">
        <f>IFERROR((K124-J124)/J124, "")</f>
        <v/>
      </c>
      <c r="O124" s="147">
        <f>IF(SUM(O129:O133)&gt;0, SUM(O129:O133), "")</f>
        <v/>
      </c>
      <c r="P124" s="147">
        <f>IF(SUM(P129:P133)&gt;0, SUM(P129:P133), "")</f>
        <v/>
      </c>
      <c r="Q124" s="147">
        <f>IF(SUM(Q129:Q133)&gt;0, SUM(Q129:Q133), "")</f>
        <v/>
      </c>
      <c r="R124" s="147">
        <f>IF(SUM(R129:R133)&gt;0, SUM(R129:R133), "")</f>
        <v/>
      </c>
      <c r="S124" s="147">
        <f>IF(SUM(S129:S133)&gt;0, SUM(S129:S133), "")</f>
        <v/>
      </c>
      <c r="T124" s="147">
        <f>IF(SUM(T129:T133)&gt;0, SUM(T129:T133), "")</f>
        <v/>
      </c>
      <c r="U124" s="147">
        <f>IF(SUM(U129:U133)&gt;0, SUM(U129:U133), "")</f>
        <v/>
      </c>
      <c r="V124" s="147">
        <f>IF(SUM(V129:V133)&gt;0, SUM(V129:V133), "")</f>
        <v/>
      </c>
      <c r="W124" s="147">
        <f>IF(SUM(W129:W133)&gt;0, SUM(W129:W133), "")</f>
        <v/>
      </c>
      <c r="X124" s="147">
        <f>IF(SUM(X129:X133)&gt;0, SUM(X129:X133), "")</f>
        <v/>
      </c>
      <c r="Y124" s="147">
        <f>IF(SUM(Y129:Y133)&gt;0, SUM(Y129:Y133), "")</f>
        <v/>
      </c>
      <c r="Z124" s="147">
        <f>IF(SUM(Z129:Z133)&gt;0, SUM(Z129:Z133), "")</f>
        <v/>
      </c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150" t="inlineStr">
        <is>
          <t xml:space="preserve">  Click CTA</t>
        </is>
      </c>
      <c r="B125" s="150" t="n"/>
      <c r="C125" s="150" t="n"/>
      <c r="D125" s="150" t="n"/>
      <c r="E125" s="150" t="n"/>
      <c r="F125" s="150" t="n">
        <v>1033</v>
      </c>
      <c r="G125" s="150" t="n">
        <v>38402</v>
      </c>
      <c r="H125" s="150" t="n">
        <v>2721</v>
      </c>
      <c r="I125" s="150" t="n">
        <v>8949</v>
      </c>
      <c r="J125" s="150" t="n">
        <v>601</v>
      </c>
      <c r="K125" s="150" t="n">
        <v>2402</v>
      </c>
      <c r="L125" s="150" t="n"/>
      <c r="M125" s="150" t="n"/>
      <c r="N125" s="151">
        <f>IFERROR((K125-J125)/J125, "")</f>
        <v/>
      </c>
      <c r="O125" s="150" t="n"/>
      <c r="P125" s="150" t="n"/>
      <c r="Q125" s="150" t="n"/>
      <c r="R125" s="150" t="n"/>
      <c r="S125" s="150" t="n">
        <v>5572</v>
      </c>
      <c r="T125" s="150" t="n">
        <v>39661</v>
      </c>
      <c r="U125" s="150" t="n">
        <v>3519</v>
      </c>
      <c r="V125" s="150" t="n">
        <v>9019</v>
      </c>
      <c r="W125" s="150" t="n">
        <v>666</v>
      </c>
      <c r="X125" s="150" t="n">
        <v>2402</v>
      </c>
      <c r="Y125" s="150" t="n"/>
      <c r="Z125" s="150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152" t="inlineStr">
        <is>
          <t xml:space="preserve">  Net change</t>
        </is>
      </c>
      <c r="B126" s="153" t="n"/>
      <c r="C126" s="153">
        <f>IF(AND(ISNUMBER(C124), ISNUMBER(B124), B124&gt;0, C124&gt;0), C124-B124, "")</f>
        <v/>
      </c>
      <c r="D126" s="153">
        <f>IF(AND(ISNUMBER(D124), ISNUMBER(C124), C124&gt;0, D124&gt;0), D124-C124, "")</f>
        <v/>
      </c>
      <c r="E126" s="153">
        <f>IF(AND(ISNUMBER(E124), ISNUMBER(D124), D124&gt;0, E124&gt;0), E124-D124, "")</f>
        <v/>
      </c>
      <c r="F126" s="153">
        <f>IF(AND(ISNUMBER(F124), ISNUMBER(E124), E124&gt;0, F124&gt;0), F124-E124, "")</f>
        <v/>
      </c>
      <c r="G126" s="153">
        <f>IF(AND(ISNUMBER(G124), ISNUMBER(F124), F124&gt;0, G124&gt;0), G124-F124, "")</f>
        <v/>
      </c>
      <c r="H126" s="153">
        <f>IF(AND(ISNUMBER(H124), ISNUMBER(G124), G124&gt;0, H124&gt;0), H124-G124, "")</f>
        <v/>
      </c>
      <c r="I126" s="153">
        <f>IF(AND(ISNUMBER(I124), ISNUMBER(H124), H124&gt;0, I124&gt;0), I124-H124, "")</f>
        <v/>
      </c>
      <c r="J126" s="153">
        <f>IF(AND(ISNUMBER(J124), ISNUMBER(I124), I124&gt;0, J124&gt;0), J124-I124, "")</f>
        <v/>
      </c>
      <c r="K126" s="153">
        <f>IF(AND(ISNUMBER(K124), ISNUMBER(J124), J124&gt;0, K124&gt;0), K124-J124, "")</f>
        <v/>
      </c>
      <c r="L126" s="153">
        <f>IF(AND(ISNUMBER(L124), ISNUMBER(K124), K124&gt;0, L124&gt;0), L124-K124, "")</f>
        <v/>
      </c>
      <c r="M126" s="153">
        <f>IF(AND(ISNUMBER(M124), ISNUMBER(L124), L124&gt;0, M124&gt;0), M124-L124, "")</f>
        <v/>
      </c>
      <c r="N126" s="153" t="n"/>
      <c r="O126" s="153" t="n"/>
      <c r="P126" s="153">
        <f>IF(AND(ISNUMBER(P124), ISNUMBER(O124), O124&gt;0, P124&gt;0), P124-O124, "")</f>
        <v/>
      </c>
      <c r="Q126" s="153">
        <f>IF(AND(ISNUMBER(Q124), ISNUMBER(P124), P124&gt;0, Q124&gt;0), Q124-P124, "")</f>
        <v/>
      </c>
      <c r="R126" s="153">
        <f>IF(AND(ISNUMBER(R124), ISNUMBER(Q124), Q124&gt;0, R124&gt;0), R124-Q124, "")</f>
        <v/>
      </c>
      <c r="S126" s="153">
        <f>IF(AND(ISNUMBER(S124), ISNUMBER(R124), R124&gt;0, S124&gt;0), S124-R124, "")</f>
        <v/>
      </c>
      <c r="T126" s="153">
        <f>IF(AND(ISNUMBER(T124), ISNUMBER(S124), S124&gt;0, T124&gt;0), T124-S124, "")</f>
        <v/>
      </c>
      <c r="U126" s="153">
        <f>IF(AND(ISNUMBER(U124), ISNUMBER(T124), T124&gt;0, U124&gt;0), U124-T124, "")</f>
        <v/>
      </c>
      <c r="V126" s="153">
        <f>IF(AND(ISNUMBER(V124), ISNUMBER(U124), U124&gt;0, V124&gt;0), V124-U124, "")</f>
        <v/>
      </c>
      <c r="W126" s="153">
        <f>IF(AND(ISNUMBER(W124), ISNUMBER(V124), V124&gt;0, W124&gt;0), W124-V124, "")</f>
        <v/>
      </c>
      <c r="X126" s="153">
        <f>IF(AND(ISNUMBER(X124), ISNUMBER(W124), W124&gt;0, X124&gt;0), X124-W124, "")</f>
        <v/>
      </c>
      <c r="Y126" s="153">
        <f>IF(AND(ISNUMBER(Y124), ISNUMBER(X124), X124&gt;0, Y124&gt;0), Y124-X124, "")</f>
        <v/>
      </c>
      <c r="Z126" s="153">
        <f>IF(AND(ISNUMBER(Z124), ISNUMBER(Y124), Y124&gt;0, Z124&gt;0), Z124-Y124, "")</f>
        <v/>
      </c>
      <c r="AA126" s="153" t="n"/>
      <c r="AB126" s="140" t="n"/>
      <c r="AC126" s="140" t="n"/>
      <c r="AD126" s="140" t="n"/>
    </row>
    <row r="127" ht="15.75" customHeight="1" s="346">
      <c r="A127" s="152" t="inlineStr">
        <is>
          <t xml:space="preserve">  % Growth rate</t>
        </is>
      </c>
      <c r="B127" s="203" t="n"/>
      <c r="C127" s="203">
        <f>IF(AND(ISNUMBER(C124), ISNUMBER(B124), B124&gt;0, C124&gt;0), (C124-B124)/B124, "")</f>
        <v/>
      </c>
      <c r="D127" s="203">
        <f>IF(AND(ISNUMBER(D124), ISNUMBER(C124), C124&gt;0, D124&gt;0), (D124-C124)/C124, "")</f>
        <v/>
      </c>
      <c r="E127" s="203">
        <f>IF(AND(ISNUMBER(E124), ISNUMBER(D124), D124&gt;0, E124&gt;0), (E124-D124)/D124, "")</f>
        <v/>
      </c>
      <c r="F127" s="203">
        <f>IF(AND(ISNUMBER(F124), ISNUMBER(E124), E124&gt;0, F124&gt;0), (F124-E124)/E124, "")</f>
        <v/>
      </c>
      <c r="G127" s="203">
        <f>IF(AND(ISNUMBER(G124), ISNUMBER(F124), F124&gt;0, G124&gt;0), (G124-F124)/F124, "")</f>
        <v/>
      </c>
      <c r="H127" s="203">
        <f>IF(AND(ISNUMBER(H124), ISNUMBER(G124), G124&gt;0, H124&gt;0), (H124-G124)/G124, "")</f>
        <v/>
      </c>
      <c r="I127" s="203">
        <f>IF(AND(ISNUMBER(I124), ISNUMBER(H124), H124&gt;0, I124&gt;0), (I124-H124)/H124, "")</f>
        <v/>
      </c>
      <c r="J127" s="203">
        <f>IF(AND(ISNUMBER(J124), ISNUMBER(I124), I124&gt;0, J124&gt;0), (J124-I124)/I124, "")</f>
        <v/>
      </c>
      <c r="K127" s="203">
        <f>IF(AND(ISNUMBER(K124), ISNUMBER(J124), J124&gt;0, K124&gt;0), (K124-J124)/J124, "")</f>
        <v/>
      </c>
      <c r="L127" s="203">
        <f>IF(AND(ISNUMBER(L124), ISNUMBER(K124), K124&gt;0, L124&gt;0), (L124-K124)/K124, "")</f>
        <v/>
      </c>
      <c r="M127" s="203">
        <f>IF(AND(ISNUMBER(M124), ISNUMBER(L124), L124&gt;0, M124&gt;0), (M124-L124)/L124, "")</f>
        <v/>
      </c>
      <c r="N127" s="203" t="n"/>
      <c r="O127" s="203" t="n"/>
      <c r="P127" s="203">
        <f>IF(AND(ISNUMBER(P124), ISNUMBER(O124), O124&gt;0, P124&gt;0), (P124-O124)/O124, "")</f>
        <v/>
      </c>
      <c r="Q127" s="203">
        <f>IF(AND(ISNUMBER(Q124), ISNUMBER(P124), P124&gt;0, Q124&gt;0), (Q124-P124)/P124, "")</f>
        <v/>
      </c>
      <c r="R127" s="203">
        <f>IF(AND(ISNUMBER(R124), ISNUMBER(Q124), Q124&gt;0, R124&gt;0), (R124-Q124)/Q124, "")</f>
        <v/>
      </c>
      <c r="S127" s="203">
        <f>IF(AND(ISNUMBER(S124), ISNUMBER(R124), R124&gt;0, S124&gt;0), (S124-R124)/R124, "")</f>
        <v/>
      </c>
      <c r="T127" s="203">
        <f>IF(AND(ISNUMBER(T124), ISNUMBER(S124), S124&gt;0, T124&gt;0), (T124-S124)/S124, "")</f>
        <v/>
      </c>
      <c r="U127" s="203">
        <f>IF(AND(ISNUMBER(U124), ISNUMBER(T124), T124&gt;0, U124&gt;0), (U124-T124)/T124, "")</f>
        <v/>
      </c>
      <c r="V127" s="203">
        <f>IF(AND(ISNUMBER(V124), ISNUMBER(U124), U124&gt;0, V124&gt;0), (V124-U124)/U124, "")</f>
        <v/>
      </c>
      <c r="W127" s="203">
        <f>IF(AND(ISNUMBER(W124), ISNUMBER(V124), V124&gt;0, W124&gt;0), (W124-V124)/V124, "")</f>
        <v/>
      </c>
      <c r="X127" s="203">
        <f>IF(AND(ISNUMBER(X124), ISNUMBER(W124), W124&gt;0, X124&gt;0), (X124-W124)/W124, "")</f>
        <v/>
      </c>
      <c r="Y127" s="203">
        <f>IF(AND(ISNUMBER(Y124), ISNUMBER(X124), X124&gt;0, Y124&gt;0), (Y124-X124)/X124, "")</f>
        <v/>
      </c>
      <c r="Z127" s="203">
        <f>IF(AND(ISNUMBER(Z124), ISNUMBER(Y124), Y124&gt;0, Z124&gt;0), (Z124-Y124)/Y124, "")</f>
        <v/>
      </c>
      <c r="AA127" s="203" t="n"/>
      <c r="AB127" s="140" t="n"/>
      <c r="AC127" s="140" t="n"/>
      <c r="AD127" s="140" t="n"/>
    </row>
    <row r="128" ht="15.75" customHeight="1" s="346">
      <c r="A128" s="202" t="inlineStr">
        <is>
          <t>Tỷ trọng trong tổng traffic</t>
        </is>
      </c>
      <c r="B128" s="156">
        <f t="array" ref="B128">IF(AND(ISNUMBER(B124), B124&gt;0), B124/INDEX('MTD Pivot'!$D$3:$K$400, MATCH("Grand Total", 'MTD Pivot'!$A$3:$A$400, 0), MATCH(B$2, 'MTD Pivot'!$D$2:$K$2, 0)), "")</f>
        <v/>
      </c>
      <c r="C128" s="156">
        <f t="array" ref="C128">IF(AND(ISNUMBER(C124), C124&gt;0), C124/INDEX('MTD Pivot'!$D$3:$K$400, MATCH("Grand Total", 'MTD Pivot'!$A$3:$A$400, 0), MATCH(C$2, 'MTD Pivot'!$D$2:$K$2, 0)), "")</f>
        <v/>
      </c>
      <c r="D128" s="156">
        <f t="array" ref="D128">IF(AND(ISNUMBER(D124), D124&gt;0), D124/INDEX('MTD Pivot'!$D$3:$K$400, MATCH("Grand Total", 'MTD Pivot'!$A$3:$A$400, 0), MATCH(D$2, 'MTD Pivot'!$D$2:$K$2, 0)), "")</f>
        <v/>
      </c>
      <c r="E128" s="156">
        <f t="array" ref="E128">IF(AND(ISNUMBER(E124), E124&gt;0), E124/INDEX('MTD Pivot'!$D$3:$K$400, MATCH("Grand Total", 'MTD Pivot'!$A$3:$A$400, 0), MATCH(E$2, 'MTD Pivot'!$D$2:$K$2, 0)), "")</f>
        <v/>
      </c>
      <c r="F128" s="156">
        <f t="array" ref="F128">IF(AND(ISNUMBER(F124), F124&gt;0), F124/INDEX('MTD Pivot'!$D$3:$K$400, MATCH("Grand Total", 'MTD Pivot'!$A$3:$A$400, 0), MATCH(F$2, 'MTD Pivot'!$D$2:$K$2, 0)), "")</f>
        <v/>
      </c>
      <c r="G128" s="156">
        <f t="array" ref="G128">IF(AND(ISNUMBER(G124), G124&gt;0), G124/INDEX('MTD Pivot'!$D$3:$K$400, MATCH("Grand Total", 'MTD Pivot'!$A$3:$A$400, 0), MATCH(G$2, 'MTD Pivot'!$D$2:$K$2, 0)), "")</f>
        <v/>
      </c>
      <c r="H128" s="156">
        <f t="array" ref="H128">IF(AND(ISNUMBER(H124), H124&gt;0), H124/INDEX('MTD Pivot'!$D$3:$K$400, MATCH("Grand Total", 'MTD Pivot'!$A$3:$A$400, 0), MATCH(H$2, 'MTD Pivot'!$D$2:$K$2, 0)), "")</f>
        <v/>
      </c>
      <c r="I128" s="156">
        <f t="array" ref="I128">IF(AND(ISNUMBER(I124), I124&gt;0), I124/INDEX('MTD Pivot'!$D$3:$K$400, MATCH("Grand Total", 'MTD Pivot'!$A$3:$A$400, 0), MATCH(I$2, 'MTD Pivot'!$D$2:$K$2, 0)), "")</f>
        <v/>
      </c>
      <c r="J128" s="156">
        <f t="array" ref="J128">IF(AND(ISNUMBER(J124), J124&gt;0), J124/INDEX('MTD Pivot'!$D$3:$K$400, MATCH("Grand Total", 'MTD Pivot'!$A$3:$A$400, 0), MATCH(J$2, 'MTD Pivot'!$D$2:$K$2, 0)), "")</f>
        <v/>
      </c>
      <c r="K128" s="156">
        <f t="array" ref="K128">IF(AND(ISNUMBER(K124), K124&gt;0), K124/INDEX('MTD Pivot'!$D$3:$K$400, MATCH("Grand Total", 'MTD Pivot'!$A$3:$A$400, 0), MATCH(K$2, 'MTD Pivot'!$D$2:$K$2, 0)), "")</f>
        <v/>
      </c>
      <c r="L128" s="156">
        <f t="array" ref="L128">IF(AND(ISNUMBER(L124), L124&gt;0), L124/INDEX('MTD Pivot'!$D$3:$K$400, MATCH("Grand Total", 'MTD Pivot'!$A$3:$A$400, 0), MATCH(L$2, 'MTD Pivot'!$D$2:$K$2, 0)), "")</f>
        <v/>
      </c>
      <c r="M128" s="156">
        <f t="array" ref="M128">IF(AND(ISNUMBER(M124), M124&gt;0), M124/INDEX('MTD Pivot'!$D$3:$K$400, MATCH("Grand Total", 'MTD Pivot'!$A$3:$A$400, 0), MATCH(M$2, 'MTD Pivot'!$D$2:$K$2, 0)), "")</f>
        <v/>
      </c>
      <c r="N128" s="157">
        <f>IF(AND(ISNUMBER(K128), ISNUMBER(J128)), K128-J128, "")</f>
        <v/>
      </c>
      <c r="O128" s="156">
        <f t="array" ref="O128">IF(AND(ISNUMBER(O124), O124&gt;0), O124/INDEX('Full month Pivot'!$D$3:$K$400, MATCH("Grand Total", 'Full month Pivot'!$A$3:$A$400, 0), MATCH(O$2, 'Full month Pivot'!$D$2:$K$2, 0)), "")</f>
        <v/>
      </c>
      <c r="P128" s="156">
        <f t="array" ref="P128">IF(AND(ISNUMBER(P124), P124&gt;0), P124/INDEX('Full month Pivot'!$D$3:$K$400, MATCH("Grand Total", 'Full month Pivot'!$A$3:$A$400, 0), MATCH(P$2, 'Full month Pivot'!$D$2:$K$2, 0)), "")</f>
        <v/>
      </c>
      <c r="Q128" s="156">
        <f t="array" ref="Q128">IF(AND(ISNUMBER(Q124), Q124&gt;0), Q124/INDEX('Full month Pivot'!$D$3:$K$400, MATCH("Grand Total", 'Full month Pivot'!$A$3:$A$400, 0), MATCH(Q$2, 'Full month Pivot'!$D$2:$K$2, 0)), "")</f>
        <v/>
      </c>
      <c r="R128" s="156">
        <f t="array" ref="R128">IF(AND(ISNUMBER(R124), R124&gt;0), R124/INDEX('Full month Pivot'!$D$3:$K$400, MATCH("Grand Total", 'Full month Pivot'!$A$3:$A$400, 0), MATCH(R$2, 'Full month Pivot'!$D$2:$K$2, 0)), "")</f>
        <v/>
      </c>
      <c r="S128" s="156">
        <f t="array" ref="S128">IF(AND(ISNUMBER(S124), S124&gt;0), S124/INDEX('Full month Pivot'!$D$3:$K$400, MATCH("Grand Total", 'Full month Pivot'!$A$3:$A$400, 0), MATCH(S$2, 'Full month Pivot'!$D$2:$K$2, 0)), "")</f>
        <v/>
      </c>
      <c r="T128" s="156">
        <f t="array" ref="T128">IF(AND(ISNUMBER(T124), T124&gt;0), T124/INDEX('Full month Pivot'!$D$3:$K$400, MATCH("Grand Total", 'Full month Pivot'!$A$3:$A$400, 0), MATCH(T$2, 'Full month Pivot'!$D$2:$K$2, 0)), "")</f>
        <v/>
      </c>
      <c r="U128" s="156">
        <f t="array" ref="U128">IF(AND(ISNUMBER(U124), U124&gt;0), U124/INDEX('Full month Pivot'!$D$3:$K$400, MATCH("Grand Total", 'Full month Pivot'!$A$3:$A$400, 0), MATCH(U$2, 'Full month Pivot'!$D$2:$K$2, 0)), "")</f>
        <v/>
      </c>
      <c r="V128" s="156">
        <f t="array" ref="V128">IF(AND(ISNUMBER(V124), V124&gt;0), V124/INDEX('Full month Pivot'!$D$3:$K$400, MATCH("Grand Total", 'Full month Pivot'!$A$3:$A$400, 0), MATCH(V$2, 'Full month Pivot'!$D$2:$K$2, 0)), "")</f>
        <v/>
      </c>
      <c r="W128" s="156">
        <f t="array" ref="W128">IF(AND(ISNUMBER(W124), W124&gt;0), W124/INDEX('Full month Pivot'!$D$3:$K$400, MATCH("Grand Total", 'Full month Pivot'!$A$3:$A$400, 0), MATCH(W$2, 'Full month Pivot'!$D$2:$K$2, 0)), "")</f>
        <v/>
      </c>
      <c r="X128" s="156">
        <f t="array" ref="X128">IF(AND(ISNUMBER(X124), X124&gt;0), X124/INDEX('Full month Pivot'!$D$3:$K$400, MATCH("Grand Total", 'Full month Pivot'!$A$3:$A$400, 0), MATCH(X$2, 'Full month Pivot'!$D$2:$K$2, 0)), "")</f>
        <v/>
      </c>
      <c r="Y128" s="156">
        <f t="array" ref="Y128">IF(AND(ISNUMBER(Y124), Y124&gt;0), Y124/INDEX('Full month Pivot'!$D$3:$K$400, MATCH("Grand Total", 'Full month Pivot'!$A$3:$A$400, 0), MATCH(Y$2, 'Full month Pivot'!$D$2:$K$2, 0)), "")</f>
        <v/>
      </c>
      <c r="Z128" s="156">
        <f t="array" ref="Z128">IF(AND(ISNUMBER(Z124), Z124&gt;0), Z124/INDEX('Full month Pivot'!$D$3:$K$400, MATCH("Grand Total", 'Full month Pivot'!$A$3:$A$400, 0), MATCH(Z$2, 'Full month Pivot'!$D$2:$K$2, 0)), "")</f>
        <v/>
      </c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202" t="inlineStr">
        <is>
          <t xml:space="preserve">  Organic</t>
        </is>
      </c>
      <c r="B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Pivot'!$D$2:$K$2=B$2) * 'MTD Pivot'!$D$3:$K$400), "")</f>
        <v/>
      </c>
      <c r="C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Pivot'!$D$2:$K$2=C$2) * 'MTD Pivot'!$D$3:$K$400), "")</f>
        <v/>
      </c>
      <c r="D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Pivot'!$D$2:$K$2=D$2) * 'MTD Pivot'!$D$3:$K$400), "")</f>
        <v/>
      </c>
      <c r="E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Pivot'!$D$2:$K$2=E$2) * 'MTD Pivot'!$D$3:$K$400), "")</f>
        <v/>
      </c>
      <c r="F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Pivot'!$D$2:$K$2=F$2) * 'MTD Pivot'!$D$3:$K$400), "")</f>
        <v/>
      </c>
      <c r="G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Pivot'!$D$2:$K$2=G$2) * 'MTD Pivot'!$D$3:$K$400), "")</f>
        <v/>
      </c>
      <c r="H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Pivot'!$D$2:$K$2=H$2) * 'MTD Pivot'!$D$3:$K$400), "")</f>
        <v/>
      </c>
      <c r="I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Pivot'!$D$2:$K$2=I$2) * 'MTD Pivot'!$D$3:$K$400), "")</f>
        <v/>
      </c>
      <c r="J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Pivot'!$D$2:$K$2=J$2) * 'MTD Pivot'!$D$3:$K$400), "")</f>
        <v/>
      </c>
      <c r="K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Pivot'!$D$2:$K$2=K$2) * 'MTD Pivot'!$D$3:$K$400), "")</f>
        <v/>
      </c>
      <c r="L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Pivot'!$D$2:$K$2=L$2) * 'MTD Pivot'!$D$3:$K$400), "")</f>
        <v/>
      </c>
      <c r="M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Pivot'!$D$2:$K$2=M$2) * 'MTD Pivot'!$D$3:$K$400), "")</f>
        <v/>
      </c>
      <c r="N129" s="157">
        <f>IF(AND(ISNUMBER(K129), ISNUMBER(J129), J129&gt;0), (K129-J129)/J129, "")</f>
        <v/>
      </c>
      <c r="O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Pivot'!$D$2:$K$2=O$2) * 'Full month Pivot'!$D$3:$K$400), "")</f>
        <v/>
      </c>
      <c r="P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Pivot'!$D$2:$K$2=P$2) * 'Full month Pivot'!$D$3:$K$400), "")</f>
        <v/>
      </c>
      <c r="Q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Pivot'!$D$2:$K$2=Q$2) * 'Full month Pivot'!$D$3:$K$400), "")</f>
        <v/>
      </c>
      <c r="R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Pivot'!$D$2:$K$2=R$2) * 'Full month Pivot'!$D$3:$K$400), "")</f>
        <v/>
      </c>
      <c r="S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Pivot'!$D$2:$K$2=S$2) * 'Full month Pivot'!$D$3:$K$400), "")</f>
        <v/>
      </c>
      <c r="T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Pivot'!$D$2:$K$2=T$2) * 'Full month Pivot'!$D$3:$K$400), "")</f>
        <v/>
      </c>
      <c r="U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Pivot'!$D$2:$K$2=U$2) * 'Full month Pivot'!$D$3:$K$400), "")</f>
        <v/>
      </c>
      <c r="V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Pivot'!$D$2:$K$2=V$2) * 'Full month Pivot'!$D$3:$K$400), "")</f>
        <v/>
      </c>
      <c r="W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Pivot'!$D$2:$K$2=W$2) * 'Full month Pivot'!$D$3:$K$400), "")</f>
        <v/>
      </c>
      <c r="X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Pivot'!$D$2:$K$2=X$2) * 'Full month Pivot'!$D$3:$K$400), "")</f>
        <v/>
      </c>
      <c r="Y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Pivot'!$D$2:$K$2=Y$2) * 'Full month Pivot'!$D$3:$K$400), "")</f>
        <v/>
      </c>
      <c r="Z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Pivot'!$D$2:$K$2=Z$2) * 'Full month Pivot'!$D$3:$K$400), "")</f>
        <v/>
      </c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202" t="inlineStr">
        <is>
          <t xml:space="preserve">  Paid</t>
        </is>
      </c>
      <c r="B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Pivot'!$D$2:$K$2=B$2) * 'MTD Pivot'!$D$3:$K$400), "")</f>
        <v/>
      </c>
      <c r="C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Pivot'!$D$2:$K$2=C$2) * 'MTD Pivot'!$D$3:$K$400), "")</f>
        <v/>
      </c>
      <c r="D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Pivot'!$D$2:$K$2=D$2) * 'MTD Pivot'!$D$3:$K$400), "")</f>
        <v/>
      </c>
      <c r="E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Pivot'!$D$2:$K$2=E$2) * 'MTD Pivot'!$D$3:$K$400), "")</f>
        <v/>
      </c>
      <c r="F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Pivot'!$D$2:$K$2=F$2) * 'MTD Pivot'!$D$3:$K$400), "")</f>
        <v/>
      </c>
      <c r="G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Pivot'!$D$2:$K$2=G$2) * 'MTD Pivot'!$D$3:$K$400), "")</f>
        <v/>
      </c>
      <c r="H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Pivot'!$D$2:$K$2=H$2) * 'MTD Pivot'!$D$3:$K$400), "")</f>
        <v/>
      </c>
      <c r="I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Pivot'!$D$2:$K$2=I$2) * 'MTD Pivot'!$D$3:$K$400), "")</f>
        <v/>
      </c>
      <c r="J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Pivot'!$D$2:$K$2=J$2) * 'MTD Pivot'!$D$3:$K$400), "")</f>
        <v/>
      </c>
      <c r="K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Pivot'!$D$2:$K$2=K$2) * 'MTD Pivot'!$D$3:$K$400), "")</f>
        <v/>
      </c>
      <c r="L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Pivot'!$D$2:$K$2=L$2) * 'MTD Pivot'!$D$3:$K$400), "")</f>
        <v/>
      </c>
      <c r="M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Pivot'!$D$2:$K$2=M$2) * 'MTD Pivot'!$D$3:$K$400), "")</f>
        <v/>
      </c>
      <c r="N130" s="157">
        <f>IF(AND(ISNUMBER(K130), ISNUMBER(J130), J130&gt;0), (K130-J130)/J130, "")</f>
        <v/>
      </c>
      <c r="O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Pivot'!$D$2:$K$2=O$2) * 'Full month Pivot'!$D$3:$K$400), "")</f>
        <v/>
      </c>
      <c r="P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Pivot'!$D$2:$K$2=P$2) * 'Full month Pivot'!$D$3:$K$400), "")</f>
        <v/>
      </c>
      <c r="Q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Pivot'!$D$2:$K$2=Q$2) * 'Full month Pivot'!$D$3:$K$400), "")</f>
        <v/>
      </c>
      <c r="R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Pivot'!$D$2:$K$2=R$2) * 'Full month Pivot'!$D$3:$K$400), "")</f>
        <v/>
      </c>
      <c r="S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Pivot'!$D$2:$K$2=S$2) * 'Full month Pivot'!$D$3:$K$400), "")</f>
        <v/>
      </c>
      <c r="T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Pivot'!$D$2:$K$2=T$2) * 'Full month Pivot'!$D$3:$K$400), "")</f>
        <v/>
      </c>
      <c r="U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Pivot'!$D$2:$K$2=U$2) * 'Full month Pivot'!$D$3:$K$400), "")</f>
        <v/>
      </c>
      <c r="V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Pivot'!$D$2:$K$2=V$2) * 'Full month Pivot'!$D$3:$K$400), "")</f>
        <v/>
      </c>
      <c r="W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Pivot'!$D$2:$K$2=W$2) * 'Full month Pivot'!$D$3:$K$400), "")</f>
        <v/>
      </c>
      <c r="X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Pivot'!$D$2:$K$2=X$2) * 'Full month Pivot'!$D$3:$K$400), "")</f>
        <v/>
      </c>
      <c r="Y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Pivot'!$D$2:$K$2=Y$2) * 'Full month Pivot'!$D$3:$K$400), "")</f>
        <v/>
      </c>
      <c r="Z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Pivot'!$D$2:$K$2=Z$2) * 'Full month Pivot'!$D$3:$K$400), "")</f>
        <v/>
      </c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202" t="inlineStr">
        <is>
          <t xml:space="preserve">  Direct</t>
        </is>
      </c>
      <c r="B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Pivot'!$D$2:$K$2=B$2) * 'MTD Pivot'!$D$3:$K$400), "")</f>
        <v/>
      </c>
      <c r="C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Pivot'!$D$2:$K$2=C$2) * 'MTD Pivot'!$D$3:$K$400), "")</f>
        <v/>
      </c>
      <c r="D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Pivot'!$D$2:$K$2=D$2) * 'MTD Pivot'!$D$3:$K$400), "")</f>
        <v/>
      </c>
      <c r="E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Pivot'!$D$2:$K$2=E$2) * 'MTD Pivot'!$D$3:$K$400), "")</f>
        <v/>
      </c>
      <c r="F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Pivot'!$D$2:$K$2=F$2) * 'MTD Pivot'!$D$3:$K$400), "")</f>
        <v/>
      </c>
      <c r="G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Pivot'!$D$2:$K$2=G$2) * 'MTD Pivot'!$D$3:$K$400), "")</f>
        <v/>
      </c>
      <c r="H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Pivot'!$D$2:$K$2=H$2) * 'MTD Pivot'!$D$3:$K$400), "")</f>
        <v/>
      </c>
      <c r="I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Pivot'!$D$2:$K$2=I$2) * 'MTD Pivot'!$D$3:$K$400), "")</f>
        <v/>
      </c>
      <c r="J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Pivot'!$D$2:$K$2=J$2) * 'MTD Pivot'!$D$3:$K$400), "")</f>
        <v/>
      </c>
      <c r="K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Pivot'!$D$2:$K$2=K$2) * 'MTD Pivot'!$D$3:$K$400), "")</f>
        <v/>
      </c>
      <c r="L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Pivot'!$D$2:$K$2=L$2) * 'MTD Pivot'!$D$3:$K$400), "")</f>
        <v/>
      </c>
      <c r="M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Pivot'!$D$2:$K$2=M$2) * 'MTD Pivot'!$D$3:$K$400), "")</f>
        <v/>
      </c>
      <c r="N131" s="157">
        <f>IF(AND(ISNUMBER(K131), ISNUMBER(J131), J131&gt;0), (K131-J131)/J131, "")</f>
        <v/>
      </c>
      <c r="O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Pivot'!$D$2:$K$2=O$2) * 'Full month Pivot'!$D$3:$K$400), "")</f>
        <v/>
      </c>
      <c r="P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Pivot'!$D$2:$K$2=P$2) * 'Full month Pivot'!$D$3:$K$400), "")</f>
        <v/>
      </c>
      <c r="Q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Pivot'!$D$2:$K$2=Q$2) * 'Full month Pivot'!$D$3:$K$400), "")</f>
        <v/>
      </c>
      <c r="R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Pivot'!$D$2:$K$2=R$2) * 'Full month Pivot'!$D$3:$K$400), "")</f>
        <v/>
      </c>
      <c r="S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Pivot'!$D$2:$K$2=S$2) * 'Full month Pivot'!$D$3:$K$400), "")</f>
        <v/>
      </c>
      <c r="T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Pivot'!$D$2:$K$2=T$2) * 'Full month Pivot'!$D$3:$K$400), "")</f>
        <v/>
      </c>
      <c r="U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Pivot'!$D$2:$K$2=U$2) * 'Full month Pivot'!$D$3:$K$400), "")</f>
        <v/>
      </c>
      <c r="V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Pivot'!$D$2:$K$2=V$2) * 'Full month Pivot'!$D$3:$K$400), "")</f>
        <v/>
      </c>
      <c r="W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Pivot'!$D$2:$K$2=W$2) * 'Full month Pivot'!$D$3:$K$400), "")</f>
        <v/>
      </c>
      <c r="X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Pivot'!$D$2:$K$2=X$2) * 'Full month Pivot'!$D$3:$K$400), "")</f>
        <v/>
      </c>
      <c r="Y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Pivot'!$D$2:$K$2=Y$2) * 'Full month Pivot'!$D$3:$K$400), "")</f>
        <v/>
      </c>
      <c r="Z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Pivot'!$D$2:$K$2=Z$2) * 'Full month Pivot'!$D$3:$K$400), "")</f>
        <v/>
      </c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202" t="inlineStr">
        <is>
          <t xml:space="preserve">  Referral</t>
        </is>
      </c>
      <c r="B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Pivot'!$D$2:$K$2=B$2) * 'MTD Pivot'!$D$3:$K$400), "")</f>
        <v/>
      </c>
      <c r="C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Pivot'!$D$2:$K$2=C$2) * 'MTD Pivot'!$D$3:$K$400), "")</f>
        <v/>
      </c>
      <c r="D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Pivot'!$D$2:$K$2=D$2) * 'MTD Pivot'!$D$3:$K$400), "")</f>
        <v/>
      </c>
      <c r="E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Pivot'!$D$2:$K$2=E$2) * 'MTD Pivot'!$D$3:$K$400), "")</f>
        <v/>
      </c>
      <c r="F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Pivot'!$D$2:$K$2=F$2) * 'MTD Pivot'!$D$3:$K$400), "")</f>
        <v/>
      </c>
      <c r="G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Pivot'!$D$2:$K$2=G$2) * 'MTD Pivot'!$D$3:$K$400), "")</f>
        <v/>
      </c>
      <c r="H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Pivot'!$D$2:$K$2=H$2) * 'MTD Pivot'!$D$3:$K$400), "")</f>
        <v/>
      </c>
      <c r="I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Pivot'!$D$2:$K$2=I$2) * 'MTD Pivot'!$D$3:$K$400), "")</f>
        <v/>
      </c>
      <c r="J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Pivot'!$D$2:$K$2=J$2) * 'MTD Pivot'!$D$3:$K$400), "")</f>
        <v/>
      </c>
      <c r="K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Pivot'!$D$2:$K$2=K$2) * 'MTD Pivot'!$D$3:$K$400), "")</f>
        <v/>
      </c>
      <c r="L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Pivot'!$D$2:$K$2=L$2) * 'MTD Pivot'!$D$3:$K$400), "")</f>
        <v/>
      </c>
      <c r="M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Pivot'!$D$2:$K$2=M$2) * 'MTD Pivot'!$D$3:$K$400), "")</f>
        <v/>
      </c>
      <c r="N132" s="157">
        <f>IF(AND(ISNUMBER(K132), ISNUMBER(J132), J132&gt;0), (K132-J132)/J132, "")</f>
        <v/>
      </c>
      <c r="O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Pivot'!$D$2:$K$2=O$2) * 'Full month Pivot'!$D$3:$K$400), "")</f>
        <v/>
      </c>
      <c r="P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Pivot'!$D$2:$K$2=P$2) * 'Full month Pivot'!$D$3:$K$400), "")</f>
        <v/>
      </c>
      <c r="Q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Pivot'!$D$2:$K$2=Q$2) * 'Full month Pivot'!$D$3:$K$400), "")</f>
        <v/>
      </c>
      <c r="R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Pivot'!$D$2:$K$2=R$2) * 'Full month Pivot'!$D$3:$K$400), "")</f>
        <v/>
      </c>
      <c r="S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Pivot'!$D$2:$K$2=S$2) * 'Full month Pivot'!$D$3:$K$400), "")</f>
        <v/>
      </c>
      <c r="T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Pivot'!$D$2:$K$2=T$2) * 'Full month Pivot'!$D$3:$K$400), "")</f>
        <v/>
      </c>
      <c r="U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Pivot'!$D$2:$K$2=U$2) * 'Full month Pivot'!$D$3:$K$400), "")</f>
        <v/>
      </c>
      <c r="V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Pivot'!$D$2:$K$2=V$2) * 'Full month Pivot'!$D$3:$K$400), "")</f>
        <v/>
      </c>
      <c r="W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Pivot'!$D$2:$K$2=W$2) * 'Full month Pivot'!$D$3:$K$400), "")</f>
        <v/>
      </c>
      <c r="X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Pivot'!$D$2:$K$2=X$2) * 'Full month Pivot'!$D$3:$K$400), "")</f>
        <v/>
      </c>
      <c r="Y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Pivot'!$D$2:$K$2=Y$2) * 'Full month Pivot'!$D$3:$K$400), "")</f>
        <v/>
      </c>
      <c r="Z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Pivot'!$D$2:$K$2=Z$2) * 'Full month Pivot'!$D$3:$K$400), "")</f>
        <v/>
      </c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202" t="inlineStr">
        <is>
          <t xml:space="preserve">  Others</t>
        </is>
      </c>
      <c r="B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Pivot'!$D$2:$K$2=B$2) * 'MTD Pivot'!$D$3:$K$400), "")</f>
        <v/>
      </c>
      <c r="C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Pivot'!$D$2:$K$2=C$2) * 'MTD Pivot'!$D$3:$K$400), "")</f>
        <v/>
      </c>
      <c r="D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Pivot'!$D$2:$K$2=D$2) * 'MTD Pivot'!$D$3:$K$400), "")</f>
        <v/>
      </c>
      <c r="E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Pivot'!$D$2:$K$2=E$2) * 'MTD Pivot'!$D$3:$K$400), "")</f>
        <v/>
      </c>
      <c r="F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Pivot'!$D$2:$K$2=F$2) * 'MTD Pivot'!$D$3:$K$400), "")</f>
        <v/>
      </c>
      <c r="G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Pivot'!$D$2:$K$2=G$2) * 'MTD Pivot'!$D$3:$K$400), "")</f>
        <v/>
      </c>
      <c r="H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Pivot'!$D$2:$K$2=H$2) * 'MTD Pivot'!$D$3:$K$400), "")</f>
        <v/>
      </c>
      <c r="I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Pivot'!$D$2:$K$2=I$2) * 'MTD Pivot'!$D$3:$K$400), "")</f>
        <v/>
      </c>
      <c r="J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Pivot'!$D$2:$K$2=J$2) * 'MTD Pivot'!$D$3:$K$400), "")</f>
        <v/>
      </c>
      <c r="K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Pivot'!$D$2:$K$2=K$2) * 'MTD Pivot'!$D$3:$K$400), "")</f>
        <v/>
      </c>
      <c r="L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Pivot'!$D$2:$K$2=L$2) * 'MTD Pivot'!$D$3:$K$400), "")</f>
        <v/>
      </c>
      <c r="M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Pivot'!$D$2:$K$2=M$2) * 'MTD Pivot'!$D$3:$K$400), "")</f>
        <v/>
      </c>
      <c r="N133" s="157">
        <f>IF(AND(ISNUMBER(K133), ISNUMBER(J133), J133&gt;0), (K133-J133)/J133, "")</f>
        <v/>
      </c>
      <c r="O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Pivot'!$D$2:$K$2=O$2) * 'Full month Pivot'!$D$3:$K$400), "")</f>
        <v/>
      </c>
      <c r="P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Pivot'!$D$2:$K$2=P$2) * 'Full month Pivot'!$D$3:$K$400), "")</f>
        <v/>
      </c>
      <c r="Q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Pivot'!$D$2:$K$2=Q$2) * 'Full month Pivot'!$D$3:$K$400), "")</f>
        <v/>
      </c>
      <c r="R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Pivot'!$D$2:$K$2=R$2) * 'Full month Pivot'!$D$3:$K$400), "")</f>
        <v/>
      </c>
      <c r="S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Pivot'!$D$2:$K$2=S$2) * 'Full month Pivot'!$D$3:$K$400), "")</f>
        <v/>
      </c>
      <c r="T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Pivot'!$D$2:$K$2=T$2) * 'Full month Pivot'!$D$3:$K$400), "")</f>
        <v/>
      </c>
      <c r="U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Pivot'!$D$2:$K$2=U$2) * 'Full month Pivot'!$D$3:$K$400), "")</f>
        <v/>
      </c>
      <c r="V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Pivot'!$D$2:$K$2=V$2) * 'Full month Pivot'!$D$3:$K$400), "")</f>
        <v/>
      </c>
      <c r="W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Pivot'!$D$2:$K$2=W$2) * 'Full month Pivot'!$D$3:$K$400), "")</f>
        <v/>
      </c>
      <c r="X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Pivot'!$D$2:$K$2=X$2) * 'Full month Pivot'!$D$3:$K$400), "")</f>
        <v/>
      </c>
      <c r="Y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Pivot'!$D$2:$K$2=Y$2) * 'Full month Pivot'!$D$3:$K$400), "")</f>
        <v/>
      </c>
      <c r="Z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Pivot'!$D$2:$K$2=Z$2) * 'Full month Pivot'!$D$3:$K$400), "")</f>
        <v/>
      </c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202" t="n"/>
      <c r="B134" s="202" t="n"/>
      <c r="C134" s="202" t="n"/>
      <c r="D134" s="202" t="n"/>
      <c r="E134" s="202" t="n"/>
      <c r="F134" s="202" t="n"/>
      <c r="G134" s="202" t="n"/>
      <c r="H134" s="202" t="n"/>
      <c r="I134" s="202" t="n"/>
      <c r="J134" s="202" t="n"/>
      <c r="K134" s="202" t="n"/>
      <c r="L134" s="202" t="n"/>
      <c r="M134" s="202" t="n"/>
      <c r="N134" s="202" t="n"/>
      <c r="O134" s="202" t="n"/>
      <c r="P134" s="202" t="n"/>
      <c r="Q134" s="202" t="n"/>
      <c r="R134" s="202" t="n"/>
      <c r="S134" s="202" t="n"/>
      <c r="T134" s="202" t="n"/>
      <c r="U134" s="202" t="n"/>
      <c r="V134" s="202" t="n"/>
      <c r="W134" s="202" t="n"/>
      <c r="X134" s="202" t="n"/>
      <c r="Y134" s="202" t="n"/>
      <c r="Z134" s="202" t="n"/>
      <c r="AA134" s="202" t="n"/>
      <c r="AB134" s="140" t="n"/>
      <c r="AC134" s="140" t="n"/>
      <c r="AD134" s="140" t="n"/>
    </row>
    <row r="135" ht="15.75" customHeight="1" s="346">
      <c r="A135" s="145" t="inlineStr">
        <is>
          <t>Guide</t>
        </is>
      </c>
      <c r="B135" s="145" t="n"/>
      <c r="C135" s="145" t="n"/>
      <c r="D135" s="145" t="n"/>
      <c r="E135" s="145" t="n"/>
      <c r="F135" s="145" t="n"/>
      <c r="G135" s="145" t="n"/>
      <c r="H135" s="145" t="n"/>
      <c r="I135" s="145" t="n"/>
      <c r="J135" s="145" t="n"/>
      <c r="K135" s="145" t="n"/>
      <c r="L135" s="145" t="n"/>
      <c r="M135" s="145" t="n"/>
      <c r="N135" s="145" t="n"/>
      <c r="O135" s="145" t="n"/>
      <c r="P135" s="145" t="n"/>
      <c r="Q135" s="145" t="n"/>
      <c r="R135" s="145" t="n"/>
      <c r="S135" s="145" t="n"/>
      <c r="T135" s="145" t="n"/>
      <c r="U135" s="145" t="n"/>
      <c r="V135" s="145" t="n"/>
      <c r="W135" s="145" t="n"/>
      <c r="X135" s="145" t="n"/>
      <c r="Y135" s="145" t="n"/>
      <c r="Z135" s="145" t="n"/>
      <c r="AA135" s="145" t="n"/>
      <c r="AB135" s="140" t="n"/>
      <c r="AC135" s="140" t="n"/>
      <c r="AD135" s="140" t="n"/>
    </row>
    <row r="136" ht="15.75" customHeight="1" s="346">
      <c r="A136" s="146" t="inlineStr">
        <is>
          <t>Page views</t>
        </is>
      </c>
      <c r="B136" s="147">
        <f>IF(SUM(B141:B145)&gt;0, SUM(B141:B145), "")</f>
        <v/>
      </c>
      <c r="C136" s="147">
        <f>IF(SUM(C141:C145)&gt;0, SUM(C141:C145), "")</f>
        <v/>
      </c>
      <c r="D136" s="147">
        <f>IF(SUM(D141:D145)&gt;0, SUM(D141:D145), "")</f>
        <v/>
      </c>
      <c r="E136" s="147">
        <f>IF(SUM(E141:E145)&gt;0, SUM(E141:E145), "")</f>
        <v/>
      </c>
      <c r="F136" s="147">
        <f>IF(SUM(F141:F145)&gt;0, SUM(F141:F145), "")</f>
        <v/>
      </c>
      <c r="G136" s="147">
        <f>IF(SUM(G141:G145)&gt;0, SUM(G141:G145), "")</f>
        <v/>
      </c>
      <c r="H136" s="147">
        <f>IF(SUM(H141:H145)&gt;0, SUM(H141:H145), "")</f>
        <v/>
      </c>
      <c r="I136" s="147">
        <f>IF(SUM(I141:I145)&gt;0, SUM(I141:I145), "")</f>
        <v/>
      </c>
      <c r="J136" s="147">
        <f>IF(SUM(J141:J145)&gt;0, SUM(J141:J145), "")</f>
        <v/>
      </c>
      <c r="K136" s="147">
        <f>IF(SUM(K141:K145)&gt;0, SUM(K141:K145), "")</f>
        <v/>
      </c>
      <c r="L136" s="147">
        <f>IF(SUM(L141:L145)&gt;0, SUM(L141:L145), "")</f>
        <v/>
      </c>
      <c r="M136" s="147">
        <f>IF(SUM(M141:M145)&gt;0, SUM(M141:M145), "")</f>
        <v/>
      </c>
      <c r="N136" s="148">
        <f>IFERROR((K136-J136)/J136, "")</f>
        <v/>
      </c>
      <c r="O136" s="147">
        <f>IF(SUM(O141:O145)&gt;0, SUM(O141:O145), "")</f>
        <v/>
      </c>
      <c r="P136" s="147">
        <f>IF(SUM(P141:P145)&gt;0, SUM(P141:P145), "")</f>
        <v/>
      </c>
      <c r="Q136" s="147">
        <f>IF(SUM(Q141:Q145)&gt;0, SUM(Q141:Q145), "")</f>
        <v/>
      </c>
      <c r="R136" s="147">
        <f>IF(SUM(R141:R145)&gt;0, SUM(R141:R145), "")</f>
        <v/>
      </c>
      <c r="S136" s="147">
        <f>IF(SUM(S141:S145)&gt;0, SUM(S141:S145), "")</f>
        <v/>
      </c>
      <c r="T136" s="147">
        <f>IF(SUM(T141:T145)&gt;0, SUM(T141:T145), "")</f>
        <v/>
      </c>
      <c r="U136" s="147">
        <f>IF(SUM(U141:U145)&gt;0, SUM(U141:U145), "")</f>
        <v/>
      </c>
      <c r="V136" s="147">
        <f>IF(SUM(V141:V145)&gt;0, SUM(V141:V145), "")</f>
        <v/>
      </c>
      <c r="W136" s="147">
        <f>IF(SUM(W141:W145)&gt;0, SUM(W141:W145), "")</f>
        <v/>
      </c>
      <c r="X136" s="147">
        <f>IF(SUM(X141:X145)&gt;0, SUM(X141:X145), "")</f>
        <v/>
      </c>
      <c r="Y136" s="147">
        <f>IF(SUM(Y141:Y145)&gt;0, SUM(Y141:Y145), "")</f>
        <v/>
      </c>
      <c r="Z136" s="147">
        <f>IF(SUM(Z141:Z145)&gt;0, SUM(Z141:Z145), "")</f>
        <v/>
      </c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150" t="inlineStr">
        <is>
          <t xml:space="preserve">  Click CTA</t>
        </is>
      </c>
      <c r="B137" s="150" t="n"/>
      <c r="C137" s="150" t="n"/>
      <c r="D137" s="150" t="n"/>
      <c r="E137" s="150" t="n"/>
      <c r="F137" s="150" t="n">
        <v>1202</v>
      </c>
      <c r="G137" s="150" t="n">
        <v>1705</v>
      </c>
      <c r="H137" s="150" t="n">
        <v>1333</v>
      </c>
      <c r="I137" s="150" t="n">
        <v>1757</v>
      </c>
      <c r="J137" s="150" t="n">
        <v>1712</v>
      </c>
      <c r="K137" s="150" t="n">
        <v>2766</v>
      </c>
      <c r="L137" s="150" t="n"/>
      <c r="M137" s="150" t="n"/>
      <c r="N137" s="151">
        <f>IFERROR((K137-J137)/J137, "")</f>
        <v/>
      </c>
      <c r="O137" s="150" t="n"/>
      <c r="P137" s="150" t="n"/>
      <c r="Q137" s="150" t="n"/>
      <c r="R137" s="150" t="n"/>
      <c r="S137" s="150" t="n">
        <v>1416</v>
      </c>
      <c r="T137" s="150" t="n">
        <v>1786</v>
      </c>
      <c r="U137" s="150" t="n">
        <v>1471</v>
      </c>
      <c r="V137" s="150" t="n">
        <v>1931</v>
      </c>
      <c r="W137" s="150" t="n">
        <v>1876</v>
      </c>
      <c r="X137" s="150" t="n">
        <v>2766</v>
      </c>
      <c r="Y137" s="150" t="n"/>
      <c r="Z137" s="150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152" t="inlineStr">
        <is>
          <t xml:space="preserve">  Net change</t>
        </is>
      </c>
      <c r="B138" s="153" t="n"/>
      <c r="C138" s="153">
        <f>IF(AND(ISNUMBER(C136), ISNUMBER(B136), B136&gt;0, C136&gt;0), C136-B136, "")</f>
        <v/>
      </c>
      <c r="D138" s="153">
        <f>IF(AND(ISNUMBER(D136), ISNUMBER(C136), C136&gt;0, D136&gt;0), D136-C136, "")</f>
        <v/>
      </c>
      <c r="E138" s="153">
        <f>IF(AND(ISNUMBER(E136), ISNUMBER(D136), D136&gt;0, E136&gt;0), E136-D136, "")</f>
        <v/>
      </c>
      <c r="F138" s="153">
        <f>IF(AND(ISNUMBER(F136), ISNUMBER(E136), E136&gt;0, F136&gt;0), F136-E136, "")</f>
        <v/>
      </c>
      <c r="G138" s="153">
        <f>IF(AND(ISNUMBER(G136), ISNUMBER(F136), F136&gt;0, G136&gt;0), G136-F136, "")</f>
        <v/>
      </c>
      <c r="H138" s="153">
        <f>IF(AND(ISNUMBER(H136), ISNUMBER(G136), G136&gt;0, H136&gt;0), H136-G136, "")</f>
        <v/>
      </c>
      <c r="I138" s="153">
        <f>IF(AND(ISNUMBER(I136), ISNUMBER(H136), H136&gt;0, I136&gt;0), I136-H136, "")</f>
        <v/>
      </c>
      <c r="J138" s="153">
        <f>IF(AND(ISNUMBER(J136), ISNUMBER(I136), I136&gt;0, J136&gt;0), J136-I136, "")</f>
        <v/>
      </c>
      <c r="K138" s="153">
        <f>IF(AND(ISNUMBER(K136), ISNUMBER(J136), J136&gt;0, K136&gt;0), K136-J136, "")</f>
        <v/>
      </c>
      <c r="L138" s="153">
        <f>IF(AND(ISNUMBER(L136), ISNUMBER(K136), K136&gt;0, L136&gt;0), L136-K136, "")</f>
        <v/>
      </c>
      <c r="M138" s="153">
        <f>IF(AND(ISNUMBER(M136), ISNUMBER(L136), L136&gt;0, M136&gt;0), M136-L136, "")</f>
        <v/>
      </c>
      <c r="N138" s="153" t="n"/>
      <c r="O138" s="153" t="n"/>
      <c r="P138" s="153">
        <f>IF(AND(ISNUMBER(P136), ISNUMBER(O136), O136&gt;0, P136&gt;0), P136-O136, "")</f>
        <v/>
      </c>
      <c r="Q138" s="153">
        <f>IF(AND(ISNUMBER(Q136), ISNUMBER(P136), P136&gt;0, Q136&gt;0), Q136-P136, "")</f>
        <v/>
      </c>
      <c r="R138" s="153">
        <f>IF(AND(ISNUMBER(R136), ISNUMBER(Q136), Q136&gt;0, R136&gt;0), R136-Q136, "")</f>
        <v/>
      </c>
      <c r="S138" s="153">
        <f>IF(AND(ISNUMBER(S136), ISNUMBER(R136), R136&gt;0, S136&gt;0), S136-R136, "")</f>
        <v/>
      </c>
      <c r="T138" s="153">
        <f>IF(AND(ISNUMBER(T136), ISNUMBER(S136), S136&gt;0, T136&gt;0), T136-S136, "")</f>
        <v/>
      </c>
      <c r="U138" s="153">
        <f>IF(AND(ISNUMBER(U136), ISNUMBER(T136), T136&gt;0, U136&gt;0), U136-T136, "")</f>
        <v/>
      </c>
      <c r="V138" s="153">
        <f>IF(AND(ISNUMBER(V136), ISNUMBER(U136), U136&gt;0, V136&gt;0), V136-U136, "")</f>
        <v/>
      </c>
      <c r="W138" s="153">
        <f>IF(AND(ISNUMBER(W136), ISNUMBER(V136), V136&gt;0, W136&gt;0), W136-V136, "")</f>
        <v/>
      </c>
      <c r="X138" s="153">
        <f>IF(AND(ISNUMBER(X136), ISNUMBER(W136), W136&gt;0, X136&gt;0), X136-W136, "")</f>
        <v/>
      </c>
      <c r="Y138" s="153">
        <f>IF(AND(ISNUMBER(Y136), ISNUMBER(X136), X136&gt;0, Y136&gt;0), Y136-X136, "")</f>
        <v/>
      </c>
      <c r="Z138" s="153">
        <f>IF(AND(ISNUMBER(Z136), ISNUMBER(Y136), Y136&gt;0, Z136&gt;0), Z136-Y136, "")</f>
        <v/>
      </c>
      <c r="AA138" s="153" t="n"/>
      <c r="AB138" s="140" t="n"/>
      <c r="AC138" s="140" t="n"/>
      <c r="AD138" s="140" t="n"/>
    </row>
    <row r="139" ht="15.75" customHeight="1" s="346">
      <c r="A139" s="152" t="inlineStr">
        <is>
          <t xml:space="preserve">  % Growth rate</t>
        </is>
      </c>
      <c r="B139" s="203" t="n"/>
      <c r="C139" s="203">
        <f>IF(AND(ISNUMBER(C136), ISNUMBER(B136), B136&gt;0, C136&gt;0), (C136-B136)/B136, "")</f>
        <v/>
      </c>
      <c r="D139" s="203">
        <f>IF(AND(ISNUMBER(D136), ISNUMBER(C136), C136&gt;0, D136&gt;0), (D136-C136)/C136, "")</f>
        <v/>
      </c>
      <c r="E139" s="203">
        <f>IF(AND(ISNUMBER(E136), ISNUMBER(D136), D136&gt;0, E136&gt;0), (E136-D136)/D136, "")</f>
        <v/>
      </c>
      <c r="F139" s="203">
        <f>IF(AND(ISNUMBER(F136), ISNUMBER(E136), E136&gt;0, F136&gt;0), (F136-E136)/E136, "")</f>
        <v/>
      </c>
      <c r="G139" s="203">
        <f>IF(AND(ISNUMBER(G136), ISNUMBER(F136), F136&gt;0, G136&gt;0), (G136-F136)/F136, "")</f>
        <v/>
      </c>
      <c r="H139" s="203">
        <f>IF(AND(ISNUMBER(H136), ISNUMBER(G136), G136&gt;0, H136&gt;0), (H136-G136)/G136, "")</f>
        <v/>
      </c>
      <c r="I139" s="203">
        <f>IF(AND(ISNUMBER(I136), ISNUMBER(H136), H136&gt;0, I136&gt;0), (I136-H136)/H136, "")</f>
        <v/>
      </c>
      <c r="J139" s="203">
        <f>IF(AND(ISNUMBER(J136), ISNUMBER(I136), I136&gt;0, J136&gt;0), (J136-I136)/I136, "")</f>
        <v/>
      </c>
      <c r="K139" s="203">
        <f>IF(AND(ISNUMBER(K136), ISNUMBER(J136), J136&gt;0, K136&gt;0), (K136-J136)/J136, "")</f>
        <v/>
      </c>
      <c r="L139" s="203">
        <f>IF(AND(ISNUMBER(L136), ISNUMBER(K136), K136&gt;0, L136&gt;0), (L136-K136)/K136, "")</f>
        <v/>
      </c>
      <c r="M139" s="203">
        <f>IF(AND(ISNUMBER(M136), ISNUMBER(L136), L136&gt;0, M136&gt;0), (M136-L136)/L136, "")</f>
        <v/>
      </c>
      <c r="N139" s="203" t="n"/>
      <c r="O139" s="203" t="n"/>
      <c r="P139" s="203">
        <f>IF(AND(ISNUMBER(P136), ISNUMBER(O136), O136&gt;0, P136&gt;0), (P136-O136)/O136, "")</f>
        <v/>
      </c>
      <c r="Q139" s="203">
        <f>IF(AND(ISNUMBER(Q136), ISNUMBER(P136), P136&gt;0, Q136&gt;0), (Q136-P136)/P136, "")</f>
        <v/>
      </c>
      <c r="R139" s="203">
        <f>IF(AND(ISNUMBER(R136), ISNUMBER(Q136), Q136&gt;0, R136&gt;0), (R136-Q136)/Q136, "")</f>
        <v/>
      </c>
      <c r="S139" s="203">
        <f>IF(AND(ISNUMBER(S136), ISNUMBER(R136), R136&gt;0, S136&gt;0), (S136-R136)/R136, "")</f>
        <v/>
      </c>
      <c r="T139" s="203">
        <f>IF(AND(ISNUMBER(T136), ISNUMBER(S136), S136&gt;0, T136&gt;0), (T136-S136)/S136, "")</f>
        <v/>
      </c>
      <c r="U139" s="203">
        <f>IF(AND(ISNUMBER(U136), ISNUMBER(T136), T136&gt;0, U136&gt;0), (U136-T136)/T136, "")</f>
        <v/>
      </c>
      <c r="V139" s="203">
        <f>IF(AND(ISNUMBER(V136), ISNUMBER(U136), U136&gt;0, V136&gt;0), (V136-U136)/U136, "")</f>
        <v/>
      </c>
      <c r="W139" s="203">
        <f>IF(AND(ISNUMBER(W136), ISNUMBER(V136), V136&gt;0, W136&gt;0), (W136-V136)/V136, "")</f>
        <v/>
      </c>
      <c r="X139" s="203">
        <f>IF(AND(ISNUMBER(X136), ISNUMBER(W136), W136&gt;0, X136&gt;0), (X136-W136)/W136, "")</f>
        <v/>
      </c>
      <c r="Y139" s="203">
        <f>IF(AND(ISNUMBER(Y136), ISNUMBER(X136), X136&gt;0, Y136&gt;0), (Y136-X136)/X136, "")</f>
        <v/>
      </c>
      <c r="Z139" s="203">
        <f>IF(AND(ISNUMBER(Z136), ISNUMBER(Y136), Y136&gt;0, Z136&gt;0), (Z136-Y136)/Y136, "")</f>
        <v/>
      </c>
      <c r="AA139" s="203" t="n"/>
      <c r="AB139" s="140" t="n"/>
      <c r="AC139" s="140" t="n"/>
      <c r="AD139" s="140" t="n"/>
    </row>
    <row r="140" ht="15.75" customHeight="1" s="346">
      <c r="A140" s="202" t="inlineStr">
        <is>
          <t>Tỷ trọng trong tổng traffic</t>
        </is>
      </c>
      <c r="B140" s="156">
        <f t="array" ref="B140">IF(AND(ISNUMBER(B136), B136&gt;0), B136/INDEX('MTD Pivot'!$D$3:$K$400, MATCH("Grand Total", 'MTD Pivot'!$A$3:$A$400, 0), MATCH(B$2, 'MTD Pivot'!$D$2:$K$2, 0)), "")</f>
        <v/>
      </c>
      <c r="C140" s="156">
        <f t="array" ref="C140">IF(AND(ISNUMBER(C136), C136&gt;0), C136/INDEX('MTD Pivot'!$D$3:$K$400, MATCH("Grand Total", 'MTD Pivot'!$A$3:$A$400, 0), MATCH(C$2, 'MTD Pivot'!$D$2:$K$2, 0)), "")</f>
        <v/>
      </c>
      <c r="D140" s="156">
        <f t="array" ref="D140">IF(AND(ISNUMBER(D136), D136&gt;0), D136/INDEX('MTD Pivot'!$D$3:$K$400, MATCH("Grand Total", 'MTD Pivot'!$A$3:$A$400, 0), MATCH(D$2, 'MTD Pivot'!$D$2:$K$2, 0)), "")</f>
        <v/>
      </c>
      <c r="E140" s="156">
        <f t="array" ref="E140">IF(AND(ISNUMBER(E136), E136&gt;0), E136/INDEX('MTD Pivot'!$D$3:$K$400, MATCH("Grand Total", 'MTD Pivot'!$A$3:$A$400, 0), MATCH(E$2, 'MTD Pivot'!$D$2:$K$2, 0)), "")</f>
        <v/>
      </c>
      <c r="F140" s="156">
        <f t="array" ref="F140">IF(AND(ISNUMBER(F136), F136&gt;0), F136/INDEX('MTD Pivot'!$D$3:$K$400, MATCH("Grand Total", 'MTD Pivot'!$A$3:$A$400, 0), MATCH(F$2, 'MTD Pivot'!$D$2:$K$2, 0)), "")</f>
        <v/>
      </c>
      <c r="G140" s="156">
        <f t="array" ref="G140">IF(AND(ISNUMBER(G136), G136&gt;0), G136/INDEX('MTD Pivot'!$D$3:$K$400, MATCH("Grand Total", 'MTD Pivot'!$A$3:$A$400, 0), MATCH(G$2, 'MTD Pivot'!$D$2:$K$2, 0)), "")</f>
        <v/>
      </c>
      <c r="H140" s="156">
        <f t="array" ref="H140">IF(AND(ISNUMBER(H136), H136&gt;0), H136/INDEX('MTD Pivot'!$D$3:$K$400, MATCH("Grand Total", 'MTD Pivot'!$A$3:$A$400, 0), MATCH(H$2, 'MTD Pivot'!$D$2:$K$2, 0)), "")</f>
        <v/>
      </c>
      <c r="I140" s="156">
        <f t="array" ref="I140">IF(AND(ISNUMBER(I136), I136&gt;0), I136/INDEX('MTD Pivot'!$D$3:$K$400, MATCH("Grand Total", 'MTD Pivot'!$A$3:$A$400, 0), MATCH(I$2, 'MTD Pivot'!$D$2:$K$2, 0)), "")</f>
        <v/>
      </c>
      <c r="J140" s="156">
        <f t="array" ref="J140">IF(AND(ISNUMBER(J136), J136&gt;0), J136/INDEX('MTD Pivot'!$D$3:$K$400, MATCH("Grand Total", 'MTD Pivot'!$A$3:$A$400, 0), MATCH(J$2, 'MTD Pivot'!$D$2:$K$2, 0)), "")</f>
        <v/>
      </c>
      <c r="K140" s="156">
        <f t="array" ref="K140">IF(AND(ISNUMBER(K136), K136&gt;0), K136/INDEX('MTD Pivot'!$D$3:$K$400, MATCH("Grand Total", 'MTD Pivot'!$A$3:$A$400, 0), MATCH(K$2, 'MTD Pivot'!$D$2:$K$2, 0)), "")</f>
        <v/>
      </c>
      <c r="L140" s="156">
        <f t="array" ref="L140">IF(AND(ISNUMBER(L136), L136&gt;0), L136/INDEX('MTD Pivot'!$D$3:$K$400, MATCH("Grand Total", 'MTD Pivot'!$A$3:$A$400, 0), MATCH(L$2, 'MTD Pivot'!$D$2:$K$2, 0)), "")</f>
        <v/>
      </c>
      <c r="M140" s="156">
        <f t="array" ref="M140">IF(AND(ISNUMBER(M136), M136&gt;0), M136/INDEX('MTD Pivot'!$D$3:$K$400, MATCH("Grand Total", 'MTD Pivot'!$A$3:$A$400, 0), MATCH(M$2, 'MTD Pivot'!$D$2:$K$2, 0)), "")</f>
        <v/>
      </c>
      <c r="N140" s="157">
        <f>IF(AND(ISNUMBER(K140), ISNUMBER(J140)), K140-J140, "")</f>
        <v/>
      </c>
      <c r="O140" s="156">
        <f t="array" ref="O140">IF(AND(ISNUMBER(O136), O136&gt;0), O136/INDEX('Full month Pivot'!$D$3:$K$400, MATCH("Grand Total", 'Full month Pivot'!$A$3:$A$400, 0), MATCH(O$2, 'Full month Pivot'!$D$2:$K$2, 0)), "")</f>
        <v/>
      </c>
      <c r="P140" s="156">
        <f t="array" ref="P140">IF(AND(ISNUMBER(P136), P136&gt;0), P136/INDEX('Full month Pivot'!$D$3:$K$400, MATCH("Grand Total", 'Full month Pivot'!$A$3:$A$400, 0), MATCH(P$2, 'Full month Pivot'!$D$2:$K$2, 0)), "")</f>
        <v/>
      </c>
      <c r="Q140" s="156">
        <f t="array" ref="Q140">IF(AND(ISNUMBER(Q136), Q136&gt;0), Q136/INDEX('Full month Pivot'!$D$3:$K$400, MATCH("Grand Total", 'Full month Pivot'!$A$3:$A$400, 0), MATCH(Q$2, 'Full month Pivot'!$D$2:$K$2, 0)), "")</f>
        <v/>
      </c>
      <c r="R140" s="156">
        <f t="array" ref="R140">IF(AND(ISNUMBER(R136), R136&gt;0), R136/INDEX('Full month Pivot'!$D$3:$K$400, MATCH("Grand Total", 'Full month Pivot'!$A$3:$A$400, 0), MATCH(R$2, 'Full month Pivot'!$D$2:$K$2, 0)), "")</f>
        <v/>
      </c>
      <c r="S140" s="156">
        <f t="array" ref="S140">IF(AND(ISNUMBER(S136), S136&gt;0), S136/INDEX('Full month Pivot'!$D$3:$K$400, MATCH("Grand Total", 'Full month Pivot'!$A$3:$A$400, 0), MATCH(S$2, 'Full month Pivot'!$D$2:$K$2, 0)), "")</f>
        <v/>
      </c>
      <c r="T140" s="156">
        <f t="array" ref="T140">IF(AND(ISNUMBER(T136), T136&gt;0), T136/INDEX('Full month Pivot'!$D$3:$K$400, MATCH("Grand Total", 'Full month Pivot'!$A$3:$A$400, 0), MATCH(T$2, 'Full month Pivot'!$D$2:$K$2, 0)), "")</f>
        <v/>
      </c>
      <c r="U140" s="156">
        <f t="array" ref="U140">IF(AND(ISNUMBER(U136), U136&gt;0), U136/INDEX('Full month Pivot'!$D$3:$K$400, MATCH("Grand Total", 'Full month Pivot'!$A$3:$A$400, 0), MATCH(U$2, 'Full month Pivot'!$D$2:$K$2, 0)), "")</f>
        <v/>
      </c>
      <c r="V140" s="156">
        <f t="array" ref="V140">IF(AND(ISNUMBER(V136), V136&gt;0), V136/INDEX('Full month Pivot'!$D$3:$K$400, MATCH("Grand Total", 'Full month Pivot'!$A$3:$A$400, 0), MATCH(V$2, 'Full month Pivot'!$D$2:$K$2, 0)), "")</f>
        <v/>
      </c>
      <c r="W140" s="156">
        <f t="array" ref="W140">IF(AND(ISNUMBER(W136), W136&gt;0), W136/INDEX('Full month Pivot'!$D$3:$K$400, MATCH("Grand Total", 'Full month Pivot'!$A$3:$A$400, 0), MATCH(W$2, 'Full month Pivot'!$D$2:$K$2, 0)), "")</f>
        <v/>
      </c>
      <c r="X140" s="156">
        <f t="array" ref="X140">IF(AND(ISNUMBER(X136), X136&gt;0), X136/INDEX('Full month Pivot'!$D$3:$K$400, MATCH("Grand Total", 'Full month Pivot'!$A$3:$A$400, 0), MATCH(X$2, 'Full month Pivot'!$D$2:$K$2, 0)), "")</f>
        <v/>
      </c>
      <c r="Y140" s="156">
        <f t="array" ref="Y140">IF(AND(ISNUMBER(Y136), Y136&gt;0), Y136/INDEX('Full month Pivot'!$D$3:$K$400, MATCH("Grand Total", 'Full month Pivot'!$A$3:$A$400, 0), MATCH(Y$2, 'Full month Pivot'!$D$2:$K$2, 0)), "")</f>
        <v/>
      </c>
      <c r="Z140" s="156">
        <f t="array" ref="Z140">IF(AND(ISNUMBER(Z136), Z136&gt;0), Z136/INDEX('Full month Pivot'!$D$3:$K$400, MATCH("Grand Total", 'Full month Pivot'!$A$3:$A$400, 0), MATCH(Z$2, 'Full month Pivot'!$D$2:$K$2, 0)), "")</f>
        <v/>
      </c>
      <c r="AA140" s="157">
        <f>IF(AND(ISNUMBER(X140), ISNUMBER(W140)), X140-W140, "")</f>
        <v/>
      </c>
      <c r="AB140" s="140" t="n"/>
      <c r="AC140" s="140" t="n"/>
      <c r="AD140" s="140" t="n"/>
    </row>
    <row r="141" ht="15.75" customHeight="1" s="346">
      <c r="A141" s="202" t="inlineStr">
        <is>
          <t xml:space="preserve">  Organic</t>
        </is>
      </c>
      <c r="B141" s="193">
        <f>IF(SUMPRODUCT((('MTD Pivot'!$B$3:$B$400=$A$135) + ('MTD Pivot'!$A$3:$A$400=$A$135) &gt; 0) * (TRIM('MTD Pivot'!$C$3:$C$400)=TRIM($A141)) * ('MTD Pivot'!$D$2:$K$2=B$2) * 'MTD Pivot'!$D$3:$K$400)&gt;0, SUMPRODUCT((('MTD Pivot'!$B$3:$B$400=$A$135) + ('MTD Pivot'!$A$3:$A$400=$A$135) &gt; 0) * (TRIM('MTD Pivot'!$C$3:$C$400)=TRIM($A141)) * ('MTD Pivot'!$D$2:$K$2=B$2) * 'MTD Pivot'!$D$3:$K$400), "")</f>
        <v/>
      </c>
      <c r="C141" s="193">
        <f>IF(SUMPRODUCT((('MTD Pivot'!$B$3:$B$400=$A$135) + ('MTD Pivot'!$A$3:$A$400=$A$135) &gt; 0) * (TRIM('MTD Pivot'!$C$3:$C$400)=TRIM($A141)) * ('MTD Pivot'!$D$2:$K$2=C$2) * 'MTD Pivot'!$D$3:$K$400)&gt;0, SUMPRODUCT((('MTD Pivot'!$B$3:$B$400=$A$135) + ('MTD Pivot'!$A$3:$A$400=$A$135) &gt; 0) * (TRIM('MTD Pivot'!$C$3:$C$400)=TRIM($A141)) * ('MTD Pivot'!$D$2:$K$2=C$2) * 'MTD Pivot'!$D$3:$K$400), "")</f>
        <v/>
      </c>
      <c r="D141" s="193">
        <f>IF(SUMPRODUCT((('MTD Pivot'!$B$3:$B$400=$A$135) + ('MTD Pivot'!$A$3:$A$400=$A$135) &gt; 0) * (TRIM('MTD Pivot'!$C$3:$C$400)=TRIM($A141)) * ('MTD Pivot'!$D$2:$K$2=D$2) * 'MTD Pivot'!$D$3:$K$400)&gt;0, SUMPRODUCT((('MTD Pivot'!$B$3:$B$400=$A$135) + ('MTD Pivot'!$A$3:$A$400=$A$135) &gt; 0) * (TRIM('MTD Pivot'!$C$3:$C$400)=TRIM($A141)) * ('MTD Pivot'!$D$2:$K$2=D$2) * 'MTD Pivot'!$D$3:$K$400), "")</f>
        <v/>
      </c>
      <c r="E141" s="193">
        <f>IF(SUMPRODUCT((('MTD Pivot'!$B$3:$B$400=$A$135) + ('MTD Pivot'!$A$3:$A$400=$A$135) &gt; 0) * (TRIM('MTD Pivot'!$C$3:$C$400)=TRIM($A141)) * ('MTD Pivot'!$D$2:$K$2=E$2) * 'MTD Pivot'!$D$3:$K$400)&gt;0, SUMPRODUCT((('MTD Pivot'!$B$3:$B$400=$A$135) + ('MTD Pivot'!$A$3:$A$400=$A$135) &gt; 0) * (TRIM('MTD Pivot'!$C$3:$C$400)=TRIM($A141)) * ('MTD Pivot'!$D$2:$K$2=E$2) * 'MTD Pivot'!$D$3:$K$400), "")</f>
        <v/>
      </c>
      <c r="F141" s="193">
        <f>IF(SUMPRODUCT((('MTD Pivot'!$B$3:$B$400=$A$135) + ('MTD Pivot'!$A$3:$A$400=$A$135) &gt; 0) * (TRIM('MTD Pivot'!$C$3:$C$400)=TRIM($A141)) * ('MTD Pivot'!$D$2:$K$2=F$2) * 'MTD Pivot'!$D$3:$K$400)&gt;0, SUMPRODUCT((('MTD Pivot'!$B$3:$B$400=$A$135) + ('MTD Pivot'!$A$3:$A$400=$A$135) &gt; 0) * (TRIM('MTD Pivot'!$C$3:$C$400)=TRIM($A141)) * ('MTD Pivot'!$D$2:$K$2=F$2) * 'MTD Pivot'!$D$3:$K$400), "")</f>
        <v/>
      </c>
      <c r="G141" s="193">
        <f>IF(SUMPRODUCT((('MTD Pivot'!$B$3:$B$400=$A$135) + ('MTD Pivot'!$A$3:$A$400=$A$135) &gt; 0) * (TRIM('MTD Pivot'!$C$3:$C$400)=TRIM($A141)) * ('MTD Pivot'!$D$2:$K$2=G$2) * 'MTD Pivot'!$D$3:$K$400)&gt;0, SUMPRODUCT((('MTD Pivot'!$B$3:$B$400=$A$135) + ('MTD Pivot'!$A$3:$A$400=$A$135) &gt; 0) * (TRIM('MTD Pivot'!$C$3:$C$400)=TRIM($A141)) * ('MTD Pivot'!$D$2:$K$2=G$2) * 'MTD Pivot'!$D$3:$K$400), "")</f>
        <v/>
      </c>
      <c r="H141" s="193">
        <f>IF(SUMPRODUCT((('MTD Pivot'!$B$3:$B$400=$A$135) + ('MTD Pivot'!$A$3:$A$400=$A$135) &gt; 0) * (TRIM('MTD Pivot'!$C$3:$C$400)=TRIM($A141)) * ('MTD Pivot'!$D$2:$K$2=H$2) * 'MTD Pivot'!$D$3:$K$400)&gt;0, SUMPRODUCT((('MTD Pivot'!$B$3:$B$400=$A$135) + ('MTD Pivot'!$A$3:$A$400=$A$135) &gt; 0) * (TRIM('MTD Pivot'!$C$3:$C$400)=TRIM($A141)) * ('MTD Pivot'!$D$2:$K$2=H$2) * 'MTD Pivot'!$D$3:$K$400), "")</f>
        <v/>
      </c>
      <c r="I141" s="193">
        <f>IF(SUMPRODUCT((('MTD Pivot'!$B$3:$B$400=$A$135) + ('MTD Pivot'!$A$3:$A$400=$A$135) &gt; 0) * (TRIM('MTD Pivot'!$C$3:$C$400)=TRIM($A141)) * ('MTD Pivot'!$D$2:$K$2=I$2) * 'MTD Pivot'!$D$3:$K$400)&gt;0, SUMPRODUCT((('MTD Pivot'!$B$3:$B$400=$A$135) + ('MTD Pivot'!$A$3:$A$400=$A$135) &gt; 0) * (TRIM('MTD Pivot'!$C$3:$C$400)=TRIM($A141)) * ('MTD Pivot'!$D$2:$K$2=I$2) * 'MTD Pivot'!$D$3:$K$400), "")</f>
        <v/>
      </c>
      <c r="J141" s="193">
        <f>IF(SUMPRODUCT((('MTD Pivot'!$B$3:$B$400=$A$135) + ('MTD Pivot'!$A$3:$A$400=$A$135) &gt; 0) * (TRIM('MTD Pivot'!$C$3:$C$400)=TRIM($A141)) * ('MTD Pivot'!$D$2:$K$2=J$2) * 'MTD Pivot'!$D$3:$K$400)&gt;0, SUMPRODUCT((('MTD Pivot'!$B$3:$B$400=$A$135) + ('MTD Pivot'!$A$3:$A$400=$A$135) &gt; 0) * (TRIM('MTD Pivot'!$C$3:$C$400)=TRIM($A141)) * ('MTD Pivot'!$D$2:$K$2=J$2) * 'MTD Pivot'!$D$3:$K$400), "")</f>
        <v/>
      </c>
      <c r="K141" s="193">
        <f>IF(SUMPRODUCT((('MTD Pivot'!$B$3:$B$400=$A$135) + ('MTD Pivot'!$A$3:$A$400=$A$135) &gt; 0) * (TRIM('MTD Pivot'!$C$3:$C$400)=TRIM($A141)) * ('MTD Pivot'!$D$2:$K$2=K$2) * 'MTD Pivot'!$D$3:$K$400)&gt;0, SUMPRODUCT((('MTD Pivot'!$B$3:$B$400=$A$135) + ('MTD Pivot'!$A$3:$A$400=$A$135) &gt; 0) * (TRIM('MTD Pivot'!$C$3:$C$400)=TRIM($A141)) * ('MTD Pivot'!$D$2:$K$2=K$2) * 'MTD Pivot'!$D$3:$K$400), "")</f>
        <v/>
      </c>
      <c r="L141" s="193">
        <f>IF(SUMPRODUCT((('MTD Pivot'!$B$3:$B$400=$A$135) + ('MTD Pivot'!$A$3:$A$400=$A$135) &gt; 0) * (TRIM('MTD Pivot'!$C$3:$C$400)=TRIM($A141)) * ('MTD Pivot'!$D$2:$K$2=L$2) * 'MTD Pivot'!$D$3:$K$400)&gt;0, SUMPRODUCT((('MTD Pivot'!$B$3:$B$400=$A$135) + ('MTD Pivot'!$A$3:$A$400=$A$135) &gt; 0) * (TRIM('MTD Pivot'!$C$3:$C$400)=TRIM($A141)) * ('MTD Pivot'!$D$2:$K$2=L$2) * 'MTD Pivot'!$D$3:$K$400), "")</f>
        <v/>
      </c>
      <c r="M141" s="193">
        <f>IF(SUMPRODUCT((('MTD Pivot'!$B$3:$B$400=$A$135) + ('MTD Pivot'!$A$3:$A$400=$A$135) &gt; 0) * (TRIM('MTD Pivot'!$C$3:$C$400)=TRIM($A141)) * ('MTD Pivot'!$D$2:$K$2=M$2) * 'MTD Pivot'!$D$3:$K$400)&gt;0, SUMPRODUCT((('MTD Pivot'!$B$3:$B$400=$A$135) + ('MTD Pivot'!$A$3:$A$400=$A$135) &gt; 0) * (TRIM('MTD Pivot'!$C$3:$C$400)=TRIM($A141)) * ('MTD Pivot'!$D$2:$K$2=M$2) * 'MTD Pivot'!$D$3:$K$400), "")</f>
        <v/>
      </c>
      <c r="N141" s="157">
        <f>IF(AND(ISNUMBER(K141), ISNUMBER(J141), J141&gt;0), (K141-J141)/J141, "")</f>
        <v/>
      </c>
      <c r="O141" s="193">
        <f>IF(SUMPRODUCT((('Full month Pivot'!$B$3:$B$400=$A$135) + ('Full month Pivot'!$A$3:$A$400=$A$135) &gt; 0) * (TRIM('Full month Pivot'!$C$3:$C$400)=TRIM($A141)) * ('Full month Pivot'!$D$2:$K$2=O$2) * 'Full month Pivot'!$D$3:$K$400)&gt;0, SUMPRODUCT((('Full month Pivot'!$B$3:$B$400=$A$135) + ('Full month Pivot'!$A$3:$A$400=$A$135) &gt; 0) * (TRIM('Full month Pivot'!$C$3:$C$400)=TRIM($A141)) * ('Full month Pivot'!$D$2:$K$2=O$2) * 'Full month Pivot'!$D$3:$K$400), "")</f>
        <v/>
      </c>
      <c r="P141" s="193">
        <f>IF(SUMPRODUCT((('Full month Pivot'!$B$3:$B$400=$A$135) + ('Full month Pivot'!$A$3:$A$400=$A$135) &gt; 0) * (TRIM('Full month Pivot'!$C$3:$C$400)=TRIM($A141)) * ('Full month Pivot'!$D$2:$K$2=P$2) * 'Full month Pivot'!$D$3:$K$400)&gt;0, SUMPRODUCT((('Full month Pivot'!$B$3:$B$400=$A$135) + ('Full month Pivot'!$A$3:$A$400=$A$135) &gt; 0) * (TRIM('Full month Pivot'!$C$3:$C$400)=TRIM($A141)) * ('Full month Pivot'!$D$2:$K$2=P$2) * 'Full month Pivot'!$D$3:$K$400), "")</f>
        <v/>
      </c>
      <c r="Q141" s="193">
        <f>IF(SUMPRODUCT((('Full month Pivot'!$B$3:$B$400=$A$135) + ('Full month Pivot'!$A$3:$A$400=$A$135) &gt; 0) * (TRIM('Full month Pivot'!$C$3:$C$400)=TRIM($A141)) * ('Full month Pivot'!$D$2:$K$2=Q$2) * 'Full month Pivot'!$D$3:$K$400)&gt;0, SUMPRODUCT((('Full month Pivot'!$B$3:$B$400=$A$135) + ('Full month Pivot'!$A$3:$A$400=$A$135) &gt; 0) * (TRIM('Full month Pivot'!$C$3:$C$400)=TRIM($A141)) * ('Full month Pivot'!$D$2:$K$2=Q$2) * 'Full month Pivot'!$D$3:$K$400), "")</f>
        <v/>
      </c>
      <c r="R141" s="193">
        <f>IF(SUMPRODUCT((('Full month Pivot'!$B$3:$B$400=$A$135) + ('Full month Pivot'!$A$3:$A$400=$A$135) &gt; 0) * (TRIM('Full month Pivot'!$C$3:$C$400)=TRIM($A141)) * ('Full month Pivot'!$D$2:$K$2=R$2) * 'Full month Pivot'!$D$3:$K$400)&gt;0, SUMPRODUCT((('Full month Pivot'!$B$3:$B$400=$A$135) + ('Full month Pivot'!$A$3:$A$400=$A$135) &gt; 0) * (TRIM('Full month Pivot'!$C$3:$C$400)=TRIM($A141)) * ('Full month Pivot'!$D$2:$K$2=R$2) * 'Full month Pivot'!$D$3:$K$400), "")</f>
        <v/>
      </c>
      <c r="S141" s="193">
        <f>IF(SUMPRODUCT((('Full month Pivot'!$B$3:$B$400=$A$135) + ('Full month Pivot'!$A$3:$A$400=$A$135) &gt; 0) * (TRIM('Full month Pivot'!$C$3:$C$400)=TRIM($A141)) * ('Full month Pivot'!$D$2:$K$2=S$2) * 'Full month Pivot'!$D$3:$K$400)&gt;0, SUMPRODUCT((('Full month Pivot'!$B$3:$B$400=$A$135) + ('Full month Pivot'!$A$3:$A$400=$A$135) &gt; 0) * (TRIM('Full month Pivot'!$C$3:$C$400)=TRIM($A141)) * ('Full month Pivot'!$D$2:$K$2=S$2) * 'Full month Pivot'!$D$3:$K$400), "")</f>
        <v/>
      </c>
      <c r="T141" s="193">
        <f>IF(SUMPRODUCT((('Full month Pivot'!$B$3:$B$400=$A$135) + ('Full month Pivot'!$A$3:$A$400=$A$135) &gt; 0) * (TRIM('Full month Pivot'!$C$3:$C$400)=TRIM($A141)) * ('Full month Pivot'!$D$2:$K$2=T$2) * 'Full month Pivot'!$D$3:$K$400)&gt;0, SUMPRODUCT((('Full month Pivot'!$B$3:$B$400=$A$135) + ('Full month Pivot'!$A$3:$A$400=$A$135) &gt; 0) * (TRIM('Full month Pivot'!$C$3:$C$400)=TRIM($A141)) * ('Full month Pivot'!$D$2:$K$2=T$2) * 'Full month Pivot'!$D$3:$K$400), "")</f>
        <v/>
      </c>
      <c r="U141" s="193">
        <f>IF(SUMPRODUCT((('Full month Pivot'!$B$3:$B$400=$A$135) + ('Full month Pivot'!$A$3:$A$400=$A$135) &gt; 0) * (TRIM('Full month Pivot'!$C$3:$C$400)=TRIM($A141)) * ('Full month Pivot'!$D$2:$K$2=U$2) * 'Full month Pivot'!$D$3:$K$400)&gt;0, SUMPRODUCT((('Full month Pivot'!$B$3:$B$400=$A$135) + ('Full month Pivot'!$A$3:$A$400=$A$135) &gt; 0) * (TRIM('Full month Pivot'!$C$3:$C$400)=TRIM($A141)) * ('Full month Pivot'!$D$2:$K$2=U$2) * 'Full month Pivot'!$D$3:$K$400), "")</f>
        <v/>
      </c>
      <c r="V141" s="193">
        <f>IF(SUMPRODUCT((('Full month Pivot'!$B$3:$B$400=$A$135) + ('Full month Pivot'!$A$3:$A$400=$A$135) &gt; 0) * (TRIM('Full month Pivot'!$C$3:$C$400)=TRIM($A141)) * ('Full month Pivot'!$D$2:$K$2=V$2) * 'Full month Pivot'!$D$3:$K$400)&gt;0, SUMPRODUCT((('Full month Pivot'!$B$3:$B$400=$A$135) + ('Full month Pivot'!$A$3:$A$400=$A$135) &gt; 0) * (TRIM('Full month Pivot'!$C$3:$C$400)=TRIM($A141)) * ('Full month Pivot'!$D$2:$K$2=V$2) * 'Full month Pivot'!$D$3:$K$400), "")</f>
        <v/>
      </c>
      <c r="W141" s="193">
        <f>IF(SUMPRODUCT((('Full month Pivot'!$B$3:$B$400=$A$135) + ('Full month Pivot'!$A$3:$A$400=$A$135) &gt; 0) * (TRIM('Full month Pivot'!$C$3:$C$400)=TRIM($A141)) * ('Full month Pivot'!$D$2:$K$2=W$2) * 'Full month Pivot'!$D$3:$K$400)&gt;0, SUMPRODUCT((('Full month Pivot'!$B$3:$B$400=$A$135) + ('Full month Pivot'!$A$3:$A$400=$A$135) &gt; 0) * (TRIM('Full month Pivot'!$C$3:$C$400)=TRIM($A141)) * ('Full month Pivot'!$D$2:$K$2=W$2) * 'Full month Pivot'!$D$3:$K$400), "")</f>
        <v/>
      </c>
      <c r="X141" s="193">
        <f>IF(SUMPRODUCT((('Full month Pivot'!$B$3:$B$400=$A$135) + ('Full month Pivot'!$A$3:$A$400=$A$135) &gt; 0) * (TRIM('Full month Pivot'!$C$3:$C$400)=TRIM($A141)) * ('Full month Pivot'!$D$2:$K$2=X$2) * 'Full month Pivot'!$D$3:$K$400)&gt;0, SUMPRODUCT((('Full month Pivot'!$B$3:$B$400=$A$135) + ('Full month Pivot'!$A$3:$A$400=$A$135) &gt; 0) * (TRIM('Full month Pivot'!$C$3:$C$400)=TRIM($A141)) * ('Full month Pivot'!$D$2:$K$2=X$2) * 'Full month Pivot'!$D$3:$K$400), "")</f>
        <v/>
      </c>
      <c r="Y141" s="193">
        <f>IF(SUMPRODUCT((('Full month Pivot'!$B$3:$B$400=$A$135) + ('Full month Pivot'!$A$3:$A$400=$A$135) &gt; 0) * (TRIM('Full month Pivot'!$C$3:$C$400)=TRIM($A141)) * ('Full month Pivot'!$D$2:$K$2=Y$2) * 'Full month Pivot'!$D$3:$K$400)&gt;0, SUMPRODUCT((('Full month Pivot'!$B$3:$B$400=$A$135) + ('Full month Pivot'!$A$3:$A$400=$A$135) &gt; 0) * (TRIM('Full month Pivot'!$C$3:$C$400)=TRIM($A141)) * ('Full month Pivot'!$D$2:$K$2=Y$2) * 'Full month Pivot'!$D$3:$K$400), "")</f>
        <v/>
      </c>
      <c r="Z141" s="193">
        <f>IF(SUMPRODUCT((('Full month Pivot'!$B$3:$B$400=$A$135) + ('Full month Pivot'!$A$3:$A$400=$A$135) &gt; 0) * (TRIM('Full month Pivot'!$C$3:$C$400)=TRIM($A141)) * ('Full month Pivot'!$D$2:$K$2=Z$2) * 'Full month Pivot'!$D$3:$K$400)&gt;0, SUMPRODUCT((('Full month Pivot'!$B$3:$B$400=$A$135) + ('Full month Pivot'!$A$3:$A$400=$A$135) &gt; 0) * (TRIM('Full month Pivot'!$C$3:$C$400)=TRIM($A141)) * ('Full month Pivot'!$D$2:$K$2=Z$2) * 'Full month Pivot'!$D$3:$K$400), "")</f>
        <v/>
      </c>
      <c r="AA141" s="157">
        <f>IF(AND(ISNUMBER(X141), ISNUMBER(W141), W141&gt;0), (X141-W141)/W141, "")</f>
        <v/>
      </c>
      <c r="AB141" s="140" t="n"/>
      <c r="AC141" s="140" t="n"/>
      <c r="AD141" s="140" t="n"/>
    </row>
    <row r="142" ht="15.75" customHeight="1" s="346">
      <c r="A142" s="202" t="inlineStr">
        <is>
          <t xml:space="preserve">  Paid</t>
        </is>
      </c>
      <c r="B142" s="193">
        <f>IF(SUMPRODUCT((('MTD Pivot'!$B$3:$B$400=$A$135) + ('MTD Pivot'!$A$3:$A$400=$A$135) &gt; 0) * (TRIM('MTD Pivot'!$C$3:$C$400)=TRIM($A142)) * ('MTD Pivot'!$D$2:$K$2=B$2) * 'MTD Pivot'!$D$3:$K$400)&gt;0, SUMPRODUCT((('MTD Pivot'!$B$3:$B$400=$A$135) + ('MTD Pivot'!$A$3:$A$400=$A$135) &gt; 0) * (TRIM('MTD Pivot'!$C$3:$C$400)=TRIM($A142)) * ('MTD Pivot'!$D$2:$K$2=B$2) * 'MTD Pivot'!$D$3:$K$400), "")</f>
        <v/>
      </c>
      <c r="C142" s="193">
        <f>IF(SUMPRODUCT((('MTD Pivot'!$B$3:$B$400=$A$135) + ('MTD Pivot'!$A$3:$A$400=$A$135) &gt; 0) * (TRIM('MTD Pivot'!$C$3:$C$400)=TRIM($A142)) * ('MTD Pivot'!$D$2:$K$2=C$2) * 'MTD Pivot'!$D$3:$K$400)&gt;0, SUMPRODUCT((('MTD Pivot'!$B$3:$B$400=$A$135) + ('MTD Pivot'!$A$3:$A$400=$A$135) &gt; 0) * (TRIM('MTD Pivot'!$C$3:$C$400)=TRIM($A142)) * ('MTD Pivot'!$D$2:$K$2=C$2) * 'MTD Pivot'!$D$3:$K$400), "")</f>
        <v/>
      </c>
      <c r="D142" s="193">
        <f>IF(SUMPRODUCT((('MTD Pivot'!$B$3:$B$400=$A$135) + ('MTD Pivot'!$A$3:$A$400=$A$135) &gt; 0) * (TRIM('MTD Pivot'!$C$3:$C$400)=TRIM($A142)) * ('MTD Pivot'!$D$2:$K$2=D$2) * 'MTD Pivot'!$D$3:$K$400)&gt;0, SUMPRODUCT((('MTD Pivot'!$B$3:$B$400=$A$135) + ('MTD Pivot'!$A$3:$A$400=$A$135) &gt; 0) * (TRIM('MTD Pivot'!$C$3:$C$400)=TRIM($A142)) * ('MTD Pivot'!$D$2:$K$2=D$2) * 'MTD Pivot'!$D$3:$K$400), "")</f>
        <v/>
      </c>
      <c r="E142" s="193">
        <f>IF(SUMPRODUCT((('MTD Pivot'!$B$3:$B$400=$A$135) + ('MTD Pivot'!$A$3:$A$400=$A$135) &gt; 0) * (TRIM('MTD Pivot'!$C$3:$C$400)=TRIM($A142)) * ('MTD Pivot'!$D$2:$K$2=E$2) * 'MTD Pivot'!$D$3:$K$400)&gt;0, SUMPRODUCT((('MTD Pivot'!$B$3:$B$400=$A$135) + ('MTD Pivot'!$A$3:$A$400=$A$135) &gt; 0) * (TRIM('MTD Pivot'!$C$3:$C$400)=TRIM($A142)) * ('MTD Pivot'!$D$2:$K$2=E$2) * 'MTD Pivot'!$D$3:$K$400), "")</f>
        <v/>
      </c>
      <c r="F142" s="193">
        <f>IF(SUMPRODUCT((('MTD Pivot'!$B$3:$B$400=$A$135) + ('MTD Pivot'!$A$3:$A$400=$A$135) &gt; 0) * (TRIM('MTD Pivot'!$C$3:$C$400)=TRIM($A142)) * ('MTD Pivot'!$D$2:$K$2=F$2) * 'MTD Pivot'!$D$3:$K$400)&gt;0, SUMPRODUCT((('MTD Pivot'!$B$3:$B$400=$A$135) + ('MTD Pivot'!$A$3:$A$400=$A$135) &gt; 0) * (TRIM('MTD Pivot'!$C$3:$C$400)=TRIM($A142)) * ('MTD Pivot'!$D$2:$K$2=F$2) * 'MTD Pivot'!$D$3:$K$400), "")</f>
        <v/>
      </c>
      <c r="G142" s="193">
        <f>IF(SUMPRODUCT((('MTD Pivot'!$B$3:$B$400=$A$135) + ('MTD Pivot'!$A$3:$A$400=$A$135) &gt; 0) * (TRIM('MTD Pivot'!$C$3:$C$400)=TRIM($A142)) * ('MTD Pivot'!$D$2:$K$2=G$2) * 'MTD Pivot'!$D$3:$K$400)&gt;0, SUMPRODUCT((('MTD Pivot'!$B$3:$B$400=$A$135) + ('MTD Pivot'!$A$3:$A$400=$A$135) &gt; 0) * (TRIM('MTD Pivot'!$C$3:$C$400)=TRIM($A142)) * ('MTD Pivot'!$D$2:$K$2=G$2) * 'MTD Pivot'!$D$3:$K$400), "")</f>
        <v/>
      </c>
      <c r="H142" s="193">
        <f>IF(SUMPRODUCT((('MTD Pivot'!$B$3:$B$400=$A$135) + ('MTD Pivot'!$A$3:$A$400=$A$135) &gt; 0) * (TRIM('MTD Pivot'!$C$3:$C$400)=TRIM($A142)) * ('MTD Pivot'!$D$2:$K$2=H$2) * 'MTD Pivot'!$D$3:$K$400)&gt;0, SUMPRODUCT((('MTD Pivot'!$B$3:$B$400=$A$135) + ('MTD Pivot'!$A$3:$A$400=$A$135) &gt; 0) * (TRIM('MTD Pivot'!$C$3:$C$400)=TRIM($A142)) * ('MTD Pivot'!$D$2:$K$2=H$2) * 'MTD Pivot'!$D$3:$K$400), "")</f>
        <v/>
      </c>
      <c r="I142" s="193">
        <f>IF(SUMPRODUCT((('MTD Pivot'!$B$3:$B$400=$A$135) + ('MTD Pivot'!$A$3:$A$400=$A$135) &gt; 0) * (TRIM('MTD Pivot'!$C$3:$C$400)=TRIM($A142)) * ('MTD Pivot'!$D$2:$K$2=I$2) * 'MTD Pivot'!$D$3:$K$400)&gt;0, SUMPRODUCT((('MTD Pivot'!$B$3:$B$400=$A$135) + ('MTD Pivot'!$A$3:$A$400=$A$135) &gt; 0) * (TRIM('MTD Pivot'!$C$3:$C$400)=TRIM($A142)) * ('MTD Pivot'!$D$2:$K$2=I$2) * 'MTD Pivot'!$D$3:$K$400), "")</f>
        <v/>
      </c>
      <c r="J142" s="193">
        <f>IF(SUMPRODUCT((('MTD Pivot'!$B$3:$B$400=$A$135) + ('MTD Pivot'!$A$3:$A$400=$A$135) &gt; 0) * (TRIM('MTD Pivot'!$C$3:$C$400)=TRIM($A142)) * ('MTD Pivot'!$D$2:$K$2=J$2) * 'MTD Pivot'!$D$3:$K$400)&gt;0, SUMPRODUCT((('MTD Pivot'!$B$3:$B$400=$A$135) + ('MTD Pivot'!$A$3:$A$400=$A$135) &gt; 0) * (TRIM('MTD Pivot'!$C$3:$C$400)=TRIM($A142)) * ('MTD Pivot'!$D$2:$K$2=J$2) * 'MTD Pivot'!$D$3:$K$400), "")</f>
        <v/>
      </c>
      <c r="K142" s="193">
        <f>IF(SUMPRODUCT((('MTD Pivot'!$B$3:$B$400=$A$135) + ('MTD Pivot'!$A$3:$A$400=$A$135) &gt; 0) * (TRIM('MTD Pivot'!$C$3:$C$400)=TRIM($A142)) * ('MTD Pivot'!$D$2:$K$2=K$2) * 'MTD Pivot'!$D$3:$K$400)&gt;0, SUMPRODUCT((('MTD Pivot'!$B$3:$B$400=$A$135) + ('MTD Pivot'!$A$3:$A$400=$A$135) &gt; 0) * (TRIM('MTD Pivot'!$C$3:$C$400)=TRIM($A142)) * ('MTD Pivot'!$D$2:$K$2=K$2) * 'MTD Pivot'!$D$3:$K$400), "")</f>
        <v/>
      </c>
      <c r="L142" s="193">
        <f>IF(SUMPRODUCT((('MTD Pivot'!$B$3:$B$400=$A$135) + ('MTD Pivot'!$A$3:$A$400=$A$135) &gt; 0) * (TRIM('MTD Pivot'!$C$3:$C$400)=TRIM($A142)) * ('MTD Pivot'!$D$2:$K$2=L$2) * 'MTD Pivot'!$D$3:$K$400)&gt;0, SUMPRODUCT((('MTD Pivot'!$B$3:$B$400=$A$135) + ('MTD Pivot'!$A$3:$A$400=$A$135) &gt; 0) * (TRIM('MTD Pivot'!$C$3:$C$400)=TRIM($A142)) * ('MTD Pivot'!$D$2:$K$2=L$2) * 'MTD Pivot'!$D$3:$K$400), "")</f>
        <v/>
      </c>
      <c r="M142" s="193">
        <f>IF(SUMPRODUCT((('MTD Pivot'!$B$3:$B$400=$A$135) + ('MTD Pivot'!$A$3:$A$400=$A$135) &gt; 0) * (TRIM('MTD Pivot'!$C$3:$C$400)=TRIM($A142)) * ('MTD Pivot'!$D$2:$K$2=M$2) * 'MTD Pivot'!$D$3:$K$400)&gt;0, SUMPRODUCT((('MTD Pivot'!$B$3:$B$400=$A$135) + ('MTD Pivot'!$A$3:$A$400=$A$135) &gt; 0) * (TRIM('MTD Pivot'!$C$3:$C$400)=TRIM($A142)) * ('MTD Pivot'!$D$2:$K$2=M$2) * 'MTD Pivot'!$D$3:$K$400), "")</f>
        <v/>
      </c>
      <c r="N142" s="157">
        <f>IF(AND(ISNUMBER(K142), ISNUMBER(J142), J142&gt;0), (K142-J142)/J142, "")</f>
        <v/>
      </c>
      <c r="O142" s="193">
        <f>IF(SUMPRODUCT((('Full month Pivot'!$B$3:$B$400=$A$135) + ('Full month Pivot'!$A$3:$A$400=$A$135) &gt; 0) * (TRIM('Full month Pivot'!$C$3:$C$400)=TRIM($A142)) * ('Full month Pivot'!$D$2:$K$2=O$2) * 'Full month Pivot'!$D$3:$K$400)&gt;0, SUMPRODUCT((('Full month Pivot'!$B$3:$B$400=$A$135) + ('Full month Pivot'!$A$3:$A$400=$A$135) &gt; 0) * (TRIM('Full month Pivot'!$C$3:$C$400)=TRIM($A142)) * ('Full month Pivot'!$D$2:$K$2=O$2) * 'Full month Pivot'!$D$3:$K$400), "")</f>
        <v/>
      </c>
      <c r="P142" s="193">
        <f>IF(SUMPRODUCT((('Full month Pivot'!$B$3:$B$400=$A$135) + ('Full month Pivot'!$A$3:$A$400=$A$135) &gt; 0) * (TRIM('Full month Pivot'!$C$3:$C$400)=TRIM($A142)) * ('Full month Pivot'!$D$2:$K$2=P$2) * 'Full month Pivot'!$D$3:$K$400)&gt;0, SUMPRODUCT((('Full month Pivot'!$B$3:$B$400=$A$135) + ('Full month Pivot'!$A$3:$A$400=$A$135) &gt; 0) * (TRIM('Full month Pivot'!$C$3:$C$400)=TRIM($A142)) * ('Full month Pivot'!$D$2:$K$2=P$2) * 'Full month Pivot'!$D$3:$K$400), "")</f>
        <v/>
      </c>
      <c r="Q142" s="193">
        <f>IF(SUMPRODUCT((('Full month Pivot'!$B$3:$B$400=$A$135) + ('Full month Pivot'!$A$3:$A$400=$A$135) &gt; 0) * (TRIM('Full month Pivot'!$C$3:$C$400)=TRIM($A142)) * ('Full month Pivot'!$D$2:$K$2=Q$2) * 'Full month Pivot'!$D$3:$K$400)&gt;0, SUMPRODUCT((('Full month Pivot'!$B$3:$B$400=$A$135) + ('Full month Pivot'!$A$3:$A$400=$A$135) &gt; 0) * (TRIM('Full month Pivot'!$C$3:$C$400)=TRIM($A142)) * ('Full month Pivot'!$D$2:$K$2=Q$2) * 'Full month Pivot'!$D$3:$K$400), "")</f>
        <v/>
      </c>
      <c r="R142" s="193">
        <f>IF(SUMPRODUCT((('Full month Pivot'!$B$3:$B$400=$A$135) + ('Full month Pivot'!$A$3:$A$400=$A$135) &gt; 0) * (TRIM('Full month Pivot'!$C$3:$C$400)=TRIM($A142)) * ('Full month Pivot'!$D$2:$K$2=R$2) * 'Full month Pivot'!$D$3:$K$400)&gt;0, SUMPRODUCT((('Full month Pivot'!$B$3:$B$400=$A$135) + ('Full month Pivot'!$A$3:$A$400=$A$135) &gt; 0) * (TRIM('Full month Pivot'!$C$3:$C$400)=TRIM($A142)) * ('Full month Pivot'!$D$2:$K$2=R$2) * 'Full month Pivot'!$D$3:$K$400), "")</f>
        <v/>
      </c>
      <c r="S142" s="193">
        <f>IF(SUMPRODUCT((('Full month Pivot'!$B$3:$B$400=$A$135) + ('Full month Pivot'!$A$3:$A$400=$A$135) &gt; 0) * (TRIM('Full month Pivot'!$C$3:$C$400)=TRIM($A142)) * ('Full month Pivot'!$D$2:$K$2=S$2) * 'Full month Pivot'!$D$3:$K$400)&gt;0, SUMPRODUCT((('Full month Pivot'!$B$3:$B$400=$A$135) + ('Full month Pivot'!$A$3:$A$400=$A$135) &gt; 0) * (TRIM('Full month Pivot'!$C$3:$C$400)=TRIM($A142)) * ('Full month Pivot'!$D$2:$K$2=S$2) * 'Full month Pivot'!$D$3:$K$400), "")</f>
        <v/>
      </c>
      <c r="T142" s="193">
        <f>IF(SUMPRODUCT((('Full month Pivot'!$B$3:$B$400=$A$135) + ('Full month Pivot'!$A$3:$A$400=$A$135) &gt; 0) * (TRIM('Full month Pivot'!$C$3:$C$400)=TRIM($A142)) * ('Full month Pivot'!$D$2:$K$2=T$2) * 'Full month Pivot'!$D$3:$K$400)&gt;0, SUMPRODUCT((('Full month Pivot'!$B$3:$B$400=$A$135) + ('Full month Pivot'!$A$3:$A$400=$A$135) &gt; 0) * (TRIM('Full month Pivot'!$C$3:$C$400)=TRIM($A142)) * ('Full month Pivot'!$D$2:$K$2=T$2) * 'Full month Pivot'!$D$3:$K$400), "")</f>
        <v/>
      </c>
      <c r="U142" s="193">
        <f>IF(SUMPRODUCT((('Full month Pivot'!$B$3:$B$400=$A$135) + ('Full month Pivot'!$A$3:$A$400=$A$135) &gt; 0) * (TRIM('Full month Pivot'!$C$3:$C$400)=TRIM($A142)) * ('Full month Pivot'!$D$2:$K$2=U$2) * 'Full month Pivot'!$D$3:$K$400)&gt;0, SUMPRODUCT((('Full month Pivot'!$B$3:$B$400=$A$135) + ('Full month Pivot'!$A$3:$A$400=$A$135) &gt; 0) * (TRIM('Full month Pivot'!$C$3:$C$400)=TRIM($A142)) * ('Full month Pivot'!$D$2:$K$2=U$2) * 'Full month Pivot'!$D$3:$K$400), "")</f>
        <v/>
      </c>
      <c r="V142" s="193">
        <f>IF(SUMPRODUCT((('Full month Pivot'!$B$3:$B$400=$A$135) + ('Full month Pivot'!$A$3:$A$400=$A$135) &gt; 0) * (TRIM('Full month Pivot'!$C$3:$C$400)=TRIM($A142)) * ('Full month Pivot'!$D$2:$K$2=V$2) * 'Full month Pivot'!$D$3:$K$400)&gt;0, SUMPRODUCT((('Full month Pivot'!$B$3:$B$400=$A$135) + ('Full month Pivot'!$A$3:$A$400=$A$135) &gt; 0) * (TRIM('Full month Pivot'!$C$3:$C$400)=TRIM($A142)) * ('Full month Pivot'!$D$2:$K$2=V$2) * 'Full month Pivot'!$D$3:$K$400), "")</f>
        <v/>
      </c>
      <c r="W142" s="193">
        <f>IF(SUMPRODUCT((('Full month Pivot'!$B$3:$B$400=$A$135) + ('Full month Pivot'!$A$3:$A$400=$A$135) &gt; 0) * (TRIM('Full month Pivot'!$C$3:$C$400)=TRIM($A142)) * ('Full month Pivot'!$D$2:$K$2=W$2) * 'Full month Pivot'!$D$3:$K$400)&gt;0, SUMPRODUCT((('Full month Pivot'!$B$3:$B$400=$A$135) + ('Full month Pivot'!$A$3:$A$400=$A$135) &gt; 0) * (TRIM('Full month Pivot'!$C$3:$C$400)=TRIM($A142)) * ('Full month Pivot'!$D$2:$K$2=W$2) * 'Full month Pivot'!$D$3:$K$400), "")</f>
        <v/>
      </c>
      <c r="X142" s="193">
        <f>IF(SUMPRODUCT((('Full month Pivot'!$B$3:$B$400=$A$135) + ('Full month Pivot'!$A$3:$A$400=$A$135) &gt; 0) * (TRIM('Full month Pivot'!$C$3:$C$400)=TRIM($A142)) * ('Full month Pivot'!$D$2:$K$2=X$2) * 'Full month Pivot'!$D$3:$K$400)&gt;0, SUMPRODUCT((('Full month Pivot'!$B$3:$B$400=$A$135) + ('Full month Pivot'!$A$3:$A$400=$A$135) &gt; 0) * (TRIM('Full month Pivot'!$C$3:$C$400)=TRIM($A142)) * ('Full month Pivot'!$D$2:$K$2=X$2) * 'Full month Pivot'!$D$3:$K$400), "")</f>
        <v/>
      </c>
      <c r="Y142" s="193">
        <f>IF(SUMPRODUCT((('Full month Pivot'!$B$3:$B$400=$A$135) + ('Full month Pivot'!$A$3:$A$400=$A$135) &gt; 0) * (TRIM('Full month Pivot'!$C$3:$C$400)=TRIM($A142)) * ('Full month Pivot'!$D$2:$K$2=Y$2) * 'Full month Pivot'!$D$3:$K$400)&gt;0, SUMPRODUCT((('Full month Pivot'!$B$3:$B$400=$A$135) + ('Full month Pivot'!$A$3:$A$400=$A$135) &gt; 0) * (TRIM('Full month Pivot'!$C$3:$C$400)=TRIM($A142)) * ('Full month Pivot'!$D$2:$K$2=Y$2) * 'Full month Pivot'!$D$3:$K$400), "")</f>
        <v/>
      </c>
      <c r="Z142" s="193">
        <f>IF(SUMPRODUCT((('Full month Pivot'!$B$3:$B$400=$A$135) + ('Full month Pivot'!$A$3:$A$400=$A$135) &gt; 0) * (TRIM('Full month Pivot'!$C$3:$C$400)=TRIM($A142)) * ('Full month Pivot'!$D$2:$K$2=Z$2) * 'Full month Pivot'!$D$3:$K$400)&gt;0, SUMPRODUCT((('Full month Pivot'!$B$3:$B$400=$A$135) + ('Full month Pivot'!$A$3:$A$400=$A$135) &gt; 0) * (TRIM('Full month Pivot'!$C$3:$C$400)=TRIM($A142)) * ('Full month Pivot'!$D$2:$K$2=Z$2) * 'Full month Pivot'!$D$3:$K$400), "")</f>
        <v/>
      </c>
      <c r="AA142" s="157">
        <f>IF(AND(ISNUMBER(X142), ISNUMBER(W142), W142&gt;0), (X142-W142)/W142, "")</f>
        <v/>
      </c>
      <c r="AB142" s="140" t="n"/>
      <c r="AC142" s="140" t="n"/>
      <c r="AD142" s="140" t="n"/>
    </row>
    <row r="143" ht="15.75" customHeight="1" s="346">
      <c r="A143" s="202" t="inlineStr">
        <is>
          <t xml:space="preserve">  Direct</t>
        </is>
      </c>
      <c r="B143" s="193">
        <f>IF(SUMPRODUCT((('MTD Pivot'!$B$3:$B$400=$A$135) + ('MTD Pivot'!$A$3:$A$400=$A$135) &gt; 0) * (TRIM('MTD Pivot'!$C$3:$C$400)=TRIM($A143)) * ('MTD Pivot'!$D$2:$K$2=B$2) * 'MTD Pivot'!$D$3:$K$400)&gt;0, SUMPRODUCT((('MTD Pivot'!$B$3:$B$400=$A$135) + ('MTD Pivot'!$A$3:$A$400=$A$135) &gt; 0) * (TRIM('MTD Pivot'!$C$3:$C$400)=TRIM($A143)) * ('MTD Pivot'!$D$2:$K$2=B$2) * 'MTD Pivot'!$D$3:$K$400), "")</f>
        <v/>
      </c>
      <c r="C143" s="193">
        <f>IF(SUMPRODUCT((('MTD Pivot'!$B$3:$B$400=$A$135) + ('MTD Pivot'!$A$3:$A$400=$A$135) &gt; 0) * (TRIM('MTD Pivot'!$C$3:$C$400)=TRIM($A143)) * ('MTD Pivot'!$D$2:$K$2=C$2) * 'MTD Pivot'!$D$3:$K$400)&gt;0, SUMPRODUCT((('MTD Pivot'!$B$3:$B$400=$A$135) + ('MTD Pivot'!$A$3:$A$400=$A$135) &gt; 0) * (TRIM('MTD Pivot'!$C$3:$C$400)=TRIM($A143)) * ('MTD Pivot'!$D$2:$K$2=C$2) * 'MTD Pivot'!$D$3:$K$400), "")</f>
        <v/>
      </c>
      <c r="D143" s="193">
        <f>IF(SUMPRODUCT((('MTD Pivot'!$B$3:$B$400=$A$135) + ('MTD Pivot'!$A$3:$A$400=$A$135) &gt; 0) * (TRIM('MTD Pivot'!$C$3:$C$400)=TRIM($A143)) * ('MTD Pivot'!$D$2:$K$2=D$2) * 'MTD Pivot'!$D$3:$K$400)&gt;0, SUMPRODUCT((('MTD Pivot'!$B$3:$B$400=$A$135) + ('MTD Pivot'!$A$3:$A$400=$A$135) &gt; 0) * (TRIM('MTD Pivot'!$C$3:$C$400)=TRIM($A143)) * ('MTD Pivot'!$D$2:$K$2=D$2) * 'MTD Pivot'!$D$3:$K$400), "")</f>
        <v/>
      </c>
      <c r="E143" s="193">
        <f>IF(SUMPRODUCT((('MTD Pivot'!$B$3:$B$400=$A$135) + ('MTD Pivot'!$A$3:$A$400=$A$135) &gt; 0) * (TRIM('MTD Pivot'!$C$3:$C$400)=TRIM($A143)) * ('MTD Pivot'!$D$2:$K$2=E$2) * 'MTD Pivot'!$D$3:$K$400)&gt;0, SUMPRODUCT((('MTD Pivot'!$B$3:$B$400=$A$135) + ('MTD Pivot'!$A$3:$A$400=$A$135) &gt; 0) * (TRIM('MTD Pivot'!$C$3:$C$400)=TRIM($A143)) * ('MTD Pivot'!$D$2:$K$2=E$2) * 'MTD Pivot'!$D$3:$K$400), "")</f>
        <v/>
      </c>
      <c r="F143" s="193">
        <f>IF(SUMPRODUCT((('MTD Pivot'!$B$3:$B$400=$A$135) + ('MTD Pivot'!$A$3:$A$400=$A$135) &gt; 0) * (TRIM('MTD Pivot'!$C$3:$C$400)=TRIM($A143)) * ('MTD Pivot'!$D$2:$K$2=F$2) * 'MTD Pivot'!$D$3:$K$400)&gt;0, SUMPRODUCT((('MTD Pivot'!$B$3:$B$400=$A$135) + ('MTD Pivot'!$A$3:$A$400=$A$135) &gt; 0) * (TRIM('MTD Pivot'!$C$3:$C$400)=TRIM($A143)) * ('MTD Pivot'!$D$2:$K$2=F$2) * 'MTD Pivot'!$D$3:$K$400), "")</f>
        <v/>
      </c>
      <c r="G143" s="193">
        <f>IF(SUMPRODUCT((('MTD Pivot'!$B$3:$B$400=$A$135) + ('MTD Pivot'!$A$3:$A$400=$A$135) &gt; 0) * (TRIM('MTD Pivot'!$C$3:$C$400)=TRIM($A143)) * ('MTD Pivot'!$D$2:$K$2=G$2) * 'MTD Pivot'!$D$3:$K$400)&gt;0, SUMPRODUCT((('MTD Pivot'!$B$3:$B$400=$A$135) + ('MTD Pivot'!$A$3:$A$400=$A$135) &gt; 0) * (TRIM('MTD Pivot'!$C$3:$C$400)=TRIM($A143)) * ('MTD Pivot'!$D$2:$K$2=G$2) * 'MTD Pivot'!$D$3:$K$400), "")</f>
        <v/>
      </c>
      <c r="H143" s="193">
        <f>IF(SUMPRODUCT((('MTD Pivot'!$B$3:$B$400=$A$135) + ('MTD Pivot'!$A$3:$A$400=$A$135) &gt; 0) * (TRIM('MTD Pivot'!$C$3:$C$400)=TRIM($A143)) * ('MTD Pivot'!$D$2:$K$2=H$2) * 'MTD Pivot'!$D$3:$K$400)&gt;0, SUMPRODUCT((('MTD Pivot'!$B$3:$B$400=$A$135) + ('MTD Pivot'!$A$3:$A$400=$A$135) &gt; 0) * (TRIM('MTD Pivot'!$C$3:$C$400)=TRIM($A143)) * ('MTD Pivot'!$D$2:$K$2=H$2) * 'MTD Pivot'!$D$3:$K$400), "")</f>
        <v/>
      </c>
      <c r="I143" s="193">
        <f>IF(SUMPRODUCT((('MTD Pivot'!$B$3:$B$400=$A$135) + ('MTD Pivot'!$A$3:$A$400=$A$135) &gt; 0) * (TRIM('MTD Pivot'!$C$3:$C$400)=TRIM($A143)) * ('MTD Pivot'!$D$2:$K$2=I$2) * 'MTD Pivot'!$D$3:$K$400)&gt;0, SUMPRODUCT((('MTD Pivot'!$B$3:$B$400=$A$135) + ('MTD Pivot'!$A$3:$A$400=$A$135) &gt; 0) * (TRIM('MTD Pivot'!$C$3:$C$400)=TRIM($A143)) * ('MTD Pivot'!$D$2:$K$2=I$2) * 'MTD Pivot'!$D$3:$K$400), "")</f>
        <v/>
      </c>
      <c r="J143" s="193">
        <f>IF(SUMPRODUCT((('MTD Pivot'!$B$3:$B$400=$A$135) + ('MTD Pivot'!$A$3:$A$400=$A$135) &gt; 0) * (TRIM('MTD Pivot'!$C$3:$C$400)=TRIM($A143)) * ('MTD Pivot'!$D$2:$K$2=J$2) * 'MTD Pivot'!$D$3:$K$400)&gt;0, SUMPRODUCT((('MTD Pivot'!$B$3:$B$400=$A$135) + ('MTD Pivot'!$A$3:$A$400=$A$135) &gt; 0) * (TRIM('MTD Pivot'!$C$3:$C$400)=TRIM($A143)) * ('MTD Pivot'!$D$2:$K$2=J$2) * 'MTD Pivot'!$D$3:$K$400), "")</f>
        <v/>
      </c>
      <c r="K143" s="193">
        <f>IF(SUMPRODUCT((('MTD Pivot'!$B$3:$B$400=$A$135) + ('MTD Pivot'!$A$3:$A$400=$A$135) &gt; 0) * (TRIM('MTD Pivot'!$C$3:$C$400)=TRIM($A143)) * ('MTD Pivot'!$D$2:$K$2=K$2) * 'MTD Pivot'!$D$3:$K$400)&gt;0, SUMPRODUCT((('MTD Pivot'!$B$3:$B$400=$A$135) + ('MTD Pivot'!$A$3:$A$400=$A$135) &gt; 0) * (TRIM('MTD Pivot'!$C$3:$C$400)=TRIM($A143)) * ('MTD Pivot'!$D$2:$K$2=K$2) * 'MTD Pivot'!$D$3:$K$400), "")</f>
        <v/>
      </c>
      <c r="L143" s="193">
        <f>IF(SUMPRODUCT((('MTD Pivot'!$B$3:$B$400=$A$135) + ('MTD Pivot'!$A$3:$A$400=$A$135) &gt; 0) * (TRIM('MTD Pivot'!$C$3:$C$400)=TRIM($A143)) * ('MTD Pivot'!$D$2:$K$2=L$2) * 'MTD Pivot'!$D$3:$K$400)&gt;0, SUMPRODUCT((('MTD Pivot'!$B$3:$B$400=$A$135) + ('MTD Pivot'!$A$3:$A$400=$A$135) &gt; 0) * (TRIM('MTD Pivot'!$C$3:$C$400)=TRIM($A143)) * ('MTD Pivot'!$D$2:$K$2=L$2) * 'MTD Pivot'!$D$3:$K$400), "")</f>
        <v/>
      </c>
      <c r="M143" s="193">
        <f>IF(SUMPRODUCT((('MTD Pivot'!$B$3:$B$400=$A$135) + ('MTD Pivot'!$A$3:$A$400=$A$135) &gt; 0) * (TRIM('MTD Pivot'!$C$3:$C$400)=TRIM($A143)) * ('MTD Pivot'!$D$2:$K$2=M$2) * 'MTD Pivot'!$D$3:$K$400)&gt;0, SUMPRODUCT((('MTD Pivot'!$B$3:$B$400=$A$135) + ('MTD Pivot'!$A$3:$A$400=$A$135) &gt; 0) * (TRIM('MTD Pivot'!$C$3:$C$400)=TRIM($A143)) * ('MTD Pivot'!$D$2:$K$2=M$2) * 'MTD Pivot'!$D$3:$K$400), "")</f>
        <v/>
      </c>
      <c r="N143" s="157">
        <f>IF(AND(ISNUMBER(K143), ISNUMBER(J143), J143&gt;0), (K143-J143)/J143, "")</f>
        <v/>
      </c>
      <c r="O143" s="193">
        <f>IF(SUMPRODUCT((('Full month Pivot'!$B$3:$B$400=$A$135) + ('Full month Pivot'!$A$3:$A$400=$A$135) &gt; 0) * (TRIM('Full month Pivot'!$C$3:$C$400)=TRIM($A143)) * ('Full month Pivot'!$D$2:$K$2=O$2) * 'Full month Pivot'!$D$3:$K$400)&gt;0, SUMPRODUCT((('Full month Pivot'!$B$3:$B$400=$A$135) + ('Full month Pivot'!$A$3:$A$400=$A$135) &gt; 0) * (TRIM('Full month Pivot'!$C$3:$C$400)=TRIM($A143)) * ('Full month Pivot'!$D$2:$K$2=O$2) * 'Full month Pivot'!$D$3:$K$400), "")</f>
        <v/>
      </c>
      <c r="P143" s="193">
        <f>IF(SUMPRODUCT((('Full month Pivot'!$B$3:$B$400=$A$135) + ('Full month Pivot'!$A$3:$A$400=$A$135) &gt; 0) * (TRIM('Full month Pivot'!$C$3:$C$400)=TRIM($A143)) * ('Full month Pivot'!$D$2:$K$2=P$2) * 'Full month Pivot'!$D$3:$K$400)&gt;0, SUMPRODUCT((('Full month Pivot'!$B$3:$B$400=$A$135) + ('Full month Pivot'!$A$3:$A$400=$A$135) &gt; 0) * (TRIM('Full month Pivot'!$C$3:$C$400)=TRIM($A143)) * ('Full month Pivot'!$D$2:$K$2=P$2) * 'Full month Pivot'!$D$3:$K$400), "")</f>
        <v/>
      </c>
      <c r="Q143" s="193">
        <f>IF(SUMPRODUCT((('Full month Pivot'!$B$3:$B$400=$A$135) + ('Full month Pivot'!$A$3:$A$400=$A$135) &gt; 0) * (TRIM('Full month Pivot'!$C$3:$C$400)=TRIM($A143)) * ('Full month Pivot'!$D$2:$K$2=Q$2) * 'Full month Pivot'!$D$3:$K$400)&gt;0, SUMPRODUCT((('Full month Pivot'!$B$3:$B$400=$A$135) + ('Full month Pivot'!$A$3:$A$400=$A$135) &gt; 0) * (TRIM('Full month Pivot'!$C$3:$C$400)=TRIM($A143)) * ('Full month Pivot'!$D$2:$K$2=Q$2) * 'Full month Pivot'!$D$3:$K$400), "")</f>
        <v/>
      </c>
      <c r="R143" s="193">
        <f>IF(SUMPRODUCT((('Full month Pivot'!$B$3:$B$400=$A$135) + ('Full month Pivot'!$A$3:$A$400=$A$135) &gt; 0) * (TRIM('Full month Pivot'!$C$3:$C$400)=TRIM($A143)) * ('Full month Pivot'!$D$2:$K$2=R$2) * 'Full month Pivot'!$D$3:$K$400)&gt;0, SUMPRODUCT((('Full month Pivot'!$B$3:$B$400=$A$135) + ('Full month Pivot'!$A$3:$A$400=$A$135) &gt; 0) * (TRIM('Full month Pivot'!$C$3:$C$400)=TRIM($A143)) * ('Full month Pivot'!$D$2:$K$2=R$2) * 'Full month Pivot'!$D$3:$K$400), "")</f>
        <v/>
      </c>
      <c r="S143" s="193">
        <f>IF(SUMPRODUCT((('Full month Pivot'!$B$3:$B$400=$A$135) + ('Full month Pivot'!$A$3:$A$400=$A$135) &gt; 0) * (TRIM('Full month Pivot'!$C$3:$C$400)=TRIM($A143)) * ('Full month Pivot'!$D$2:$K$2=S$2) * 'Full month Pivot'!$D$3:$K$400)&gt;0, SUMPRODUCT((('Full month Pivot'!$B$3:$B$400=$A$135) + ('Full month Pivot'!$A$3:$A$400=$A$135) &gt; 0) * (TRIM('Full month Pivot'!$C$3:$C$400)=TRIM($A143)) * ('Full month Pivot'!$D$2:$K$2=S$2) * 'Full month Pivot'!$D$3:$K$400), "")</f>
        <v/>
      </c>
      <c r="T143" s="193">
        <f>IF(SUMPRODUCT((('Full month Pivot'!$B$3:$B$400=$A$135) + ('Full month Pivot'!$A$3:$A$400=$A$135) &gt; 0) * (TRIM('Full month Pivot'!$C$3:$C$400)=TRIM($A143)) * ('Full month Pivot'!$D$2:$K$2=T$2) * 'Full month Pivot'!$D$3:$K$400)&gt;0, SUMPRODUCT((('Full month Pivot'!$B$3:$B$400=$A$135) + ('Full month Pivot'!$A$3:$A$400=$A$135) &gt; 0) * (TRIM('Full month Pivot'!$C$3:$C$400)=TRIM($A143)) * ('Full month Pivot'!$D$2:$K$2=T$2) * 'Full month Pivot'!$D$3:$K$400), "")</f>
        <v/>
      </c>
      <c r="U143" s="193">
        <f>IF(SUMPRODUCT((('Full month Pivot'!$B$3:$B$400=$A$135) + ('Full month Pivot'!$A$3:$A$400=$A$135) &gt; 0) * (TRIM('Full month Pivot'!$C$3:$C$400)=TRIM($A143)) * ('Full month Pivot'!$D$2:$K$2=U$2) * 'Full month Pivot'!$D$3:$K$400)&gt;0, SUMPRODUCT((('Full month Pivot'!$B$3:$B$400=$A$135) + ('Full month Pivot'!$A$3:$A$400=$A$135) &gt; 0) * (TRIM('Full month Pivot'!$C$3:$C$400)=TRIM($A143)) * ('Full month Pivot'!$D$2:$K$2=U$2) * 'Full month Pivot'!$D$3:$K$400), "")</f>
        <v/>
      </c>
      <c r="V143" s="193">
        <f>IF(SUMPRODUCT((('Full month Pivot'!$B$3:$B$400=$A$135) + ('Full month Pivot'!$A$3:$A$400=$A$135) &gt; 0) * (TRIM('Full month Pivot'!$C$3:$C$400)=TRIM($A143)) * ('Full month Pivot'!$D$2:$K$2=V$2) * 'Full month Pivot'!$D$3:$K$400)&gt;0, SUMPRODUCT((('Full month Pivot'!$B$3:$B$400=$A$135) + ('Full month Pivot'!$A$3:$A$400=$A$135) &gt; 0) * (TRIM('Full month Pivot'!$C$3:$C$400)=TRIM($A143)) * ('Full month Pivot'!$D$2:$K$2=V$2) * 'Full month Pivot'!$D$3:$K$400), "")</f>
        <v/>
      </c>
      <c r="W143" s="193">
        <f>IF(SUMPRODUCT((('Full month Pivot'!$B$3:$B$400=$A$135) + ('Full month Pivot'!$A$3:$A$400=$A$135) &gt; 0) * (TRIM('Full month Pivot'!$C$3:$C$400)=TRIM($A143)) * ('Full month Pivot'!$D$2:$K$2=W$2) * 'Full month Pivot'!$D$3:$K$400)&gt;0, SUMPRODUCT((('Full month Pivot'!$B$3:$B$400=$A$135) + ('Full month Pivot'!$A$3:$A$400=$A$135) &gt; 0) * (TRIM('Full month Pivot'!$C$3:$C$400)=TRIM($A143)) * ('Full month Pivot'!$D$2:$K$2=W$2) * 'Full month Pivot'!$D$3:$K$400), "")</f>
        <v/>
      </c>
      <c r="X143" s="193">
        <f>IF(SUMPRODUCT((('Full month Pivot'!$B$3:$B$400=$A$135) + ('Full month Pivot'!$A$3:$A$400=$A$135) &gt; 0) * (TRIM('Full month Pivot'!$C$3:$C$400)=TRIM($A143)) * ('Full month Pivot'!$D$2:$K$2=X$2) * 'Full month Pivot'!$D$3:$K$400)&gt;0, SUMPRODUCT((('Full month Pivot'!$B$3:$B$400=$A$135) + ('Full month Pivot'!$A$3:$A$400=$A$135) &gt; 0) * (TRIM('Full month Pivot'!$C$3:$C$400)=TRIM($A143)) * ('Full month Pivot'!$D$2:$K$2=X$2) * 'Full month Pivot'!$D$3:$K$400), "")</f>
        <v/>
      </c>
      <c r="Y143" s="193">
        <f>IF(SUMPRODUCT((('Full month Pivot'!$B$3:$B$400=$A$135) + ('Full month Pivot'!$A$3:$A$400=$A$135) &gt; 0) * (TRIM('Full month Pivot'!$C$3:$C$400)=TRIM($A143)) * ('Full month Pivot'!$D$2:$K$2=Y$2) * 'Full month Pivot'!$D$3:$K$400)&gt;0, SUMPRODUCT((('Full month Pivot'!$B$3:$B$400=$A$135) + ('Full month Pivot'!$A$3:$A$400=$A$135) &gt; 0) * (TRIM('Full month Pivot'!$C$3:$C$400)=TRIM($A143)) * ('Full month Pivot'!$D$2:$K$2=Y$2) * 'Full month Pivot'!$D$3:$K$400), "")</f>
        <v/>
      </c>
      <c r="Z143" s="193">
        <f>IF(SUMPRODUCT((('Full month Pivot'!$B$3:$B$400=$A$135) + ('Full month Pivot'!$A$3:$A$400=$A$135) &gt; 0) * (TRIM('Full month Pivot'!$C$3:$C$400)=TRIM($A143)) * ('Full month Pivot'!$D$2:$K$2=Z$2) * 'Full month Pivot'!$D$3:$K$400)&gt;0, SUMPRODUCT((('Full month Pivot'!$B$3:$B$400=$A$135) + ('Full month Pivot'!$A$3:$A$400=$A$135) &gt; 0) * (TRIM('Full month Pivot'!$C$3:$C$400)=TRIM($A143)) * ('Full month Pivot'!$D$2:$K$2=Z$2) * 'Full month Pivot'!$D$3:$K$400), "")</f>
        <v/>
      </c>
      <c r="AA143" s="157">
        <f>IF(AND(ISNUMBER(X143), ISNUMBER(W143), W143&gt;0), (X143-W143)/W143, "")</f>
        <v/>
      </c>
      <c r="AB143" s="140" t="n"/>
      <c r="AC143" s="140" t="n"/>
      <c r="AD143" s="140" t="n"/>
    </row>
    <row r="144" ht="15.75" customHeight="1" s="346">
      <c r="A144" s="202" t="inlineStr">
        <is>
          <t xml:space="preserve">  Referral</t>
        </is>
      </c>
      <c r="B144" s="193">
        <f>IF(SUMPRODUCT((('MTD Pivot'!$B$3:$B$400=$A$135) + ('MTD Pivot'!$A$3:$A$400=$A$135) &gt; 0) * (TRIM('MTD Pivot'!$C$3:$C$400)=TRIM($A144)) * ('MTD Pivot'!$D$2:$K$2=B$2) * 'MTD Pivot'!$D$3:$K$400)&gt;0, SUMPRODUCT((('MTD Pivot'!$B$3:$B$400=$A$135) + ('MTD Pivot'!$A$3:$A$400=$A$135) &gt; 0) * (TRIM('MTD Pivot'!$C$3:$C$400)=TRIM($A144)) * ('MTD Pivot'!$D$2:$K$2=B$2) * 'MTD Pivot'!$D$3:$K$400), "")</f>
        <v/>
      </c>
      <c r="C144" s="193">
        <f>IF(SUMPRODUCT((('MTD Pivot'!$B$3:$B$400=$A$135) + ('MTD Pivot'!$A$3:$A$400=$A$135) &gt; 0) * (TRIM('MTD Pivot'!$C$3:$C$400)=TRIM($A144)) * ('MTD Pivot'!$D$2:$K$2=C$2) * 'MTD Pivot'!$D$3:$K$400)&gt;0, SUMPRODUCT((('MTD Pivot'!$B$3:$B$400=$A$135) + ('MTD Pivot'!$A$3:$A$400=$A$135) &gt; 0) * (TRIM('MTD Pivot'!$C$3:$C$400)=TRIM($A144)) * ('MTD Pivot'!$D$2:$K$2=C$2) * 'MTD Pivot'!$D$3:$K$400), "")</f>
        <v/>
      </c>
      <c r="D144" s="193">
        <f>IF(SUMPRODUCT((('MTD Pivot'!$B$3:$B$400=$A$135) + ('MTD Pivot'!$A$3:$A$400=$A$135) &gt; 0) * (TRIM('MTD Pivot'!$C$3:$C$400)=TRIM($A144)) * ('MTD Pivot'!$D$2:$K$2=D$2) * 'MTD Pivot'!$D$3:$K$400)&gt;0, SUMPRODUCT((('MTD Pivot'!$B$3:$B$400=$A$135) + ('MTD Pivot'!$A$3:$A$400=$A$135) &gt; 0) * (TRIM('MTD Pivot'!$C$3:$C$400)=TRIM($A144)) * ('MTD Pivot'!$D$2:$K$2=D$2) * 'MTD Pivot'!$D$3:$K$400), "")</f>
        <v/>
      </c>
      <c r="E144" s="193">
        <f>IF(SUMPRODUCT((('MTD Pivot'!$B$3:$B$400=$A$135) + ('MTD Pivot'!$A$3:$A$400=$A$135) &gt; 0) * (TRIM('MTD Pivot'!$C$3:$C$400)=TRIM($A144)) * ('MTD Pivot'!$D$2:$K$2=E$2) * 'MTD Pivot'!$D$3:$K$400)&gt;0, SUMPRODUCT((('MTD Pivot'!$B$3:$B$400=$A$135) + ('MTD Pivot'!$A$3:$A$400=$A$135) &gt; 0) * (TRIM('MTD Pivot'!$C$3:$C$400)=TRIM($A144)) * ('MTD Pivot'!$D$2:$K$2=E$2) * 'MTD Pivot'!$D$3:$K$400), "")</f>
        <v/>
      </c>
      <c r="F144" s="193">
        <f>IF(SUMPRODUCT((('MTD Pivot'!$B$3:$B$400=$A$135) + ('MTD Pivot'!$A$3:$A$400=$A$135) &gt; 0) * (TRIM('MTD Pivot'!$C$3:$C$400)=TRIM($A144)) * ('MTD Pivot'!$D$2:$K$2=F$2) * 'MTD Pivot'!$D$3:$K$400)&gt;0, SUMPRODUCT((('MTD Pivot'!$B$3:$B$400=$A$135) + ('MTD Pivot'!$A$3:$A$400=$A$135) &gt; 0) * (TRIM('MTD Pivot'!$C$3:$C$400)=TRIM($A144)) * ('MTD Pivot'!$D$2:$K$2=F$2) * 'MTD Pivot'!$D$3:$K$400), "")</f>
        <v/>
      </c>
      <c r="G144" s="193">
        <f>IF(SUMPRODUCT((('MTD Pivot'!$B$3:$B$400=$A$135) + ('MTD Pivot'!$A$3:$A$400=$A$135) &gt; 0) * (TRIM('MTD Pivot'!$C$3:$C$400)=TRIM($A144)) * ('MTD Pivot'!$D$2:$K$2=G$2) * 'MTD Pivot'!$D$3:$K$400)&gt;0, SUMPRODUCT((('MTD Pivot'!$B$3:$B$400=$A$135) + ('MTD Pivot'!$A$3:$A$400=$A$135) &gt; 0) * (TRIM('MTD Pivot'!$C$3:$C$400)=TRIM($A144)) * ('MTD Pivot'!$D$2:$K$2=G$2) * 'MTD Pivot'!$D$3:$K$400), "")</f>
        <v/>
      </c>
      <c r="H144" s="193">
        <f>IF(SUMPRODUCT((('MTD Pivot'!$B$3:$B$400=$A$135) + ('MTD Pivot'!$A$3:$A$400=$A$135) &gt; 0) * (TRIM('MTD Pivot'!$C$3:$C$400)=TRIM($A144)) * ('MTD Pivot'!$D$2:$K$2=H$2) * 'MTD Pivot'!$D$3:$K$400)&gt;0, SUMPRODUCT((('MTD Pivot'!$B$3:$B$400=$A$135) + ('MTD Pivot'!$A$3:$A$400=$A$135) &gt; 0) * (TRIM('MTD Pivot'!$C$3:$C$400)=TRIM($A144)) * ('MTD Pivot'!$D$2:$K$2=H$2) * 'MTD Pivot'!$D$3:$K$400), "")</f>
        <v/>
      </c>
      <c r="I144" s="193">
        <f>IF(SUMPRODUCT((('MTD Pivot'!$B$3:$B$400=$A$135) + ('MTD Pivot'!$A$3:$A$400=$A$135) &gt; 0) * (TRIM('MTD Pivot'!$C$3:$C$400)=TRIM($A144)) * ('MTD Pivot'!$D$2:$K$2=I$2) * 'MTD Pivot'!$D$3:$K$400)&gt;0, SUMPRODUCT((('MTD Pivot'!$B$3:$B$400=$A$135) + ('MTD Pivot'!$A$3:$A$400=$A$135) &gt; 0) * (TRIM('MTD Pivot'!$C$3:$C$400)=TRIM($A144)) * ('MTD Pivot'!$D$2:$K$2=I$2) * 'MTD Pivot'!$D$3:$K$400), "")</f>
        <v/>
      </c>
      <c r="J144" s="193">
        <f>IF(SUMPRODUCT((('MTD Pivot'!$B$3:$B$400=$A$135) + ('MTD Pivot'!$A$3:$A$400=$A$135) &gt; 0) * (TRIM('MTD Pivot'!$C$3:$C$400)=TRIM($A144)) * ('MTD Pivot'!$D$2:$K$2=J$2) * 'MTD Pivot'!$D$3:$K$400)&gt;0, SUMPRODUCT((('MTD Pivot'!$B$3:$B$400=$A$135) + ('MTD Pivot'!$A$3:$A$400=$A$135) &gt; 0) * (TRIM('MTD Pivot'!$C$3:$C$400)=TRIM($A144)) * ('MTD Pivot'!$D$2:$K$2=J$2) * 'MTD Pivot'!$D$3:$K$400), "")</f>
        <v/>
      </c>
      <c r="K144" s="193">
        <f>IF(SUMPRODUCT((('MTD Pivot'!$B$3:$B$400=$A$135) + ('MTD Pivot'!$A$3:$A$400=$A$135) &gt; 0) * (TRIM('MTD Pivot'!$C$3:$C$400)=TRIM($A144)) * ('MTD Pivot'!$D$2:$K$2=K$2) * 'MTD Pivot'!$D$3:$K$400)&gt;0, SUMPRODUCT((('MTD Pivot'!$B$3:$B$400=$A$135) + ('MTD Pivot'!$A$3:$A$400=$A$135) &gt; 0) * (TRIM('MTD Pivot'!$C$3:$C$400)=TRIM($A144)) * ('MTD Pivot'!$D$2:$K$2=K$2) * 'MTD Pivot'!$D$3:$K$400), "")</f>
        <v/>
      </c>
      <c r="L144" s="193">
        <f>IF(SUMPRODUCT((('MTD Pivot'!$B$3:$B$400=$A$135) + ('MTD Pivot'!$A$3:$A$400=$A$135) &gt; 0) * (TRIM('MTD Pivot'!$C$3:$C$400)=TRIM($A144)) * ('MTD Pivot'!$D$2:$K$2=L$2) * 'MTD Pivot'!$D$3:$K$400)&gt;0, SUMPRODUCT((('MTD Pivot'!$B$3:$B$400=$A$135) + ('MTD Pivot'!$A$3:$A$400=$A$135) &gt; 0) * (TRIM('MTD Pivot'!$C$3:$C$400)=TRIM($A144)) * ('MTD Pivot'!$D$2:$K$2=L$2) * 'MTD Pivot'!$D$3:$K$400), "")</f>
        <v/>
      </c>
      <c r="M144" s="193">
        <f>IF(SUMPRODUCT((('MTD Pivot'!$B$3:$B$400=$A$135) + ('MTD Pivot'!$A$3:$A$400=$A$135) &gt; 0) * (TRIM('MTD Pivot'!$C$3:$C$400)=TRIM($A144)) * ('MTD Pivot'!$D$2:$K$2=M$2) * 'MTD Pivot'!$D$3:$K$400)&gt;0, SUMPRODUCT((('MTD Pivot'!$B$3:$B$400=$A$135) + ('MTD Pivot'!$A$3:$A$400=$A$135) &gt; 0) * (TRIM('MTD Pivot'!$C$3:$C$400)=TRIM($A144)) * ('MTD Pivot'!$D$2:$K$2=M$2) * 'MTD Pivot'!$D$3:$K$400), "")</f>
        <v/>
      </c>
      <c r="N144" s="157">
        <f>IF(AND(ISNUMBER(K144), ISNUMBER(J144), J144&gt;0), (K144-J144)/J144, "")</f>
        <v/>
      </c>
      <c r="O144" s="193">
        <f>IF(SUMPRODUCT((('Full month Pivot'!$B$3:$B$400=$A$135) + ('Full month Pivot'!$A$3:$A$400=$A$135) &gt; 0) * (TRIM('Full month Pivot'!$C$3:$C$400)=TRIM($A144)) * ('Full month Pivot'!$D$2:$K$2=O$2) * 'Full month Pivot'!$D$3:$K$400)&gt;0, SUMPRODUCT((('Full month Pivot'!$B$3:$B$400=$A$135) + ('Full month Pivot'!$A$3:$A$400=$A$135) &gt; 0) * (TRIM('Full month Pivot'!$C$3:$C$400)=TRIM($A144)) * ('Full month Pivot'!$D$2:$K$2=O$2) * 'Full month Pivot'!$D$3:$K$400), "")</f>
        <v/>
      </c>
      <c r="P144" s="193">
        <f>IF(SUMPRODUCT((('Full month Pivot'!$B$3:$B$400=$A$135) + ('Full month Pivot'!$A$3:$A$400=$A$135) &gt; 0) * (TRIM('Full month Pivot'!$C$3:$C$400)=TRIM($A144)) * ('Full month Pivot'!$D$2:$K$2=P$2) * 'Full month Pivot'!$D$3:$K$400)&gt;0, SUMPRODUCT((('Full month Pivot'!$B$3:$B$400=$A$135) + ('Full month Pivot'!$A$3:$A$400=$A$135) &gt; 0) * (TRIM('Full month Pivot'!$C$3:$C$400)=TRIM($A144)) * ('Full month Pivot'!$D$2:$K$2=P$2) * 'Full month Pivot'!$D$3:$K$400), "")</f>
        <v/>
      </c>
      <c r="Q144" s="193">
        <f>IF(SUMPRODUCT((('Full month Pivot'!$B$3:$B$400=$A$135) + ('Full month Pivot'!$A$3:$A$400=$A$135) &gt; 0) * (TRIM('Full month Pivot'!$C$3:$C$400)=TRIM($A144)) * ('Full month Pivot'!$D$2:$K$2=Q$2) * 'Full month Pivot'!$D$3:$K$400)&gt;0, SUMPRODUCT((('Full month Pivot'!$B$3:$B$400=$A$135) + ('Full month Pivot'!$A$3:$A$400=$A$135) &gt; 0) * (TRIM('Full month Pivot'!$C$3:$C$400)=TRIM($A144)) * ('Full month Pivot'!$D$2:$K$2=Q$2) * 'Full month Pivot'!$D$3:$K$400), "")</f>
        <v/>
      </c>
      <c r="R144" s="193">
        <f>IF(SUMPRODUCT((('Full month Pivot'!$B$3:$B$400=$A$135) + ('Full month Pivot'!$A$3:$A$400=$A$135) &gt; 0) * (TRIM('Full month Pivot'!$C$3:$C$400)=TRIM($A144)) * ('Full month Pivot'!$D$2:$K$2=R$2) * 'Full month Pivot'!$D$3:$K$400)&gt;0, SUMPRODUCT((('Full month Pivot'!$B$3:$B$400=$A$135) + ('Full month Pivot'!$A$3:$A$400=$A$135) &gt; 0) * (TRIM('Full month Pivot'!$C$3:$C$400)=TRIM($A144)) * ('Full month Pivot'!$D$2:$K$2=R$2) * 'Full month Pivot'!$D$3:$K$400), "")</f>
        <v/>
      </c>
      <c r="S144" s="193">
        <f>IF(SUMPRODUCT((('Full month Pivot'!$B$3:$B$400=$A$135) + ('Full month Pivot'!$A$3:$A$400=$A$135) &gt; 0) * (TRIM('Full month Pivot'!$C$3:$C$400)=TRIM($A144)) * ('Full month Pivot'!$D$2:$K$2=S$2) * 'Full month Pivot'!$D$3:$K$400)&gt;0, SUMPRODUCT((('Full month Pivot'!$B$3:$B$400=$A$135) + ('Full month Pivot'!$A$3:$A$400=$A$135) &gt; 0) * (TRIM('Full month Pivot'!$C$3:$C$400)=TRIM($A144)) * ('Full month Pivot'!$D$2:$K$2=S$2) * 'Full month Pivot'!$D$3:$K$400), "")</f>
        <v/>
      </c>
      <c r="T144" s="193">
        <f>IF(SUMPRODUCT((('Full month Pivot'!$B$3:$B$400=$A$135) + ('Full month Pivot'!$A$3:$A$400=$A$135) &gt; 0) * (TRIM('Full month Pivot'!$C$3:$C$400)=TRIM($A144)) * ('Full month Pivot'!$D$2:$K$2=T$2) * 'Full month Pivot'!$D$3:$K$400)&gt;0, SUMPRODUCT((('Full month Pivot'!$B$3:$B$400=$A$135) + ('Full month Pivot'!$A$3:$A$400=$A$135) &gt; 0) * (TRIM('Full month Pivot'!$C$3:$C$400)=TRIM($A144)) * ('Full month Pivot'!$D$2:$K$2=T$2) * 'Full month Pivot'!$D$3:$K$400), "")</f>
        <v/>
      </c>
      <c r="U144" s="193">
        <f>IF(SUMPRODUCT((('Full month Pivot'!$B$3:$B$400=$A$135) + ('Full month Pivot'!$A$3:$A$400=$A$135) &gt; 0) * (TRIM('Full month Pivot'!$C$3:$C$400)=TRIM($A144)) * ('Full month Pivot'!$D$2:$K$2=U$2) * 'Full month Pivot'!$D$3:$K$400)&gt;0, SUMPRODUCT((('Full month Pivot'!$B$3:$B$400=$A$135) + ('Full month Pivot'!$A$3:$A$400=$A$135) &gt; 0) * (TRIM('Full month Pivot'!$C$3:$C$400)=TRIM($A144)) * ('Full month Pivot'!$D$2:$K$2=U$2) * 'Full month Pivot'!$D$3:$K$400), "")</f>
        <v/>
      </c>
      <c r="V144" s="193">
        <f>IF(SUMPRODUCT((('Full month Pivot'!$B$3:$B$400=$A$135) + ('Full month Pivot'!$A$3:$A$400=$A$135) &gt; 0) * (TRIM('Full month Pivot'!$C$3:$C$400)=TRIM($A144)) * ('Full month Pivot'!$D$2:$K$2=V$2) * 'Full month Pivot'!$D$3:$K$400)&gt;0, SUMPRODUCT((('Full month Pivot'!$B$3:$B$400=$A$135) + ('Full month Pivot'!$A$3:$A$400=$A$135) &gt; 0) * (TRIM('Full month Pivot'!$C$3:$C$400)=TRIM($A144)) * ('Full month Pivot'!$D$2:$K$2=V$2) * 'Full month Pivot'!$D$3:$K$400), "")</f>
        <v/>
      </c>
      <c r="W144" s="193">
        <f>IF(SUMPRODUCT((('Full month Pivot'!$B$3:$B$400=$A$135) + ('Full month Pivot'!$A$3:$A$400=$A$135) &gt; 0) * (TRIM('Full month Pivot'!$C$3:$C$400)=TRIM($A144)) * ('Full month Pivot'!$D$2:$K$2=W$2) * 'Full month Pivot'!$D$3:$K$400)&gt;0, SUMPRODUCT((('Full month Pivot'!$B$3:$B$400=$A$135) + ('Full month Pivot'!$A$3:$A$400=$A$135) &gt; 0) * (TRIM('Full month Pivot'!$C$3:$C$400)=TRIM($A144)) * ('Full month Pivot'!$D$2:$K$2=W$2) * 'Full month Pivot'!$D$3:$K$400), "")</f>
        <v/>
      </c>
      <c r="X144" s="193">
        <f>IF(SUMPRODUCT((('Full month Pivot'!$B$3:$B$400=$A$135) + ('Full month Pivot'!$A$3:$A$400=$A$135) &gt; 0) * (TRIM('Full month Pivot'!$C$3:$C$400)=TRIM($A144)) * ('Full month Pivot'!$D$2:$K$2=X$2) * 'Full month Pivot'!$D$3:$K$400)&gt;0, SUMPRODUCT((('Full month Pivot'!$B$3:$B$400=$A$135) + ('Full month Pivot'!$A$3:$A$400=$A$135) &gt; 0) * (TRIM('Full month Pivot'!$C$3:$C$400)=TRIM($A144)) * ('Full month Pivot'!$D$2:$K$2=X$2) * 'Full month Pivot'!$D$3:$K$400), "")</f>
        <v/>
      </c>
      <c r="Y144" s="193">
        <f>IF(SUMPRODUCT((('Full month Pivot'!$B$3:$B$400=$A$135) + ('Full month Pivot'!$A$3:$A$400=$A$135) &gt; 0) * (TRIM('Full month Pivot'!$C$3:$C$400)=TRIM($A144)) * ('Full month Pivot'!$D$2:$K$2=Y$2) * 'Full month Pivot'!$D$3:$K$400)&gt;0, SUMPRODUCT((('Full month Pivot'!$B$3:$B$400=$A$135) + ('Full month Pivot'!$A$3:$A$400=$A$135) &gt; 0) * (TRIM('Full month Pivot'!$C$3:$C$400)=TRIM($A144)) * ('Full month Pivot'!$D$2:$K$2=Y$2) * 'Full month Pivot'!$D$3:$K$400), "")</f>
        <v/>
      </c>
      <c r="Z144" s="193">
        <f>IF(SUMPRODUCT((('Full month Pivot'!$B$3:$B$400=$A$135) + ('Full month Pivot'!$A$3:$A$400=$A$135) &gt; 0) * (TRIM('Full month Pivot'!$C$3:$C$400)=TRIM($A144)) * ('Full month Pivot'!$D$2:$K$2=Z$2) * 'Full month Pivot'!$D$3:$K$400)&gt;0, SUMPRODUCT((('Full month Pivot'!$B$3:$B$400=$A$135) + ('Full month Pivot'!$A$3:$A$400=$A$135) &gt; 0) * (TRIM('Full month Pivot'!$C$3:$C$400)=TRIM($A144)) * ('Full month Pivot'!$D$2:$K$2=Z$2) * 'Full month Pivot'!$D$3:$K$400), "")</f>
        <v/>
      </c>
      <c r="AA144" s="157">
        <f>IF(AND(ISNUMBER(X144), ISNUMBER(W144), W144&gt;0), (X144-W144)/W144, "")</f>
        <v/>
      </c>
      <c r="AB144" s="140" t="n"/>
      <c r="AC144" s="140" t="n"/>
      <c r="AD144" s="140" t="n"/>
    </row>
    <row r="145" ht="15.75" customHeight="1" s="346">
      <c r="A145" s="202" t="inlineStr">
        <is>
          <t xml:space="preserve">  Others</t>
        </is>
      </c>
      <c r="B145" s="193">
        <f>IF(SUMPRODUCT((('MTD Pivot'!$B$3:$B$400=$A$135) + ('MTD Pivot'!$A$3:$A$400=$A$135) &gt; 0) * (TRIM('MTD Pivot'!$C$3:$C$400)=TRIM($A145)) * ('MTD Pivot'!$D$2:$K$2=B$2) * 'MTD Pivot'!$D$3:$K$400)&gt;0, SUMPRODUCT((('MTD Pivot'!$B$3:$B$400=$A$135) + ('MTD Pivot'!$A$3:$A$400=$A$135) &gt; 0) * (TRIM('MTD Pivot'!$C$3:$C$400)=TRIM($A145)) * ('MTD Pivot'!$D$2:$K$2=B$2) * 'MTD Pivot'!$D$3:$K$400), "")</f>
        <v/>
      </c>
      <c r="C145" s="193">
        <f>IF(SUMPRODUCT((('MTD Pivot'!$B$3:$B$400=$A$135) + ('MTD Pivot'!$A$3:$A$400=$A$135) &gt; 0) * (TRIM('MTD Pivot'!$C$3:$C$400)=TRIM($A145)) * ('MTD Pivot'!$D$2:$K$2=C$2) * 'MTD Pivot'!$D$3:$K$400)&gt;0, SUMPRODUCT((('MTD Pivot'!$B$3:$B$400=$A$135) + ('MTD Pivot'!$A$3:$A$400=$A$135) &gt; 0) * (TRIM('MTD Pivot'!$C$3:$C$400)=TRIM($A145)) * ('MTD Pivot'!$D$2:$K$2=C$2) * 'MTD Pivot'!$D$3:$K$400), "")</f>
        <v/>
      </c>
      <c r="D145" s="193">
        <f>IF(SUMPRODUCT((('MTD Pivot'!$B$3:$B$400=$A$135) + ('MTD Pivot'!$A$3:$A$400=$A$135) &gt; 0) * (TRIM('MTD Pivot'!$C$3:$C$400)=TRIM($A145)) * ('MTD Pivot'!$D$2:$K$2=D$2) * 'MTD Pivot'!$D$3:$K$400)&gt;0, SUMPRODUCT((('MTD Pivot'!$B$3:$B$400=$A$135) + ('MTD Pivot'!$A$3:$A$400=$A$135) &gt; 0) * (TRIM('MTD Pivot'!$C$3:$C$400)=TRIM($A145)) * ('MTD Pivot'!$D$2:$K$2=D$2) * 'MTD Pivot'!$D$3:$K$400), "")</f>
        <v/>
      </c>
      <c r="E145" s="193">
        <f>IF(SUMPRODUCT((('MTD Pivot'!$B$3:$B$400=$A$135) + ('MTD Pivot'!$A$3:$A$400=$A$135) &gt; 0) * (TRIM('MTD Pivot'!$C$3:$C$400)=TRIM($A145)) * ('MTD Pivot'!$D$2:$K$2=E$2) * 'MTD Pivot'!$D$3:$K$400)&gt;0, SUMPRODUCT((('MTD Pivot'!$B$3:$B$400=$A$135) + ('MTD Pivot'!$A$3:$A$400=$A$135) &gt; 0) * (TRIM('MTD Pivot'!$C$3:$C$400)=TRIM($A145)) * ('MTD Pivot'!$D$2:$K$2=E$2) * 'MTD Pivot'!$D$3:$K$400), "")</f>
        <v/>
      </c>
      <c r="F145" s="193">
        <f>IF(SUMPRODUCT((('MTD Pivot'!$B$3:$B$400=$A$135) + ('MTD Pivot'!$A$3:$A$400=$A$135) &gt; 0) * (TRIM('MTD Pivot'!$C$3:$C$400)=TRIM($A145)) * ('MTD Pivot'!$D$2:$K$2=F$2) * 'MTD Pivot'!$D$3:$K$400)&gt;0, SUMPRODUCT((('MTD Pivot'!$B$3:$B$400=$A$135) + ('MTD Pivot'!$A$3:$A$400=$A$135) &gt; 0) * (TRIM('MTD Pivot'!$C$3:$C$400)=TRIM($A145)) * ('MTD Pivot'!$D$2:$K$2=F$2) * 'MTD Pivot'!$D$3:$K$400), "")</f>
        <v/>
      </c>
      <c r="G145" s="193">
        <f>IF(SUMPRODUCT((('MTD Pivot'!$B$3:$B$400=$A$135) + ('MTD Pivot'!$A$3:$A$400=$A$135) &gt; 0) * (TRIM('MTD Pivot'!$C$3:$C$400)=TRIM($A145)) * ('MTD Pivot'!$D$2:$K$2=G$2) * 'MTD Pivot'!$D$3:$K$400)&gt;0, SUMPRODUCT((('MTD Pivot'!$B$3:$B$400=$A$135) + ('MTD Pivot'!$A$3:$A$400=$A$135) &gt; 0) * (TRIM('MTD Pivot'!$C$3:$C$400)=TRIM($A145)) * ('MTD Pivot'!$D$2:$K$2=G$2) * 'MTD Pivot'!$D$3:$K$400), "")</f>
        <v/>
      </c>
      <c r="H145" s="193">
        <f>IF(SUMPRODUCT((('MTD Pivot'!$B$3:$B$400=$A$135) + ('MTD Pivot'!$A$3:$A$400=$A$135) &gt; 0) * (TRIM('MTD Pivot'!$C$3:$C$400)=TRIM($A145)) * ('MTD Pivot'!$D$2:$K$2=H$2) * 'MTD Pivot'!$D$3:$K$400)&gt;0, SUMPRODUCT((('MTD Pivot'!$B$3:$B$400=$A$135) + ('MTD Pivot'!$A$3:$A$400=$A$135) &gt; 0) * (TRIM('MTD Pivot'!$C$3:$C$400)=TRIM($A145)) * ('MTD Pivot'!$D$2:$K$2=H$2) * 'MTD Pivot'!$D$3:$K$400), "")</f>
        <v/>
      </c>
      <c r="I145" s="193">
        <f>IF(SUMPRODUCT((('MTD Pivot'!$B$3:$B$400=$A$135) + ('MTD Pivot'!$A$3:$A$400=$A$135) &gt; 0) * (TRIM('MTD Pivot'!$C$3:$C$400)=TRIM($A145)) * ('MTD Pivot'!$D$2:$K$2=I$2) * 'MTD Pivot'!$D$3:$K$400)&gt;0, SUMPRODUCT((('MTD Pivot'!$B$3:$B$400=$A$135) + ('MTD Pivot'!$A$3:$A$400=$A$135) &gt; 0) * (TRIM('MTD Pivot'!$C$3:$C$400)=TRIM($A145)) * ('MTD Pivot'!$D$2:$K$2=I$2) * 'MTD Pivot'!$D$3:$K$400), "")</f>
        <v/>
      </c>
      <c r="J145" s="193">
        <f>IF(SUMPRODUCT((('MTD Pivot'!$B$3:$B$400=$A$135) + ('MTD Pivot'!$A$3:$A$400=$A$135) &gt; 0) * (TRIM('MTD Pivot'!$C$3:$C$400)=TRIM($A145)) * ('MTD Pivot'!$D$2:$K$2=J$2) * 'MTD Pivot'!$D$3:$K$400)&gt;0, SUMPRODUCT((('MTD Pivot'!$B$3:$B$400=$A$135) + ('MTD Pivot'!$A$3:$A$400=$A$135) &gt; 0) * (TRIM('MTD Pivot'!$C$3:$C$400)=TRIM($A145)) * ('MTD Pivot'!$D$2:$K$2=J$2) * 'MTD Pivot'!$D$3:$K$400), "")</f>
        <v/>
      </c>
      <c r="K145" s="193">
        <f>IF(SUMPRODUCT((('MTD Pivot'!$B$3:$B$400=$A$135) + ('MTD Pivot'!$A$3:$A$400=$A$135) &gt; 0) * (TRIM('MTD Pivot'!$C$3:$C$400)=TRIM($A145)) * ('MTD Pivot'!$D$2:$K$2=K$2) * 'MTD Pivot'!$D$3:$K$400)&gt;0, SUMPRODUCT((('MTD Pivot'!$B$3:$B$400=$A$135) + ('MTD Pivot'!$A$3:$A$400=$A$135) &gt; 0) * (TRIM('MTD Pivot'!$C$3:$C$400)=TRIM($A145)) * ('MTD Pivot'!$D$2:$K$2=K$2) * 'MTD Pivot'!$D$3:$K$400), "")</f>
        <v/>
      </c>
      <c r="L145" s="193">
        <f>IF(SUMPRODUCT((('MTD Pivot'!$B$3:$B$400=$A$135) + ('MTD Pivot'!$A$3:$A$400=$A$135) &gt; 0) * (TRIM('MTD Pivot'!$C$3:$C$400)=TRIM($A145)) * ('MTD Pivot'!$D$2:$K$2=L$2) * 'MTD Pivot'!$D$3:$K$400)&gt;0, SUMPRODUCT((('MTD Pivot'!$B$3:$B$400=$A$135) + ('MTD Pivot'!$A$3:$A$400=$A$135) &gt; 0) * (TRIM('MTD Pivot'!$C$3:$C$400)=TRIM($A145)) * ('MTD Pivot'!$D$2:$K$2=L$2) * 'MTD Pivot'!$D$3:$K$400), "")</f>
        <v/>
      </c>
      <c r="M145" s="193">
        <f>IF(SUMPRODUCT((('MTD Pivot'!$B$3:$B$400=$A$135) + ('MTD Pivot'!$A$3:$A$400=$A$135) &gt; 0) * (TRIM('MTD Pivot'!$C$3:$C$400)=TRIM($A145)) * ('MTD Pivot'!$D$2:$K$2=M$2) * 'MTD Pivot'!$D$3:$K$400)&gt;0, SUMPRODUCT((('MTD Pivot'!$B$3:$B$400=$A$135) + ('MTD Pivot'!$A$3:$A$400=$A$135) &gt; 0) * (TRIM('MTD Pivot'!$C$3:$C$400)=TRIM($A145)) * ('MTD Pivot'!$D$2:$K$2=M$2) * 'MTD Pivot'!$D$3:$K$400), "")</f>
        <v/>
      </c>
      <c r="N145" s="157">
        <f>IF(AND(ISNUMBER(K145), ISNUMBER(J145), J145&gt;0), (K145-J145)/J145, "")</f>
        <v/>
      </c>
      <c r="O145" s="193">
        <f>IF(SUMPRODUCT((('Full month Pivot'!$B$3:$B$400=$A$135) + ('Full month Pivot'!$A$3:$A$400=$A$135) &gt; 0) * (TRIM('Full month Pivot'!$C$3:$C$400)=TRIM($A145)) * ('Full month Pivot'!$D$2:$K$2=O$2) * 'Full month Pivot'!$D$3:$K$400)&gt;0, SUMPRODUCT((('Full month Pivot'!$B$3:$B$400=$A$135) + ('Full month Pivot'!$A$3:$A$400=$A$135) &gt; 0) * (TRIM('Full month Pivot'!$C$3:$C$400)=TRIM($A145)) * ('Full month Pivot'!$D$2:$K$2=O$2) * 'Full month Pivot'!$D$3:$K$400), "")</f>
        <v/>
      </c>
      <c r="P145" s="193">
        <f>IF(SUMPRODUCT((('Full month Pivot'!$B$3:$B$400=$A$135) + ('Full month Pivot'!$A$3:$A$400=$A$135) &gt; 0) * (TRIM('Full month Pivot'!$C$3:$C$400)=TRIM($A145)) * ('Full month Pivot'!$D$2:$K$2=P$2) * 'Full month Pivot'!$D$3:$K$400)&gt;0, SUMPRODUCT((('Full month Pivot'!$B$3:$B$400=$A$135) + ('Full month Pivot'!$A$3:$A$400=$A$135) &gt; 0) * (TRIM('Full month Pivot'!$C$3:$C$400)=TRIM($A145)) * ('Full month Pivot'!$D$2:$K$2=P$2) * 'Full month Pivot'!$D$3:$K$400), "")</f>
        <v/>
      </c>
      <c r="Q145" s="193">
        <f>IF(SUMPRODUCT((('Full month Pivot'!$B$3:$B$400=$A$135) + ('Full month Pivot'!$A$3:$A$400=$A$135) &gt; 0) * (TRIM('Full month Pivot'!$C$3:$C$400)=TRIM($A145)) * ('Full month Pivot'!$D$2:$K$2=Q$2) * 'Full month Pivot'!$D$3:$K$400)&gt;0, SUMPRODUCT((('Full month Pivot'!$B$3:$B$400=$A$135) + ('Full month Pivot'!$A$3:$A$400=$A$135) &gt; 0) * (TRIM('Full month Pivot'!$C$3:$C$400)=TRIM($A145)) * ('Full month Pivot'!$D$2:$K$2=Q$2) * 'Full month Pivot'!$D$3:$K$400), "")</f>
        <v/>
      </c>
      <c r="R145" s="193">
        <f>IF(SUMPRODUCT((('Full month Pivot'!$B$3:$B$400=$A$135) + ('Full month Pivot'!$A$3:$A$400=$A$135) &gt; 0) * (TRIM('Full month Pivot'!$C$3:$C$400)=TRIM($A145)) * ('Full month Pivot'!$D$2:$K$2=R$2) * 'Full month Pivot'!$D$3:$K$400)&gt;0, SUMPRODUCT((('Full month Pivot'!$B$3:$B$400=$A$135) + ('Full month Pivot'!$A$3:$A$400=$A$135) &gt; 0) * (TRIM('Full month Pivot'!$C$3:$C$400)=TRIM($A145)) * ('Full month Pivot'!$D$2:$K$2=R$2) * 'Full month Pivot'!$D$3:$K$400), "")</f>
        <v/>
      </c>
      <c r="S145" s="193">
        <f>IF(SUMPRODUCT((('Full month Pivot'!$B$3:$B$400=$A$135) + ('Full month Pivot'!$A$3:$A$400=$A$135) &gt; 0) * (TRIM('Full month Pivot'!$C$3:$C$400)=TRIM($A145)) * ('Full month Pivot'!$D$2:$K$2=S$2) * 'Full month Pivot'!$D$3:$K$400)&gt;0, SUMPRODUCT((('Full month Pivot'!$B$3:$B$400=$A$135) + ('Full month Pivot'!$A$3:$A$400=$A$135) &gt; 0) * (TRIM('Full month Pivot'!$C$3:$C$400)=TRIM($A145)) * ('Full month Pivot'!$D$2:$K$2=S$2) * 'Full month Pivot'!$D$3:$K$400), "")</f>
        <v/>
      </c>
      <c r="T145" s="193">
        <f>IF(SUMPRODUCT((('Full month Pivot'!$B$3:$B$400=$A$135) + ('Full month Pivot'!$A$3:$A$400=$A$135) &gt; 0) * (TRIM('Full month Pivot'!$C$3:$C$400)=TRIM($A145)) * ('Full month Pivot'!$D$2:$K$2=T$2) * 'Full month Pivot'!$D$3:$K$400)&gt;0, SUMPRODUCT((('Full month Pivot'!$B$3:$B$400=$A$135) + ('Full month Pivot'!$A$3:$A$400=$A$135) &gt; 0) * (TRIM('Full month Pivot'!$C$3:$C$400)=TRIM($A145)) * ('Full month Pivot'!$D$2:$K$2=T$2) * 'Full month Pivot'!$D$3:$K$400), "")</f>
        <v/>
      </c>
      <c r="U145" s="193">
        <f>IF(SUMPRODUCT((('Full month Pivot'!$B$3:$B$400=$A$135) + ('Full month Pivot'!$A$3:$A$400=$A$135) &gt; 0) * (TRIM('Full month Pivot'!$C$3:$C$400)=TRIM($A145)) * ('Full month Pivot'!$D$2:$K$2=U$2) * 'Full month Pivot'!$D$3:$K$400)&gt;0, SUMPRODUCT((('Full month Pivot'!$B$3:$B$400=$A$135) + ('Full month Pivot'!$A$3:$A$400=$A$135) &gt; 0) * (TRIM('Full month Pivot'!$C$3:$C$400)=TRIM($A145)) * ('Full month Pivot'!$D$2:$K$2=U$2) * 'Full month Pivot'!$D$3:$K$400), "")</f>
        <v/>
      </c>
      <c r="V145" s="193">
        <f>IF(SUMPRODUCT((('Full month Pivot'!$B$3:$B$400=$A$135) + ('Full month Pivot'!$A$3:$A$400=$A$135) &gt; 0) * (TRIM('Full month Pivot'!$C$3:$C$400)=TRIM($A145)) * ('Full month Pivot'!$D$2:$K$2=V$2) * 'Full month Pivot'!$D$3:$K$400)&gt;0, SUMPRODUCT((('Full month Pivot'!$B$3:$B$400=$A$135) + ('Full month Pivot'!$A$3:$A$400=$A$135) &gt; 0) * (TRIM('Full month Pivot'!$C$3:$C$400)=TRIM($A145)) * ('Full month Pivot'!$D$2:$K$2=V$2) * 'Full month Pivot'!$D$3:$K$400), "")</f>
        <v/>
      </c>
      <c r="W145" s="193">
        <f>IF(SUMPRODUCT((('Full month Pivot'!$B$3:$B$400=$A$135) + ('Full month Pivot'!$A$3:$A$400=$A$135) &gt; 0) * (TRIM('Full month Pivot'!$C$3:$C$400)=TRIM($A145)) * ('Full month Pivot'!$D$2:$K$2=W$2) * 'Full month Pivot'!$D$3:$K$400)&gt;0, SUMPRODUCT((('Full month Pivot'!$B$3:$B$400=$A$135) + ('Full month Pivot'!$A$3:$A$400=$A$135) &gt; 0) * (TRIM('Full month Pivot'!$C$3:$C$400)=TRIM($A145)) * ('Full month Pivot'!$D$2:$K$2=W$2) * 'Full month Pivot'!$D$3:$K$400), "")</f>
        <v/>
      </c>
      <c r="X145" s="193">
        <f>IF(SUMPRODUCT((('Full month Pivot'!$B$3:$B$400=$A$135) + ('Full month Pivot'!$A$3:$A$400=$A$135) &gt; 0) * (TRIM('Full month Pivot'!$C$3:$C$400)=TRIM($A145)) * ('Full month Pivot'!$D$2:$K$2=X$2) * 'Full month Pivot'!$D$3:$K$400)&gt;0, SUMPRODUCT((('Full month Pivot'!$B$3:$B$400=$A$135) + ('Full month Pivot'!$A$3:$A$400=$A$135) &gt; 0) * (TRIM('Full month Pivot'!$C$3:$C$400)=TRIM($A145)) * ('Full month Pivot'!$D$2:$K$2=X$2) * 'Full month Pivot'!$D$3:$K$400), "")</f>
        <v/>
      </c>
      <c r="Y145" s="193">
        <f>IF(SUMPRODUCT((('Full month Pivot'!$B$3:$B$400=$A$135) + ('Full month Pivot'!$A$3:$A$400=$A$135) &gt; 0) * (TRIM('Full month Pivot'!$C$3:$C$400)=TRIM($A145)) * ('Full month Pivot'!$D$2:$K$2=Y$2) * 'Full month Pivot'!$D$3:$K$400)&gt;0, SUMPRODUCT((('Full month Pivot'!$B$3:$B$400=$A$135) + ('Full month Pivot'!$A$3:$A$400=$A$135) &gt; 0) * (TRIM('Full month Pivot'!$C$3:$C$400)=TRIM($A145)) * ('Full month Pivot'!$D$2:$K$2=Y$2) * 'Full month Pivot'!$D$3:$K$400), "")</f>
        <v/>
      </c>
      <c r="Z145" s="193">
        <f>IF(SUMPRODUCT((('Full month Pivot'!$B$3:$B$400=$A$135) + ('Full month Pivot'!$A$3:$A$400=$A$135) &gt; 0) * (TRIM('Full month Pivot'!$C$3:$C$400)=TRIM($A145)) * ('Full month Pivot'!$D$2:$K$2=Z$2) * 'Full month Pivot'!$D$3:$K$400)&gt;0, SUMPRODUCT((('Full month Pivot'!$B$3:$B$400=$A$135) + ('Full month Pivot'!$A$3:$A$400=$A$135) &gt; 0) * (TRIM('Full month Pivot'!$C$3:$C$400)=TRIM($A145)) * ('Full month Pivot'!$D$2:$K$2=Z$2) * 'Full month Pivot'!$D$3:$K$400), "")</f>
        <v/>
      </c>
      <c r="AA145" s="157">
        <f>IF(AND(ISNUMBER(X145), ISNUMBER(W145), W145&gt;0), (X145-W145)/W145, "")</f>
        <v/>
      </c>
      <c r="AB145" s="140" t="n"/>
      <c r="AC145" s="140" t="n"/>
      <c r="AD145" s="140" t="n"/>
    </row>
    <row r="146" ht="15.75" customHeight="1" s="346">
      <c r="A146" s="202" t="n"/>
      <c r="B146" s="202" t="n"/>
      <c r="C146" s="202" t="n"/>
      <c r="D146" s="202" t="n"/>
      <c r="E146" s="202" t="n"/>
      <c r="F146" s="202" t="n"/>
      <c r="G146" s="202" t="n"/>
      <c r="H146" s="202" t="n"/>
      <c r="I146" s="202" t="n"/>
      <c r="J146" s="202" t="n"/>
      <c r="K146" s="202" t="n"/>
      <c r="L146" s="202" t="n"/>
      <c r="M146" s="202" t="n"/>
      <c r="N146" s="202" t="n"/>
      <c r="O146" s="202" t="n"/>
      <c r="P146" s="202" t="n"/>
      <c r="Q146" s="202" t="n"/>
      <c r="R146" s="202" t="n"/>
      <c r="S146" s="202" t="n"/>
      <c r="T146" s="202" t="n"/>
      <c r="U146" s="202" t="n"/>
      <c r="V146" s="202" t="n"/>
      <c r="W146" s="202" t="n"/>
      <c r="X146" s="202" t="n"/>
      <c r="Y146" s="202" t="n"/>
      <c r="Z146" s="202" t="n"/>
      <c r="AA146" s="202" t="n"/>
      <c r="AB146" s="140" t="n"/>
      <c r="AC146" s="140" t="n"/>
      <c r="AD146" s="140" t="n"/>
    </row>
    <row r="147" ht="15.75" customHeight="1" s="346">
      <c r="A147" s="145" t="inlineStr">
        <is>
          <t>Nước</t>
        </is>
      </c>
      <c r="B147" s="145" t="n"/>
      <c r="C147" s="145" t="n"/>
      <c r="D147" s="145" t="n"/>
      <c r="E147" s="145" t="n"/>
      <c r="F147" s="145" t="n"/>
      <c r="G147" s="145" t="n"/>
      <c r="H147" s="145" t="n"/>
      <c r="I147" s="145" t="n"/>
      <c r="J147" s="145" t="n"/>
      <c r="K147" s="145" t="n"/>
      <c r="L147" s="145" t="n"/>
      <c r="M147" s="145" t="n"/>
      <c r="N147" s="145" t="n"/>
      <c r="O147" s="145" t="n"/>
      <c r="P147" s="145" t="n"/>
      <c r="Q147" s="145" t="n"/>
      <c r="R147" s="145" t="n"/>
      <c r="S147" s="145" t="n"/>
      <c r="T147" s="145" t="n"/>
      <c r="U147" s="145" t="n"/>
      <c r="V147" s="145" t="n"/>
      <c r="W147" s="145" t="n"/>
      <c r="X147" s="145" t="n"/>
      <c r="Y147" s="145" t="n"/>
      <c r="Z147" s="145" t="n"/>
      <c r="AA147" s="145" t="n"/>
      <c r="AB147" s="140" t="n"/>
      <c r="AC147" s="140" t="n"/>
      <c r="AD147" s="140" t="n"/>
    </row>
    <row r="148" ht="15.75" customHeight="1" s="346">
      <c r="A148" s="146" t="inlineStr">
        <is>
          <t>Page views</t>
        </is>
      </c>
      <c r="B148" s="147">
        <f>IF(SUM(B153:B157)&gt;0, SUM(B153:B157), "")</f>
        <v/>
      </c>
      <c r="C148" s="147">
        <f>IF(SUM(C153:C157)&gt;0, SUM(C153:C157), "")</f>
        <v/>
      </c>
      <c r="D148" s="147">
        <f>IF(SUM(D153:D157)&gt;0, SUM(D153:D157), "")</f>
        <v/>
      </c>
      <c r="E148" s="147">
        <f>IF(SUM(E153:E157)&gt;0, SUM(E153:E157), "")</f>
        <v/>
      </c>
      <c r="F148" s="147">
        <f>IF(SUM(F153:F157)&gt;0, SUM(F153:F157), "")</f>
        <v/>
      </c>
      <c r="G148" s="147">
        <f>IF(SUM(G153:G157)&gt;0, SUM(G153:G157), "")</f>
        <v/>
      </c>
      <c r="H148" s="147">
        <f>IF(SUM(H153:H157)&gt;0, SUM(H153:H157), "")</f>
        <v/>
      </c>
      <c r="I148" s="147">
        <f>IF(SUM(I153:I157)&gt;0, SUM(I153:I157), "")</f>
        <v/>
      </c>
      <c r="J148" s="147">
        <f>IF(SUM(J153:J157)&gt;0, SUM(J153:J157), "")</f>
        <v/>
      </c>
      <c r="K148" s="147">
        <f>IF(SUM(K153:K157)&gt;0, SUM(K153:K157), "")</f>
        <v/>
      </c>
      <c r="L148" s="147">
        <f>IF(SUM(L153:L157)&gt;0, SUM(L153:L157), "")</f>
        <v/>
      </c>
      <c r="M148" s="147">
        <f>IF(SUM(M153:M157)&gt;0, SUM(M153:M157), "")</f>
        <v/>
      </c>
      <c r="N148" s="148">
        <f>IFERROR((K148-J148)/J148, "")</f>
        <v/>
      </c>
      <c r="O148" s="147">
        <f>IF(SUM(O153:O157)&gt;0, SUM(O153:O157), "")</f>
        <v/>
      </c>
      <c r="P148" s="147">
        <f>IF(SUM(P153:P157)&gt;0, SUM(P153:P157), "")</f>
        <v/>
      </c>
      <c r="Q148" s="147">
        <f>IF(SUM(Q153:Q157)&gt;0, SUM(Q153:Q157), "")</f>
        <v/>
      </c>
      <c r="R148" s="147">
        <f>IF(SUM(R153:R157)&gt;0, SUM(R153:R157), "")</f>
        <v/>
      </c>
      <c r="S148" s="147">
        <f>IF(SUM(S153:S157)&gt;0, SUM(S153:S157), "")</f>
        <v/>
      </c>
      <c r="T148" s="147">
        <f>IF(SUM(T153:T157)&gt;0, SUM(T153:T157), "")</f>
        <v/>
      </c>
      <c r="U148" s="147">
        <f>IF(SUM(U153:U157)&gt;0, SUM(U153:U157), "")</f>
        <v/>
      </c>
      <c r="V148" s="147">
        <f>IF(SUM(V153:V157)&gt;0, SUM(V153:V157), "")</f>
        <v/>
      </c>
      <c r="W148" s="147">
        <f>IF(SUM(W153:W157)&gt;0, SUM(W153:W157), "")</f>
        <v/>
      </c>
      <c r="X148" s="147">
        <f>IF(SUM(X153:X157)&gt;0, SUM(X153:X157), "")</f>
        <v/>
      </c>
      <c r="Y148" s="147">
        <f>IF(SUM(Y153:Y157)&gt;0, SUM(Y153:Y157), "")</f>
        <v/>
      </c>
      <c r="Z148" s="147">
        <f>IF(SUM(Z153:Z157)&gt;0, SUM(Z153:Z157), "")</f>
        <v/>
      </c>
      <c r="AA148" s="148">
        <f>IFERROR((X148-W148)/W148, "")</f>
        <v/>
      </c>
      <c r="AB148" s="140" t="n"/>
      <c r="AC148" s="140" t="n"/>
      <c r="AD148" s="140" t="n"/>
    </row>
    <row r="149" ht="15.75" customHeight="1" s="346">
      <c r="A149" s="150" t="inlineStr">
        <is>
          <t xml:space="preserve">  Click CTA</t>
        </is>
      </c>
      <c r="B149" s="150" t="n"/>
      <c r="C149" s="150" t="n"/>
      <c r="D149" s="150" t="n"/>
      <c r="E149" s="150" t="n"/>
      <c r="F149" s="150" t="n">
        <v>598</v>
      </c>
      <c r="G149" s="150" t="n">
        <v>112</v>
      </c>
      <c r="H149" s="150" t="n">
        <v>52</v>
      </c>
      <c r="I149" s="150" t="n">
        <v>4266</v>
      </c>
      <c r="J149" s="150" t="n">
        <v>2919</v>
      </c>
      <c r="K149" s="150" t="n">
        <v>3252</v>
      </c>
      <c r="L149" s="150" t="n"/>
      <c r="M149" s="150" t="n"/>
      <c r="N149" s="151">
        <f>IFERROR((K149-J149)/J149, "")</f>
        <v/>
      </c>
      <c r="O149" s="150" t="n"/>
      <c r="P149" s="150" t="n"/>
      <c r="Q149" s="150" t="n"/>
      <c r="R149" s="150" t="n"/>
      <c r="S149" s="150" t="n">
        <v>608</v>
      </c>
      <c r="T149" s="150" t="n">
        <v>112</v>
      </c>
      <c r="U149" s="150" t="n">
        <v>273</v>
      </c>
      <c r="V149" s="150" t="n">
        <v>4395</v>
      </c>
      <c r="W149" s="150" t="n">
        <v>3000</v>
      </c>
      <c r="X149" s="150" t="n">
        <v>3252</v>
      </c>
      <c r="Y149" s="150" t="n"/>
      <c r="Z149" s="150" t="n"/>
      <c r="AA149" s="151">
        <f>IFERROR((X149-W149)/W149, "")</f>
        <v/>
      </c>
      <c r="AB149" s="140" t="n"/>
      <c r="AC149" s="140" t="n"/>
      <c r="AD149" s="140" t="n"/>
    </row>
    <row r="150" ht="15.75" customHeight="1" s="346">
      <c r="A150" s="152" t="inlineStr">
        <is>
          <t xml:space="preserve">  Net change</t>
        </is>
      </c>
      <c r="B150" s="153" t="n"/>
      <c r="C150" s="153">
        <f>IF(AND(ISNUMBER(C148), ISNUMBER(B148), B148&gt;0, C148&gt;0), C148-B148, "")</f>
        <v/>
      </c>
      <c r="D150" s="153">
        <f>IF(AND(ISNUMBER(D148), ISNUMBER(C148), C148&gt;0, D148&gt;0), D148-C148, "")</f>
        <v/>
      </c>
      <c r="E150" s="153">
        <f>IF(AND(ISNUMBER(E148), ISNUMBER(D148), D148&gt;0, E148&gt;0), E148-D148, "")</f>
        <v/>
      </c>
      <c r="F150" s="153">
        <f>IF(AND(ISNUMBER(F148), ISNUMBER(E148), E148&gt;0, F148&gt;0), F148-E148, "")</f>
        <v/>
      </c>
      <c r="G150" s="153">
        <f>IF(AND(ISNUMBER(G148), ISNUMBER(F148), F148&gt;0, G148&gt;0), G148-F148, "")</f>
        <v/>
      </c>
      <c r="H150" s="153">
        <f>IF(AND(ISNUMBER(H148), ISNUMBER(G148), G148&gt;0, H148&gt;0), H148-G148, "")</f>
        <v/>
      </c>
      <c r="I150" s="153">
        <f>IF(AND(ISNUMBER(I148), ISNUMBER(H148), H148&gt;0, I148&gt;0), I148-H148, "")</f>
        <v/>
      </c>
      <c r="J150" s="153">
        <f>IF(AND(ISNUMBER(J148), ISNUMBER(I148), I148&gt;0, J148&gt;0), J148-I148, "")</f>
        <v/>
      </c>
      <c r="K150" s="153">
        <f>IF(AND(ISNUMBER(K148), ISNUMBER(J148), J148&gt;0, K148&gt;0), K148-J148, "")</f>
        <v/>
      </c>
      <c r="L150" s="153">
        <f>IF(AND(ISNUMBER(L148), ISNUMBER(K148), K148&gt;0, L148&gt;0), L148-K148, "")</f>
        <v/>
      </c>
      <c r="M150" s="153">
        <f>IF(AND(ISNUMBER(M148), ISNUMBER(L148), L148&gt;0, M148&gt;0), M148-L148, "")</f>
        <v/>
      </c>
      <c r="N150" s="153" t="n"/>
      <c r="O150" s="153" t="n"/>
      <c r="P150" s="153">
        <f>IF(AND(ISNUMBER(P148), ISNUMBER(O148), O148&gt;0, P148&gt;0), P148-O148, "")</f>
        <v/>
      </c>
      <c r="Q150" s="153">
        <f>IF(AND(ISNUMBER(Q148), ISNUMBER(P148), P148&gt;0, Q148&gt;0), Q148-P148, "")</f>
        <v/>
      </c>
      <c r="R150" s="153">
        <f>IF(AND(ISNUMBER(R148), ISNUMBER(Q148), Q148&gt;0, R148&gt;0), R148-Q148, "")</f>
        <v/>
      </c>
      <c r="S150" s="153">
        <f>IF(AND(ISNUMBER(S148), ISNUMBER(R148), R148&gt;0, S148&gt;0), S148-R148, "")</f>
        <v/>
      </c>
      <c r="T150" s="153">
        <f>IF(AND(ISNUMBER(T148), ISNUMBER(S148), S148&gt;0, T148&gt;0), T148-S148, "")</f>
        <v/>
      </c>
      <c r="U150" s="153">
        <f>IF(AND(ISNUMBER(U148), ISNUMBER(T148), T148&gt;0, U148&gt;0), U148-T148, "")</f>
        <v/>
      </c>
      <c r="V150" s="153">
        <f>IF(AND(ISNUMBER(V148), ISNUMBER(U148), U148&gt;0, V148&gt;0), V148-U148, "")</f>
        <v/>
      </c>
      <c r="W150" s="153">
        <f>IF(AND(ISNUMBER(W148), ISNUMBER(V148), V148&gt;0, W148&gt;0), W148-V148, "")</f>
        <v/>
      </c>
      <c r="X150" s="153">
        <f>IF(AND(ISNUMBER(X148), ISNUMBER(W148), W148&gt;0, X148&gt;0), X148-W148, "")</f>
        <v/>
      </c>
      <c r="Y150" s="153">
        <f>IF(AND(ISNUMBER(Y148), ISNUMBER(X148), X148&gt;0, Y148&gt;0), Y148-X148, "")</f>
        <v/>
      </c>
      <c r="Z150" s="153">
        <f>IF(AND(ISNUMBER(Z148), ISNUMBER(Y148), Y148&gt;0, Z148&gt;0), Z148-Y148, "")</f>
        <v/>
      </c>
      <c r="AA150" s="153" t="n"/>
      <c r="AB150" s="140" t="n"/>
      <c r="AC150" s="140" t="n"/>
      <c r="AD150" s="140" t="n"/>
    </row>
    <row r="151" ht="15.75" customHeight="1" s="346">
      <c r="A151" s="152" t="inlineStr">
        <is>
          <t xml:space="preserve">  % Growth rate</t>
        </is>
      </c>
      <c r="B151" s="203" t="n"/>
      <c r="C151" s="203">
        <f>IF(AND(ISNUMBER(C148), ISNUMBER(B148), B148&gt;0, C148&gt;0), (C148-B148)/B148, "")</f>
        <v/>
      </c>
      <c r="D151" s="203">
        <f>IF(AND(ISNUMBER(D148), ISNUMBER(C148), C148&gt;0, D148&gt;0), (D148-C148)/C148, "")</f>
        <v/>
      </c>
      <c r="E151" s="203">
        <f>IF(AND(ISNUMBER(E148), ISNUMBER(D148), D148&gt;0, E148&gt;0), (E148-D148)/D148, "")</f>
        <v/>
      </c>
      <c r="F151" s="203">
        <f>IF(AND(ISNUMBER(F148), ISNUMBER(E148), E148&gt;0, F148&gt;0), (F148-E148)/E148, "")</f>
        <v/>
      </c>
      <c r="G151" s="203">
        <f>IF(AND(ISNUMBER(G148), ISNUMBER(F148), F148&gt;0, G148&gt;0), (G148-F148)/F148, "")</f>
        <v/>
      </c>
      <c r="H151" s="203">
        <f>IF(AND(ISNUMBER(H148), ISNUMBER(G148), G148&gt;0, H148&gt;0), (H148-G148)/G148, "")</f>
        <v/>
      </c>
      <c r="I151" s="203">
        <f>IF(AND(ISNUMBER(I148), ISNUMBER(H148), H148&gt;0, I148&gt;0), (I148-H148)/H148, "")</f>
        <v/>
      </c>
      <c r="J151" s="203">
        <f>IF(AND(ISNUMBER(J148), ISNUMBER(I148), I148&gt;0, J148&gt;0), (J148-I148)/I148, "")</f>
        <v/>
      </c>
      <c r="K151" s="203">
        <f>IF(AND(ISNUMBER(K148), ISNUMBER(J148), J148&gt;0, K148&gt;0), (K148-J148)/J148, "")</f>
        <v/>
      </c>
      <c r="L151" s="203">
        <f>IF(AND(ISNUMBER(L148), ISNUMBER(K148), K148&gt;0, L148&gt;0), (L148-K148)/K148, "")</f>
        <v/>
      </c>
      <c r="M151" s="203">
        <f>IF(AND(ISNUMBER(M148), ISNUMBER(L148), L148&gt;0, M148&gt;0), (M148-L148)/L148, "")</f>
        <v/>
      </c>
      <c r="N151" s="203" t="n"/>
      <c r="O151" s="203" t="n"/>
      <c r="P151" s="203">
        <f>IF(AND(ISNUMBER(P148), ISNUMBER(O148), O148&gt;0, P148&gt;0), (P148-O148)/O148, "")</f>
        <v/>
      </c>
      <c r="Q151" s="203">
        <f>IF(AND(ISNUMBER(Q148), ISNUMBER(P148), P148&gt;0, Q148&gt;0), (Q148-P148)/P148, "")</f>
        <v/>
      </c>
      <c r="R151" s="203">
        <f>IF(AND(ISNUMBER(R148), ISNUMBER(Q148), Q148&gt;0, R148&gt;0), (R148-Q148)/Q148, "")</f>
        <v/>
      </c>
      <c r="S151" s="203">
        <f>IF(AND(ISNUMBER(S148), ISNUMBER(R148), R148&gt;0, S148&gt;0), (S148-R148)/R148, "")</f>
        <v/>
      </c>
      <c r="T151" s="203">
        <f>IF(AND(ISNUMBER(T148), ISNUMBER(S148), S148&gt;0, T148&gt;0), (T148-S148)/S148, "")</f>
        <v/>
      </c>
      <c r="U151" s="203">
        <f>IF(AND(ISNUMBER(U148), ISNUMBER(T148), T148&gt;0, U148&gt;0), (U148-T148)/T148, "")</f>
        <v/>
      </c>
      <c r="V151" s="203">
        <f>IF(AND(ISNUMBER(V148), ISNUMBER(U148), U148&gt;0, V148&gt;0), (V148-U148)/U148, "")</f>
        <v/>
      </c>
      <c r="W151" s="203">
        <f>IF(AND(ISNUMBER(W148), ISNUMBER(V148), V148&gt;0, W148&gt;0), (W148-V148)/V148, "")</f>
        <v/>
      </c>
      <c r="X151" s="203">
        <f>IF(AND(ISNUMBER(X148), ISNUMBER(W148), W148&gt;0, X148&gt;0), (X148-W148)/W148, "")</f>
        <v/>
      </c>
      <c r="Y151" s="203">
        <f>IF(AND(ISNUMBER(Y148), ISNUMBER(X148), X148&gt;0, Y148&gt;0), (Y148-X148)/X148, "")</f>
        <v/>
      </c>
      <c r="Z151" s="203">
        <f>IF(AND(ISNUMBER(Z148), ISNUMBER(Y148), Y148&gt;0, Z148&gt;0), (Z148-Y148)/Y148, "")</f>
        <v/>
      </c>
      <c r="AA151" s="203" t="n"/>
      <c r="AB151" s="140" t="n"/>
      <c r="AC151" s="140" t="n"/>
      <c r="AD151" s="140" t="n"/>
    </row>
    <row r="152" ht="15.75" customHeight="1" s="346">
      <c r="A152" s="202" t="inlineStr">
        <is>
          <t>Tỷ trọng trong tổng traffic</t>
        </is>
      </c>
      <c r="B152" s="156">
        <f t="array" ref="B152">IF(AND(ISNUMBER(B148), B148&gt;0), B148/INDEX('MTD Pivot'!$D$3:$K$400, MATCH("Grand Total", 'MTD Pivot'!$A$3:$A$400, 0), MATCH(B$2, 'MTD Pivot'!$D$2:$K$2, 0)), "")</f>
        <v/>
      </c>
      <c r="C152" s="156">
        <f t="array" ref="C152">IF(AND(ISNUMBER(C148), C148&gt;0), C148/INDEX('MTD Pivot'!$D$3:$K$400, MATCH("Grand Total", 'MTD Pivot'!$A$3:$A$400, 0), MATCH(C$2, 'MTD Pivot'!$D$2:$K$2, 0)), "")</f>
        <v/>
      </c>
      <c r="D152" s="156">
        <f t="array" ref="D152">IF(AND(ISNUMBER(D148), D148&gt;0), D148/INDEX('MTD Pivot'!$D$3:$K$400, MATCH("Grand Total", 'MTD Pivot'!$A$3:$A$400, 0), MATCH(D$2, 'MTD Pivot'!$D$2:$K$2, 0)), "")</f>
        <v/>
      </c>
      <c r="E152" s="156">
        <f t="array" ref="E152">IF(AND(ISNUMBER(E148), E148&gt;0), E148/INDEX('MTD Pivot'!$D$3:$K$400, MATCH("Grand Total", 'MTD Pivot'!$A$3:$A$400, 0), MATCH(E$2, 'MTD Pivot'!$D$2:$K$2, 0)), "")</f>
        <v/>
      </c>
      <c r="F152" s="156">
        <f t="array" ref="F152">IF(AND(ISNUMBER(F148), F148&gt;0), F148/INDEX('MTD Pivot'!$D$3:$K$400, MATCH("Grand Total", 'MTD Pivot'!$A$3:$A$400, 0), MATCH(F$2, 'MTD Pivot'!$D$2:$K$2, 0)), "")</f>
        <v/>
      </c>
      <c r="G152" s="156">
        <f t="array" ref="G152">IF(AND(ISNUMBER(G148), G148&gt;0), G148/INDEX('MTD Pivot'!$D$3:$K$400, MATCH("Grand Total", 'MTD Pivot'!$A$3:$A$400, 0), MATCH(G$2, 'MTD Pivot'!$D$2:$K$2, 0)), "")</f>
        <v/>
      </c>
      <c r="H152" s="156">
        <f t="array" ref="H152">IF(AND(ISNUMBER(H148), H148&gt;0), H148/INDEX('MTD Pivot'!$D$3:$K$400, MATCH("Grand Total", 'MTD Pivot'!$A$3:$A$400, 0), MATCH(H$2, 'MTD Pivot'!$D$2:$K$2, 0)), "")</f>
        <v/>
      </c>
      <c r="I152" s="156">
        <f t="array" ref="I152">IF(AND(ISNUMBER(I148), I148&gt;0), I148/INDEX('MTD Pivot'!$D$3:$K$400, MATCH("Grand Total", 'MTD Pivot'!$A$3:$A$400, 0), MATCH(I$2, 'MTD Pivot'!$D$2:$K$2, 0)), "")</f>
        <v/>
      </c>
      <c r="J152" s="156">
        <f t="array" ref="J152">IF(AND(ISNUMBER(J148), J148&gt;0), J148/INDEX('MTD Pivot'!$D$3:$K$400, MATCH("Grand Total", 'MTD Pivot'!$A$3:$A$400, 0), MATCH(J$2, 'MTD Pivot'!$D$2:$K$2, 0)), "")</f>
        <v/>
      </c>
      <c r="K152" s="156">
        <f t="array" ref="K152">IF(AND(ISNUMBER(K148), K148&gt;0), K148/INDEX('MTD Pivot'!$D$3:$K$400, MATCH("Grand Total", 'MTD Pivot'!$A$3:$A$400, 0), MATCH(K$2, 'MTD Pivot'!$D$2:$K$2, 0)), "")</f>
        <v/>
      </c>
      <c r="L152" s="156">
        <f t="array" ref="L152">IF(AND(ISNUMBER(L148), L148&gt;0), L148/INDEX('MTD Pivot'!$D$3:$K$400, MATCH("Grand Total", 'MTD Pivot'!$A$3:$A$400, 0), MATCH(L$2, 'MTD Pivot'!$D$2:$K$2, 0)), "")</f>
        <v/>
      </c>
      <c r="M152" s="156">
        <f t="array" ref="M152">IF(AND(ISNUMBER(M148), M148&gt;0), M148/INDEX('MTD Pivot'!$D$3:$K$400, MATCH("Grand Total", 'MTD Pivot'!$A$3:$A$400, 0), MATCH(M$2, 'MTD Pivot'!$D$2:$K$2, 0)), "")</f>
        <v/>
      </c>
      <c r="N152" s="157">
        <f>IF(AND(ISNUMBER(K152), ISNUMBER(J152)), K152-J152, "")</f>
        <v/>
      </c>
      <c r="O152" s="156">
        <f t="array" ref="O152">IF(AND(ISNUMBER(O148), O148&gt;0), O148/INDEX('Full month Pivot'!$D$3:$K$400, MATCH("Grand Total", 'Full month Pivot'!$A$3:$A$400, 0), MATCH(O$2, 'Full month Pivot'!$D$2:$K$2, 0)), "")</f>
        <v/>
      </c>
      <c r="P152" s="156">
        <f t="array" ref="P152">IF(AND(ISNUMBER(P148), P148&gt;0), P148/INDEX('Full month Pivot'!$D$3:$K$400, MATCH("Grand Total", 'Full month Pivot'!$A$3:$A$400, 0), MATCH(P$2, 'Full month Pivot'!$D$2:$K$2, 0)), "")</f>
        <v/>
      </c>
      <c r="Q152" s="156">
        <f t="array" ref="Q152">IF(AND(ISNUMBER(Q148), Q148&gt;0), Q148/INDEX('Full month Pivot'!$D$3:$K$400, MATCH("Grand Total", 'Full month Pivot'!$A$3:$A$400, 0), MATCH(Q$2, 'Full month Pivot'!$D$2:$K$2, 0)), "")</f>
        <v/>
      </c>
      <c r="R152" s="156">
        <f t="array" ref="R152">IF(AND(ISNUMBER(R148), R148&gt;0), R148/INDEX('Full month Pivot'!$D$3:$K$400, MATCH("Grand Total", 'Full month Pivot'!$A$3:$A$400, 0), MATCH(R$2, 'Full month Pivot'!$D$2:$K$2, 0)), "")</f>
        <v/>
      </c>
      <c r="S152" s="156">
        <f t="array" ref="S152">IF(AND(ISNUMBER(S148), S148&gt;0), S148/INDEX('Full month Pivot'!$D$3:$K$400, MATCH("Grand Total", 'Full month Pivot'!$A$3:$A$400, 0), MATCH(S$2, 'Full month Pivot'!$D$2:$K$2, 0)), "")</f>
        <v/>
      </c>
      <c r="T152" s="156">
        <f t="array" ref="T152">IF(AND(ISNUMBER(T148), T148&gt;0), T148/INDEX('Full month Pivot'!$D$3:$K$400, MATCH("Grand Total", 'Full month Pivot'!$A$3:$A$400, 0), MATCH(T$2, 'Full month Pivot'!$D$2:$K$2, 0)), "")</f>
        <v/>
      </c>
      <c r="U152" s="156">
        <f t="array" ref="U152">IF(AND(ISNUMBER(U148), U148&gt;0), U148/INDEX('Full month Pivot'!$D$3:$K$400, MATCH("Grand Total", 'Full month Pivot'!$A$3:$A$400, 0), MATCH(U$2, 'Full month Pivot'!$D$2:$K$2, 0)), "")</f>
        <v/>
      </c>
      <c r="V152" s="156">
        <f t="array" ref="V152">IF(AND(ISNUMBER(V148), V148&gt;0), V148/INDEX('Full month Pivot'!$D$3:$K$400, MATCH("Grand Total", 'Full month Pivot'!$A$3:$A$400, 0), MATCH(V$2, 'Full month Pivot'!$D$2:$K$2, 0)), "")</f>
        <v/>
      </c>
      <c r="W152" s="156">
        <f t="array" ref="W152">IF(AND(ISNUMBER(W148), W148&gt;0), W148/INDEX('Full month Pivot'!$D$3:$K$400, MATCH("Grand Total", 'Full month Pivot'!$A$3:$A$400, 0), MATCH(W$2, 'Full month Pivot'!$D$2:$K$2, 0)), "")</f>
        <v/>
      </c>
      <c r="X152" s="156">
        <f t="array" ref="X152">IF(AND(ISNUMBER(X148), X148&gt;0), X148/INDEX('Full month Pivot'!$D$3:$K$400, MATCH("Grand Total", 'Full month Pivot'!$A$3:$A$400, 0), MATCH(X$2, 'Full month Pivot'!$D$2:$K$2, 0)), "")</f>
        <v/>
      </c>
      <c r="Y152" s="156">
        <f t="array" ref="Y152">IF(AND(ISNUMBER(Y148), Y148&gt;0), Y148/INDEX('Full month Pivot'!$D$3:$K$400, MATCH("Grand Total", 'Full month Pivot'!$A$3:$A$400, 0), MATCH(Y$2, 'Full month Pivot'!$D$2:$K$2, 0)), "")</f>
        <v/>
      </c>
      <c r="Z152" s="156">
        <f t="array" ref="Z152">IF(AND(ISNUMBER(Z148), Z148&gt;0), Z148/INDEX('Full month Pivot'!$D$3:$K$400, MATCH("Grand Total", 'Full month Pivot'!$A$3:$A$400, 0), MATCH(Z$2, 'Full month Pivot'!$D$2:$K$2, 0)), "")</f>
        <v/>
      </c>
      <c r="AA152" s="157">
        <f>IF(AND(ISNUMBER(X152), ISNUMBER(W152)), X152-W152, "")</f>
        <v/>
      </c>
      <c r="AB152" s="140" t="n"/>
      <c r="AC152" s="140" t="n"/>
      <c r="AD152" s="140" t="n"/>
    </row>
    <row r="153" ht="15.75" customHeight="1" s="346">
      <c r="A153" s="202" t="inlineStr">
        <is>
          <t xml:space="preserve">  Organic</t>
        </is>
      </c>
      <c r="B153" s="193">
        <f>IF(SUMPRODUCT((('MTD Pivot'!$B$3:$B$400=$A$147) + ('MTD Pivot'!$A$3:$A$400=$A$147) &gt; 0) * (TRIM('MTD Pivot'!$C$3:$C$400)=TRIM($A153)) * ('MTD Pivot'!$D$2:$K$2=B$2) * 'MTD Pivot'!$D$3:$K$400)&gt;0, SUMPRODUCT((('MTD Pivot'!$B$3:$B$400=$A$147) + ('MTD Pivot'!$A$3:$A$400=$A$147) &gt; 0) * (TRIM('MTD Pivot'!$C$3:$C$400)=TRIM($A153)) * ('MTD Pivot'!$D$2:$K$2=B$2) * 'MTD Pivot'!$D$3:$K$400), "")</f>
        <v/>
      </c>
      <c r="C153" s="193">
        <f>IF(SUMPRODUCT((('MTD Pivot'!$B$3:$B$400=$A$147) + ('MTD Pivot'!$A$3:$A$400=$A$147) &gt; 0) * (TRIM('MTD Pivot'!$C$3:$C$400)=TRIM($A153)) * ('MTD Pivot'!$D$2:$K$2=C$2) * 'MTD Pivot'!$D$3:$K$400)&gt;0, SUMPRODUCT((('MTD Pivot'!$B$3:$B$400=$A$147) + ('MTD Pivot'!$A$3:$A$400=$A$147) &gt; 0) * (TRIM('MTD Pivot'!$C$3:$C$400)=TRIM($A153)) * ('MTD Pivot'!$D$2:$K$2=C$2) * 'MTD Pivot'!$D$3:$K$400), "")</f>
        <v/>
      </c>
      <c r="D153" s="193">
        <f>IF(SUMPRODUCT((('MTD Pivot'!$B$3:$B$400=$A$147) + ('MTD Pivot'!$A$3:$A$400=$A$147) &gt; 0) * (TRIM('MTD Pivot'!$C$3:$C$400)=TRIM($A153)) * ('MTD Pivot'!$D$2:$K$2=D$2) * 'MTD Pivot'!$D$3:$K$400)&gt;0, SUMPRODUCT((('MTD Pivot'!$B$3:$B$400=$A$147) + ('MTD Pivot'!$A$3:$A$400=$A$147) &gt; 0) * (TRIM('MTD Pivot'!$C$3:$C$400)=TRIM($A153)) * ('MTD Pivot'!$D$2:$K$2=D$2) * 'MTD Pivot'!$D$3:$K$400), "")</f>
        <v/>
      </c>
      <c r="E153" s="193">
        <f>IF(SUMPRODUCT((('MTD Pivot'!$B$3:$B$400=$A$147) + ('MTD Pivot'!$A$3:$A$400=$A$147) &gt; 0) * (TRIM('MTD Pivot'!$C$3:$C$400)=TRIM($A153)) * ('MTD Pivot'!$D$2:$K$2=E$2) * 'MTD Pivot'!$D$3:$K$400)&gt;0, SUMPRODUCT((('MTD Pivot'!$B$3:$B$400=$A$147) + ('MTD Pivot'!$A$3:$A$400=$A$147) &gt; 0) * (TRIM('MTD Pivot'!$C$3:$C$400)=TRIM($A153)) * ('MTD Pivot'!$D$2:$K$2=E$2) * 'MTD Pivot'!$D$3:$K$400), "")</f>
        <v/>
      </c>
      <c r="F153" s="193">
        <f>IF(SUMPRODUCT((('MTD Pivot'!$B$3:$B$400=$A$147) + ('MTD Pivot'!$A$3:$A$400=$A$147) &gt; 0) * (TRIM('MTD Pivot'!$C$3:$C$400)=TRIM($A153)) * ('MTD Pivot'!$D$2:$K$2=F$2) * 'MTD Pivot'!$D$3:$K$400)&gt;0, SUMPRODUCT((('MTD Pivot'!$B$3:$B$400=$A$147) + ('MTD Pivot'!$A$3:$A$400=$A$147) &gt; 0) * (TRIM('MTD Pivot'!$C$3:$C$400)=TRIM($A153)) * ('MTD Pivot'!$D$2:$K$2=F$2) * 'MTD Pivot'!$D$3:$K$400), "")</f>
        <v/>
      </c>
      <c r="G153" s="193">
        <f>IF(SUMPRODUCT((('MTD Pivot'!$B$3:$B$400=$A$147) + ('MTD Pivot'!$A$3:$A$400=$A$147) &gt; 0) * (TRIM('MTD Pivot'!$C$3:$C$400)=TRIM($A153)) * ('MTD Pivot'!$D$2:$K$2=G$2) * 'MTD Pivot'!$D$3:$K$400)&gt;0, SUMPRODUCT((('MTD Pivot'!$B$3:$B$400=$A$147) + ('MTD Pivot'!$A$3:$A$400=$A$147) &gt; 0) * (TRIM('MTD Pivot'!$C$3:$C$400)=TRIM($A153)) * ('MTD Pivot'!$D$2:$K$2=G$2) * 'MTD Pivot'!$D$3:$K$400), "")</f>
        <v/>
      </c>
      <c r="H153" s="193">
        <f>IF(SUMPRODUCT((('MTD Pivot'!$B$3:$B$400=$A$147) + ('MTD Pivot'!$A$3:$A$400=$A$147) &gt; 0) * (TRIM('MTD Pivot'!$C$3:$C$400)=TRIM($A153)) * ('MTD Pivot'!$D$2:$K$2=H$2) * 'MTD Pivot'!$D$3:$K$400)&gt;0, SUMPRODUCT((('MTD Pivot'!$B$3:$B$400=$A$147) + ('MTD Pivot'!$A$3:$A$400=$A$147) &gt; 0) * (TRIM('MTD Pivot'!$C$3:$C$400)=TRIM($A153)) * ('MTD Pivot'!$D$2:$K$2=H$2) * 'MTD Pivot'!$D$3:$K$400), "")</f>
        <v/>
      </c>
      <c r="I153" s="193">
        <f>IF(SUMPRODUCT((('MTD Pivot'!$B$3:$B$400=$A$147) + ('MTD Pivot'!$A$3:$A$400=$A$147) &gt; 0) * (TRIM('MTD Pivot'!$C$3:$C$400)=TRIM($A153)) * ('MTD Pivot'!$D$2:$K$2=I$2) * 'MTD Pivot'!$D$3:$K$400)&gt;0, SUMPRODUCT((('MTD Pivot'!$B$3:$B$400=$A$147) + ('MTD Pivot'!$A$3:$A$400=$A$147) &gt; 0) * (TRIM('MTD Pivot'!$C$3:$C$400)=TRIM($A153)) * ('MTD Pivot'!$D$2:$K$2=I$2) * 'MTD Pivot'!$D$3:$K$400), "")</f>
        <v/>
      </c>
      <c r="J153" s="193">
        <f>IF(SUMPRODUCT((('MTD Pivot'!$B$3:$B$400=$A$147) + ('MTD Pivot'!$A$3:$A$400=$A$147) &gt; 0) * (TRIM('MTD Pivot'!$C$3:$C$400)=TRIM($A153)) * ('MTD Pivot'!$D$2:$K$2=J$2) * 'MTD Pivot'!$D$3:$K$400)&gt;0, SUMPRODUCT((('MTD Pivot'!$B$3:$B$400=$A$147) + ('MTD Pivot'!$A$3:$A$400=$A$147) &gt; 0) * (TRIM('MTD Pivot'!$C$3:$C$400)=TRIM($A153)) * ('MTD Pivot'!$D$2:$K$2=J$2) * 'MTD Pivot'!$D$3:$K$400), "")</f>
        <v/>
      </c>
      <c r="K153" s="193">
        <f>IF(SUMPRODUCT((('MTD Pivot'!$B$3:$B$400=$A$147) + ('MTD Pivot'!$A$3:$A$400=$A$147) &gt; 0) * (TRIM('MTD Pivot'!$C$3:$C$400)=TRIM($A153)) * ('MTD Pivot'!$D$2:$K$2=K$2) * 'MTD Pivot'!$D$3:$K$400)&gt;0, SUMPRODUCT((('MTD Pivot'!$B$3:$B$400=$A$147) + ('MTD Pivot'!$A$3:$A$400=$A$147) &gt; 0) * (TRIM('MTD Pivot'!$C$3:$C$400)=TRIM($A153)) * ('MTD Pivot'!$D$2:$K$2=K$2) * 'MTD Pivot'!$D$3:$K$400), "")</f>
        <v/>
      </c>
      <c r="L153" s="193">
        <f>IF(SUMPRODUCT((('MTD Pivot'!$B$3:$B$400=$A$147) + ('MTD Pivot'!$A$3:$A$400=$A$147) &gt; 0) * (TRIM('MTD Pivot'!$C$3:$C$400)=TRIM($A153)) * ('MTD Pivot'!$D$2:$K$2=L$2) * 'MTD Pivot'!$D$3:$K$400)&gt;0, SUMPRODUCT((('MTD Pivot'!$B$3:$B$400=$A$147) + ('MTD Pivot'!$A$3:$A$400=$A$147) &gt; 0) * (TRIM('MTD Pivot'!$C$3:$C$400)=TRIM($A153)) * ('MTD Pivot'!$D$2:$K$2=L$2) * 'MTD Pivot'!$D$3:$K$400), "")</f>
        <v/>
      </c>
      <c r="M153" s="193">
        <f>IF(SUMPRODUCT((('MTD Pivot'!$B$3:$B$400=$A$147) + ('MTD Pivot'!$A$3:$A$400=$A$147) &gt; 0) * (TRIM('MTD Pivot'!$C$3:$C$400)=TRIM($A153)) * ('MTD Pivot'!$D$2:$K$2=M$2) * 'MTD Pivot'!$D$3:$K$400)&gt;0, SUMPRODUCT((('MTD Pivot'!$B$3:$B$400=$A$147) + ('MTD Pivot'!$A$3:$A$400=$A$147) &gt; 0) * (TRIM('MTD Pivot'!$C$3:$C$400)=TRIM($A153)) * ('MTD Pivot'!$D$2:$K$2=M$2) * 'MTD Pivot'!$D$3:$K$400), "")</f>
        <v/>
      </c>
      <c r="N153" s="157">
        <f>IF(AND(ISNUMBER(K153), ISNUMBER(J153), J153&gt;0), (K153-J153)/J153, "")</f>
        <v/>
      </c>
      <c r="O153" s="193">
        <f>IF(SUMPRODUCT((('Full month Pivot'!$B$3:$B$400=$A$147) + ('Full month Pivot'!$A$3:$A$400=$A$147) &gt; 0) * (TRIM('Full month Pivot'!$C$3:$C$400)=TRIM($A153)) * ('Full month Pivot'!$D$2:$K$2=O$2) * 'Full month Pivot'!$D$3:$K$400)&gt;0, SUMPRODUCT((('Full month Pivot'!$B$3:$B$400=$A$147) + ('Full month Pivot'!$A$3:$A$400=$A$147) &gt; 0) * (TRIM('Full month Pivot'!$C$3:$C$400)=TRIM($A153)) * ('Full month Pivot'!$D$2:$K$2=O$2) * 'Full month Pivot'!$D$3:$K$400), "")</f>
        <v/>
      </c>
      <c r="P153" s="193">
        <f>IF(SUMPRODUCT((('Full month Pivot'!$B$3:$B$400=$A$147) + ('Full month Pivot'!$A$3:$A$400=$A$147) &gt; 0) * (TRIM('Full month Pivot'!$C$3:$C$400)=TRIM($A153)) * ('Full month Pivot'!$D$2:$K$2=P$2) * 'Full month Pivot'!$D$3:$K$400)&gt;0, SUMPRODUCT((('Full month Pivot'!$B$3:$B$400=$A$147) + ('Full month Pivot'!$A$3:$A$400=$A$147) &gt; 0) * (TRIM('Full month Pivot'!$C$3:$C$400)=TRIM($A153)) * ('Full month Pivot'!$D$2:$K$2=P$2) * 'Full month Pivot'!$D$3:$K$400), "")</f>
        <v/>
      </c>
      <c r="Q153" s="193">
        <f>IF(SUMPRODUCT((('Full month Pivot'!$B$3:$B$400=$A$147) + ('Full month Pivot'!$A$3:$A$400=$A$147) &gt; 0) * (TRIM('Full month Pivot'!$C$3:$C$400)=TRIM($A153)) * ('Full month Pivot'!$D$2:$K$2=Q$2) * 'Full month Pivot'!$D$3:$K$400)&gt;0, SUMPRODUCT((('Full month Pivot'!$B$3:$B$400=$A$147) + ('Full month Pivot'!$A$3:$A$400=$A$147) &gt; 0) * (TRIM('Full month Pivot'!$C$3:$C$400)=TRIM($A153)) * ('Full month Pivot'!$D$2:$K$2=Q$2) * 'Full month Pivot'!$D$3:$K$400), "")</f>
        <v/>
      </c>
      <c r="R153" s="193">
        <f>IF(SUMPRODUCT((('Full month Pivot'!$B$3:$B$400=$A$147) + ('Full month Pivot'!$A$3:$A$400=$A$147) &gt; 0) * (TRIM('Full month Pivot'!$C$3:$C$400)=TRIM($A153)) * ('Full month Pivot'!$D$2:$K$2=R$2) * 'Full month Pivot'!$D$3:$K$400)&gt;0, SUMPRODUCT((('Full month Pivot'!$B$3:$B$400=$A$147) + ('Full month Pivot'!$A$3:$A$400=$A$147) &gt; 0) * (TRIM('Full month Pivot'!$C$3:$C$400)=TRIM($A153)) * ('Full month Pivot'!$D$2:$K$2=R$2) * 'Full month Pivot'!$D$3:$K$400), "")</f>
        <v/>
      </c>
      <c r="S153" s="193">
        <f>IF(SUMPRODUCT((('Full month Pivot'!$B$3:$B$400=$A$147) + ('Full month Pivot'!$A$3:$A$400=$A$147) &gt; 0) * (TRIM('Full month Pivot'!$C$3:$C$400)=TRIM($A153)) * ('Full month Pivot'!$D$2:$K$2=S$2) * 'Full month Pivot'!$D$3:$K$400)&gt;0, SUMPRODUCT((('Full month Pivot'!$B$3:$B$400=$A$147) + ('Full month Pivot'!$A$3:$A$400=$A$147) &gt; 0) * (TRIM('Full month Pivot'!$C$3:$C$400)=TRIM($A153)) * ('Full month Pivot'!$D$2:$K$2=S$2) * 'Full month Pivot'!$D$3:$K$400), "")</f>
        <v/>
      </c>
      <c r="T153" s="193">
        <f>IF(SUMPRODUCT((('Full month Pivot'!$B$3:$B$400=$A$147) + ('Full month Pivot'!$A$3:$A$400=$A$147) &gt; 0) * (TRIM('Full month Pivot'!$C$3:$C$400)=TRIM($A153)) * ('Full month Pivot'!$D$2:$K$2=T$2) * 'Full month Pivot'!$D$3:$K$400)&gt;0, SUMPRODUCT((('Full month Pivot'!$B$3:$B$400=$A$147) + ('Full month Pivot'!$A$3:$A$400=$A$147) &gt; 0) * (TRIM('Full month Pivot'!$C$3:$C$400)=TRIM($A153)) * ('Full month Pivot'!$D$2:$K$2=T$2) * 'Full month Pivot'!$D$3:$K$400), "")</f>
        <v/>
      </c>
      <c r="U153" s="193">
        <f>IF(SUMPRODUCT((('Full month Pivot'!$B$3:$B$400=$A$147) + ('Full month Pivot'!$A$3:$A$400=$A$147) &gt; 0) * (TRIM('Full month Pivot'!$C$3:$C$400)=TRIM($A153)) * ('Full month Pivot'!$D$2:$K$2=U$2) * 'Full month Pivot'!$D$3:$K$400)&gt;0, SUMPRODUCT((('Full month Pivot'!$B$3:$B$400=$A$147) + ('Full month Pivot'!$A$3:$A$400=$A$147) &gt; 0) * (TRIM('Full month Pivot'!$C$3:$C$400)=TRIM($A153)) * ('Full month Pivot'!$D$2:$K$2=U$2) * 'Full month Pivot'!$D$3:$K$400), "")</f>
        <v/>
      </c>
      <c r="V153" s="193">
        <f>IF(SUMPRODUCT((('Full month Pivot'!$B$3:$B$400=$A$147) + ('Full month Pivot'!$A$3:$A$400=$A$147) &gt; 0) * (TRIM('Full month Pivot'!$C$3:$C$400)=TRIM($A153)) * ('Full month Pivot'!$D$2:$K$2=V$2) * 'Full month Pivot'!$D$3:$K$400)&gt;0, SUMPRODUCT((('Full month Pivot'!$B$3:$B$400=$A$147) + ('Full month Pivot'!$A$3:$A$400=$A$147) &gt; 0) * (TRIM('Full month Pivot'!$C$3:$C$400)=TRIM($A153)) * ('Full month Pivot'!$D$2:$K$2=V$2) * 'Full month Pivot'!$D$3:$K$400), "")</f>
        <v/>
      </c>
      <c r="W153" s="193">
        <f>IF(SUMPRODUCT((('Full month Pivot'!$B$3:$B$400=$A$147) + ('Full month Pivot'!$A$3:$A$400=$A$147) &gt; 0) * (TRIM('Full month Pivot'!$C$3:$C$400)=TRIM($A153)) * ('Full month Pivot'!$D$2:$K$2=W$2) * 'Full month Pivot'!$D$3:$K$400)&gt;0, SUMPRODUCT((('Full month Pivot'!$B$3:$B$400=$A$147) + ('Full month Pivot'!$A$3:$A$400=$A$147) &gt; 0) * (TRIM('Full month Pivot'!$C$3:$C$400)=TRIM($A153)) * ('Full month Pivot'!$D$2:$K$2=W$2) * 'Full month Pivot'!$D$3:$K$400), "")</f>
        <v/>
      </c>
      <c r="X153" s="193">
        <f>IF(SUMPRODUCT((('Full month Pivot'!$B$3:$B$400=$A$147) + ('Full month Pivot'!$A$3:$A$400=$A$147) &gt; 0) * (TRIM('Full month Pivot'!$C$3:$C$400)=TRIM($A153)) * ('Full month Pivot'!$D$2:$K$2=X$2) * 'Full month Pivot'!$D$3:$K$400)&gt;0, SUMPRODUCT((('Full month Pivot'!$B$3:$B$400=$A$147) + ('Full month Pivot'!$A$3:$A$400=$A$147) &gt; 0) * (TRIM('Full month Pivot'!$C$3:$C$400)=TRIM($A153)) * ('Full month Pivot'!$D$2:$K$2=X$2) * 'Full month Pivot'!$D$3:$K$400), "")</f>
        <v/>
      </c>
      <c r="Y153" s="193">
        <f>IF(SUMPRODUCT((('Full month Pivot'!$B$3:$B$400=$A$147) + ('Full month Pivot'!$A$3:$A$400=$A$147) &gt; 0) * (TRIM('Full month Pivot'!$C$3:$C$400)=TRIM($A153)) * ('Full month Pivot'!$D$2:$K$2=Y$2) * 'Full month Pivot'!$D$3:$K$400)&gt;0, SUMPRODUCT((('Full month Pivot'!$B$3:$B$400=$A$147) + ('Full month Pivot'!$A$3:$A$400=$A$147) &gt; 0) * (TRIM('Full month Pivot'!$C$3:$C$400)=TRIM($A153)) * ('Full month Pivot'!$D$2:$K$2=Y$2) * 'Full month Pivot'!$D$3:$K$400), "")</f>
        <v/>
      </c>
      <c r="Z153" s="193">
        <f>IF(SUMPRODUCT((('Full month Pivot'!$B$3:$B$400=$A$147) + ('Full month Pivot'!$A$3:$A$400=$A$147) &gt; 0) * (TRIM('Full month Pivot'!$C$3:$C$400)=TRIM($A153)) * ('Full month Pivot'!$D$2:$K$2=Z$2) * 'Full month Pivot'!$D$3:$K$400)&gt;0, SUMPRODUCT((('Full month Pivot'!$B$3:$B$400=$A$147) + ('Full month Pivot'!$A$3:$A$400=$A$147) &gt; 0) * (TRIM('Full month Pivot'!$C$3:$C$400)=TRIM($A153)) * ('Full month Pivot'!$D$2:$K$2=Z$2) * 'Full month Pivot'!$D$3:$K$400), "")</f>
        <v/>
      </c>
      <c r="AA153" s="157">
        <f>IF(AND(ISNUMBER(X153), ISNUMBER(W153), W153&gt;0), (X153-W153)/W153, "")</f>
        <v/>
      </c>
      <c r="AB153" s="140" t="n"/>
      <c r="AC153" s="140" t="n"/>
      <c r="AD153" s="140" t="n"/>
    </row>
    <row r="154" ht="15.75" customHeight="1" s="346">
      <c r="A154" s="202" t="inlineStr">
        <is>
          <t xml:space="preserve">  Paid</t>
        </is>
      </c>
      <c r="B154" s="193">
        <f>IF(SUMPRODUCT((('MTD Pivot'!$B$3:$B$400=$A$147) + ('MTD Pivot'!$A$3:$A$400=$A$147) &gt; 0) * (TRIM('MTD Pivot'!$C$3:$C$400)=TRIM($A154)) * ('MTD Pivot'!$D$2:$K$2=B$2) * 'MTD Pivot'!$D$3:$K$400)&gt;0, SUMPRODUCT((('MTD Pivot'!$B$3:$B$400=$A$147) + ('MTD Pivot'!$A$3:$A$400=$A$147) &gt; 0) * (TRIM('MTD Pivot'!$C$3:$C$400)=TRIM($A154)) * ('MTD Pivot'!$D$2:$K$2=B$2) * 'MTD Pivot'!$D$3:$K$400), "")</f>
        <v/>
      </c>
      <c r="C154" s="193">
        <f>IF(SUMPRODUCT((('MTD Pivot'!$B$3:$B$400=$A$147) + ('MTD Pivot'!$A$3:$A$400=$A$147) &gt; 0) * (TRIM('MTD Pivot'!$C$3:$C$400)=TRIM($A154)) * ('MTD Pivot'!$D$2:$K$2=C$2) * 'MTD Pivot'!$D$3:$K$400)&gt;0, SUMPRODUCT((('MTD Pivot'!$B$3:$B$400=$A$147) + ('MTD Pivot'!$A$3:$A$400=$A$147) &gt; 0) * (TRIM('MTD Pivot'!$C$3:$C$400)=TRIM($A154)) * ('MTD Pivot'!$D$2:$K$2=C$2) * 'MTD Pivot'!$D$3:$K$400), "")</f>
        <v/>
      </c>
      <c r="D154" s="193">
        <f>IF(SUMPRODUCT((('MTD Pivot'!$B$3:$B$400=$A$147) + ('MTD Pivot'!$A$3:$A$400=$A$147) &gt; 0) * (TRIM('MTD Pivot'!$C$3:$C$400)=TRIM($A154)) * ('MTD Pivot'!$D$2:$K$2=D$2) * 'MTD Pivot'!$D$3:$K$400)&gt;0, SUMPRODUCT((('MTD Pivot'!$B$3:$B$400=$A$147) + ('MTD Pivot'!$A$3:$A$400=$A$147) &gt; 0) * (TRIM('MTD Pivot'!$C$3:$C$400)=TRIM($A154)) * ('MTD Pivot'!$D$2:$K$2=D$2) * 'MTD Pivot'!$D$3:$K$400), "")</f>
        <v/>
      </c>
      <c r="E154" s="193">
        <f>IF(SUMPRODUCT((('MTD Pivot'!$B$3:$B$400=$A$147) + ('MTD Pivot'!$A$3:$A$400=$A$147) &gt; 0) * (TRIM('MTD Pivot'!$C$3:$C$400)=TRIM($A154)) * ('MTD Pivot'!$D$2:$K$2=E$2) * 'MTD Pivot'!$D$3:$K$400)&gt;0, SUMPRODUCT((('MTD Pivot'!$B$3:$B$400=$A$147) + ('MTD Pivot'!$A$3:$A$400=$A$147) &gt; 0) * (TRIM('MTD Pivot'!$C$3:$C$400)=TRIM($A154)) * ('MTD Pivot'!$D$2:$K$2=E$2) * 'MTD Pivot'!$D$3:$K$400), "")</f>
        <v/>
      </c>
      <c r="F154" s="193">
        <f>IF(SUMPRODUCT((('MTD Pivot'!$B$3:$B$400=$A$147) + ('MTD Pivot'!$A$3:$A$400=$A$147) &gt; 0) * (TRIM('MTD Pivot'!$C$3:$C$400)=TRIM($A154)) * ('MTD Pivot'!$D$2:$K$2=F$2) * 'MTD Pivot'!$D$3:$K$400)&gt;0, SUMPRODUCT((('MTD Pivot'!$B$3:$B$400=$A$147) + ('MTD Pivot'!$A$3:$A$400=$A$147) &gt; 0) * (TRIM('MTD Pivot'!$C$3:$C$400)=TRIM($A154)) * ('MTD Pivot'!$D$2:$K$2=F$2) * 'MTD Pivot'!$D$3:$K$400), "")</f>
        <v/>
      </c>
      <c r="G154" s="193">
        <f>IF(SUMPRODUCT((('MTD Pivot'!$B$3:$B$400=$A$147) + ('MTD Pivot'!$A$3:$A$400=$A$147) &gt; 0) * (TRIM('MTD Pivot'!$C$3:$C$400)=TRIM($A154)) * ('MTD Pivot'!$D$2:$K$2=G$2) * 'MTD Pivot'!$D$3:$K$400)&gt;0, SUMPRODUCT((('MTD Pivot'!$B$3:$B$400=$A$147) + ('MTD Pivot'!$A$3:$A$400=$A$147) &gt; 0) * (TRIM('MTD Pivot'!$C$3:$C$400)=TRIM($A154)) * ('MTD Pivot'!$D$2:$K$2=G$2) * 'MTD Pivot'!$D$3:$K$400), "")</f>
        <v/>
      </c>
      <c r="H154" s="193">
        <f>IF(SUMPRODUCT((('MTD Pivot'!$B$3:$B$400=$A$147) + ('MTD Pivot'!$A$3:$A$400=$A$147) &gt; 0) * (TRIM('MTD Pivot'!$C$3:$C$400)=TRIM($A154)) * ('MTD Pivot'!$D$2:$K$2=H$2) * 'MTD Pivot'!$D$3:$K$400)&gt;0, SUMPRODUCT((('MTD Pivot'!$B$3:$B$400=$A$147) + ('MTD Pivot'!$A$3:$A$400=$A$147) &gt; 0) * (TRIM('MTD Pivot'!$C$3:$C$400)=TRIM($A154)) * ('MTD Pivot'!$D$2:$K$2=H$2) * 'MTD Pivot'!$D$3:$K$400), "")</f>
        <v/>
      </c>
      <c r="I154" s="193">
        <f>IF(SUMPRODUCT((('MTD Pivot'!$B$3:$B$400=$A$147) + ('MTD Pivot'!$A$3:$A$400=$A$147) &gt; 0) * (TRIM('MTD Pivot'!$C$3:$C$400)=TRIM($A154)) * ('MTD Pivot'!$D$2:$K$2=I$2) * 'MTD Pivot'!$D$3:$K$400)&gt;0, SUMPRODUCT((('MTD Pivot'!$B$3:$B$400=$A$147) + ('MTD Pivot'!$A$3:$A$400=$A$147) &gt; 0) * (TRIM('MTD Pivot'!$C$3:$C$400)=TRIM($A154)) * ('MTD Pivot'!$D$2:$K$2=I$2) * 'MTD Pivot'!$D$3:$K$400), "")</f>
        <v/>
      </c>
      <c r="J154" s="193">
        <f>IF(SUMPRODUCT((('MTD Pivot'!$B$3:$B$400=$A$147) + ('MTD Pivot'!$A$3:$A$400=$A$147) &gt; 0) * (TRIM('MTD Pivot'!$C$3:$C$400)=TRIM($A154)) * ('MTD Pivot'!$D$2:$K$2=J$2) * 'MTD Pivot'!$D$3:$K$400)&gt;0, SUMPRODUCT((('MTD Pivot'!$B$3:$B$400=$A$147) + ('MTD Pivot'!$A$3:$A$400=$A$147) &gt; 0) * (TRIM('MTD Pivot'!$C$3:$C$400)=TRIM($A154)) * ('MTD Pivot'!$D$2:$K$2=J$2) * 'MTD Pivot'!$D$3:$K$400), "")</f>
        <v/>
      </c>
      <c r="K154" s="193">
        <f>IF(SUMPRODUCT((('MTD Pivot'!$B$3:$B$400=$A$147) + ('MTD Pivot'!$A$3:$A$400=$A$147) &gt; 0) * (TRIM('MTD Pivot'!$C$3:$C$400)=TRIM($A154)) * ('MTD Pivot'!$D$2:$K$2=K$2) * 'MTD Pivot'!$D$3:$K$400)&gt;0, SUMPRODUCT((('MTD Pivot'!$B$3:$B$400=$A$147) + ('MTD Pivot'!$A$3:$A$400=$A$147) &gt; 0) * (TRIM('MTD Pivot'!$C$3:$C$400)=TRIM($A154)) * ('MTD Pivot'!$D$2:$K$2=K$2) * 'MTD Pivot'!$D$3:$K$400), "")</f>
        <v/>
      </c>
      <c r="L154" s="193">
        <f>IF(SUMPRODUCT((('MTD Pivot'!$B$3:$B$400=$A$147) + ('MTD Pivot'!$A$3:$A$400=$A$147) &gt; 0) * (TRIM('MTD Pivot'!$C$3:$C$400)=TRIM($A154)) * ('MTD Pivot'!$D$2:$K$2=L$2) * 'MTD Pivot'!$D$3:$K$400)&gt;0, SUMPRODUCT((('MTD Pivot'!$B$3:$B$400=$A$147) + ('MTD Pivot'!$A$3:$A$400=$A$147) &gt; 0) * (TRIM('MTD Pivot'!$C$3:$C$400)=TRIM($A154)) * ('MTD Pivot'!$D$2:$K$2=L$2) * 'MTD Pivot'!$D$3:$K$400), "")</f>
        <v/>
      </c>
      <c r="M154" s="193">
        <f>IF(SUMPRODUCT((('MTD Pivot'!$B$3:$B$400=$A$147) + ('MTD Pivot'!$A$3:$A$400=$A$147) &gt; 0) * (TRIM('MTD Pivot'!$C$3:$C$400)=TRIM($A154)) * ('MTD Pivot'!$D$2:$K$2=M$2) * 'MTD Pivot'!$D$3:$K$400)&gt;0, SUMPRODUCT((('MTD Pivot'!$B$3:$B$400=$A$147) + ('MTD Pivot'!$A$3:$A$400=$A$147) &gt; 0) * (TRIM('MTD Pivot'!$C$3:$C$400)=TRIM($A154)) * ('MTD Pivot'!$D$2:$K$2=M$2) * 'MTD Pivot'!$D$3:$K$400), "")</f>
        <v/>
      </c>
      <c r="N154" s="157">
        <f>IF(AND(ISNUMBER(K154), ISNUMBER(J154), J154&gt;0), (K154-J154)/J154, "")</f>
        <v/>
      </c>
      <c r="O154" s="193">
        <f>IF(SUMPRODUCT((('Full month Pivot'!$B$3:$B$400=$A$147) + ('Full month Pivot'!$A$3:$A$400=$A$147) &gt; 0) * (TRIM('Full month Pivot'!$C$3:$C$400)=TRIM($A154)) * ('Full month Pivot'!$D$2:$K$2=O$2) * 'Full month Pivot'!$D$3:$K$400)&gt;0, SUMPRODUCT((('Full month Pivot'!$B$3:$B$400=$A$147) + ('Full month Pivot'!$A$3:$A$400=$A$147) &gt; 0) * (TRIM('Full month Pivot'!$C$3:$C$400)=TRIM($A154)) * ('Full month Pivot'!$D$2:$K$2=O$2) * 'Full month Pivot'!$D$3:$K$400), "")</f>
        <v/>
      </c>
      <c r="P154" s="193">
        <f>IF(SUMPRODUCT((('Full month Pivot'!$B$3:$B$400=$A$147) + ('Full month Pivot'!$A$3:$A$400=$A$147) &gt; 0) * (TRIM('Full month Pivot'!$C$3:$C$400)=TRIM($A154)) * ('Full month Pivot'!$D$2:$K$2=P$2) * 'Full month Pivot'!$D$3:$K$400)&gt;0, SUMPRODUCT((('Full month Pivot'!$B$3:$B$400=$A$147) + ('Full month Pivot'!$A$3:$A$400=$A$147) &gt; 0) * (TRIM('Full month Pivot'!$C$3:$C$400)=TRIM($A154)) * ('Full month Pivot'!$D$2:$K$2=P$2) * 'Full month Pivot'!$D$3:$K$400), "")</f>
        <v/>
      </c>
      <c r="Q154" s="193">
        <f>IF(SUMPRODUCT((('Full month Pivot'!$B$3:$B$400=$A$147) + ('Full month Pivot'!$A$3:$A$400=$A$147) &gt; 0) * (TRIM('Full month Pivot'!$C$3:$C$400)=TRIM($A154)) * ('Full month Pivot'!$D$2:$K$2=Q$2) * 'Full month Pivot'!$D$3:$K$400)&gt;0, SUMPRODUCT((('Full month Pivot'!$B$3:$B$400=$A$147) + ('Full month Pivot'!$A$3:$A$400=$A$147) &gt; 0) * (TRIM('Full month Pivot'!$C$3:$C$400)=TRIM($A154)) * ('Full month Pivot'!$D$2:$K$2=Q$2) * 'Full month Pivot'!$D$3:$K$400), "")</f>
        <v/>
      </c>
      <c r="R154" s="193">
        <f>IF(SUMPRODUCT((('Full month Pivot'!$B$3:$B$400=$A$147) + ('Full month Pivot'!$A$3:$A$400=$A$147) &gt; 0) * (TRIM('Full month Pivot'!$C$3:$C$400)=TRIM($A154)) * ('Full month Pivot'!$D$2:$K$2=R$2) * 'Full month Pivot'!$D$3:$K$400)&gt;0, SUMPRODUCT((('Full month Pivot'!$B$3:$B$400=$A$147) + ('Full month Pivot'!$A$3:$A$400=$A$147) &gt; 0) * (TRIM('Full month Pivot'!$C$3:$C$400)=TRIM($A154)) * ('Full month Pivot'!$D$2:$K$2=R$2) * 'Full month Pivot'!$D$3:$K$400), "")</f>
        <v/>
      </c>
      <c r="S154" s="193">
        <f>IF(SUMPRODUCT((('Full month Pivot'!$B$3:$B$400=$A$147) + ('Full month Pivot'!$A$3:$A$400=$A$147) &gt; 0) * (TRIM('Full month Pivot'!$C$3:$C$400)=TRIM($A154)) * ('Full month Pivot'!$D$2:$K$2=S$2) * 'Full month Pivot'!$D$3:$K$400)&gt;0, SUMPRODUCT((('Full month Pivot'!$B$3:$B$400=$A$147) + ('Full month Pivot'!$A$3:$A$400=$A$147) &gt; 0) * (TRIM('Full month Pivot'!$C$3:$C$400)=TRIM($A154)) * ('Full month Pivot'!$D$2:$K$2=S$2) * 'Full month Pivot'!$D$3:$K$400), "")</f>
        <v/>
      </c>
      <c r="T154" s="193">
        <f>IF(SUMPRODUCT((('Full month Pivot'!$B$3:$B$400=$A$147) + ('Full month Pivot'!$A$3:$A$400=$A$147) &gt; 0) * (TRIM('Full month Pivot'!$C$3:$C$400)=TRIM($A154)) * ('Full month Pivot'!$D$2:$K$2=T$2) * 'Full month Pivot'!$D$3:$K$400)&gt;0, SUMPRODUCT((('Full month Pivot'!$B$3:$B$400=$A$147) + ('Full month Pivot'!$A$3:$A$400=$A$147) &gt; 0) * (TRIM('Full month Pivot'!$C$3:$C$400)=TRIM($A154)) * ('Full month Pivot'!$D$2:$K$2=T$2) * 'Full month Pivot'!$D$3:$K$400), "")</f>
        <v/>
      </c>
      <c r="U154" s="193">
        <f>IF(SUMPRODUCT((('Full month Pivot'!$B$3:$B$400=$A$147) + ('Full month Pivot'!$A$3:$A$400=$A$147) &gt; 0) * (TRIM('Full month Pivot'!$C$3:$C$400)=TRIM($A154)) * ('Full month Pivot'!$D$2:$K$2=U$2) * 'Full month Pivot'!$D$3:$K$400)&gt;0, SUMPRODUCT((('Full month Pivot'!$B$3:$B$400=$A$147) + ('Full month Pivot'!$A$3:$A$400=$A$147) &gt; 0) * (TRIM('Full month Pivot'!$C$3:$C$400)=TRIM($A154)) * ('Full month Pivot'!$D$2:$K$2=U$2) * 'Full month Pivot'!$D$3:$K$400), "")</f>
        <v/>
      </c>
      <c r="V154" s="193">
        <f>IF(SUMPRODUCT((('Full month Pivot'!$B$3:$B$400=$A$147) + ('Full month Pivot'!$A$3:$A$400=$A$147) &gt; 0) * (TRIM('Full month Pivot'!$C$3:$C$400)=TRIM($A154)) * ('Full month Pivot'!$D$2:$K$2=V$2) * 'Full month Pivot'!$D$3:$K$400)&gt;0, SUMPRODUCT((('Full month Pivot'!$B$3:$B$400=$A$147) + ('Full month Pivot'!$A$3:$A$400=$A$147) &gt; 0) * (TRIM('Full month Pivot'!$C$3:$C$400)=TRIM($A154)) * ('Full month Pivot'!$D$2:$K$2=V$2) * 'Full month Pivot'!$D$3:$K$400), "")</f>
        <v/>
      </c>
      <c r="W154" s="193">
        <f>IF(SUMPRODUCT((('Full month Pivot'!$B$3:$B$400=$A$147) + ('Full month Pivot'!$A$3:$A$400=$A$147) &gt; 0) * (TRIM('Full month Pivot'!$C$3:$C$400)=TRIM($A154)) * ('Full month Pivot'!$D$2:$K$2=W$2) * 'Full month Pivot'!$D$3:$K$400)&gt;0, SUMPRODUCT((('Full month Pivot'!$B$3:$B$400=$A$147) + ('Full month Pivot'!$A$3:$A$400=$A$147) &gt; 0) * (TRIM('Full month Pivot'!$C$3:$C$400)=TRIM($A154)) * ('Full month Pivot'!$D$2:$K$2=W$2) * 'Full month Pivot'!$D$3:$K$400), "")</f>
        <v/>
      </c>
      <c r="X154" s="193">
        <f>IF(SUMPRODUCT((('Full month Pivot'!$B$3:$B$400=$A$147) + ('Full month Pivot'!$A$3:$A$400=$A$147) &gt; 0) * (TRIM('Full month Pivot'!$C$3:$C$400)=TRIM($A154)) * ('Full month Pivot'!$D$2:$K$2=X$2) * 'Full month Pivot'!$D$3:$K$400)&gt;0, SUMPRODUCT((('Full month Pivot'!$B$3:$B$400=$A$147) + ('Full month Pivot'!$A$3:$A$400=$A$147) &gt; 0) * (TRIM('Full month Pivot'!$C$3:$C$400)=TRIM($A154)) * ('Full month Pivot'!$D$2:$K$2=X$2) * 'Full month Pivot'!$D$3:$K$400), "")</f>
        <v/>
      </c>
      <c r="Y154" s="193">
        <f>IF(SUMPRODUCT((('Full month Pivot'!$B$3:$B$400=$A$147) + ('Full month Pivot'!$A$3:$A$400=$A$147) &gt; 0) * (TRIM('Full month Pivot'!$C$3:$C$400)=TRIM($A154)) * ('Full month Pivot'!$D$2:$K$2=Y$2) * 'Full month Pivot'!$D$3:$K$400)&gt;0, SUMPRODUCT((('Full month Pivot'!$B$3:$B$400=$A$147) + ('Full month Pivot'!$A$3:$A$400=$A$147) &gt; 0) * (TRIM('Full month Pivot'!$C$3:$C$400)=TRIM($A154)) * ('Full month Pivot'!$D$2:$K$2=Y$2) * 'Full month Pivot'!$D$3:$K$400), "")</f>
        <v/>
      </c>
      <c r="Z154" s="193">
        <f>IF(SUMPRODUCT((('Full month Pivot'!$B$3:$B$400=$A$147) + ('Full month Pivot'!$A$3:$A$400=$A$147) &gt; 0) * (TRIM('Full month Pivot'!$C$3:$C$400)=TRIM($A154)) * ('Full month Pivot'!$D$2:$K$2=Z$2) * 'Full month Pivot'!$D$3:$K$400)&gt;0, SUMPRODUCT((('Full month Pivot'!$B$3:$B$400=$A$147) + ('Full month Pivot'!$A$3:$A$400=$A$147) &gt; 0) * (TRIM('Full month Pivot'!$C$3:$C$400)=TRIM($A154)) * ('Full month Pivot'!$D$2:$K$2=Z$2) * 'Full month Pivot'!$D$3:$K$400), "")</f>
        <v/>
      </c>
      <c r="AA154" s="157">
        <f>IF(AND(ISNUMBER(X154), ISNUMBER(W154), W154&gt;0), (X154-W154)/W154, "")</f>
        <v/>
      </c>
      <c r="AB154" s="140" t="n"/>
      <c r="AC154" s="140" t="n"/>
      <c r="AD154" s="140" t="n"/>
    </row>
    <row r="155" ht="15.75" customHeight="1" s="346">
      <c r="A155" s="202" t="inlineStr">
        <is>
          <t xml:space="preserve">  Direct</t>
        </is>
      </c>
      <c r="B155" s="193">
        <f>IF(SUMPRODUCT((('MTD Pivot'!$B$3:$B$400=$A$147) + ('MTD Pivot'!$A$3:$A$400=$A$147) &gt; 0) * (TRIM('MTD Pivot'!$C$3:$C$400)=TRIM($A155)) * ('MTD Pivot'!$D$2:$K$2=B$2) * 'MTD Pivot'!$D$3:$K$400)&gt;0, SUMPRODUCT((('MTD Pivot'!$B$3:$B$400=$A$147) + ('MTD Pivot'!$A$3:$A$400=$A$147) &gt; 0) * (TRIM('MTD Pivot'!$C$3:$C$400)=TRIM($A155)) * ('MTD Pivot'!$D$2:$K$2=B$2) * 'MTD Pivot'!$D$3:$K$400), "")</f>
        <v/>
      </c>
      <c r="C155" s="193">
        <f>IF(SUMPRODUCT((('MTD Pivot'!$B$3:$B$400=$A$147) + ('MTD Pivot'!$A$3:$A$400=$A$147) &gt; 0) * (TRIM('MTD Pivot'!$C$3:$C$400)=TRIM($A155)) * ('MTD Pivot'!$D$2:$K$2=C$2) * 'MTD Pivot'!$D$3:$K$400)&gt;0, SUMPRODUCT((('MTD Pivot'!$B$3:$B$400=$A$147) + ('MTD Pivot'!$A$3:$A$400=$A$147) &gt; 0) * (TRIM('MTD Pivot'!$C$3:$C$400)=TRIM($A155)) * ('MTD Pivot'!$D$2:$K$2=C$2) * 'MTD Pivot'!$D$3:$K$400), "")</f>
        <v/>
      </c>
      <c r="D155" s="193">
        <f>IF(SUMPRODUCT((('MTD Pivot'!$B$3:$B$400=$A$147) + ('MTD Pivot'!$A$3:$A$400=$A$147) &gt; 0) * (TRIM('MTD Pivot'!$C$3:$C$400)=TRIM($A155)) * ('MTD Pivot'!$D$2:$K$2=D$2) * 'MTD Pivot'!$D$3:$K$400)&gt;0, SUMPRODUCT((('MTD Pivot'!$B$3:$B$400=$A$147) + ('MTD Pivot'!$A$3:$A$400=$A$147) &gt; 0) * (TRIM('MTD Pivot'!$C$3:$C$400)=TRIM($A155)) * ('MTD Pivot'!$D$2:$K$2=D$2) * 'MTD Pivot'!$D$3:$K$400), "")</f>
        <v/>
      </c>
      <c r="E155" s="193">
        <f>IF(SUMPRODUCT((('MTD Pivot'!$B$3:$B$400=$A$147) + ('MTD Pivot'!$A$3:$A$400=$A$147) &gt; 0) * (TRIM('MTD Pivot'!$C$3:$C$400)=TRIM($A155)) * ('MTD Pivot'!$D$2:$K$2=E$2) * 'MTD Pivot'!$D$3:$K$400)&gt;0, SUMPRODUCT((('MTD Pivot'!$B$3:$B$400=$A$147) + ('MTD Pivot'!$A$3:$A$400=$A$147) &gt; 0) * (TRIM('MTD Pivot'!$C$3:$C$400)=TRIM($A155)) * ('MTD Pivot'!$D$2:$K$2=E$2) * 'MTD Pivot'!$D$3:$K$400), "")</f>
        <v/>
      </c>
      <c r="F155" s="193">
        <f>IF(SUMPRODUCT((('MTD Pivot'!$B$3:$B$400=$A$147) + ('MTD Pivot'!$A$3:$A$400=$A$147) &gt; 0) * (TRIM('MTD Pivot'!$C$3:$C$400)=TRIM($A155)) * ('MTD Pivot'!$D$2:$K$2=F$2) * 'MTD Pivot'!$D$3:$K$400)&gt;0, SUMPRODUCT((('MTD Pivot'!$B$3:$B$400=$A$147) + ('MTD Pivot'!$A$3:$A$400=$A$147) &gt; 0) * (TRIM('MTD Pivot'!$C$3:$C$400)=TRIM($A155)) * ('MTD Pivot'!$D$2:$K$2=F$2) * 'MTD Pivot'!$D$3:$K$400), "")</f>
        <v/>
      </c>
      <c r="G155" s="193">
        <f>IF(SUMPRODUCT((('MTD Pivot'!$B$3:$B$400=$A$147) + ('MTD Pivot'!$A$3:$A$400=$A$147) &gt; 0) * (TRIM('MTD Pivot'!$C$3:$C$400)=TRIM($A155)) * ('MTD Pivot'!$D$2:$K$2=G$2) * 'MTD Pivot'!$D$3:$K$400)&gt;0, SUMPRODUCT((('MTD Pivot'!$B$3:$B$400=$A$147) + ('MTD Pivot'!$A$3:$A$400=$A$147) &gt; 0) * (TRIM('MTD Pivot'!$C$3:$C$400)=TRIM($A155)) * ('MTD Pivot'!$D$2:$K$2=G$2) * 'MTD Pivot'!$D$3:$K$400), "")</f>
        <v/>
      </c>
      <c r="H155" s="193">
        <f>IF(SUMPRODUCT((('MTD Pivot'!$B$3:$B$400=$A$147) + ('MTD Pivot'!$A$3:$A$400=$A$147) &gt; 0) * (TRIM('MTD Pivot'!$C$3:$C$400)=TRIM($A155)) * ('MTD Pivot'!$D$2:$K$2=H$2) * 'MTD Pivot'!$D$3:$K$400)&gt;0, SUMPRODUCT((('MTD Pivot'!$B$3:$B$400=$A$147) + ('MTD Pivot'!$A$3:$A$400=$A$147) &gt; 0) * (TRIM('MTD Pivot'!$C$3:$C$400)=TRIM($A155)) * ('MTD Pivot'!$D$2:$K$2=H$2) * 'MTD Pivot'!$D$3:$K$400), "")</f>
        <v/>
      </c>
      <c r="I155" s="193">
        <f>IF(SUMPRODUCT((('MTD Pivot'!$B$3:$B$400=$A$147) + ('MTD Pivot'!$A$3:$A$400=$A$147) &gt; 0) * (TRIM('MTD Pivot'!$C$3:$C$400)=TRIM($A155)) * ('MTD Pivot'!$D$2:$K$2=I$2) * 'MTD Pivot'!$D$3:$K$400)&gt;0, SUMPRODUCT((('MTD Pivot'!$B$3:$B$400=$A$147) + ('MTD Pivot'!$A$3:$A$400=$A$147) &gt; 0) * (TRIM('MTD Pivot'!$C$3:$C$400)=TRIM($A155)) * ('MTD Pivot'!$D$2:$K$2=I$2) * 'MTD Pivot'!$D$3:$K$400), "")</f>
        <v/>
      </c>
      <c r="J155" s="193">
        <f>IF(SUMPRODUCT((('MTD Pivot'!$B$3:$B$400=$A$147) + ('MTD Pivot'!$A$3:$A$400=$A$147) &gt; 0) * (TRIM('MTD Pivot'!$C$3:$C$400)=TRIM($A155)) * ('MTD Pivot'!$D$2:$K$2=J$2) * 'MTD Pivot'!$D$3:$K$400)&gt;0, SUMPRODUCT((('MTD Pivot'!$B$3:$B$400=$A$147) + ('MTD Pivot'!$A$3:$A$400=$A$147) &gt; 0) * (TRIM('MTD Pivot'!$C$3:$C$400)=TRIM($A155)) * ('MTD Pivot'!$D$2:$K$2=J$2) * 'MTD Pivot'!$D$3:$K$400), "")</f>
        <v/>
      </c>
      <c r="K155" s="193">
        <f>IF(SUMPRODUCT((('MTD Pivot'!$B$3:$B$400=$A$147) + ('MTD Pivot'!$A$3:$A$400=$A$147) &gt; 0) * (TRIM('MTD Pivot'!$C$3:$C$400)=TRIM($A155)) * ('MTD Pivot'!$D$2:$K$2=K$2) * 'MTD Pivot'!$D$3:$K$400)&gt;0, SUMPRODUCT((('MTD Pivot'!$B$3:$B$400=$A$147) + ('MTD Pivot'!$A$3:$A$400=$A$147) &gt; 0) * (TRIM('MTD Pivot'!$C$3:$C$400)=TRIM($A155)) * ('MTD Pivot'!$D$2:$K$2=K$2) * 'MTD Pivot'!$D$3:$K$400), "")</f>
        <v/>
      </c>
      <c r="L155" s="193">
        <f>IF(SUMPRODUCT((('MTD Pivot'!$B$3:$B$400=$A$147) + ('MTD Pivot'!$A$3:$A$400=$A$147) &gt; 0) * (TRIM('MTD Pivot'!$C$3:$C$400)=TRIM($A155)) * ('MTD Pivot'!$D$2:$K$2=L$2) * 'MTD Pivot'!$D$3:$K$400)&gt;0, SUMPRODUCT((('MTD Pivot'!$B$3:$B$400=$A$147) + ('MTD Pivot'!$A$3:$A$400=$A$147) &gt; 0) * (TRIM('MTD Pivot'!$C$3:$C$400)=TRIM($A155)) * ('MTD Pivot'!$D$2:$K$2=L$2) * 'MTD Pivot'!$D$3:$K$400), "")</f>
        <v/>
      </c>
      <c r="M155" s="193">
        <f>IF(SUMPRODUCT((('MTD Pivot'!$B$3:$B$400=$A$147) + ('MTD Pivot'!$A$3:$A$400=$A$147) &gt; 0) * (TRIM('MTD Pivot'!$C$3:$C$400)=TRIM($A155)) * ('MTD Pivot'!$D$2:$K$2=M$2) * 'MTD Pivot'!$D$3:$K$400)&gt;0, SUMPRODUCT((('MTD Pivot'!$B$3:$B$400=$A$147) + ('MTD Pivot'!$A$3:$A$400=$A$147) &gt; 0) * (TRIM('MTD Pivot'!$C$3:$C$400)=TRIM($A155)) * ('MTD Pivot'!$D$2:$K$2=M$2) * 'MTD Pivot'!$D$3:$K$400), "")</f>
        <v/>
      </c>
      <c r="N155" s="157">
        <f>IF(AND(ISNUMBER(K155), ISNUMBER(J155), J155&gt;0), (K155-J155)/J155, "")</f>
        <v/>
      </c>
      <c r="O155" s="193">
        <f>IF(SUMPRODUCT((('Full month Pivot'!$B$3:$B$400=$A$147) + ('Full month Pivot'!$A$3:$A$400=$A$147) &gt; 0) * (TRIM('Full month Pivot'!$C$3:$C$400)=TRIM($A155)) * ('Full month Pivot'!$D$2:$K$2=O$2) * 'Full month Pivot'!$D$3:$K$400)&gt;0, SUMPRODUCT((('Full month Pivot'!$B$3:$B$400=$A$147) + ('Full month Pivot'!$A$3:$A$400=$A$147) &gt; 0) * (TRIM('Full month Pivot'!$C$3:$C$400)=TRIM($A155)) * ('Full month Pivot'!$D$2:$K$2=O$2) * 'Full month Pivot'!$D$3:$K$400), "")</f>
        <v/>
      </c>
      <c r="P155" s="193">
        <f>IF(SUMPRODUCT((('Full month Pivot'!$B$3:$B$400=$A$147) + ('Full month Pivot'!$A$3:$A$400=$A$147) &gt; 0) * (TRIM('Full month Pivot'!$C$3:$C$400)=TRIM($A155)) * ('Full month Pivot'!$D$2:$K$2=P$2) * 'Full month Pivot'!$D$3:$K$400)&gt;0, SUMPRODUCT((('Full month Pivot'!$B$3:$B$400=$A$147) + ('Full month Pivot'!$A$3:$A$400=$A$147) &gt; 0) * (TRIM('Full month Pivot'!$C$3:$C$400)=TRIM($A155)) * ('Full month Pivot'!$D$2:$K$2=P$2) * 'Full month Pivot'!$D$3:$K$400), "")</f>
        <v/>
      </c>
      <c r="Q155" s="193">
        <f>IF(SUMPRODUCT((('Full month Pivot'!$B$3:$B$400=$A$147) + ('Full month Pivot'!$A$3:$A$400=$A$147) &gt; 0) * (TRIM('Full month Pivot'!$C$3:$C$400)=TRIM($A155)) * ('Full month Pivot'!$D$2:$K$2=Q$2) * 'Full month Pivot'!$D$3:$K$400)&gt;0, SUMPRODUCT((('Full month Pivot'!$B$3:$B$400=$A$147) + ('Full month Pivot'!$A$3:$A$400=$A$147) &gt; 0) * (TRIM('Full month Pivot'!$C$3:$C$400)=TRIM($A155)) * ('Full month Pivot'!$D$2:$K$2=Q$2) * 'Full month Pivot'!$D$3:$K$400), "")</f>
        <v/>
      </c>
      <c r="R155" s="193">
        <f>IF(SUMPRODUCT((('Full month Pivot'!$B$3:$B$400=$A$147) + ('Full month Pivot'!$A$3:$A$400=$A$147) &gt; 0) * (TRIM('Full month Pivot'!$C$3:$C$400)=TRIM($A155)) * ('Full month Pivot'!$D$2:$K$2=R$2) * 'Full month Pivot'!$D$3:$K$400)&gt;0, SUMPRODUCT((('Full month Pivot'!$B$3:$B$400=$A$147) + ('Full month Pivot'!$A$3:$A$400=$A$147) &gt; 0) * (TRIM('Full month Pivot'!$C$3:$C$400)=TRIM($A155)) * ('Full month Pivot'!$D$2:$K$2=R$2) * 'Full month Pivot'!$D$3:$K$400), "")</f>
        <v/>
      </c>
      <c r="S155" s="193">
        <f>IF(SUMPRODUCT((('Full month Pivot'!$B$3:$B$400=$A$147) + ('Full month Pivot'!$A$3:$A$400=$A$147) &gt; 0) * (TRIM('Full month Pivot'!$C$3:$C$400)=TRIM($A155)) * ('Full month Pivot'!$D$2:$K$2=S$2) * 'Full month Pivot'!$D$3:$K$400)&gt;0, SUMPRODUCT((('Full month Pivot'!$B$3:$B$400=$A$147) + ('Full month Pivot'!$A$3:$A$400=$A$147) &gt; 0) * (TRIM('Full month Pivot'!$C$3:$C$400)=TRIM($A155)) * ('Full month Pivot'!$D$2:$K$2=S$2) * 'Full month Pivot'!$D$3:$K$400), "")</f>
        <v/>
      </c>
      <c r="T155" s="193">
        <f>IF(SUMPRODUCT((('Full month Pivot'!$B$3:$B$400=$A$147) + ('Full month Pivot'!$A$3:$A$400=$A$147) &gt; 0) * (TRIM('Full month Pivot'!$C$3:$C$400)=TRIM($A155)) * ('Full month Pivot'!$D$2:$K$2=T$2) * 'Full month Pivot'!$D$3:$K$400)&gt;0, SUMPRODUCT((('Full month Pivot'!$B$3:$B$400=$A$147) + ('Full month Pivot'!$A$3:$A$400=$A$147) &gt; 0) * (TRIM('Full month Pivot'!$C$3:$C$400)=TRIM($A155)) * ('Full month Pivot'!$D$2:$K$2=T$2) * 'Full month Pivot'!$D$3:$K$400), "")</f>
        <v/>
      </c>
      <c r="U155" s="193">
        <f>IF(SUMPRODUCT((('Full month Pivot'!$B$3:$B$400=$A$147) + ('Full month Pivot'!$A$3:$A$400=$A$147) &gt; 0) * (TRIM('Full month Pivot'!$C$3:$C$400)=TRIM($A155)) * ('Full month Pivot'!$D$2:$K$2=U$2) * 'Full month Pivot'!$D$3:$K$400)&gt;0, SUMPRODUCT((('Full month Pivot'!$B$3:$B$400=$A$147) + ('Full month Pivot'!$A$3:$A$400=$A$147) &gt; 0) * (TRIM('Full month Pivot'!$C$3:$C$400)=TRIM($A155)) * ('Full month Pivot'!$D$2:$K$2=U$2) * 'Full month Pivot'!$D$3:$K$400), "")</f>
        <v/>
      </c>
      <c r="V155" s="193">
        <f>IF(SUMPRODUCT((('Full month Pivot'!$B$3:$B$400=$A$147) + ('Full month Pivot'!$A$3:$A$400=$A$147) &gt; 0) * (TRIM('Full month Pivot'!$C$3:$C$400)=TRIM($A155)) * ('Full month Pivot'!$D$2:$K$2=V$2) * 'Full month Pivot'!$D$3:$K$400)&gt;0, SUMPRODUCT((('Full month Pivot'!$B$3:$B$400=$A$147) + ('Full month Pivot'!$A$3:$A$400=$A$147) &gt; 0) * (TRIM('Full month Pivot'!$C$3:$C$400)=TRIM($A155)) * ('Full month Pivot'!$D$2:$K$2=V$2) * 'Full month Pivot'!$D$3:$K$400), "")</f>
        <v/>
      </c>
      <c r="W155" s="193">
        <f>IF(SUMPRODUCT((('Full month Pivot'!$B$3:$B$400=$A$147) + ('Full month Pivot'!$A$3:$A$400=$A$147) &gt; 0) * (TRIM('Full month Pivot'!$C$3:$C$400)=TRIM($A155)) * ('Full month Pivot'!$D$2:$K$2=W$2) * 'Full month Pivot'!$D$3:$K$400)&gt;0, SUMPRODUCT((('Full month Pivot'!$B$3:$B$400=$A$147) + ('Full month Pivot'!$A$3:$A$400=$A$147) &gt; 0) * (TRIM('Full month Pivot'!$C$3:$C$400)=TRIM($A155)) * ('Full month Pivot'!$D$2:$K$2=W$2) * 'Full month Pivot'!$D$3:$K$400), "")</f>
        <v/>
      </c>
      <c r="X155" s="193">
        <f>IF(SUMPRODUCT((('Full month Pivot'!$B$3:$B$400=$A$147) + ('Full month Pivot'!$A$3:$A$400=$A$147) &gt; 0) * (TRIM('Full month Pivot'!$C$3:$C$400)=TRIM($A155)) * ('Full month Pivot'!$D$2:$K$2=X$2) * 'Full month Pivot'!$D$3:$K$400)&gt;0, SUMPRODUCT((('Full month Pivot'!$B$3:$B$400=$A$147) + ('Full month Pivot'!$A$3:$A$400=$A$147) &gt; 0) * (TRIM('Full month Pivot'!$C$3:$C$400)=TRIM($A155)) * ('Full month Pivot'!$D$2:$K$2=X$2) * 'Full month Pivot'!$D$3:$K$400), "")</f>
        <v/>
      </c>
      <c r="Y155" s="193">
        <f>IF(SUMPRODUCT((('Full month Pivot'!$B$3:$B$400=$A$147) + ('Full month Pivot'!$A$3:$A$400=$A$147) &gt; 0) * (TRIM('Full month Pivot'!$C$3:$C$400)=TRIM($A155)) * ('Full month Pivot'!$D$2:$K$2=Y$2) * 'Full month Pivot'!$D$3:$K$400)&gt;0, SUMPRODUCT((('Full month Pivot'!$B$3:$B$400=$A$147) + ('Full month Pivot'!$A$3:$A$400=$A$147) &gt; 0) * (TRIM('Full month Pivot'!$C$3:$C$400)=TRIM($A155)) * ('Full month Pivot'!$D$2:$K$2=Y$2) * 'Full month Pivot'!$D$3:$K$400), "")</f>
        <v/>
      </c>
      <c r="Z155" s="193">
        <f>IF(SUMPRODUCT((('Full month Pivot'!$B$3:$B$400=$A$147) + ('Full month Pivot'!$A$3:$A$400=$A$147) &gt; 0) * (TRIM('Full month Pivot'!$C$3:$C$400)=TRIM($A155)) * ('Full month Pivot'!$D$2:$K$2=Z$2) * 'Full month Pivot'!$D$3:$K$400)&gt;0, SUMPRODUCT((('Full month Pivot'!$B$3:$B$400=$A$147) + ('Full month Pivot'!$A$3:$A$400=$A$147) &gt; 0) * (TRIM('Full month Pivot'!$C$3:$C$400)=TRIM($A155)) * ('Full month Pivot'!$D$2:$K$2=Z$2) * 'Full month Pivot'!$D$3:$K$400), "")</f>
        <v/>
      </c>
      <c r="AA155" s="157">
        <f>IF(AND(ISNUMBER(X155), ISNUMBER(W155), W155&gt;0), (X155-W155)/W155, "")</f>
        <v/>
      </c>
      <c r="AB155" s="140" t="n"/>
      <c r="AC155" s="140" t="n"/>
      <c r="AD155" s="140" t="n"/>
    </row>
    <row r="156" ht="15.75" customHeight="1" s="346">
      <c r="A156" s="202" t="inlineStr">
        <is>
          <t xml:space="preserve">  Referral</t>
        </is>
      </c>
      <c r="B156" s="193">
        <f>IF(SUMPRODUCT((('MTD Pivot'!$B$3:$B$400=$A$147) + ('MTD Pivot'!$A$3:$A$400=$A$147) &gt; 0) * (TRIM('MTD Pivot'!$C$3:$C$400)=TRIM($A156)) * ('MTD Pivot'!$D$2:$K$2=B$2) * 'MTD Pivot'!$D$3:$K$400)&gt;0, SUMPRODUCT((('MTD Pivot'!$B$3:$B$400=$A$147) + ('MTD Pivot'!$A$3:$A$400=$A$147) &gt; 0) * (TRIM('MTD Pivot'!$C$3:$C$400)=TRIM($A156)) * ('MTD Pivot'!$D$2:$K$2=B$2) * 'MTD Pivot'!$D$3:$K$400), "")</f>
        <v/>
      </c>
      <c r="C156" s="193">
        <f>IF(SUMPRODUCT((('MTD Pivot'!$B$3:$B$400=$A$147) + ('MTD Pivot'!$A$3:$A$400=$A$147) &gt; 0) * (TRIM('MTD Pivot'!$C$3:$C$400)=TRIM($A156)) * ('MTD Pivot'!$D$2:$K$2=C$2) * 'MTD Pivot'!$D$3:$K$400)&gt;0, SUMPRODUCT((('MTD Pivot'!$B$3:$B$400=$A$147) + ('MTD Pivot'!$A$3:$A$400=$A$147) &gt; 0) * (TRIM('MTD Pivot'!$C$3:$C$400)=TRIM($A156)) * ('MTD Pivot'!$D$2:$K$2=C$2) * 'MTD Pivot'!$D$3:$K$400), "")</f>
        <v/>
      </c>
      <c r="D156" s="193">
        <f>IF(SUMPRODUCT((('MTD Pivot'!$B$3:$B$400=$A$147) + ('MTD Pivot'!$A$3:$A$400=$A$147) &gt; 0) * (TRIM('MTD Pivot'!$C$3:$C$400)=TRIM($A156)) * ('MTD Pivot'!$D$2:$K$2=D$2) * 'MTD Pivot'!$D$3:$K$400)&gt;0, SUMPRODUCT((('MTD Pivot'!$B$3:$B$400=$A$147) + ('MTD Pivot'!$A$3:$A$400=$A$147) &gt; 0) * (TRIM('MTD Pivot'!$C$3:$C$400)=TRIM($A156)) * ('MTD Pivot'!$D$2:$K$2=D$2) * 'MTD Pivot'!$D$3:$K$400), "")</f>
        <v/>
      </c>
      <c r="E156" s="193">
        <f>IF(SUMPRODUCT((('MTD Pivot'!$B$3:$B$400=$A$147) + ('MTD Pivot'!$A$3:$A$400=$A$147) &gt; 0) * (TRIM('MTD Pivot'!$C$3:$C$400)=TRIM($A156)) * ('MTD Pivot'!$D$2:$K$2=E$2) * 'MTD Pivot'!$D$3:$K$400)&gt;0, SUMPRODUCT((('MTD Pivot'!$B$3:$B$400=$A$147) + ('MTD Pivot'!$A$3:$A$400=$A$147) &gt; 0) * (TRIM('MTD Pivot'!$C$3:$C$400)=TRIM($A156)) * ('MTD Pivot'!$D$2:$K$2=E$2) * 'MTD Pivot'!$D$3:$K$400), "")</f>
        <v/>
      </c>
      <c r="F156" s="193">
        <f>IF(SUMPRODUCT((('MTD Pivot'!$B$3:$B$400=$A$147) + ('MTD Pivot'!$A$3:$A$400=$A$147) &gt; 0) * (TRIM('MTD Pivot'!$C$3:$C$400)=TRIM($A156)) * ('MTD Pivot'!$D$2:$K$2=F$2) * 'MTD Pivot'!$D$3:$K$400)&gt;0, SUMPRODUCT((('MTD Pivot'!$B$3:$B$400=$A$147) + ('MTD Pivot'!$A$3:$A$400=$A$147) &gt; 0) * (TRIM('MTD Pivot'!$C$3:$C$400)=TRIM($A156)) * ('MTD Pivot'!$D$2:$K$2=F$2) * 'MTD Pivot'!$D$3:$K$400), "")</f>
        <v/>
      </c>
      <c r="G156" s="193">
        <f>IF(SUMPRODUCT((('MTD Pivot'!$B$3:$B$400=$A$147) + ('MTD Pivot'!$A$3:$A$400=$A$147) &gt; 0) * (TRIM('MTD Pivot'!$C$3:$C$400)=TRIM($A156)) * ('MTD Pivot'!$D$2:$K$2=G$2) * 'MTD Pivot'!$D$3:$K$400)&gt;0, SUMPRODUCT((('MTD Pivot'!$B$3:$B$400=$A$147) + ('MTD Pivot'!$A$3:$A$400=$A$147) &gt; 0) * (TRIM('MTD Pivot'!$C$3:$C$400)=TRIM($A156)) * ('MTD Pivot'!$D$2:$K$2=G$2) * 'MTD Pivot'!$D$3:$K$400), "")</f>
        <v/>
      </c>
      <c r="H156" s="193">
        <f>IF(SUMPRODUCT((('MTD Pivot'!$B$3:$B$400=$A$147) + ('MTD Pivot'!$A$3:$A$400=$A$147) &gt; 0) * (TRIM('MTD Pivot'!$C$3:$C$400)=TRIM($A156)) * ('MTD Pivot'!$D$2:$K$2=H$2) * 'MTD Pivot'!$D$3:$K$400)&gt;0, SUMPRODUCT((('MTD Pivot'!$B$3:$B$400=$A$147) + ('MTD Pivot'!$A$3:$A$400=$A$147) &gt; 0) * (TRIM('MTD Pivot'!$C$3:$C$400)=TRIM($A156)) * ('MTD Pivot'!$D$2:$K$2=H$2) * 'MTD Pivot'!$D$3:$K$400), "")</f>
        <v/>
      </c>
      <c r="I156" s="193">
        <f>IF(SUMPRODUCT((('MTD Pivot'!$B$3:$B$400=$A$147) + ('MTD Pivot'!$A$3:$A$400=$A$147) &gt; 0) * (TRIM('MTD Pivot'!$C$3:$C$400)=TRIM($A156)) * ('MTD Pivot'!$D$2:$K$2=I$2) * 'MTD Pivot'!$D$3:$K$400)&gt;0, SUMPRODUCT((('MTD Pivot'!$B$3:$B$400=$A$147) + ('MTD Pivot'!$A$3:$A$400=$A$147) &gt; 0) * (TRIM('MTD Pivot'!$C$3:$C$400)=TRIM($A156)) * ('MTD Pivot'!$D$2:$K$2=I$2) * 'MTD Pivot'!$D$3:$K$400), "")</f>
        <v/>
      </c>
      <c r="J156" s="193">
        <f>IF(SUMPRODUCT((('MTD Pivot'!$B$3:$B$400=$A$147) + ('MTD Pivot'!$A$3:$A$400=$A$147) &gt; 0) * (TRIM('MTD Pivot'!$C$3:$C$400)=TRIM($A156)) * ('MTD Pivot'!$D$2:$K$2=J$2) * 'MTD Pivot'!$D$3:$K$400)&gt;0, SUMPRODUCT((('MTD Pivot'!$B$3:$B$400=$A$147) + ('MTD Pivot'!$A$3:$A$400=$A$147) &gt; 0) * (TRIM('MTD Pivot'!$C$3:$C$400)=TRIM($A156)) * ('MTD Pivot'!$D$2:$K$2=J$2) * 'MTD Pivot'!$D$3:$K$400), "")</f>
        <v/>
      </c>
      <c r="K156" s="193">
        <f>IF(SUMPRODUCT((('MTD Pivot'!$B$3:$B$400=$A$147) + ('MTD Pivot'!$A$3:$A$400=$A$147) &gt; 0) * (TRIM('MTD Pivot'!$C$3:$C$400)=TRIM($A156)) * ('MTD Pivot'!$D$2:$K$2=K$2) * 'MTD Pivot'!$D$3:$K$400)&gt;0, SUMPRODUCT((('MTD Pivot'!$B$3:$B$400=$A$147) + ('MTD Pivot'!$A$3:$A$400=$A$147) &gt; 0) * (TRIM('MTD Pivot'!$C$3:$C$400)=TRIM($A156)) * ('MTD Pivot'!$D$2:$K$2=K$2) * 'MTD Pivot'!$D$3:$K$400), "")</f>
        <v/>
      </c>
      <c r="L156" s="193">
        <f>IF(SUMPRODUCT((('MTD Pivot'!$B$3:$B$400=$A$147) + ('MTD Pivot'!$A$3:$A$400=$A$147) &gt; 0) * (TRIM('MTD Pivot'!$C$3:$C$400)=TRIM($A156)) * ('MTD Pivot'!$D$2:$K$2=L$2) * 'MTD Pivot'!$D$3:$K$400)&gt;0, SUMPRODUCT((('MTD Pivot'!$B$3:$B$400=$A$147) + ('MTD Pivot'!$A$3:$A$400=$A$147) &gt; 0) * (TRIM('MTD Pivot'!$C$3:$C$400)=TRIM($A156)) * ('MTD Pivot'!$D$2:$K$2=L$2) * 'MTD Pivot'!$D$3:$K$400), "")</f>
        <v/>
      </c>
      <c r="M156" s="193">
        <f>IF(SUMPRODUCT((('MTD Pivot'!$B$3:$B$400=$A$147) + ('MTD Pivot'!$A$3:$A$400=$A$147) &gt; 0) * (TRIM('MTD Pivot'!$C$3:$C$400)=TRIM($A156)) * ('MTD Pivot'!$D$2:$K$2=M$2) * 'MTD Pivot'!$D$3:$K$400)&gt;0, SUMPRODUCT((('MTD Pivot'!$B$3:$B$400=$A$147) + ('MTD Pivot'!$A$3:$A$400=$A$147) &gt; 0) * (TRIM('MTD Pivot'!$C$3:$C$400)=TRIM($A156)) * ('MTD Pivot'!$D$2:$K$2=M$2) * 'MTD Pivot'!$D$3:$K$400), "")</f>
        <v/>
      </c>
      <c r="N156" s="157">
        <f>IF(AND(ISNUMBER(K156), ISNUMBER(J156), J156&gt;0), (K156-J156)/J156, "")</f>
        <v/>
      </c>
      <c r="O156" s="193">
        <f>IF(SUMPRODUCT((('Full month Pivot'!$B$3:$B$400=$A$147) + ('Full month Pivot'!$A$3:$A$400=$A$147) &gt; 0) * (TRIM('Full month Pivot'!$C$3:$C$400)=TRIM($A156)) * ('Full month Pivot'!$D$2:$K$2=O$2) * 'Full month Pivot'!$D$3:$K$400)&gt;0, SUMPRODUCT((('Full month Pivot'!$B$3:$B$400=$A$147) + ('Full month Pivot'!$A$3:$A$400=$A$147) &gt; 0) * (TRIM('Full month Pivot'!$C$3:$C$400)=TRIM($A156)) * ('Full month Pivot'!$D$2:$K$2=O$2) * 'Full month Pivot'!$D$3:$K$400), "")</f>
        <v/>
      </c>
      <c r="P156" s="193">
        <f>IF(SUMPRODUCT((('Full month Pivot'!$B$3:$B$400=$A$147) + ('Full month Pivot'!$A$3:$A$400=$A$147) &gt; 0) * (TRIM('Full month Pivot'!$C$3:$C$400)=TRIM($A156)) * ('Full month Pivot'!$D$2:$K$2=P$2) * 'Full month Pivot'!$D$3:$K$400)&gt;0, SUMPRODUCT((('Full month Pivot'!$B$3:$B$400=$A$147) + ('Full month Pivot'!$A$3:$A$400=$A$147) &gt; 0) * (TRIM('Full month Pivot'!$C$3:$C$400)=TRIM($A156)) * ('Full month Pivot'!$D$2:$K$2=P$2) * 'Full month Pivot'!$D$3:$K$400), "")</f>
        <v/>
      </c>
      <c r="Q156" s="193">
        <f>IF(SUMPRODUCT((('Full month Pivot'!$B$3:$B$400=$A$147) + ('Full month Pivot'!$A$3:$A$400=$A$147) &gt; 0) * (TRIM('Full month Pivot'!$C$3:$C$400)=TRIM($A156)) * ('Full month Pivot'!$D$2:$K$2=Q$2) * 'Full month Pivot'!$D$3:$K$400)&gt;0, SUMPRODUCT((('Full month Pivot'!$B$3:$B$400=$A$147) + ('Full month Pivot'!$A$3:$A$400=$A$147) &gt; 0) * (TRIM('Full month Pivot'!$C$3:$C$400)=TRIM($A156)) * ('Full month Pivot'!$D$2:$K$2=Q$2) * 'Full month Pivot'!$D$3:$K$400), "")</f>
        <v/>
      </c>
      <c r="R156" s="193">
        <f>IF(SUMPRODUCT((('Full month Pivot'!$B$3:$B$400=$A$147) + ('Full month Pivot'!$A$3:$A$400=$A$147) &gt; 0) * (TRIM('Full month Pivot'!$C$3:$C$400)=TRIM($A156)) * ('Full month Pivot'!$D$2:$K$2=R$2) * 'Full month Pivot'!$D$3:$K$400)&gt;0, SUMPRODUCT((('Full month Pivot'!$B$3:$B$400=$A$147) + ('Full month Pivot'!$A$3:$A$400=$A$147) &gt; 0) * (TRIM('Full month Pivot'!$C$3:$C$400)=TRIM($A156)) * ('Full month Pivot'!$D$2:$K$2=R$2) * 'Full month Pivot'!$D$3:$K$400), "")</f>
        <v/>
      </c>
      <c r="S156" s="193">
        <f>IF(SUMPRODUCT((('Full month Pivot'!$B$3:$B$400=$A$147) + ('Full month Pivot'!$A$3:$A$400=$A$147) &gt; 0) * (TRIM('Full month Pivot'!$C$3:$C$400)=TRIM($A156)) * ('Full month Pivot'!$D$2:$K$2=S$2) * 'Full month Pivot'!$D$3:$K$400)&gt;0, SUMPRODUCT((('Full month Pivot'!$B$3:$B$400=$A$147) + ('Full month Pivot'!$A$3:$A$400=$A$147) &gt; 0) * (TRIM('Full month Pivot'!$C$3:$C$400)=TRIM($A156)) * ('Full month Pivot'!$D$2:$K$2=S$2) * 'Full month Pivot'!$D$3:$K$400), "")</f>
        <v/>
      </c>
      <c r="T156" s="193">
        <f>IF(SUMPRODUCT((('Full month Pivot'!$B$3:$B$400=$A$147) + ('Full month Pivot'!$A$3:$A$400=$A$147) &gt; 0) * (TRIM('Full month Pivot'!$C$3:$C$400)=TRIM($A156)) * ('Full month Pivot'!$D$2:$K$2=T$2) * 'Full month Pivot'!$D$3:$K$400)&gt;0, SUMPRODUCT((('Full month Pivot'!$B$3:$B$400=$A$147) + ('Full month Pivot'!$A$3:$A$400=$A$147) &gt; 0) * (TRIM('Full month Pivot'!$C$3:$C$400)=TRIM($A156)) * ('Full month Pivot'!$D$2:$K$2=T$2) * 'Full month Pivot'!$D$3:$K$400), "")</f>
        <v/>
      </c>
      <c r="U156" s="193">
        <f>IF(SUMPRODUCT((('Full month Pivot'!$B$3:$B$400=$A$147) + ('Full month Pivot'!$A$3:$A$400=$A$147) &gt; 0) * (TRIM('Full month Pivot'!$C$3:$C$400)=TRIM($A156)) * ('Full month Pivot'!$D$2:$K$2=U$2) * 'Full month Pivot'!$D$3:$K$400)&gt;0, SUMPRODUCT((('Full month Pivot'!$B$3:$B$400=$A$147) + ('Full month Pivot'!$A$3:$A$400=$A$147) &gt; 0) * (TRIM('Full month Pivot'!$C$3:$C$400)=TRIM($A156)) * ('Full month Pivot'!$D$2:$K$2=U$2) * 'Full month Pivot'!$D$3:$K$400), "")</f>
        <v/>
      </c>
      <c r="V156" s="193">
        <f>IF(SUMPRODUCT((('Full month Pivot'!$B$3:$B$400=$A$147) + ('Full month Pivot'!$A$3:$A$400=$A$147) &gt; 0) * (TRIM('Full month Pivot'!$C$3:$C$400)=TRIM($A156)) * ('Full month Pivot'!$D$2:$K$2=V$2) * 'Full month Pivot'!$D$3:$K$400)&gt;0, SUMPRODUCT((('Full month Pivot'!$B$3:$B$400=$A$147) + ('Full month Pivot'!$A$3:$A$400=$A$147) &gt; 0) * (TRIM('Full month Pivot'!$C$3:$C$400)=TRIM($A156)) * ('Full month Pivot'!$D$2:$K$2=V$2) * 'Full month Pivot'!$D$3:$K$400), "")</f>
        <v/>
      </c>
      <c r="W156" s="193">
        <f>IF(SUMPRODUCT((('Full month Pivot'!$B$3:$B$400=$A$147) + ('Full month Pivot'!$A$3:$A$400=$A$147) &gt; 0) * (TRIM('Full month Pivot'!$C$3:$C$400)=TRIM($A156)) * ('Full month Pivot'!$D$2:$K$2=W$2) * 'Full month Pivot'!$D$3:$K$400)&gt;0, SUMPRODUCT((('Full month Pivot'!$B$3:$B$400=$A$147) + ('Full month Pivot'!$A$3:$A$400=$A$147) &gt; 0) * (TRIM('Full month Pivot'!$C$3:$C$400)=TRIM($A156)) * ('Full month Pivot'!$D$2:$K$2=W$2) * 'Full month Pivot'!$D$3:$K$400), "")</f>
        <v/>
      </c>
      <c r="X156" s="193">
        <f>IF(SUMPRODUCT((('Full month Pivot'!$B$3:$B$400=$A$147) + ('Full month Pivot'!$A$3:$A$400=$A$147) &gt; 0) * (TRIM('Full month Pivot'!$C$3:$C$400)=TRIM($A156)) * ('Full month Pivot'!$D$2:$K$2=X$2) * 'Full month Pivot'!$D$3:$K$400)&gt;0, SUMPRODUCT((('Full month Pivot'!$B$3:$B$400=$A$147) + ('Full month Pivot'!$A$3:$A$400=$A$147) &gt; 0) * (TRIM('Full month Pivot'!$C$3:$C$400)=TRIM($A156)) * ('Full month Pivot'!$D$2:$K$2=X$2) * 'Full month Pivot'!$D$3:$K$400), "")</f>
        <v/>
      </c>
      <c r="Y156" s="193">
        <f>IF(SUMPRODUCT((('Full month Pivot'!$B$3:$B$400=$A$147) + ('Full month Pivot'!$A$3:$A$400=$A$147) &gt; 0) * (TRIM('Full month Pivot'!$C$3:$C$400)=TRIM($A156)) * ('Full month Pivot'!$D$2:$K$2=Y$2) * 'Full month Pivot'!$D$3:$K$400)&gt;0, SUMPRODUCT((('Full month Pivot'!$B$3:$B$400=$A$147) + ('Full month Pivot'!$A$3:$A$400=$A$147) &gt; 0) * (TRIM('Full month Pivot'!$C$3:$C$400)=TRIM($A156)) * ('Full month Pivot'!$D$2:$K$2=Y$2) * 'Full month Pivot'!$D$3:$K$400), "")</f>
        <v/>
      </c>
      <c r="Z156" s="193">
        <f>IF(SUMPRODUCT((('Full month Pivot'!$B$3:$B$400=$A$147) + ('Full month Pivot'!$A$3:$A$400=$A$147) &gt; 0) * (TRIM('Full month Pivot'!$C$3:$C$400)=TRIM($A156)) * ('Full month Pivot'!$D$2:$K$2=Z$2) * 'Full month Pivot'!$D$3:$K$400)&gt;0, SUMPRODUCT((('Full month Pivot'!$B$3:$B$400=$A$147) + ('Full month Pivot'!$A$3:$A$400=$A$147) &gt; 0) * (TRIM('Full month Pivot'!$C$3:$C$400)=TRIM($A156)) * ('Full month Pivot'!$D$2:$K$2=Z$2) * 'Full month Pivot'!$D$3:$K$400), "")</f>
        <v/>
      </c>
      <c r="AA156" s="157">
        <f>IF(AND(ISNUMBER(X156), ISNUMBER(W156), W156&gt;0), (X156-W156)/W156, "")</f>
        <v/>
      </c>
      <c r="AB156" s="140" t="n"/>
      <c r="AC156" s="140" t="n"/>
      <c r="AD156" s="140" t="n"/>
    </row>
    <row r="157" ht="15.75" customHeight="1" s="346">
      <c r="A157" s="202" t="inlineStr">
        <is>
          <t xml:space="preserve">  Others</t>
        </is>
      </c>
      <c r="B157" s="193">
        <f>IF(SUMPRODUCT((('MTD Pivot'!$B$3:$B$400=$A$147) + ('MTD Pivot'!$A$3:$A$400=$A$147) &gt; 0) * (TRIM('MTD Pivot'!$C$3:$C$400)=TRIM($A157)) * ('MTD Pivot'!$D$2:$K$2=B$2) * 'MTD Pivot'!$D$3:$K$400)&gt;0, SUMPRODUCT((('MTD Pivot'!$B$3:$B$400=$A$147) + ('MTD Pivot'!$A$3:$A$400=$A$147) &gt; 0) * (TRIM('MTD Pivot'!$C$3:$C$400)=TRIM($A157)) * ('MTD Pivot'!$D$2:$K$2=B$2) * 'MTD Pivot'!$D$3:$K$400), "")</f>
        <v/>
      </c>
      <c r="C157" s="193">
        <f>IF(SUMPRODUCT((('MTD Pivot'!$B$3:$B$400=$A$147) + ('MTD Pivot'!$A$3:$A$400=$A$147) &gt; 0) * (TRIM('MTD Pivot'!$C$3:$C$400)=TRIM($A157)) * ('MTD Pivot'!$D$2:$K$2=C$2) * 'MTD Pivot'!$D$3:$K$400)&gt;0, SUMPRODUCT((('MTD Pivot'!$B$3:$B$400=$A$147) + ('MTD Pivot'!$A$3:$A$400=$A$147) &gt; 0) * (TRIM('MTD Pivot'!$C$3:$C$400)=TRIM($A157)) * ('MTD Pivot'!$D$2:$K$2=C$2) * 'MTD Pivot'!$D$3:$K$400), "")</f>
        <v/>
      </c>
      <c r="D157" s="193">
        <f>IF(SUMPRODUCT((('MTD Pivot'!$B$3:$B$400=$A$147) + ('MTD Pivot'!$A$3:$A$400=$A$147) &gt; 0) * (TRIM('MTD Pivot'!$C$3:$C$400)=TRIM($A157)) * ('MTD Pivot'!$D$2:$K$2=D$2) * 'MTD Pivot'!$D$3:$K$400)&gt;0, SUMPRODUCT((('MTD Pivot'!$B$3:$B$400=$A$147) + ('MTD Pivot'!$A$3:$A$400=$A$147) &gt; 0) * (TRIM('MTD Pivot'!$C$3:$C$400)=TRIM($A157)) * ('MTD Pivot'!$D$2:$K$2=D$2) * 'MTD Pivot'!$D$3:$K$400), "")</f>
        <v/>
      </c>
      <c r="E157" s="193">
        <f>IF(SUMPRODUCT((('MTD Pivot'!$B$3:$B$400=$A$147) + ('MTD Pivot'!$A$3:$A$400=$A$147) &gt; 0) * (TRIM('MTD Pivot'!$C$3:$C$400)=TRIM($A157)) * ('MTD Pivot'!$D$2:$K$2=E$2) * 'MTD Pivot'!$D$3:$K$400)&gt;0, SUMPRODUCT((('MTD Pivot'!$B$3:$B$400=$A$147) + ('MTD Pivot'!$A$3:$A$400=$A$147) &gt; 0) * (TRIM('MTD Pivot'!$C$3:$C$400)=TRIM($A157)) * ('MTD Pivot'!$D$2:$K$2=E$2) * 'MTD Pivot'!$D$3:$K$400), "")</f>
        <v/>
      </c>
      <c r="F157" s="193">
        <f>IF(SUMPRODUCT((('MTD Pivot'!$B$3:$B$400=$A$147) + ('MTD Pivot'!$A$3:$A$400=$A$147) &gt; 0) * (TRIM('MTD Pivot'!$C$3:$C$400)=TRIM($A157)) * ('MTD Pivot'!$D$2:$K$2=F$2) * 'MTD Pivot'!$D$3:$K$400)&gt;0, SUMPRODUCT((('MTD Pivot'!$B$3:$B$400=$A$147) + ('MTD Pivot'!$A$3:$A$400=$A$147) &gt; 0) * (TRIM('MTD Pivot'!$C$3:$C$400)=TRIM($A157)) * ('MTD Pivot'!$D$2:$K$2=F$2) * 'MTD Pivot'!$D$3:$K$400), "")</f>
        <v/>
      </c>
      <c r="G157" s="193">
        <f>IF(SUMPRODUCT((('MTD Pivot'!$B$3:$B$400=$A$147) + ('MTD Pivot'!$A$3:$A$400=$A$147) &gt; 0) * (TRIM('MTD Pivot'!$C$3:$C$400)=TRIM($A157)) * ('MTD Pivot'!$D$2:$K$2=G$2) * 'MTD Pivot'!$D$3:$K$400)&gt;0, SUMPRODUCT((('MTD Pivot'!$B$3:$B$400=$A$147) + ('MTD Pivot'!$A$3:$A$400=$A$147) &gt; 0) * (TRIM('MTD Pivot'!$C$3:$C$400)=TRIM($A157)) * ('MTD Pivot'!$D$2:$K$2=G$2) * 'MTD Pivot'!$D$3:$K$400), "")</f>
        <v/>
      </c>
      <c r="H157" s="193">
        <f>IF(SUMPRODUCT((('MTD Pivot'!$B$3:$B$400=$A$147) + ('MTD Pivot'!$A$3:$A$400=$A$147) &gt; 0) * (TRIM('MTD Pivot'!$C$3:$C$400)=TRIM($A157)) * ('MTD Pivot'!$D$2:$K$2=H$2) * 'MTD Pivot'!$D$3:$K$400)&gt;0, SUMPRODUCT((('MTD Pivot'!$B$3:$B$400=$A$147) + ('MTD Pivot'!$A$3:$A$400=$A$147) &gt; 0) * (TRIM('MTD Pivot'!$C$3:$C$400)=TRIM($A157)) * ('MTD Pivot'!$D$2:$K$2=H$2) * 'MTD Pivot'!$D$3:$K$400), "")</f>
        <v/>
      </c>
      <c r="I157" s="193">
        <f>IF(SUMPRODUCT((('MTD Pivot'!$B$3:$B$400=$A$147) + ('MTD Pivot'!$A$3:$A$400=$A$147) &gt; 0) * (TRIM('MTD Pivot'!$C$3:$C$400)=TRIM($A157)) * ('MTD Pivot'!$D$2:$K$2=I$2) * 'MTD Pivot'!$D$3:$K$400)&gt;0, SUMPRODUCT((('MTD Pivot'!$B$3:$B$400=$A$147) + ('MTD Pivot'!$A$3:$A$400=$A$147) &gt; 0) * (TRIM('MTD Pivot'!$C$3:$C$400)=TRIM($A157)) * ('MTD Pivot'!$D$2:$K$2=I$2) * 'MTD Pivot'!$D$3:$K$400), "")</f>
        <v/>
      </c>
      <c r="J157" s="193">
        <f>IF(SUMPRODUCT((('MTD Pivot'!$B$3:$B$400=$A$147) + ('MTD Pivot'!$A$3:$A$400=$A$147) &gt; 0) * (TRIM('MTD Pivot'!$C$3:$C$400)=TRIM($A157)) * ('MTD Pivot'!$D$2:$K$2=J$2) * 'MTD Pivot'!$D$3:$K$400)&gt;0, SUMPRODUCT((('MTD Pivot'!$B$3:$B$400=$A$147) + ('MTD Pivot'!$A$3:$A$400=$A$147) &gt; 0) * (TRIM('MTD Pivot'!$C$3:$C$400)=TRIM($A157)) * ('MTD Pivot'!$D$2:$K$2=J$2) * 'MTD Pivot'!$D$3:$K$400), "")</f>
        <v/>
      </c>
      <c r="K157" s="193">
        <f>IF(SUMPRODUCT((('MTD Pivot'!$B$3:$B$400=$A$147) + ('MTD Pivot'!$A$3:$A$400=$A$147) &gt; 0) * (TRIM('MTD Pivot'!$C$3:$C$400)=TRIM($A157)) * ('MTD Pivot'!$D$2:$K$2=K$2) * 'MTD Pivot'!$D$3:$K$400)&gt;0, SUMPRODUCT((('MTD Pivot'!$B$3:$B$400=$A$147) + ('MTD Pivot'!$A$3:$A$400=$A$147) &gt; 0) * (TRIM('MTD Pivot'!$C$3:$C$400)=TRIM($A157)) * ('MTD Pivot'!$D$2:$K$2=K$2) * 'MTD Pivot'!$D$3:$K$400), "")</f>
        <v/>
      </c>
      <c r="L157" s="193">
        <f>IF(SUMPRODUCT((('MTD Pivot'!$B$3:$B$400=$A$147) + ('MTD Pivot'!$A$3:$A$400=$A$147) &gt; 0) * (TRIM('MTD Pivot'!$C$3:$C$400)=TRIM($A157)) * ('MTD Pivot'!$D$2:$K$2=L$2) * 'MTD Pivot'!$D$3:$K$400)&gt;0, SUMPRODUCT((('MTD Pivot'!$B$3:$B$400=$A$147) + ('MTD Pivot'!$A$3:$A$400=$A$147) &gt; 0) * (TRIM('MTD Pivot'!$C$3:$C$400)=TRIM($A157)) * ('MTD Pivot'!$D$2:$K$2=L$2) * 'MTD Pivot'!$D$3:$K$400), "")</f>
        <v/>
      </c>
      <c r="M157" s="193">
        <f>IF(SUMPRODUCT((('MTD Pivot'!$B$3:$B$400=$A$147) + ('MTD Pivot'!$A$3:$A$400=$A$147) &gt; 0) * (TRIM('MTD Pivot'!$C$3:$C$400)=TRIM($A157)) * ('MTD Pivot'!$D$2:$K$2=M$2) * 'MTD Pivot'!$D$3:$K$400)&gt;0, SUMPRODUCT((('MTD Pivot'!$B$3:$B$400=$A$147) + ('MTD Pivot'!$A$3:$A$400=$A$147) &gt; 0) * (TRIM('MTD Pivot'!$C$3:$C$400)=TRIM($A157)) * ('MTD Pivot'!$D$2:$K$2=M$2) * 'MTD Pivot'!$D$3:$K$400), "")</f>
        <v/>
      </c>
      <c r="N157" s="157">
        <f>IF(AND(ISNUMBER(K157), ISNUMBER(J157), J157&gt;0), (K157-J157)/J157, "")</f>
        <v/>
      </c>
      <c r="O157" s="193">
        <f>IF(SUMPRODUCT((('Full month Pivot'!$B$3:$B$400=$A$147) + ('Full month Pivot'!$A$3:$A$400=$A$147) &gt; 0) * (TRIM('Full month Pivot'!$C$3:$C$400)=TRIM($A157)) * ('Full month Pivot'!$D$2:$K$2=O$2) * 'Full month Pivot'!$D$3:$K$400)&gt;0, SUMPRODUCT((('Full month Pivot'!$B$3:$B$400=$A$147) + ('Full month Pivot'!$A$3:$A$400=$A$147) &gt; 0) * (TRIM('Full month Pivot'!$C$3:$C$400)=TRIM($A157)) * ('Full month Pivot'!$D$2:$K$2=O$2) * 'Full month Pivot'!$D$3:$K$400), "")</f>
        <v/>
      </c>
      <c r="P157" s="193">
        <f>IF(SUMPRODUCT((('Full month Pivot'!$B$3:$B$400=$A$147) + ('Full month Pivot'!$A$3:$A$400=$A$147) &gt; 0) * (TRIM('Full month Pivot'!$C$3:$C$400)=TRIM($A157)) * ('Full month Pivot'!$D$2:$K$2=P$2) * 'Full month Pivot'!$D$3:$K$400)&gt;0, SUMPRODUCT((('Full month Pivot'!$B$3:$B$400=$A$147) + ('Full month Pivot'!$A$3:$A$400=$A$147) &gt; 0) * (TRIM('Full month Pivot'!$C$3:$C$400)=TRIM($A157)) * ('Full month Pivot'!$D$2:$K$2=P$2) * 'Full month Pivot'!$D$3:$K$400), "")</f>
        <v/>
      </c>
      <c r="Q157" s="193">
        <f>IF(SUMPRODUCT((('Full month Pivot'!$B$3:$B$400=$A$147) + ('Full month Pivot'!$A$3:$A$400=$A$147) &gt; 0) * (TRIM('Full month Pivot'!$C$3:$C$400)=TRIM($A157)) * ('Full month Pivot'!$D$2:$K$2=Q$2) * 'Full month Pivot'!$D$3:$K$400)&gt;0, SUMPRODUCT((('Full month Pivot'!$B$3:$B$400=$A$147) + ('Full month Pivot'!$A$3:$A$400=$A$147) &gt; 0) * (TRIM('Full month Pivot'!$C$3:$C$400)=TRIM($A157)) * ('Full month Pivot'!$D$2:$K$2=Q$2) * 'Full month Pivot'!$D$3:$K$400), "")</f>
        <v/>
      </c>
      <c r="R157" s="193">
        <f>IF(SUMPRODUCT((('Full month Pivot'!$B$3:$B$400=$A$147) + ('Full month Pivot'!$A$3:$A$400=$A$147) &gt; 0) * (TRIM('Full month Pivot'!$C$3:$C$400)=TRIM($A157)) * ('Full month Pivot'!$D$2:$K$2=R$2) * 'Full month Pivot'!$D$3:$K$400)&gt;0, SUMPRODUCT((('Full month Pivot'!$B$3:$B$400=$A$147) + ('Full month Pivot'!$A$3:$A$400=$A$147) &gt; 0) * (TRIM('Full month Pivot'!$C$3:$C$400)=TRIM($A157)) * ('Full month Pivot'!$D$2:$K$2=R$2) * 'Full month Pivot'!$D$3:$K$400), "")</f>
        <v/>
      </c>
      <c r="S157" s="193">
        <f>IF(SUMPRODUCT((('Full month Pivot'!$B$3:$B$400=$A$147) + ('Full month Pivot'!$A$3:$A$400=$A$147) &gt; 0) * (TRIM('Full month Pivot'!$C$3:$C$400)=TRIM($A157)) * ('Full month Pivot'!$D$2:$K$2=S$2) * 'Full month Pivot'!$D$3:$K$400)&gt;0, SUMPRODUCT((('Full month Pivot'!$B$3:$B$400=$A$147) + ('Full month Pivot'!$A$3:$A$400=$A$147) &gt; 0) * (TRIM('Full month Pivot'!$C$3:$C$400)=TRIM($A157)) * ('Full month Pivot'!$D$2:$K$2=S$2) * 'Full month Pivot'!$D$3:$K$400), "")</f>
        <v/>
      </c>
      <c r="T157" s="193">
        <f>IF(SUMPRODUCT((('Full month Pivot'!$B$3:$B$400=$A$147) + ('Full month Pivot'!$A$3:$A$400=$A$147) &gt; 0) * (TRIM('Full month Pivot'!$C$3:$C$400)=TRIM($A157)) * ('Full month Pivot'!$D$2:$K$2=T$2) * 'Full month Pivot'!$D$3:$K$400)&gt;0, SUMPRODUCT((('Full month Pivot'!$B$3:$B$400=$A$147) + ('Full month Pivot'!$A$3:$A$400=$A$147) &gt; 0) * (TRIM('Full month Pivot'!$C$3:$C$400)=TRIM($A157)) * ('Full month Pivot'!$D$2:$K$2=T$2) * 'Full month Pivot'!$D$3:$K$400), "")</f>
        <v/>
      </c>
      <c r="U157" s="193">
        <f>IF(SUMPRODUCT((('Full month Pivot'!$B$3:$B$400=$A$147) + ('Full month Pivot'!$A$3:$A$400=$A$147) &gt; 0) * (TRIM('Full month Pivot'!$C$3:$C$400)=TRIM($A157)) * ('Full month Pivot'!$D$2:$K$2=U$2) * 'Full month Pivot'!$D$3:$K$400)&gt;0, SUMPRODUCT((('Full month Pivot'!$B$3:$B$400=$A$147) + ('Full month Pivot'!$A$3:$A$400=$A$147) &gt; 0) * (TRIM('Full month Pivot'!$C$3:$C$400)=TRIM($A157)) * ('Full month Pivot'!$D$2:$K$2=U$2) * 'Full month Pivot'!$D$3:$K$400), "")</f>
        <v/>
      </c>
      <c r="V157" s="193">
        <f>IF(SUMPRODUCT((('Full month Pivot'!$B$3:$B$400=$A$147) + ('Full month Pivot'!$A$3:$A$400=$A$147) &gt; 0) * (TRIM('Full month Pivot'!$C$3:$C$400)=TRIM($A157)) * ('Full month Pivot'!$D$2:$K$2=V$2) * 'Full month Pivot'!$D$3:$K$400)&gt;0, SUMPRODUCT((('Full month Pivot'!$B$3:$B$400=$A$147) + ('Full month Pivot'!$A$3:$A$400=$A$147) &gt; 0) * (TRIM('Full month Pivot'!$C$3:$C$400)=TRIM($A157)) * ('Full month Pivot'!$D$2:$K$2=V$2) * 'Full month Pivot'!$D$3:$K$400), "")</f>
        <v/>
      </c>
      <c r="W157" s="193">
        <f>IF(SUMPRODUCT((('Full month Pivot'!$B$3:$B$400=$A$147) + ('Full month Pivot'!$A$3:$A$400=$A$147) &gt; 0) * (TRIM('Full month Pivot'!$C$3:$C$400)=TRIM($A157)) * ('Full month Pivot'!$D$2:$K$2=W$2) * 'Full month Pivot'!$D$3:$K$400)&gt;0, SUMPRODUCT((('Full month Pivot'!$B$3:$B$400=$A$147) + ('Full month Pivot'!$A$3:$A$400=$A$147) &gt; 0) * (TRIM('Full month Pivot'!$C$3:$C$400)=TRIM($A157)) * ('Full month Pivot'!$D$2:$K$2=W$2) * 'Full month Pivot'!$D$3:$K$400), "")</f>
        <v/>
      </c>
      <c r="X157" s="193">
        <f>IF(SUMPRODUCT((('Full month Pivot'!$B$3:$B$400=$A$147) + ('Full month Pivot'!$A$3:$A$400=$A$147) &gt; 0) * (TRIM('Full month Pivot'!$C$3:$C$400)=TRIM($A157)) * ('Full month Pivot'!$D$2:$K$2=X$2) * 'Full month Pivot'!$D$3:$K$400)&gt;0, SUMPRODUCT((('Full month Pivot'!$B$3:$B$400=$A$147) + ('Full month Pivot'!$A$3:$A$400=$A$147) &gt; 0) * (TRIM('Full month Pivot'!$C$3:$C$400)=TRIM($A157)) * ('Full month Pivot'!$D$2:$K$2=X$2) * 'Full month Pivot'!$D$3:$K$400), "")</f>
        <v/>
      </c>
      <c r="Y157" s="193">
        <f>IF(SUMPRODUCT((('Full month Pivot'!$B$3:$B$400=$A$147) + ('Full month Pivot'!$A$3:$A$400=$A$147) &gt; 0) * (TRIM('Full month Pivot'!$C$3:$C$400)=TRIM($A157)) * ('Full month Pivot'!$D$2:$K$2=Y$2) * 'Full month Pivot'!$D$3:$K$400)&gt;0, SUMPRODUCT((('Full month Pivot'!$B$3:$B$400=$A$147) + ('Full month Pivot'!$A$3:$A$400=$A$147) &gt; 0) * (TRIM('Full month Pivot'!$C$3:$C$400)=TRIM($A157)) * ('Full month Pivot'!$D$2:$K$2=Y$2) * 'Full month Pivot'!$D$3:$K$400), "")</f>
        <v/>
      </c>
      <c r="Z157" s="193">
        <f>IF(SUMPRODUCT((('Full month Pivot'!$B$3:$B$400=$A$147) + ('Full month Pivot'!$A$3:$A$400=$A$147) &gt; 0) * (TRIM('Full month Pivot'!$C$3:$C$400)=TRIM($A157)) * ('Full month Pivot'!$D$2:$K$2=Z$2) * 'Full month Pivot'!$D$3:$K$400)&gt;0, SUMPRODUCT((('Full month Pivot'!$B$3:$B$400=$A$147) + ('Full month Pivot'!$A$3:$A$400=$A$147) &gt; 0) * (TRIM('Full month Pivot'!$C$3:$C$400)=TRIM($A157)) * ('Full month Pivot'!$D$2:$K$2=Z$2) * 'Full month Pivot'!$D$3:$K$400), "")</f>
        <v/>
      </c>
      <c r="AA157" s="157">
        <f>IF(AND(ISNUMBER(X157), ISNUMBER(W157), W157&gt;0), (X157-W157)/W157, "")</f>
        <v/>
      </c>
      <c r="AB157" s="140" t="n"/>
      <c r="AC157" s="140" t="n"/>
      <c r="AD157" s="140" t="n"/>
    </row>
    <row r="158" ht="15.75" customHeight="1" s="346">
      <c r="A158" s="202" t="n"/>
      <c r="B158" s="202" t="n"/>
      <c r="C158" s="202" t="n"/>
      <c r="D158" s="202" t="n"/>
      <c r="E158" s="202" t="n"/>
      <c r="F158" s="202" t="n"/>
      <c r="G158" s="202" t="n"/>
      <c r="H158" s="202" t="n"/>
      <c r="I158" s="202" t="n"/>
      <c r="J158" s="202" t="n"/>
      <c r="K158" s="202" t="n"/>
      <c r="L158" s="202" t="n"/>
      <c r="M158" s="202" t="n"/>
      <c r="N158" s="202" t="n"/>
      <c r="O158" s="202" t="n"/>
      <c r="P158" s="202" t="n"/>
      <c r="Q158" s="202" t="n"/>
      <c r="R158" s="202" t="n"/>
      <c r="S158" s="202" t="n"/>
      <c r="T158" s="202" t="n"/>
      <c r="U158" s="202" t="n"/>
      <c r="V158" s="202" t="n"/>
      <c r="W158" s="202" t="n"/>
      <c r="X158" s="202" t="n"/>
      <c r="Y158" s="202" t="n"/>
      <c r="Z158" s="202" t="n"/>
      <c r="AA158" s="202" t="n"/>
      <c r="AB158" s="140" t="n"/>
      <c r="AC158" s="140" t="n"/>
      <c r="AD158" s="140" t="n"/>
    </row>
    <row r="159" ht="15.75" customHeight="1" s="346">
      <c r="A159" s="145" t="inlineStr">
        <is>
          <t>OTA</t>
        </is>
      </c>
      <c r="B159" s="145" t="n"/>
      <c r="C159" s="145" t="n"/>
      <c r="D159" s="145" t="n"/>
      <c r="E159" s="145" t="n"/>
      <c r="F159" s="145" t="n"/>
      <c r="G159" s="145" t="n"/>
      <c r="H159" s="145" t="n"/>
      <c r="I159" s="145" t="n"/>
      <c r="J159" s="145" t="n"/>
      <c r="K159" s="145" t="n"/>
      <c r="L159" s="145" t="n"/>
      <c r="M159" s="145" t="n"/>
      <c r="N159" s="145" t="n"/>
      <c r="O159" s="145" t="n"/>
      <c r="P159" s="145" t="n"/>
      <c r="Q159" s="145" t="n"/>
      <c r="R159" s="145" t="n"/>
      <c r="S159" s="145" t="n"/>
      <c r="T159" s="145" t="n"/>
      <c r="U159" s="145" t="n"/>
      <c r="V159" s="145" t="n"/>
      <c r="W159" s="145" t="n"/>
      <c r="X159" s="145" t="n"/>
      <c r="Y159" s="145" t="n"/>
      <c r="Z159" s="145" t="n"/>
      <c r="AA159" s="145" t="n"/>
      <c r="AB159" s="140" t="n"/>
      <c r="AC159" s="140" t="n"/>
      <c r="AD159" s="140" t="n"/>
    </row>
    <row r="160" ht="15.75" customHeight="1" s="346">
      <c r="A160" s="146" t="inlineStr">
        <is>
          <t>Page views</t>
        </is>
      </c>
      <c r="B160" s="147">
        <f>IF(SUM(B165:B169)&gt;0, SUM(B165:B169), "")</f>
        <v/>
      </c>
      <c r="C160" s="147">
        <f>IF(SUM(C165:C169)&gt;0, SUM(C165:C169), "")</f>
        <v/>
      </c>
      <c r="D160" s="147">
        <f>IF(SUM(D165:D169)&gt;0, SUM(D165:D169), "")</f>
        <v/>
      </c>
      <c r="E160" s="147">
        <f>IF(SUM(E165:E169)&gt;0, SUM(E165:E169), "")</f>
        <v/>
      </c>
      <c r="F160" s="147">
        <f>IF(SUM(F165:F169)&gt;0, SUM(F165:F169), "")</f>
        <v/>
      </c>
      <c r="G160" s="147">
        <f>IF(SUM(G165:G169)&gt;0, SUM(G165:G169), "")</f>
        <v/>
      </c>
      <c r="H160" s="147">
        <f>IF(SUM(H165:H169)&gt;0, SUM(H165:H169), "")</f>
        <v/>
      </c>
      <c r="I160" s="147">
        <f>IF(SUM(I165:I169)&gt;0, SUM(I165:I169), "")</f>
        <v/>
      </c>
      <c r="J160" s="147">
        <f>IF(SUM(J165:J169)&gt;0, SUM(J165:J169), "")</f>
        <v/>
      </c>
      <c r="K160" s="147">
        <f>IF(SUM(K165:K169)&gt;0, SUM(K165:K169), "")</f>
        <v/>
      </c>
      <c r="L160" s="147">
        <f>IF(SUM(L165:L169)&gt;0, SUM(L165:L169), "")</f>
        <v/>
      </c>
      <c r="M160" s="147">
        <f>IF(SUM(M165:M169)&gt;0, SUM(M165:M169), "")</f>
        <v/>
      </c>
      <c r="N160" s="148">
        <f>IFERROR((K160-J160)/J160, "")</f>
        <v/>
      </c>
      <c r="O160" s="147">
        <f>IF(SUM(O165:O169)&gt;0, SUM(O165:O169), "")</f>
        <v/>
      </c>
      <c r="P160" s="147">
        <f>IF(SUM(P165:P169)&gt;0, SUM(P165:P169), "")</f>
        <v/>
      </c>
      <c r="Q160" s="147">
        <f>IF(SUM(Q165:Q169)&gt;0, SUM(Q165:Q169), "")</f>
        <v/>
      </c>
      <c r="R160" s="147">
        <f>IF(SUM(R165:R169)&gt;0, SUM(R165:R169), "")</f>
        <v/>
      </c>
      <c r="S160" s="147">
        <f>IF(SUM(S165:S169)&gt;0, SUM(S165:S169), "")</f>
        <v/>
      </c>
      <c r="T160" s="147">
        <f>IF(SUM(T165:T169)&gt;0, SUM(T165:T169), "")</f>
        <v/>
      </c>
      <c r="U160" s="147">
        <f>IF(SUM(U165:U169)&gt;0, SUM(U165:U169), "")</f>
        <v/>
      </c>
      <c r="V160" s="147">
        <f>IF(SUM(V165:V169)&gt;0, SUM(V165:V169), "")</f>
        <v/>
      </c>
      <c r="W160" s="147">
        <f>IF(SUM(W165:W169)&gt;0, SUM(W165:W169), "")</f>
        <v/>
      </c>
      <c r="X160" s="147">
        <f>IF(SUM(X165:X169)&gt;0, SUM(X165:X169), "")</f>
        <v/>
      </c>
      <c r="Y160" s="147">
        <f>IF(SUM(Y165:Y169)&gt;0, SUM(Y165:Y169), "")</f>
        <v/>
      </c>
      <c r="Z160" s="147">
        <f>IF(SUM(Z165:Z169)&gt;0, SUM(Z165:Z169), "")</f>
        <v/>
      </c>
      <c r="AA160" s="148">
        <f>IFERROR((X160-W160)/W160, "")</f>
        <v/>
      </c>
      <c r="AB160" s="140" t="n"/>
      <c r="AC160" s="140" t="n"/>
      <c r="AD160" s="140" t="n"/>
    </row>
    <row r="161" ht="15.75" customHeight="1" s="346">
      <c r="A161" s="150" t="inlineStr">
        <is>
          <t xml:space="preserve">  Click CTA</t>
        </is>
      </c>
      <c r="B161" s="150" t="n"/>
      <c r="C161" s="150" t="n"/>
      <c r="D161" s="150" t="n"/>
      <c r="E161" s="150" t="n"/>
      <c r="F161" s="150" t="n">
        <v>204</v>
      </c>
      <c r="G161" s="150" t="n">
        <v>148</v>
      </c>
      <c r="H161" s="150" t="n">
        <v>129</v>
      </c>
      <c r="I161" s="150" t="n">
        <v>223</v>
      </c>
      <c r="J161" s="150" t="n">
        <v>140</v>
      </c>
      <c r="K161" s="150" t="n">
        <v>136</v>
      </c>
      <c r="L161" s="150" t="n"/>
      <c r="M161" s="150" t="n"/>
      <c r="N161" s="151">
        <f>IFERROR((K161-J161)/J161, "")</f>
        <v/>
      </c>
      <c r="O161" s="150" t="n"/>
      <c r="P161" s="150" t="n"/>
      <c r="Q161" s="150" t="n"/>
      <c r="R161" s="150" t="n"/>
      <c r="S161" s="150" t="n">
        <v>219</v>
      </c>
      <c r="T161" s="150" t="n">
        <v>158</v>
      </c>
      <c r="U161" s="150" t="n">
        <v>149</v>
      </c>
      <c r="V161" s="150" t="n">
        <v>247</v>
      </c>
      <c r="W161" s="150" t="n">
        <v>169</v>
      </c>
      <c r="X161" s="150" t="n">
        <v>136</v>
      </c>
      <c r="Y161" s="150" t="n"/>
      <c r="Z161" s="150" t="n"/>
      <c r="AA161" s="151">
        <f>IFERROR((X161-W161)/W161, "")</f>
        <v/>
      </c>
      <c r="AB161" s="140" t="n"/>
      <c r="AC161" s="140" t="n"/>
      <c r="AD161" s="140" t="n"/>
    </row>
    <row r="162" ht="15.75" customHeight="1" s="346">
      <c r="A162" s="152" t="inlineStr">
        <is>
          <t xml:space="preserve">  Net change</t>
        </is>
      </c>
      <c r="B162" s="153" t="n"/>
      <c r="C162" s="153">
        <f>IF(AND(ISNUMBER(C160), ISNUMBER(B160), B160&gt;0, C160&gt;0), C160-B160, "")</f>
        <v/>
      </c>
      <c r="D162" s="153">
        <f>IF(AND(ISNUMBER(D160), ISNUMBER(C160), C160&gt;0, D160&gt;0), D160-C160, "")</f>
        <v/>
      </c>
      <c r="E162" s="153">
        <f>IF(AND(ISNUMBER(E160), ISNUMBER(D160), D160&gt;0, E160&gt;0), E160-D160, "")</f>
        <v/>
      </c>
      <c r="F162" s="153">
        <f>IF(AND(ISNUMBER(F160), ISNUMBER(E160), E160&gt;0, F160&gt;0), F160-E160, "")</f>
        <v/>
      </c>
      <c r="G162" s="153">
        <f>IF(AND(ISNUMBER(G160), ISNUMBER(F160), F160&gt;0, G160&gt;0), G160-F160, "")</f>
        <v/>
      </c>
      <c r="H162" s="153">
        <f>IF(AND(ISNUMBER(H160), ISNUMBER(G160), G160&gt;0, H160&gt;0), H160-G160, "")</f>
        <v/>
      </c>
      <c r="I162" s="153">
        <f>IF(AND(ISNUMBER(I160), ISNUMBER(H160), H160&gt;0, I160&gt;0), I160-H160, "")</f>
        <v/>
      </c>
      <c r="J162" s="153">
        <f>IF(AND(ISNUMBER(J160), ISNUMBER(I160), I160&gt;0, J160&gt;0), J160-I160, "")</f>
        <v/>
      </c>
      <c r="K162" s="153">
        <f>IF(AND(ISNUMBER(K160), ISNUMBER(J160), J160&gt;0, K160&gt;0), K160-J160, "")</f>
        <v/>
      </c>
      <c r="L162" s="153">
        <f>IF(AND(ISNUMBER(L160), ISNUMBER(K160), K160&gt;0, L160&gt;0), L160-K160, "")</f>
        <v/>
      </c>
      <c r="M162" s="153">
        <f>IF(AND(ISNUMBER(M160), ISNUMBER(L160), L160&gt;0, M160&gt;0), M160-L160, "")</f>
        <v/>
      </c>
      <c r="N162" s="153" t="n"/>
      <c r="O162" s="153" t="n"/>
      <c r="P162" s="153">
        <f>IF(AND(ISNUMBER(P160), ISNUMBER(O160), O160&gt;0, P160&gt;0), P160-O160, "")</f>
        <v/>
      </c>
      <c r="Q162" s="153">
        <f>IF(AND(ISNUMBER(Q160), ISNUMBER(P160), P160&gt;0, Q160&gt;0), Q160-P160, "")</f>
        <v/>
      </c>
      <c r="R162" s="153">
        <f>IF(AND(ISNUMBER(R160), ISNUMBER(Q160), Q160&gt;0, R160&gt;0), R160-Q160, "")</f>
        <v/>
      </c>
      <c r="S162" s="153">
        <f>IF(AND(ISNUMBER(S160), ISNUMBER(R160), R160&gt;0, S160&gt;0), S160-R160, "")</f>
        <v/>
      </c>
      <c r="T162" s="153">
        <f>IF(AND(ISNUMBER(T160), ISNUMBER(S160), S160&gt;0, T160&gt;0), T160-S160, "")</f>
        <v/>
      </c>
      <c r="U162" s="153">
        <f>IF(AND(ISNUMBER(U160), ISNUMBER(T160), T160&gt;0, U160&gt;0), U160-T160, "")</f>
        <v/>
      </c>
      <c r="V162" s="153">
        <f>IF(AND(ISNUMBER(V160), ISNUMBER(U160), U160&gt;0, V160&gt;0), V160-U160, "")</f>
        <v/>
      </c>
      <c r="W162" s="153">
        <f>IF(AND(ISNUMBER(W160), ISNUMBER(V160), V160&gt;0, W160&gt;0), W160-V160, "")</f>
        <v/>
      </c>
      <c r="X162" s="153">
        <f>IF(AND(ISNUMBER(X160), ISNUMBER(W160), W160&gt;0, X160&gt;0), X160-W160, "")</f>
        <v/>
      </c>
      <c r="Y162" s="153">
        <f>IF(AND(ISNUMBER(Y160), ISNUMBER(X160), X160&gt;0, Y160&gt;0), Y160-X160, "")</f>
        <v/>
      </c>
      <c r="Z162" s="153">
        <f>IF(AND(ISNUMBER(Z160), ISNUMBER(Y160), Y160&gt;0, Z160&gt;0), Z160-Y160, "")</f>
        <v/>
      </c>
      <c r="AA162" s="153" t="n"/>
      <c r="AB162" s="140" t="n"/>
      <c r="AC162" s="140" t="n"/>
      <c r="AD162" s="140" t="n"/>
    </row>
    <row r="163" ht="15.75" customHeight="1" s="346">
      <c r="A163" s="152" t="inlineStr">
        <is>
          <t xml:space="preserve">  % Growth rate</t>
        </is>
      </c>
      <c r="B163" s="203" t="n"/>
      <c r="C163" s="203">
        <f>IF(AND(ISNUMBER(C160), ISNUMBER(B160), B160&gt;0, C160&gt;0), (C160-B160)/B160, "")</f>
        <v/>
      </c>
      <c r="D163" s="203">
        <f>IF(AND(ISNUMBER(D160), ISNUMBER(C160), C160&gt;0, D160&gt;0), (D160-C160)/C160, "")</f>
        <v/>
      </c>
      <c r="E163" s="203">
        <f>IF(AND(ISNUMBER(E160), ISNUMBER(D160), D160&gt;0, E160&gt;0), (E160-D160)/D160, "")</f>
        <v/>
      </c>
      <c r="F163" s="203">
        <f>IF(AND(ISNUMBER(F160), ISNUMBER(E160), E160&gt;0, F160&gt;0), (F160-E160)/E160, "")</f>
        <v/>
      </c>
      <c r="G163" s="203">
        <f>IF(AND(ISNUMBER(G160), ISNUMBER(F160), F160&gt;0, G160&gt;0), (G160-F160)/F160, "")</f>
        <v/>
      </c>
      <c r="H163" s="203">
        <f>IF(AND(ISNUMBER(H160), ISNUMBER(G160), G160&gt;0, H160&gt;0), (H160-G160)/G160, "")</f>
        <v/>
      </c>
      <c r="I163" s="203">
        <f>IF(AND(ISNUMBER(I160), ISNUMBER(H160), H160&gt;0, I160&gt;0), (I160-H160)/H160, "")</f>
        <v/>
      </c>
      <c r="J163" s="203">
        <f>IF(AND(ISNUMBER(J160), ISNUMBER(I160), I160&gt;0, J160&gt;0), (J160-I160)/I160, "")</f>
        <v/>
      </c>
      <c r="K163" s="203">
        <f>IF(AND(ISNUMBER(K160), ISNUMBER(J160), J160&gt;0, K160&gt;0), (K160-J160)/J160, "")</f>
        <v/>
      </c>
      <c r="L163" s="203">
        <f>IF(AND(ISNUMBER(L160), ISNUMBER(K160), K160&gt;0, L160&gt;0), (L160-K160)/K160, "")</f>
        <v/>
      </c>
      <c r="M163" s="203">
        <f>IF(AND(ISNUMBER(M160), ISNUMBER(L160), L160&gt;0, M160&gt;0), (M160-L160)/L160, "")</f>
        <v/>
      </c>
      <c r="N163" s="203" t="n"/>
      <c r="O163" s="203" t="n"/>
      <c r="P163" s="203">
        <f>IF(AND(ISNUMBER(P160), ISNUMBER(O160), O160&gt;0, P160&gt;0), (P160-O160)/O160, "")</f>
        <v/>
      </c>
      <c r="Q163" s="203">
        <f>IF(AND(ISNUMBER(Q160), ISNUMBER(P160), P160&gt;0, Q160&gt;0), (Q160-P160)/P160, "")</f>
        <v/>
      </c>
      <c r="R163" s="203">
        <f>IF(AND(ISNUMBER(R160), ISNUMBER(Q160), Q160&gt;0, R160&gt;0), (R160-Q160)/Q160, "")</f>
        <v/>
      </c>
      <c r="S163" s="203">
        <f>IF(AND(ISNUMBER(S160), ISNUMBER(R160), R160&gt;0, S160&gt;0), (S160-R160)/R160, "")</f>
        <v/>
      </c>
      <c r="T163" s="203">
        <f>IF(AND(ISNUMBER(T160), ISNUMBER(S160), S160&gt;0, T160&gt;0), (T160-S160)/S160, "")</f>
        <v/>
      </c>
      <c r="U163" s="203">
        <f>IF(AND(ISNUMBER(U160), ISNUMBER(T160), T160&gt;0, U160&gt;0), (U160-T160)/T160, "")</f>
        <v/>
      </c>
      <c r="V163" s="203">
        <f>IF(AND(ISNUMBER(V160), ISNUMBER(U160), U160&gt;0, V160&gt;0), (V160-U160)/U160, "")</f>
        <v/>
      </c>
      <c r="W163" s="203">
        <f>IF(AND(ISNUMBER(W160), ISNUMBER(V160), V160&gt;0, W160&gt;0), (W160-V160)/V160, "")</f>
        <v/>
      </c>
      <c r="X163" s="203">
        <f>IF(AND(ISNUMBER(X160), ISNUMBER(W160), W160&gt;0, X160&gt;0), (X160-W160)/W160, "")</f>
        <v/>
      </c>
      <c r="Y163" s="203">
        <f>IF(AND(ISNUMBER(Y160), ISNUMBER(X160), X160&gt;0, Y160&gt;0), (Y160-X160)/X160, "")</f>
        <v/>
      </c>
      <c r="Z163" s="203">
        <f>IF(AND(ISNUMBER(Z160), ISNUMBER(Y160), Y160&gt;0, Z160&gt;0), (Z160-Y160)/Y160, "")</f>
        <v/>
      </c>
      <c r="AA163" s="203" t="n"/>
      <c r="AB163" s="140" t="n"/>
      <c r="AC163" s="140" t="n"/>
      <c r="AD163" s="140" t="n"/>
    </row>
    <row r="164" ht="15.75" customHeight="1" s="346">
      <c r="A164" s="202" t="inlineStr">
        <is>
          <t>Tỷ trọng trong tổng traffic</t>
        </is>
      </c>
      <c r="B164" s="156">
        <f t="array" ref="B164">IF(AND(ISNUMBER(B160), B160&gt;0), B160/INDEX('MTD Pivot'!$D$3:$K$400, MATCH("Grand Total", 'MTD Pivot'!$A$3:$A$400, 0), MATCH(B$2, 'MTD Pivot'!$D$2:$K$2, 0)), "")</f>
        <v/>
      </c>
      <c r="C164" s="156">
        <f t="array" ref="C164">IF(AND(ISNUMBER(C160), C160&gt;0), C160/INDEX('MTD Pivot'!$D$3:$K$400, MATCH("Grand Total", 'MTD Pivot'!$A$3:$A$400, 0), MATCH(C$2, 'MTD Pivot'!$D$2:$K$2, 0)), "")</f>
        <v/>
      </c>
      <c r="D164" s="156">
        <f t="array" ref="D164">IF(AND(ISNUMBER(D160), D160&gt;0), D160/INDEX('MTD Pivot'!$D$3:$K$400, MATCH("Grand Total", 'MTD Pivot'!$A$3:$A$400, 0), MATCH(D$2, 'MTD Pivot'!$D$2:$K$2, 0)), "")</f>
        <v/>
      </c>
      <c r="E164" s="156">
        <f t="array" ref="E164">IF(AND(ISNUMBER(E160), E160&gt;0), E160/INDEX('MTD Pivot'!$D$3:$K$400, MATCH("Grand Total", 'MTD Pivot'!$A$3:$A$400, 0), MATCH(E$2, 'MTD Pivot'!$D$2:$K$2, 0)), "")</f>
        <v/>
      </c>
      <c r="F164" s="156">
        <f t="array" ref="F164">IF(AND(ISNUMBER(F160), F160&gt;0), F160/INDEX('MTD Pivot'!$D$3:$K$400, MATCH("Grand Total", 'MTD Pivot'!$A$3:$A$400, 0), MATCH(F$2, 'MTD Pivot'!$D$2:$K$2, 0)), "")</f>
        <v/>
      </c>
      <c r="G164" s="156">
        <f t="array" ref="G164">IF(AND(ISNUMBER(G160), G160&gt;0), G160/INDEX('MTD Pivot'!$D$3:$K$400, MATCH("Grand Total", 'MTD Pivot'!$A$3:$A$400, 0), MATCH(G$2, 'MTD Pivot'!$D$2:$K$2, 0)), "")</f>
        <v/>
      </c>
      <c r="H164" s="156">
        <f t="array" ref="H164">IF(AND(ISNUMBER(H160), H160&gt;0), H160/INDEX('MTD Pivot'!$D$3:$K$400, MATCH("Grand Total", 'MTD Pivot'!$A$3:$A$400, 0), MATCH(H$2, 'MTD Pivot'!$D$2:$K$2, 0)), "")</f>
        <v/>
      </c>
      <c r="I164" s="156">
        <f t="array" ref="I164">IF(AND(ISNUMBER(I160), I160&gt;0), I160/INDEX('MTD Pivot'!$D$3:$K$400, MATCH("Grand Total", 'MTD Pivot'!$A$3:$A$400, 0), MATCH(I$2, 'MTD Pivot'!$D$2:$K$2, 0)), "")</f>
        <v/>
      </c>
      <c r="J164" s="156">
        <f t="array" ref="J164">IF(AND(ISNUMBER(J160), J160&gt;0), J160/INDEX('MTD Pivot'!$D$3:$K$400, MATCH("Grand Total", 'MTD Pivot'!$A$3:$A$400, 0), MATCH(J$2, 'MTD Pivot'!$D$2:$K$2, 0)), "")</f>
        <v/>
      </c>
      <c r="K164" s="156">
        <f t="array" ref="K164">IF(AND(ISNUMBER(K160), K160&gt;0), K160/INDEX('MTD Pivot'!$D$3:$K$400, MATCH("Grand Total", 'MTD Pivot'!$A$3:$A$400, 0), MATCH(K$2, 'MTD Pivot'!$D$2:$K$2, 0)), "")</f>
        <v/>
      </c>
      <c r="L164" s="156">
        <f t="array" ref="L164">IF(AND(ISNUMBER(L160), L160&gt;0), L160/INDEX('MTD Pivot'!$D$3:$K$400, MATCH("Grand Total", 'MTD Pivot'!$A$3:$A$400, 0), MATCH(L$2, 'MTD Pivot'!$D$2:$K$2, 0)), "")</f>
        <v/>
      </c>
      <c r="M164" s="156">
        <f t="array" ref="M164">IF(AND(ISNUMBER(M160), M160&gt;0), M160/INDEX('MTD Pivot'!$D$3:$K$400, MATCH("Grand Total", 'MTD Pivot'!$A$3:$A$400, 0), MATCH(M$2, 'MTD Pivot'!$D$2:$K$2, 0)), "")</f>
        <v/>
      </c>
      <c r="N164" s="157">
        <f>IF(AND(ISNUMBER(K164), ISNUMBER(J164)), K164-J164, "")</f>
        <v/>
      </c>
      <c r="O164" s="156">
        <f t="array" ref="O164">IF(AND(ISNUMBER(O160), O160&gt;0), O160/INDEX('Full month Pivot'!$D$3:$K$400, MATCH("Grand Total", 'Full month Pivot'!$A$3:$A$400, 0), MATCH(O$2, 'Full month Pivot'!$D$2:$K$2, 0)), "")</f>
        <v/>
      </c>
      <c r="P164" s="156">
        <f t="array" ref="P164">IF(AND(ISNUMBER(P160), P160&gt;0), P160/INDEX('Full month Pivot'!$D$3:$K$400, MATCH("Grand Total", 'Full month Pivot'!$A$3:$A$400, 0), MATCH(P$2, 'Full month Pivot'!$D$2:$K$2, 0)), "")</f>
        <v/>
      </c>
      <c r="Q164" s="156">
        <f t="array" ref="Q164">IF(AND(ISNUMBER(Q160), Q160&gt;0), Q160/INDEX('Full month Pivot'!$D$3:$K$400, MATCH("Grand Total", 'Full month Pivot'!$A$3:$A$400, 0), MATCH(Q$2, 'Full month Pivot'!$D$2:$K$2, 0)), "")</f>
        <v/>
      </c>
      <c r="R164" s="156">
        <f t="array" ref="R164">IF(AND(ISNUMBER(R160), R160&gt;0), R160/INDEX('Full month Pivot'!$D$3:$K$400, MATCH("Grand Total", 'Full month Pivot'!$A$3:$A$400, 0), MATCH(R$2, 'Full month Pivot'!$D$2:$K$2, 0)), "")</f>
        <v/>
      </c>
      <c r="S164" s="156">
        <f t="array" ref="S164">IF(AND(ISNUMBER(S160), S160&gt;0), S160/INDEX('Full month Pivot'!$D$3:$K$400, MATCH("Grand Total", 'Full month Pivot'!$A$3:$A$400, 0), MATCH(S$2, 'Full month Pivot'!$D$2:$K$2, 0)), "")</f>
        <v/>
      </c>
      <c r="T164" s="156">
        <f t="array" ref="T164">IF(AND(ISNUMBER(T160), T160&gt;0), T160/INDEX('Full month Pivot'!$D$3:$K$400, MATCH("Grand Total", 'Full month Pivot'!$A$3:$A$400, 0), MATCH(T$2, 'Full month Pivot'!$D$2:$K$2, 0)), "")</f>
        <v/>
      </c>
      <c r="U164" s="156">
        <f t="array" ref="U164">IF(AND(ISNUMBER(U160), U160&gt;0), U160/INDEX('Full month Pivot'!$D$3:$K$400, MATCH("Grand Total", 'Full month Pivot'!$A$3:$A$400, 0), MATCH(U$2, 'Full month Pivot'!$D$2:$K$2, 0)), "")</f>
        <v/>
      </c>
      <c r="V164" s="156">
        <f t="array" ref="V164">IF(AND(ISNUMBER(V160), V160&gt;0), V160/INDEX('Full month Pivot'!$D$3:$K$400, MATCH("Grand Total", 'Full month Pivot'!$A$3:$A$400, 0), MATCH(V$2, 'Full month Pivot'!$D$2:$K$2, 0)), "")</f>
        <v/>
      </c>
      <c r="W164" s="156">
        <f t="array" ref="W164">IF(AND(ISNUMBER(W160), W160&gt;0), W160/INDEX('Full month Pivot'!$D$3:$K$400, MATCH("Grand Total", 'Full month Pivot'!$A$3:$A$400, 0), MATCH(W$2, 'Full month Pivot'!$D$2:$K$2, 0)), "")</f>
        <v/>
      </c>
      <c r="X164" s="156">
        <f t="array" ref="X164">IF(AND(ISNUMBER(X160), X160&gt;0), X160/INDEX('Full month Pivot'!$D$3:$K$400, MATCH("Grand Total", 'Full month Pivot'!$A$3:$A$400, 0), MATCH(X$2, 'Full month Pivot'!$D$2:$K$2, 0)), "")</f>
        <v/>
      </c>
      <c r="Y164" s="156">
        <f t="array" ref="Y164">IF(AND(ISNUMBER(Y160), Y160&gt;0), Y160/INDEX('Full month Pivot'!$D$3:$K$400, MATCH("Grand Total", 'Full month Pivot'!$A$3:$A$400, 0), MATCH(Y$2, 'Full month Pivot'!$D$2:$K$2, 0)), "")</f>
        <v/>
      </c>
      <c r="Z164" s="156">
        <f t="array" ref="Z164">IF(AND(ISNUMBER(Z160), Z160&gt;0), Z160/INDEX('Full month Pivot'!$D$3:$K$400, MATCH("Grand Total", 'Full month Pivot'!$A$3:$A$400, 0), MATCH(Z$2, 'Full month Pivot'!$D$2:$K$2, 0)), "")</f>
        <v/>
      </c>
      <c r="AA164" s="157">
        <f>IF(AND(ISNUMBER(X164), ISNUMBER(W164)), X164-W164, "")</f>
        <v/>
      </c>
      <c r="AB164" s="140" t="n"/>
      <c r="AC164" s="140" t="n"/>
      <c r="AD164" s="140" t="n"/>
    </row>
    <row r="165" ht="15.75" customHeight="1" s="346">
      <c r="A165" s="202" t="inlineStr">
        <is>
          <t xml:space="preserve">  Organic</t>
        </is>
      </c>
      <c r="B165" s="193">
        <f>IF(SUMPRODUCT((('MTD Pivot'!$B$3:$B$400=$A$159) + ('MTD Pivot'!$A$3:$A$400=$A$159) &gt; 0) * (TRIM('MTD Pivot'!$C$3:$C$400)=TRIM($A165)) * ('MTD Pivot'!$D$2:$K$2=B$2) * 'MTD Pivot'!$D$3:$K$400)&gt;0, SUMPRODUCT((('MTD Pivot'!$B$3:$B$400=$A$159) + ('MTD Pivot'!$A$3:$A$400=$A$159) &gt; 0) * (TRIM('MTD Pivot'!$C$3:$C$400)=TRIM($A165)) * ('MTD Pivot'!$D$2:$K$2=B$2) * 'MTD Pivot'!$D$3:$K$400), "")</f>
        <v/>
      </c>
      <c r="C165" s="193">
        <f>IF(SUMPRODUCT((('MTD Pivot'!$B$3:$B$400=$A$159) + ('MTD Pivot'!$A$3:$A$400=$A$159) &gt; 0) * (TRIM('MTD Pivot'!$C$3:$C$400)=TRIM($A165)) * ('MTD Pivot'!$D$2:$K$2=C$2) * 'MTD Pivot'!$D$3:$K$400)&gt;0, SUMPRODUCT((('MTD Pivot'!$B$3:$B$400=$A$159) + ('MTD Pivot'!$A$3:$A$400=$A$159) &gt; 0) * (TRIM('MTD Pivot'!$C$3:$C$400)=TRIM($A165)) * ('MTD Pivot'!$D$2:$K$2=C$2) * 'MTD Pivot'!$D$3:$K$400), "")</f>
        <v/>
      </c>
      <c r="D165" s="193">
        <f>IF(SUMPRODUCT((('MTD Pivot'!$B$3:$B$400=$A$159) + ('MTD Pivot'!$A$3:$A$400=$A$159) &gt; 0) * (TRIM('MTD Pivot'!$C$3:$C$400)=TRIM($A165)) * ('MTD Pivot'!$D$2:$K$2=D$2) * 'MTD Pivot'!$D$3:$K$400)&gt;0, SUMPRODUCT((('MTD Pivot'!$B$3:$B$400=$A$159) + ('MTD Pivot'!$A$3:$A$400=$A$159) &gt; 0) * (TRIM('MTD Pivot'!$C$3:$C$400)=TRIM($A165)) * ('MTD Pivot'!$D$2:$K$2=D$2) * 'MTD Pivot'!$D$3:$K$400), "")</f>
        <v/>
      </c>
      <c r="E165" s="193">
        <f>IF(SUMPRODUCT((('MTD Pivot'!$B$3:$B$400=$A$159) + ('MTD Pivot'!$A$3:$A$400=$A$159) &gt; 0) * (TRIM('MTD Pivot'!$C$3:$C$400)=TRIM($A165)) * ('MTD Pivot'!$D$2:$K$2=E$2) * 'MTD Pivot'!$D$3:$K$400)&gt;0, SUMPRODUCT((('MTD Pivot'!$B$3:$B$400=$A$159) + ('MTD Pivot'!$A$3:$A$400=$A$159) &gt; 0) * (TRIM('MTD Pivot'!$C$3:$C$400)=TRIM($A165)) * ('MTD Pivot'!$D$2:$K$2=E$2) * 'MTD Pivot'!$D$3:$K$400), "")</f>
        <v/>
      </c>
      <c r="F165" s="193">
        <f>IF(SUMPRODUCT((('MTD Pivot'!$B$3:$B$400=$A$159) + ('MTD Pivot'!$A$3:$A$400=$A$159) &gt; 0) * (TRIM('MTD Pivot'!$C$3:$C$400)=TRIM($A165)) * ('MTD Pivot'!$D$2:$K$2=F$2) * 'MTD Pivot'!$D$3:$K$400)&gt;0, SUMPRODUCT((('MTD Pivot'!$B$3:$B$400=$A$159) + ('MTD Pivot'!$A$3:$A$400=$A$159) &gt; 0) * (TRIM('MTD Pivot'!$C$3:$C$400)=TRIM($A165)) * ('MTD Pivot'!$D$2:$K$2=F$2) * 'MTD Pivot'!$D$3:$K$400), "")</f>
        <v/>
      </c>
      <c r="G165" s="193">
        <f>IF(SUMPRODUCT((('MTD Pivot'!$B$3:$B$400=$A$159) + ('MTD Pivot'!$A$3:$A$400=$A$159) &gt; 0) * (TRIM('MTD Pivot'!$C$3:$C$400)=TRIM($A165)) * ('MTD Pivot'!$D$2:$K$2=G$2) * 'MTD Pivot'!$D$3:$K$400)&gt;0, SUMPRODUCT((('MTD Pivot'!$B$3:$B$400=$A$159) + ('MTD Pivot'!$A$3:$A$400=$A$159) &gt; 0) * (TRIM('MTD Pivot'!$C$3:$C$400)=TRIM($A165)) * ('MTD Pivot'!$D$2:$K$2=G$2) * 'MTD Pivot'!$D$3:$K$400), "")</f>
        <v/>
      </c>
      <c r="H165" s="193">
        <f>IF(SUMPRODUCT((('MTD Pivot'!$B$3:$B$400=$A$159) + ('MTD Pivot'!$A$3:$A$400=$A$159) &gt; 0) * (TRIM('MTD Pivot'!$C$3:$C$400)=TRIM($A165)) * ('MTD Pivot'!$D$2:$K$2=H$2) * 'MTD Pivot'!$D$3:$K$400)&gt;0, SUMPRODUCT((('MTD Pivot'!$B$3:$B$400=$A$159) + ('MTD Pivot'!$A$3:$A$400=$A$159) &gt; 0) * (TRIM('MTD Pivot'!$C$3:$C$400)=TRIM($A165)) * ('MTD Pivot'!$D$2:$K$2=H$2) * 'MTD Pivot'!$D$3:$K$400), "")</f>
        <v/>
      </c>
      <c r="I165" s="193">
        <f>IF(SUMPRODUCT((('MTD Pivot'!$B$3:$B$400=$A$159) + ('MTD Pivot'!$A$3:$A$400=$A$159) &gt; 0) * (TRIM('MTD Pivot'!$C$3:$C$400)=TRIM($A165)) * ('MTD Pivot'!$D$2:$K$2=I$2) * 'MTD Pivot'!$D$3:$K$400)&gt;0, SUMPRODUCT((('MTD Pivot'!$B$3:$B$400=$A$159) + ('MTD Pivot'!$A$3:$A$400=$A$159) &gt; 0) * (TRIM('MTD Pivot'!$C$3:$C$400)=TRIM($A165)) * ('MTD Pivot'!$D$2:$K$2=I$2) * 'MTD Pivot'!$D$3:$K$400), "")</f>
        <v/>
      </c>
      <c r="J165" s="193">
        <f>IF(SUMPRODUCT((('MTD Pivot'!$B$3:$B$400=$A$159) + ('MTD Pivot'!$A$3:$A$400=$A$159) &gt; 0) * (TRIM('MTD Pivot'!$C$3:$C$400)=TRIM($A165)) * ('MTD Pivot'!$D$2:$K$2=J$2) * 'MTD Pivot'!$D$3:$K$400)&gt;0, SUMPRODUCT((('MTD Pivot'!$B$3:$B$400=$A$159) + ('MTD Pivot'!$A$3:$A$400=$A$159) &gt; 0) * (TRIM('MTD Pivot'!$C$3:$C$400)=TRIM($A165)) * ('MTD Pivot'!$D$2:$K$2=J$2) * 'MTD Pivot'!$D$3:$K$400), "")</f>
        <v/>
      </c>
      <c r="K165" s="193">
        <f>IF(SUMPRODUCT((('MTD Pivot'!$B$3:$B$400=$A$159) + ('MTD Pivot'!$A$3:$A$400=$A$159) &gt; 0) * (TRIM('MTD Pivot'!$C$3:$C$400)=TRIM($A165)) * ('MTD Pivot'!$D$2:$K$2=K$2) * 'MTD Pivot'!$D$3:$K$400)&gt;0, SUMPRODUCT((('MTD Pivot'!$B$3:$B$400=$A$159) + ('MTD Pivot'!$A$3:$A$400=$A$159) &gt; 0) * (TRIM('MTD Pivot'!$C$3:$C$400)=TRIM($A165)) * ('MTD Pivot'!$D$2:$K$2=K$2) * 'MTD Pivot'!$D$3:$K$400), "")</f>
        <v/>
      </c>
      <c r="L165" s="193">
        <f>IF(SUMPRODUCT((('MTD Pivot'!$B$3:$B$400=$A$159) + ('MTD Pivot'!$A$3:$A$400=$A$159) &gt; 0) * (TRIM('MTD Pivot'!$C$3:$C$400)=TRIM($A165)) * ('MTD Pivot'!$D$2:$K$2=L$2) * 'MTD Pivot'!$D$3:$K$400)&gt;0, SUMPRODUCT((('MTD Pivot'!$B$3:$B$400=$A$159) + ('MTD Pivot'!$A$3:$A$400=$A$159) &gt; 0) * (TRIM('MTD Pivot'!$C$3:$C$400)=TRIM($A165)) * ('MTD Pivot'!$D$2:$K$2=L$2) * 'MTD Pivot'!$D$3:$K$400), "")</f>
        <v/>
      </c>
      <c r="M165" s="193">
        <f>IF(SUMPRODUCT((('MTD Pivot'!$B$3:$B$400=$A$159) + ('MTD Pivot'!$A$3:$A$400=$A$159) &gt; 0) * (TRIM('MTD Pivot'!$C$3:$C$400)=TRIM($A165)) * ('MTD Pivot'!$D$2:$K$2=M$2) * 'MTD Pivot'!$D$3:$K$400)&gt;0, SUMPRODUCT((('MTD Pivot'!$B$3:$B$400=$A$159) + ('MTD Pivot'!$A$3:$A$400=$A$159) &gt; 0) * (TRIM('MTD Pivot'!$C$3:$C$400)=TRIM($A165)) * ('MTD Pivot'!$D$2:$K$2=M$2) * 'MTD Pivot'!$D$3:$K$400), "")</f>
        <v/>
      </c>
      <c r="N165" s="157">
        <f>IF(AND(ISNUMBER(K165), ISNUMBER(J165), J165&gt;0), (K165-J165)/J165, "")</f>
        <v/>
      </c>
      <c r="O165" s="193">
        <f>IF(SUMPRODUCT((('Full month Pivot'!$B$3:$B$400=$A$159) + ('Full month Pivot'!$A$3:$A$400=$A$159) &gt; 0) * (TRIM('Full month Pivot'!$C$3:$C$400)=TRIM($A165)) * ('Full month Pivot'!$D$2:$K$2=O$2) * 'Full month Pivot'!$D$3:$K$400)&gt;0, SUMPRODUCT((('Full month Pivot'!$B$3:$B$400=$A$159) + ('Full month Pivot'!$A$3:$A$400=$A$159) &gt; 0) * (TRIM('Full month Pivot'!$C$3:$C$400)=TRIM($A165)) * ('Full month Pivot'!$D$2:$K$2=O$2) * 'Full month Pivot'!$D$3:$K$400), "")</f>
        <v/>
      </c>
      <c r="P165" s="193">
        <f>IF(SUMPRODUCT((('Full month Pivot'!$B$3:$B$400=$A$159) + ('Full month Pivot'!$A$3:$A$400=$A$159) &gt; 0) * (TRIM('Full month Pivot'!$C$3:$C$400)=TRIM($A165)) * ('Full month Pivot'!$D$2:$K$2=P$2) * 'Full month Pivot'!$D$3:$K$400)&gt;0, SUMPRODUCT((('Full month Pivot'!$B$3:$B$400=$A$159) + ('Full month Pivot'!$A$3:$A$400=$A$159) &gt; 0) * (TRIM('Full month Pivot'!$C$3:$C$400)=TRIM($A165)) * ('Full month Pivot'!$D$2:$K$2=P$2) * 'Full month Pivot'!$D$3:$K$400), "")</f>
        <v/>
      </c>
      <c r="Q165" s="193">
        <f>IF(SUMPRODUCT((('Full month Pivot'!$B$3:$B$400=$A$159) + ('Full month Pivot'!$A$3:$A$400=$A$159) &gt; 0) * (TRIM('Full month Pivot'!$C$3:$C$400)=TRIM($A165)) * ('Full month Pivot'!$D$2:$K$2=Q$2) * 'Full month Pivot'!$D$3:$K$400)&gt;0, SUMPRODUCT((('Full month Pivot'!$B$3:$B$400=$A$159) + ('Full month Pivot'!$A$3:$A$400=$A$159) &gt; 0) * (TRIM('Full month Pivot'!$C$3:$C$400)=TRIM($A165)) * ('Full month Pivot'!$D$2:$K$2=Q$2) * 'Full month Pivot'!$D$3:$K$400), "")</f>
        <v/>
      </c>
      <c r="R165" s="193">
        <f>IF(SUMPRODUCT((('Full month Pivot'!$B$3:$B$400=$A$159) + ('Full month Pivot'!$A$3:$A$400=$A$159) &gt; 0) * (TRIM('Full month Pivot'!$C$3:$C$400)=TRIM($A165)) * ('Full month Pivot'!$D$2:$K$2=R$2) * 'Full month Pivot'!$D$3:$K$400)&gt;0, SUMPRODUCT((('Full month Pivot'!$B$3:$B$400=$A$159) + ('Full month Pivot'!$A$3:$A$400=$A$159) &gt; 0) * (TRIM('Full month Pivot'!$C$3:$C$400)=TRIM($A165)) * ('Full month Pivot'!$D$2:$K$2=R$2) * 'Full month Pivot'!$D$3:$K$400), "")</f>
        <v/>
      </c>
      <c r="S165" s="193">
        <f>IF(SUMPRODUCT((('Full month Pivot'!$B$3:$B$400=$A$159) + ('Full month Pivot'!$A$3:$A$400=$A$159) &gt; 0) * (TRIM('Full month Pivot'!$C$3:$C$400)=TRIM($A165)) * ('Full month Pivot'!$D$2:$K$2=S$2) * 'Full month Pivot'!$D$3:$K$400)&gt;0, SUMPRODUCT((('Full month Pivot'!$B$3:$B$400=$A$159) + ('Full month Pivot'!$A$3:$A$400=$A$159) &gt; 0) * (TRIM('Full month Pivot'!$C$3:$C$400)=TRIM($A165)) * ('Full month Pivot'!$D$2:$K$2=S$2) * 'Full month Pivot'!$D$3:$K$400), "")</f>
        <v/>
      </c>
      <c r="T165" s="193">
        <f>IF(SUMPRODUCT((('Full month Pivot'!$B$3:$B$400=$A$159) + ('Full month Pivot'!$A$3:$A$400=$A$159) &gt; 0) * (TRIM('Full month Pivot'!$C$3:$C$400)=TRIM($A165)) * ('Full month Pivot'!$D$2:$K$2=T$2) * 'Full month Pivot'!$D$3:$K$400)&gt;0, SUMPRODUCT((('Full month Pivot'!$B$3:$B$400=$A$159) + ('Full month Pivot'!$A$3:$A$400=$A$159) &gt; 0) * (TRIM('Full month Pivot'!$C$3:$C$400)=TRIM($A165)) * ('Full month Pivot'!$D$2:$K$2=T$2) * 'Full month Pivot'!$D$3:$K$400), "")</f>
        <v/>
      </c>
      <c r="U165" s="193">
        <f>IF(SUMPRODUCT((('Full month Pivot'!$B$3:$B$400=$A$159) + ('Full month Pivot'!$A$3:$A$400=$A$159) &gt; 0) * (TRIM('Full month Pivot'!$C$3:$C$400)=TRIM($A165)) * ('Full month Pivot'!$D$2:$K$2=U$2) * 'Full month Pivot'!$D$3:$K$400)&gt;0, SUMPRODUCT((('Full month Pivot'!$B$3:$B$400=$A$159) + ('Full month Pivot'!$A$3:$A$400=$A$159) &gt; 0) * (TRIM('Full month Pivot'!$C$3:$C$400)=TRIM($A165)) * ('Full month Pivot'!$D$2:$K$2=U$2) * 'Full month Pivot'!$D$3:$K$400), "")</f>
        <v/>
      </c>
      <c r="V165" s="193">
        <f>IF(SUMPRODUCT((('Full month Pivot'!$B$3:$B$400=$A$159) + ('Full month Pivot'!$A$3:$A$400=$A$159) &gt; 0) * (TRIM('Full month Pivot'!$C$3:$C$400)=TRIM($A165)) * ('Full month Pivot'!$D$2:$K$2=V$2) * 'Full month Pivot'!$D$3:$K$400)&gt;0, SUMPRODUCT((('Full month Pivot'!$B$3:$B$400=$A$159) + ('Full month Pivot'!$A$3:$A$400=$A$159) &gt; 0) * (TRIM('Full month Pivot'!$C$3:$C$400)=TRIM($A165)) * ('Full month Pivot'!$D$2:$K$2=V$2) * 'Full month Pivot'!$D$3:$K$400), "")</f>
        <v/>
      </c>
      <c r="W165" s="193">
        <f>IF(SUMPRODUCT((('Full month Pivot'!$B$3:$B$400=$A$159) + ('Full month Pivot'!$A$3:$A$400=$A$159) &gt; 0) * (TRIM('Full month Pivot'!$C$3:$C$400)=TRIM($A165)) * ('Full month Pivot'!$D$2:$K$2=W$2) * 'Full month Pivot'!$D$3:$K$400)&gt;0, SUMPRODUCT((('Full month Pivot'!$B$3:$B$400=$A$159) + ('Full month Pivot'!$A$3:$A$400=$A$159) &gt; 0) * (TRIM('Full month Pivot'!$C$3:$C$400)=TRIM($A165)) * ('Full month Pivot'!$D$2:$K$2=W$2) * 'Full month Pivot'!$D$3:$K$400), "")</f>
        <v/>
      </c>
      <c r="X165" s="193">
        <f>IF(SUMPRODUCT((('Full month Pivot'!$B$3:$B$400=$A$159) + ('Full month Pivot'!$A$3:$A$400=$A$159) &gt; 0) * (TRIM('Full month Pivot'!$C$3:$C$400)=TRIM($A165)) * ('Full month Pivot'!$D$2:$K$2=X$2) * 'Full month Pivot'!$D$3:$K$400)&gt;0, SUMPRODUCT((('Full month Pivot'!$B$3:$B$400=$A$159) + ('Full month Pivot'!$A$3:$A$400=$A$159) &gt; 0) * (TRIM('Full month Pivot'!$C$3:$C$400)=TRIM($A165)) * ('Full month Pivot'!$D$2:$K$2=X$2) * 'Full month Pivot'!$D$3:$K$400), "")</f>
        <v/>
      </c>
      <c r="Y165" s="193">
        <f>IF(SUMPRODUCT((('Full month Pivot'!$B$3:$B$400=$A$159) + ('Full month Pivot'!$A$3:$A$400=$A$159) &gt; 0) * (TRIM('Full month Pivot'!$C$3:$C$400)=TRIM($A165)) * ('Full month Pivot'!$D$2:$K$2=Y$2) * 'Full month Pivot'!$D$3:$K$400)&gt;0, SUMPRODUCT((('Full month Pivot'!$B$3:$B$400=$A$159) + ('Full month Pivot'!$A$3:$A$400=$A$159) &gt; 0) * (TRIM('Full month Pivot'!$C$3:$C$400)=TRIM($A165)) * ('Full month Pivot'!$D$2:$K$2=Y$2) * 'Full month Pivot'!$D$3:$K$400), "")</f>
        <v/>
      </c>
      <c r="Z165" s="193">
        <f>IF(SUMPRODUCT((('Full month Pivot'!$B$3:$B$400=$A$159) + ('Full month Pivot'!$A$3:$A$400=$A$159) &gt; 0) * (TRIM('Full month Pivot'!$C$3:$C$400)=TRIM($A165)) * ('Full month Pivot'!$D$2:$K$2=Z$2) * 'Full month Pivot'!$D$3:$K$400)&gt;0, SUMPRODUCT((('Full month Pivot'!$B$3:$B$400=$A$159) + ('Full month Pivot'!$A$3:$A$400=$A$159) &gt; 0) * (TRIM('Full month Pivot'!$C$3:$C$400)=TRIM($A165)) * ('Full month Pivot'!$D$2:$K$2=Z$2) * 'Full month Pivot'!$D$3:$K$400), "")</f>
        <v/>
      </c>
      <c r="AA165" s="157">
        <f>IF(AND(ISNUMBER(X165), ISNUMBER(W165), W165&gt;0), (X165-W165)/W165, "")</f>
        <v/>
      </c>
      <c r="AB165" s="140" t="n"/>
      <c r="AC165" s="140" t="n"/>
      <c r="AD165" s="140" t="n"/>
    </row>
    <row r="166" ht="15.75" customHeight="1" s="346">
      <c r="A166" s="202" t="inlineStr">
        <is>
          <t xml:space="preserve">  Paid</t>
        </is>
      </c>
      <c r="B166" s="193">
        <f>IF(SUMPRODUCT((('MTD Pivot'!$B$3:$B$400=$A$159) + ('MTD Pivot'!$A$3:$A$400=$A$159) &gt; 0) * (TRIM('MTD Pivot'!$C$3:$C$400)=TRIM($A166)) * ('MTD Pivot'!$D$2:$K$2=B$2) * 'MTD Pivot'!$D$3:$K$400)&gt;0, SUMPRODUCT((('MTD Pivot'!$B$3:$B$400=$A$159) + ('MTD Pivot'!$A$3:$A$400=$A$159) &gt; 0) * (TRIM('MTD Pivot'!$C$3:$C$400)=TRIM($A166)) * ('MTD Pivot'!$D$2:$K$2=B$2) * 'MTD Pivot'!$D$3:$K$400), "")</f>
        <v/>
      </c>
      <c r="C166" s="193">
        <f>IF(SUMPRODUCT((('MTD Pivot'!$B$3:$B$400=$A$159) + ('MTD Pivot'!$A$3:$A$400=$A$159) &gt; 0) * (TRIM('MTD Pivot'!$C$3:$C$400)=TRIM($A166)) * ('MTD Pivot'!$D$2:$K$2=C$2) * 'MTD Pivot'!$D$3:$K$400)&gt;0, SUMPRODUCT((('MTD Pivot'!$B$3:$B$400=$A$159) + ('MTD Pivot'!$A$3:$A$400=$A$159) &gt; 0) * (TRIM('MTD Pivot'!$C$3:$C$400)=TRIM($A166)) * ('MTD Pivot'!$D$2:$K$2=C$2) * 'MTD Pivot'!$D$3:$K$400), "")</f>
        <v/>
      </c>
      <c r="D166" s="193">
        <f>IF(SUMPRODUCT((('MTD Pivot'!$B$3:$B$400=$A$159) + ('MTD Pivot'!$A$3:$A$400=$A$159) &gt; 0) * (TRIM('MTD Pivot'!$C$3:$C$400)=TRIM($A166)) * ('MTD Pivot'!$D$2:$K$2=D$2) * 'MTD Pivot'!$D$3:$K$400)&gt;0, SUMPRODUCT((('MTD Pivot'!$B$3:$B$400=$A$159) + ('MTD Pivot'!$A$3:$A$400=$A$159) &gt; 0) * (TRIM('MTD Pivot'!$C$3:$C$400)=TRIM($A166)) * ('MTD Pivot'!$D$2:$K$2=D$2) * 'MTD Pivot'!$D$3:$K$400), "")</f>
        <v/>
      </c>
      <c r="E166" s="193">
        <f>IF(SUMPRODUCT((('MTD Pivot'!$B$3:$B$400=$A$159) + ('MTD Pivot'!$A$3:$A$400=$A$159) &gt; 0) * (TRIM('MTD Pivot'!$C$3:$C$400)=TRIM($A166)) * ('MTD Pivot'!$D$2:$K$2=E$2) * 'MTD Pivot'!$D$3:$K$400)&gt;0, SUMPRODUCT((('MTD Pivot'!$B$3:$B$400=$A$159) + ('MTD Pivot'!$A$3:$A$400=$A$159) &gt; 0) * (TRIM('MTD Pivot'!$C$3:$C$400)=TRIM($A166)) * ('MTD Pivot'!$D$2:$K$2=E$2) * 'MTD Pivot'!$D$3:$K$400), "")</f>
        <v/>
      </c>
      <c r="F166" s="193">
        <f>IF(SUMPRODUCT((('MTD Pivot'!$B$3:$B$400=$A$159) + ('MTD Pivot'!$A$3:$A$400=$A$159) &gt; 0) * (TRIM('MTD Pivot'!$C$3:$C$400)=TRIM($A166)) * ('MTD Pivot'!$D$2:$K$2=F$2) * 'MTD Pivot'!$D$3:$K$400)&gt;0, SUMPRODUCT((('MTD Pivot'!$B$3:$B$400=$A$159) + ('MTD Pivot'!$A$3:$A$400=$A$159) &gt; 0) * (TRIM('MTD Pivot'!$C$3:$C$400)=TRIM($A166)) * ('MTD Pivot'!$D$2:$K$2=F$2) * 'MTD Pivot'!$D$3:$K$400), "")</f>
        <v/>
      </c>
      <c r="G166" s="193">
        <f>IF(SUMPRODUCT((('MTD Pivot'!$B$3:$B$400=$A$159) + ('MTD Pivot'!$A$3:$A$400=$A$159) &gt; 0) * (TRIM('MTD Pivot'!$C$3:$C$400)=TRIM($A166)) * ('MTD Pivot'!$D$2:$K$2=G$2) * 'MTD Pivot'!$D$3:$K$400)&gt;0, SUMPRODUCT((('MTD Pivot'!$B$3:$B$400=$A$159) + ('MTD Pivot'!$A$3:$A$400=$A$159) &gt; 0) * (TRIM('MTD Pivot'!$C$3:$C$400)=TRIM($A166)) * ('MTD Pivot'!$D$2:$K$2=G$2) * 'MTD Pivot'!$D$3:$K$400), "")</f>
        <v/>
      </c>
      <c r="H166" s="193">
        <f>IF(SUMPRODUCT((('MTD Pivot'!$B$3:$B$400=$A$159) + ('MTD Pivot'!$A$3:$A$400=$A$159) &gt; 0) * (TRIM('MTD Pivot'!$C$3:$C$400)=TRIM($A166)) * ('MTD Pivot'!$D$2:$K$2=H$2) * 'MTD Pivot'!$D$3:$K$400)&gt;0, SUMPRODUCT((('MTD Pivot'!$B$3:$B$400=$A$159) + ('MTD Pivot'!$A$3:$A$400=$A$159) &gt; 0) * (TRIM('MTD Pivot'!$C$3:$C$400)=TRIM($A166)) * ('MTD Pivot'!$D$2:$K$2=H$2) * 'MTD Pivot'!$D$3:$K$400), "")</f>
        <v/>
      </c>
      <c r="I166" s="193">
        <f>IF(SUMPRODUCT((('MTD Pivot'!$B$3:$B$400=$A$159) + ('MTD Pivot'!$A$3:$A$400=$A$159) &gt; 0) * (TRIM('MTD Pivot'!$C$3:$C$400)=TRIM($A166)) * ('MTD Pivot'!$D$2:$K$2=I$2) * 'MTD Pivot'!$D$3:$K$400)&gt;0, SUMPRODUCT((('MTD Pivot'!$B$3:$B$400=$A$159) + ('MTD Pivot'!$A$3:$A$400=$A$159) &gt; 0) * (TRIM('MTD Pivot'!$C$3:$C$400)=TRIM($A166)) * ('MTD Pivot'!$D$2:$K$2=I$2) * 'MTD Pivot'!$D$3:$K$400), "")</f>
        <v/>
      </c>
      <c r="J166" s="193">
        <f>IF(SUMPRODUCT((('MTD Pivot'!$B$3:$B$400=$A$159) + ('MTD Pivot'!$A$3:$A$400=$A$159) &gt; 0) * (TRIM('MTD Pivot'!$C$3:$C$400)=TRIM($A166)) * ('MTD Pivot'!$D$2:$K$2=J$2) * 'MTD Pivot'!$D$3:$K$400)&gt;0, SUMPRODUCT((('MTD Pivot'!$B$3:$B$400=$A$159) + ('MTD Pivot'!$A$3:$A$400=$A$159) &gt; 0) * (TRIM('MTD Pivot'!$C$3:$C$400)=TRIM($A166)) * ('MTD Pivot'!$D$2:$K$2=J$2) * 'MTD Pivot'!$D$3:$K$400), "")</f>
        <v/>
      </c>
      <c r="K166" s="193">
        <f>IF(SUMPRODUCT((('MTD Pivot'!$B$3:$B$400=$A$159) + ('MTD Pivot'!$A$3:$A$400=$A$159) &gt; 0) * (TRIM('MTD Pivot'!$C$3:$C$400)=TRIM($A166)) * ('MTD Pivot'!$D$2:$K$2=K$2) * 'MTD Pivot'!$D$3:$K$400)&gt;0, SUMPRODUCT((('MTD Pivot'!$B$3:$B$400=$A$159) + ('MTD Pivot'!$A$3:$A$400=$A$159) &gt; 0) * (TRIM('MTD Pivot'!$C$3:$C$400)=TRIM($A166)) * ('MTD Pivot'!$D$2:$K$2=K$2) * 'MTD Pivot'!$D$3:$K$400), "")</f>
        <v/>
      </c>
      <c r="L166" s="193">
        <f>IF(SUMPRODUCT((('MTD Pivot'!$B$3:$B$400=$A$159) + ('MTD Pivot'!$A$3:$A$400=$A$159) &gt; 0) * (TRIM('MTD Pivot'!$C$3:$C$400)=TRIM($A166)) * ('MTD Pivot'!$D$2:$K$2=L$2) * 'MTD Pivot'!$D$3:$K$400)&gt;0, SUMPRODUCT((('MTD Pivot'!$B$3:$B$400=$A$159) + ('MTD Pivot'!$A$3:$A$400=$A$159) &gt; 0) * (TRIM('MTD Pivot'!$C$3:$C$400)=TRIM($A166)) * ('MTD Pivot'!$D$2:$K$2=L$2) * 'MTD Pivot'!$D$3:$K$400), "")</f>
        <v/>
      </c>
      <c r="M166" s="193">
        <f>IF(SUMPRODUCT((('MTD Pivot'!$B$3:$B$400=$A$159) + ('MTD Pivot'!$A$3:$A$400=$A$159) &gt; 0) * (TRIM('MTD Pivot'!$C$3:$C$400)=TRIM($A166)) * ('MTD Pivot'!$D$2:$K$2=M$2) * 'MTD Pivot'!$D$3:$K$400)&gt;0, SUMPRODUCT((('MTD Pivot'!$B$3:$B$400=$A$159) + ('MTD Pivot'!$A$3:$A$400=$A$159) &gt; 0) * (TRIM('MTD Pivot'!$C$3:$C$400)=TRIM($A166)) * ('MTD Pivot'!$D$2:$K$2=M$2) * 'MTD Pivot'!$D$3:$K$400), "")</f>
        <v/>
      </c>
      <c r="N166" s="157">
        <f>IF(AND(ISNUMBER(K166), ISNUMBER(J166), J166&gt;0), (K166-J166)/J166, "")</f>
        <v/>
      </c>
      <c r="O166" s="193">
        <f>IF(SUMPRODUCT((('Full month Pivot'!$B$3:$B$400=$A$159) + ('Full month Pivot'!$A$3:$A$400=$A$159) &gt; 0) * (TRIM('Full month Pivot'!$C$3:$C$400)=TRIM($A166)) * ('Full month Pivot'!$D$2:$K$2=O$2) * 'Full month Pivot'!$D$3:$K$400)&gt;0, SUMPRODUCT((('Full month Pivot'!$B$3:$B$400=$A$159) + ('Full month Pivot'!$A$3:$A$400=$A$159) &gt; 0) * (TRIM('Full month Pivot'!$C$3:$C$400)=TRIM($A166)) * ('Full month Pivot'!$D$2:$K$2=O$2) * 'Full month Pivot'!$D$3:$K$400), "")</f>
        <v/>
      </c>
      <c r="P166" s="193">
        <f>IF(SUMPRODUCT((('Full month Pivot'!$B$3:$B$400=$A$159) + ('Full month Pivot'!$A$3:$A$400=$A$159) &gt; 0) * (TRIM('Full month Pivot'!$C$3:$C$400)=TRIM($A166)) * ('Full month Pivot'!$D$2:$K$2=P$2) * 'Full month Pivot'!$D$3:$K$400)&gt;0, SUMPRODUCT((('Full month Pivot'!$B$3:$B$400=$A$159) + ('Full month Pivot'!$A$3:$A$400=$A$159) &gt; 0) * (TRIM('Full month Pivot'!$C$3:$C$400)=TRIM($A166)) * ('Full month Pivot'!$D$2:$K$2=P$2) * 'Full month Pivot'!$D$3:$K$400), "")</f>
        <v/>
      </c>
      <c r="Q166" s="193">
        <f>IF(SUMPRODUCT((('Full month Pivot'!$B$3:$B$400=$A$159) + ('Full month Pivot'!$A$3:$A$400=$A$159) &gt; 0) * (TRIM('Full month Pivot'!$C$3:$C$400)=TRIM($A166)) * ('Full month Pivot'!$D$2:$K$2=Q$2) * 'Full month Pivot'!$D$3:$K$400)&gt;0, SUMPRODUCT((('Full month Pivot'!$B$3:$B$400=$A$159) + ('Full month Pivot'!$A$3:$A$400=$A$159) &gt; 0) * (TRIM('Full month Pivot'!$C$3:$C$400)=TRIM($A166)) * ('Full month Pivot'!$D$2:$K$2=Q$2) * 'Full month Pivot'!$D$3:$K$400), "")</f>
        <v/>
      </c>
      <c r="R166" s="193">
        <f>IF(SUMPRODUCT((('Full month Pivot'!$B$3:$B$400=$A$159) + ('Full month Pivot'!$A$3:$A$400=$A$159) &gt; 0) * (TRIM('Full month Pivot'!$C$3:$C$400)=TRIM($A166)) * ('Full month Pivot'!$D$2:$K$2=R$2) * 'Full month Pivot'!$D$3:$K$400)&gt;0, SUMPRODUCT((('Full month Pivot'!$B$3:$B$400=$A$159) + ('Full month Pivot'!$A$3:$A$400=$A$159) &gt; 0) * (TRIM('Full month Pivot'!$C$3:$C$400)=TRIM($A166)) * ('Full month Pivot'!$D$2:$K$2=R$2) * 'Full month Pivot'!$D$3:$K$400), "")</f>
        <v/>
      </c>
      <c r="S166" s="193">
        <f>IF(SUMPRODUCT((('Full month Pivot'!$B$3:$B$400=$A$159) + ('Full month Pivot'!$A$3:$A$400=$A$159) &gt; 0) * (TRIM('Full month Pivot'!$C$3:$C$400)=TRIM($A166)) * ('Full month Pivot'!$D$2:$K$2=S$2) * 'Full month Pivot'!$D$3:$K$400)&gt;0, SUMPRODUCT((('Full month Pivot'!$B$3:$B$400=$A$159) + ('Full month Pivot'!$A$3:$A$400=$A$159) &gt; 0) * (TRIM('Full month Pivot'!$C$3:$C$400)=TRIM($A166)) * ('Full month Pivot'!$D$2:$K$2=S$2) * 'Full month Pivot'!$D$3:$K$400), "")</f>
        <v/>
      </c>
      <c r="T166" s="193">
        <f>IF(SUMPRODUCT((('Full month Pivot'!$B$3:$B$400=$A$159) + ('Full month Pivot'!$A$3:$A$400=$A$159) &gt; 0) * (TRIM('Full month Pivot'!$C$3:$C$400)=TRIM($A166)) * ('Full month Pivot'!$D$2:$K$2=T$2) * 'Full month Pivot'!$D$3:$K$400)&gt;0, SUMPRODUCT((('Full month Pivot'!$B$3:$B$400=$A$159) + ('Full month Pivot'!$A$3:$A$400=$A$159) &gt; 0) * (TRIM('Full month Pivot'!$C$3:$C$400)=TRIM($A166)) * ('Full month Pivot'!$D$2:$K$2=T$2) * 'Full month Pivot'!$D$3:$K$400), "")</f>
        <v/>
      </c>
      <c r="U166" s="193">
        <f>IF(SUMPRODUCT((('Full month Pivot'!$B$3:$B$400=$A$159) + ('Full month Pivot'!$A$3:$A$400=$A$159) &gt; 0) * (TRIM('Full month Pivot'!$C$3:$C$400)=TRIM($A166)) * ('Full month Pivot'!$D$2:$K$2=U$2) * 'Full month Pivot'!$D$3:$K$400)&gt;0, SUMPRODUCT((('Full month Pivot'!$B$3:$B$400=$A$159) + ('Full month Pivot'!$A$3:$A$400=$A$159) &gt; 0) * (TRIM('Full month Pivot'!$C$3:$C$400)=TRIM($A166)) * ('Full month Pivot'!$D$2:$K$2=U$2) * 'Full month Pivot'!$D$3:$K$400), "")</f>
        <v/>
      </c>
      <c r="V166" s="193">
        <f>IF(SUMPRODUCT((('Full month Pivot'!$B$3:$B$400=$A$159) + ('Full month Pivot'!$A$3:$A$400=$A$159) &gt; 0) * (TRIM('Full month Pivot'!$C$3:$C$400)=TRIM($A166)) * ('Full month Pivot'!$D$2:$K$2=V$2) * 'Full month Pivot'!$D$3:$K$400)&gt;0, SUMPRODUCT((('Full month Pivot'!$B$3:$B$400=$A$159) + ('Full month Pivot'!$A$3:$A$400=$A$159) &gt; 0) * (TRIM('Full month Pivot'!$C$3:$C$400)=TRIM($A166)) * ('Full month Pivot'!$D$2:$K$2=V$2) * 'Full month Pivot'!$D$3:$K$400), "")</f>
        <v/>
      </c>
      <c r="W166" s="193">
        <f>IF(SUMPRODUCT((('Full month Pivot'!$B$3:$B$400=$A$159) + ('Full month Pivot'!$A$3:$A$400=$A$159) &gt; 0) * (TRIM('Full month Pivot'!$C$3:$C$400)=TRIM($A166)) * ('Full month Pivot'!$D$2:$K$2=W$2) * 'Full month Pivot'!$D$3:$K$400)&gt;0, SUMPRODUCT((('Full month Pivot'!$B$3:$B$400=$A$159) + ('Full month Pivot'!$A$3:$A$400=$A$159) &gt; 0) * (TRIM('Full month Pivot'!$C$3:$C$400)=TRIM($A166)) * ('Full month Pivot'!$D$2:$K$2=W$2) * 'Full month Pivot'!$D$3:$K$400), "")</f>
        <v/>
      </c>
      <c r="X166" s="193">
        <f>IF(SUMPRODUCT((('Full month Pivot'!$B$3:$B$400=$A$159) + ('Full month Pivot'!$A$3:$A$400=$A$159) &gt; 0) * (TRIM('Full month Pivot'!$C$3:$C$400)=TRIM($A166)) * ('Full month Pivot'!$D$2:$K$2=X$2) * 'Full month Pivot'!$D$3:$K$400)&gt;0, SUMPRODUCT((('Full month Pivot'!$B$3:$B$400=$A$159) + ('Full month Pivot'!$A$3:$A$400=$A$159) &gt; 0) * (TRIM('Full month Pivot'!$C$3:$C$400)=TRIM($A166)) * ('Full month Pivot'!$D$2:$K$2=X$2) * 'Full month Pivot'!$D$3:$K$400), "")</f>
        <v/>
      </c>
      <c r="Y166" s="193">
        <f>IF(SUMPRODUCT((('Full month Pivot'!$B$3:$B$400=$A$159) + ('Full month Pivot'!$A$3:$A$400=$A$159) &gt; 0) * (TRIM('Full month Pivot'!$C$3:$C$400)=TRIM($A166)) * ('Full month Pivot'!$D$2:$K$2=Y$2) * 'Full month Pivot'!$D$3:$K$400)&gt;0, SUMPRODUCT((('Full month Pivot'!$B$3:$B$400=$A$159) + ('Full month Pivot'!$A$3:$A$400=$A$159) &gt; 0) * (TRIM('Full month Pivot'!$C$3:$C$400)=TRIM($A166)) * ('Full month Pivot'!$D$2:$K$2=Y$2) * 'Full month Pivot'!$D$3:$K$400), "")</f>
        <v/>
      </c>
      <c r="Z166" s="193">
        <f>IF(SUMPRODUCT((('Full month Pivot'!$B$3:$B$400=$A$159) + ('Full month Pivot'!$A$3:$A$400=$A$159) &gt; 0) * (TRIM('Full month Pivot'!$C$3:$C$400)=TRIM($A166)) * ('Full month Pivot'!$D$2:$K$2=Z$2) * 'Full month Pivot'!$D$3:$K$400)&gt;0, SUMPRODUCT((('Full month Pivot'!$B$3:$B$400=$A$159) + ('Full month Pivot'!$A$3:$A$400=$A$159) &gt; 0) * (TRIM('Full month Pivot'!$C$3:$C$400)=TRIM($A166)) * ('Full month Pivot'!$D$2:$K$2=Z$2) * 'Full month Pivot'!$D$3:$K$400), "")</f>
        <v/>
      </c>
      <c r="AA166" s="157">
        <f>IF(AND(ISNUMBER(X166), ISNUMBER(W166), W166&gt;0), (X166-W166)/W166, "")</f>
        <v/>
      </c>
      <c r="AB166" s="140" t="n"/>
      <c r="AC166" s="140" t="n"/>
      <c r="AD166" s="140" t="n"/>
    </row>
    <row r="167" ht="15.75" customHeight="1" s="346">
      <c r="A167" s="202" t="inlineStr">
        <is>
          <t xml:space="preserve">  Direct</t>
        </is>
      </c>
      <c r="B167" s="193">
        <f>IF(SUMPRODUCT((('MTD Pivot'!$B$3:$B$400=$A$159) + ('MTD Pivot'!$A$3:$A$400=$A$159) &gt; 0) * (TRIM('MTD Pivot'!$C$3:$C$400)=TRIM($A167)) * ('MTD Pivot'!$D$2:$K$2=B$2) * 'MTD Pivot'!$D$3:$K$400)&gt;0, SUMPRODUCT((('MTD Pivot'!$B$3:$B$400=$A$159) + ('MTD Pivot'!$A$3:$A$400=$A$159) &gt; 0) * (TRIM('MTD Pivot'!$C$3:$C$400)=TRIM($A167)) * ('MTD Pivot'!$D$2:$K$2=B$2) * 'MTD Pivot'!$D$3:$K$400), "")</f>
        <v/>
      </c>
      <c r="C167" s="193">
        <f>IF(SUMPRODUCT((('MTD Pivot'!$B$3:$B$400=$A$159) + ('MTD Pivot'!$A$3:$A$400=$A$159) &gt; 0) * (TRIM('MTD Pivot'!$C$3:$C$400)=TRIM($A167)) * ('MTD Pivot'!$D$2:$K$2=C$2) * 'MTD Pivot'!$D$3:$K$400)&gt;0, SUMPRODUCT((('MTD Pivot'!$B$3:$B$400=$A$159) + ('MTD Pivot'!$A$3:$A$400=$A$159) &gt; 0) * (TRIM('MTD Pivot'!$C$3:$C$400)=TRIM($A167)) * ('MTD Pivot'!$D$2:$K$2=C$2) * 'MTD Pivot'!$D$3:$K$400), "")</f>
        <v/>
      </c>
      <c r="D167" s="193">
        <f>IF(SUMPRODUCT((('MTD Pivot'!$B$3:$B$400=$A$159) + ('MTD Pivot'!$A$3:$A$400=$A$159) &gt; 0) * (TRIM('MTD Pivot'!$C$3:$C$400)=TRIM($A167)) * ('MTD Pivot'!$D$2:$K$2=D$2) * 'MTD Pivot'!$D$3:$K$400)&gt;0, SUMPRODUCT((('MTD Pivot'!$B$3:$B$400=$A$159) + ('MTD Pivot'!$A$3:$A$400=$A$159) &gt; 0) * (TRIM('MTD Pivot'!$C$3:$C$400)=TRIM($A167)) * ('MTD Pivot'!$D$2:$K$2=D$2) * 'MTD Pivot'!$D$3:$K$400), "")</f>
        <v/>
      </c>
      <c r="E167" s="193">
        <f>IF(SUMPRODUCT((('MTD Pivot'!$B$3:$B$400=$A$159) + ('MTD Pivot'!$A$3:$A$400=$A$159) &gt; 0) * (TRIM('MTD Pivot'!$C$3:$C$400)=TRIM($A167)) * ('MTD Pivot'!$D$2:$K$2=E$2) * 'MTD Pivot'!$D$3:$K$400)&gt;0, SUMPRODUCT((('MTD Pivot'!$B$3:$B$400=$A$159) + ('MTD Pivot'!$A$3:$A$400=$A$159) &gt; 0) * (TRIM('MTD Pivot'!$C$3:$C$400)=TRIM($A167)) * ('MTD Pivot'!$D$2:$K$2=E$2) * 'MTD Pivot'!$D$3:$K$400), "")</f>
        <v/>
      </c>
      <c r="F167" s="193">
        <f>IF(SUMPRODUCT((('MTD Pivot'!$B$3:$B$400=$A$159) + ('MTD Pivot'!$A$3:$A$400=$A$159) &gt; 0) * (TRIM('MTD Pivot'!$C$3:$C$400)=TRIM($A167)) * ('MTD Pivot'!$D$2:$K$2=F$2) * 'MTD Pivot'!$D$3:$K$400)&gt;0, SUMPRODUCT((('MTD Pivot'!$B$3:$B$400=$A$159) + ('MTD Pivot'!$A$3:$A$400=$A$159) &gt; 0) * (TRIM('MTD Pivot'!$C$3:$C$400)=TRIM($A167)) * ('MTD Pivot'!$D$2:$K$2=F$2) * 'MTD Pivot'!$D$3:$K$400), "")</f>
        <v/>
      </c>
      <c r="G167" s="193">
        <f>IF(SUMPRODUCT((('MTD Pivot'!$B$3:$B$400=$A$159) + ('MTD Pivot'!$A$3:$A$400=$A$159) &gt; 0) * (TRIM('MTD Pivot'!$C$3:$C$400)=TRIM($A167)) * ('MTD Pivot'!$D$2:$K$2=G$2) * 'MTD Pivot'!$D$3:$K$400)&gt;0, SUMPRODUCT((('MTD Pivot'!$B$3:$B$400=$A$159) + ('MTD Pivot'!$A$3:$A$400=$A$159) &gt; 0) * (TRIM('MTD Pivot'!$C$3:$C$400)=TRIM($A167)) * ('MTD Pivot'!$D$2:$K$2=G$2) * 'MTD Pivot'!$D$3:$K$400), "")</f>
        <v/>
      </c>
      <c r="H167" s="193">
        <f>IF(SUMPRODUCT((('MTD Pivot'!$B$3:$B$400=$A$159) + ('MTD Pivot'!$A$3:$A$400=$A$159) &gt; 0) * (TRIM('MTD Pivot'!$C$3:$C$400)=TRIM($A167)) * ('MTD Pivot'!$D$2:$K$2=H$2) * 'MTD Pivot'!$D$3:$K$400)&gt;0, SUMPRODUCT((('MTD Pivot'!$B$3:$B$400=$A$159) + ('MTD Pivot'!$A$3:$A$400=$A$159) &gt; 0) * (TRIM('MTD Pivot'!$C$3:$C$400)=TRIM($A167)) * ('MTD Pivot'!$D$2:$K$2=H$2) * 'MTD Pivot'!$D$3:$K$400), "")</f>
        <v/>
      </c>
      <c r="I167" s="193">
        <f>IF(SUMPRODUCT((('MTD Pivot'!$B$3:$B$400=$A$159) + ('MTD Pivot'!$A$3:$A$400=$A$159) &gt; 0) * (TRIM('MTD Pivot'!$C$3:$C$400)=TRIM($A167)) * ('MTD Pivot'!$D$2:$K$2=I$2) * 'MTD Pivot'!$D$3:$K$400)&gt;0, SUMPRODUCT((('MTD Pivot'!$B$3:$B$400=$A$159) + ('MTD Pivot'!$A$3:$A$400=$A$159) &gt; 0) * (TRIM('MTD Pivot'!$C$3:$C$400)=TRIM($A167)) * ('MTD Pivot'!$D$2:$K$2=I$2) * 'MTD Pivot'!$D$3:$K$400), "")</f>
        <v/>
      </c>
      <c r="J167" s="193">
        <f>IF(SUMPRODUCT((('MTD Pivot'!$B$3:$B$400=$A$159) + ('MTD Pivot'!$A$3:$A$400=$A$159) &gt; 0) * (TRIM('MTD Pivot'!$C$3:$C$400)=TRIM($A167)) * ('MTD Pivot'!$D$2:$K$2=J$2) * 'MTD Pivot'!$D$3:$K$400)&gt;0, SUMPRODUCT((('MTD Pivot'!$B$3:$B$400=$A$159) + ('MTD Pivot'!$A$3:$A$400=$A$159) &gt; 0) * (TRIM('MTD Pivot'!$C$3:$C$400)=TRIM($A167)) * ('MTD Pivot'!$D$2:$K$2=J$2) * 'MTD Pivot'!$D$3:$K$400), "")</f>
        <v/>
      </c>
      <c r="K167" s="193">
        <f>IF(SUMPRODUCT((('MTD Pivot'!$B$3:$B$400=$A$159) + ('MTD Pivot'!$A$3:$A$400=$A$159) &gt; 0) * (TRIM('MTD Pivot'!$C$3:$C$400)=TRIM($A167)) * ('MTD Pivot'!$D$2:$K$2=K$2) * 'MTD Pivot'!$D$3:$K$400)&gt;0, SUMPRODUCT((('MTD Pivot'!$B$3:$B$400=$A$159) + ('MTD Pivot'!$A$3:$A$400=$A$159) &gt; 0) * (TRIM('MTD Pivot'!$C$3:$C$400)=TRIM($A167)) * ('MTD Pivot'!$D$2:$K$2=K$2) * 'MTD Pivot'!$D$3:$K$400), "")</f>
        <v/>
      </c>
      <c r="L167" s="193">
        <f>IF(SUMPRODUCT((('MTD Pivot'!$B$3:$B$400=$A$159) + ('MTD Pivot'!$A$3:$A$400=$A$159) &gt; 0) * (TRIM('MTD Pivot'!$C$3:$C$400)=TRIM($A167)) * ('MTD Pivot'!$D$2:$K$2=L$2) * 'MTD Pivot'!$D$3:$K$400)&gt;0, SUMPRODUCT((('MTD Pivot'!$B$3:$B$400=$A$159) + ('MTD Pivot'!$A$3:$A$400=$A$159) &gt; 0) * (TRIM('MTD Pivot'!$C$3:$C$400)=TRIM($A167)) * ('MTD Pivot'!$D$2:$K$2=L$2) * 'MTD Pivot'!$D$3:$K$400), "")</f>
        <v/>
      </c>
      <c r="M167" s="193">
        <f>IF(SUMPRODUCT((('MTD Pivot'!$B$3:$B$400=$A$159) + ('MTD Pivot'!$A$3:$A$400=$A$159) &gt; 0) * (TRIM('MTD Pivot'!$C$3:$C$400)=TRIM($A167)) * ('MTD Pivot'!$D$2:$K$2=M$2) * 'MTD Pivot'!$D$3:$K$400)&gt;0, SUMPRODUCT((('MTD Pivot'!$B$3:$B$400=$A$159) + ('MTD Pivot'!$A$3:$A$400=$A$159) &gt; 0) * (TRIM('MTD Pivot'!$C$3:$C$400)=TRIM($A167)) * ('MTD Pivot'!$D$2:$K$2=M$2) * 'MTD Pivot'!$D$3:$K$400), "")</f>
        <v/>
      </c>
      <c r="N167" s="157">
        <f>IF(AND(ISNUMBER(K167), ISNUMBER(J167), J167&gt;0), (K167-J167)/J167, "")</f>
        <v/>
      </c>
      <c r="O167" s="193">
        <f>IF(SUMPRODUCT((('Full month Pivot'!$B$3:$B$400=$A$159) + ('Full month Pivot'!$A$3:$A$400=$A$159) &gt; 0) * (TRIM('Full month Pivot'!$C$3:$C$400)=TRIM($A167)) * ('Full month Pivot'!$D$2:$K$2=O$2) * 'Full month Pivot'!$D$3:$K$400)&gt;0, SUMPRODUCT((('Full month Pivot'!$B$3:$B$400=$A$159) + ('Full month Pivot'!$A$3:$A$400=$A$159) &gt; 0) * (TRIM('Full month Pivot'!$C$3:$C$400)=TRIM($A167)) * ('Full month Pivot'!$D$2:$K$2=O$2) * 'Full month Pivot'!$D$3:$K$400), "")</f>
        <v/>
      </c>
      <c r="P167" s="193">
        <f>IF(SUMPRODUCT((('Full month Pivot'!$B$3:$B$400=$A$159) + ('Full month Pivot'!$A$3:$A$400=$A$159) &gt; 0) * (TRIM('Full month Pivot'!$C$3:$C$400)=TRIM($A167)) * ('Full month Pivot'!$D$2:$K$2=P$2) * 'Full month Pivot'!$D$3:$K$400)&gt;0, SUMPRODUCT((('Full month Pivot'!$B$3:$B$400=$A$159) + ('Full month Pivot'!$A$3:$A$400=$A$159) &gt; 0) * (TRIM('Full month Pivot'!$C$3:$C$400)=TRIM($A167)) * ('Full month Pivot'!$D$2:$K$2=P$2) * 'Full month Pivot'!$D$3:$K$400), "")</f>
        <v/>
      </c>
      <c r="Q167" s="193">
        <f>IF(SUMPRODUCT((('Full month Pivot'!$B$3:$B$400=$A$159) + ('Full month Pivot'!$A$3:$A$400=$A$159) &gt; 0) * (TRIM('Full month Pivot'!$C$3:$C$400)=TRIM($A167)) * ('Full month Pivot'!$D$2:$K$2=Q$2) * 'Full month Pivot'!$D$3:$K$400)&gt;0, SUMPRODUCT((('Full month Pivot'!$B$3:$B$400=$A$159) + ('Full month Pivot'!$A$3:$A$400=$A$159) &gt; 0) * (TRIM('Full month Pivot'!$C$3:$C$400)=TRIM($A167)) * ('Full month Pivot'!$D$2:$K$2=Q$2) * 'Full month Pivot'!$D$3:$K$400), "")</f>
        <v/>
      </c>
      <c r="R167" s="193">
        <f>IF(SUMPRODUCT((('Full month Pivot'!$B$3:$B$400=$A$159) + ('Full month Pivot'!$A$3:$A$400=$A$159) &gt; 0) * (TRIM('Full month Pivot'!$C$3:$C$400)=TRIM($A167)) * ('Full month Pivot'!$D$2:$K$2=R$2) * 'Full month Pivot'!$D$3:$K$400)&gt;0, SUMPRODUCT((('Full month Pivot'!$B$3:$B$400=$A$159) + ('Full month Pivot'!$A$3:$A$400=$A$159) &gt; 0) * (TRIM('Full month Pivot'!$C$3:$C$400)=TRIM($A167)) * ('Full month Pivot'!$D$2:$K$2=R$2) * 'Full month Pivot'!$D$3:$K$400), "")</f>
        <v/>
      </c>
      <c r="S167" s="193">
        <f>IF(SUMPRODUCT((('Full month Pivot'!$B$3:$B$400=$A$159) + ('Full month Pivot'!$A$3:$A$400=$A$159) &gt; 0) * (TRIM('Full month Pivot'!$C$3:$C$400)=TRIM($A167)) * ('Full month Pivot'!$D$2:$K$2=S$2) * 'Full month Pivot'!$D$3:$K$400)&gt;0, SUMPRODUCT((('Full month Pivot'!$B$3:$B$400=$A$159) + ('Full month Pivot'!$A$3:$A$400=$A$159) &gt; 0) * (TRIM('Full month Pivot'!$C$3:$C$400)=TRIM($A167)) * ('Full month Pivot'!$D$2:$K$2=S$2) * 'Full month Pivot'!$D$3:$K$400), "")</f>
        <v/>
      </c>
      <c r="T167" s="193">
        <f>IF(SUMPRODUCT((('Full month Pivot'!$B$3:$B$400=$A$159) + ('Full month Pivot'!$A$3:$A$400=$A$159) &gt; 0) * (TRIM('Full month Pivot'!$C$3:$C$400)=TRIM($A167)) * ('Full month Pivot'!$D$2:$K$2=T$2) * 'Full month Pivot'!$D$3:$K$400)&gt;0, SUMPRODUCT((('Full month Pivot'!$B$3:$B$400=$A$159) + ('Full month Pivot'!$A$3:$A$400=$A$159) &gt; 0) * (TRIM('Full month Pivot'!$C$3:$C$400)=TRIM($A167)) * ('Full month Pivot'!$D$2:$K$2=T$2) * 'Full month Pivot'!$D$3:$K$400), "")</f>
        <v/>
      </c>
      <c r="U167" s="193">
        <f>IF(SUMPRODUCT((('Full month Pivot'!$B$3:$B$400=$A$159) + ('Full month Pivot'!$A$3:$A$400=$A$159) &gt; 0) * (TRIM('Full month Pivot'!$C$3:$C$400)=TRIM($A167)) * ('Full month Pivot'!$D$2:$K$2=U$2) * 'Full month Pivot'!$D$3:$K$400)&gt;0, SUMPRODUCT((('Full month Pivot'!$B$3:$B$400=$A$159) + ('Full month Pivot'!$A$3:$A$400=$A$159) &gt; 0) * (TRIM('Full month Pivot'!$C$3:$C$400)=TRIM($A167)) * ('Full month Pivot'!$D$2:$K$2=U$2) * 'Full month Pivot'!$D$3:$K$400), "")</f>
        <v/>
      </c>
      <c r="V167" s="193">
        <f>IF(SUMPRODUCT((('Full month Pivot'!$B$3:$B$400=$A$159) + ('Full month Pivot'!$A$3:$A$400=$A$159) &gt; 0) * (TRIM('Full month Pivot'!$C$3:$C$400)=TRIM($A167)) * ('Full month Pivot'!$D$2:$K$2=V$2) * 'Full month Pivot'!$D$3:$K$400)&gt;0, SUMPRODUCT((('Full month Pivot'!$B$3:$B$400=$A$159) + ('Full month Pivot'!$A$3:$A$400=$A$159) &gt; 0) * (TRIM('Full month Pivot'!$C$3:$C$400)=TRIM($A167)) * ('Full month Pivot'!$D$2:$K$2=V$2) * 'Full month Pivot'!$D$3:$K$400), "")</f>
        <v/>
      </c>
      <c r="W167" s="193">
        <f>IF(SUMPRODUCT((('Full month Pivot'!$B$3:$B$400=$A$159) + ('Full month Pivot'!$A$3:$A$400=$A$159) &gt; 0) * (TRIM('Full month Pivot'!$C$3:$C$400)=TRIM($A167)) * ('Full month Pivot'!$D$2:$K$2=W$2) * 'Full month Pivot'!$D$3:$K$400)&gt;0, SUMPRODUCT((('Full month Pivot'!$B$3:$B$400=$A$159) + ('Full month Pivot'!$A$3:$A$400=$A$159) &gt; 0) * (TRIM('Full month Pivot'!$C$3:$C$400)=TRIM($A167)) * ('Full month Pivot'!$D$2:$K$2=W$2) * 'Full month Pivot'!$D$3:$K$400), "")</f>
        <v/>
      </c>
      <c r="X167" s="193">
        <f>IF(SUMPRODUCT((('Full month Pivot'!$B$3:$B$400=$A$159) + ('Full month Pivot'!$A$3:$A$400=$A$159) &gt; 0) * (TRIM('Full month Pivot'!$C$3:$C$400)=TRIM($A167)) * ('Full month Pivot'!$D$2:$K$2=X$2) * 'Full month Pivot'!$D$3:$K$400)&gt;0, SUMPRODUCT((('Full month Pivot'!$B$3:$B$400=$A$159) + ('Full month Pivot'!$A$3:$A$400=$A$159) &gt; 0) * (TRIM('Full month Pivot'!$C$3:$C$400)=TRIM($A167)) * ('Full month Pivot'!$D$2:$K$2=X$2) * 'Full month Pivot'!$D$3:$K$400), "")</f>
        <v/>
      </c>
      <c r="Y167" s="193">
        <f>IF(SUMPRODUCT((('Full month Pivot'!$B$3:$B$400=$A$159) + ('Full month Pivot'!$A$3:$A$400=$A$159) &gt; 0) * (TRIM('Full month Pivot'!$C$3:$C$400)=TRIM($A167)) * ('Full month Pivot'!$D$2:$K$2=Y$2) * 'Full month Pivot'!$D$3:$K$400)&gt;0, SUMPRODUCT((('Full month Pivot'!$B$3:$B$400=$A$159) + ('Full month Pivot'!$A$3:$A$400=$A$159) &gt; 0) * (TRIM('Full month Pivot'!$C$3:$C$400)=TRIM($A167)) * ('Full month Pivot'!$D$2:$K$2=Y$2) * 'Full month Pivot'!$D$3:$K$400), "")</f>
        <v/>
      </c>
      <c r="Z167" s="193">
        <f>IF(SUMPRODUCT((('Full month Pivot'!$B$3:$B$400=$A$159) + ('Full month Pivot'!$A$3:$A$400=$A$159) &gt; 0) * (TRIM('Full month Pivot'!$C$3:$C$400)=TRIM($A167)) * ('Full month Pivot'!$D$2:$K$2=Z$2) * 'Full month Pivot'!$D$3:$K$400)&gt;0, SUMPRODUCT((('Full month Pivot'!$B$3:$B$400=$A$159) + ('Full month Pivot'!$A$3:$A$400=$A$159) &gt; 0) * (TRIM('Full month Pivot'!$C$3:$C$400)=TRIM($A167)) * ('Full month Pivot'!$D$2:$K$2=Z$2) * 'Full month Pivot'!$D$3:$K$400), "")</f>
        <v/>
      </c>
      <c r="AA167" s="157">
        <f>IF(AND(ISNUMBER(X167), ISNUMBER(W167), W167&gt;0), (X167-W167)/W167, "")</f>
        <v/>
      </c>
      <c r="AB167" s="140" t="n"/>
      <c r="AC167" s="140" t="n"/>
      <c r="AD167" s="140" t="n"/>
    </row>
    <row r="168" ht="15.75" customHeight="1" s="346">
      <c r="A168" s="202" t="inlineStr">
        <is>
          <t xml:space="preserve">  Referral</t>
        </is>
      </c>
      <c r="B168" s="193">
        <f>IF(SUMPRODUCT((('MTD Pivot'!$B$3:$B$400=$A$159) + ('MTD Pivot'!$A$3:$A$400=$A$159) &gt; 0) * (TRIM('MTD Pivot'!$C$3:$C$400)=TRIM($A168)) * ('MTD Pivot'!$D$2:$K$2=B$2) * 'MTD Pivot'!$D$3:$K$400)&gt;0, SUMPRODUCT((('MTD Pivot'!$B$3:$B$400=$A$159) + ('MTD Pivot'!$A$3:$A$400=$A$159) &gt; 0) * (TRIM('MTD Pivot'!$C$3:$C$400)=TRIM($A168)) * ('MTD Pivot'!$D$2:$K$2=B$2) * 'MTD Pivot'!$D$3:$K$400), "")</f>
        <v/>
      </c>
      <c r="C168" s="193">
        <f>IF(SUMPRODUCT((('MTD Pivot'!$B$3:$B$400=$A$159) + ('MTD Pivot'!$A$3:$A$400=$A$159) &gt; 0) * (TRIM('MTD Pivot'!$C$3:$C$400)=TRIM($A168)) * ('MTD Pivot'!$D$2:$K$2=C$2) * 'MTD Pivot'!$D$3:$K$400)&gt;0, SUMPRODUCT((('MTD Pivot'!$B$3:$B$400=$A$159) + ('MTD Pivot'!$A$3:$A$400=$A$159) &gt; 0) * (TRIM('MTD Pivot'!$C$3:$C$400)=TRIM($A168)) * ('MTD Pivot'!$D$2:$K$2=C$2) * 'MTD Pivot'!$D$3:$K$400), "")</f>
        <v/>
      </c>
      <c r="D168" s="193">
        <f>IF(SUMPRODUCT((('MTD Pivot'!$B$3:$B$400=$A$159) + ('MTD Pivot'!$A$3:$A$400=$A$159) &gt; 0) * (TRIM('MTD Pivot'!$C$3:$C$400)=TRIM($A168)) * ('MTD Pivot'!$D$2:$K$2=D$2) * 'MTD Pivot'!$D$3:$K$400)&gt;0, SUMPRODUCT((('MTD Pivot'!$B$3:$B$400=$A$159) + ('MTD Pivot'!$A$3:$A$400=$A$159) &gt; 0) * (TRIM('MTD Pivot'!$C$3:$C$400)=TRIM($A168)) * ('MTD Pivot'!$D$2:$K$2=D$2) * 'MTD Pivot'!$D$3:$K$400), "")</f>
        <v/>
      </c>
      <c r="E168" s="193">
        <f>IF(SUMPRODUCT((('MTD Pivot'!$B$3:$B$400=$A$159) + ('MTD Pivot'!$A$3:$A$400=$A$159) &gt; 0) * (TRIM('MTD Pivot'!$C$3:$C$400)=TRIM($A168)) * ('MTD Pivot'!$D$2:$K$2=E$2) * 'MTD Pivot'!$D$3:$K$400)&gt;0, SUMPRODUCT((('MTD Pivot'!$B$3:$B$400=$A$159) + ('MTD Pivot'!$A$3:$A$400=$A$159) &gt; 0) * (TRIM('MTD Pivot'!$C$3:$C$400)=TRIM($A168)) * ('MTD Pivot'!$D$2:$K$2=E$2) * 'MTD Pivot'!$D$3:$K$400), "")</f>
        <v/>
      </c>
      <c r="F168" s="193">
        <f>IF(SUMPRODUCT((('MTD Pivot'!$B$3:$B$400=$A$159) + ('MTD Pivot'!$A$3:$A$400=$A$159) &gt; 0) * (TRIM('MTD Pivot'!$C$3:$C$400)=TRIM($A168)) * ('MTD Pivot'!$D$2:$K$2=F$2) * 'MTD Pivot'!$D$3:$K$400)&gt;0, SUMPRODUCT((('MTD Pivot'!$B$3:$B$400=$A$159) + ('MTD Pivot'!$A$3:$A$400=$A$159) &gt; 0) * (TRIM('MTD Pivot'!$C$3:$C$400)=TRIM($A168)) * ('MTD Pivot'!$D$2:$K$2=F$2) * 'MTD Pivot'!$D$3:$K$400), "")</f>
        <v/>
      </c>
      <c r="G168" s="193">
        <f>IF(SUMPRODUCT((('MTD Pivot'!$B$3:$B$400=$A$159) + ('MTD Pivot'!$A$3:$A$400=$A$159) &gt; 0) * (TRIM('MTD Pivot'!$C$3:$C$400)=TRIM($A168)) * ('MTD Pivot'!$D$2:$K$2=G$2) * 'MTD Pivot'!$D$3:$K$400)&gt;0, SUMPRODUCT((('MTD Pivot'!$B$3:$B$400=$A$159) + ('MTD Pivot'!$A$3:$A$400=$A$159) &gt; 0) * (TRIM('MTD Pivot'!$C$3:$C$400)=TRIM($A168)) * ('MTD Pivot'!$D$2:$K$2=G$2) * 'MTD Pivot'!$D$3:$K$400), "")</f>
        <v/>
      </c>
      <c r="H168" s="193">
        <f>IF(SUMPRODUCT((('MTD Pivot'!$B$3:$B$400=$A$159) + ('MTD Pivot'!$A$3:$A$400=$A$159) &gt; 0) * (TRIM('MTD Pivot'!$C$3:$C$400)=TRIM($A168)) * ('MTD Pivot'!$D$2:$K$2=H$2) * 'MTD Pivot'!$D$3:$K$400)&gt;0, SUMPRODUCT((('MTD Pivot'!$B$3:$B$400=$A$159) + ('MTD Pivot'!$A$3:$A$400=$A$159) &gt; 0) * (TRIM('MTD Pivot'!$C$3:$C$400)=TRIM($A168)) * ('MTD Pivot'!$D$2:$K$2=H$2) * 'MTD Pivot'!$D$3:$K$400), "")</f>
        <v/>
      </c>
      <c r="I168" s="193">
        <f>IF(SUMPRODUCT((('MTD Pivot'!$B$3:$B$400=$A$159) + ('MTD Pivot'!$A$3:$A$400=$A$159) &gt; 0) * (TRIM('MTD Pivot'!$C$3:$C$400)=TRIM($A168)) * ('MTD Pivot'!$D$2:$K$2=I$2) * 'MTD Pivot'!$D$3:$K$400)&gt;0, SUMPRODUCT((('MTD Pivot'!$B$3:$B$400=$A$159) + ('MTD Pivot'!$A$3:$A$400=$A$159) &gt; 0) * (TRIM('MTD Pivot'!$C$3:$C$400)=TRIM($A168)) * ('MTD Pivot'!$D$2:$K$2=I$2) * 'MTD Pivot'!$D$3:$K$400), "")</f>
        <v/>
      </c>
      <c r="J168" s="193">
        <f>IF(SUMPRODUCT((('MTD Pivot'!$B$3:$B$400=$A$159) + ('MTD Pivot'!$A$3:$A$400=$A$159) &gt; 0) * (TRIM('MTD Pivot'!$C$3:$C$400)=TRIM($A168)) * ('MTD Pivot'!$D$2:$K$2=J$2) * 'MTD Pivot'!$D$3:$K$400)&gt;0, SUMPRODUCT((('MTD Pivot'!$B$3:$B$400=$A$159) + ('MTD Pivot'!$A$3:$A$400=$A$159) &gt; 0) * (TRIM('MTD Pivot'!$C$3:$C$400)=TRIM($A168)) * ('MTD Pivot'!$D$2:$K$2=J$2) * 'MTD Pivot'!$D$3:$K$400), "")</f>
        <v/>
      </c>
      <c r="K168" s="193">
        <f>IF(SUMPRODUCT((('MTD Pivot'!$B$3:$B$400=$A$159) + ('MTD Pivot'!$A$3:$A$400=$A$159) &gt; 0) * (TRIM('MTD Pivot'!$C$3:$C$400)=TRIM($A168)) * ('MTD Pivot'!$D$2:$K$2=K$2) * 'MTD Pivot'!$D$3:$K$400)&gt;0, SUMPRODUCT((('MTD Pivot'!$B$3:$B$400=$A$159) + ('MTD Pivot'!$A$3:$A$400=$A$159) &gt; 0) * (TRIM('MTD Pivot'!$C$3:$C$400)=TRIM($A168)) * ('MTD Pivot'!$D$2:$K$2=K$2) * 'MTD Pivot'!$D$3:$K$400), "")</f>
        <v/>
      </c>
      <c r="L168" s="193">
        <f>IF(SUMPRODUCT((('MTD Pivot'!$B$3:$B$400=$A$159) + ('MTD Pivot'!$A$3:$A$400=$A$159) &gt; 0) * (TRIM('MTD Pivot'!$C$3:$C$400)=TRIM($A168)) * ('MTD Pivot'!$D$2:$K$2=L$2) * 'MTD Pivot'!$D$3:$K$400)&gt;0, SUMPRODUCT((('MTD Pivot'!$B$3:$B$400=$A$159) + ('MTD Pivot'!$A$3:$A$400=$A$159) &gt; 0) * (TRIM('MTD Pivot'!$C$3:$C$400)=TRIM($A168)) * ('MTD Pivot'!$D$2:$K$2=L$2) * 'MTD Pivot'!$D$3:$K$400), "")</f>
        <v/>
      </c>
      <c r="M168" s="193">
        <f>IF(SUMPRODUCT((('MTD Pivot'!$B$3:$B$400=$A$159) + ('MTD Pivot'!$A$3:$A$400=$A$159) &gt; 0) * (TRIM('MTD Pivot'!$C$3:$C$400)=TRIM($A168)) * ('MTD Pivot'!$D$2:$K$2=M$2) * 'MTD Pivot'!$D$3:$K$400)&gt;0, SUMPRODUCT((('MTD Pivot'!$B$3:$B$400=$A$159) + ('MTD Pivot'!$A$3:$A$400=$A$159) &gt; 0) * (TRIM('MTD Pivot'!$C$3:$C$400)=TRIM($A168)) * ('MTD Pivot'!$D$2:$K$2=M$2) * 'MTD Pivot'!$D$3:$K$400), "")</f>
        <v/>
      </c>
      <c r="N168" s="157">
        <f>IF(AND(ISNUMBER(K168), ISNUMBER(J168), J168&gt;0), (K168-J168)/J168, "")</f>
        <v/>
      </c>
      <c r="O168" s="193">
        <f>IF(SUMPRODUCT((('Full month Pivot'!$B$3:$B$400=$A$159) + ('Full month Pivot'!$A$3:$A$400=$A$159) &gt; 0) * (TRIM('Full month Pivot'!$C$3:$C$400)=TRIM($A168)) * ('Full month Pivot'!$D$2:$K$2=O$2) * 'Full month Pivot'!$D$3:$K$400)&gt;0, SUMPRODUCT((('Full month Pivot'!$B$3:$B$400=$A$159) + ('Full month Pivot'!$A$3:$A$400=$A$159) &gt; 0) * (TRIM('Full month Pivot'!$C$3:$C$400)=TRIM($A168)) * ('Full month Pivot'!$D$2:$K$2=O$2) * 'Full month Pivot'!$D$3:$K$400), "")</f>
        <v/>
      </c>
      <c r="P168" s="193">
        <f>IF(SUMPRODUCT((('Full month Pivot'!$B$3:$B$400=$A$159) + ('Full month Pivot'!$A$3:$A$400=$A$159) &gt; 0) * (TRIM('Full month Pivot'!$C$3:$C$400)=TRIM($A168)) * ('Full month Pivot'!$D$2:$K$2=P$2) * 'Full month Pivot'!$D$3:$K$400)&gt;0, SUMPRODUCT((('Full month Pivot'!$B$3:$B$400=$A$159) + ('Full month Pivot'!$A$3:$A$400=$A$159) &gt; 0) * (TRIM('Full month Pivot'!$C$3:$C$400)=TRIM($A168)) * ('Full month Pivot'!$D$2:$K$2=P$2) * 'Full month Pivot'!$D$3:$K$400), "")</f>
        <v/>
      </c>
      <c r="Q168" s="193">
        <f>IF(SUMPRODUCT((('Full month Pivot'!$B$3:$B$400=$A$159) + ('Full month Pivot'!$A$3:$A$400=$A$159) &gt; 0) * (TRIM('Full month Pivot'!$C$3:$C$400)=TRIM($A168)) * ('Full month Pivot'!$D$2:$K$2=Q$2) * 'Full month Pivot'!$D$3:$K$400)&gt;0, SUMPRODUCT((('Full month Pivot'!$B$3:$B$400=$A$159) + ('Full month Pivot'!$A$3:$A$400=$A$159) &gt; 0) * (TRIM('Full month Pivot'!$C$3:$C$400)=TRIM($A168)) * ('Full month Pivot'!$D$2:$K$2=Q$2) * 'Full month Pivot'!$D$3:$K$400), "")</f>
        <v/>
      </c>
      <c r="R168" s="193">
        <f>IF(SUMPRODUCT((('Full month Pivot'!$B$3:$B$400=$A$159) + ('Full month Pivot'!$A$3:$A$400=$A$159) &gt; 0) * (TRIM('Full month Pivot'!$C$3:$C$400)=TRIM($A168)) * ('Full month Pivot'!$D$2:$K$2=R$2) * 'Full month Pivot'!$D$3:$K$400)&gt;0, SUMPRODUCT((('Full month Pivot'!$B$3:$B$400=$A$159) + ('Full month Pivot'!$A$3:$A$400=$A$159) &gt; 0) * (TRIM('Full month Pivot'!$C$3:$C$400)=TRIM($A168)) * ('Full month Pivot'!$D$2:$K$2=R$2) * 'Full month Pivot'!$D$3:$K$400), "")</f>
        <v/>
      </c>
      <c r="S168" s="193">
        <f>IF(SUMPRODUCT((('Full month Pivot'!$B$3:$B$400=$A$159) + ('Full month Pivot'!$A$3:$A$400=$A$159) &gt; 0) * (TRIM('Full month Pivot'!$C$3:$C$400)=TRIM($A168)) * ('Full month Pivot'!$D$2:$K$2=S$2) * 'Full month Pivot'!$D$3:$K$400)&gt;0, SUMPRODUCT((('Full month Pivot'!$B$3:$B$400=$A$159) + ('Full month Pivot'!$A$3:$A$400=$A$159) &gt; 0) * (TRIM('Full month Pivot'!$C$3:$C$400)=TRIM($A168)) * ('Full month Pivot'!$D$2:$K$2=S$2) * 'Full month Pivot'!$D$3:$K$400), "")</f>
        <v/>
      </c>
      <c r="T168" s="193">
        <f>IF(SUMPRODUCT((('Full month Pivot'!$B$3:$B$400=$A$159) + ('Full month Pivot'!$A$3:$A$400=$A$159) &gt; 0) * (TRIM('Full month Pivot'!$C$3:$C$400)=TRIM($A168)) * ('Full month Pivot'!$D$2:$K$2=T$2) * 'Full month Pivot'!$D$3:$K$400)&gt;0, SUMPRODUCT((('Full month Pivot'!$B$3:$B$400=$A$159) + ('Full month Pivot'!$A$3:$A$400=$A$159) &gt; 0) * (TRIM('Full month Pivot'!$C$3:$C$400)=TRIM($A168)) * ('Full month Pivot'!$D$2:$K$2=T$2) * 'Full month Pivot'!$D$3:$K$400), "")</f>
        <v/>
      </c>
      <c r="U168" s="193">
        <f>IF(SUMPRODUCT((('Full month Pivot'!$B$3:$B$400=$A$159) + ('Full month Pivot'!$A$3:$A$400=$A$159) &gt; 0) * (TRIM('Full month Pivot'!$C$3:$C$400)=TRIM($A168)) * ('Full month Pivot'!$D$2:$K$2=U$2) * 'Full month Pivot'!$D$3:$K$400)&gt;0, SUMPRODUCT((('Full month Pivot'!$B$3:$B$400=$A$159) + ('Full month Pivot'!$A$3:$A$400=$A$159) &gt; 0) * (TRIM('Full month Pivot'!$C$3:$C$400)=TRIM($A168)) * ('Full month Pivot'!$D$2:$K$2=U$2) * 'Full month Pivot'!$D$3:$K$400), "")</f>
        <v/>
      </c>
      <c r="V168" s="193">
        <f>IF(SUMPRODUCT((('Full month Pivot'!$B$3:$B$400=$A$159) + ('Full month Pivot'!$A$3:$A$400=$A$159) &gt; 0) * (TRIM('Full month Pivot'!$C$3:$C$400)=TRIM($A168)) * ('Full month Pivot'!$D$2:$K$2=V$2) * 'Full month Pivot'!$D$3:$K$400)&gt;0, SUMPRODUCT((('Full month Pivot'!$B$3:$B$400=$A$159) + ('Full month Pivot'!$A$3:$A$400=$A$159) &gt; 0) * (TRIM('Full month Pivot'!$C$3:$C$400)=TRIM($A168)) * ('Full month Pivot'!$D$2:$K$2=V$2) * 'Full month Pivot'!$D$3:$K$400), "")</f>
        <v/>
      </c>
      <c r="W168" s="193">
        <f>IF(SUMPRODUCT((('Full month Pivot'!$B$3:$B$400=$A$159) + ('Full month Pivot'!$A$3:$A$400=$A$159) &gt; 0) * (TRIM('Full month Pivot'!$C$3:$C$400)=TRIM($A168)) * ('Full month Pivot'!$D$2:$K$2=W$2) * 'Full month Pivot'!$D$3:$K$400)&gt;0, SUMPRODUCT((('Full month Pivot'!$B$3:$B$400=$A$159) + ('Full month Pivot'!$A$3:$A$400=$A$159) &gt; 0) * (TRIM('Full month Pivot'!$C$3:$C$400)=TRIM($A168)) * ('Full month Pivot'!$D$2:$K$2=W$2) * 'Full month Pivot'!$D$3:$K$400), "")</f>
        <v/>
      </c>
      <c r="X168" s="193">
        <f>IF(SUMPRODUCT((('Full month Pivot'!$B$3:$B$400=$A$159) + ('Full month Pivot'!$A$3:$A$400=$A$159) &gt; 0) * (TRIM('Full month Pivot'!$C$3:$C$400)=TRIM($A168)) * ('Full month Pivot'!$D$2:$K$2=X$2) * 'Full month Pivot'!$D$3:$K$400)&gt;0, SUMPRODUCT((('Full month Pivot'!$B$3:$B$400=$A$159) + ('Full month Pivot'!$A$3:$A$400=$A$159) &gt; 0) * (TRIM('Full month Pivot'!$C$3:$C$400)=TRIM($A168)) * ('Full month Pivot'!$D$2:$K$2=X$2) * 'Full month Pivot'!$D$3:$K$400), "")</f>
        <v/>
      </c>
      <c r="Y168" s="193">
        <f>IF(SUMPRODUCT((('Full month Pivot'!$B$3:$B$400=$A$159) + ('Full month Pivot'!$A$3:$A$400=$A$159) &gt; 0) * (TRIM('Full month Pivot'!$C$3:$C$400)=TRIM($A168)) * ('Full month Pivot'!$D$2:$K$2=Y$2) * 'Full month Pivot'!$D$3:$K$400)&gt;0, SUMPRODUCT((('Full month Pivot'!$B$3:$B$400=$A$159) + ('Full month Pivot'!$A$3:$A$400=$A$159) &gt; 0) * (TRIM('Full month Pivot'!$C$3:$C$400)=TRIM($A168)) * ('Full month Pivot'!$D$2:$K$2=Y$2) * 'Full month Pivot'!$D$3:$K$400), "")</f>
        <v/>
      </c>
      <c r="Z168" s="193">
        <f>IF(SUMPRODUCT((('Full month Pivot'!$B$3:$B$400=$A$159) + ('Full month Pivot'!$A$3:$A$400=$A$159) &gt; 0) * (TRIM('Full month Pivot'!$C$3:$C$400)=TRIM($A168)) * ('Full month Pivot'!$D$2:$K$2=Z$2) * 'Full month Pivot'!$D$3:$K$400)&gt;0, SUMPRODUCT((('Full month Pivot'!$B$3:$B$400=$A$159) + ('Full month Pivot'!$A$3:$A$400=$A$159) &gt; 0) * (TRIM('Full month Pivot'!$C$3:$C$400)=TRIM($A168)) * ('Full month Pivot'!$D$2:$K$2=Z$2) * 'Full month Pivot'!$D$3:$K$400), "")</f>
        <v/>
      </c>
      <c r="AA168" s="157">
        <f>IF(AND(ISNUMBER(X168), ISNUMBER(W168), W168&gt;0), (X168-W168)/W168, "")</f>
        <v/>
      </c>
      <c r="AB168" s="140" t="n"/>
      <c r="AC168" s="140" t="n"/>
      <c r="AD168" s="140" t="n"/>
    </row>
    <row r="169" ht="15.75" customHeight="1" s="346">
      <c r="A169" s="202" t="inlineStr">
        <is>
          <t xml:space="preserve">  Others</t>
        </is>
      </c>
      <c r="B169" s="193">
        <f>IF(SUMPRODUCT((('MTD Pivot'!$B$3:$B$400=$A$159) + ('MTD Pivot'!$A$3:$A$400=$A$159) &gt; 0) * (TRIM('MTD Pivot'!$C$3:$C$400)=TRIM($A169)) * ('MTD Pivot'!$D$2:$K$2=B$2) * 'MTD Pivot'!$D$3:$K$400)&gt;0, SUMPRODUCT((('MTD Pivot'!$B$3:$B$400=$A$159) + ('MTD Pivot'!$A$3:$A$400=$A$159) &gt; 0) * (TRIM('MTD Pivot'!$C$3:$C$400)=TRIM($A169)) * ('MTD Pivot'!$D$2:$K$2=B$2) * 'MTD Pivot'!$D$3:$K$400), "")</f>
        <v/>
      </c>
      <c r="C169" s="193">
        <f>IF(SUMPRODUCT((('MTD Pivot'!$B$3:$B$400=$A$159) + ('MTD Pivot'!$A$3:$A$400=$A$159) &gt; 0) * (TRIM('MTD Pivot'!$C$3:$C$400)=TRIM($A169)) * ('MTD Pivot'!$D$2:$K$2=C$2) * 'MTD Pivot'!$D$3:$K$400)&gt;0, SUMPRODUCT((('MTD Pivot'!$B$3:$B$400=$A$159) + ('MTD Pivot'!$A$3:$A$400=$A$159) &gt; 0) * (TRIM('MTD Pivot'!$C$3:$C$400)=TRIM($A169)) * ('MTD Pivot'!$D$2:$K$2=C$2) * 'MTD Pivot'!$D$3:$K$400), "")</f>
        <v/>
      </c>
      <c r="D169" s="193">
        <f>IF(SUMPRODUCT((('MTD Pivot'!$B$3:$B$400=$A$159) + ('MTD Pivot'!$A$3:$A$400=$A$159) &gt; 0) * (TRIM('MTD Pivot'!$C$3:$C$400)=TRIM($A169)) * ('MTD Pivot'!$D$2:$K$2=D$2) * 'MTD Pivot'!$D$3:$K$400)&gt;0, SUMPRODUCT((('MTD Pivot'!$B$3:$B$400=$A$159) + ('MTD Pivot'!$A$3:$A$400=$A$159) &gt; 0) * (TRIM('MTD Pivot'!$C$3:$C$400)=TRIM($A169)) * ('MTD Pivot'!$D$2:$K$2=D$2) * 'MTD Pivot'!$D$3:$K$400), "")</f>
        <v/>
      </c>
      <c r="E169" s="193">
        <f>IF(SUMPRODUCT((('MTD Pivot'!$B$3:$B$400=$A$159) + ('MTD Pivot'!$A$3:$A$400=$A$159) &gt; 0) * (TRIM('MTD Pivot'!$C$3:$C$400)=TRIM($A169)) * ('MTD Pivot'!$D$2:$K$2=E$2) * 'MTD Pivot'!$D$3:$K$400)&gt;0, SUMPRODUCT((('MTD Pivot'!$B$3:$B$400=$A$159) + ('MTD Pivot'!$A$3:$A$400=$A$159) &gt; 0) * (TRIM('MTD Pivot'!$C$3:$C$400)=TRIM($A169)) * ('MTD Pivot'!$D$2:$K$2=E$2) * 'MTD Pivot'!$D$3:$K$400), "")</f>
        <v/>
      </c>
      <c r="F169" s="193">
        <f>IF(SUMPRODUCT((('MTD Pivot'!$B$3:$B$400=$A$159) + ('MTD Pivot'!$A$3:$A$400=$A$159) &gt; 0) * (TRIM('MTD Pivot'!$C$3:$C$400)=TRIM($A169)) * ('MTD Pivot'!$D$2:$K$2=F$2) * 'MTD Pivot'!$D$3:$K$400)&gt;0, SUMPRODUCT((('MTD Pivot'!$B$3:$B$400=$A$159) + ('MTD Pivot'!$A$3:$A$400=$A$159) &gt; 0) * (TRIM('MTD Pivot'!$C$3:$C$400)=TRIM($A169)) * ('MTD Pivot'!$D$2:$K$2=F$2) * 'MTD Pivot'!$D$3:$K$400), "")</f>
        <v/>
      </c>
      <c r="G169" s="193">
        <f>IF(SUMPRODUCT((('MTD Pivot'!$B$3:$B$400=$A$159) + ('MTD Pivot'!$A$3:$A$400=$A$159) &gt; 0) * (TRIM('MTD Pivot'!$C$3:$C$400)=TRIM($A169)) * ('MTD Pivot'!$D$2:$K$2=G$2) * 'MTD Pivot'!$D$3:$K$400)&gt;0, SUMPRODUCT((('MTD Pivot'!$B$3:$B$400=$A$159) + ('MTD Pivot'!$A$3:$A$400=$A$159) &gt; 0) * (TRIM('MTD Pivot'!$C$3:$C$400)=TRIM($A169)) * ('MTD Pivot'!$D$2:$K$2=G$2) * 'MTD Pivot'!$D$3:$K$400), "")</f>
        <v/>
      </c>
      <c r="H169" s="193">
        <f>IF(SUMPRODUCT((('MTD Pivot'!$B$3:$B$400=$A$159) + ('MTD Pivot'!$A$3:$A$400=$A$159) &gt; 0) * (TRIM('MTD Pivot'!$C$3:$C$400)=TRIM($A169)) * ('MTD Pivot'!$D$2:$K$2=H$2) * 'MTD Pivot'!$D$3:$K$400)&gt;0, SUMPRODUCT((('MTD Pivot'!$B$3:$B$400=$A$159) + ('MTD Pivot'!$A$3:$A$400=$A$159) &gt; 0) * (TRIM('MTD Pivot'!$C$3:$C$400)=TRIM($A169)) * ('MTD Pivot'!$D$2:$K$2=H$2) * 'MTD Pivot'!$D$3:$K$400), "")</f>
        <v/>
      </c>
      <c r="I169" s="193">
        <f>IF(SUMPRODUCT((('MTD Pivot'!$B$3:$B$400=$A$159) + ('MTD Pivot'!$A$3:$A$400=$A$159) &gt; 0) * (TRIM('MTD Pivot'!$C$3:$C$400)=TRIM($A169)) * ('MTD Pivot'!$D$2:$K$2=I$2) * 'MTD Pivot'!$D$3:$K$400)&gt;0, SUMPRODUCT((('MTD Pivot'!$B$3:$B$400=$A$159) + ('MTD Pivot'!$A$3:$A$400=$A$159) &gt; 0) * (TRIM('MTD Pivot'!$C$3:$C$400)=TRIM($A169)) * ('MTD Pivot'!$D$2:$K$2=I$2) * 'MTD Pivot'!$D$3:$K$400), "")</f>
        <v/>
      </c>
      <c r="J169" s="193">
        <f>IF(SUMPRODUCT((('MTD Pivot'!$B$3:$B$400=$A$159) + ('MTD Pivot'!$A$3:$A$400=$A$159) &gt; 0) * (TRIM('MTD Pivot'!$C$3:$C$400)=TRIM($A169)) * ('MTD Pivot'!$D$2:$K$2=J$2) * 'MTD Pivot'!$D$3:$K$400)&gt;0, SUMPRODUCT((('MTD Pivot'!$B$3:$B$400=$A$159) + ('MTD Pivot'!$A$3:$A$400=$A$159) &gt; 0) * (TRIM('MTD Pivot'!$C$3:$C$400)=TRIM($A169)) * ('MTD Pivot'!$D$2:$K$2=J$2) * 'MTD Pivot'!$D$3:$K$400), "")</f>
        <v/>
      </c>
      <c r="K169" s="193">
        <f>IF(SUMPRODUCT((('MTD Pivot'!$B$3:$B$400=$A$159) + ('MTD Pivot'!$A$3:$A$400=$A$159) &gt; 0) * (TRIM('MTD Pivot'!$C$3:$C$400)=TRIM($A169)) * ('MTD Pivot'!$D$2:$K$2=K$2) * 'MTD Pivot'!$D$3:$K$400)&gt;0, SUMPRODUCT((('MTD Pivot'!$B$3:$B$400=$A$159) + ('MTD Pivot'!$A$3:$A$400=$A$159) &gt; 0) * (TRIM('MTD Pivot'!$C$3:$C$400)=TRIM($A169)) * ('MTD Pivot'!$D$2:$K$2=K$2) * 'MTD Pivot'!$D$3:$K$400), "")</f>
        <v/>
      </c>
      <c r="L169" s="193">
        <f>IF(SUMPRODUCT((('MTD Pivot'!$B$3:$B$400=$A$159) + ('MTD Pivot'!$A$3:$A$400=$A$159) &gt; 0) * (TRIM('MTD Pivot'!$C$3:$C$400)=TRIM($A169)) * ('MTD Pivot'!$D$2:$K$2=L$2) * 'MTD Pivot'!$D$3:$K$400)&gt;0, SUMPRODUCT((('MTD Pivot'!$B$3:$B$400=$A$159) + ('MTD Pivot'!$A$3:$A$400=$A$159) &gt; 0) * (TRIM('MTD Pivot'!$C$3:$C$400)=TRIM($A169)) * ('MTD Pivot'!$D$2:$K$2=L$2) * 'MTD Pivot'!$D$3:$K$400), "")</f>
        <v/>
      </c>
      <c r="M169" s="193">
        <f>IF(SUMPRODUCT((('MTD Pivot'!$B$3:$B$400=$A$159) + ('MTD Pivot'!$A$3:$A$400=$A$159) &gt; 0) * (TRIM('MTD Pivot'!$C$3:$C$400)=TRIM($A169)) * ('MTD Pivot'!$D$2:$K$2=M$2) * 'MTD Pivot'!$D$3:$K$400)&gt;0, SUMPRODUCT((('MTD Pivot'!$B$3:$B$400=$A$159) + ('MTD Pivot'!$A$3:$A$400=$A$159) &gt; 0) * (TRIM('MTD Pivot'!$C$3:$C$400)=TRIM($A169)) * ('MTD Pivot'!$D$2:$K$2=M$2) * 'MTD Pivot'!$D$3:$K$400), "")</f>
        <v/>
      </c>
      <c r="N169" s="157">
        <f>IF(AND(ISNUMBER(K169), ISNUMBER(J169), J169&gt;0), (K169-J169)/J169, "")</f>
        <v/>
      </c>
      <c r="O169" s="193">
        <f>IF(SUMPRODUCT((('Full month Pivot'!$B$3:$B$400=$A$159) + ('Full month Pivot'!$A$3:$A$400=$A$159) &gt; 0) * (TRIM('Full month Pivot'!$C$3:$C$400)=TRIM($A169)) * ('Full month Pivot'!$D$2:$K$2=O$2) * 'Full month Pivot'!$D$3:$K$400)&gt;0, SUMPRODUCT((('Full month Pivot'!$B$3:$B$400=$A$159) + ('Full month Pivot'!$A$3:$A$400=$A$159) &gt; 0) * (TRIM('Full month Pivot'!$C$3:$C$400)=TRIM($A169)) * ('Full month Pivot'!$D$2:$K$2=O$2) * 'Full month Pivot'!$D$3:$K$400), "")</f>
        <v/>
      </c>
      <c r="P169" s="193">
        <f>IF(SUMPRODUCT((('Full month Pivot'!$B$3:$B$400=$A$159) + ('Full month Pivot'!$A$3:$A$400=$A$159) &gt; 0) * (TRIM('Full month Pivot'!$C$3:$C$400)=TRIM($A169)) * ('Full month Pivot'!$D$2:$K$2=P$2) * 'Full month Pivot'!$D$3:$K$400)&gt;0, SUMPRODUCT((('Full month Pivot'!$B$3:$B$400=$A$159) + ('Full month Pivot'!$A$3:$A$400=$A$159) &gt; 0) * (TRIM('Full month Pivot'!$C$3:$C$400)=TRIM($A169)) * ('Full month Pivot'!$D$2:$K$2=P$2) * 'Full month Pivot'!$D$3:$K$400), "")</f>
        <v/>
      </c>
      <c r="Q169" s="193">
        <f>IF(SUMPRODUCT((('Full month Pivot'!$B$3:$B$400=$A$159) + ('Full month Pivot'!$A$3:$A$400=$A$159) &gt; 0) * (TRIM('Full month Pivot'!$C$3:$C$400)=TRIM($A169)) * ('Full month Pivot'!$D$2:$K$2=Q$2) * 'Full month Pivot'!$D$3:$K$400)&gt;0, SUMPRODUCT((('Full month Pivot'!$B$3:$B$400=$A$159) + ('Full month Pivot'!$A$3:$A$400=$A$159) &gt; 0) * (TRIM('Full month Pivot'!$C$3:$C$400)=TRIM($A169)) * ('Full month Pivot'!$D$2:$K$2=Q$2) * 'Full month Pivot'!$D$3:$K$400), "")</f>
        <v/>
      </c>
      <c r="R169" s="193">
        <f>IF(SUMPRODUCT((('Full month Pivot'!$B$3:$B$400=$A$159) + ('Full month Pivot'!$A$3:$A$400=$A$159) &gt; 0) * (TRIM('Full month Pivot'!$C$3:$C$400)=TRIM($A169)) * ('Full month Pivot'!$D$2:$K$2=R$2) * 'Full month Pivot'!$D$3:$K$400)&gt;0, SUMPRODUCT((('Full month Pivot'!$B$3:$B$400=$A$159) + ('Full month Pivot'!$A$3:$A$400=$A$159) &gt; 0) * (TRIM('Full month Pivot'!$C$3:$C$400)=TRIM($A169)) * ('Full month Pivot'!$D$2:$K$2=R$2) * 'Full month Pivot'!$D$3:$K$400), "")</f>
        <v/>
      </c>
      <c r="S169" s="193">
        <f>IF(SUMPRODUCT((('Full month Pivot'!$B$3:$B$400=$A$159) + ('Full month Pivot'!$A$3:$A$400=$A$159) &gt; 0) * (TRIM('Full month Pivot'!$C$3:$C$400)=TRIM($A169)) * ('Full month Pivot'!$D$2:$K$2=S$2) * 'Full month Pivot'!$D$3:$K$400)&gt;0, SUMPRODUCT((('Full month Pivot'!$B$3:$B$400=$A$159) + ('Full month Pivot'!$A$3:$A$400=$A$159) &gt; 0) * (TRIM('Full month Pivot'!$C$3:$C$400)=TRIM($A169)) * ('Full month Pivot'!$D$2:$K$2=S$2) * 'Full month Pivot'!$D$3:$K$400), "")</f>
        <v/>
      </c>
      <c r="T169" s="193">
        <f>IF(SUMPRODUCT((('Full month Pivot'!$B$3:$B$400=$A$159) + ('Full month Pivot'!$A$3:$A$400=$A$159) &gt; 0) * (TRIM('Full month Pivot'!$C$3:$C$400)=TRIM($A169)) * ('Full month Pivot'!$D$2:$K$2=T$2) * 'Full month Pivot'!$D$3:$K$400)&gt;0, SUMPRODUCT((('Full month Pivot'!$B$3:$B$400=$A$159) + ('Full month Pivot'!$A$3:$A$400=$A$159) &gt; 0) * (TRIM('Full month Pivot'!$C$3:$C$400)=TRIM($A169)) * ('Full month Pivot'!$D$2:$K$2=T$2) * 'Full month Pivot'!$D$3:$K$400), "")</f>
        <v/>
      </c>
      <c r="U169" s="193">
        <f>IF(SUMPRODUCT((('Full month Pivot'!$B$3:$B$400=$A$159) + ('Full month Pivot'!$A$3:$A$400=$A$159) &gt; 0) * (TRIM('Full month Pivot'!$C$3:$C$400)=TRIM($A169)) * ('Full month Pivot'!$D$2:$K$2=U$2) * 'Full month Pivot'!$D$3:$K$400)&gt;0, SUMPRODUCT((('Full month Pivot'!$B$3:$B$400=$A$159) + ('Full month Pivot'!$A$3:$A$400=$A$159) &gt; 0) * (TRIM('Full month Pivot'!$C$3:$C$400)=TRIM($A169)) * ('Full month Pivot'!$D$2:$K$2=U$2) * 'Full month Pivot'!$D$3:$K$400), "")</f>
        <v/>
      </c>
      <c r="V169" s="193">
        <f>IF(SUMPRODUCT((('Full month Pivot'!$B$3:$B$400=$A$159) + ('Full month Pivot'!$A$3:$A$400=$A$159) &gt; 0) * (TRIM('Full month Pivot'!$C$3:$C$400)=TRIM($A169)) * ('Full month Pivot'!$D$2:$K$2=V$2) * 'Full month Pivot'!$D$3:$K$400)&gt;0, SUMPRODUCT((('Full month Pivot'!$B$3:$B$400=$A$159) + ('Full month Pivot'!$A$3:$A$400=$A$159) &gt; 0) * (TRIM('Full month Pivot'!$C$3:$C$400)=TRIM($A169)) * ('Full month Pivot'!$D$2:$K$2=V$2) * 'Full month Pivot'!$D$3:$K$400), "")</f>
        <v/>
      </c>
      <c r="W169" s="193">
        <f>IF(SUMPRODUCT((('Full month Pivot'!$B$3:$B$400=$A$159) + ('Full month Pivot'!$A$3:$A$400=$A$159) &gt; 0) * (TRIM('Full month Pivot'!$C$3:$C$400)=TRIM($A169)) * ('Full month Pivot'!$D$2:$K$2=W$2) * 'Full month Pivot'!$D$3:$K$400)&gt;0, SUMPRODUCT((('Full month Pivot'!$B$3:$B$400=$A$159) + ('Full month Pivot'!$A$3:$A$400=$A$159) &gt; 0) * (TRIM('Full month Pivot'!$C$3:$C$400)=TRIM($A169)) * ('Full month Pivot'!$D$2:$K$2=W$2) * 'Full month Pivot'!$D$3:$K$400), "")</f>
        <v/>
      </c>
      <c r="X169" s="193">
        <f>IF(SUMPRODUCT((('Full month Pivot'!$B$3:$B$400=$A$159) + ('Full month Pivot'!$A$3:$A$400=$A$159) &gt; 0) * (TRIM('Full month Pivot'!$C$3:$C$400)=TRIM($A169)) * ('Full month Pivot'!$D$2:$K$2=X$2) * 'Full month Pivot'!$D$3:$K$400)&gt;0, SUMPRODUCT((('Full month Pivot'!$B$3:$B$400=$A$159) + ('Full month Pivot'!$A$3:$A$400=$A$159) &gt; 0) * (TRIM('Full month Pivot'!$C$3:$C$400)=TRIM($A169)) * ('Full month Pivot'!$D$2:$K$2=X$2) * 'Full month Pivot'!$D$3:$K$400), "")</f>
        <v/>
      </c>
      <c r="Y169" s="193">
        <f>IF(SUMPRODUCT((('Full month Pivot'!$B$3:$B$400=$A$159) + ('Full month Pivot'!$A$3:$A$400=$A$159) &gt; 0) * (TRIM('Full month Pivot'!$C$3:$C$400)=TRIM($A169)) * ('Full month Pivot'!$D$2:$K$2=Y$2) * 'Full month Pivot'!$D$3:$K$400)&gt;0, SUMPRODUCT((('Full month Pivot'!$B$3:$B$400=$A$159) + ('Full month Pivot'!$A$3:$A$400=$A$159) &gt; 0) * (TRIM('Full month Pivot'!$C$3:$C$400)=TRIM($A169)) * ('Full month Pivot'!$D$2:$K$2=Y$2) * 'Full month Pivot'!$D$3:$K$400), "")</f>
        <v/>
      </c>
      <c r="Z169" s="193">
        <f>IF(SUMPRODUCT((('Full month Pivot'!$B$3:$B$400=$A$159) + ('Full month Pivot'!$A$3:$A$400=$A$159) &gt; 0) * (TRIM('Full month Pivot'!$C$3:$C$400)=TRIM($A169)) * ('Full month Pivot'!$D$2:$K$2=Z$2) * 'Full month Pivot'!$D$3:$K$400)&gt;0, SUMPRODUCT((('Full month Pivot'!$B$3:$B$400=$A$159) + ('Full month Pivot'!$A$3:$A$400=$A$159) &gt; 0) * (TRIM('Full month Pivot'!$C$3:$C$400)=TRIM($A169)) * ('Full month Pivot'!$D$2:$K$2=Z$2) * 'Full month Pivot'!$D$3:$K$400), "")</f>
        <v/>
      </c>
      <c r="AA169" s="157">
        <f>IF(AND(ISNUMBER(X169), ISNUMBER(W169), W169&gt;0), (X169-W169)/W169, "")</f>
        <v/>
      </c>
      <c r="AB169" s="140" t="n"/>
      <c r="AC169" s="140" t="n"/>
      <c r="AD169" s="140" t="n"/>
    </row>
    <row r="170" ht="15.75" customHeight="1" s="346">
      <c r="A170" s="202" t="n"/>
      <c r="B170" s="202" t="n"/>
      <c r="C170" s="202" t="n"/>
      <c r="D170" s="202" t="n"/>
      <c r="E170" s="202" t="n"/>
      <c r="F170" s="202" t="n"/>
      <c r="G170" s="202" t="n"/>
      <c r="H170" s="202" t="n"/>
      <c r="I170" s="202" t="n"/>
      <c r="J170" s="202" t="n"/>
      <c r="K170" s="202" t="n"/>
      <c r="L170" s="202" t="n"/>
      <c r="M170" s="202" t="n"/>
      <c r="N170" s="202" t="n"/>
      <c r="O170" s="202" t="n"/>
      <c r="P170" s="202" t="n"/>
      <c r="Q170" s="202" t="n"/>
      <c r="R170" s="202" t="n"/>
      <c r="S170" s="202" t="n"/>
      <c r="T170" s="202" t="n"/>
      <c r="U170" s="202" t="n"/>
      <c r="V170" s="202" t="n"/>
      <c r="W170" s="202" t="n"/>
      <c r="X170" s="202" t="n"/>
      <c r="Y170" s="202" t="n"/>
      <c r="Z170" s="202" t="n"/>
      <c r="AA170" s="202" t="n"/>
      <c r="AB170" s="140" t="n"/>
      <c r="AC170" s="140" t="n"/>
      <c r="AD170" s="140" t="n"/>
    </row>
    <row r="171" ht="15.75" customHeight="1" s="346">
      <c r="A171" s="145" t="inlineStr">
        <is>
          <t>Insurance Hub</t>
        </is>
      </c>
      <c r="B171" s="145" t="n"/>
      <c r="C171" s="145" t="n"/>
      <c r="D171" s="145" t="n"/>
      <c r="E171" s="145" t="n"/>
      <c r="F171" s="145" t="n"/>
      <c r="G171" s="145" t="n"/>
      <c r="H171" s="145" t="n"/>
      <c r="I171" s="145" t="n"/>
      <c r="J171" s="145" t="n"/>
      <c r="K171" s="145" t="n"/>
      <c r="L171" s="145" t="n"/>
      <c r="M171" s="145" t="n"/>
      <c r="N171" s="145" t="n"/>
      <c r="O171" s="145" t="n"/>
      <c r="P171" s="145" t="n"/>
      <c r="Q171" s="145" t="n"/>
      <c r="R171" s="145" t="n"/>
      <c r="S171" s="145" t="n"/>
      <c r="T171" s="145" t="n"/>
      <c r="U171" s="145" t="n"/>
      <c r="V171" s="145" t="n"/>
      <c r="W171" s="145" t="n"/>
      <c r="X171" s="145" t="n"/>
      <c r="Y171" s="145" t="n"/>
      <c r="Z171" s="145" t="n"/>
      <c r="AA171" s="145" t="n"/>
      <c r="AB171" s="140" t="n"/>
      <c r="AC171" s="140" t="n"/>
      <c r="AD171" s="140" t="n"/>
    </row>
    <row r="172" ht="15.75" customHeight="1" s="346">
      <c r="A172" s="146" t="inlineStr">
        <is>
          <t>Page views</t>
        </is>
      </c>
      <c r="B172" s="147">
        <f>IF(SUM(B177:B181)&gt;0, SUM(B177:B181), "")</f>
        <v/>
      </c>
      <c r="C172" s="147">
        <f>IF(SUM(C177:C181)&gt;0, SUM(C177:C181), "")</f>
        <v/>
      </c>
      <c r="D172" s="147">
        <f>IF(SUM(D177:D181)&gt;0, SUM(D177:D181), "")</f>
        <v/>
      </c>
      <c r="E172" s="147">
        <f>IF(SUM(E177:E181)&gt;0, SUM(E177:E181), "")</f>
        <v/>
      </c>
      <c r="F172" s="147">
        <f>IF(SUM(F177:F181)&gt;0, SUM(F177:F181), "")</f>
        <v/>
      </c>
      <c r="G172" s="147">
        <f>IF(SUM(G177:G181)&gt;0, SUM(G177:G181), "")</f>
        <v/>
      </c>
      <c r="H172" s="147">
        <f>IF(SUM(H177:H181)&gt;0, SUM(H177:H181), "")</f>
        <v/>
      </c>
      <c r="I172" s="147">
        <f>IF(SUM(I177:I181)&gt;0, SUM(I177:I181), "")</f>
        <v/>
      </c>
      <c r="J172" s="147">
        <f>IF(SUM(J177:J181)&gt;0, SUM(J177:J181), "")</f>
        <v/>
      </c>
      <c r="K172" s="147">
        <f>IF(SUM(K177:K181)&gt;0, SUM(K177:K181), "")</f>
        <v/>
      </c>
      <c r="L172" s="147">
        <f>IF(SUM(L177:L181)&gt;0, SUM(L177:L181), "")</f>
        <v/>
      </c>
      <c r="M172" s="147">
        <f>IF(SUM(M177:M181)&gt;0, SUM(M177:M181), "")</f>
        <v/>
      </c>
      <c r="N172" s="148">
        <f>IFERROR((K172-J172)/J172, "")</f>
        <v/>
      </c>
      <c r="O172" s="147">
        <f>IF(SUM(O177:O181)&gt;0, SUM(O177:O181), "")</f>
        <v/>
      </c>
      <c r="P172" s="147">
        <f>IF(SUM(P177:P181)&gt;0, SUM(P177:P181), "")</f>
        <v/>
      </c>
      <c r="Q172" s="147">
        <f>IF(SUM(Q177:Q181)&gt;0, SUM(Q177:Q181), "")</f>
        <v/>
      </c>
      <c r="R172" s="147">
        <f>IF(SUM(R177:R181)&gt;0, SUM(R177:R181), "")</f>
        <v/>
      </c>
      <c r="S172" s="147">
        <f>IF(SUM(S177:S181)&gt;0, SUM(S177:S181), "")</f>
        <v/>
      </c>
      <c r="T172" s="147">
        <f>IF(SUM(T177:T181)&gt;0, SUM(T177:T181), "")</f>
        <v/>
      </c>
      <c r="U172" s="147">
        <f>IF(SUM(U177:U181)&gt;0, SUM(U177:U181), "")</f>
        <v/>
      </c>
      <c r="V172" s="147">
        <f>IF(SUM(V177:V181)&gt;0, SUM(V177:V181), "")</f>
        <v/>
      </c>
      <c r="W172" s="147">
        <f>IF(SUM(W177:W181)&gt;0, SUM(W177:W181), "")</f>
        <v/>
      </c>
      <c r="X172" s="147">
        <f>IF(SUM(X177:X181)&gt;0, SUM(X177:X181), "")</f>
        <v/>
      </c>
      <c r="Y172" s="147">
        <f>IF(SUM(Y177:Y181)&gt;0, SUM(Y177:Y181), "")</f>
        <v/>
      </c>
      <c r="Z172" s="147">
        <f>IF(SUM(Z177:Z181)&gt;0, SUM(Z177:Z181), "")</f>
        <v/>
      </c>
      <c r="AA172" s="148">
        <f>IFERROR((X172-W172)/W172, "")</f>
        <v/>
      </c>
      <c r="AB172" s="140" t="n"/>
      <c r="AC172" s="140" t="n"/>
      <c r="AD172" s="140" t="n"/>
    </row>
    <row r="173" ht="15.75" customHeight="1" s="346">
      <c r="A173" s="150" t="inlineStr">
        <is>
          <t xml:space="preserve">  Click CTA</t>
        </is>
      </c>
      <c r="B173" s="150" t="n"/>
      <c r="C173" s="150" t="n"/>
      <c r="D173" s="150" t="n"/>
      <c r="E173" s="150" t="n"/>
      <c r="F173" s="150" t="n">
        <v>1431</v>
      </c>
      <c r="G173" s="150" t="n">
        <v>266</v>
      </c>
      <c r="H173" s="150" t="n">
        <v>506</v>
      </c>
      <c r="I173" s="150" t="n">
        <v>142</v>
      </c>
      <c r="J173" s="150" t="n">
        <v>245</v>
      </c>
      <c r="K173" s="150" t="n">
        <v>227</v>
      </c>
      <c r="L173" s="150" t="n"/>
      <c r="M173" s="150" t="n"/>
      <c r="N173" s="151">
        <f>IFERROR((K173-J173)/J173, "")</f>
        <v/>
      </c>
      <c r="O173" s="150" t="n"/>
      <c r="P173" s="150" t="n"/>
      <c r="Q173" s="150" t="n"/>
      <c r="R173" s="150" t="n"/>
      <c r="S173" s="150" t="n">
        <v>1437</v>
      </c>
      <c r="T173" s="150" t="n">
        <v>284</v>
      </c>
      <c r="U173" s="150" t="n">
        <v>574</v>
      </c>
      <c r="V173" s="150" t="n">
        <v>154</v>
      </c>
      <c r="W173" s="150" t="n">
        <v>254</v>
      </c>
      <c r="X173" s="150" t="n">
        <v>227</v>
      </c>
      <c r="Y173" s="150" t="n"/>
      <c r="Z173" s="150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152" t="inlineStr">
        <is>
          <t xml:space="preserve">  Net change</t>
        </is>
      </c>
      <c r="B174" s="153" t="n"/>
      <c r="C174" s="153">
        <f>IF(AND(ISNUMBER(C172), ISNUMBER(B172), B172&gt;0, C172&gt;0), C172-B172, "")</f>
        <v/>
      </c>
      <c r="D174" s="153">
        <f>IF(AND(ISNUMBER(D172), ISNUMBER(C172), C172&gt;0, D172&gt;0), D172-C172, "")</f>
        <v/>
      </c>
      <c r="E174" s="153">
        <f>IF(AND(ISNUMBER(E172), ISNUMBER(D172), D172&gt;0, E172&gt;0), E172-D172, "")</f>
        <v/>
      </c>
      <c r="F174" s="153">
        <f>IF(AND(ISNUMBER(F172), ISNUMBER(E172), E172&gt;0, F172&gt;0), F172-E172, "")</f>
        <v/>
      </c>
      <c r="G174" s="153">
        <f>IF(AND(ISNUMBER(G172), ISNUMBER(F172), F172&gt;0, G172&gt;0), G172-F172, "")</f>
        <v/>
      </c>
      <c r="H174" s="153">
        <f>IF(AND(ISNUMBER(H172), ISNUMBER(G172), G172&gt;0, H172&gt;0), H172-G172, "")</f>
        <v/>
      </c>
      <c r="I174" s="153">
        <f>IF(AND(ISNUMBER(I172), ISNUMBER(H172), H172&gt;0, I172&gt;0), I172-H172, "")</f>
        <v/>
      </c>
      <c r="J174" s="153">
        <f>IF(AND(ISNUMBER(J172), ISNUMBER(I172), I172&gt;0, J172&gt;0), J172-I172, "")</f>
        <v/>
      </c>
      <c r="K174" s="153">
        <f>IF(AND(ISNUMBER(K172), ISNUMBER(J172), J172&gt;0, K172&gt;0), K172-J172, "")</f>
        <v/>
      </c>
      <c r="L174" s="153">
        <f>IF(AND(ISNUMBER(L172), ISNUMBER(K172), K172&gt;0, L172&gt;0), L172-K172, "")</f>
        <v/>
      </c>
      <c r="M174" s="153">
        <f>IF(AND(ISNUMBER(M172), ISNUMBER(L172), L172&gt;0, M172&gt;0), M172-L172, "")</f>
        <v/>
      </c>
      <c r="N174" s="153" t="n"/>
      <c r="O174" s="153" t="n"/>
      <c r="P174" s="153">
        <f>IF(AND(ISNUMBER(P172), ISNUMBER(O172), O172&gt;0, P172&gt;0), P172-O172, "")</f>
        <v/>
      </c>
      <c r="Q174" s="153">
        <f>IF(AND(ISNUMBER(Q172), ISNUMBER(P172), P172&gt;0, Q172&gt;0), Q172-P172, "")</f>
        <v/>
      </c>
      <c r="R174" s="153">
        <f>IF(AND(ISNUMBER(R172), ISNUMBER(Q172), Q172&gt;0, R172&gt;0), R172-Q172, "")</f>
        <v/>
      </c>
      <c r="S174" s="153">
        <f>IF(AND(ISNUMBER(S172), ISNUMBER(R172), R172&gt;0, S172&gt;0), S172-R172, "")</f>
        <v/>
      </c>
      <c r="T174" s="153">
        <f>IF(AND(ISNUMBER(T172), ISNUMBER(S172), S172&gt;0, T172&gt;0), T172-S172, "")</f>
        <v/>
      </c>
      <c r="U174" s="153">
        <f>IF(AND(ISNUMBER(U172), ISNUMBER(T172), T172&gt;0, U172&gt;0), U172-T172, "")</f>
        <v/>
      </c>
      <c r="V174" s="153">
        <f>IF(AND(ISNUMBER(V172), ISNUMBER(U172), U172&gt;0, V172&gt;0), V172-U172, "")</f>
        <v/>
      </c>
      <c r="W174" s="153">
        <f>IF(AND(ISNUMBER(W172), ISNUMBER(V172), V172&gt;0, W172&gt;0), W172-V172, "")</f>
        <v/>
      </c>
      <c r="X174" s="153">
        <f>IF(AND(ISNUMBER(X172), ISNUMBER(W172), W172&gt;0, X172&gt;0), X172-W172, "")</f>
        <v/>
      </c>
      <c r="Y174" s="153">
        <f>IF(AND(ISNUMBER(Y172), ISNUMBER(X172), X172&gt;0, Y172&gt;0), Y172-X172, "")</f>
        <v/>
      </c>
      <c r="Z174" s="153">
        <f>IF(AND(ISNUMBER(Z172), ISNUMBER(Y172), Y172&gt;0, Z172&gt;0), Z172-Y172, "")</f>
        <v/>
      </c>
      <c r="AA174" s="153" t="n"/>
      <c r="AB174" s="140" t="n"/>
      <c r="AC174" s="140" t="n"/>
      <c r="AD174" s="140" t="n"/>
    </row>
    <row r="175" ht="15.75" customHeight="1" s="346">
      <c r="A175" s="152" t="inlineStr">
        <is>
          <t xml:space="preserve">  % Growth rate</t>
        </is>
      </c>
      <c r="B175" s="203" t="n"/>
      <c r="C175" s="203">
        <f>IF(AND(ISNUMBER(C172), ISNUMBER(B172), B172&gt;0, C172&gt;0), (C172-B172)/B172, "")</f>
        <v/>
      </c>
      <c r="D175" s="203">
        <f>IF(AND(ISNUMBER(D172), ISNUMBER(C172), C172&gt;0, D172&gt;0), (D172-C172)/C172, "")</f>
        <v/>
      </c>
      <c r="E175" s="203">
        <f>IF(AND(ISNUMBER(E172), ISNUMBER(D172), D172&gt;0, E172&gt;0), (E172-D172)/D172, "")</f>
        <v/>
      </c>
      <c r="F175" s="203">
        <f>IF(AND(ISNUMBER(F172), ISNUMBER(E172), E172&gt;0, F172&gt;0), (F172-E172)/E172, "")</f>
        <v/>
      </c>
      <c r="G175" s="203">
        <f>IF(AND(ISNUMBER(G172), ISNUMBER(F172), F172&gt;0, G172&gt;0), (G172-F172)/F172, "")</f>
        <v/>
      </c>
      <c r="H175" s="203">
        <f>IF(AND(ISNUMBER(H172), ISNUMBER(G172), G172&gt;0, H172&gt;0), (H172-G172)/G172, "")</f>
        <v/>
      </c>
      <c r="I175" s="203">
        <f>IF(AND(ISNUMBER(I172), ISNUMBER(H172), H172&gt;0, I172&gt;0), (I172-H172)/H172, "")</f>
        <v/>
      </c>
      <c r="J175" s="203">
        <f>IF(AND(ISNUMBER(J172), ISNUMBER(I172), I172&gt;0, J172&gt;0), (J172-I172)/I172, "")</f>
        <v/>
      </c>
      <c r="K175" s="203">
        <f>IF(AND(ISNUMBER(K172), ISNUMBER(J172), J172&gt;0, K172&gt;0), (K172-J172)/J172, "")</f>
        <v/>
      </c>
      <c r="L175" s="203">
        <f>IF(AND(ISNUMBER(L172), ISNUMBER(K172), K172&gt;0, L172&gt;0), (L172-K172)/K172, "")</f>
        <v/>
      </c>
      <c r="M175" s="203">
        <f>IF(AND(ISNUMBER(M172), ISNUMBER(L172), L172&gt;0, M172&gt;0), (M172-L172)/L172, "")</f>
        <v/>
      </c>
      <c r="N175" s="203" t="n"/>
      <c r="O175" s="203" t="n"/>
      <c r="P175" s="203">
        <f>IF(AND(ISNUMBER(P172), ISNUMBER(O172), O172&gt;0, P172&gt;0), (P172-O172)/O172, "")</f>
        <v/>
      </c>
      <c r="Q175" s="203">
        <f>IF(AND(ISNUMBER(Q172), ISNUMBER(P172), P172&gt;0, Q172&gt;0), (Q172-P172)/P172, "")</f>
        <v/>
      </c>
      <c r="R175" s="203">
        <f>IF(AND(ISNUMBER(R172), ISNUMBER(Q172), Q172&gt;0, R172&gt;0), (R172-Q172)/Q172, "")</f>
        <v/>
      </c>
      <c r="S175" s="203">
        <f>IF(AND(ISNUMBER(S172), ISNUMBER(R172), R172&gt;0, S172&gt;0), (S172-R172)/R172, "")</f>
        <v/>
      </c>
      <c r="T175" s="203">
        <f>IF(AND(ISNUMBER(T172), ISNUMBER(S172), S172&gt;0, T172&gt;0), (T172-S172)/S172, "")</f>
        <v/>
      </c>
      <c r="U175" s="203">
        <f>IF(AND(ISNUMBER(U172), ISNUMBER(T172), T172&gt;0, U172&gt;0), (U172-T172)/T172, "")</f>
        <v/>
      </c>
      <c r="V175" s="203">
        <f>IF(AND(ISNUMBER(V172), ISNUMBER(U172), U172&gt;0, V172&gt;0), (V172-U172)/U172, "")</f>
        <v/>
      </c>
      <c r="W175" s="203">
        <f>IF(AND(ISNUMBER(W172), ISNUMBER(V172), V172&gt;0, W172&gt;0), (W172-V172)/V172, "")</f>
        <v/>
      </c>
      <c r="X175" s="203">
        <f>IF(AND(ISNUMBER(X172), ISNUMBER(W172), W172&gt;0, X172&gt;0), (X172-W172)/W172, "")</f>
        <v/>
      </c>
      <c r="Y175" s="203">
        <f>IF(AND(ISNUMBER(Y172), ISNUMBER(X172), X172&gt;0, Y172&gt;0), (Y172-X172)/X172, "")</f>
        <v/>
      </c>
      <c r="Z175" s="203">
        <f>IF(AND(ISNUMBER(Z172), ISNUMBER(Y172), Y172&gt;0, Z172&gt;0), (Z172-Y172)/Y172, "")</f>
        <v/>
      </c>
      <c r="AA175" s="203" t="n"/>
      <c r="AB175" s="140" t="n"/>
      <c r="AC175" s="140" t="n"/>
      <c r="AD175" s="140" t="n"/>
    </row>
    <row r="176" ht="15.75" customHeight="1" s="346">
      <c r="A176" s="202" t="inlineStr">
        <is>
          <t>Tỷ trọng trong tổng traffic</t>
        </is>
      </c>
      <c r="B176" s="156">
        <f t="array" ref="B176">IF(AND(ISNUMBER(B172), B172&gt;0), B172/INDEX('MTD Pivot'!$D$3:$K$400, MATCH("Grand Total", 'MTD Pivot'!$A$3:$A$400, 0), MATCH(B$2, 'MTD Pivot'!$D$2:$K$2, 0)), "")</f>
        <v/>
      </c>
      <c r="C176" s="156">
        <f t="array" ref="C176">IF(AND(ISNUMBER(C172), C172&gt;0), C172/INDEX('MTD Pivot'!$D$3:$K$400, MATCH("Grand Total", 'MTD Pivot'!$A$3:$A$400, 0), MATCH(C$2, 'MTD Pivot'!$D$2:$K$2, 0)), "")</f>
        <v/>
      </c>
      <c r="D176" s="156">
        <f t="array" ref="D176">IF(AND(ISNUMBER(D172), D172&gt;0), D172/INDEX('MTD Pivot'!$D$3:$K$400, MATCH("Grand Total", 'MTD Pivot'!$A$3:$A$400, 0), MATCH(D$2, 'MTD Pivot'!$D$2:$K$2, 0)), "")</f>
        <v/>
      </c>
      <c r="E176" s="156">
        <f t="array" ref="E176">IF(AND(ISNUMBER(E172), E172&gt;0), E172/INDEX('MTD Pivot'!$D$3:$K$400, MATCH("Grand Total", 'MTD Pivot'!$A$3:$A$400, 0), MATCH(E$2, 'MTD Pivot'!$D$2:$K$2, 0)), "")</f>
        <v/>
      </c>
      <c r="F176" s="156">
        <f t="array" ref="F176">IF(AND(ISNUMBER(F172), F172&gt;0), F172/INDEX('MTD Pivot'!$D$3:$K$400, MATCH("Grand Total", 'MTD Pivot'!$A$3:$A$400, 0), MATCH(F$2, 'MTD Pivot'!$D$2:$K$2, 0)), "")</f>
        <v/>
      </c>
      <c r="G176" s="156">
        <f t="array" ref="G176">IF(AND(ISNUMBER(G172), G172&gt;0), G172/INDEX('MTD Pivot'!$D$3:$K$400, MATCH("Grand Total", 'MTD Pivot'!$A$3:$A$400, 0), MATCH(G$2, 'MTD Pivot'!$D$2:$K$2, 0)), "")</f>
        <v/>
      </c>
      <c r="H176" s="156">
        <f t="array" ref="H176">IF(AND(ISNUMBER(H172), H172&gt;0), H172/INDEX('MTD Pivot'!$D$3:$K$400, MATCH("Grand Total", 'MTD Pivot'!$A$3:$A$400, 0), MATCH(H$2, 'MTD Pivot'!$D$2:$K$2, 0)), "")</f>
        <v/>
      </c>
      <c r="I176" s="156">
        <f t="array" ref="I176">IF(AND(ISNUMBER(I172), I172&gt;0), I172/INDEX('MTD Pivot'!$D$3:$K$400, MATCH("Grand Total", 'MTD Pivot'!$A$3:$A$400, 0), MATCH(I$2, 'MTD Pivot'!$D$2:$K$2, 0)), "")</f>
        <v/>
      </c>
      <c r="J176" s="156">
        <f t="array" ref="J176">IF(AND(ISNUMBER(J172), J172&gt;0), J172/INDEX('MTD Pivot'!$D$3:$K$400, MATCH("Grand Total", 'MTD Pivot'!$A$3:$A$400, 0), MATCH(J$2, 'MTD Pivot'!$D$2:$K$2, 0)), "")</f>
        <v/>
      </c>
      <c r="K176" s="156">
        <f t="array" ref="K176">IF(AND(ISNUMBER(K172), K172&gt;0), K172/INDEX('MTD Pivot'!$D$3:$K$400, MATCH("Grand Total", 'MTD Pivot'!$A$3:$A$400, 0), MATCH(K$2, 'MTD Pivot'!$D$2:$K$2, 0)), "")</f>
        <v/>
      </c>
      <c r="L176" s="156">
        <f t="array" ref="L176">IF(AND(ISNUMBER(L172), L172&gt;0), L172/INDEX('MTD Pivot'!$D$3:$K$400, MATCH("Grand Total", 'MTD Pivot'!$A$3:$A$400, 0), MATCH(L$2, 'MTD Pivot'!$D$2:$K$2, 0)), "")</f>
        <v/>
      </c>
      <c r="M176" s="156">
        <f t="array" ref="M176">IF(AND(ISNUMBER(M172), M172&gt;0), M172/INDEX('MTD Pivot'!$D$3:$K$400, MATCH("Grand Total", 'MTD Pivot'!$A$3:$A$400, 0), MATCH(M$2, 'MTD Pivot'!$D$2:$K$2, 0)), "")</f>
        <v/>
      </c>
      <c r="N176" s="157">
        <f>IF(AND(ISNUMBER(K176), ISNUMBER(J176)), K176-J176, "")</f>
        <v/>
      </c>
      <c r="O176" s="156">
        <f t="array" ref="O176">IF(AND(ISNUMBER(O172), O172&gt;0), O172/INDEX('Full month Pivot'!$D$3:$K$400, MATCH("Grand Total", 'Full month Pivot'!$A$3:$A$400, 0), MATCH(O$2, 'Full month Pivot'!$D$2:$K$2, 0)), "")</f>
        <v/>
      </c>
      <c r="P176" s="156">
        <f t="array" ref="P176">IF(AND(ISNUMBER(P172), P172&gt;0), P172/INDEX('Full month Pivot'!$D$3:$K$400, MATCH("Grand Total", 'Full month Pivot'!$A$3:$A$400, 0), MATCH(P$2, 'Full month Pivot'!$D$2:$K$2, 0)), "")</f>
        <v/>
      </c>
      <c r="Q176" s="156">
        <f t="array" ref="Q176">IF(AND(ISNUMBER(Q172), Q172&gt;0), Q172/INDEX('Full month Pivot'!$D$3:$K$400, MATCH("Grand Total", 'Full month Pivot'!$A$3:$A$400, 0), MATCH(Q$2, 'Full month Pivot'!$D$2:$K$2, 0)), "")</f>
        <v/>
      </c>
      <c r="R176" s="156">
        <f t="array" ref="R176">IF(AND(ISNUMBER(R172), R172&gt;0), R172/INDEX('Full month Pivot'!$D$3:$K$400, MATCH("Grand Total", 'Full month Pivot'!$A$3:$A$400, 0), MATCH(R$2, 'Full month Pivot'!$D$2:$K$2, 0)), "")</f>
        <v/>
      </c>
      <c r="S176" s="156">
        <f t="array" ref="S176">IF(AND(ISNUMBER(S172), S172&gt;0), S172/INDEX('Full month Pivot'!$D$3:$K$400, MATCH("Grand Total", 'Full month Pivot'!$A$3:$A$400, 0), MATCH(S$2, 'Full month Pivot'!$D$2:$K$2, 0)), "")</f>
        <v/>
      </c>
      <c r="T176" s="156">
        <f t="array" ref="T176">IF(AND(ISNUMBER(T172), T172&gt;0), T172/INDEX('Full month Pivot'!$D$3:$K$400, MATCH("Grand Total", 'Full month Pivot'!$A$3:$A$400, 0), MATCH(T$2, 'Full month Pivot'!$D$2:$K$2, 0)), "")</f>
        <v/>
      </c>
      <c r="U176" s="156">
        <f t="array" ref="U176">IF(AND(ISNUMBER(U172), U172&gt;0), U172/INDEX('Full month Pivot'!$D$3:$K$400, MATCH("Grand Total", 'Full month Pivot'!$A$3:$A$400, 0), MATCH(U$2, 'Full month Pivot'!$D$2:$K$2, 0)), "")</f>
        <v/>
      </c>
      <c r="V176" s="156">
        <f t="array" ref="V176">IF(AND(ISNUMBER(V172), V172&gt;0), V172/INDEX('Full month Pivot'!$D$3:$K$400, MATCH("Grand Total", 'Full month Pivot'!$A$3:$A$400, 0), MATCH(V$2, 'Full month Pivot'!$D$2:$K$2, 0)), "")</f>
        <v/>
      </c>
      <c r="W176" s="156">
        <f t="array" ref="W176">IF(AND(ISNUMBER(W172), W172&gt;0), W172/INDEX('Full month Pivot'!$D$3:$K$400, MATCH("Grand Total", 'Full month Pivot'!$A$3:$A$400, 0), MATCH(W$2, 'Full month Pivot'!$D$2:$K$2, 0)), "")</f>
        <v/>
      </c>
      <c r="X176" s="156">
        <f t="array" ref="X176">IF(AND(ISNUMBER(X172), X172&gt;0), X172/INDEX('Full month Pivot'!$D$3:$K$400, MATCH("Grand Total", 'Full month Pivot'!$A$3:$A$400, 0), MATCH(X$2, 'Full month Pivot'!$D$2:$K$2, 0)), "")</f>
        <v/>
      </c>
      <c r="Y176" s="156">
        <f t="array" ref="Y176">IF(AND(ISNUMBER(Y172), Y172&gt;0), Y172/INDEX('Full month Pivot'!$D$3:$K$400, MATCH("Grand Total", 'Full month Pivot'!$A$3:$A$400, 0), MATCH(Y$2, 'Full month Pivot'!$D$2:$K$2, 0)), "")</f>
        <v/>
      </c>
      <c r="Z176" s="156">
        <f t="array" ref="Z176">IF(AND(ISNUMBER(Z172), Z172&gt;0), Z172/INDEX('Full month Pivot'!$D$3:$K$400, MATCH("Grand Total", 'Full month Pivot'!$A$3:$A$400, 0), MATCH(Z$2, 'Full month Pivot'!$D$2:$K$2, 0)), "")</f>
        <v/>
      </c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202" t="inlineStr">
        <is>
          <t xml:space="preserve">  Organic</t>
        </is>
      </c>
      <c r="B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Pivot'!$D$2:$K$2=B$2) * 'MTD Pivot'!$D$3:$K$400), "")</f>
        <v/>
      </c>
      <c r="C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Pivot'!$D$2:$K$2=C$2) * 'MTD Pivot'!$D$3:$K$400), "")</f>
        <v/>
      </c>
      <c r="D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Pivot'!$D$2:$K$2=D$2) * 'MTD Pivot'!$D$3:$K$400), "")</f>
        <v/>
      </c>
      <c r="E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Pivot'!$D$2:$K$2=E$2) * 'MTD Pivot'!$D$3:$K$400), "")</f>
        <v/>
      </c>
      <c r="F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Pivot'!$D$2:$K$2=F$2) * 'MTD Pivot'!$D$3:$K$400), "")</f>
        <v/>
      </c>
      <c r="G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Pivot'!$D$2:$K$2=G$2) * 'MTD Pivot'!$D$3:$K$400), "")</f>
        <v/>
      </c>
      <c r="H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Pivot'!$D$2:$K$2=H$2) * 'MTD Pivot'!$D$3:$K$400), "")</f>
        <v/>
      </c>
      <c r="I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Pivot'!$D$2:$K$2=I$2) * 'MTD Pivot'!$D$3:$K$400), "")</f>
        <v/>
      </c>
      <c r="J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Pivot'!$D$2:$K$2=J$2) * 'MTD Pivot'!$D$3:$K$400), "")</f>
        <v/>
      </c>
      <c r="K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Pivot'!$D$2:$K$2=K$2) * 'MTD Pivot'!$D$3:$K$400), "")</f>
        <v/>
      </c>
      <c r="L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Pivot'!$D$2:$K$2=L$2) * 'MTD Pivot'!$D$3:$K$400), "")</f>
        <v/>
      </c>
      <c r="M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Pivot'!$D$2:$K$2=M$2) * 'MTD Pivot'!$D$3:$K$400), "")</f>
        <v/>
      </c>
      <c r="N177" s="157">
        <f>IF(AND(ISNUMBER(K177), ISNUMBER(J177), J177&gt;0), (K177-J177)/J177, "")</f>
        <v/>
      </c>
      <c r="O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Pivot'!$D$2:$K$2=O$2) * 'Full month Pivot'!$D$3:$K$400), "")</f>
        <v/>
      </c>
      <c r="P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Pivot'!$D$2:$K$2=P$2) * 'Full month Pivot'!$D$3:$K$400), "")</f>
        <v/>
      </c>
      <c r="Q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Pivot'!$D$2:$K$2=Q$2) * 'Full month Pivot'!$D$3:$K$400), "")</f>
        <v/>
      </c>
      <c r="R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Pivot'!$D$2:$K$2=R$2) * 'Full month Pivot'!$D$3:$K$400), "")</f>
        <v/>
      </c>
      <c r="S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Pivot'!$D$2:$K$2=S$2) * 'Full month Pivot'!$D$3:$K$400), "")</f>
        <v/>
      </c>
      <c r="T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Pivot'!$D$2:$K$2=T$2) * 'Full month Pivot'!$D$3:$K$400), "")</f>
        <v/>
      </c>
      <c r="U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Pivot'!$D$2:$K$2=U$2) * 'Full month Pivot'!$D$3:$K$400), "")</f>
        <v/>
      </c>
      <c r="V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Pivot'!$D$2:$K$2=V$2) * 'Full month Pivot'!$D$3:$K$400), "")</f>
        <v/>
      </c>
      <c r="W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Pivot'!$D$2:$K$2=W$2) * 'Full month Pivot'!$D$3:$K$400), "")</f>
        <v/>
      </c>
      <c r="X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Pivot'!$D$2:$K$2=X$2) * 'Full month Pivot'!$D$3:$K$400), "")</f>
        <v/>
      </c>
      <c r="Y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Pivot'!$D$2:$K$2=Y$2) * 'Full month Pivot'!$D$3:$K$400), "")</f>
        <v/>
      </c>
      <c r="Z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Pivot'!$D$2:$K$2=Z$2) * 'Full month Pivot'!$D$3:$K$400), "")</f>
        <v/>
      </c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202" t="inlineStr">
        <is>
          <t xml:space="preserve">  Paid</t>
        </is>
      </c>
      <c r="B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Pivot'!$D$2:$K$2=B$2) * 'MTD Pivot'!$D$3:$K$400), "")</f>
        <v/>
      </c>
      <c r="C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Pivot'!$D$2:$K$2=C$2) * 'MTD Pivot'!$D$3:$K$400), "")</f>
        <v/>
      </c>
      <c r="D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Pivot'!$D$2:$K$2=D$2) * 'MTD Pivot'!$D$3:$K$400), "")</f>
        <v/>
      </c>
      <c r="E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Pivot'!$D$2:$K$2=E$2) * 'MTD Pivot'!$D$3:$K$400), "")</f>
        <v/>
      </c>
      <c r="F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Pivot'!$D$2:$K$2=F$2) * 'MTD Pivot'!$D$3:$K$400), "")</f>
        <v/>
      </c>
      <c r="G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Pivot'!$D$2:$K$2=G$2) * 'MTD Pivot'!$D$3:$K$400), "")</f>
        <v/>
      </c>
      <c r="H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Pivot'!$D$2:$K$2=H$2) * 'MTD Pivot'!$D$3:$K$400), "")</f>
        <v/>
      </c>
      <c r="I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Pivot'!$D$2:$K$2=I$2) * 'MTD Pivot'!$D$3:$K$400), "")</f>
        <v/>
      </c>
      <c r="J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Pivot'!$D$2:$K$2=J$2) * 'MTD Pivot'!$D$3:$K$400), "")</f>
        <v/>
      </c>
      <c r="K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Pivot'!$D$2:$K$2=K$2) * 'MTD Pivot'!$D$3:$K$400), "")</f>
        <v/>
      </c>
      <c r="L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Pivot'!$D$2:$K$2=L$2) * 'MTD Pivot'!$D$3:$K$400), "")</f>
        <v/>
      </c>
      <c r="M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Pivot'!$D$2:$K$2=M$2) * 'MTD Pivot'!$D$3:$K$400), "")</f>
        <v/>
      </c>
      <c r="N178" s="157">
        <f>IF(AND(ISNUMBER(K178), ISNUMBER(J178), J178&gt;0), (K178-J178)/J178, "")</f>
        <v/>
      </c>
      <c r="O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Pivot'!$D$2:$K$2=O$2) * 'Full month Pivot'!$D$3:$K$400), "")</f>
        <v/>
      </c>
      <c r="P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Pivot'!$D$2:$K$2=P$2) * 'Full month Pivot'!$D$3:$K$400), "")</f>
        <v/>
      </c>
      <c r="Q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Pivot'!$D$2:$K$2=Q$2) * 'Full month Pivot'!$D$3:$K$400), "")</f>
        <v/>
      </c>
      <c r="R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Pivot'!$D$2:$K$2=R$2) * 'Full month Pivot'!$D$3:$K$400), "")</f>
        <v/>
      </c>
      <c r="S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Pivot'!$D$2:$K$2=S$2) * 'Full month Pivot'!$D$3:$K$400), "")</f>
        <v/>
      </c>
      <c r="T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Pivot'!$D$2:$K$2=T$2) * 'Full month Pivot'!$D$3:$K$400), "")</f>
        <v/>
      </c>
      <c r="U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Pivot'!$D$2:$K$2=U$2) * 'Full month Pivot'!$D$3:$K$400), "")</f>
        <v/>
      </c>
      <c r="V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Pivot'!$D$2:$K$2=V$2) * 'Full month Pivot'!$D$3:$K$400), "")</f>
        <v/>
      </c>
      <c r="W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Pivot'!$D$2:$K$2=W$2) * 'Full month Pivot'!$D$3:$K$400), "")</f>
        <v/>
      </c>
      <c r="X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Pivot'!$D$2:$K$2=X$2) * 'Full month Pivot'!$D$3:$K$400), "")</f>
        <v/>
      </c>
      <c r="Y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Pivot'!$D$2:$K$2=Y$2) * 'Full month Pivot'!$D$3:$K$400), "")</f>
        <v/>
      </c>
      <c r="Z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Pivot'!$D$2:$K$2=Z$2) * 'Full month Pivot'!$D$3:$K$400), "")</f>
        <v/>
      </c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202" t="inlineStr">
        <is>
          <t xml:space="preserve">  Direct</t>
        </is>
      </c>
      <c r="B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Pivot'!$D$2:$K$2=B$2) * 'MTD Pivot'!$D$3:$K$400), "")</f>
        <v/>
      </c>
      <c r="C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Pivot'!$D$2:$K$2=C$2) * 'MTD Pivot'!$D$3:$K$400), "")</f>
        <v/>
      </c>
      <c r="D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Pivot'!$D$2:$K$2=D$2) * 'MTD Pivot'!$D$3:$K$400), "")</f>
        <v/>
      </c>
      <c r="E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Pivot'!$D$2:$K$2=E$2) * 'MTD Pivot'!$D$3:$K$400), "")</f>
        <v/>
      </c>
      <c r="F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Pivot'!$D$2:$K$2=F$2) * 'MTD Pivot'!$D$3:$K$400), "")</f>
        <v/>
      </c>
      <c r="G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Pivot'!$D$2:$K$2=G$2) * 'MTD Pivot'!$D$3:$K$400), "")</f>
        <v/>
      </c>
      <c r="H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Pivot'!$D$2:$K$2=H$2) * 'MTD Pivot'!$D$3:$K$400), "")</f>
        <v/>
      </c>
      <c r="I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Pivot'!$D$2:$K$2=I$2) * 'MTD Pivot'!$D$3:$K$400), "")</f>
        <v/>
      </c>
      <c r="J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Pivot'!$D$2:$K$2=J$2) * 'MTD Pivot'!$D$3:$K$400), "")</f>
        <v/>
      </c>
      <c r="K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Pivot'!$D$2:$K$2=K$2) * 'MTD Pivot'!$D$3:$K$400), "")</f>
        <v/>
      </c>
      <c r="L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Pivot'!$D$2:$K$2=L$2) * 'MTD Pivot'!$D$3:$K$400), "")</f>
        <v/>
      </c>
      <c r="M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Pivot'!$D$2:$K$2=M$2) * 'MTD Pivot'!$D$3:$K$400), "")</f>
        <v/>
      </c>
      <c r="N179" s="157">
        <f>IF(AND(ISNUMBER(K179), ISNUMBER(J179), J179&gt;0), (K179-J179)/J179, "")</f>
        <v/>
      </c>
      <c r="O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Pivot'!$D$2:$K$2=O$2) * 'Full month Pivot'!$D$3:$K$400), "")</f>
        <v/>
      </c>
      <c r="P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Pivot'!$D$2:$K$2=P$2) * 'Full month Pivot'!$D$3:$K$400), "")</f>
        <v/>
      </c>
      <c r="Q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Pivot'!$D$2:$K$2=Q$2) * 'Full month Pivot'!$D$3:$K$400), "")</f>
        <v/>
      </c>
      <c r="R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Pivot'!$D$2:$K$2=R$2) * 'Full month Pivot'!$D$3:$K$400), "")</f>
        <v/>
      </c>
      <c r="S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Pivot'!$D$2:$K$2=S$2) * 'Full month Pivot'!$D$3:$K$400), "")</f>
        <v/>
      </c>
      <c r="T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Pivot'!$D$2:$K$2=T$2) * 'Full month Pivot'!$D$3:$K$400), "")</f>
        <v/>
      </c>
      <c r="U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Pivot'!$D$2:$K$2=U$2) * 'Full month Pivot'!$D$3:$K$400), "")</f>
        <v/>
      </c>
      <c r="V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Pivot'!$D$2:$K$2=V$2) * 'Full month Pivot'!$D$3:$K$400), "")</f>
        <v/>
      </c>
      <c r="W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Pivot'!$D$2:$K$2=W$2) * 'Full month Pivot'!$D$3:$K$400), "")</f>
        <v/>
      </c>
      <c r="X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Pivot'!$D$2:$K$2=X$2) * 'Full month Pivot'!$D$3:$K$400), "")</f>
        <v/>
      </c>
      <c r="Y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Pivot'!$D$2:$K$2=Y$2) * 'Full month Pivot'!$D$3:$K$400), "")</f>
        <v/>
      </c>
      <c r="Z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Pivot'!$D$2:$K$2=Z$2) * 'Full month Pivot'!$D$3:$K$400), "")</f>
        <v/>
      </c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202" t="inlineStr">
        <is>
          <t xml:space="preserve">  Referral</t>
        </is>
      </c>
      <c r="B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Pivot'!$D$2:$K$2=B$2) * 'MTD Pivot'!$D$3:$K$400), "")</f>
        <v/>
      </c>
      <c r="C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Pivot'!$D$2:$K$2=C$2) * 'MTD Pivot'!$D$3:$K$400), "")</f>
        <v/>
      </c>
      <c r="D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Pivot'!$D$2:$K$2=D$2) * 'MTD Pivot'!$D$3:$K$400), "")</f>
        <v/>
      </c>
      <c r="E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Pivot'!$D$2:$K$2=E$2) * 'MTD Pivot'!$D$3:$K$400), "")</f>
        <v/>
      </c>
      <c r="F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Pivot'!$D$2:$K$2=F$2) * 'MTD Pivot'!$D$3:$K$400), "")</f>
        <v/>
      </c>
      <c r="G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Pivot'!$D$2:$K$2=G$2) * 'MTD Pivot'!$D$3:$K$400), "")</f>
        <v/>
      </c>
      <c r="H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Pivot'!$D$2:$K$2=H$2) * 'MTD Pivot'!$D$3:$K$400), "")</f>
        <v/>
      </c>
      <c r="I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Pivot'!$D$2:$K$2=I$2) * 'MTD Pivot'!$D$3:$K$400), "")</f>
        <v/>
      </c>
      <c r="J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Pivot'!$D$2:$K$2=J$2) * 'MTD Pivot'!$D$3:$K$400), "")</f>
        <v/>
      </c>
      <c r="K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Pivot'!$D$2:$K$2=K$2) * 'MTD Pivot'!$D$3:$K$400), "")</f>
        <v/>
      </c>
      <c r="L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Pivot'!$D$2:$K$2=L$2) * 'MTD Pivot'!$D$3:$K$400), "")</f>
        <v/>
      </c>
      <c r="M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Pivot'!$D$2:$K$2=M$2) * 'MTD Pivot'!$D$3:$K$400), "")</f>
        <v/>
      </c>
      <c r="N180" s="157">
        <f>IF(AND(ISNUMBER(K180), ISNUMBER(J180), J180&gt;0), (K180-J180)/J180, "")</f>
        <v/>
      </c>
      <c r="O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Pivot'!$D$2:$K$2=O$2) * 'Full month Pivot'!$D$3:$K$400), "")</f>
        <v/>
      </c>
      <c r="P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Pivot'!$D$2:$K$2=P$2) * 'Full month Pivot'!$D$3:$K$400), "")</f>
        <v/>
      </c>
      <c r="Q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Pivot'!$D$2:$K$2=Q$2) * 'Full month Pivot'!$D$3:$K$400), "")</f>
        <v/>
      </c>
      <c r="R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Pivot'!$D$2:$K$2=R$2) * 'Full month Pivot'!$D$3:$K$400), "")</f>
        <v/>
      </c>
      <c r="S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Pivot'!$D$2:$K$2=S$2) * 'Full month Pivot'!$D$3:$K$400), "")</f>
        <v/>
      </c>
      <c r="T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Pivot'!$D$2:$K$2=T$2) * 'Full month Pivot'!$D$3:$K$400), "")</f>
        <v/>
      </c>
      <c r="U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Pivot'!$D$2:$K$2=U$2) * 'Full month Pivot'!$D$3:$K$400), "")</f>
        <v/>
      </c>
      <c r="V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Pivot'!$D$2:$K$2=V$2) * 'Full month Pivot'!$D$3:$K$400), "")</f>
        <v/>
      </c>
      <c r="W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Pivot'!$D$2:$K$2=W$2) * 'Full month Pivot'!$D$3:$K$400), "")</f>
        <v/>
      </c>
      <c r="X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Pivot'!$D$2:$K$2=X$2) * 'Full month Pivot'!$D$3:$K$400), "")</f>
        <v/>
      </c>
      <c r="Y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Pivot'!$D$2:$K$2=Y$2) * 'Full month Pivot'!$D$3:$K$400), "")</f>
        <v/>
      </c>
      <c r="Z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Pivot'!$D$2:$K$2=Z$2) * 'Full month Pivot'!$D$3:$K$400), "")</f>
        <v/>
      </c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202" t="inlineStr">
        <is>
          <t xml:space="preserve">  Others</t>
        </is>
      </c>
      <c r="B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Pivot'!$D$2:$K$2=B$2) * 'MTD Pivot'!$D$3:$K$400), "")</f>
        <v/>
      </c>
      <c r="C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Pivot'!$D$2:$K$2=C$2) * 'MTD Pivot'!$D$3:$K$400), "")</f>
        <v/>
      </c>
      <c r="D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Pivot'!$D$2:$K$2=D$2) * 'MTD Pivot'!$D$3:$K$400), "")</f>
        <v/>
      </c>
      <c r="E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Pivot'!$D$2:$K$2=E$2) * 'MTD Pivot'!$D$3:$K$400), "")</f>
        <v/>
      </c>
      <c r="F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Pivot'!$D$2:$K$2=F$2) * 'MTD Pivot'!$D$3:$K$400), "")</f>
        <v/>
      </c>
      <c r="G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Pivot'!$D$2:$K$2=G$2) * 'MTD Pivot'!$D$3:$K$400), "")</f>
        <v/>
      </c>
      <c r="H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Pivot'!$D$2:$K$2=H$2) * 'MTD Pivot'!$D$3:$K$400), "")</f>
        <v/>
      </c>
      <c r="I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Pivot'!$D$2:$K$2=I$2) * 'MTD Pivot'!$D$3:$K$400), "")</f>
        <v/>
      </c>
      <c r="J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Pivot'!$D$2:$K$2=J$2) * 'MTD Pivot'!$D$3:$K$400), "")</f>
        <v/>
      </c>
      <c r="K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Pivot'!$D$2:$K$2=K$2) * 'MTD Pivot'!$D$3:$K$400), "")</f>
        <v/>
      </c>
      <c r="L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Pivot'!$D$2:$K$2=L$2) * 'MTD Pivot'!$D$3:$K$400), "")</f>
        <v/>
      </c>
      <c r="M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Pivot'!$D$2:$K$2=M$2) * 'MTD Pivot'!$D$3:$K$400), "")</f>
        <v/>
      </c>
      <c r="N181" s="157">
        <f>IF(AND(ISNUMBER(K181), ISNUMBER(J181), J181&gt;0), (K181-J181)/J181, "")</f>
        <v/>
      </c>
      <c r="O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Pivot'!$D$2:$K$2=O$2) * 'Full month Pivot'!$D$3:$K$400), "")</f>
        <v/>
      </c>
      <c r="P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Pivot'!$D$2:$K$2=P$2) * 'Full month Pivot'!$D$3:$K$400), "")</f>
        <v/>
      </c>
      <c r="Q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Pivot'!$D$2:$K$2=Q$2) * 'Full month Pivot'!$D$3:$K$400), "")</f>
        <v/>
      </c>
      <c r="R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Pivot'!$D$2:$K$2=R$2) * 'Full month Pivot'!$D$3:$K$400), "")</f>
        <v/>
      </c>
      <c r="S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Pivot'!$D$2:$K$2=S$2) * 'Full month Pivot'!$D$3:$K$400), "")</f>
        <v/>
      </c>
      <c r="T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Pivot'!$D$2:$K$2=T$2) * 'Full month Pivot'!$D$3:$K$400), "")</f>
        <v/>
      </c>
      <c r="U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Pivot'!$D$2:$K$2=U$2) * 'Full month Pivot'!$D$3:$K$400), "")</f>
        <v/>
      </c>
      <c r="V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Pivot'!$D$2:$K$2=V$2) * 'Full month Pivot'!$D$3:$K$400), "")</f>
        <v/>
      </c>
      <c r="W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Pivot'!$D$2:$K$2=W$2) * 'Full month Pivot'!$D$3:$K$400), "")</f>
        <v/>
      </c>
      <c r="X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Pivot'!$D$2:$K$2=X$2) * 'Full month Pivot'!$D$3:$K$400), "")</f>
        <v/>
      </c>
      <c r="Y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Pivot'!$D$2:$K$2=Y$2) * 'Full month Pivot'!$D$3:$K$400), "")</f>
        <v/>
      </c>
      <c r="Z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Pivot'!$D$2:$K$2=Z$2) * 'Full month Pivot'!$D$3:$K$400), "")</f>
        <v/>
      </c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202" t="n"/>
      <c r="B182" s="202" t="n"/>
      <c r="C182" s="202" t="n"/>
      <c r="D182" s="202" t="n"/>
      <c r="E182" s="202" t="n"/>
      <c r="F182" s="202" t="n"/>
      <c r="G182" s="202" t="n"/>
      <c r="H182" s="202" t="n"/>
      <c r="I182" s="202" t="n"/>
      <c r="J182" s="202" t="n"/>
      <c r="K182" s="202" t="n"/>
      <c r="L182" s="202" t="n"/>
      <c r="M182" s="202" t="n"/>
      <c r="N182" s="202" t="n"/>
      <c r="O182" s="202" t="n"/>
      <c r="P182" s="202" t="n"/>
      <c r="Q182" s="202" t="n"/>
      <c r="R182" s="202" t="n"/>
      <c r="S182" s="202" t="n"/>
      <c r="T182" s="202" t="n"/>
      <c r="U182" s="202" t="n"/>
      <c r="V182" s="202" t="n"/>
      <c r="W182" s="202" t="n"/>
      <c r="X182" s="202" t="n"/>
      <c r="Y182" s="202" t="n"/>
      <c r="Z182" s="202" t="n"/>
      <c r="AA182" s="202" t="n"/>
      <c r="AB182" s="140" t="n"/>
      <c r="AC182" s="140" t="n"/>
      <c r="AD182" s="140" t="n"/>
    </row>
    <row r="183" ht="15.75" customHeight="1" s="346">
      <c r="A183" s="145" t="inlineStr">
        <is>
          <t>Application Store</t>
        </is>
      </c>
      <c r="B183" s="145" t="n"/>
      <c r="C183" s="145" t="n"/>
      <c r="D183" s="145" t="n"/>
      <c r="E183" s="145" t="n"/>
      <c r="F183" s="145" t="n"/>
      <c r="G183" s="145" t="n"/>
      <c r="H183" s="145" t="n"/>
      <c r="I183" s="145" t="n"/>
      <c r="J183" s="145" t="n"/>
      <c r="K183" s="145" t="n"/>
      <c r="L183" s="145" t="n"/>
      <c r="M183" s="145" t="n"/>
      <c r="N183" s="145" t="n"/>
      <c r="O183" s="145" t="n"/>
      <c r="P183" s="145" t="n"/>
      <c r="Q183" s="145" t="n"/>
      <c r="R183" s="145" t="n"/>
      <c r="S183" s="145" t="n"/>
      <c r="T183" s="145" t="n"/>
      <c r="U183" s="145" t="n"/>
      <c r="V183" s="145" t="n"/>
      <c r="W183" s="145" t="n"/>
      <c r="X183" s="145" t="n"/>
      <c r="Y183" s="145" t="n"/>
      <c r="Z183" s="145" t="n"/>
      <c r="AA183" s="145" t="n"/>
      <c r="AB183" s="140" t="n"/>
      <c r="AC183" s="140" t="n"/>
      <c r="AD183" s="140" t="n"/>
    </row>
    <row r="184" ht="15.75" customHeight="1" s="346">
      <c r="A184" s="146" t="inlineStr">
        <is>
          <t>Page views</t>
        </is>
      </c>
      <c r="B184" s="147">
        <f>IF(SUM(B189:B193)&gt;0, SUM(B189:B193), "")</f>
        <v/>
      </c>
      <c r="C184" s="147">
        <f>IF(SUM(C189:C193)&gt;0, SUM(C189:C193), "")</f>
        <v/>
      </c>
      <c r="D184" s="147">
        <f>IF(SUM(D189:D193)&gt;0, SUM(D189:D193), "")</f>
        <v/>
      </c>
      <c r="E184" s="147">
        <f>IF(SUM(E189:E193)&gt;0, SUM(E189:E193), "")</f>
        <v/>
      </c>
      <c r="F184" s="147">
        <f>IF(SUM(F189:F193)&gt;0, SUM(F189:F193), "")</f>
        <v/>
      </c>
      <c r="G184" s="147">
        <f>IF(SUM(G189:G193)&gt;0, SUM(G189:G193), "")</f>
        <v/>
      </c>
      <c r="H184" s="147">
        <f>IF(SUM(H189:H193)&gt;0, SUM(H189:H193), "")</f>
        <v/>
      </c>
      <c r="I184" s="147">
        <f>IF(SUM(I189:I193)&gt;0, SUM(I189:I193), "")</f>
        <v/>
      </c>
      <c r="J184" s="147">
        <f>IF(SUM(J189:J193)&gt;0, SUM(J189:J193), "")</f>
        <v/>
      </c>
      <c r="K184" s="147">
        <f>IF(SUM(K189:K193)&gt;0, SUM(K189:K193), "")</f>
        <v/>
      </c>
      <c r="L184" s="147">
        <f>IF(SUM(L189:L193)&gt;0, SUM(L189:L193), "")</f>
        <v/>
      </c>
      <c r="M184" s="147">
        <f>IF(SUM(M189:M193)&gt;0, SUM(M189:M193), "")</f>
        <v/>
      </c>
      <c r="N184" s="148">
        <f>IFERROR((K184-J184)/J184, "")</f>
        <v/>
      </c>
      <c r="O184" s="147">
        <f>IF(SUM(O189:O193)&gt;0, SUM(O189:O193), "")</f>
        <v/>
      </c>
      <c r="P184" s="147">
        <f>IF(SUM(P189:P193)&gt;0, SUM(P189:P193), "")</f>
        <v/>
      </c>
      <c r="Q184" s="147">
        <f>IF(SUM(Q189:Q193)&gt;0, SUM(Q189:Q193), "")</f>
        <v/>
      </c>
      <c r="R184" s="147">
        <f>IF(SUM(R189:R193)&gt;0, SUM(R189:R193), "")</f>
        <v/>
      </c>
      <c r="S184" s="147">
        <f>IF(SUM(S189:S193)&gt;0, SUM(S189:S193), "")</f>
        <v/>
      </c>
      <c r="T184" s="147">
        <f>IF(SUM(T189:T193)&gt;0, SUM(T189:T193), "")</f>
        <v/>
      </c>
      <c r="U184" s="147">
        <f>IF(SUM(U189:U193)&gt;0, SUM(U189:U193), "")</f>
        <v/>
      </c>
      <c r="V184" s="147">
        <f>IF(SUM(V189:V193)&gt;0, SUM(V189:V193), "")</f>
        <v/>
      </c>
      <c r="W184" s="147">
        <f>IF(SUM(W189:W193)&gt;0, SUM(W189:W193), "")</f>
        <v/>
      </c>
      <c r="X184" s="147">
        <f>IF(SUM(X189:X193)&gt;0, SUM(X189:X193), "")</f>
        <v/>
      </c>
      <c r="Y184" s="147">
        <f>IF(SUM(Y189:Y193)&gt;0, SUM(Y189:Y193), "")</f>
        <v/>
      </c>
      <c r="Z184" s="147">
        <f>IF(SUM(Z189:Z193)&gt;0, SUM(Z189:Z193), "")</f>
        <v/>
      </c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150" t="inlineStr">
        <is>
          <t xml:space="preserve">  Click CTA</t>
        </is>
      </c>
      <c r="B185" s="150" t="n"/>
      <c r="C185" s="150" t="n"/>
      <c r="D185" s="150" t="n"/>
      <c r="E185" s="150" t="n"/>
      <c r="F185" s="150" t="n">
        <v>104</v>
      </c>
      <c r="G185" s="150" t="n">
        <v>29</v>
      </c>
      <c r="H185" s="150" t="n">
        <v>48</v>
      </c>
      <c r="I185" s="150" t="n">
        <v>196</v>
      </c>
      <c r="J185" s="150" t="n">
        <v>275</v>
      </c>
      <c r="K185" s="150" t="n">
        <v>482</v>
      </c>
      <c r="L185" s="150" t="n"/>
      <c r="M185" s="150" t="n"/>
      <c r="N185" s="151">
        <f>IFERROR((K185-J185)/J185, "")</f>
        <v/>
      </c>
      <c r="O185" s="150" t="n"/>
      <c r="P185" s="150" t="n"/>
      <c r="Q185" s="150" t="n"/>
      <c r="R185" s="150" t="n"/>
      <c r="S185" s="150" t="n">
        <v>107</v>
      </c>
      <c r="T185" s="150" t="n">
        <v>32</v>
      </c>
      <c r="U185" s="150" t="n">
        <v>56</v>
      </c>
      <c r="V185" s="150" t="n">
        <v>213</v>
      </c>
      <c r="W185" s="150" t="n">
        <v>287</v>
      </c>
      <c r="X185" s="150" t="n">
        <v>482</v>
      </c>
      <c r="Y185" s="150" t="n"/>
      <c r="Z185" s="150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152" t="inlineStr">
        <is>
          <t xml:space="preserve">  Net change</t>
        </is>
      </c>
      <c r="B186" s="153" t="n"/>
      <c r="C186" s="153">
        <f>IF(AND(ISNUMBER(C184), ISNUMBER(B184), B184&gt;0, C184&gt;0), C184-B184, "")</f>
        <v/>
      </c>
      <c r="D186" s="153">
        <f>IF(AND(ISNUMBER(D184), ISNUMBER(C184), C184&gt;0, D184&gt;0), D184-C184, "")</f>
        <v/>
      </c>
      <c r="E186" s="153">
        <f>IF(AND(ISNUMBER(E184), ISNUMBER(D184), D184&gt;0, E184&gt;0), E184-D184, "")</f>
        <v/>
      </c>
      <c r="F186" s="153">
        <f>IF(AND(ISNUMBER(F184), ISNUMBER(E184), E184&gt;0, F184&gt;0), F184-E184, "")</f>
        <v/>
      </c>
      <c r="G186" s="153">
        <f>IF(AND(ISNUMBER(G184), ISNUMBER(F184), F184&gt;0, G184&gt;0), G184-F184, "")</f>
        <v/>
      </c>
      <c r="H186" s="153">
        <f>IF(AND(ISNUMBER(H184), ISNUMBER(G184), G184&gt;0, H184&gt;0), H184-G184, "")</f>
        <v/>
      </c>
      <c r="I186" s="153">
        <f>IF(AND(ISNUMBER(I184), ISNUMBER(H184), H184&gt;0, I184&gt;0), I184-H184, "")</f>
        <v/>
      </c>
      <c r="J186" s="153">
        <f>IF(AND(ISNUMBER(J184), ISNUMBER(I184), I184&gt;0, J184&gt;0), J184-I184, "")</f>
        <v/>
      </c>
      <c r="K186" s="153">
        <f>IF(AND(ISNUMBER(K184), ISNUMBER(J184), J184&gt;0, K184&gt;0), K184-J184, "")</f>
        <v/>
      </c>
      <c r="L186" s="153">
        <f>IF(AND(ISNUMBER(L184), ISNUMBER(K184), K184&gt;0, L184&gt;0), L184-K184, "")</f>
        <v/>
      </c>
      <c r="M186" s="153">
        <f>IF(AND(ISNUMBER(M184), ISNUMBER(L184), L184&gt;0, M184&gt;0), M184-L184, "")</f>
        <v/>
      </c>
      <c r="N186" s="153" t="n"/>
      <c r="O186" s="153" t="n"/>
      <c r="P186" s="153">
        <f>IF(AND(ISNUMBER(P184), ISNUMBER(O184), O184&gt;0, P184&gt;0), P184-O184, "")</f>
        <v/>
      </c>
      <c r="Q186" s="153">
        <f>IF(AND(ISNUMBER(Q184), ISNUMBER(P184), P184&gt;0, Q184&gt;0), Q184-P184, "")</f>
        <v/>
      </c>
      <c r="R186" s="153">
        <f>IF(AND(ISNUMBER(R184), ISNUMBER(Q184), Q184&gt;0, R184&gt;0), R184-Q184, "")</f>
        <v/>
      </c>
      <c r="S186" s="153">
        <f>IF(AND(ISNUMBER(S184), ISNUMBER(R184), R184&gt;0, S184&gt;0), S184-R184, "")</f>
        <v/>
      </c>
      <c r="T186" s="153">
        <f>IF(AND(ISNUMBER(T184), ISNUMBER(S184), S184&gt;0, T184&gt;0), T184-S184, "")</f>
        <v/>
      </c>
      <c r="U186" s="153">
        <f>IF(AND(ISNUMBER(U184), ISNUMBER(T184), T184&gt;0, U184&gt;0), U184-T184, "")</f>
        <v/>
      </c>
      <c r="V186" s="153">
        <f>IF(AND(ISNUMBER(V184), ISNUMBER(U184), U184&gt;0, V184&gt;0), V184-U184, "")</f>
        <v/>
      </c>
      <c r="W186" s="153">
        <f>IF(AND(ISNUMBER(W184), ISNUMBER(V184), V184&gt;0, W184&gt;0), W184-V184, "")</f>
        <v/>
      </c>
      <c r="X186" s="153">
        <f>IF(AND(ISNUMBER(X184), ISNUMBER(W184), W184&gt;0, X184&gt;0), X184-W184, "")</f>
        <v/>
      </c>
      <c r="Y186" s="153">
        <f>IF(AND(ISNUMBER(Y184), ISNUMBER(X184), X184&gt;0, Y184&gt;0), Y184-X184, "")</f>
        <v/>
      </c>
      <c r="Z186" s="153">
        <f>IF(AND(ISNUMBER(Z184), ISNUMBER(Y184), Y184&gt;0, Z184&gt;0), Z184-Y184, "")</f>
        <v/>
      </c>
      <c r="AA186" s="153" t="n"/>
      <c r="AB186" s="140" t="n"/>
      <c r="AC186" s="140" t="n"/>
      <c r="AD186" s="140" t="n"/>
    </row>
    <row r="187" ht="15.75" customHeight="1" s="346">
      <c r="A187" s="152" t="inlineStr">
        <is>
          <t xml:space="preserve">  % Growth rate</t>
        </is>
      </c>
      <c r="B187" s="203" t="n"/>
      <c r="C187" s="203">
        <f>IF(AND(ISNUMBER(C184), ISNUMBER(B184), B184&gt;0, C184&gt;0), (C184-B184)/B184, "")</f>
        <v/>
      </c>
      <c r="D187" s="203">
        <f>IF(AND(ISNUMBER(D184), ISNUMBER(C184), C184&gt;0, D184&gt;0), (D184-C184)/C184, "")</f>
        <v/>
      </c>
      <c r="E187" s="203">
        <f>IF(AND(ISNUMBER(E184), ISNUMBER(D184), D184&gt;0, E184&gt;0), (E184-D184)/D184, "")</f>
        <v/>
      </c>
      <c r="F187" s="203">
        <f>IF(AND(ISNUMBER(F184), ISNUMBER(E184), E184&gt;0, F184&gt;0), (F184-E184)/E184, "")</f>
        <v/>
      </c>
      <c r="G187" s="203">
        <f>IF(AND(ISNUMBER(G184), ISNUMBER(F184), F184&gt;0, G184&gt;0), (G184-F184)/F184, "")</f>
        <v/>
      </c>
      <c r="H187" s="203">
        <f>IF(AND(ISNUMBER(H184), ISNUMBER(G184), G184&gt;0, H184&gt;0), (H184-G184)/G184, "")</f>
        <v/>
      </c>
      <c r="I187" s="203">
        <f>IF(AND(ISNUMBER(I184), ISNUMBER(H184), H184&gt;0, I184&gt;0), (I184-H184)/H184, "")</f>
        <v/>
      </c>
      <c r="J187" s="203">
        <f>IF(AND(ISNUMBER(J184), ISNUMBER(I184), I184&gt;0, J184&gt;0), (J184-I184)/I184, "")</f>
        <v/>
      </c>
      <c r="K187" s="203">
        <f>IF(AND(ISNUMBER(K184), ISNUMBER(J184), J184&gt;0, K184&gt;0), (K184-J184)/J184, "")</f>
        <v/>
      </c>
      <c r="L187" s="203">
        <f>IF(AND(ISNUMBER(L184), ISNUMBER(K184), K184&gt;0, L184&gt;0), (L184-K184)/K184, "")</f>
        <v/>
      </c>
      <c r="M187" s="203">
        <f>IF(AND(ISNUMBER(M184), ISNUMBER(L184), L184&gt;0, M184&gt;0), (M184-L184)/L184, "")</f>
        <v/>
      </c>
      <c r="N187" s="203" t="n"/>
      <c r="O187" s="203" t="n"/>
      <c r="P187" s="203">
        <f>IF(AND(ISNUMBER(P184), ISNUMBER(O184), O184&gt;0, P184&gt;0), (P184-O184)/O184, "")</f>
        <v/>
      </c>
      <c r="Q187" s="203">
        <f>IF(AND(ISNUMBER(Q184), ISNUMBER(P184), P184&gt;0, Q184&gt;0), (Q184-P184)/P184, "")</f>
        <v/>
      </c>
      <c r="R187" s="203">
        <f>IF(AND(ISNUMBER(R184), ISNUMBER(Q184), Q184&gt;0, R184&gt;0), (R184-Q184)/Q184, "")</f>
        <v/>
      </c>
      <c r="S187" s="203">
        <f>IF(AND(ISNUMBER(S184), ISNUMBER(R184), R184&gt;0, S184&gt;0), (S184-R184)/R184, "")</f>
        <v/>
      </c>
      <c r="T187" s="203">
        <f>IF(AND(ISNUMBER(T184), ISNUMBER(S184), S184&gt;0, T184&gt;0), (T184-S184)/S184, "")</f>
        <v/>
      </c>
      <c r="U187" s="203">
        <f>IF(AND(ISNUMBER(U184), ISNUMBER(T184), T184&gt;0, U184&gt;0), (U184-T184)/T184, "")</f>
        <v/>
      </c>
      <c r="V187" s="203">
        <f>IF(AND(ISNUMBER(V184), ISNUMBER(U184), U184&gt;0, V184&gt;0), (V184-U184)/U184, "")</f>
        <v/>
      </c>
      <c r="W187" s="203">
        <f>IF(AND(ISNUMBER(W184), ISNUMBER(V184), V184&gt;0, W184&gt;0), (W184-V184)/V184, "")</f>
        <v/>
      </c>
      <c r="X187" s="203">
        <f>IF(AND(ISNUMBER(X184), ISNUMBER(W184), W184&gt;0, X184&gt;0), (X184-W184)/W184, "")</f>
        <v/>
      </c>
      <c r="Y187" s="203">
        <f>IF(AND(ISNUMBER(Y184), ISNUMBER(X184), X184&gt;0, Y184&gt;0), (Y184-X184)/X184, "")</f>
        <v/>
      </c>
      <c r="Z187" s="203">
        <f>IF(AND(ISNUMBER(Z184), ISNUMBER(Y184), Y184&gt;0, Z184&gt;0), (Z184-Y184)/Y184, "")</f>
        <v/>
      </c>
      <c r="AA187" s="203" t="n"/>
      <c r="AB187" s="140" t="n"/>
      <c r="AC187" s="140" t="n"/>
      <c r="AD187" s="140" t="n"/>
    </row>
    <row r="188" ht="15.75" customHeight="1" s="346">
      <c r="A188" s="202" t="inlineStr">
        <is>
          <t>Tỷ trọng trong tổng traffic</t>
        </is>
      </c>
      <c r="B188" s="156">
        <f t="array" ref="B188">IF(AND(ISNUMBER(B184), B184&gt;0), B184/INDEX('MTD Pivot'!$D$3:$K$400, MATCH("Grand Total", 'MTD Pivot'!$A$3:$A$400, 0), MATCH(B$2, 'MTD Pivot'!$D$2:$K$2, 0)), "")</f>
        <v/>
      </c>
      <c r="C188" s="156">
        <f t="array" ref="C188">IF(AND(ISNUMBER(C184), C184&gt;0), C184/INDEX('MTD Pivot'!$D$3:$K$400, MATCH("Grand Total", 'MTD Pivot'!$A$3:$A$400, 0), MATCH(C$2, 'MTD Pivot'!$D$2:$K$2, 0)), "")</f>
        <v/>
      </c>
      <c r="D188" s="156">
        <f t="array" ref="D188">IF(AND(ISNUMBER(D184), D184&gt;0), D184/INDEX('MTD Pivot'!$D$3:$K$400, MATCH("Grand Total", 'MTD Pivot'!$A$3:$A$400, 0), MATCH(D$2, 'MTD Pivot'!$D$2:$K$2, 0)), "")</f>
        <v/>
      </c>
      <c r="E188" s="156">
        <f t="array" ref="E188">IF(AND(ISNUMBER(E184), E184&gt;0), E184/INDEX('MTD Pivot'!$D$3:$K$400, MATCH("Grand Total", 'MTD Pivot'!$A$3:$A$400, 0), MATCH(E$2, 'MTD Pivot'!$D$2:$K$2, 0)), "")</f>
        <v/>
      </c>
      <c r="F188" s="156">
        <f t="array" ref="F188">IF(AND(ISNUMBER(F184), F184&gt;0), F184/INDEX('MTD Pivot'!$D$3:$K$400, MATCH("Grand Total", 'MTD Pivot'!$A$3:$A$400, 0), MATCH(F$2, 'MTD Pivot'!$D$2:$K$2, 0)), "")</f>
        <v/>
      </c>
      <c r="G188" s="156">
        <f t="array" ref="G188">IF(AND(ISNUMBER(G184), G184&gt;0), G184/INDEX('MTD Pivot'!$D$3:$K$400, MATCH("Grand Total", 'MTD Pivot'!$A$3:$A$400, 0), MATCH(G$2, 'MTD Pivot'!$D$2:$K$2, 0)), "")</f>
        <v/>
      </c>
      <c r="H188" s="156">
        <f t="array" ref="H188">IF(AND(ISNUMBER(H184), H184&gt;0), H184/INDEX('MTD Pivot'!$D$3:$K$400, MATCH("Grand Total", 'MTD Pivot'!$A$3:$A$400, 0), MATCH(H$2, 'MTD Pivot'!$D$2:$K$2, 0)), "")</f>
        <v/>
      </c>
      <c r="I188" s="156">
        <f t="array" ref="I188">IF(AND(ISNUMBER(I184), I184&gt;0), I184/INDEX('MTD Pivot'!$D$3:$K$400, MATCH("Grand Total", 'MTD Pivot'!$A$3:$A$400, 0), MATCH(I$2, 'MTD Pivot'!$D$2:$K$2, 0)), "")</f>
        <v/>
      </c>
      <c r="J188" s="156">
        <f t="array" ref="J188">IF(AND(ISNUMBER(J184), J184&gt;0), J184/INDEX('MTD Pivot'!$D$3:$K$400, MATCH("Grand Total", 'MTD Pivot'!$A$3:$A$400, 0), MATCH(J$2, 'MTD Pivot'!$D$2:$K$2, 0)), "")</f>
        <v/>
      </c>
      <c r="K188" s="156">
        <f t="array" ref="K188">IF(AND(ISNUMBER(K184), K184&gt;0), K184/INDEX('MTD Pivot'!$D$3:$K$400, MATCH("Grand Total", 'MTD Pivot'!$A$3:$A$400, 0), MATCH(K$2, 'MTD Pivot'!$D$2:$K$2, 0)), "")</f>
        <v/>
      </c>
      <c r="L188" s="156">
        <f t="array" ref="L188">IF(AND(ISNUMBER(L184), L184&gt;0), L184/INDEX('MTD Pivot'!$D$3:$K$400, MATCH("Grand Total", 'MTD Pivot'!$A$3:$A$400, 0), MATCH(L$2, 'MTD Pivot'!$D$2:$K$2, 0)), "")</f>
        <v/>
      </c>
      <c r="M188" s="156">
        <f t="array" ref="M188">IF(AND(ISNUMBER(M184), M184&gt;0), M184/INDEX('MTD Pivot'!$D$3:$K$400, MATCH("Grand Total", 'MTD Pivot'!$A$3:$A$400, 0), MATCH(M$2, 'MTD Pivot'!$D$2:$K$2, 0)), "")</f>
        <v/>
      </c>
      <c r="N188" s="157">
        <f>IF(AND(ISNUMBER(K188), ISNUMBER(J188)), K188-J188, "")</f>
        <v/>
      </c>
      <c r="O188" s="156">
        <f t="array" ref="O188">IF(AND(ISNUMBER(O184), O184&gt;0), O184/INDEX('Full month Pivot'!$D$3:$K$400, MATCH("Grand Total", 'Full month Pivot'!$A$3:$A$400, 0), MATCH(O$2, 'Full month Pivot'!$D$2:$K$2, 0)), "")</f>
        <v/>
      </c>
      <c r="P188" s="156">
        <f t="array" ref="P188">IF(AND(ISNUMBER(P184), P184&gt;0), P184/INDEX('Full month Pivot'!$D$3:$K$400, MATCH("Grand Total", 'Full month Pivot'!$A$3:$A$400, 0), MATCH(P$2, 'Full month Pivot'!$D$2:$K$2, 0)), "")</f>
        <v/>
      </c>
      <c r="Q188" s="156">
        <f t="array" ref="Q188">IF(AND(ISNUMBER(Q184), Q184&gt;0), Q184/INDEX('Full month Pivot'!$D$3:$K$400, MATCH("Grand Total", 'Full month Pivot'!$A$3:$A$400, 0), MATCH(Q$2, 'Full month Pivot'!$D$2:$K$2, 0)), "")</f>
        <v/>
      </c>
      <c r="R188" s="156">
        <f t="array" ref="R188">IF(AND(ISNUMBER(R184), R184&gt;0), R184/INDEX('Full month Pivot'!$D$3:$K$400, MATCH("Grand Total", 'Full month Pivot'!$A$3:$A$400, 0), MATCH(R$2, 'Full month Pivot'!$D$2:$K$2, 0)), "")</f>
        <v/>
      </c>
      <c r="S188" s="156">
        <f t="array" ref="S188">IF(AND(ISNUMBER(S184), S184&gt;0), S184/INDEX('Full month Pivot'!$D$3:$K$400, MATCH("Grand Total", 'Full month Pivot'!$A$3:$A$400, 0), MATCH(S$2, 'Full month Pivot'!$D$2:$K$2, 0)), "")</f>
        <v/>
      </c>
      <c r="T188" s="156">
        <f t="array" ref="T188">IF(AND(ISNUMBER(T184), T184&gt;0), T184/INDEX('Full month Pivot'!$D$3:$K$400, MATCH("Grand Total", 'Full month Pivot'!$A$3:$A$400, 0), MATCH(T$2, 'Full month Pivot'!$D$2:$K$2, 0)), "")</f>
        <v/>
      </c>
      <c r="U188" s="156">
        <f t="array" ref="U188">IF(AND(ISNUMBER(U184), U184&gt;0), U184/INDEX('Full month Pivot'!$D$3:$K$400, MATCH("Grand Total", 'Full month Pivot'!$A$3:$A$400, 0), MATCH(U$2, 'Full month Pivot'!$D$2:$K$2, 0)), "")</f>
        <v/>
      </c>
      <c r="V188" s="156">
        <f t="array" ref="V188">IF(AND(ISNUMBER(V184), V184&gt;0), V184/INDEX('Full month Pivot'!$D$3:$K$400, MATCH("Grand Total", 'Full month Pivot'!$A$3:$A$400, 0), MATCH(V$2, 'Full month Pivot'!$D$2:$K$2, 0)), "")</f>
        <v/>
      </c>
      <c r="W188" s="156">
        <f t="array" ref="W188">IF(AND(ISNUMBER(W184), W184&gt;0), W184/INDEX('Full month Pivot'!$D$3:$K$400, MATCH("Grand Total", 'Full month Pivot'!$A$3:$A$400, 0), MATCH(W$2, 'Full month Pivot'!$D$2:$K$2, 0)), "")</f>
        <v/>
      </c>
      <c r="X188" s="156">
        <f t="array" ref="X188">IF(AND(ISNUMBER(X184), X184&gt;0), X184/INDEX('Full month Pivot'!$D$3:$K$400, MATCH("Grand Total", 'Full month Pivot'!$A$3:$A$400, 0), MATCH(X$2, 'Full month Pivot'!$D$2:$K$2, 0)), "")</f>
        <v/>
      </c>
      <c r="Y188" s="156">
        <f t="array" ref="Y188">IF(AND(ISNUMBER(Y184), Y184&gt;0), Y184/INDEX('Full month Pivot'!$D$3:$K$400, MATCH("Grand Total", 'Full month Pivot'!$A$3:$A$400, 0), MATCH(Y$2, 'Full month Pivot'!$D$2:$K$2, 0)), "")</f>
        <v/>
      </c>
      <c r="Z188" s="156">
        <f t="array" ref="Z188">IF(AND(ISNUMBER(Z184), Z184&gt;0), Z184/INDEX('Full month Pivot'!$D$3:$K$400, MATCH("Grand Total", 'Full month Pivot'!$A$3:$A$400, 0), MATCH(Z$2, 'Full month Pivot'!$D$2:$K$2, 0)), "")</f>
        <v/>
      </c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202" t="inlineStr">
        <is>
          <t xml:space="preserve">  Organic</t>
        </is>
      </c>
      <c r="B189" s="193">
        <f>IF(SUMPRODUCT((('MTD Pivot'!$B$3:$B$400=$A$183) + ('MTD Pivot'!$A$3:$A$400=$A$183) &gt; 0) * (TRIM('MTD Pivot'!$C$3:$C$400)=TRIM($A189)) * ('MTD Pivot'!$D$2:$K$2=B$2) * 'MTD Pivot'!$D$3:$K$400)&gt;0, SUMPRODUCT((('MTD Pivot'!$B$3:$B$400=$A$183) + ('MTD Pivot'!$A$3:$A$400=$A$183) &gt; 0) * (TRIM('MTD Pivot'!$C$3:$C$400)=TRIM($A189)) * ('MTD Pivot'!$D$2:$K$2=B$2) * 'MTD Pivot'!$D$3:$K$400), "")</f>
        <v/>
      </c>
      <c r="C189" s="193">
        <f>IF(SUMPRODUCT((('MTD Pivot'!$B$3:$B$400=$A$183) + ('MTD Pivot'!$A$3:$A$400=$A$183) &gt; 0) * (TRIM('MTD Pivot'!$C$3:$C$400)=TRIM($A189)) * ('MTD Pivot'!$D$2:$K$2=C$2) * 'MTD Pivot'!$D$3:$K$400)&gt;0, SUMPRODUCT((('MTD Pivot'!$B$3:$B$400=$A$183) + ('MTD Pivot'!$A$3:$A$400=$A$183) &gt; 0) * (TRIM('MTD Pivot'!$C$3:$C$400)=TRIM($A189)) * ('MTD Pivot'!$D$2:$K$2=C$2) * 'MTD Pivot'!$D$3:$K$400), "")</f>
        <v/>
      </c>
      <c r="D189" s="193">
        <f>IF(SUMPRODUCT((('MTD Pivot'!$B$3:$B$400=$A$183) + ('MTD Pivot'!$A$3:$A$400=$A$183) &gt; 0) * (TRIM('MTD Pivot'!$C$3:$C$400)=TRIM($A189)) * ('MTD Pivot'!$D$2:$K$2=D$2) * 'MTD Pivot'!$D$3:$K$400)&gt;0, SUMPRODUCT((('MTD Pivot'!$B$3:$B$400=$A$183) + ('MTD Pivot'!$A$3:$A$400=$A$183) &gt; 0) * (TRIM('MTD Pivot'!$C$3:$C$400)=TRIM($A189)) * ('MTD Pivot'!$D$2:$K$2=D$2) * 'MTD Pivot'!$D$3:$K$400), "")</f>
        <v/>
      </c>
      <c r="E189" s="193">
        <f>IF(SUMPRODUCT((('MTD Pivot'!$B$3:$B$400=$A$183) + ('MTD Pivot'!$A$3:$A$400=$A$183) &gt; 0) * (TRIM('MTD Pivot'!$C$3:$C$400)=TRIM($A189)) * ('MTD Pivot'!$D$2:$K$2=E$2) * 'MTD Pivot'!$D$3:$K$400)&gt;0, SUMPRODUCT((('MTD Pivot'!$B$3:$B$400=$A$183) + ('MTD Pivot'!$A$3:$A$400=$A$183) &gt; 0) * (TRIM('MTD Pivot'!$C$3:$C$400)=TRIM($A189)) * ('MTD Pivot'!$D$2:$K$2=E$2) * 'MTD Pivot'!$D$3:$K$400), "")</f>
        <v/>
      </c>
      <c r="F189" s="193">
        <f>IF(SUMPRODUCT((('MTD Pivot'!$B$3:$B$400=$A$183) + ('MTD Pivot'!$A$3:$A$400=$A$183) &gt; 0) * (TRIM('MTD Pivot'!$C$3:$C$400)=TRIM($A189)) * ('MTD Pivot'!$D$2:$K$2=F$2) * 'MTD Pivot'!$D$3:$K$400)&gt;0, SUMPRODUCT((('MTD Pivot'!$B$3:$B$400=$A$183) + ('MTD Pivot'!$A$3:$A$400=$A$183) &gt; 0) * (TRIM('MTD Pivot'!$C$3:$C$400)=TRIM($A189)) * ('MTD Pivot'!$D$2:$K$2=F$2) * 'MTD Pivot'!$D$3:$K$400), "")</f>
        <v/>
      </c>
      <c r="G189" s="193">
        <f>IF(SUMPRODUCT((('MTD Pivot'!$B$3:$B$400=$A$183) + ('MTD Pivot'!$A$3:$A$400=$A$183) &gt; 0) * (TRIM('MTD Pivot'!$C$3:$C$400)=TRIM($A189)) * ('MTD Pivot'!$D$2:$K$2=G$2) * 'MTD Pivot'!$D$3:$K$400)&gt;0, SUMPRODUCT((('MTD Pivot'!$B$3:$B$400=$A$183) + ('MTD Pivot'!$A$3:$A$400=$A$183) &gt; 0) * (TRIM('MTD Pivot'!$C$3:$C$400)=TRIM($A189)) * ('MTD Pivot'!$D$2:$K$2=G$2) * 'MTD Pivot'!$D$3:$K$400), "")</f>
        <v/>
      </c>
      <c r="H189" s="193">
        <f>IF(SUMPRODUCT((('MTD Pivot'!$B$3:$B$400=$A$183) + ('MTD Pivot'!$A$3:$A$400=$A$183) &gt; 0) * (TRIM('MTD Pivot'!$C$3:$C$400)=TRIM($A189)) * ('MTD Pivot'!$D$2:$K$2=H$2) * 'MTD Pivot'!$D$3:$K$400)&gt;0, SUMPRODUCT((('MTD Pivot'!$B$3:$B$400=$A$183) + ('MTD Pivot'!$A$3:$A$400=$A$183) &gt; 0) * (TRIM('MTD Pivot'!$C$3:$C$400)=TRIM($A189)) * ('MTD Pivot'!$D$2:$K$2=H$2) * 'MTD Pivot'!$D$3:$K$400), "")</f>
        <v/>
      </c>
      <c r="I189" s="193">
        <f>IF(SUMPRODUCT((('MTD Pivot'!$B$3:$B$400=$A$183) + ('MTD Pivot'!$A$3:$A$400=$A$183) &gt; 0) * (TRIM('MTD Pivot'!$C$3:$C$400)=TRIM($A189)) * ('MTD Pivot'!$D$2:$K$2=I$2) * 'MTD Pivot'!$D$3:$K$400)&gt;0, SUMPRODUCT((('MTD Pivot'!$B$3:$B$400=$A$183) + ('MTD Pivot'!$A$3:$A$400=$A$183) &gt; 0) * (TRIM('MTD Pivot'!$C$3:$C$400)=TRIM($A189)) * ('MTD Pivot'!$D$2:$K$2=I$2) * 'MTD Pivot'!$D$3:$K$400), "")</f>
        <v/>
      </c>
      <c r="J189" s="193">
        <f>IF(SUMPRODUCT((('MTD Pivot'!$B$3:$B$400=$A$183) + ('MTD Pivot'!$A$3:$A$400=$A$183) &gt; 0) * (TRIM('MTD Pivot'!$C$3:$C$400)=TRIM($A189)) * ('MTD Pivot'!$D$2:$K$2=J$2) * 'MTD Pivot'!$D$3:$K$400)&gt;0, SUMPRODUCT((('MTD Pivot'!$B$3:$B$400=$A$183) + ('MTD Pivot'!$A$3:$A$400=$A$183) &gt; 0) * (TRIM('MTD Pivot'!$C$3:$C$400)=TRIM($A189)) * ('MTD Pivot'!$D$2:$K$2=J$2) * 'MTD Pivot'!$D$3:$K$400), "")</f>
        <v/>
      </c>
      <c r="K189" s="193">
        <f>IF(SUMPRODUCT((('MTD Pivot'!$B$3:$B$400=$A$183) + ('MTD Pivot'!$A$3:$A$400=$A$183) &gt; 0) * (TRIM('MTD Pivot'!$C$3:$C$400)=TRIM($A189)) * ('MTD Pivot'!$D$2:$K$2=K$2) * 'MTD Pivot'!$D$3:$K$400)&gt;0, SUMPRODUCT((('MTD Pivot'!$B$3:$B$400=$A$183) + ('MTD Pivot'!$A$3:$A$400=$A$183) &gt; 0) * (TRIM('MTD Pivot'!$C$3:$C$400)=TRIM($A189)) * ('MTD Pivot'!$D$2:$K$2=K$2) * 'MTD Pivot'!$D$3:$K$400), "")</f>
        <v/>
      </c>
      <c r="L189" s="193">
        <f>IF(SUMPRODUCT((('MTD Pivot'!$B$3:$B$400=$A$183) + ('MTD Pivot'!$A$3:$A$400=$A$183) &gt; 0) * (TRIM('MTD Pivot'!$C$3:$C$400)=TRIM($A189)) * ('MTD Pivot'!$D$2:$K$2=L$2) * 'MTD Pivot'!$D$3:$K$400)&gt;0, SUMPRODUCT((('MTD Pivot'!$B$3:$B$400=$A$183) + ('MTD Pivot'!$A$3:$A$400=$A$183) &gt; 0) * (TRIM('MTD Pivot'!$C$3:$C$400)=TRIM($A189)) * ('MTD Pivot'!$D$2:$K$2=L$2) * 'MTD Pivot'!$D$3:$K$400), "")</f>
        <v/>
      </c>
      <c r="M189" s="193">
        <f>IF(SUMPRODUCT((('MTD Pivot'!$B$3:$B$400=$A$183) + ('MTD Pivot'!$A$3:$A$400=$A$183) &gt; 0) * (TRIM('MTD Pivot'!$C$3:$C$400)=TRIM($A189)) * ('MTD Pivot'!$D$2:$K$2=M$2) * 'MTD Pivot'!$D$3:$K$400)&gt;0, SUMPRODUCT((('MTD Pivot'!$B$3:$B$400=$A$183) + ('MTD Pivot'!$A$3:$A$400=$A$183) &gt; 0) * (TRIM('MTD Pivot'!$C$3:$C$400)=TRIM($A189)) * ('MTD Pivot'!$D$2:$K$2=M$2) * 'MTD Pivot'!$D$3:$K$400), "")</f>
        <v/>
      </c>
      <c r="N189" s="157">
        <f>IF(AND(ISNUMBER(K189), ISNUMBER(J189), J189&gt;0), (K189-J189)/J189, "")</f>
        <v/>
      </c>
      <c r="O189" s="193">
        <f>IF(SUMPRODUCT((('Full month Pivot'!$B$3:$B$400=$A$183) + ('Full month Pivot'!$A$3:$A$400=$A$183) &gt; 0) * (TRIM('Full month Pivot'!$C$3:$C$400)=TRIM($A189)) * ('Full month Pivot'!$D$2:$K$2=O$2) * 'Full month Pivot'!$D$3:$K$400)&gt;0, SUMPRODUCT((('Full month Pivot'!$B$3:$B$400=$A$183) + ('Full month Pivot'!$A$3:$A$400=$A$183) &gt; 0) * (TRIM('Full month Pivot'!$C$3:$C$400)=TRIM($A189)) * ('Full month Pivot'!$D$2:$K$2=O$2) * 'Full month Pivot'!$D$3:$K$400), "")</f>
        <v/>
      </c>
      <c r="P189" s="193">
        <f>IF(SUMPRODUCT((('Full month Pivot'!$B$3:$B$400=$A$183) + ('Full month Pivot'!$A$3:$A$400=$A$183) &gt; 0) * (TRIM('Full month Pivot'!$C$3:$C$400)=TRIM($A189)) * ('Full month Pivot'!$D$2:$K$2=P$2) * 'Full month Pivot'!$D$3:$K$400)&gt;0, SUMPRODUCT((('Full month Pivot'!$B$3:$B$400=$A$183) + ('Full month Pivot'!$A$3:$A$400=$A$183) &gt; 0) * (TRIM('Full month Pivot'!$C$3:$C$400)=TRIM($A189)) * ('Full month Pivot'!$D$2:$K$2=P$2) * 'Full month Pivot'!$D$3:$K$400), "")</f>
        <v/>
      </c>
      <c r="Q189" s="193">
        <f>IF(SUMPRODUCT((('Full month Pivot'!$B$3:$B$400=$A$183) + ('Full month Pivot'!$A$3:$A$400=$A$183) &gt; 0) * (TRIM('Full month Pivot'!$C$3:$C$400)=TRIM($A189)) * ('Full month Pivot'!$D$2:$K$2=Q$2) * 'Full month Pivot'!$D$3:$K$400)&gt;0, SUMPRODUCT((('Full month Pivot'!$B$3:$B$400=$A$183) + ('Full month Pivot'!$A$3:$A$400=$A$183) &gt; 0) * (TRIM('Full month Pivot'!$C$3:$C$400)=TRIM($A189)) * ('Full month Pivot'!$D$2:$K$2=Q$2) * 'Full month Pivot'!$D$3:$K$400), "")</f>
        <v/>
      </c>
      <c r="R189" s="193">
        <f>IF(SUMPRODUCT((('Full month Pivot'!$B$3:$B$400=$A$183) + ('Full month Pivot'!$A$3:$A$400=$A$183) &gt; 0) * (TRIM('Full month Pivot'!$C$3:$C$400)=TRIM($A189)) * ('Full month Pivot'!$D$2:$K$2=R$2) * 'Full month Pivot'!$D$3:$K$400)&gt;0, SUMPRODUCT((('Full month Pivot'!$B$3:$B$400=$A$183) + ('Full month Pivot'!$A$3:$A$400=$A$183) &gt; 0) * (TRIM('Full month Pivot'!$C$3:$C$400)=TRIM($A189)) * ('Full month Pivot'!$D$2:$K$2=R$2) * 'Full month Pivot'!$D$3:$K$400), "")</f>
        <v/>
      </c>
      <c r="S189" s="193">
        <f>IF(SUMPRODUCT((('Full month Pivot'!$B$3:$B$400=$A$183) + ('Full month Pivot'!$A$3:$A$400=$A$183) &gt; 0) * (TRIM('Full month Pivot'!$C$3:$C$400)=TRIM($A189)) * ('Full month Pivot'!$D$2:$K$2=S$2) * 'Full month Pivot'!$D$3:$K$400)&gt;0, SUMPRODUCT((('Full month Pivot'!$B$3:$B$400=$A$183) + ('Full month Pivot'!$A$3:$A$400=$A$183) &gt; 0) * (TRIM('Full month Pivot'!$C$3:$C$400)=TRIM($A189)) * ('Full month Pivot'!$D$2:$K$2=S$2) * 'Full month Pivot'!$D$3:$K$400), "")</f>
        <v/>
      </c>
      <c r="T189" s="193">
        <f>IF(SUMPRODUCT((('Full month Pivot'!$B$3:$B$400=$A$183) + ('Full month Pivot'!$A$3:$A$400=$A$183) &gt; 0) * (TRIM('Full month Pivot'!$C$3:$C$400)=TRIM($A189)) * ('Full month Pivot'!$D$2:$K$2=T$2) * 'Full month Pivot'!$D$3:$K$400)&gt;0, SUMPRODUCT((('Full month Pivot'!$B$3:$B$400=$A$183) + ('Full month Pivot'!$A$3:$A$400=$A$183) &gt; 0) * (TRIM('Full month Pivot'!$C$3:$C$400)=TRIM($A189)) * ('Full month Pivot'!$D$2:$K$2=T$2) * 'Full month Pivot'!$D$3:$K$400), "")</f>
        <v/>
      </c>
      <c r="U189" s="193">
        <f>IF(SUMPRODUCT((('Full month Pivot'!$B$3:$B$400=$A$183) + ('Full month Pivot'!$A$3:$A$400=$A$183) &gt; 0) * (TRIM('Full month Pivot'!$C$3:$C$400)=TRIM($A189)) * ('Full month Pivot'!$D$2:$K$2=U$2) * 'Full month Pivot'!$D$3:$K$400)&gt;0, SUMPRODUCT((('Full month Pivot'!$B$3:$B$400=$A$183) + ('Full month Pivot'!$A$3:$A$400=$A$183) &gt; 0) * (TRIM('Full month Pivot'!$C$3:$C$400)=TRIM($A189)) * ('Full month Pivot'!$D$2:$K$2=U$2) * 'Full month Pivot'!$D$3:$K$400), "")</f>
        <v/>
      </c>
      <c r="V189" s="193">
        <f>IF(SUMPRODUCT((('Full month Pivot'!$B$3:$B$400=$A$183) + ('Full month Pivot'!$A$3:$A$400=$A$183) &gt; 0) * (TRIM('Full month Pivot'!$C$3:$C$400)=TRIM($A189)) * ('Full month Pivot'!$D$2:$K$2=V$2) * 'Full month Pivot'!$D$3:$K$400)&gt;0, SUMPRODUCT((('Full month Pivot'!$B$3:$B$400=$A$183) + ('Full month Pivot'!$A$3:$A$400=$A$183) &gt; 0) * (TRIM('Full month Pivot'!$C$3:$C$400)=TRIM($A189)) * ('Full month Pivot'!$D$2:$K$2=V$2) * 'Full month Pivot'!$D$3:$K$400), "")</f>
        <v/>
      </c>
      <c r="W189" s="193">
        <f>IF(SUMPRODUCT((('Full month Pivot'!$B$3:$B$400=$A$183) + ('Full month Pivot'!$A$3:$A$400=$A$183) &gt; 0) * (TRIM('Full month Pivot'!$C$3:$C$400)=TRIM($A189)) * ('Full month Pivot'!$D$2:$K$2=W$2) * 'Full month Pivot'!$D$3:$K$400)&gt;0, SUMPRODUCT((('Full month Pivot'!$B$3:$B$400=$A$183) + ('Full month Pivot'!$A$3:$A$400=$A$183) &gt; 0) * (TRIM('Full month Pivot'!$C$3:$C$400)=TRIM($A189)) * ('Full month Pivot'!$D$2:$K$2=W$2) * 'Full month Pivot'!$D$3:$K$400), "")</f>
        <v/>
      </c>
      <c r="X189" s="193">
        <f>IF(SUMPRODUCT((('Full month Pivot'!$B$3:$B$400=$A$183) + ('Full month Pivot'!$A$3:$A$400=$A$183) &gt; 0) * (TRIM('Full month Pivot'!$C$3:$C$400)=TRIM($A189)) * ('Full month Pivot'!$D$2:$K$2=X$2) * 'Full month Pivot'!$D$3:$K$400)&gt;0, SUMPRODUCT((('Full month Pivot'!$B$3:$B$400=$A$183) + ('Full month Pivot'!$A$3:$A$400=$A$183) &gt; 0) * (TRIM('Full month Pivot'!$C$3:$C$400)=TRIM($A189)) * ('Full month Pivot'!$D$2:$K$2=X$2) * 'Full month Pivot'!$D$3:$K$400), "")</f>
        <v/>
      </c>
      <c r="Y189" s="193">
        <f>IF(SUMPRODUCT((('Full month Pivot'!$B$3:$B$400=$A$183) + ('Full month Pivot'!$A$3:$A$400=$A$183) &gt; 0) * (TRIM('Full month Pivot'!$C$3:$C$400)=TRIM($A189)) * ('Full month Pivot'!$D$2:$K$2=Y$2) * 'Full month Pivot'!$D$3:$K$400)&gt;0, SUMPRODUCT((('Full month Pivot'!$B$3:$B$400=$A$183) + ('Full month Pivot'!$A$3:$A$400=$A$183) &gt; 0) * (TRIM('Full month Pivot'!$C$3:$C$400)=TRIM($A189)) * ('Full month Pivot'!$D$2:$K$2=Y$2) * 'Full month Pivot'!$D$3:$K$400), "")</f>
        <v/>
      </c>
      <c r="Z189" s="193">
        <f>IF(SUMPRODUCT((('Full month Pivot'!$B$3:$B$400=$A$183) + ('Full month Pivot'!$A$3:$A$400=$A$183) &gt; 0) * (TRIM('Full month Pivot'!$C$3:$C$400)=TRIM($A189)) * ('Full month Pivot'!$D$2:$K$2=Z$2) * 'Full month Pivot'!$D$3:$K$400)&gt;0, SUMPRODUCT((('Full month Pivot'!$B$3:$B$400=$A$183) + ('Full month Pivot'!$A$3:$A$400=$A$183) &gt; 0) * (TRIM('Full month Pivot'!$C$3:$C$400)=TRIM($A189)) * ('Full month Pivot'!$D$2:$K$2=Z$2) * 'Full month Pivot'!$D$3:$K$400), "")</f>
        <v/>
      </c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202" t="inlineStr">
        <is>
          <t xml:space="preserve">  Paid</t>
        </is>
      </c>
      <c r="B190" s="193">
        <f>IF(SUMPRODUCT((('MTD Pivot'!$B$3:$B$400=$A$183) + ('MTD Pivot'!$A$3:$A$400=$A$183) &gt; 0) * (TRIM('MTD Pivot'!$C$3:$C$400)=TRIM($A190)) * ('MTD Pivot'!$D$2:$K$2=B$2) * 'MTD Pivot'!$D$3:$K$400)&gt;0, SUMPRODUCT((('MTD Pivot'!$B$3:$B$400=$A$183) + ('MTD Pivot'!$A$3:$A$400=$A$183) &gt; 0) * (TRIM('MTD Pivot'!$C$3:$C$400)=TRIM($A190)) * ('MTD Pivot'!$D$2:$K$2=B$2) * 'MTD Pivot'!$D$3:$K$400), "")</f>
        <v/>
      </c>
      <c r="C190" s="193">
        <f>IF(SUMPRODUCT((('MTD Pivot'!$B$3:$B$400=$A$183) + ('MTD Pivot'!$A$3:$A$400=$A$183) &gt; 0) * (TRIM('MTD Pivot'!$C$3:$C$400)=TRIM($A190)) * ('MTD Pivot'!$D$2:$K$2=C$2) * 'MTD Pivot'!$D$3:$K$400)&gt;0, SUMPRODUCT((('MTD Pivot'!$B$3:$B$400=$A$183) + ('MTD Pivot'!$A$3:$A$400=$A$183) &gt; 0) * (TRIM('MTD Pivot'!$C$3:$C$400)=TRIM($A190)) * ('MTD Pivot'!$D$2:$K$2=C$2) * 'MTD Pivot'!$D$3:$K$400), "")</f>
        <v/>
      </c>
      <c r="D190" s="193">
        <f>IF(SUMPRODUCT((('MTD Pivot'!$B$3:$B$400=$A$183) + ('MTD Pivot'!$A$3:$A$400=$A$183) &gt; 0) * (TRIM('MTD Pivot'!$C$3:$C$400)=TRIM($A190)) * ('MTD Pivot'!$D$2:$K$2=D$2) * 'MTD Pivot'!$D$3:$K$400)&gt;0, SUMPRODUCT((('MTD Pivot'!$B$3:$B$400=$A$183) + ('MTD Pivot'!$A$3:$A$400=$A$183) &gt; 0) * (TRIM('MTD Pivot'!$C$3:$C$400)=TRIM($A190)) * ('MTD Pivot'!$D$2:$K$2=D$2) * 'MTD Pivot'!$D$3:$K$400), "")</f>
        <v/>
      </c>
      <c r="E190" s="193">
        <f>IF(SUMPRODUCT((('MTD Pivot'!$B$3:$B$400=$A$183) + ('MTD Pivot'!$A$3:$A$400=$A$183) &gt; 0) * (TRIM('MTD Pivot'!$C$3:$C$400)=TRIM($A190)) * ('MTD Pivot'!$D$2:$K$2=E$2) * 'MTD Pivot'!$D$3:$K$400)&gt;0, SUMPRODUCT((('MTD Pivot'!$B$3:$B$400=$A$183) + ('MTD Pivot'!$A$3:$A$400=$A$183) &gt; 0) * (TRIM('MTD Pivot'!$C$3:$C$400)=TRIM($A190)) * ('MTD Pivot'!$D$2:$K$2=E$2) * 'MTD Pivot'!$D$3:$K$400), "")</f>
        <v/>
      </c>
      <c r="F190" s="193">
        <f>IF(SUMPRODUCT((('MTD Pivot'!$B$3:$B$400=$A$183) + ('MTD Pivot'!$A$3:$A$400=$A$183) &gt; 0) * (TRIM('MTD Pivot'!$C$3:$C$400)=TRIM($A190)) * ('MTD Pivot'!$D$2:$K$2=F$2) * 'MTD Pivot'!$D$3:$K$400)&gt;0, SUMPRODUCT((('MTD Pivot'!$B$3:$B$400=$A$183) + ('MTD Pivot'!$A$3:$A$400=$A$183) &gt; 0) * (TRIM('MTD Pivot'!$C$3:$C$400)=TRIM($A190)) * ('MTD Pivot'!$D$2:$K$2=F$2) * 'MTD Pivot'!$D$3:$K$400), "")</f>
        <v/>
      </c>
      <c r="G190" s="193">
        <f>IF(SUMPRODUCT((('MTD Pivot'!$B$3:$B$400=$A$183) + ('MTD Pivot'!$A$3:$A$400=$A$183) &gt; 0) * (TRIM('MTD Pivot'!$C$3:$C$400)=TRIM($A190)) * ('MTD Pivot'!$D$2:$K$2=G$2) * 'MTD Pivot'!$D$3:$K$400)&gt;0, SUMPRODUCT((('MTD Pivot'!$B$3:$B$400=$A$183) + ('MTD Pivot'!$A$3:$A$400=$A$183) &gt; 0) * (TRIM('MTD Pivot'!$C$3:$C$400)=TRIM($A190)) * ('MTD Pivot'!$D$2:$K$2=G$2) * 'MTD Pivot'!$D$3:$K$400), "")</f>
        <v/>
      </c>
      <c r="H190" s="193">
        <f>IF(SUMPRODUCT((('MTD Pivot'!$B$3:$B$400=$A$183) + ('MTD Pivot'!$A$3:$A$400=$A$183) &gt; 0) * (TRIM('MTD Pivot'!$C$3:$C$400)=TRIM($A190)) * ('MTD Pivot'!$D$2:$K$2=H$2) * 'MTD Pivot'!$D$3:$K$400)&gt;0, SUMPRODUCT((('MTD Pivot'!$B$3:$B$400=$A$183) + ('MTD Pivot'!$A$3:$A$400=$A$183) &gt; 0) * (TRIM('MTD Pivot'!$C$3:$C$400)=TRIM($A190)) * ('MTD Pivot'!$D$2:$K$2=H$2) * 'MTD Pivot'!$D$3:$K$400), "")</f>
        <v/>
      </c>
      <c r="I190" s="193">
        <f>IF(SUMPRODUCT((('MTD Pivot'!$B$3:$B$400=$A$183) + ('MTD Pivot'!$A$3:$A$400=$A$183) &gt; 0) * (TRIM('MTD Pivot'!$C$3:$C$400)=TRIM($A190)) * ('MTD Pivot'!$D$2:$K$2=I$2) * 'MTD Pivot'!$D$3:$K$400)&gt;0, SUMPRODUCT((('MTD Pivot'!$B$3:$B$400=$A$183) + ('MTD Pivot'!$A$3:$A$400=$A$183) &gt; 0) * (TRIM('MTD Pivot'!$C$3:$C$400)=TRIM($A190)) * ('MTD Pivot'!$D$2:$K$2=I$2) * 'MTD Pivot'!$D$3:$K$400), "")</f>
        <v/>
      </c>
      <c r="J190" s="193">
        <f>IF(SUMPRODUCT((('MTD Pivot'!$B$3:$B$400=$A$183) + ('MTD Pivot'!$A$3:$A$400=$A$183) &gt; 0) * (TRIM('MTD Pivot'!$C$3:$C$400)=TRIM($A190)) * ('MTD Pivot'!$D$2:$K$2=J$2) * 'MTD Pivot'!$D$3:$K$400)&gt;0, SUMPRODUCT((('MTD Pivot'!$B$3:$B$400=$A$183) + ('MTD Pivot'!$A$3:$A$400=$A$183) &gt; 0) * (TRIM('MTD Pivot'!$C$3:$C$400)=TRIM($A190)) * ('MTD Pivot'!$D$2:$K$2=J$2) * 'MTD Pivot'!$D$3:$K$400), "")</f>
        <v/>
      </c>
      <c r="K190" s="193">
        <f>IF(SUMPRODUCT((('MTD Pivot'!$B$3:$B$400=$A$183) + ('MTD Pivot'!$A$3:$A$400=$A$183) &gt; 0) * (TRIM('MTD Pivot'!$C$3:$C$400)=TRIM($A190)) * ('MTD Pivot'!$D$2:$K$2=K$2) * 'MTD Pivot'!$D$3:$K$400)&gt;0, SUMPRODUCT((('MTD Pivot'!$B$3:$B$400=$A$183) + ('MTD Pivot'!$A$3:$A$400=$A$183) &gt; 0) * (TRIM('MTD Pivot'!$C$3:$C$400)=TRIM($A190)) * ('MTD Pivot'!$D$2:$K$2=K$2) * 'MTD Pivot'!$D$3:$K$400), "")</f>
        <v/>
      </c>
      <c r="L190" s="193">
        <f>IF(SUMPRODUCT((('MTD Pivot'!$B$3:$B$400=$A$183) + ('MTD Pivot'!$A$3:$A$400=$A$183) &gt; 0) * (TRIM('MTD Pivot'!$C$3:$C$400)=TRIM($A190)) * ('MTD Pivot'!$D$2:$K$2=L$2) * 'MTD Pivot'!$D$3:$K$400)&gt;0, SUMPRODUCT((('MTD Pivot'!$B$3:$B$400=$A$183) + ('MTD Pivot'!$A$3:$A$400=$A$183) &gt; 0) * (TRIM('MTD Pivot'!$C$3:$C$400)=TRIM($A190)) * ('MTD Pivot'!$D$2:$K$2=L$2) * 'MTD Pivot'!$D$3:$K$400), "")</f>
        <v/>
      </c>
      <c r="M190" s="193">
        <f>IF(SUMPRODUCT((('MTD Pivot'!$B$3:$B$400=$A$183) + ('MTD Pivot'!$A$3:$A$400=$A$183) &gt; 0) * (TRIM('MTD Pivot'!$C$3:$C$400)=TRIM($A190)) * ('MTD Pivot'!$D$2:$K$2=M$2) * 'MTD Pivot'!$D$3:$K$400)&gt;0, SUMPRODUCT((('MTD Pivot'!$B$3:$B$400=$A$183) + ('MTD Pivot'!$A$3:$A$400=$A$183) &gt; 0) * (TRIM('MTD Pivot'!$C$3:$C$400)=TRIM($A190)) * ('MTD Pivot'!$D$2:$K$2=M$2) * 'MTD Pivot'!$D$3:$K$400), "")</f>
        <v/>
      </c>
      <c r="N190" s="157">
        <f>IF(AND(ISNUMBER(K190), ISNUMBER(J190), J190&gt;0), (K190-J190)/J190, "")</f>
        <v/>
      </c>
      <c r="O190" s="193">
        <f>IF(SUMPRODUCT((('Full month Pivot'!$B$3:$B$400=$A$183) + ('Full month Pivot'!$A$3:$A$400=$A$183) &gt; 0) * (TRIM('Full month Pivot'!$C$3:$C$400)=TRIM($A190)) * ('Full month Pivot'!$D$2:$K$2=O$2) * 'Full month Pivot'!$D$3:$K$400)&gt;0, SUMPRODUCT((('Full month Pivot'!$B$3:$B$400=$A$183) + ('Full month Pivot'!$A$3:$A$400=$A$183) &gt; 0) * (TRIM('Full month Pivot'!$C$3:$C$400)=TRIM($A190)) * ('Full month Pivot'!$D$2:$K$2=O$2) * 'Full month Pivot'!$D$3:$K$400), "")</f>
        <v/>
      </c>
      <c r="P190" s="193">
        <f>IF(SUMPRODUCT((('Full month Pivot'!$B$3:$B$400=$A$183) + ('Full month Pivot'!$A$3:$A$400=$A$183) &gt; 0) * (TRIM('Full month Pivot'!$C$3:$C$400)=TRIM($A190)) * ('Full month Pivot'!$D$2:$K$2=P$2) * 'Full month Pivot'!$D$3:$K$400)&gt;0, SUMPRODUCT((('Full month Pivot'!$B$3:$B$400=$A$183) + ('Full month Pivot'!$A$3:$A$400=$A$183) &gt; 0) * (TRIM('Full month Pivot'!$C$3:$C$400)=TRIM($A190)) * ('Full month Pivot'!$D$2:$K$2=P$2) * 'Full month Pivot'!$D$3:$K$400), "")</f>
        <v/>
      </c>
      <c r="Q190" s="193">
        <f>IF(SUMPRODUCT((('Full month Pivot'!$B$3:$B$400=$A$183) + ('Full month Pivot'!$A$3:$A$400=$A$183) &gt; 0) * (TRIM('Full month Pivot'!$C$3:$C$400)=TRIM($A190)) * ('Full month Pivot'!$D$2:$K$2=Q$2) * 'Full month Pivot'!$D$3:$K$400)&gt;0, SUMPRODUCT((('Full month Pivot'!$B$3:$B$400=$A$183) + ('Full month Pivot'!$A$3:$A$400=$A$183) &gt; 0) * (TRIM('Full month Pivot'!$C$3:$C$400)=TRIM($A190)) * ('Full month Pivot'!$D$2:$K$2=Q$2) * 'Full month Pivot'!$D$3:$K$400), "")</f>
        <v/>
      </c>
      <c r="R190" s="193">
        <f>IF(SUMPRODUCT((('Full month Pivot'!$B$3:$B$400=$A$183) + ('Full month Pivot'!$A$3:$A$400=$A$183) &gt; 0) * (TRIM('Full month Pivot'!$C$3:$C$400)=TRIM($A190)) * ('Full month Pivot'!$D$2:$K$2=R$2) * 'Full month Pivot'!$D$3:$K$400)&gt;0, SUMPRODUCT((('Full month Pivot'!$B$3:$B$400=$A$183) + ('Full month Pivot'!$A$3:$A$400=$A$183) &gt; 0) * (TRIM('Full month Pivot'!$C$3:$C$400)=TRIM($A190)) * ('Full month Pivot'!$D$2:$K$2=R$2) * 'Full month Pivot'!$D$3:$K$400), "")</f>
        <v/>
      </c>
      <c r="S190" s="193">
        <f>IF(SUMPRODUCT((('Full month Pivot'!$B$3:$B$400=$A$183) + ('Full month Pivot'!$A$3:$A$400=$A$183) &gt; 0) * (TRIM('Full month Pivot'!$C$3:$C$400)=TRIM($A190)) * ('Full month Pivot'!$D$2:$K$2=S$2) * 'Full month Pivot'!$D$3:$K$400)&gt;0, SUMPRODUCT((('Full month Pivot'!$B$3:$B$400=$A$183) + ('Full month Pivot'!$A$3:$A$400=$A$183) &gt; 0) * (TRIM('Full month Pivot'!$C$3:$C$400)=TRIM($A190)) * ('Full month Pivot'!$D$2:$K$2=S$2) * 'Full month Pivot'!$D$3:$K$400), "")</f>
        <v/>
      </c>
      <c r="T190" s="193">
        <f>IF(SUMPRODUCT((('Full month Pivot'!$B$3:$B$400=$A$183) + ('Full month Pivot'!$A$3:$A$400=$A$183) &gt; 0) * (TRIM('Full month Pivot'!$C$3:$C$400)=TRIM($A190)) * ('Full month Pivot'!$D$2:$K$2=T$2) * 'Full month Pivot'!$D$3:$K$400)&gt;0, SUMPRODUCT((('Full month Pivot'!$B$3:$B$400=$A$183) + ('Full month Pivot'!$A$3:$A$400=$A$183) &gt; 0) * (TRIM('Full month Pivot'!$C$3:$C$400)=TRIM($A190)) * ('Full month Pivot'!$D$2:$K$2=T$2) * 'Full month Pivot'!$D$3:$K$400), "")</f>
        <v/>
      </c>
      <c r="U190" s="193">
        <f>IF(SUMPRODUCT((('Full month Pivot'!$B$3:$B$400=$A$183) + ('Full month Pivot'!$A$3:$A$400=$A$183) &gt; 0) * (TRIM('Full month Pivot'!$C$3:$C$400)=TRIM($A190)) * ('Full month Pivot'!$D$2:$K$2=U$2) * 'Full month Pivot'!$D$3:$K$400)&gt;0, SUMPRODUCT((('Full month Pivot'!$B$3:$B$400=$A$183) + ('Full month Pivot'!$A$3:$A$400=$A$183) &gt; 0) * (TRIM('Full month Pivot'!$C$3:$C$400)=TRIM($A190)) * ('Full month Pivot'!$D$2:$K$2=U$2) * 'Full month Pivot'!$D$3:$K$400), "")</f>
        <v/>
      </c>
      <c r="V190" s="193">
        <f>IF(SUMPRODUCT((('Full month Pivot'!$B$3:$B$400=$A$183) + ('Full month Pivot'!$A$3:$A$400=$A$183) &gt; 0) * (TRIM('Full month Pivot'!$C$3:$C$400)=TRIM($A190)) * ('Full month Pivot'!$D$2:$K$2=V$2) * 'Full month Pivot'!$D$3:$K$400)&gt;0, SUMPRODUCT((('Full month Pivot'!$B$3:$B$400=$A$183) + ('Full month Pivot'!$A$3:$A$400=$A$183) &gt; 0) * (TRIM('Full month Pivot'!$C$3:$C$400)=TRIM($A190)) * ('Full month Pivot'!$D$2:$K$2=V$2) * 'Full month Pivot'!$D$3:$K$400), "")</f>
        <v/>
      </c>
      <c r="W190" s="193">
        <f>IF(SUMPRODUCT((('Full month Pivot'!$B$3:$B$400=$A$183) + ('Full month Pivot'!$A$3:$A$400=$A$183) &gt; 0) * (TRIM('Full month Pivot'!$C$3:$C$400)=TRIM($A190)) * ('Full month Pivot'!$D$2:$K$2=W$2) * 'Full month Pivot'!$D$3:$K$400)&gt;0, SUMPRODUCT((('Full month Pivot'!$B$3:$B$400=$A$183) + ('Full month Pivot'!$A$3:$A$400=$A$183) &gt; 0) * (TRIM('Full month Pivot'!$C$3:$C$400)=TRIM($A190)) * ('Full month Pivot'!$D$2:$K$2=W$2) * 'Full month Pivot'!$D$3:$K$400), "")</f>
        <v/>
      </c>
      <c r="X190" s="193">
        <f>IF(SUMPRODUCT((('Full month Pivot'!$B$3:$B$400=$A$183) + ('Full month Pivot'!$A$3:$A$400=$A$183) &gt; 0) * (TRIM('Full month Pivot'!$C$3:$C$400)=TRIM($A190)) * ('Full month Pivot'!$D$2:$K$2=X$2) * 'Full month Pivot'!$D$3:$K$400)&gt;0, SUMPRODUCT((('Full month Pivot'!$B$3:$B$400=$A$183) + ('Full month Pivot'!$A$3:$A$400=$A$183) &gt; 0) * (TRIM('Full month Pivot'!$C$3:$C$400)=TRIM($A190)) * ('Full month Pivot'!$D$2:$K$2=X$2) * 'Full month Pivot'!$D$3:$K$400), "")</f>
        <v/>
      </c>
      <c r="Y190" s="193">
        <f>IF(SUMPRODUCT((('Full month Pivot'!$B$3:$B$400=$A$183) + ('Full month Pivot'!$A$3:$A$400=$A$183) &gt; 0) * (TRIM('Full month Pivot'!$C$3:$C$400)=TRIM($A190)) * ('Full month Pivot'!$D$2:$K$2=Y$2) * 'Full month Pivot'!$D$3:$K$400)&gt;0, SUMPRODUCT((('Full month Pivot'!$B$3:$B$400=$A$183) + ('Full month Pivot'!$A$3:$A$400=$A$183) &gt; 0) * (TRIM('Full month Pivot'!$C$3:$C$400)=TRIM($A190)) * ('Full month Pivot'!$D$2:$K$2=Y$2) * 'Full month Pivot'!$D$3:$K$400), "")</f>
        <v/>
      </c>
      <c r="Z190" s="193">
        <f>IF(SUMPRODUCT((('Full month Pivot'!$B$3:$B$400=$A$183) + ('Full month Pivot'!$A$3:$A$400=$A$183) &gt; 0) * (TRIM('Full month Pivot'!$C$3:$C$400)=TRIM($A190)) * ('Full month Pivot'!$D$2:$K$2=Z$2) * 'Full month Pivot'!$D$3:$K$400)&gt;0, SUMPRODUCT((('Full month Pivot'!$B$3:$B$400=$A$183) + ('Full month Pivot'!$A$3:$A$400=$A$183) &gt; 0) * (TRIM('Full month Pivot'!$C$3:$C$400)=TRIM($A190)) * ('Full month Pivot'!$D$2:$K$2=Z$2) * 'Full month Pivot'!$D$3:$K$400), "")</f>
        <v/>
      </c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202" t="inlineStr">
        <is>
          <t xml:space="preserve">  Direct</t>
        </is>
      </c>
      <c r="B191" s="193">
        <f>IF(SUMPRODUCT((('MTD Pivot'!$B$3:$B$400=$A$183) + ('MTD Pivot'!$A$3:$A$400=$A$183) &gt; 0) * (TRIM('MTD Pivot'!$C$3:$C$400)=TRIM($A191)) * ('MTD Pivot'!$D$2:$K$2=B$2) * 'MTD Pivot'!$D$3:$K$400)&gt;0, SUMPRODUCT((('MTD Pivot'!$B$3:$B$400=$A$183) + ('MTD Pivot'!$A$3:$A$400=$A$183) &gt; 0) * (TRIM('MTD Pivot'!$C$3:$C$400)=TRIM($A191)) * ('MTD Pivot'!$D$2:$K$2=B$2) * 'MTD Pivot'!$D$3:$K$400), "")</f>
        <v/>
      </c>
      <c r="C191" s="193">
        <f>IF(SUMPRODUCT((('MTD Pivot'!$B$3:$B$400=$A$183) + ('MTD Pivot'!$A$3:$A$400=$A$183) &gt; 0) * (TRIM('MTD Pivot'!$C$3:$C$400)=TRIM($A191)) * ('MTD Pivot'!$D$2:$K$2=C$2) * 'MTD Pivot'!$D$3:$K$400)&gt;0, SUMPRODUCT((('MTD Pivot'!$B$3:$B$400=$A$183) + ('MTD Pivot'!$A$3:$A$400=$A$183) &gt; 0) * (TRIM('MTD Pivot'!$C$3:$C$400)=TRIM($A191)) * ('MTD Pivot'!$D$2:$K$2=C$2) * 'MTD Pivot'!$D$3:$K$400), "")</f>
        <v/>
      </c>
      <c r="D191" s="193">
        <f>IF(SUMPRODUCT((('MTD Pivot'!$B$3:$B$400=$A$183) + ('MTD Pivot'!$A$3:$A$400=$A$183) &gt; 0) * (TRIM('MTD Pivot'!$C$3:$C$400)=TRIM($A191)) * ('MTD Pivot'!$D$2:$K$2=D$2) * 'MTD Pivot'!$D$3:$K$400)&gt;0, SUMPRODUCT((('MTD Pivot'!$B$3:$B$400=$A$183) + ('MTD Pivot'!$A$3:$A$400=$A$183) &gt; 0) * (TRIM('MTD Pivot'!$C$3:$C$400)=TRIM($A191)) * ('MTD Pivot'!$D$2:$K$2=D$2) * 'MTD Pivot'!$D$3:$K$400), "")</f>
        <v/>
      </c>
      <c r="E191" s="193">
        <f>IF(SUMPRODUCT((('MTD Pivot'!$B$3:$B$400=$A$183) + ('MTD Pivot'!$A$3:$A$400=$A$183) &gt; 0) * (TRIM('MTD Pivot'!$C$3:$C$400)=TRIM($A191)) * ('MTD Pivot'!$D$2:$K$2=E$2) * 'MTD Pivot'!$D$3:$K$400)&gt;0, SUMPRODUCT((('MTD Pivot'!$B$3:$B$400=$A$183) + ('MTD Pivot'!$A$3:$A$400=$A$183) &gt; 0) * (TRIM('MTD Pivot'!$C$3:$C$400)=TRIM($A191)) * ('MTD Pivot'!$D$2:$K$2=E$2) * 'MTD Pivot'!$D$3:$K$400), "")</f>
        <v/>
      </c>
      <c r="F191" s="193">
        <f>IF(SUMPRODUCT((('MTD Pivot'!$B$3:$B$400=$A$183) + ('MTD Pivot'!$A$3:$A$400=$A$183) &gt; 0) * (TRIM('MTD Pivot'!$C$3:$C$400)=TRIM($A191)) * ('MTD Pivot'!$D$2:$K$2=F$2) * 'MTD Pivot'!$D$3:$K$400)&gt;0, SUMPRODUCT((('MTD Pivot'!$B$3:$B$400=$A$183) + ('MTD Pivot'!$A$3:$A$400=$A$183) &gt; 0) * (TRIM('MTD Pivot'!$C$3:$C$400)=TRIM($A191)) * ('MTD Pivot'!$D$2:$K$2=F$2) * 'MTD Pivot'!$D$3:$K$400), "")</f>
        <v/>
      </c>
      <c r="G191" s="193">
        <f>IF(SUMPRODUCT((('MTD Pivot'!$B$3:$B$400=$A$183) + ('MTD Pivot'!$A$3:$A$400=$A$183) &gt; 0) * (TRIM('MTD Pivot'!$C$3:$C$400)=TRIM($A191)) * ('MTD Pivot'!$D$2:$K$2=G$2) * 'MTD Pivot'!$D$3:$K$400)&gt;0, SUMPRODUCT((('MTD Pivot'!$B$3:$B$400=$A$183) + ('MTD Pivot'!$A$3:$A$400=$A$183) &gt; 0) * (TRIM('MTD Pivot'!$C$3:$C$400)=TRIM($A191)) * ('MTD Pivot'!$D$2:$K$2=G$2) * 'MTD Pivot'!$D$3:$K$400), "")</f>
        <v/>
      </c>
      <c r="H191" s="193">
        <f>IF(SUMPRODUCT((('MTD Pivot'!$B$3:$B$400=$A$183) + ('MTD Pivot'!$A$3:$A$400=$A$183) &gt; 0) * (TRIM('MTD Pivot'!$C$3:$C$400)=TRIM($A191)) * ('MTD Pivot'!$D$2:$K$2=H$2) * 'MTD Pivot'!$D$3:$K$400)&gt;0, SUMPRODUCT((('MTD Pivot'!$B$3:$B$400=$A$183) + ('MTD Pivot'!$A$3:$A$400=$A$183) &gt; 0) * (TRIM('MTD Pivot'!$C$3:$C$400)=TRIM($A191)) * ('MTD Pivot'!$D$2:$K$2=H$2) * 'MTD Pivot'!$D$3:$K$400), "")</f>
        <v/>
      </c>
      <c r="I191" s="193">
        <f>IF(SUMPRODUCT((('MTD Pivot'!$B$3:$B$400=$A$183) + ('MTD Pivot'!$A$3:$A$400=$A$183) &gt; 0) * (TRIM('MTD Pivot'!$C$3:$C$400)=TRIM($A191)) * ('MTD Pivot'!$D$2:$K$2=I$2) * 'MTD Pivot'!$D$3:$K$400)&gt;0, SUMPRODUCT((('MTD Pivot'!$B$3:$B$400=$A$183) + ('MTD Pivot'!$A$3:$A$400=$A$183) &gt; 0) * (TRIM('MTD Pivot'!$C$3:$C$400)=TRIM($A191)) * ('MTD Pivot'!$D$2:$K$2=I$2) * 'MTD Pivot'!$D$3:$K$400), "")</f>
        <v/>
      </c>
      <c r="J191" s="193">
        <f>IF(SUMPRODUCT((('MTD Pivot'!$B$3:$B$400=$A$183) + ('MTD Pivot'!$A$3:$A$400=$A$183) &gt; 0) * (TRIM('MTD Pivot'!$C$3:$C$400)=TRIM($A191)) * ('MTD Pivot'!$D$2:$K$2=J$2) * 'MTD Pivot'!$D$3:$K$400)&gt;0, SUMPRODUCT((('MTD Pivot'!$B$3:$B$400=$A$183) + ('MTD Pivot'!$A$3:$A$400=$A$183) &gt; 0) * (TRIM('MTD Pivot'!$C$3:$C$400)=TRIM($A191)) * ('MTD Pivot'!$D$2:$K$2=J$2) * 'MTD Pivot'!$D$3:$K$400), "")</f>
        <v/>
      </c>
      <c r="K191" s="193">
        <f>IF(SUMPRODUCT((('MTD Pivot'!$B$3:$B$400=$A$183) + ('MTD Pivot'!$A$3:$A$400=$A$183) &gt; 0) * (TRIM('MTD Pivot'!$C$3:$C$400)=TRIM($A191)) * ('MTD Pivot'!$D$2:$K$2=K$2) * 'MTD Pivot'!$D$3:$K$400)&gt;0, SUMPRODUCT((('MTD Pivot'!$B$3:$B$400=$A$183) + ('MTD Pivot'!$A$3:$A$400=$A$183) &gt; 0) * (TRIM('MTD Pivot'!$C$3:$C$400)=TRIM($A191)) * ('MTD Pivot'!$D$2:$K$2=K$2) * 'MTD Pivot'!$D$3:$K$400), "")</f>
        <v/>
      </c>
      <c r="L191" s="193">
        <f>IF(SUMPRODUCT((('MTD Pivot'!$B$3:$B$400=$A$183) + ('MTD Pivot'!$A$3:$A$400=$A$183) &gt; 0) * (TRIM('MTD Pivot'!$C$3:$C$400)=TRIM($A191)) * ('MTD Pivot'!$D$2:$K$2=L$2) * 'MTD Pivot'!$D$3:$K$400)&gt;0, SUMPRODUCT((('MTD Pivot'!$B$3:$B$400=$A$183) + ('MTD Pivot'!$A$3:$A$400=$A$183) &gt; 0) * (TRIM('MTD Pivot'!$C$3:$C$400)=TRIM($A191)) * ('MTD Pivot'!$D$2:$K$2=L$2) * 'MTD Pivot'!$D$3:$K$400), "")</f>
        <v/>
      </c>
      <c r="M191" s="193">
        <f>IF(SUMPRODUCT((('MTD Pivot'!$B$3:$B$400=$A$183) + ('MTD Pivot'!$A$3:$A$400=$A$183) &gt; 0) * (TRIM('MTD Pivot'!$C$3:$C$400)=TRIM($A191)) * ('MTD Pivot'!$D$2:$K$2=M$2) * 'MTD Pivot'!$D$3:$K$400)&gt;0, SUMPRODUCT((('MTD Pivot'!$B$3:$B$400=$A$183) + ('MTD Pivot'!$A$3:$A$400=$A$183) &gt; 0) * (TRIM('MTD Pivot'!$C$3:$C$400)=TRIM($A191)) * ('MTD Pivot'!$D$2:$K$2=M$2) * 'MTD Pivot'!$D$3:$K$400), "")</f>
        <v/>
      </c>
      <c r="N191" s="157">
        <f>IF(AND(ISNUMBER(K191), ISNUMBER(J191), J191&gt;0), (K191-J191)/J191, "")</f>
        <v/>
      </c>
      <c r="O191" s="193">
        <f>IF(SUMPRODUCT((('Full month Pivot'!$B$3:$B$400=$A$183) + ('Full month Pivot'!$A$3:$A$400=$A$183) &gt; 0) * (TRIM('Full month Pivot'!$C$3:$C$400)=TRIM($A191)) * ('Full month Pivot'!$D$2:$K$2=O$2) * 'Full month Pivot'!$D$3:$K$400)&gt;0, SUMPRODUCT((('Full month Pivot'!$B$3:$B$400=$A$183) + ('Full month Pivot'!$A$3:$A$400=$A$183) &gt; 0) * (TRIM('Full month Pivot'!$C$3:$C$400)=TRIM($A191)) * ('Full month Pivot'!$D$2:$K$2=O$2) * 'Full month Pivot'!$D$3:$K$400), "")</f>
        <v/>
      </c>
      <c r="P191" s="193">
        <f>IF(SUMPRODUCT((('Full month Pivot'!$B$3:$B$400=$A$183) + ('Full month Pivot'!$A$3:$A$400=$A$183) &gt; 0) * (TRIM('Full month Pivot'!$C$3:$C$400)=TRIM($A191)) * ('Full month Pivot'!$D$2:$K$2=P$2) * 'Full month Pivot'!$D$3:$K$400)&gt;0, SUMPRODUCT((('Full month Pivot'!$B$3:$B$400=$A$183) + ('Full month Pivot'!$A$3:$A$400=$A$183) &gt; 0) * (TRIM('Full month Pivot'!$C$3:$C$400)=TRIM($A191)) * ('Full month Pivot'!$D$2:$K$2=P$2) * 'Full month Pivot'!$D$3:$K$400), "")</f>
        <v/>
      </c>
      <c r="Q191" s="193">
        <f>IF(SUMPRODUCT((('Full month Pivot'!$B$3:$B$400=$A$183) + ('Full month Pivot'!$A$3:$A$400=$A$183) &gt; 0) * (TRIM('Full month Pivot'!$C$3:$C$400)=TRIM($A191)) * ('Full month Pivot'!$D$2:$K$2=Q$2) * 'Full month Pivot'!$D$3:$K$400)&gt;0, SUMPRODUCT((('Full month Pivot'!$B$3:$B$400=$A$183) + ('Full month Pivot'!$A$3:$A$400=$A$183) &gt; 0) * (TRIM('Full month Pivot'!$C$3:$C$400)=TRIM($A191)) * ('Full month Pivot'!$D$2:$K$2=Q$2) * 'Full month Pivot'!$D$3:$K$400), "")</f>
        <v/>
      </c>
      <c r="R191" s="193">
        <f>IF(SUMPRODUCT((('Full month Pivot'!$B$3:$B$400=$A$183) + ('Full month Pivot'!$A$3:$A$400=$A$183) &gt; 0) * (TRIM('Full month Pivot'!$C$3:$C$400)=TRIM($A191)) * ('Full month Pivot'!$D$2:$K$2=R$2) * 'Full month Pivot'!$D$3:$K$400)&gt;0, SUMPRODUCT((('Full month Pivot'!$B$3:$B$400=$A$183) + ('Full month Pivot'!$A$3:$A$400=$A$183) &gt; 0) * (TRIM('Full month Pivot'!$C$3:$C$400)=TRIM($A191)) * ('Full month Pivot'!$D$2:$K$2=R$2) * 'Full month Pivot'!$D$3:$K$400), "")</f>
        <v/>
      </c>
      <c r="S191" s="193">
        <f>IF(SUMPRODUCT((('Full month Pivot'!$B$3:$B$400=$A$183) + ('Full month Pivot'!$A$3:$A$400=$A$183) &gt; 0) * (TRIM('Full month Pivot'!$C$3:$C$400)=TRIM($A191)) * ('Full month Pivot'!$D$2:$K$2=S$2) * 'Full month Pivot'!$D$3:$K$400)&gt;0, SUMPRODUCT((('Full month Pivot'!$B$3:$B$400=$A$183) + ('Full month Pivot'!$A$3:$A$400=$A$183) &gt; 0) * (TRIM('Full month Pivot'!$C$3:$C$400)=TRIM($A191)) * ('Full month Pivot'!$D$2:$K$2=S$2) * 'Full month Pivot'!$D$3:$K$400), "")</f>
        <v/>
      </c>
      <c r="T191" s="193">
        <f>IF(SUMPRODUCT((('Full month Pivot'!$B$3:$B$400=$A$183) + ('Full month Pivot'!$A$3:$A$400=$A$183) &gt; 0) * (TRIM('Full month Pivot'!$C$3:$C$400)=TRIM($A191)) * ('Full month Pivot'!$D$2:$K$2=T$2) * 'Full month Pivot'!$D$3:$K$400)&gt;0, SUMPRODUCT((('Full month Pivot'!$B$3:$B$400=$A$183) + ('Full month Pivot'!$A$3:$A$400=$A$183) &gt; 0) * (TRIM('Full month Pivot'!$C$3:$C$400)=TRIM($A191)) * ('Full month Pivot'!$D$2:$K$2=T$2) * 'Full month Pivot'!$D$3:$K$400), "")</f>
        <v/>
      </c>
      <c r="U191" s="193">
        <f>IF(SUMPRODUCT((('Full month Pivot'!$B$3:$B$400=$A$183) + ('Full month Pivot'!$A$3:$A$400=$A$183) &gt; 0) * (TRIM('Full month Pivot'!$C$3:$C$400)=TRIM($A191)) * ('Full month Pivot'!$D$2:$K$2=U$2) * 'Full month Pivot'!$D$3:$K$400)&gt;0, SUMPRODUCT((('Full month Pivot'!$B$3:$B$400=$A$183) + ('Full month Pivot'!$A$3:$A$400=$A$183) &gt; 0) * (TRIM('Full month Pivot'!$C$3:$C$400)=TRIM($A191)) * ('Full month Pivot'!$D$2:$K$2=U$2) * 'Full month Pivot'!$D$3:$K$400), "")</f>
        <v/>
      </c>
      <c r="V191" s="193">
        <f>IF(SUMPRODUCT((('Full month Pivot'!$B$3:$B$400=$A$183) + ('Full month Pivot'!$A$3:$A$400=$A$183) &gt; 0) * (TRIM('Full month Pivot'!$C$3:$C$400)=TRIM($A191)) * ('Full month Pivot'!$D$2:$K$2=V$2) * 'Full month Pivot'!$D$3:$K$400)&gt;0, SUMPRODUCT((('Full month Pivot'!$B$3:$B$400=$A$183) + ('Full month Pivot'!$A$3:$A$400=$A$183) &gt; 0) * (TRIM('Full month Pivot'!$C$3:$C$400)=TRIM($A191)) * ('Full month Pivot'!$D$2:$K$2=V$2) * 'Full month Pivot'!$D$3:$K$400), "")</f>
        <v/>
      </c>
      <c r="W191" s="193">
        <f>IF(SUMPRODUCT((('Full month Pivot'!$B$3:$B$400=$A$183) + ('Full month Pivot'!$A$3:$A$400=$A$183) &gt; 0) * (TRIM('Full month Pivot'!$C$3:$C$400)=TRIM($A191)) * ('Full month Pivot'!$D$2:$K$2=W$2) * 'Full month Pivot'!$D$3:$K$400)&gt;0, SUMPRODUCT((('Full month Pivot'!$B$3:$B$400=$A$183) + ('Full month Pivot'!$A$3:$A$400=$A$183) &gt; 0) * (TRIM('Full month Pivot'!$C$3:$C$400)=TRIM($A191)) * ('Full month Pivot'!$D$2:$K$2=W$2) * 'Full month Pivot'!$D$3:$K$400), "")</f>
        <v/>
      </c>
      <c r="X191" s="193">
        <f>IF(SUMPRODUCT((('Full month Pivot'!$B$3:$B$400=$A$183) + ('Full month Pivot'!$A$3:$A$400=$A$183) &gt; 0) * (TRIM('Full month Pivot'!$C$3:$C$400)=TRIM($A191)) * ('Full month Pivot'!$D$2:$K$2=X$2) * 'Full month Pivot'!$D$3:$K$400)&gt;0, SUMPRODUCT((('Full month Pivot'!$B$3:$B$400=$A$183) + ('Full month Pivot'!$A$3:$A$400=$A$183) &gt; 0) * (TRIM('Full month Pivot'!$C$3:$C$400)=TRIM($A191)) * ('Full month Pivot'!$D$2:$K$2=X$2) * 'Full month Pivot'!$D$3:$K$400), "")</f>
        <v/>
      </c>
      <c r="Y191" s="193">
        <f>IF(SUMPRODUCT((('Full month Pivot'!$B$3:$B$400=$A$183) + ('Full month Pivot'!$A$3:$A$400=$A$183) &gt; 0) * (TRIM('Full month Pivot'!$C$3:$C$400)=TRIM($A191)) * ('Full month Pivot'!$D$2:$K$2=Y$2) * 'Full month Pivot'!$D$3:$K$400)&gt;0, SUMPRODUCT((('Full month Pivot'!$B$3:$B$400=$A$183) + ('Full month Pivot'!$A$3:$A$400=$A$183) &gt; 0) * (TRIM('Full month Pivot'!$C$3:$C$400)=TRIM($A191)) * ('Full month Pivot'!$D$2:$K$2=Y$2) * 'Full month Pivot'!$D$3:$K$400), "")</f>
        <v/>
      </c>
      <c r="Z191" s="193">
        <f>IF(SUMPRODUCT((('Full month Pivot'!$B$3:$B$400=$A$183) + ('Full month Pivot'!$A$3:$A$400=$A$183) &gt; 0) * (TRIM('Full month Pivot'!$C$3:$C$400)=TRIM($A191)) * ('Full month Pivot'!$D$2:$K$2=Z$2) * 'Full month Pivot'!$D$3:$K$400)&gt;0, SUMPRODUCT((('Full month Pivot'!$B$3:$B$400=$A$183) + ('Full month Pivot'!$A$3:$A$400=$A$183) &gt; 0) * (TRIM('Full month Pivot'!$C$3:$C$400)=TRIM($A191)) * ('Full month Pivot'!$D$2:$K$2=Z$2) * 'Full month Pivot'!$D$3:$K$400), "")</f>
        <v/>
      </c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202" t="inlineStr">
        <is>
          <t xml:space="preserve">  Referral</t>
        </is>
      </c>
      <c r="B192" s="193">
        <f>IF(SUMPRODUCT((('MTD Pivot'!$B$3:$B$400=$A$183) + ('MTD Pivot'!$A$3:$A$400=$A$183) &gt; 0) * (TRIM('MTD Pivot'!$C$3:$C$400)=TRIM($A192)) * ('MTD Pivot'!$D$2:$K$2=B$2) * 'MTD Pivot'!$D$3:$K$400)&gt;0, SUMPRODUCT((('MTD Pivot'!$B$3:$B$400=$A$183) + ('MTD Pivot'!$A$3:$A$400=$A$183) &gt; 0) * (TRIM('MTD Pivot'!$C$3:$C$400)=TRIM($A192)) * ('MTD Pivot'!$D$2:$K$2=B$2) * 'MTD Pivot'!$D$3:$K$400), "")</f>
        <v/>
      </c>
      <c r="C192" s="193">
        <f>IF(SUMPRODUCT((('MTD Pivot'!$B$3:$B$400=$A$183) + ('MTD Pivot'!$A$3:$A$400=$A$183) &gt; 0) * (TRIM('MTD Pivot'!$C$3:$C$400)=TRIM($A192)) * ('MTD Pivot'!$D$2:$K$2=C$2) * 'MTD Pivot'!$D$3:$K$400)&gt;0, SUMPRODUCT((('MTD Pivot'!$B$3:$B$400=$A$183) + ('MTD Pivot'!$A$3:$A$400=$A$183) &gt; 0) * (TRIM('MTD Pivot'!$C$3:$C$400)=TRIM($A192)) * ('MTD Pivot'!$D$2:$K$2=C$2) * 'MTD Pivot'!$D$3:$K$400), "")</f>
        <v/>
      </c>
      <c r="D192" s="193">
        <f>IF(SUMPRODUCT((('MTD Pivot'!$B$3:$B$400=$A$183) + ('MTD Pivot'!$A$3:$A$400=$A$183) &gt; 0) * (TRIM('MTD Pivot'!$C$3:$C$400)=TRIM($A192)) * ('MTD Pivot'!$D$2:$K$2=D$2) * 'MTD Pivot'!$D$3:$K$400)&gt;0, SUMPRODUCT((('MTD Pivot'!$B$3:$B$400=$A$183) + ('MTD Pivot'!$A$3:$A$400=$A$183) &gt; 0) * (TRIM('MTD Pivot'!$C$3:$C$400)=TRIM($A192)) * ('MTD Pivot'!$D$2:$K$2=D$2) * 'MTD Pivot'!$D$3:$K$400), "")</f>
        <v/>
      </c>
      <c r="E192" s="193">
        <f>IF(SUMPRODUCT((('MTD Pivot'!$B$3:$B$400=$A$183) + ('MTD Pivot'!$A$3:$A$400=$A$183) &gt; 0) * (TRIM('MTD Pivot'!$C$3:$C$400)=TRIM($A192)) * ('MTD Pivot'!$D$2:$K$2=E$2) * 'MTD Pivot'!$D$3:$K$400)&gt;0, SUMPRODUCT((('MTD Pivot'!$B$3:$B$400=$A$183) + ('MTD Pivot'!$A$3:$A$400=$A$183) &gt; 0) * (TRIM('MTD Pivot'!$C$3:$C$400)=TRIM($A192)) * ('MTD Pivot'!$D$2:$K$2=E$2) * 'MTD Pivot'!$D$3:$K$400), "")</f>
        <v/>
      </c>
      <c r="F192" s="193">
        <f>IF(SUMPRODUCT((('MTD Pivot'!$B$3:$B$400=$A$183) + ('MTD Pivot'!$A$3:$A$400=$A$183) &gt; 0) * (TRIM('MTD Pivot'!$C$3:$C$400)=TRIM($A192)) * ('MTD Pivot'!$D$2:$K$2=F$2) * 'MTD Pivot'!$D$3:$K$400)&gt;0, SUMPRODUCT((('MTD Pivot'!$B$3:$B$400=$A$183) + ('MTD Pivot'!$A$3:$A$400=$A$183) &gt; 0) * (TRIM('MTD Pivot'!$C$3:$C$400)=TRIM($A192)) * ('MTD Pivot'!$D$2:$K$2=F$2) * 'MTD Pivot'!$D$3:$K$400), "")</f>
        <v/>
      </c>
      <c r="G192" s="193">
        <f>IF(SUMPRODUCT((('MTD Pivot'!$B$3:$B$400=$A$183) + ('MTD Pivot'!$A$3:$A$400=$A$183) &gt; 0) * (TRIM('MTD Pivot'!$C$3:$C$400)=TRIM($A192)) * ('MTD Pivot'!$D$2:$K$2=G$2) * 'MTD Pivot'!$D$3:$K$400)&gt;0, SUMPRODUCT((('MTD Pivot'!$B$3:$B$400=$A$183) + ('MTD Pivot'!$A$3:$A$400=$A$183) &gt; 0) * (TRIM('MTD Pivot'!$C$3:$C$400)=TRIM($A192)) * ('MTD Pivot'!$D$2:$K$2=G$2) * 'MTD Pivot'!$D$3:$K$400), "")</f>
        <v/>
      </c>
      <c r="H192" s="193">
        <f>IF(SUMPRODUCT((('MTD Pivot'!$B$3:$B$400=$A$183) + ('MTD Pivot'!$A$3:$A$400=$A$183) &gt; 0) * (TRIM('MTD Pivot'!$C$3:$C$400)=TRIM($A192)) * ('MTD Pivot'!$D$2:$K$2=H$2) * 'MTD Pivot'!$D$3:$K$400)&gt;0, SUMPRODUCT((('MTD Pivot'!$B$3:$B$400=$A$183) + ('MTD Pivot'!$A$3:$A$400=$A$183) &gt; 0) * (TRIM('MTD Pivot'!$C$3:$C$400)=TRIM($A192)) * ('MTD Pivot'!$D$2:$K$2=H$2) * 'MTD Pivot'!$D$3:$K$400), "")</f>
        <v/>
      </c>
      <c r="I192" s="193">
        <f>IF(SUMPRODUCT((('MTD Pivot'!$B$3:$B$400=$A$183) + ('MTD Pivot'!$A$3:$A$400=$A$183) &gt; 0) * (TRIM('MTD Pivot'!$C$3:$C$400)=TRIM($A192)) * ('MTD Pivot'!$D$2:$K$2=I$2) * 'MTD Pivot'!$D$3:$K$400)&gt;0, SUMPRODUCT((('MTD Pivot'!$B$3:$B$400=$A$183) + ('MTD Pivot'!$A$3:$A$400=$A$183) &gt; 0) * (TRIM('MTD Pivot'!$C$3:$C$400)=TRIM($A192)) * ('MTD Pivot'!$D$2:$K$2=I$2) * 'MTD Pivot'!$D$3:$K$400), "")</f>
        <v/>
      </c>
      <c r="J192" s="193">
        <f>IF(SUMPRODUCT((('MTD Pivot'!$B$3:$B$400=$A$183) + ('MTD Pivot'!$A$3:$A$400=$A$183) &gt; 0) * (TRIM('MTD Pivot'!$C$3:$C$400)=TRIM($A192)) * ('MTD Pivot'!$D$2:$K$2=J$2) * 'MTD Pivot'!$D$3:$K$400)&gt;0, SUMPRODUCT((('MTD Pivot'!$B$3:$B$400=$A$183) + ('MTD Pivot'!$A$3:$A$400=$A$183) &gt; 0) * (TRIM('MTD Pivot'!$C$3:$C$400)=TRIM($A192)) * ('MTD Pivot'!$D$2:$K$2=J$2) * 'MTD Pivot'!$D$3:$K$400), "")</f>
        <v/>
      </c>
      <c r="K192" s="193">
        <f>IF(SUMPRODUCT((('MTD Pivot'!$B$3:$B$400=$A$183) + ('MTD Pivot'!$A$3:$A$400=$A$183) &gt; 0) * (TRIM('MTD Pivot'!$C$3:$C$400)=TRIM($A192)) * ('MTD Pivot'!$D$2:$K$2=K$2) * 'MTD Pivot'!$D$3:$K$400)&gt;0, SUMPRODUCT((('MTD Pivot'!$B$3:$B$400=$A$183) + ('MTD Pivot'!$A$3:$A$400=$A$183) &gt; 0) * (TRIM('MTD Pivot'!$C$3:$C$400)=TRIM($A192)) * ('MTD Pivot'!$D$2:$K$2=K$2) * 'MTD Pivot'!$D$3:$K$400), "")</f>
        <v/>
      </c>
      <c r="L192" s="193">
        <f>IF(SUMPRODUCT((('MTD Pivot'!$B$3:$B$400=$A$183) + ('MTD Pivot'!$A$3:$A$400=$A$183) &gt; 0) * (TRIM('MTD Pivot'!$C$3:$C$400)=TRIM($A192)) * ('MTD Pivot'!$D$2:$K$2=L$2) * 'MTD Pivot'!$D$3:$K$400)&gt;0, SUMPRODUCT((('MTD Pivot'!$B$3:$B$400=$A$183) + ('MTD Pivot'!$A$3:$A$400=$A$183) &gt; 0) * (TRIM('MTD Pivot'!$C$3:$C$400)=TRIM($A192)) * ('MTD Pivot'!$D$2:$K$2=L$2) * 'MTD Pivot'!$D$3:$K$400), "")</f>
        <v/>
      </c>
      <c r="M192" s="193">
        <f>IF(SUMPRODUCT((('MTD Pivot'!$B$3:$B$400=$A$183) + ('MTD Pivot'!$A$3:$A$400=$A$183) &gt; 0) * (TRIM('MTD Pivot'!$C$3:$C$400)=TRIM($A192)) * ('MTD Pivot'!$D$2:$K$2=M$2) * 'MTD Pivot'!$D$3:$K$400)&gt;0, SUMPRODUCT((('MTD Pivot'!$B$3:$B$400=$A$183) + ('MTD Pivot'!$A$3:$A$400=$A$183) &gt; 0) * (TRIM('MTD Pivot'!$C$3:$C$400)=TRIM($A192)) * ('MTD Pivot'!$D$2:$K$2=M$2) * 'MTD Pivot'!$D$3:$K$400), "")</f>
        <v/>
      </c>
      <c r="N192" s="157">
        <f>IF(AND(ISNUMBER(K192), ISNUMBER(J192), J192&gt;0), (K192-J192)/J192, "")</f>
        <v/>
      </c>
      <c r="O192" s="193">
        <f>IF(SUMPRODUCT((('Full month Pivot'!$B$3:$B$400=$A$183) + ('Full month Pivot'!$A$3:$A$400=$A$183) &gt; 0) * (TRIM('Full month Pivot'!$C$3:$C$400)=TRIM($A192)) * ('Full month Pivot'!$D$2:$K$2=O$2) * 'Full month Pivot'!$D$3:$K$400)&gt;0, SUMPRODUCT((('Full month Pivot'!$B$3:$B$400=$A$183) + ('Full month Pivot'!$A$3:$A$400=$A$183) &gt; 0) * (TRIM('Full month Pivot'!$C$3:$C$400)=TRIM($A192)) * ('Full month Pivot'!$D$2:$K$2=O$2) * 'Full month Pivot'!$D$3:$K$400), "")</f>
        <v/>
      </c>
      <c r="P192" s="193">
        <f>IF(SUMPRODUCT((('Full month Pivot'!$B$3:$B$400=$A$183) + ('Full month Pivot'!$A$3:$A$400=$A$183) &gt; 0) * (TRIM('Full month Pivot'!$C$3:$C$400)=TRIM($A192)) * ('Full month Pivot'!$D$2:$K$2=P$2) * 'Full month Pivot'!$D$3:$K$400)&gt;0, SUMPRODUCT((('Full month Pivot'!$B$3:$B$400=$A$183) + ('Full month Pivot'!$A$3:$A$400=$A$183) &gt; 0) * (TRIM('Full month Pivot'!$C$3:$C$400)=TRIM($A192)) * ('Full month Pivot'!$D$2:$K$2=P$2) * 'Full month Pivot'!$D$3:$K$400), "")</f>
        <v/>
      </c>
      <c r="Q192" s="193">
        <f>IF(SUMPRODUCT((('Full month Pivot'!$B$3:$B$400=$A$183) + ('Full month Pivot'!$A$3:$A$400=$A$183) &gt; 0) * (TRIM('Full month Pivot'!$C$3:$C$400)=TRIM($A192)) * ('Full month Pivot'!$D$2:$K$2=Q$2) * 'Full month Pivot'!$D$3:$K$400)&gt;0, SUMPRODUCT((('Full month Pivot'!$B$3:$B$400=$A$183) + ('Full month Pivot'!$A$3:$A$400=$A$183) &gt; 0) * (TRIM('Full month Pivot'!$C$3:$C$400)=TRIM($A192)) * ('Full month Pivot'!$D$2:$K$2=Q$2) * 'Full month Pivot'!$D$3:$K$400), "")</f>
        <v/>
      </c>
      <c r="R192" s="193">
        <f>IF(SUMPRODUCT((('Full month Pivot'!$B$3:$B$400=$A$183) + ('Full month Pivot'!$A$3:$A$400=$A$183) &gt; 0) * (TRIM('Full month Pivot'!$C$3:$C$400)=TRIM($A192)) * ('Full month Pivot'!$D$2:$K$2=R$2) * 'Full month Pivot'!$D$3:$K$400)&gt;0, SUMPRODUCT((('Full month Pivot'!$B$3:$B$400=$A$183) + ('Full month Pivot'!$A$3:$A$400=$A$183) &gt; 0) * (TRIM('Full month Pivot'!$C$3:$C$400)=TRIM($A192)) * ('Full month Pivot'!$D$2:$K$2=R$2) * 'Full month Pivot'!$D$3:$K$400), "")</f>
        <v/>
      </c>
      <c r="S192" s="193">
        <f>IF(SUMPRODUCT((('Full month Pivot'!$B$3:$B$400=$A$183) + ('Full month Pivot'!$A$3:$A$400=$A$183) &gt; 0) * (TRIM('Full month Pivot'!$C$3:$C$400)=TRIM($A192)) * ('Full month Pivot'!$D$2:$K$2=S$2) * 'Full month Pivot'!$D$3:$K$400)&gt;0, SUMPRODUCT((('Full month Pivot'!$B$3:$B$400=$A$183) + ('Full month Pivot'!$A$3:$A$400=$A$183) &gt; 0) * (TRIM('Full month Pivot'!$C$3:$C$400)=TRIM($A192)) * ('Full month Pivot'!$D$2:$K$2=S$2) * 'Full month Pivot'!$D$3:$K$400), "")</f>
        <v/>
      </c>
      <c r="T192" s="193">
        <f>IF(SUMPRODUCT((('Full month Pivot'!$B$3:$B$400=$A$183) + ('Full month Pivot'!$A$3:$A$400=$A$183) &gt; 0) * (TRIM('Full month Pivot'!$C$3:$C$400)=TRIM($A192)) * ('Full month Pivot'!$D$2:$K$2=T$2) * 'Full month Pivot'!$D$3:$K$400)&gt;0, SUMPRODUCT((('Full month Pivot'!$B$3:$B$400=$A$183) + ('Full month Pivot'!$A$3:$A$400=$A$183) &gt; 0) * (TRIM('Full month Pivot'!$C$3:$C$400)=TRIM($A192)) * ('Full month Pivot'!$D$2:$K$2=T$2) * 'Full month Pivot'!$D$3:$K$400), "")</f>
        <v/>
      </c>
      <c r="U192" s="193">
        <f>IF(SUMPRODUCT((('Full month Pivot'!$B$3:$B$400=$A$183) + ('Full month Pivot'!$A$3:$A$400=$A$183) &gt; 0) * (TRIM('Full month Pivot'!$C$3:$C$400)=TRIM($A192)) * ('Full month Pivot'!$D$2:$K$2=U$2) * 'Full month Pivot'!$D$3:$K$400)&gt;0, SUMPRODUCT((('Full month Pivot'!$B$3:$B$400=$A$183) + ('Full month Pivot'!$A$3:$A$400=$A$183) &gt; 0) * (TRIM('Full month Pivot'!$C$3:$C$400)=TRIM($A192)) * ('Full month Pivot'!$D$2:$K$2=U$2) * 'Full month Pivot'!$D$3:$K$400), "")</f>
        <v/>
      </c>
      <c r="V192" s="193">
        <f>IF(SUMPRODUCT((('Full month Pivot'!$B$3:$B$400=$A$183) + ('Full month Pivot'!$A$3:$A$400=$A$183) &gt; 0) * (TRIM('Full month Pivot'!$C$3:$C$400)=TRIM($A192)) * ('Full month Pivot'!$D$2:$K$2=V$2) * 'Full month Pivot'!$D$3:$K$400)&gt;0, SUMPRODUCT((('Full month Pivot'!$B$3:$B$400=$A$183) + ('Full month Pivot'!$A$3:$A$400=$A$183) &gt; 0) * (TRIM('Full month Pivot'!$C$3:$C$400)=TRIM($A192)) * ('Full month Pivot'!$D$2:$K$2=V$2) * 'Full month Pivot'!$D$3:$K$400), "")</f>
        <v/>
      </c>
      <c r="W192" s="193">
        <f>IF(SUMPRODUCT((('Full month Pivot'!$B$3:$B$400=$A$183) + ('Full month Pivot'!$A$3:$A$400=$A$183) &gt; 0) * (TRIM('Full month Pivot'!$C$3:$C$400)=TRIM($A192)) * ('Full month Pivot'!$D$2:$K$2=W$2) * 'Full month Pivot'!$D$3:$K$400)&gt;0, SUMPRODUCT((('Full month Pivot'!$B$3:$B$400=$A$183) + ('Full month Pivot'!$A$3:$A$400=$A$183) &gt; 0) * (TRIM('Full month Pivot'!$C$3:$C$400)=TRIM($A192)) * ('Full month Pivot'!$D$2:$K$2=W$2) * 'Full month Pivot'!$D$3:$K$400), "")</f>
        <v/>
      </c>
      <c r="X192" s="193">
        <f>IF(SUMPRODUCT((('Full month Pivot'!$B$3:$B$400=$A$183) + ('Full month Pivot'!$A$3:$A$400=$A$183) &gt; 0) * (TRIM('Full month Pivot'!$C$3:$C$400)=TRIM($A192)) * ('Full month Pivot'!$D$2:$K$2=X$2) * 'Full month Pivot'!$D$3:$K$400)&gt;0, SUMPRODUCT((('Full month Pivot'!$B$3:$B$400=$A$183) + ('Full month Pivot'!$A$3:$A$400=$A$183) &gt; 0) * (TRIM('Full month Pivot'!$C$3:$C$400)=TRIM($A192)) * ('Full month Pivot'!$D$2:$K$2=X$2) * 'Full month Pivot'!$D$3:$K$400), "")</f>
        <v/>
      </c>
      <c r="Y192" s="193">
        <f>IF(SUMPRODUCT((('Full month Pivot'!$B$3:$B$400=$A$183) + ('Full month Pivot'!$A$3:$A$400=$A$183) &gt; 0) * (TRIM('Full month Pivot'!$C$3:$C$400)=TRIM($A192)) * ('Full month Pivot'!$D$2:$K$2=Y$2) * 'Full month Pivot'!$D$3:$K$400)&gt;0, SUMPRODUCT((('Full month Pivot'!$B$3:$B$400=$A$183) + ('Full month Pivot'!$A$3:$A$400=$A$183) &gt; 0) * (TRIM('Full month Pivot'!$C$3:$C$400)=TRIM($A192)) * ('Full month Pivot'!$D$2:$K$2=Y$2) * 'Full month Pivot'!$D$3:$K$400), "")</f>
        <v/>
      </c>
      <c r="Z192" s="193">
        <f>IF(SUMPRODUCT((('Full month Pivot'!$B$3:$B$400=$A$183) + ('Full month Pivot'!$A$3:$A$400=$A$183) &gt; 0) * (TRIM('Full month Pivot'!$C$3:$C$400)=TRIM($A192)) * ('Full month Pivot'!$D$2:$K$2=Z$2) * 'Full month Pivot'!$D$3:$K$400)&gt;0, SUMPRODUCT((('Full month Pivot'!$B$3:$B$400=$A$183) + ('Full month Pivot'!$A$3:$A$400=$A$183) &gt; 0) * (TRIM('Full month Pivot'!$C$3:$C$400)=TRIM($A192)) * ('Full month Pivot'!$D$2:$K$2=Z$2) * 'Full month Pivot'!$D$3:$K$400), "")</f>
        <v/>
      </c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202" t="inlineStr">
        <is>
          <t xml:space="preserve">  Others</t>
        </is>
      </c>
      <c r="B193" s="193">
        <f>IF(SUMPRODUCT((('MTD Pivot'!$B$3:$B$400=$A$183) + ('MTD Pivot'!$A$3:$A$400=$A$183) &gt; 0) * (TRIM('MTD Pivot'!$C$3:$C$400)=TRIM($A193)) * ('MTD Pivot'!$D$2:$K$2=B$2) * 'MTD Pivot'!$D$3:$K$400)&gt;0, SUMPRODUCT((('MTD Pivot'!$B$3:$B$400=$A$183) + ('MTD Pivot'!$A$3:$A$400=$A$183) &gt; 0) * (TRIM('MTD Pivot'!$C$3:$C$400)=TRIM($A193)) * ('MTD Pivot'!$D$2:$K$2=B$2) * 'MTD Pivot'!$D$3:$K$400), "")</f>
        <v/>
      </c>
      <c r="C193" s="193">
        <f>IF(SUMPRODUCT((('MTD Pivot'!$B$3:$B$400=$A$183) + ('MTD Pivot'!$A$3:$A$400=$A$183) &gt; 0) * (TRIM('MTD Pivot'!$C$3:$C$400)=TRIM($A193)) * ('MTD Pivot'!$D$2:$K$2=C$2) * 'MTD Pivot'!$D$3:$K$400)&gt;0, SUMPRODUCT((('MTD Pivot'!$B$3:$B$400=$A$183) + ('MTD Pivot'!$A$3:$A$400=$A$183) &gt; 0) * (TRIM('MTD Pivot'!$C$3:$C$400)=TRIM($A193)) * ('MTD Pivot'!$D$2:$K$2=C$2) * 'MTD Pivot'!$D$3:$K$400), "")</f>
        <v/>
      </c>
      <c r="D193" s="193">
        <f>IF(SUMPRODUCT((('MTD Pivot'!$B$3:$B$400=$A$183) + ('MTD Pivot'!$A$3:$A$400=$A$183) &gt; 0) * (TRIM('MTD Pivot'!$C$3:$C$400)=TRIM($A193)) * ('MTD Pivot'!$D$2:$K$2=D$2) * 'MTD Pivot'!$D$3:$K$400)&gt;0, SUMPRODUCT((('MTD Pivot'!$B$3:$B$400=$A$183) + ('MTD Pivot'!$A$3:$A$400=$A$183) &gt; 0) * (TRIM('MTD Pivot'!$C$3:$C$400)=TRIM($A193)) * ('MTD Pivot'!$D$2:$K$2=D$2) * 'MTD Pivot'!$D$3:$K$400), "")</f>
        <v/>
      </c>
      <c r="E193" s="193">
        <f>IF(SUMPRODUCT((('MTD Pivot'!$B$3:$B$400=$A$183) + ('MTD Pivot'!$A$3:$A$400=$A$183) &gt; 0) * (TRIM('MTD Pivot'!$C$3:$C$400)=TRIM($A193)) * ('MTD Pivot'!$D$2:$K$2=E$2) * 'MTD Pivot'!$D$3:$K$400)&gt;0, SUMPRODUCT((('MTD Pivot'!$B$3:$B$400=$A$183) + ('MTD Pivot'!$A$3:$A$400=$A$183) &gt; 0) * (TRIM('MTD Pivot'!$C$3:$C$400)=TRIM($A193)) * ('MTD Pivot'!$D$2:$K$2=E$2) * 'MTD Pivot'!$D$3:$K$400), "")</f>
        <v/>
      </c>
      <c r="F193" s="193">
        <f>IF(SUMPRODUCT((('MTD Pivot'!$B$3:$B$400=$A$183) + ('MTD Pivot'!$A$3:$A$400=$A$183) &gt; 0) * (TRIM('MTD Pivot'!$C$3:$C$400)=TRIM($A193)) * ('MTD Pivot'!$D$2:$K$2=F$2) * 'MTD Pivot'!$D$3:$K$400)&gt;0, SUMPRODUCT((('MTD Pivot'!$B$3:$B$400=$A$183) + ('MTD Pivot'!$A$3:$A$400=$A$183) &gt; 0) * (TRIM('MTD Pivot'!$C$3:$C$400)=TRIM($A193)) * ('MTD Pivot'!$D$2:$K$2=F$2) * 'MTD Pivot'!$D$3:$K$400), "")</f>
        <v/>
      </c>
      <c r="G193" s="193">
        <f>IF(SUMPRODUCT((('MTD Pivot'!$B$3:$B$400=$A$183) + ('MTD Pivot'!$A$3:$A$400=$A$183) &gt; 0) * (TRIM('MTD Pivot'!$C$3:$C$400)=TRIM($A193)) * ('MTD Pivot'!$D$2:$K$2=G$2) * 'MTD Pivot'!$D$3:$K$400)&gt;0, SUMPRODUCT((('MTD Pivot'!$B$3:$B$400=$A$183) + ('MTD Pivot'!$A$3:$A$400=$A$183) &gt; 0) * (TRIM('MTD Pivot'!$C$3:$C$400)=TRIM($A193)) * ('MTD Pivot'!$D$2:$K$2=G$2) * 'MTD Pivot'!$D$3:$K$400), "")</f>
        <v/>
      </c>
      <c r="H193" s="193">
        <f>IF(SUMPRODUCT((('MTD Pivot'!$B$3:$B$400=$A$183) + ('MTD Pivot'!$A$3:$A$400=$A$183) &gt; 0) * (TRIM('MTD Pivot'!$C$3:$C$400)=TRIM($A193)) * ('MTD Pivot'!$D$2:$K$2=H$2) * 'MTD Pivot'!$D$3:$K$400)&gt;0, SUMPRODUCT((('MTD Pivot'!$B$3:$B$400=$A$183) + ('MTD Pivot'!$A$3:$A$400=$A$183) &gt; 0) * (TRIM('MTD Pivot'!$C$3:$C$400)=TRIM($A193)) * ('MTD Pivot'!$D$2:$K$2=H$2) * 'MTD Pivot'!$D$3:$K$400), "")</f>
        <v/>
      </c>
      <c r="I193" s="193">
        <f>IF(SUMPRODUCT((('MTD Pivot'!$B$3:$B$400=$A$183) + ('MTD Pivot'!$A$3:$A$400=$A$183) &gt; 0) * (TRIM('MTD Pivot'!$C$3:$C$400)=TRIM($A193)) * ('MTD Pivot'!$D$2:$K$2=I$2) * 'MTD Pivot'!$D$3:$K$400)&gt;0, SUMPRODUCT((('MTD Pivot'!$B$3:$B$400=$A$183) + ('MTD Pivot'!$A$3:$A$400=$A$183) &gt; 0) * (TRIM('MTD Pivot'!$C$3:$C$400)=TRIM($A193)) * ('MTD Pivot'!$D$2:$K$2=I$2) * 'MTD Pivot'!$D$3:$K$400), "")</f>
        <v/>
      </c>
      <c r="J193" s="193">
        <f>IF(SUMPRODUCT((('MTD Pivot'!$B$3:$B$400=$A$183) + ('MTD Pivot'!$A$3:$A$400=$A$183) &gt; 0) * (TRIM('MTD Pivot'!$C$3:$C$400)=TRIM($A193)) * ('MTD Pivot'!$D$2:$K$2=J$2) * 'MTD Pivot'!$D$3:$K$400)&gt;0, SUMPRODUCT((('MTD Pivot'!$B$3:$B$400=$A$183) + ('MTD Pivot'!$A$3:$A$400=$A$183) &gt; 0) * (TRIM('MTD Pivot'!$C$3:$C$400)=TRIM($A193)) * ('MTD Pivot'!$D$2:$K$2=J$2) * 'MTD Pivot'!$D$3:$K$400), "")</f>
        <v/>
      </c>
      <c r="K193" s="193">
        <f>IF(SUMPRODUCT((('MTD Pivot'!$B$3:$B$400=$A$183) + ('MTD Pivot'!$A$3:$A$400=$A$183) &gt; 0) * (TRIM('MTD Pivot'!$C$3:$C$400)=TRIM($A193)) * ('MTD Pivot'!$D$2:$K$2=K$2) * 'MTD Pivot'!$D$3:$K$400)&gt;0, SUMPRODUCT((('MTD Pivot'!$B$3:$B$400=$A$183) + ('MTD Pivot'!$A$3:$A$400=$A$183) &gt; 0) * (TRIM('MTD Pivot'!$C$3:$C$400)=TRIM($A193)) * ('MTD Pivot'!$D$2:$K$2=K$2) * 'MTD Pivot'!$D$3:$K$400), "")</f>
        <v/>
      </c>
      <c r="L193" s="193">
        <f>IF(SUMPRODUCT((('MTD Pivot'!$B$3:$B$400=$A$183) + ('MTD Pivot'!$A$3:$A$400=$A$183) &gt; 0) * (TRIM('MTD Pivot'!$C$3:$C$400)=TRIM($A193)) * ('MTD Pivot'!$D$2:$K$2=L$2) * 'MTD Pivot'!$D$3:$K$400)&gt;0, SUMPRODUCT((('MTD Pivot'!$B$3:$B$400=$A$183) + ('MTD Pivot'!$A$3:$A$400=$A$183) &gt; 0) * (TRIM('MTD Pivot'!$C$3:$C$400)=TRIM($A193)) * ('MTD Pivot'!$D$2:$K$2=L$2) * 'MTD Pivot'!$D$3:$K$400), "")</f>
        <v/>
      </c>
      <c r="M193" s="193">
        <f>IF(SUMPRODUCT((('MTD Pivot'!$B$3:$B$400=$A$183) + ('MTD Pivot'!$A$3:$A$400=$A$183) &gt; 0) * (TRIM('MTD Pivot'!$C$3:$C$400)=TRIM($A193)) * ('MTD Pivot'!$D$2:$K$2=M$2) * 'MTD Pivot'!$D$3:$K$400)&gt;0, SUMPRODUCT((('MTD Pivot'!$B$3:$B$400=$A$183) + ('MTD Pivot'!$A$3:$A$400=$A$183) &gt; 0) * (TRIM('MTD Pivot'!$C$3:$C$400)=TRIM($A193)) * ('MTD Pivot'!$D$2:$K$2=M$2) * 'MTD Pivot'!$D$3:$K$400), "")</f>
        <v/>
      </c>
      <c r="N193" s="157">
        <f>IF(AND(ISNUMBER(K193), ISNUMBER(J193), J193&gt;0), (K193-J193)/J193, "")</f>
        <v/>
      </c>
      <c r="O193" s="193">
        <f>IF(SUMPRODUCT((('Full month Pivot'!$B$3:$B$400=$A$183) + ('Full month Pivot'!$A$3:$A$400=$A$183) &gt; 0) * (TRIM('Full month Pivot'!$C$3:$C$400)=TRIM($A193)) * ('Full month Pivot'!$D$2:$K$2=O$2) * 'Full month Pivot'!$D$3:$K$400)&gt;0, SUMPRODUCT((('Full month Pivot'!$B$3:$B$400=$A$183) + ('Full month Pivot'!$A$3:$A$400=$A$183) &gt; 0) * (TRIM('Full month Pivot'!$C$3:$C$400)=TRIM($A193)) * ('Full month Pivot'!$D$2:$K$2=O$2) * 'Full month Pivot'!$D$3:$K$400), "")</f>
        <v/>
      </c>
      <c r="P193" s="193">
        <f>IF(SUMPRODUCT((('Full month Pivot'!$B$3:$B$400=$A$183) + ('Full month Pivot'!$A$3:$A$400=$A$183) &gt; 0) * (TRIM('Full month Pivot'!$C$3:$C$400)=TRIM($A193)) * ('Full month Pivot'!$D$2:$K$2=P$2) * 'Full month Pivot'!$D$3:$K$400)&gt;0, SUMPRODUCT((('Full month Pivot'!$B$3:$B$400=$A$183) + ('Full month Pivot'!$A$3:$A$400=$A$183) &gt; 0) * (TRIM('Full month Pivot'!$C$3:$C$400)=TRIM($A193)) * ('Full month Pivot'!$D$2:$K$2=P$2) * 'Full month Pivot'!$D$3:$K$400), "")</f>
        <v/>
      </c>
      <c r="Q193" s="193">
        <f>IF(SUMPRODUCT((('Full month Pivot'!$B$3:$B$400=$A$183) + ('Full month Pivot'!$A$3:$A$400=$A$183) &gt; 0) * (TRIM('Full month Pivot'!$C$3:$C$400)=TRIM($A193)) * ('Full month Pivot'!$D$2:$K$2=Q$2) * 'Full month Pivot'!$D$3:$K$400)&gt;0, SUMPRODUCT((('Full month Pivot'!$B$3:$B$400=$A$183) + ('Full month Pivot'!$A$3:$A$400=$A$183) &gt; 0) * (TRIM('Full month Pivot'!$C$3:$C$400)=TRIM($A193)) * ('Full month Pivot'!$D$2:$K$2=Q$2) * 'Full month Pivot'!$D$3:$K$400), "")</f>
        <v/>
      </c>
      <c r="R193" s="193">
        <f>IF(SUMPRODUCT((('Full month Pivot'!$B$3:$B$400=$A$183) + ('Full month Pivot'!$A$3:$A$400=$A$183) &gt; 0) * (TRIM('Full month Pivot'!$C$3:$C$400)=TRIM($A193)) * ('Full month Pivot'!$D$2:$K$2=R$2) * 'Full month Pivot'!$D$3:$K$400)&gt;0, SUMPRODUCT((('Full month Pivot'!$B$3:$B$400=$A$183) + ('Full month Pivot'!$A$3:$A$400=$A$183) &gt; 0) * (TRIM('Full month Pivot'!$C$3:$C$400)=TRIM($A193)) * ('Full month Pivot'!$D$2:$K$2=R$2) * 'Full month Pivot'!$D$3:$K$400), "")</f>
        <v/>
      </c>
      <c r="S193" s="193">
        <f>IF(SUMPRODUCT((('Full month Pivot'!$B$3:$B$400=$A$183) + ('Full month Pivot'!$A$3:$A$400=$A$183) &gt; 0) * (TRIM('Full month Pivot'!$C$3:$C$400)=TRIM($A193)) * ('Full month Pivot'!$D$2:$K$2=S$2) * 'Full month Pivot'!$D$3:$K$400)&gt;0, SUMPRODUCT((('Full month Pivot'!$B$3:$B$400=$A$183) + ('Full month Pivot'!$A$3:$A$400=$A$183) &gt; 0) * (TRIM('Full month Pivot'!$C$3:$C$400)=TRIM($A193)) * ('Full month Pivot'!$D$2:$K$2=S$2) * 'Full month Pivot'!$D$3:$K$400), "")</f>
        <v/>
      </c>
      <c r="T193" s="193">
        <f>IF(SUMPRODUCT((('Full month Pivot'!$B$3:$B$400=$A$183) + ('Full month Pivot'!$A$3:$A$400=$A$183) &gt; 0) * (TRIM('Full month Pivot'!$C$3:$C$400)=TRIM($A193)) * ('Full month Pivot'!$D$2:$K$2=T$2) * 'Full month Pivot'!$D$3:$K$400)&gt;0, SUMPRODUCT((('Full month Pivot'!$B$3:$B$400=$A$183) + ('Full month Pivot'!$A$3:$A$400=$A$183) &gt; 0) * (TRIM('Full month Pivot'!$C$3:$C$400)=TRIM($A193)) * ('Full month Pivot'!$D$2:$K$2=T$2) * 'Full month Pivot'!$D$3:$K$400), "")</f>
        <v/>
      </c>
      <c r="U193" s="193">
        <f>IF(SUMPRODUCT((('Full month Pivot'!$B$3:$B$400=$A$183) + ('Full month Pivot'!$A$3:$A$400=$A$183) &gt; 0) * (TRIM('Full month Pivot'!$C$3:$C$400)=TRIM($A193)) * ('Full month Pivot'!$D$2:$K$2=U$2) * 'Full month Pivot'!$D$3:$K$400)&gt;0, SUMPRODUCT((('Full month Pivot'!$B$3:$B$400=$A$183) + ('Full month Pivot'!$A$3:$A$400=$A$183) &gt; 0) * (TRIM('Full month Pivot'!$C$3:$C$400)=TRIM($A193)) * ('Full month Pivot'!$D$2:$K$2=U$2) * 'Full month Pivot'!$D$3:$K$400), "")</f>
        <v/>
      </c>
      <c r="V193" s="193">
        <f>IF(SUMPRODUCT((('Full month Pivot'!$B$3:$B$400=$A$183) + ('Full month Pivot'!$A$3:$A$400=$A$183) &gt; 0) * (TRIM('Full month Pivot'!$C$3:$C$400)=TRIM($A193)) * ('Full month Pivot'!$D$2:$K$2=V$2) * 'Full month Pivot'!$D$3:$K$400)&gt;0, SUMPRODUCT((('Full month Pivot'!$B$3:$B$400=$A$183) + ('Full month Pivot'!$A$3:$A$400=$A$183) &gt; 0) * (TRIM('Full month Pivot'!$C$3:$C$400)=TRIM($A193)) * ('Full month Pivot'!$D$2:$K$2=V$2) * 'Full month Pivot'!$D$3:$K$400), "")</f>
        <v/>
      </c>
      <c r="W193" s="193">
        <f>IF(SUMPRODUCT((('Full month Pivot'!$B$3:$B$400=$A$183) + ('Full month Pivot'!$A$3:$A$400=$A$183) &gt; 0) * (TRIM('Full month Pivot'!$C$3:$C$400)=TRIM($A193)) * ('Full month Pivot'!$D$2:$K$2=W$2) * 'Full month Pivot'!$D$3:$K$400)&gt;0, SUMPRODUCT((('Full month Pivot'!$B$3:$B$400=$A$183) + ('Full month Pivot'!$A$3:$A$400=$A$183) &gt; 0) * (TRIM('Full month Pivot'!$C$3:$C$400)=TRIM($A193)) * ('Full month Pivot'!$D$2:$K$2=W$2) * 'Full month Pivot'!$D$3:$K$400), "")</f>
        <v/>
      </c>
      <c r="X193" s="193">
        <f>IF(SUMPRODUCT((('Full month Pivot'!$B$3:$B$400=$A$183) + ('Full month Pivot'!$A$3:$A$400=$A$183) &gt; 0) * (TRIM('Full month Pivot'!$C$3:$C$400)=TRIM($A193)) * ('Full month Pivot'!$D$2:$K$2=X$2) * 'Full month Pivot'!$D$3:$K$400)&gt;0, SUMPRODUCT((('Full month Pivot'!$B$3:$B$400=$A$183) + ('Full month Pivot'!$A$3:$A$400=$A$183) &gt; 0) * (TRIM('Full month Pivot'!$C$3:$C$400)=TRIM($A193)) * ('Full month Pivot'!$D$2:$K$2=X$2) * 'Full month Pivot'!$D$3:$K$400), "")</f>
        <v/>
      </c>
      <c r="Y193" s="193">
        <f>IF(SUMPRODUCT((('Full month Pivot'!$B$3:$B$400=$A$183) + ('Full month Pivot'!$A$3:$A$400=$A$183) &gt; 0) * (TRIM('Full month Pivot'!$C$3:$C$400)=TRIM($A193)) * ('Full month Pivot'!$D$2:$K$2=Y$2) * 'Full month Pivot'!$D$3:$K$400)&gt;0, SUMPRODUCT((('Full month Pivot'!$B$3:$B$400=$A$183) + ('Full month Pivot'!$A$3:$A$400=$A$183) &gt; 0) * (TRIM('Full month Pivot'!$C$3:$C$400)=TRIM($A193)) * ('Full month Pivot'!$D$2:$K$2=Y$2) * 'Full month Pivot'!$D$3:$K$400), "")</f>
        <v/>
      </c>
      <c r="Z193" s="193">
        <f>IF(SUMPRODUCT((('Full month Pivot'!$B$3:$B$400=$A$183) + ('Full month Pivot'!$A$3:$A$400=$A$183) &gt; 0) * (TRIM('Full month Pivot'!$C$3:$C$400)=TRIM($A193)) * ('Full month Pivot'!$D$2:$K$2=Z$2) * 'Full month Pivot'!$D$3:$K$400)&gt;0, SUMPRODUCT((('Full month Pivot'!$B$3:$B$400=$A$183) + ('Full month Pivot'!$A$3:$A$400=$A$183) &gt; 0) * (TRIM('Full month Pivot'!$C$3:$C$400)=TRIM($A193)) * ('Full month Pivot'!$D$2:$K$2=Z$2) * 'Full month Pivot'!$D$3:$K$400), "")</f>
        <v/>
      </c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202" t="n"/>
      <c r="B194" s="202" t="n"/>
      <c r="C194" s="202" t="n"/>
      <c r="D194" s="202" t="n"/>
      <c r="E194" s="202" t="n"/>
      <c r="F194" s="202" t="n"/>
      <c r="G194" s="202" t="n"/>
      <c r="H194" s="202" t="n"/>
      <c r="I194" s="202" t="n"/>
      <c r="J194" s="202" t="n"/>
      <c r="K194" s="202" t="n"/>
      <c r="L194" s="202" t="n"/>
      <c r="M194" s="202" t="n"/>
      <c r="N194" s="202" t="n"/>
      <c r="O194" s="202" t="n"/>
      <c r="P194" s="202" t="n"/>
      <c r="Q194" s="202" t="n"/>
      <c r="R194" s="202" t="n"/>
      <c r="S194" s="202" t="n"/>
      <c r="T194" s="202" t="n"/>
      <c r="U194" s="202" t="n"/>
      <c r="V194" s="202" t="n"/>
      <c r="W194" s="202" t="n"/>
      <c r="X194" s="202" t="n"/>
      <c r="Y194" s="202" t="n"/>
      <c r="Z194" s="202" t="n"/>
      <c r="AA194" s="202" t="n"/>
      <c r="AB194" s="140" t="n"/>
      <c r="AC194" s="140" t="n"/>
      <c r="AD194" s="140" t="n"/>
    </row>
    <row r="195" ht="15.75" customHeight="1" s="346">
      <c r="A195" s="145" t="inlineStr">
        <is>
          <t>Khuyến mãi</t>
        </is>
      </c>
      <c r="B195" s="145" t="n"/>
      <c r="C195" s="145" t="n"/>
      <c r="D195" s="145" t="n"/>
      <c r="E195" s="145" t="n"/>
      <c r="F195" s="145" t="n"/>
      <c r="G195" s="145" t="n"/>
      <c r="H195" s="145" t="n"/>
      <c r="I195" s="145" t="n"/>
      <c r="J195" s="145" t="n"/>
      <c r="K195" s="145" t="n"/>
      <c r="L195" s="145" t="n"/>
      <c r="M195" s="145" t="n"/>
      <c r="N195" s="145" t="n"/>
      <c r="O195" s="145" t="n"/>
      <c r="P195" s="145" t="n"/>
      <c r="Q195" s="145" t="n"/>
      <c r="R195" s="145" t="n"/>
      <c r="S195" s="145" t="n"/>
      <c r="T195" s="145" t="n"/>
      <c r="U195" s="145" t="n"/>
      <c r="V195" s="145" t="n"/>
      <c r="W195" s="145" t="n"/>
      <c r="X195" s="145" t="n"/>
      <c r="Y195" s="145" t="n"/>
      <c r="Z195" s="145" t="n"/>
      <c r="AA195" s="145" t="n"/>
      <c r="AB195" s="140" t="n"/>
      <c r="AC195" s="140" t="n"/>
      <c r="AD195" s="140" t="n"/>
    </row>
    <row r="196" ht="15.75" customHeight="1" s="346">
      <c r="A196" s="146" t="inlineStr">
        <is>
          <t>Page views</t>
        </is>
      </c>
      <c r="B196" s="147">
        <f>IF(SUM(B201:B205)&gt;0, SUM(B201:B205), "")</f>
        <v/>
      </c>
      <c r="C196" s="147">
        <f>IF(SUM(C201:C205)&gt;0, SUM(C201:C205), "")</f>
        <v/>
      </c>
      <c r="D196" s="147">
        <f>IF(SUM(D201:D205)&gt;0, SUM(D201:D205), "")</f>
        <v/>
      </c>
      <c r="E196" s="147">
        <f>IF(SUM(E201:E205)&gt;0, SUM(E201:E205), "")</f>
        <v/>
      </c>
      <c r="F196" s="147">
        <f>IF(SUM(F201:F205)&gt;0, SUM(F201:F205), "")</f>
        <v/>
      </c>
      <c r="G196" s="147">
        <f>IF(SUM(G201:G205)&gt;0, SUM(G201:G205), "")</f>
        <v/>
      </c>
      <c r="H196" s="147">
        <f>IF(SUM(H201:H205)&gt;0, SUM(H201:H205), "")</f>
        <v/>
      </c>
      <c r="I196" s="147">
        <f>IF(SUM(I201:I205)&gt;0, SUM(I201:I205), "")</f>
        <v/>
      </c>
      <c r="J196" s="147">
        <f>IF(SUM(J201:J205)&gt;0, SUM(J201:J205), "")</f>
        <v/>
      </c>
      <c r="K196" s="147">
        <f>IF(SUM(K201:K205)&gt;0, SUM(K201:K205), "")</f>
        <v/>
      </c>
      <c r="L196" s="147">
        <f>IF(SUM(L201:L205)&gt;0, SUM(L201:L205), "")</f>
        <v/>
      </c>
      <c r="M196" s="147">
        <f>IF(SUM(M201:M205)&gt;0, SUM(M201:M205), "")</f>
        <v/>
      </c>
      <c r="N196" s="148">
        <f>IFERROR((K196-J196)/J196, "")</f>
        <v/>
      </c>
      <c r="O196" s="147">
        <f>IF(SUM(O201:O205)&gt;0, SUM(O201:O205), "")</f>
        <v/>
      </c>
      <c r="P196" s="147">
        <f>IF(SUM(P201:P205)&gt;0, SUM(P201:P205), "")</f>
        <v/>
      </c>
      <c r="Q196" s="147">
        <f>IF(SUM(Q201:Q205)&gt;0, SUM(Q201:Q205), "")</f>
        <v/>
      </c>
      <c r="R196" s="147">
        <f>IF(SUM(R201:R205)&gt;0, SUM(R201:R205), "")</f>
        <v/>
      </c>
      <c r="S196" s="147">
        <f>IF(SUM(S201:S205)&gt;0, SUM(S201:S205), "")</f>
        <v/>
      </c>
      <c r="T196" s="147">
        <f>IF(SUM(T201:T205)&gt;0, SUM(T201:T205), "")</f>
        <v/>
      </c>
      <c r="U196" s="147">
        <f>IF(SUM(U201:U205)&gt;0, SUM(U201:U205), "")</f>
        <v/>
      </c>
      <c r="V196" s="147">
        <f>IF(SUM(V201:V205)&gt;0, SUM(V201:V205), "")</f>
        <v/>
      </c>
      <c r="W196" s="147">
        <f>IF(SUM(W201:W205)&gt;0, SUM(W201:W205), "")</f>
        <v/>
      </c>
      <c r="X196" s="147">
        <f>IF(SUM(X201:X205)&gt;0, SUM(X201:X205), "")</f>
        <v/>
      </c>
      <c r="Y196" s="147">
        <f>IF(SUM(Y201:Y205)&gt;0, SUM(Y201:Y205), "")</f>
        <v/>
      </c>
      <c r="Z196" s="147">
        <f>IF(SUM(Z201:Z205)&gt;0, SUM(Z201:Z205), "")</f>
        <v/>
      </c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150" t="inlineStr">
        <is>
          <t xml:space="preserve">  Click CTA</t>
        </is>
      </c>
      <c r="B197" s="150" t="n"/>
      <c r="C197" s="150" t="n"/>
      <c r="D197" s="150" t="n"/>
      <c r="E197" s="150" t="n"/>
      <c r="F197" s="150" t="n">
        <v>639</v>
      </c>
      <c r="G197" s="150" t="n">
        <v>365</v>
      </c>
      <c r="H197" s="150" t="n">
        <v>363</v>
      </c>
      <c r="I197" s="150" t="n">
        <v>607</v>
      </c>
      <c r="J197" s="150" t="n">
        <v>677</v>
      </c>
      <c r="K197" s="150" t="n">
        <v>604</v>
      </c>
      <c r="L197" s="150" t="n"/>
      <c r="M197" s="150" t="n"/>
      <c r="N197" s="151">
        <f>IFERROR((K197-J197)/J197, "")</f>
        <v/>
      </c>
      <c r="O197" s="150" t="n"/>
      <c r="P197" s="150" t="n"/>
      <c r="Q197" s="150" t="n"/>
      <c r="R197" s="150" t="n"/>
      <c r="S197" s="150" t="n">
        <v>673</v>
      </c>
      <c r="T197" s="150" t="n">
        <v>374</v>
      </c>
      <c r="U197" s="150" t="n">
        <v>416</v>
      </c>
      <c r="V197" s="150" t="n">
        <v>693</v>
      </c>
      <c r="W197" s="150" t="n">
        <v>711</v>
      </c>
      <c r="X197" s="150" t="n">
        <v>604</v>
      </c>
      <c r="Y197" s="150" t="n"/>
      <c r="Z197" s="150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152" t="inlineStr">
        <is>
          <t xml:space="preserve">  Net change</t>
        </is>
      </c>
      <c r="B198" s="153" t="n"/>
      <c r="C198" s="153">
        <f>IF(AND(ISNUMBER(C196), ISNUMBER(B196), B196&gt;0, C196&gt;0), C196-B196, "")</f>
        <v/>
      </c>
      <c r="D198" s="153">
        <f>IF(AND(ISNUMBER(D196), ISNUMBER(C196), C196&gt;0, D196&gt;0), D196-C196, "")</f>
        <v/>
      </c>
      <c r="E198" s="153">
        <f>IF(AND(ISNUMBER(E196), ISNUMBER(D196), D196&gt;0, E196&gt;0), E196-D196, "")</f>
        <v/>
      </c>
      <c r="F198" s="153">
        <f>IF(AND(ISNUMBER(F196), ISNUMBER(E196), E196&gt;0, F196&gt;0), F196-E196, "")</f>
        <v/>
      </c>
      <c r="G198" s="153">
        <f>IF(AND(ISNUMBER(G196), ISNUMBER(F196), F196&gt;0, G196&gt;0), G196-F196, "")</f>
        <v/>
      </c>
      <c r="H198" s="153">
        <f>IF(AND(ISNUMBER(H196), ISNUMBER(G196), G196&gt;0, H196&gt;0), H196-G196, "")</f>
        <v/>
      </c>
      <c r="I198" s="153">
        <f>IF(AND(ISNUMBER(I196), ISNUMBER(H196), H196&gt;0, I196&gt;0), I196-H196, "")</f>
        <v/>
      </c>
      <c r="J198" s="153">
        <f>IF(AND(ISNUMBER(J196), ISNUMBER(I196), I196&gt;0, J196&gt;0), J196-I196, "")</f>
        <v/>
      </c>
      <c r="K198" s="153">
        <f>IF(AND(ISNUMBER(K196), ISNUMBER(J196), J196&gt;0, K196&gt;0), K196-J196, "")</f>
        <v/>
      </c>
      <c r="L198" s="153">
        <f>IF(AND(ISNUMBER(L196), ISNUMBER(K196), K196&gt;0, L196&gt;0), L196-K196, "")</f>
        <v/>
      </c>
      <c r="M198" s="153">
        <f>IF(AND(ISNUMBER(M196), ISNUMBER(L196), L196&gt;0, M196&gt;0), M196-L196, "")</f>
        <v/>
      </c>
      <c r="N198" s="153" t="n"/>
      <c r="O198" s="153" t="n"/>
      <c r="P198" s="153">
        <f>IF(AND(ISNUMBER(P196), ISNUMBER(O196), O196&gt;0, P196&gt;0), P196-O196, "")</f>
        <v/>
      </c>
      <c r="Q198" s="153">
        <f>IF(AND(ISNUMBER(Q196), ISNUMBER(P196), P196&gt;0, Q196&gt;0), Q196-P196, "")</f>
        <v/>
      </c>
      <c r="R198" s="153">
        <f>IF(AND(ISNUMBER(R196), ISNUMBER(Q196), Q196&gt;0, R196&gt;0), R196-Q196, "")</f>
        <v/>
      </c>
      <c r="S198" s="153">
        <f>IF(AND(ISNUMBER(S196), ISNUMBER(R196), R196&gt;0, S196&gt;0), S196-R196, "")</f>
        <v/>
      </c>
      <c r="T198" s="153">
        <f>IF(AND(ISNUMBER(T196), ISNUMBER(S196), S196&gt;0, T196&gt;0), T196-S196, "")</f>
        <v/>
      </c>
      <c r="U198" s="153">
        <f>IF(AND(ISNUMBER(U196), ISNUMBER(T196), T196&gt;0, U196&gt;0), U196-T196, "")</f>
        <v/>
      </c>
      <c r="V198" s="153">
        <f>IF(AND(ISNUMBER(V196), ISNUMBER(U196), U196&gt;0, V196&gt;0), V196-U196, "")</f>
        <v/>
      </c>
      <c r="W198" s="153">
        <f>IF(AND(ISNUMBER(W196), ISNUMBER(V196), V196&gt;0, W196&gt;0), W196-V196, "")</f>
        <v/>
      </c>
      <c r="X198" s="153">
        <f>IF(AND(ISNUMBER(X196), ISNUMBER(W196), W196&gt;0, X196&gt;0), X196-W196, "")</f>
        <v/>
      </c>
      <c r="Y198" s="153">
        <f>IF(AND(ISNUMBER(Y196), ISNUMBER(X196), X196&gt;0, Y196&gt;0), Y196-X196, "")</f>
        <v/>
      </c>
      <c r="Z198" s="153">
        <f>IF(AND(ISNUMBER(Z196), ISNUMBER(Y196), Y196&gt;0, Z196&gt;0), Z196-Y196, "")</f>
        <v/>
      </c>
      <c r="AA198" s="153" t="n"/>
      <c r="AB198" s="140" t="n"/>
      <c r="AC198" s="140" t="n"/>
      <c r="AD198" s="140" t="n"/>
    </row>
    <row r="199" ht="15.75" customHeight="1" s="346">
      <c r="A199" s="152" t="inlineStr">
        <is>
          <t xml:space="preserve">  % Growth rate</t>
        </is>
      </c>
      <c r="B199" s="203" t="n"/>
      <c r="C199" s="203">
        <f>IF(AND(ISNUMBER(C196), ISNUMBER(B196), B196&gt;0, C196&gt;0), (C196-B196)/B196, "")</f>
        <v/>
      </c>
      <c r="D199" s="203">
        <f>IF(AND(ISNUMBER(D196), ISNUMBER(C196), C196&gt;0, D196&gt;0), (D196-C196)/C196, "")</f>
        <v/>
      </c>
      <c r="E199" s="203">
        <f>IF(AND(ISNUMBER(E196), ISNUMBER(D196), D196&gt;0, E196&gt;0), (E196-D196)/D196, "")</f>
        <v/>
      </c>
      <c r="F199" s="203">
        <f>IF(AND(ISNUMBER(F196), ISNUMBER(E196), E196&gt;0, F196&gt;0), (F196-E196)/E196, "")</f>
        <v/>
      </c>
      <c r="G199" s="203">
        <f>IF(AND(ISNUMBER(G196), ISNUMBER(F196), F196&gt;0, G196&gt;0), (G196-F196)/F196, "")</f>
        <v/>
      </c>
      <c r="H199" s="203">
        <f>IF(AND(ISNUMBER(H196), ISNUMBER(G196), G196&gt;0, H196&gt;0), (H196-G196)/G196, "")</f>
        <v/>
      </c>
      <c r="I199" s="203">
        <f>IF(AND(ISNUMBER(I196), ISNUMBER(H196), H196&gt;0, I196&gt;0), (I196-H196)/H196, "")</f>
        <v/>
      </c>
      <c r="J199" s="203">
        <f>IF(AND(ISNUMBER(J196), ISNUMBER(I196), I196&gt;0, J196&gt;0), (J196-I196)/I196, "")</f>
        <v/>
      </c>
      <c r="K199" s="203">
        <f>IF(AND(ISNUMBER(K196), ISNUMBER(J196), J196&gt;0, K196&gt;0), (K196-J196)/J196, "")</f>
        <v/>
      </c>
      <c r="L199" s="203">
        <f>IF(AND(ISNUMBER(L196), ISNUMBER(K196), K196&gt;0, L196&gt;0), (L196-K196)/K196, "")</f>
        <v/>
      </c>
      <c r="M199" s="203">
        <f>IF(AND(ISNUMBER(M196), ISNUMBER(L196), L196&gt;0, M196&gt;0), (M196-L196)/L196, "")</f>
        <v/>
      </c>
      <c r="N199" s="203" t="n"/>
      <c r="O199" s="203" t="n"/>
      <c r="P199" s="203">
        <f>IF(AND(ISNUMBER(P196), ISNUMBER(O196), O196&gt;0, P196&gt;0), (P196-O196)/O196, "")</f>
        <v/>
      </c>
      <c r="Q199" s="203">
        <f>IF(AND(ISNUMBER(Q196), ISNUMBER(P196), P196&gt;0, Q196&gt;0), (Q196-P196)/P196, "")</f>
        <v/>
      </c>
      <c r="R199" s="203">
        <f>IF(AND(ISNUMBER(R196), ISNUMBER(Q196), Q196&gt;0, R196&gt;0), (R196-Q196)/Q196, "")</f>
        <v/>
      </c>
      <c r="S199" s="203">
        <f>IF(AND(ISNUMBER(S196), ISNUMBER(R196), R196&gt;0, S196&gt;0), (S196-R196)/R196, "")</f>
        <v/>
      </c>
      <c r="T199" s="203">
        <f>IF(AND(ISNUMBER(T196), ISNUMBER(S196), S196&gt;0, T196&gt;0), (T196-S196)/S196, "")</f>
        <v/>
      </c>
      <c r="U199" s="203">
        <f>IF(AND(ISNUMBER(U196), ISNUMBER(T196), T196&gt;0, U196&gt;0), (U196-T196)/T196, "")</f>
        <v/>
      </c>
      <c r="V199" s="203">
        <f>IF(AND(ISNUMBER(V196), ISNUMBER(U196), U196&gt;0, V196&gt;0), (V196-U196)/U196, "")</f>
        <v/>
      </c>
      <c r="W199" s="203">
        <f>IF(AND(ISNUMBER(W196), ISNUMBER(V196), V196&gt;0, W196&gt;0), (W196-V196)/V196, "")</f>
        <v/>
      </c>
      <c r="X199" s="203">
        <f>IF(AND(ISNUMBER(X196), ISNUMBER(W196), W196&gt;0, X196&gt;0), (X196-W196)/W196, "")</f>
        <v/>
      </c>
      <c r="Y199" s="203">
        <f>IF(AND(ISNUMBER(Y196), ISNUMBER(X196), X196&gt;0, Y196&gt;0), (Y196-X196)/X196, "")</f>
        <v/>
      </c>
      <c r="Z199" s="203">
        <f>IF(AND(ISNUMBER(Z196), ISNUMBER(Y196), Y196&gt;0, Z196&gt;0), (Z196-Y196)/Y196, "")</f>
        <v/>
      </c>
      <c r="AA199" s="203" t="n"/>
      <c r="AB199" s="140" t="n"/>
      <c r="AC199" s="140" t="n"/>
      <c r="AD199" s="140" t="n"/>
    </row>
    <row r="200" ht="15.75" customHeight="1" s="346">
      <c r="A200" s="202" t="inlineStr">
        <is>
          <t>Tỷ trọng trong tổng traffic</t>
        </is>
      </c>
      <c r="B200" s="156">
        <f t="array" ref="B200">IF(AND(ISNUMBER(B196), B196&gt;0), B196/INDEX('MTD Pivot'!$D$3:$K$400, MATCH("Grand Total", 'MTD Pivot'!$A$3:$A$400, 0), MATCH(B$2, 'MTD Pivot'!$D$2:$K$2, 0)), "")</f>
        <v/>
      </c>
      <c r="C200" s="156">
        <f t="array" ref="C200">IF(AND(ISNUMBER(C196), C196&gt;0), C196/INDEX('MTD Pivot'!$D$3:$K$400, MATCH("Grand Total", 'MTD Pivot'!$A$3:$A$400, 0), MATCH(C$2, 'MTD Pivot'!$D$2:$K$2, 0)), "")</f>
        <v/>
      </c>
      <c r="D200" s="156">
        <f t="array" ref="D200">IF(AND(ISNUMBER(D196), D196&gt;0), D196/INDEX('MTD Pivot'!$D$3:$K$400, MATCH("Grand Total", 'MTD Pivot'!$A$3:$A$400, 0), MATCH(D$2, 'MTD Pivot'!$D$2:$K$2, 0)), "")</f>
        <v/>
      </c>
      <c r="E200" s="156">
        <f t="array" ref="E200">IF(AND(ISNUMBER(E196), E196&gt;0), E196/INDEX('MTD Pivot'!$D$3:$K$400, MATCH("Grand Total", 'MTD Pivot'!$A$3:$A$400, 0), MATCH(E$2, 'MTD Pivot'!$D$2:$K$2, 0)), "")</f>
        <v/>
      </c>
      <c r="F200" s="156">
        <f t="array" ref="F200">IF(AND(ISNUMBER(F196), F196&gt;0), F196/INDEX('MTD Pivot'!$D$3:$K$400, MATCH("Grand Total", 'MTD Pivot'!$A$3:$A$400, 0), MATCH(F$2, 'MTD Pivot'!$D$2:$K$2, 0)), "")</f>
        <v/>
      </c>
      <c r="G200" s="156">
        <f t="array" ref="G200">IF(AND(ISNUMBER(G196), G196&gt;0), G196/INDEX('MTD Pivot'!$D$3:$K$400, MATCH("Grand Total", 'MTD Pivot'!$A$3:$A$400, 0), MATCH(G$2, 'MTD Pivot'!$D$2:$K$2, 0)), "")</f>
        <v/>
      </c>
      <c r="H200" s="156">
        <f t="array" ref="H200">IF(AND(ISNUMBER(H196), H196&gt;0), H196/INDEX('MTD Pivot'!$D$3:$K$400, MATCH("Grand Total", 'MTD Pivot'!$A$3:$A$400, 0), MATCH(H$2, 'MTD Pivot'!$D$2:$K$2, 0)), "")</f>
        <v/>
      </c>
      <c r="I200" s="156">
        <f t="array" ref="I200">IF(AND(ISNUMBER(I196), I196&gt;0), I196/INDEX('MTD Pivot'!$D$3:$K$400, MATCH("Grand Total", 'MTD Pivot'!$A$3:$A$400, 0), MATCH(I$2, 'MTD Pivot'!$D$2:$K$2, 0)), "")</f>
        <v/>
      </c>
      <c r="J200" s="156">
        <f t="array" ref="J200">IF(AND(ISNUMBER(J196), J196&gt;0), J196/INDEX('MTD Pivot'!$D$3:$K$400, MATCH("Grand Total", 'MTD Pivot'!$A$3:$A$400, 0), MATCH(J$2, 'MTD Pivot'!$D$2:$K$2, 0)), "")</f>
        <v/>
      </c>
      <c r="K200" s="156">
        <f t="array" ref="K200">IF(AND(ISNUMBER(K196), K196&gt;0), K196/INDEX('MTD Pivot'!$D$3:$K$400, MATCH("Grand Total", 'MTD Pivot'!$A$3:$A$400, 0), MATCH(K$2, 'MTD Pivot'!$D$2:$K$2, 0)), "")</f>
        <v/>
      </c>
      <c r="L200" s="156">
        <f t="array" ref="L200">IF(AND(ISNUMBER(L196), L196&gt;0), L196/INDEX('MTD Pivot'!$D$3:$K$400, MATCH("Grand Total", 'MTD Pivot'!$A$3:$A$400, 0), MATCH(L$2, 'MTD Pivot'!$D$2:$K$2, 0)), "")</f>
        <v/>
      </c>
      <c r="M200" s="156">
        <f t="array" ref="M200">IF(AND(ISNUMBER(M196), M196&gt;0), M196/INDEX('MTD Pivot'!$D$3:$K$400, MATCH("Grand Total", 'MTD Pivot'!$A$3:$A$400, 0), MATCH(M$2, 'MTD Pivot'!$D$2:$K$2, 0)), "")</f>
        <v/>
      </c>
      <c r="N200" s="157">
        <f>IF(AND(ISNUMBER(K200), ISNUMBER(J200)), K200-J200, "")</f>
        <v/>
      </c>
      <c r="O200" s="156">
        <f t="array" ref="O200">IF(AND(ISNUMBER(O196), O196&gt;0), O196/INDEX('Full month Pivot'!$D$3:$K$400, MATCH("Grand Total", 'Full month Pivot'!$A$3:$A$400, 0), MATCH(O$2, 'Full month Pivot'!$D$2:$K$2, 0)), "")</f>
        <v/>
      </c>
      <c r="P200" s="156">
        <f t="array" ref="P200">IF(AND(ISNUMBER(P196), P196&gt;0), P196/INDEX('Full month Pivot'!$D$3:$K$400, MATCH("Grand Total", 'Full month Pivot'!$A$3:$A$400, 0), MATCH(P$2, 'Full month Pivot'!$D$2:$K$2, 0)), "")</f>
        <v/>
      </c>
      <c r="Q200" s="156">
        <f t="array" ref="Q200">IF(AND(ISNUMBER(Q196), Q196&gt;0), Q196/INDEX('Full month Pivot'!$D$3:$K$400, MATCH("Grand Total", 'Full month Pivot'!$A$3:$A$400, 0), MATCH(Q$2, 'Full month Pivot'!$D$2:$K$2, 0)), "")</f>
        <v/>
      </c>
      <c r="R200" s="156">
        <f t="array" ref="R200">IF(AND(ISNUMBER(R196), R196&gt;0), R196/INDEX('Full month Pivot'!$D$3:$K$400, MATCH("Grand Total", 'Full month Pivot'!$A$3:$A$400, 0), MATCH(R$2, 'Full month Pivot'!$D$2:$K$2, 0)), "")</f>
        <v/>
      </c>
      <c r="S200" s="156">
        <f t="array" ref="S200">IF(AND(ISNUMBER(S196), S196&gt;0), S196/INDEX('Full month Pivot'!$D$3:$K$400, MATCH("Grand Total", 'Full month Pivot'!$A$3:$A$400, 0), MATCH(S$2, 'Full month Pivot'!$D$2:$K$2, 0)), "")</f>
        <v/>
      </c>
      <c r="T200" s="156">
        <f t="array" ref="T200">IF(AND(ISNUMBER(T196), T196&gt;0), T196/INDEX('Full month Pivot'!$D$3:$K$400, MATCH("Grand Total", 'Full month Pivot'!$A$3:$A$400, 0), MATCH(T$2, 'Full month Pivot'!$D$2:$K$2, 0)), "")</f>
        <v/>
      </c>
      <c r="U200" s="156">
        <f t="array" ref="U200">IF(AND(ISNUMBER(U196), U196&gt;0), U196/INDEX('Full month Pivot'!$D$3:$K$400, MATCH("Grand Total", 'Full month Pivot'!$A$3:$A$400, 0), MATCH(U$2, 'Full month Pivot'!$D$2:$K$2, 0)), "")</f>
        <v/>
      </c>
      <c r="V200" s="156">
        <f t="array" ref="V200">IF(AND(ISNUMBER(V196), V196&gt;0), V196/INDEX('Full month Pivot'!$D$3:$K$400, MATCH("Grand Total", 'Full month Pivot'!$A$3:$A$400, 0), MATCH(V$2, 'Full month Pivot'!$D$2:$K$2, 0)), "")</f>
        <v/>
      </c>
      <c r="W200" s="156">
        <f t="array" ref="W200">IF(AND(ISNUMBER(W196), W196&gt;0), W196/INDEX('Full month Pivot'!$D$3:$K$400, MATCH("Grand Total", 'Full month Pivot'!$A$3:$A$400, 0), MATCH(W$2, 'Full month Pivot'!$D$2:$K$2, 0)), "")</f>
        <v/>
      </c>
      <c r="X200" s="156">
        <f t="array" ref="X200">IF(AND(ISNUMBER(X196), X196&gt;0), X196/INDEX('Full month Pivot'!$D$3:$K$400, MATCH("Grand Total", 'Full month Pivot'!$A$3:$A$400, 0), MATCH(X$2, 'Full month Pivot'!$D$2:$K$2, 0)), "")</f>
        <v/>
      </c>
      <c r="Y200" s="156">
        <f t="array" ref="Y200">IF(AND(ISNUMBER(Y196), Y196&gt;0), Y196/INDEX('Full month Pivot'!$D$3:$K$400, MATCH("Grand Total", 'Full month Pivot'!$A$3:$A$400, 0), MATCH(Y$2, 'Full month Pivot'!$D$2:$K$2, 0)), "")</f>
        <v/>
      </c>
      <c r="Z200" s="156">
        <f t="array" ref="Z200">IF(AND(ISNUMBER(Z196), Z196&gt;0), Z196/INDEX('Full month Pivot'!$D$3:$K$400, MATCH("Grand Total", 'Full month Pivot'!$A$3:$A$400, 0), MATCH(Z$2, 'Full month Pivot'!$D$2:$K$2, 0)), "")</f>
        <v/>
      </c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202" t="inlineStr">
        <is>
          <t xml:space="preserve">  Organic</t>
        </is>
      </c>
      <c r="B201" s="193">
        <f>IF(SUMPRODUCT((('MTD Pivot'!$B$3:$B$400=$A$195) + ('MTD Pivot'!$A$3:$A$400=$A$195) &gt; 0) * (TRIM('MTD Pivot'!$C$3:$C$400)=TRIM($A201)) * ('MTD Pivot'!$D$2:$K$2=B$2) * 'MTD Pivot'!$D$3:$K$400)&gt;0, SUMPRODUCT((('MTD Pivot'!$B$3:$B$400=$A$195) + ('MTD Pivot'!$A$3:$A$400=$A$195) &gt; 0) * (TRIM('MTD Pivot'!$C$3:$C$400)=TRIM($A201)) * ('MTD Pivot'!$D$2:$K$2=B$2) * 'MTD Pivot'!$D$3:$K$400), "")</f>
        <v/>
      </c>
      <c r="C201" s="193">
        <f>IF(SUMPRODUCT((('MTD Pivot'!$B$3:$B$400=$A$195) + ('MTD Pivot'!$A$3:$A$400=$A$195) &gt; 0) * (TRIM('MTD Pivot'!$C$3:$C$400)=TRIM($A201)) * ('MTD Pivot'!$D$2:$K$2=C$2) * 'MTD Pivot'!$D$3:$K$400)&gt;0, SUMPRODUCT((('MTD Pivot'!$B$3:$B$400=$A$195) + ('MTD Pivot'!$A$3:$A$400=$A$195) &gt; 0) * (TRIM('MTD Pivot'!$C$3:$C$400)=TRIM($A201)) * ('MTD Pivot'!$D$2:$K$2=C$2) * 'MTD Pivot'!$D$3:$K$400), "")</f>
        <v/>
      </c>
      <c r="D201" s="193">
        <f>IF(SUMPRODUCT((('MTD Pivot'!$B$3:$B$400=$A$195) + ('MTD Pivot'!$A$3:$A$400=$A$195) &gt; 0) * (TRIM('MTD Pivot'!$C$3:$C$400)=TRIM($A201)) * ('MTD Pivot'!$D$2:$K$2=D$2) * 'MTD Pivot'!$D$3:$K$400)&gt;0, SUMPRODUCT((('MTD Pivot'!$B$3:$B$400=$A$195) + ('MTD Pivot'!$A$3:$A$400=$A$195) &gt; 0) * (TRIM('MTD Pivot'!$C$3:$C$400)=TRIM($A201)) * ('MTD Pivot'!$D$2:$K$2=D$2) * 'MTD Pivot'!$D$3:$K$400), "")</f>
        <v/>
      </c>
      <c r="E201" s="193">
        <f>IF(SUMPRODUCT((('MTD Pivot'!$B$3:$B$400=$A$195) + ('MTD Pivot'!$A$3:$A$400=$A$195) &gt; 0) * (TRIM('MTD Pivot'!$C$3:$C$400)=TRIM($A201)) * ('MTD Pivot'!$D$2:$K$2=E$2) * 'MTD Pivot'!$D$3:$K$400)&gt;0, SUMPRODUCT((('MTD Pivot'!$B$3:$B$400=$A$195) + ('MTD Pivot'!$A$3:$A$400=$A$195) &gt; 0) * (TRIM('MTD Pivot'!$C$3:$C$400)=TRIM($A201)) * ('MTD Pivot'!$D$2:$K$2=E$2) * 'MTD Pivot'!$D$3:$K$400), "")</f>
        <v/>
      </c>
      <c r="F201" s="193">
        <f>IF(SUMPRODUCT((('MTD Pivot'!$B$3:$B$400=$A$195) + ('MTD Pivot'!$A$3:$A$400=$A$195) &gt; 0) * (TRIM('MTD Pivot'!$C$3:$C$400)=TRIM($A201)) * ('MTD Pivot'!$D$2:$K$2=F$2) * 'MTD Pivot'!$D$3:$K$400)&gt;0, SUMPRODUCT((('MTD Pivot'!$B$3:$B$400=$A$195) + ('MTD Pivot'!$A$3:$A$400=$A$195) &gt; 0) * (TRIM('MTD Pivot'!$C$3:$C$400)=TRIM($A201)) * ('MTD Pivot'!$D$2:$K$2=F$2) * 'MTD Pivot'!$D$3:$K$400), "")</f>
        <v/>
      </c>
      <c r="G201" s="193">
        <f>IF(SUMPRODUCT((('MTD Pivot'!$B$3:$B$400=$A$195) + ('MTD Pivot'!$A$3:$A$400=$A$195) &gt; 0) * (TRIM('MTD Pivot'!$C$3:$C$400)=TRIM($A201)) * ('MTD Pivot'!$D$2:$K$2=G$2) * 'MTD Pivot'!$D$3:$K$400)&gt;0, SUMPRODUCT((('MTD Pivot'!$B$3:$B$400=$A$195) + ('MTD Pivot'!$A$3:$A$400=$A$195) &gt; 0) * (TRIM('MTD Pivot'!$C$3:$C$400)=TRIM($A201)) * ('MTD Pivot'!$D$2:$K$2=G$2) * 'MTD Pivot'!$D$3:$K$400), "")</f>
        <v/>
      </c>
      <c r="H201" s="193">
        <f>IF(SUMPRODUCT((('MTD Pivot'!$B$3:$B$400=$A$195) + ('MTD Pivot'!$A$3:$A$400=$A$195) &gt; 0) * (TRIM('MTD Pivot'!$C$3:$C$400)=TRIM($A201)) * ('MTD Pivot'!$D$2:$K$2=H$2) * 'MTD Pivot'!$D$3:$K$400)&gt;0, SUMPRODUCT((('MTD Pivot'!$B$3:$B$400=$A$195) + ('MTD Pivot'!$A$3:$A$400=$A$195) &gt; 0) * (TRIM('MTD Pivot'!$C$3:$C$400)=TRIM($A201)) * ('MTD Pivot'!$D$2:$K$2=H$2) * 'MTD Pivot'!$D$3:$K$400), "")</f>
        <v/>
      </c>
      <c r="I201" s="193">
        <f>IF(SUMPRODUCT((('MTD Pivot'!$B$3:$B$400=$A$195) + ('MTD Pivot'!$A$3:$A$400=$A$195) &gt; 0) * (TRIM('MTD Pivot'!$C$3:$C$400)=TRIM($A201)) * ('MTD Pivot'!$D$2:$K$2=I$2) * 'MTD Pivot'!$D$3:$K$400)&gt;0, SUMPRODUCT((('MTD Pivot'!$B$3:$B$400=$A$195) + ('MTD Pivot'!$A$3:$A$400=$A$195) &gt; 0) * (TRIM('MTD Pivot'!$C$3:$C$400)=TRIM($A201)) * ('MTD Pivot'!$D$2:$K$2=I$2) * 'MTD Pivot'!$D$3:$K$400), "")</f>
        <v/>
      </c>
      <c r="J201" s="193">
        <f>IF(SUMPRODUCT((('MTD Pivot'!$B$3:$B$400=$A$195) + ('MTD Pivot'!$A$3:$A$400=$A$195) &gt; 0) * (TRIM('MTD Pivot'!$C$3:$C$400)=TRIM($A201)) * ('MTD Pivot'!$D$2:$K$2=J$2) * 'MTD Pivot'!$D$3:$K$400)&gt;0, SUMPRODUCT((('MTD Pivot'!$B$3:$B$400=$A$195) + ('MTD Pivot'!$A$3:$A$400=$A$195) &gt; 0) * (TRIM('MTD Pivot'!$C$3:$C$400)=TRIM($A201)) * ('MTD Pivot'!$D$2:$K$2=J$2) * 'MTD Pivot'!$D$3:$K$400), "")</f>
        <v/>
      </c>
      <c r="K201" s="193">
        <f>IF(SUMPRODUCT((('MTD Pivot'!$B$3:$B$400=$A$195) + ('MTD Pivot'!$A$3:$A$400=$A$195) &gt; 0) * (TRIM('MTD Pivot'!$C$3:$C$400)=TRIM($A201)) * ('MTD Pivot'!$D$2:$K$2=K$2) * 'MTD Pivot'!$D$3:$K$400)&gt;0, SUMPRODUCT((('MTD Pivot'!$B$3:$B$400=$A$195) + ('MTD Pivot'!$A$3:$A$400=$A$195) &gt; 0) * (TRIM('MTD Pivot'!$C$3:$C$400)=TRIM($A201)) * ('MTD Pivot'!$D$2:$K$2=K$2) * 'MTD Pivot'!$D$3:$K$400), "")</f>
        <v/>
      </c>
      <c r="L201" s="193">
        <f>IF(SUMPRODUCT((('MTD Pivot'!$B$3:$B$400=$A$195) + ('MTD Pivot'!$A$3:$A$400=$A$195) &gt; 0) * (TRIM('MTD Pivot'!$C$3:$C$400)=TRIM($A201)) * ('MTD Pivot'!$D$2:$K$2=L$2) * 'MTD Pivot'!$D$3:$K$400)&gt;0, SUMPRODUCT((('MTD Pivot'!$B$3:$B$400=$A$195) + ('MTD Pivot'!$A$3:$A$400=$A$195) &gt; 0) * (TRIM('MTD Pivot'!$C$3:$C$400)=TRIM($A201)) * ('MTD Pivot'!$D$2:$K$2=L$2) * 'MTD Pivot'!$D$3:$K$400), "")</f>
        <v/>
      </c>
      <c r="M201" s="193">
        <f>IF(SUMPRODUCT((('MTD Pivot'!$B$3:$B$400=$A$195) + ('MTD Pivot'!$A$3:$A$400=$A$195) &gt; 0) * (TRIM('MTD Pivot'!$C$3:$C$400)=TRIM($A201)) * ('MTD Pivot'!$D$2:$K$2=M$2) * 'MTD Pivot'!$D$3:$K$400)&gt;0, SUMPRODUCT((('MTD Pivot'!$B$3:$B$400=$A$195) + ('MTD Pivot'!$A$3:$A$400=$A$195) &gt; 0) * (TRIM('MTD Pivot'!$C$3:$C$400)=TRIM($A201)) * ('MTD Pivot'!$D$2:$K$2=M$2) * 'MTD Pivot'!$D$3:$K$400), "")</f>
        <v/>
      </c>
      <c r="N201" s="157">
        <f>IF(AND(ISNUMBER(K201), ISNUMBER(J201), J201&gt;0), (K201-J201)/J201, "")</f>
        <v/>
      </c>
      <c r="O201" s="193">
        <f>IF(SUMPRODUCT((('Full month Pivot'!$B$3:$B$400=$A$195) + ('Full month Pivot'!$A$3:$A$400=$A$195) &gt; 0) * (TRIM('Full month Pivot'!$C$3:$C$400)=TRIM($A201)) * ('Full month Pivot'!$D$2:$K$2=O$2) * 'Full month Pivot'!$D$3:$K$400)&gt;0, SUMPRODUCT((('Full month Pivot'!$B$3:$B$400=$A$195) + ('Full month Pivot'!$A$3:$A$400=$A$195) &gt; 0) * (TRIM('Full month Pivot'!$C$3:$C$400)=TRIM($A201)) * ('Full month Pivot'!$D$2:$K$2=O$2) * 'Full month Pivot'!$D$3:$K$400), "")</f>
        <v/>
      </c>
      <c r="P201" s="193">
        <f>IF(SUMPRODUCT((('Full month Pivot'!$B$3:$B$400=$A$195) + ('Full month Pivot'!$A$3:$A$400=$A$195) &gt; 0) * (TRIM('Full month Pivot'!$C$3:$C$400)=TRIM($A201)) * ('Full month Pivot'!$D$2:$K$2=P$2) * 'Full month Pivot'!$D$3:$K$400)&gt;0, SUMPRODUCT((('Full month Pivot'!$B$3:$B$400=$A$195) + ('Full month Pivot'!$A$3:$A$400=$A$195) &gt; 0) * (TRIM('Full month Pivot'!$C$3:$C$400)=TRIM($A201)) * ('Full month Pivot'!$D$2:$K$2=P$2) * 'Full month Pivot'!$D$3:$K$400), "")</f>
        <v/>
      </c>
      <c r="Q201" s="193">
        <f>IF(SUMPRODUCT((('Full month Pivot'!$B$3:$B$400=$A$195) + ('Full month Pivot'!$A$3:$A$400=$A$195) &gt; 0) * (TRIM('Full month Pivot'!$C$3:$C$400)=TRIM($A201)) * ('Full month Pivot'!$D$2:$K$2=Q$2) * 'Full month Pivot'!$D$3:$K$400)&gt;0, SUMPRODUCT((('Full month Pivot'!$B$3:$B$400=$A$195) + ('Full month Pivot'!$A$3:$A$400=$A$195) &gt; 0) * (TRIM('Full month Pivot'!$C$3:$C$400)=TRIM($A201)) * ('Full month Pivot'!$D$2:$K$2=Q$2) * 'Full month Pivot'!$D$3:$K$400), "")</f>
        <v/>
      </c>
      <c r="R201" s="193">
        <f>IF(SUMPRODUCT((('Full month Pivot'!$B$3:$B$400=$A$195) + ('Full month Pivot'!$A$3:$A$400=$A$195) &gt; 0) * (TRIM('Full month Pivot'!$C$3:$C$400)=TRIM($A201)) * ('Full month Pivot'!$D$2:$K$2=R$2) * 'Full month Pivot'!$D$3:$K$400)&gt;0, SUMPRODUCT((('Full month Pivot'!$B$3:$B$400=$A$195) + ('Full month Pivot'!$A$3:$A$400=$A$195) &gt; 0) * (TRIM('Full month Pivot'!$C$3:$C$400)=TRIM($A201)) * ('Full month Pivot'!$D$2:$K$2=R$2) * 'Full month Pivot'!$D$3:$K$400), "")</f>
        <v/>
      </c>
      <c r="S201" s="193">
        <f>IF(SUMPRODUCT((('Full month Pivot'!$B$3:$B$400=$A$195) + ('Full month Pivot'!$A$3:$A$400=$A$195) &gt; 0) * (TRIM('Full month Pivot'!$C$3:$C$400)=TRIM($A201)) * ('Full month Pivot'!$D$2:$K$2=S$2) * 'Full month Pivot'!$D$3:$K$400)&gt;0, SUMPRODUCT((('Full month Pivot'!$B$3:$B$400=$A$195) + ('Full month Pivot'!$A$3:$A$400=$A$195) &gt; 0) * (TRIM('Full month Pivot'!$C$3:$C$400)=TRIM($A201)) * ('Full month Pivot'!$D$2:$K$2=S$2) * 'Full month Pivot'!$D$3:$K$400), "")</f>
        <v/>
      </c>
      <c r="T201" s="193">
        <f>IF(SUMPRODUCT((('Full month Pivot'!$B$3:$B$400=$A$195) + ('Full month Pivot'!$A$3:$A$400=$A$195) &gt; 0) * (TRIM('Full month Pivot'!$C$3:$C$400)=TRIM($A201)) * ('Full month Pivot'!$D$2:$K$2=T$2) * 'Full month Pivot'!$D$3:$K$400)&gt;0, SUMPRODUCT((('Full month Pivot'!$B$3:$B$400=$A$195) + ('Full month Pivot'!$A$3:$A$400=$A$195) &gt; 0) * (TRIM('Full month Pivot'!$C$3:$C$400)=TRIM($A201)) * ('Full month Pivot'!$D$2:$K$2=T$2) * 'Full month Pivot'!$D$3:$K$400), "")</f>
        <v/>
      </c>
      <c r="U201" s="193">
        <f>IF(SUMPRODUCT((('Full month Pivot'!$B$3:$B$400=$A$195) + ('Full month Pivot'!$A$3:$A$400=$A$195) &gt; 0) * (TRIM('Full month Pivot'!$C$3:$C$400)=TRIM($A201)) * ('Full month Pivot'!$D$2:$K$2=U$2) * 'Full month Pivot'!$D$3:$K$400)&gt;0, SUMPRODUCT((('Full month Pivot'!$B$3:$B$400=$A$195) + ('Full month Pivot'!$A$3:$A$400=$A$195) &gt; 0) * (TRIM('Full month Pivot'!$C$3:$C$400)=TRIM($A201)) * ('Full month Pivot'!$D$2:$K$2=U$2) * 'Full month Pivot'!$D$3:$K$400), "")</f>
        <v/>
      </c>
      <c r="V201" s="193">
        <f>IF(SUMPRODUCT((('Full month Pivot'!$B$3:$B$400=$A$195) + ('Full month Pivot'!$A$3:$A$400=$A$195) &gt; 0) * (TRIM('Full month Pivot'!$C$3:$C$400)=TRIM($A201)) * ('Full month Pivot'!$D$2:$K$2=V$2) * 'Full month Pivot'!$D$3:$K$400)&gt;0, SUMPRODUCT((('Full month Pivot'!$B$3:$B$400=$A$195) + ('Full month Pivot'!$A$3:$A$400=$A$195) &gt; 0) * (TRIM('Full month Pivot'!$C$3:$C$400)=TRIM($A201)) * ('Full month Pivot'!$D$2:$K$2=V$2) * 'Full month Pivot'!$D$3:$K$400), "")</f>
        <v/>
      </c>
      <c r="W201" s="193">
        <f>IF(SUMPRODUCT((('Full month Pivot'!$B$3:$B$400=$A$195) + ('Full month Pivot'!$A$3:$A$400=$A$195) &gt; 0) * (TRIM('Full month Pivot'!$C$3:$C$400)=TRIM($A201)) * ('Full month Pivot'!$D$2:$K$2=W$2) * 'Full month Pivot'!$D$3:$K$400)&gt;0, SUMPRODUCT((('Full month Pivot'!$B$3:$B$400=$A$195) + ('Full month Pivot'!$A$3:$A$400=$A$195) &gt; 0) * (TRIM('Full month Pivot'!$C$3:$C$400)=TRIM($A201)) * ('Full month Pivot'!$D$2:$K$2=W$2) * 'Full month Pivot'!$D$3:$K$400), "")</f>
        <v/>
      </c>
      <c r="X201" s="193">
        <f>IF(SUMPRODUCT((('Full month Pivot'!$B$3:$B$400=$A$195) + ('Full month Pivot'!$A$3:$A$400=$A$195) &gt; 0) * (TRIM('Full month Pivot'!$C$3:$C$400)=TRIM($A201)) * ('Full month Pivot'!$D$2:$K$2=X$2) * 'Full month Pivot'!$D$3:$K$400)&gt;0, SUMPRODUCT((('Full month Pivot'!$B$3:$B$400=$A$195) + ('Full month Pivot'!$A$3:$A$400=$A$195) &gt; 0) * (TRIM('Full month Pivot'!$C$3:$C$400)=TRIM($A201)) * ('Full month Pivot'!$D$2:$K$2=X$2) * 'Full month Pivot'!$D$3:$K$400), "")</f>
        <v/>
      </c>
      <c r="Y201" s="193">
        <f>IF(SUMPRODUCT((('Full month Pivot'!$B$3:$B$400=$A$195) + ('Full month Pivot'!$A$3:$A$400=$A$195) &gt; 0) * (TRIM('Full month Pivot'!$C$3:$C$400)=TRIM($A201)) * ('Full month Pivot'!$D$2:$K$2=Y$2) * 'Full month Pivot'!$D$3:$K$400)&gt;0, SUMPRODUCT((('Full month Pivot'!$B$3:$B$400=$A$195) + ('Full month Pivot'!$A$3:$A$400=$A$195) &gt; 0) * (TRIM('Full month Pivot'!$C$3:$C$400)=TRIM($A201)) * ('Full month Pivot'!$D$2:$K$2=Y$2) * 'Full month Pivot'!$D$3:$K$400), "")</f>
        <v/>
      </c>
      <c r="Z201" s="193">
        <f>IF(SUMPRODUCT((('Full month Pivot'!$B$3:$B$400=$A$195) + ('Full month Pivot'!$A$3:$A$400=$A$195) &gt; 0) * (TRIM('Full month Pivot'!$C$3:$C$400)=TRIM($A201)) * ('Full month Pivot'!$D$2:$K$2=Z$2) * 'Full month Pivot'!$D$3:$K$400)&gt;0, SUMPRODUCT((('Full month Pivot'!$B$3:$B$400=$A$195) + ('Full month Pivot'!$A$3:$A$400=$A$195) &gt; 0) * (TRIM('Full month Pivot'!$C$3:$C$400)=TRIM($A201)) * ('Full month Pivot'!$D$2:$K$2=Z$2) * 'Full month Pivot'!$D$3:$K$400), "")</f>
        <v/>
      </c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202" t="inlineStr">
        <is>
          <t xml:space="preserve">  Paid</t>
        </is>
      </c>
      <c r="B202" s="193">
        <f>IF(SUMPRODUCT((('MTD Pivot'!$B$3:$B$400=$A$195) + ('MTD Pivot'!$A$3:$A$400=$A$195) &gt; 0) * (TRIM('MTD Pivot'!$C$3:$C$400)=TRIM($A202)) * ('MTD Pivot'!$D$2:$K$2=B$2) * 'MTD Pivot'!$D$3:$K$400)&gt;0, SUMPRODUCT((('MTD Pivot'!$B$3:$B$400=$A$195) + ('MTD Pivot'!$A$3:$A$400=$A$195) &gt; 0) * (TRIM('MTD Pivot'!$C$3:$C$400)=TRIM($A202)) * ('MTD Pivot'!$D$2:$K$2=B$2) * 'MTD Pivot'!$D$3:$K$400), "")</f>
        <v/>
      </c>
      <c r="C202" s="193">
        <f>IF(SUMPRODUCT((('MTD Pivot'!$B$3:$B$400=$A$195) + ('MTD Pivot'!$A$3:$A$400=$A$195) &gt; 0) * (TRIM('MTD Pivot'!$C$3:$C$400)=TRIM($A202)) * ('MTD Pivot'!$D$2:$K$2=C$2) * 'MTD Pivot'!$D$3:$K$400)&gt;0, SUMPRODUCT((('MTD Pivot'!$B$3:$B$400=$A$195) + ('MTD Pivot'!$A$3:$A$400=$A$195) &gt; 0) * (TRIM('MTD Pivot'!$C$3:$C$400)=TRIM($A202)) * ('MTD Pivot'!$D$2:$K$2=C$2) * 'MTD Pivot'!$D$3:$K$400), "")</f>
        <v/>
      </c>
      <c r="D202" s="193">
        <f>IF(SUMPRODUCT((('MTD Pivot'!$B$3:$B$400=$A$195) + ('MTD Pivot'!$A$3:$A$400=$A$195) &gt; 0) * (TRIM('MTD Pivot'!$C$3:$C$400)=TRIM($A202)) * ('MTD Pivot'!$D$2:$K$2=D$2) * 'MTD Pivot'!$D$3:$K$400)&gt;0, SUMPRODUCT((('MTD Pivot'!$B$3:$B$400=$A$195) + ('MTD Pivot'!$A$3:$A$400=$A$195) &gt; 0) * (TRIM('MTD Pivot'!$C$3:$C$400)=TRIM($A202)) * ('MTD Pivot'!$D$2:$K$2=D$2) * 'MTD Pivot'!$D$3:$K$400), "")</f>
        <v/>
      </c>
      <c r="E202" s="193">
        <f>IF(SUMPRODUCT((('MTD Pivot'!$B$3:$B$400=$A$195) + ('MTD Pivot'!$A$3:$A$400=$A$195) &gt; 0) * (TRIM('MTD Pivot'!$C$3:$C$400)=TRIM($A202)) * ('MTD Pivot'!$D$2:$K$2=E$2) * 'MTD Pivot'!$D$3:$K$400)&gt;0, SUMPRODUCT((('MTD Pivot'!$B$3:$B$400=$A$195) + ('MTD Pivot'!$A$3:$A$400=$A$195) &gt; 0) * (TRIM('MTD Pivot'!$C$3:$C$400)=TRIM($A202)) * ('MTD Pivot'!$D$2:$K$2=E$2) * 'MTD Pivot'!$D$3:$K$400), "")</f>
        <v/>
      </c>
      <c r="F202" s="193">
        <f>IF(SUMPRODUCT((('MTD Pivot'!$B$3:$B$400=$A$195) + ('MTD Pivot'!$A$3:$A$400=$A$195) &gt; 0) * (TRIM('MTD Pivot'!$C$3:$C$400)=TRIM($A202)) * ('MTD Pivot'!$D$2:$K$2=F$2) * 'MTD Pivot'!$D$3:$K$400)&gt;0, SUMPRODUCT((('MTD Pivot'!$B$3:$B$400=$A$195) + ('MTD Pivot'!$A$3:$A$400=$A$195) &gt; 0) * (TRIM('MTD Pivot'!$C$3:$C$400)=TRIM($A202)) * ('MTD Pivot'!$D$2:$K$2=F$2) * 'MTD Pivot'!$D$3:$K$400), "")</f>
        <v/>
      </c>
      <c r="G202" s="193">
        <f>IF(SUMPRODUCT((('MTD Pivot'!$B$3:$B$400=$A$195) + ('MTD Pivot'!$A$3:$A$400=$A$195) &gt; 0) * (TRIM('MTD Pivot'!$C$3:$C$400)=TRIM($A202)) * ('MTD Pivot'!$D$2:$K$2=G$2) * 'MTD Pivot'!$D$3:$K$400)&gt;0, SUMPRODUCT((('MTD Pivot'!$B$3:$B$400=$A$195) + ('MTD Pivot'!$A$3:$A$400=$A$195) &gt; 0) * (TRIM('MTD Pivot'!$C$3:$C$400)=TRIM($A202)) * ('MTD Pivot'!$D$2:$K$2=G$2) * 'MTD Pivot'!$D$3:$K$400), "")</f>
        <v/>
      </c>
      <c r="H202" s="193">
        <f>IF(SUMPRODUCT((('MTD Pivot'!$B$3:$B$400=$A$195) + ('MTD Pivot'!$A$3:$A$400=$A$195) &gt; 0) * (TRIM('MTD Pivot'!$C$3:$C$400)=TRIM($A202)) * ('MTD Pivot'!$D$2:$K$2=H$2) * 'MTD Pivot'!$D$3:$K$400)&gt;0, SUMPRODUCT((('MTD Pivot'!$B$3:$B$400=$A$195) + ('MTD Pivot'!$A$3:$A$400=$A$195) &gt; 0) * (TRIM('MTD Pivot'!$C$3:$C$400)=TRIM($A202)) * ('MTD Pivot'!$D$2:$K$2=H$2) * 'MTD Pivot'!$D$3:$K$400), "")</f>
        <v/>
      </c>
      <c r="I202" s="193">
        <f>IF(SUMPRODUCT((('MTD Pivot'!$B$3:$B$400=$A$195) + ('MTD Pivot'!$A$3:$A$400=$A$195) &gt; 0) * (TRIM('MTD Pivot'!$C$3:$C$400)=TRIM($A202)) * ('MTD Pivot'!$D$2:$K$2=I$2) * 'MTD Pivot'!$D$3:$K$400)&gt;0, SUMPRODUCT((('MTD Pivot'!$B$3:$B$400=$A$195) + ('MTD Pivot'!$A$3:$A$400=$A$195) &gt; 0) * (TRIM('MTD Pivot'!$C$3:$C$400)=TRIM($A202)) * ('MTD Pivot'!$D$2:$K$2=I$2) * 'MTD Pivot'!$D$3:$K$400), "")</f>
        <v/>
      </c>
      <c r="J202" s="193">
        <f>IF(SUMPRODUCT((('MTD Pivot'!$B$3:$B$400=$A$195) + ('MTD Pivot'!$A$3:$A$400=$A$195) &gt; 0) * (TRIM('MTD Pivot'!$C$3:$C$400)=TRIM($A202)) * ('MTD Pivot'!$D$2:$K$2=J$2) * 'MTD Pivot'!$D$3:$K$400)&gt;0, SUMPRODUCT((('MTD Pivot'!$B$3:$B$400=$A$195) + ('MTD Pivot'!$A$3:$A$400=$A$195) &gt; 0) * (TRIM('MTD Pivot'!$C$3:$C$400)=TRIM($A202)) * ('MTD Pivot'!$D$2:$K$2=J$2) * 'MTD Pivot'!$D$3:$K$400), "")</f>
        <v/>
      </c>
      <c r="K202" s="193">
        <f>IF(SUMPRODUCT((('MTD Pivot'!$B$3:$B$400=$A$195) + ('MTD Pivot'!$A$3:$A$400=$A$195) &gt; 0) * (TRIM('MTD Pivot'!$C$3:$C$400)=TRIM($A202)) * ('MTD Pivot'!$D$2:$K$2=K$2) * 'MTD Pivot'!$D$3:$K$400)&gt;0, SUMPRODUCT((('MTD Pivot'!$B$3:$B$400=$A$195) + ('MTD Pivot'!$A$3:$A$400=$A$195) &gt; 0) * (TRIM('MTD Pivot'!$C$3:$C$400)=TRIM($A202)) * ('MTD Pivot'!$D$2:$K$2=K$2) * 'MTD Pivot'!$D$3:$K$400), "")</f>
        <v/>
      </c>
      <c r="L202" s="193">
        <f>IF(SUMPRODUCT((('MTD Pivot'!$B$3:$B$400=$A$195) + ('MTD Pivot'!$A$3:$A$400=$A$195) &gt; 0) * (TRIM('MTD Pivot'!$C$3:$C$400)=TRIM($A202)) * ('MTD Pivot'!$D$2:$K$2=L$2) * 'MTD Pivot'!$D$3:$K$400)&gt;0, SUMPRODUCT((('MTD Pivot'!$B$3:$B$400=$A$195) + ('MTD Pivot'!$A$3:$A$400=$A$195) &gt; 0) * (TRIM('MTD Pivot'!$C$3:$C$400)=TRIM($A202)) * ('MTD Pivot'!$D$2:$K$2=L$2) * 'MTD Pivot'!$D$3:$K$400), "")</f>
        <v/>
      </c>
      <c r="M202" s="193">
        <f>IF(SUMPRODUCT((('MTD Pivot'!$B$3:$B$400=$A$195) + ('MTD Pivot'!$A$3:$A$400=$A$195) &gt; 0) * (TRIM('MTD Pivot'!$C$3:$C$400)=TRIM($A202)) * ('MTD Pivot'!$D$2:$K$2=M$2) * 'MTD Pivot'!$D$3:$K$400)&gt;0, SUMPRODUCT((('MTD Pivot'!$B$3:$B$400=$A$195) + ('MTD Pivot'!$A$3:$A$400=$A$195) &gt; 0) * (TRIM('MTD Pivot'!$C$3:$C$400)=TRIM($A202)) * ('MTD Pivot'!$D$2:$K$2=M$2) * 'MTD Pivot'!$D$3:$K$400), "")</f>
        <v/>
      </c>
      <c r="N202" s="157">
        <f>IF(AND(ISNUMBER(K202), ISNUMBER(J202), J202&gt;0), (K202-J202)/J202, "")</f>
        <v/>
      </c>
      <c r="O202" s="193">
        <f>IF(SUMPRODUCT((('Full month Pivot'!$B$3:$B$400=$A$195) + ('Full month Pivot'!$A$3:$A$400=$A$195) &gt; 0) * (TRIM('Full month Pivot'!$C$3:$C$400)=TRIM($A202)) * ('Full month Pivot'!$D$2:$K$2=O$2) * 'Full month Pivot'!$D$3:$K$400)&gt;0, SUMPRODUCT((('Full month Pivot'!$B$3:$B$400=$A$195) + ('Full month Pivot'!$A$3:$A$400=$A$195) &gt; 0) * (TRIM('Full month Pivot'!$C$3:$C$400)=TRIM($A202)) * ('Full month Pivot'!$D$2:$K$2=O$2) * 'Full month Pivot'!$D$3:$K$400), "")</f>
        <v/>
      </c>
      <c r="P202" s="193">
        <f>IF(SUMPRODUCT((('Full month Pivot'!$B$3:$B$400=$A$195) + ('Full month Pivot'!$A$3:$A$400=$A$195) &gt; 0) * (TRIM('Full month Pivot'!$C$3:$C$400)=TRIM($A202)) * ('Full month Pivot'!$D$2:$K$2=P$2) * 'Full month Pivot'!$D$3:$K$400)&gt;0, SUMPRODUCT((('Full month Pivot'!$B$3:$B$400=$A$195) + ('Full month Pivot'!$A$3:$A$400=$A$195) &gt; 0) * (TRIM('Full month Pivot'!$C$3:$C$400)=TRIM($A202)) * ('Full month Pivot'!$D$2:$K$2=P$2) * 'Full month Pivot'!$D$3:$K$400), "")</f>
        <v/>
      </c>
      <c r="Q202" s="193">
        <f>IF(SUMPRODUCT((('Full month Pivot'!$B$3:$B$400=$A$195) + ('Full month Pivot'!$A$3:$A$400=$A$195) &gt; 0) * (TRIM('Full month Pivot'!$C$3:$C$400)=TRIM($A202)) * ('Full month Pivot'!$D$2:$K$2=Q$2) * 'Full month Pivot'!$D$3:$K$400)&gt;0, SUMPRODUCT((('Full month Pivot'!$B$3:$B$400=$A$195) + ('Full month Pivot'!$A$3:$A$400=$A$195) &gt; 0) * (TRIM('Full month Pivot'!$C$3:$C$400)=TRIM($A202)) * ('Full month Pivot'!$D$2:$K$2=Q$2) * 'Full month Pivot'!$D$3:$K$400), "")</f>
        <v/>
      </c>
      <c r="R202" s="193">
        <f>IF(SUMPRODUCT((('Full month Pivot'!$B$3:$B$400=$A$195) + ('Full month Pivot'!$A$3:$A$400=$A$195) &gt; 0) * (TRIM('Full month Pivot'!$C$3:$C$400)=TRIM($A202)) * ('Full month Pivot'!$D$2:$K$2=R$2) * 'Full month Pivot'!$D$3:$K$400)&gt;0, SUMPRODUCT((('Full month Pivot'!$B$3:$B$400=$A$195) + ('Full month Pivot'!$A$3:$A$400=$A$195) &gt; 0) * (TRIM('Full month Pivot'!$C$3:$C$400)=TRIM($A202)) * ('Full month Pivot'!$D$2:$K$2=R$2) * 'Full month Pivot'!$D$3:$K$400), "")</f>
        <v/>
      </c>
      <c r="S202" s="193">
        <f>IF(SUMPRODUCT((('Full month Pivot'!$B$3:$B$400=$A$195) + ('Full month Pivot'!$A$3:$A$400=$A$195) &gt; 0) * (TRIM('Full month Pivot'!$C$3:$C$400)=TRIM($A202)) * ('Full month Pivot'!$D$2:$K$2=S$2) * 'Full month Pivot'!$D$3:$K$400)&gt;0, SUMPRODUCT((('Full month Pivot'!$B$3:$B$400=$A$195) + ('Full month Pivot'!$A$3:$A$400=$A$195) &gt; 0) * (TRIM('Full month Pivot'!$C$3:$C$400)=TRIM($A202)) * ('Full month Pivot'!$D$2:$K$2=S$2) * 'Full month Pivot'!$D$3:$K$400), "")</f>
        <v/>
      </c>
      <c r="T202" s="193">
        <f>IF(SUMPRODUCT((('Full month Pivot'!$B$3:$B$400=$A$195) + ('Full month Pivot'!$A$3:$A$400=$A$195) &gt; 0) * (TRIM('Full month Pivot'!$C$3:$C$400)=TRIM($A202)) * ('Full month Pivot'!$D$2:$K$2=T$2) * 'Full month Pivot'!$D$3:$K$400)&gt;0, SUMPRODUCT((('Full month Pivot'!$B$3:$B$400=$A$195) + ('Full month Pivot'!$A$3:$A$400=$A$195) &gt; 0) * (TRIM('Full month Pivot'!$C$3:$C$400)=TRIM($A202)) * ('Full month Pivot'!$D$2:$K$2=T$2) * 'Full month Pivot'!$D$3:$K$400), "")</f>
        <v/>
      </c>
      <c r="U202" s="193">
        <f>IF(SUMPRODUCT((('Full month Pivot'!$B$3:$B$400=$A$195) + ('Full month Pivot'!$A$3:$A$400=$A$195) &gt; 0) * (TRIM('Full month Pivot'!$C$3:$C$400)=TRIM($A202)) * ('Full month Pivot'!$D$2:$K$2=U$2) * 'Full month Pivot'!$D$3:$K$400)&gt;0, SUMPRODUCT((('Full month Pivot'!$B$3:$B$400=$A$195) + ('Full month Pivot'!$A$3:$A$400=$A$195) &gt; 0) * (TRIM('Full month Pivot'!$C$3:$C$400)=TRIM($A202)) * ('Full month Pivot'!$D$2:$K$2=U$2) * 'Full month Pivot'!$D$3:$K$400), "")</f>
        <v/>
      </c>
      <c r="V202" s="193">
        <f>IF(SUMPRODUCT((('Full month Pivot'!$B$3:$B$400=$A$195) + ('Full month Pivot'!$A$3:$A$400=$A$195) &gt; 0) * (TRIM('Full month Pivot'!$C$3:$C$400)=TRIM($A202)) * ('Full month Pivot'!$D$2:$K$2=V$2) * 'Full month Pivot'!$D$3:$K$400)&gt;0, SUMPRODUCT((('Full month Pivot'!$B$3:$B$400=$A$195) + ('Full month Pivot'!$A$3:$A$400=$A$195) &gt; 0) * (TRIM('Full month Pivot'!$C$3:$C$400)=TRIM($A202)) * ('Full month Pivot'!$D$2:$K$2=V$2) * 'Full month Pivot'!$D$3:$K$400), "")</f>
        <v/>
      </c>
      <c r="W202" s="193">
        <f>IF(SUMPRODUCT((('Full month Pivot'!$B$3:$B$400=$A$195) + ('Full month Pivot'!$A$3:$A$400=$A$195) &gt; 0) * (TRIM('Full month Pivot'!$C$3:$C$400)=TRIM($A202)) * ('Full month Pivot'!$D$2:$K$2=W$2) * 'Full month Pivot'!$D$3:$K$400)&gt;0, SUMPRODUCT((('Full month Pivot'!$B$3:$B$400=$A$195) + ('Full month Pivot'!$A$3:$A$400=$A$195) &gt; 0) * (TRIM('Full month Pivot'!$C$3:$C$400)=TRIM($A202)) * ('Full month Pivot'!$D$2:$K$2=W$2) * 'Full month Pivot'!$D$3:$K$400), "")</f>
        <v/>
      </c>
      <c r="X202" s="193">
        <f>IF(SUMPRODUCT((('Full month Pivot'!$B$3:$B$400=$A$195) + ('Full month Pivot'!$A$3:$A$400=$A$195) &gt; 0) * (TRIM('Full month Pivot'!$C$3:$C$400)=TRIM($A202)) * ('Full month Pivot'!$D$2:$K$2=X$2) * 'Full month Pivot'!$D$3:$K$400)&gt;0, SUMPRODUCT((('Full month Pivot'!$B$3:$B$400=$A$195) + ('Full month Pivot'!$A$3:$A$400=$A$195) &gt; 0) * (TRIM('Full month Pivot'!$C$3:$C$400)=TRIM($A202)) * ('Full month Pivot'!$D$2:$K$2=X$2) * 'Full month Pivot'!$D$3:$K$400), "")</f>
        <v/>
      </c>
      <c r="Y202" s="193">
        <f>IF(SUMPRODUCT((('Full month Pivot'!$B$3:$B$400=$A$195) + ('Full month Pivot'!$A$3:$A$400=$A$195) &gt; 0) * (TRIM('Full month Pivot'!$C$3:$C$400)=TRIM($A202)) * ('Full month Pivot'!$D$2:$K$2=Y$2) * 'Full month Pivot'!$D$3:$K$400)&gt;0, SUMPRODUCT((('Full month Pivot'!$B$3:$B$400=$A$195) + ('Full month Pivot'!$A$3:$A$400=$A$195) &gt; 0) * (TRIM('Full month Pivot'!$C$3:$C$400)=TRIM($A202)) * ('Full month Pivot'!$D$2:$K$2=Y$2) * 'Full month Pivot'!$D$3:$K$400), "")</f>
        <v/>
      </c>
      <c r="Z202" s="193">
        <f>IF(SUMPRODUCT((('Full month Pivot'!$B$3:$B$400=$A$195) + ('Full month Pivot'!$A$3:$A$400=$A$195) &gt; 0) * (TRIM('Full month Pivot'!$C$3:$C$400)=TRIM($A202)) * ('Full month Pivot'!$D$2:$K$2=Z$2) * 'Full month Pivot'!$D$3:$K$400)&gt;0, SUMPRODUCT((('Full month Pivot'!$B$3:$B$400=$A$195) + ('Full month Pivot'!$A$3:$A$400=$A$195) &gt; 0) * (TRIM('Full month Pivot'!$C$3:$C$400)=TRIM($A202)) * ('Full month Pivot'!$D$2:$K$2=Z$2) * 'Full month Pivot'!$D$3:$K$400), "")</f>
        <v/>
      </c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202" t="inlineStr">
        <is>
          <t xml:space="preserve">  Direct</t>
        </is>
      </c>
      <c r="B203" s="193">
        <f>IF(SUMPRODUCT((('MTD Pivot'!$B$3:$B$400=$A$195) + ('MTD Pivot'!$A$3:$A$400=$A$195) &gt; 0) * (TRIM('MTD Pivot'!$C$3:$C$400)=TRIM($A203)) * ('MTD Pivot'!$D$2:$K$2=B$2) * 'MTD Pivot'!$D$3:$K$400)&gt;0, SUMPRODUCT((('MTD Pivot'!$B$3:$B$400=$A$195) + ('MTD Pivot'!$A$3:$A$400=$A$195) &gt; 0) * (TRIM('MTD Pivot'!$C$3:$C$400)=TRIM($A203)) * ('MTD Pivot'!$D$2:$K$2=B$2) * 'MTD Pivot'!$D$3:$K$400), "")</f>
        <v/>
      </c>
      <c r="C203" s="193">
        <f>IF(SUMPRODUCT((('MTD Pivot'!$B$3:$B$400=$A$195) + ('MTD Pivot'!$A$3:$A$400=$A$195) &gt; 0) * (TRIM('MTD Pivot'!$C$3:$C$400)=TRIM($A203)) * ('MTD Pivot'!$D$2:$K$2=C$2) * 'MTD Pivot'!$D$3:$K$400)&gt;0, SUMPRODUCT((('MTD Pivot'!$B$3:$B$400=$A$195) + ('MTD Pivot'!$A$3:$A$400=$A$195) &gt; 0) * (TRIM('MTD Pivot'!$C$3:$C$400)=TRIM($A203)) * ('MTD Pivot'!$D$2:$K$2=C$2) * 'MTD Pivot'!$D$3:$K$400), "")</f>
        <v/>
      </c>
      <c r="D203" s="193">
        <f>IF(SUMPRODUCT((('MTD Pivot'!$B$3:$B$400=$A$195) + ('MTD Pivot'!$A$3:$A$400=$A$195) &gt; 0) * (TRIM('MTD Pivot'!$C$3:$C$400)=TRIM($A203)) * ('MTD Pivot'!$D$2:$K$2=D$2) * 'MTD Pivot'!$D$3:$K$400)&gt;0, SUMPRODUCT((('MTD Pivot'!$B$3:$B$400=$A$195) + ('MTD Pivot'!$A$3:$A$400=$A$195) &gt; 0) * (TRIM('MTD Pivot'!$C$3:$C$400)=TRIM($A203)) * ('MTD Pivot'!$D$2:$K$2=D$2) * 'MTD Pivot'!$D$3:$K$400), "")</f>
        <v/>
      </c>
      <c r="E203" s="193">
        <f>IF(SUMPRODUCT((('MTD Pivot'!$B$3:$B$400=$A$195) + ('MTD Pivot'!$A$3:$A$400=$A$195) &gt; 0) * (TRIM('MTD Pivot'!$C$3:$C$400)=TRIM($A203)) * ('MTD Pivot'!$D$2:$K$2=E$2) * 'MTD Pivot'!$D$3:$K$400)&gt;0, SUMPRODUCT((('MTD Pivot'!$B$3:$B$400=$A$195) + ('MTD Pivot'!$A$3:$A$400=$A$195) &gt; 0) * (TRIM('MTD Pivot'!$C$3:$C$400)=TRIM($A203)) * ('MTD Pivot'!$D$2:$K$2=E$2) * 'MTD Pivot'!$D$3:$K$400), "")</f>
        <v/>
      </c>
      <c r="F203" s="193">
        <f>IF(SUMPRODUCT((('MTD Pivot'!$B$3:$B$400=$A$195) + ('MTD Pivot'!$A$3:$A$400=$A$195) &gt; 0) * (TRIM('MTD Pivot'!$C$3:$C$400)=TRIM($A203)) * ('MTD Pivot'!$D$2:$K$2=F$2) * 'MTD Pivot'!$D$3:$K$400)&gt;0, SUMPRODUCT((('MTD Pivot'!$B$3:$B$400=$A$195) + ('MTD Pivot'!$A$3:$A$400=$A$195) &gt; 0) * (TRIM('MTD Pivot'!$C$3:$C$400)=TRIM($A203)) * ('MTD Pivot'!$D$2:$K$2=F$2) * 'MTD Pivot'!$D$3:$K$400), "")</f>
        <v/>
      </c>
      <c r="G203" s="193">
        <f>IF(SUMPRODUCT((('MTD Pivot'!$B$3:$B$400=$A$195) + ('MTD Pivot'!$A$3:$A$400=$A$195) &gt; 0) * (TRIM('MTD Pivot'!$C$3:$C$400)=TRIM($A203)) * ('MTD Pivot'!$D$2:$K$2=G$2) * 'MTD Pivot'!$D$3:$K$400)&gt;0, SUMPRODUCT((('MTD Pivot'!$B$3:$B$400=$A$195) + ('MTD Pivot'!$A$3:$A$400=$A$195) &gt; 0) * (TRIM('MTD Pivot'!$C$3:$C$400)=TRIM($A203)) * ('MTD Pivot'!$D$2:$K$2=G$2) * 'MTD Pivot'!$D$3:$K$400), "")</f>
        <v/>
      </c>
      <c r="H203" s="193">
        <f>IF(SUMPRODUCT((('MTD Pivot'!$B$3:$B$400=$A$195) + ('MTD Pivot'!$A$3:$A$400=$A$195) &gt; 0) * (TRIM('MTD Pivot'!$C$3:$C$400)=TRIM($A203)) * ('MTD Pivot'!$D$2:$K$2=H$2) * 'MTD Pivot'!$D$3:$K$400)&gt;0, SUMPRODUCT((('MTD Pivot'!$B$3:$B$400=$A$195) + ('MTD Pivot'!$A$3:$A$400=$A$195) &gt; 0) * (TRIM('MTD Pivot'!$C$3:$C$400)=TRIM($A203)) * ('MTD Pivot'!$D$2:$K$2=H$2) * 'MTD Pivot'!$D$3:$K$400), "")</f>
        <v/>
      </c>
      <c r="I203" s="193">
        <f>IF(SUMPRODUCT((('MTD Pivot'!$B$3:$B$400=$A$195) + ('MTD Pivot'!$A$3:$A$400=$A$195) &gt; 0) * (TRIM('MTD Pivot'!$C$3:$C$400)=TRIM($A203)) * ('MTD Pivot'!$D$2:$K$2=I$2) * 'MTD Pivot'!$D$3:$K$400)&gt;0, SUMPRODUCT((('MTD Pivot'!$B$3:$B$400=$A$195) + ('MTD Pivot'!$A$3:$A$400=$A$195) &gt; 0) * (TRIM('MTD Pivot'!$C$3:$C$400)=TRIM($A203)) * ('MTD Pivot'!$D$2:$K$2=I$2) * 'MTD Pivot'!$D$3:$K$400), "")</f>
        <v/>
      </c>
      <c r="J203" s="193">
        <f>IF(SUMPRODUCT((('MTD Pivot'!$B$3:$B$400=$A$195) + ('MTD Pivot'!$A$3:$A$400=$A$195) &gt; 0) * (TRIM('MTD Pivot'!$C$3:$C$400)=TRIM($A203)) * ('MTD Pivot'!$D$2:$K$2=J$2) * 'MTD Pivot'!$D$3:$K$400)&gt;0, SUMPRODUCT((('MTD Pivot'!$B$3:$B$400=$A$195) + ('MTD Pivot'!$A$3:$A$400=$A$195) &gt; 0) * (TRIM('MTD Pivot'!$C$3:$C$400)=TRIM($A203)) * ('MTD Pivot'!$D$2:$K$2=J$2) * 'MTD Pivot'!$D$3:$K$400), "")</f>
        <v/>
      </c>
      <c r="K203" s="193">
        <f>IF(SUMPRODUCT((('MTD Pivot'!$B$3:$B$400=$A$195) + ('MTD Pivot'!$A$3:$A$400=$A$195) &gt; 0) * (TRIM('MTD Pivot'!$C$3:$C$400)=TRIM($A203)) * ('MTD Pivot'!$D$2:$K$2=K$2) * 'MTD Pivot'!$D$3:$K$400)&gt;0, SUMPRODUCT((('MTD Pivot'!$B$3:$B$400=$A$195) + ('MTD Pivot'!$A$3:$A$400=$A$195) &gt; 0) * (TRIM('MTD Pivot'!$C$3:$C$400)=TRIM($A203)) * ('MTD Pivot'!$D$2:$K$2=K$2) * 'MTD Pivot'!$D$3:$K$400), "")</f>
        <v/>
      </c>
      <c r="L203" s="193">
        <f>IF(SUMPRODUCT((('MTD Pivot'!$B$3:$B$400=$A$195) + ('MTD Pivot'!$A$3:$A$400=$A$195) &gt; 0) * (TRIM('MTD Pivot'!$C$3:$C$400)=TRIM($A203)) * ('MTD Pivot'!$D$2:$K$2=L$2) * 'MTD Pivot'!$D$3:$K$400)&gt;0, SUMPRODUCT((('MTD Pivot'!$B$3:$B$400=$A$195) + ('MTD Pivot'!$A$3:$A$400=$A$195) &gt; 0) * (TRIM('MTD Pivot'!$C$3:$C$400)=TRIM($A203)) * ('MTD Pivot'!$D$2:$K$2=L$2) * 'MTD Pivot'!$D$3:$K$400), "")</f>
        <v/>
      </c>
      <c r="M203" s="193">
        <f>IF(SUMPRODUCT((('MTD Pivot'!$B$3:$B$400=$A$195) + ('MTD Pivot'!$A$3:$A$400=$A$195) &gt; 0) * (TRIM('MTD Pivot'!$C$3:$C$400)=TRIM($A203)) * ('MTD Pivot'!$D$2:$K$2=M$2) * 'MTD Pivot'!$D$3:$K$400)&gt;0, SUMPRODUCT((('MTD Pivot'!$B$3:$B$400=$A$195) + ('MTD Pivot'!$A$3:$A$400=$A$195) &gt; 0) * (TRIM('MTD Pivot'!$C$3:$C$400)=TRIM($A203)) * ('MTD Pivot'!$D$2:$K$2=M$2) * 'MTD Pivot'!$D$3:$K$400), "")</f>
        <v/>
      </c>
      <c r="N203" s="157">
        <f>IF(AND(ISNUMBER(K203), ISNUMBER(J203), J203&gt;0), (K203-J203)/J203, "")</f>
        <v/>
      </c>
      <c r="O203" s="193">
        <f>IF(SUMPRODUCT((('Full month Pivot'!$B$3:$B$400=$A$195) + ('Full month Pivot'!$A$3:$A$400=$A$195) &gt; 0) * (TRIM('Full month Pivot'!$C$3:$C$400)=TRIM($A203)) * ('Full month Pivot'!$D$2:$K$2=O$2) * 'Full month Pivot'!$D$3:$K$400)&gt;0, SUMPRODUCT((('Full month Pivot'!$B$3:$B$400=$A$195) + ('Full month Pivot'!$A$3:$A$400=$A$195) &gt; 0) * (TRIM('Full month Pivot'!$C$3:$C$400)=TRIM($A203)) * ('Full month Pivot'!$D$2:$K$2=O$2) * 'Full month Pivot'!$D$3:$K$400), "")</f>
        <v/>
      </c>
      <c r="P203" s="193">
        <f>IF(SUMPRODUCT((('Full month Pivot'!$B$3:$B$400=$A$195) + ('Full month Pivot'!$A$3:$A$400=$A$195) &gt; 0) * (TRIM('Full month Pivot'!$C$3:$C$400)=TRIM($A203)) * ('Full month Pivot'!$D$2:$K$2=P$2) * 'Full month Pivot'!$D$3:$K$400)&gt;0, SUMPRODUCT((('Full month Pivot'!$B$3:$B$400=$A$195) + ('Full month Pivot'!$A$3:$A$400=$A$195) &gt; 0) * (TRIM('Full month Pivot'!$C$3:$C$400)=TRIM($A203)) * ('Full month Pivot'!$D$2:$K$2=P$2) * 'Full month Pivot'!$D$3:$K$400), "")</f>
        <v/>
      </c>
      <c r="Q203" s="193">
        <f>IF(SUMPRODUCT((('Full month Pivot'!$B$3:$B$400=$A$195) + ('Full month Pivot'!$A$3:$A$400=$A$195) &gt; 0) * (TRIM('Full month Pivot'!$C$3:$C$400)=TRIM($A203)) * ('Full month Pivot'!$D$2:$K$2=Q$2) * 'Full month Pivot'!$D$3:$K$400)&gt;0, SUMPRODUCT((('Full month Pivot'!$B$3:$B$400=$A$195) + ('Full month Pivot'!$A$3:$A$400=$A$195) &gt; 0) * (TRIM('Full month Pivot'!$C$3:$C$400)=TRIM($A203)) * ('Full month Pivot'!$D$2:$K$2=Q$2) * 'Full month Pivot'!$D$3:$K$400), "")</f>
        <v/>
      </c>
      <c r="R203" s="193">
        <f>IF(SUMPRODUCT((('Full month Pivot'!$B$3:$B$400=$A$195) + ('Full month Pivot'!$A$3:$A$400=$A$195) &gt; 0) * (TRIM('Full month Pivot'!$C$3:$C$400)=TRIM($A203)) * ('Full month Pivot'!$D$2:$K$2=R$2) * 'Full month Pivot'!$D$3:$K$400)&gt;0, SUMPRODUCT((('Full month Pivot'!$B$3:$B$400=$A$195) + ('Full month Pivot'!$A$3:$A$400=$A$195) &gt; 0) * (TRIM('Full month Pivot'!$C$3:$C$400)=TRIM($A203)) * ('Full month Pivot'!$D$2:$K$2=R$2) * 'Full month Pivot'!$D$3:$K$400), "")</f>
        <v/>
      </c>
      <c r="S203" s="193">
        <f>IF(SUMPRODUCT((('Full month Pivot'!$B$3:$B$400=$A$195) + ('Full month Pivot'!$A$3:$A$400=$A$195) &gt; 0) * (TRIM('Full month Pivot'!$C$3:$C$400)=TRIM($A203)) * ('Full month Pivot'!$D$2:$K$2=S$2) * 'Full month Pivot'!$D$3:$K$400)&gt;0, SUMPRODUCT((('Full month Pivot'!$B$3:$B$400=$A$195) + ('Full month Pivot'!$A$3:$A$400=$A$195) &gt; 0) * (TRIM('Full month Pivot'!$C$3:$C$400)=TRIM($A203)) * ('Full month Pivot'!$D$2:$K$2=S$2) * 'Full month Pivot'!$D$3:$K$400), "")</f>
        <v/>
      </c>
      <c r="T203" s="193">
        <f>IF(SUMPRODUCT((('Full month Pivot'!$B$3:$B$400=$A$195) + ('Full month Pivot'!$A$3:$A$400=$A$195) &gt; 0) * (TRIM('Full month Pivot'!$C$3:$C$400)=TRIM($A203)) * ('Full month Pivot'!$D$2:$K$2=T$2) * 'Full month Pivot'!$D$3:$K$400)&gt;0, SUMPRODUCT((('Full month Pivot'!$B$3:$B$400=$A$195) + ('Full month Pivot'!$A$3:$A$400=$A$195) &gt; 0) * (TRIM('Full month Pivot'!$C$3:$C$400)=TRIM($A203)) * ('Full month Pivot'!$D$2:$K$2=T$2) * 'Full month Pivot'!$D$3:$K$400), "")</f>
        <v/>
      </c>
      <c r="U203" s="193">
        <f>IF(SUMPRODUCT((('Full month Pivot'!$B$3:$B$400=$A$195) + ('Full month Pivot'!$A$3:$A$400=$A$195) &gt; 0) * (TRIM('Full month Pivot'!$C$3:$C$400)=TRIM($A203)) * ('Full month Pivot'!$D$2:$K$2=U$2) * 'Full month Pivot'!$D$3:$K$400)&gt;0, SUMPRODUCT((('Full month Pivot'!$B$3:$B$400=$A$195) + ('Full month Pivot'!$A$3:$A$400=$A$195) &gt; 0) * (TRIM('Full month Pivot'!$C$3:$C$400)=TRIM($A203)) * ('Full month Pivot'!$D$2:$K$2=U$2) * 'Full month Pivot'!$D$3:$K$400), "")</f>
        <v/>
      </c>
      <c r="V203" s="193">
        <f>IF(SUMPRODUCT((('Full month Pivot'!$B$3:$B$400=$A$195) + ('Full month Pivot'!$A$3:$A$400=$A$195) &gt; 0) * (TRIM('Full month Pivot'!$C$3:$C$400)=TRIM($A203)) * ('Full month Pivot'!$D$2:$K$2=V$2) * 'Full month Pivot'!$D$3:$K$400)&gt;0, SUMPRODUCT((('Full month Pivot'!$B$3:$B$400=$A$195) + ('Full month Pivot'!$A$3:$A$400=$A$195) &gt; 0) * (TRIM('Full month Pivot'!$C$3:$C$400)=TRIM($A203)) * ('Full month Pivot'!$D$2:$K$2=V$2) * 'Full month Pivot'!$D$3:$K$400), "")</f>
        <v/>
      </c>
      <c r="W203" s="193">
        <f>IF(SUMPRODUCT((('Full month Pivot'!$B$3:$B$400=$A$195) + ('Full month Pivot'!$A$3:$A$400=$A$195) &gt; 0) * (TRIM('Full month Pivot'!$C$3:$C$400)=TRIM($A203)) * ('Full month Pivot'!$D$2:$K$2=W$2) * 'Full month Pivot'!$D$3:$K$400)&gt;0, SUMPRODUCT((('Full month Pivot'!$B$3:$B$400=$A$195) + ('Full month Pivot'!$A$3:$A$400=$A$195) &gt; 0) * (TRIM('Full month Pivot'!$C$3:$C$400)=TRIM($A203)) * ('Full month Pivot'!$D$2:$K$2=W$2) * 'Full month Pivot'!$D$3:$K$400), "")</f>
        <v/>
      </c>
      <c r="X203" s="193">
        <f>IF(SUMPRODUCT((('Full month Pivot'!$B$3:$B$400=$A$195) + ('Full month Pivot'!$A$3:$A$400=$A$195) &gt; 0) * (TRIM('Full month Pivot'!$C$3:$C$400)=TRIM($A203)) * ('Full month Pivot'!$D$2:$K$2=X$2) * 'Full month Pivot'!$D$3:$K$400)&gt;0, SUMPRODUCT((('Full month Pivot'!$B$3:$B$400=$A$195) + ('Full month Pivot'!$A$3:$A$400=$A$195) &gt; 0) * (TRIM('Full month Pivot'!$C$3:$C$400)=TRIM($A203)) * ('Full month Pivot'!$D$2:$K$2=X$2) * 'Full month Pivot'!$D$3:$K$400), "")</f>
        <v/>
      </c>
      <c r="Y203" s="193">
        <f>IF(SUMPRODUCT((('Full month Pivot'!$B$3:$B$400=$A$195) + ('Full month Pivot'!$A$3:$A$400=$A$195) &gt; 0) * (TRIM('Full month Pivot'!$C$3:$C$400)=TRIM($A203)) * ('Full month Pivot'!$D$2:$K$2=Y$2) * 'Full month Pivot'!$D$3:$K$400)&gt;0, SUMPRODUCT((('Full month Pivot'!$B$3:$B$400=$A$195) + ('Full month Pivot'!$A$3:$A$400=$A$195) &gt; 0) * (TRIM('Full month Pivot'!$C$3:$C$400)=TRIM($A203)) * ('Full month Pivot'!$D$2:$K$2=Y$2) * 'Full month Pivot'!$D$3:$K$400), "")</f>
        <v/>
      </c>
      <c r="Z203" s="193">
        <f>IF(SUMPRODUCT((('Full month Pivot'!$B$3:$B$400=$A$195) + ('Full month Pivot'!$A$3:$A$400=$A$195) &gt; 0) * (TRIM('Full month Pivot'!$C$3:$C$400)=TRIM($A203)) * ('Full month Pivot'!$D$2:$K$2=Z$2) * 'Full month Pivot'!$D$3:$K$400)&gt;0, SUMPRODUCT((('Full month Pivot'!$B$3:$B$400=$A$195) + ('Full month Pivot'!$A$3:$A$400=$A$195) &gt; 0) * (TRIM('Full month Pivot'!$C$3:$C$400)=TRIM($A203)) * ('Full month Pivot'!$D$2:$K$2=Z$2) * 'Full month Pivot'!$D$3:$K$400), "")</f>
        <v/>
      </c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202" t="inlineStr">
        <is>
          <t xml:space="preserve">  Referral</t>
        </is>
      </c>
      <c r="B204" s="193">
        <f>IF(SUMPRODUCT((('MTD Pivot'!$B$3:$B$400=$A$195) + ('MTD Pivot'!$A$3:$A$400=$A$195) &gt; 0) * (TRIM('MTD Pivot'!$C$3:$C$400)=TRIM($A204)) * ('MTD Pivot'!$D$2:$K$2=B$2) * 'MTD Pivot'!$D$3:$K$400)&gt;0, SUMPRODUCT((('MTD Pivot'!$B$3:$B$400=$A$195) + ('MTD Pivot'!$A$3:$A$400=$A$195) &gt; 0) * (TRIM('MTD Pivot'!$C$3:$C$400)=TRIM($A204)) * ('MTD Pivot'!$D$2:$K$2=B$2) * 'MTD Pivot'!$D$3:$K$400), "")</f>
        <v/>
      </c>
      <c r="C204" s="193">
        <f>IF(SUMPRODUCT((('MTD Pivot'!$B$3:$B$400=$A$195) + ('MTD Pivot'!$A$3:$A$400=$A$195) &gt; 0) * (TRIM('MTD Pivot'!$C$3:$C$400)=TRIM($A204)) * ('MTD Pivot'!$D$2:$K$2=C$2) * 'MTD Pivot'!$D$3:$K$400)&gt;0, SUMPRODUCT((('MTD Pivot'!$B$3:$B$400=$A$195) + ('MTD Pivot'!$A$3:$A$400=$A$195) &gt; 0) * (TRIM('MTD Pivot'!$C$3:$C$400)=TRIM($A204)) * ('MTD Pivot'!$D$2:$K$2=C$2) * 'MTD Pivot'!$D$3:$K$400), "")</f>
        <v/>
      </c>
      <c r="D204" s="193">
        <f>IF(SUMPRODUCT((('MTD Pivot'!$B$3:$B$400=$A$195) + ('MTD Pivot'!$A$3:$A$400=$A$195) &gt; 0) * (TRIM('MTD Pivot'!$C$3:$C$400)=TRIM($A204)) * ('MTD Pivot'!$D$2:$K$2=D$2) * 'MTD Pivot'!$D$3:$K$400)&gt;0, SUMPRODUCT((('MTD Pivot'!$B$3:$B$400=$A$195) + ('MTD Pivot'!$A$3:$A$400=$A$195) &gt; 0) * (TRIM('MTD Pivot'!$C$3:$C$400)=TRIM($A204)) * ('MTD Pivot'!$D$2:$K$2=D$2) * 'MTD Pivot'!$D$3:$K$400), "")</f>
        <v/>
      </c>
      <c r="E204" s="193">
        <f>IF(SUMPRODUCT((('MTD Pivot'!$B$3:$B$400=$A$195) + ('MTD Pivot'!$A$3:$A$400=$A$195) &gt; 0) * (TRIM('MTD Pivot'!$C$3:$C$400)=TRIM($A204)) * ('MTD Pivot'!$D$2:$K$2=E$2) * 'MTD Pivot'!$D$3:$K$400)&gt;0, SUMPRODUCT((('MTD Pivot'!$B$3:$B$400=$A$195) + ('MTD Pivot'!$A$3:$A$400=$A$195) &gt; 0) * (TRIM('MTD Pivot'!$C$3:$C$400)=TRIM($A204)) * ('MTD Pivot'!$D$2:$K$2=E$2) * 'MTD Pivot'!$D$3:$K$400), "")</f>
        <v/>
      </c>
      <c r="F204" s="193">
        <f>IF(SUMPRODUCT((('MTD Pivot'!$B$3:$B$400=$A$195) + ('MTD Pivot'!$A$3:$A$400=$A$195) &gt; 0) * (TRIM('MTD Pivot'!$C$3:$C$400)=TRIM($A204)) * ('MTD Pivot'!$D$2:$K$2=F$2) * 'MTD Pivot'!$D$3:$K$400)&gt;0, SUMPRODUCT((('MTD Pivot'!$B$3:$B$400=$A$195) + ('MTD Pivot'!$A$3:$A$400=$A$195) &gt; 0) * (TRIM('MTD Pivot'!$C$3:$C$400)=TRIM($A204)) * ('MTD Pivot'!$D$2:$K$2=F$2) * 'MTD Pivot'!$D$3:$K$400), "")</f>
        <v/>
      </c>
      <c r="G204" s="193">
        <f>IF(SUMPRODUCT((('MTD Pivot'!$B$3:$B$400=$A$195) + ('MTD Pivot'!$A$3:$A$400=$A$195) &gt; 0) * (TRIM('MTD Pivot'!$C$3:$C$400)=TRIM($A204)) * ('MTD Pivot'!$D$2:$K$2=G$2) * 'MTD Pivot'!$D$3:$K$400)&gt;0, SUMPRODUCT((('MTD Pivot'!$B$3:$B$400=$A$195) + ('MTD Pivot'!$A$3:$A$400=$A$195) &gt; 0) * (TRIM('MTD Pivot'!$C$3:$C$400)=TRIM($A204)) * ('MTD Pivot'!$D$2:$K$2=G$2) * 'MTD Pivot'!$D$3:$K$400), "")</f>
        <v/>
      </c>
      <c r="H204" s="193">
        <f>IF(SUMPRODUCT((('MTD Pivot'!$B$3:$B$400=$A$195) + ('MTD Pivot'!$A$3:$A$400=$A$195) &gt; 0) * (TRIM('MTD Pivot'!$C$3:$C$400)=TRIM($A204)) * ('MTD Pivot'!$D$2:$K$2=H$2) * 'MTD Pivot'!$D$3:$K$400)&gt;0, SUMPRODUCT((('MTD Pivot'!$B$3:$B$400=$A$195) + ('MTD Pivot'!$A$3:$A$400=$A$195) &gt; 0) * (TRIM('MTD Pivot'!$C$3:$C$400)=TRIM($A204)) * ('MTD Pivot'!$D$2:$K$2=H$2) * 'MTD Pivot'!$D$3:$K$400), "")</f>
        <v/>
      </c>
      <c r="I204" s="193">
        <f>IF(SUMPRODUCT((('MTD Pivot'!$B$3:$B$400=$A$195) + ('MTD Pivot'!$A$3:$A$400=$A$195) &gt; 0) * (TRIM('MTD Pivot'!$C$3:$C$400)=TRIM($A204)) * ('MTD Pivot'!$D$2:$K$2=I$2) * 'MTD Pivot'!$D$3:$K$400)&gt;0, SUMPRODUCT((('MTD Pivot'!$B$3:$B$400=$A$195) + ('MTD Pivot'!$A$3:$A$400=$A$195) &gt; 0) * (TRIM('MTD Pivot'!$C$3:$C$400)=TRIM($A204)) * ('MTD Pivot'!$D$2:$K$2=I$2) * 'MTD Pivot'!$D$3:$K$400), "")</f>
        <v/>
      </c>
      <c r="J204" s="193">
        <f>IF(SUMPRODUCT((('MTD Pivot'!$B$3:$B$400=$A$195) + ('MTD Pivot'!$A$3:$A$400=$A$195) &gt; 0) * (TRIM('MTD Pivot'!$C$3:$C$400)=TRIM($A204)) * ('MTD Pivot'!$D$2:$K$2=J$2) * 'MTD Pivot'!$D$3:$K$400)&gt;0, SUMPRODUCT((('MTD Pivot'!$B$3:$B$400=$A$195) + ('MTD Pivot'!$A$3:$A$400=$A$195) &gt; 0) * (TRIM('MTD Pivot'!$C$3:$C$400)=TRIM($A204)) * ('MTD Pivot'!$D$2:$K$2=J$2) * 'MTD Pivot'!$D$3:$K$400), "")</f>
        <v/>
      </c>
      <c r="K204" s="193">
        <f>IF(SUMPRODUCT((('MTD Pivot'!$B$3:$B$400=$A$195) + ('MTD Pivot'!$A$3:$A$400=$A$195) &gt; 0) * (TRIM('MTD Pivot'!$C$3:$C$400)=TRIM($A204)) * ('MTD Pivot'!$D$2:$K$2=K$2) * 'MTD Pivot'!$D$3:$K$400)&gt;0, SUMPRODUCT((('MTD Pivot'!$B$3:$B$400=$A$195) + ('MTD Pivot'!$A$3:$A$400=$A$195) &gt; 0) * (TRIM('MTD Pivot'!$C$3:$C$400)=TRIM($A204)) * ('MTD Pivot'!$D$2:$K$2=K$2) * 'MTD Pivot'!$D$3:$K$400), "")</f>
        <v/>
      </c>
      <c r="L204" s="193">
        <f>IF(SUMPRODUCT((('MTD Pivot'!$B$3:$B$400=$A$195) + ('MTD Pivot'!$A$3:$A$400=$A$195) &gt; 0) * (TRIM('MTD Pivot'!$C$3:$C$400)=TRIM($A204)) * ('MTD Pivot'!$D$2:$K$2=L$2) * 'MTD Pivot'!$D$3:$K$400)&gt;0, SUMPRODUCT((('MTD Pivot'!$B$3:$B$400=$A$195) + ('MTD Pivot'!$A$3:$A$400=$A$195) &gt; 0) * (TRIM('MTD Pivot'!$C$3:$C$400)=TRIM($A204)) * ('MTD Pivot'!$D$2:$K$2=L$2) * 'MTD Pivot'!$D$3:$K$400), "")</f>
        <v/>
      </c>
      <c r="M204" s="193">
        <f>IF(SUMPRODUCT((('MTD Pivot'!$B$3:$B$400=$A$195) + ('MTD Pivot'!$A$3:$A$400=$A$195) &gt; 0) * (TRIM('MTD Pivot'!$C$3:$C$400)=TRIM($A204)) * ('MTD Pivot'!$D$2:$K$2=M$2) * 'MTD Pivot'!$D$3:$K$400)&gt;0, SUMPRODUCT((('MTD Pivot'!$B$3:$B$400=$A$195) + ('MTD Pivot'!$A$3:$A$400=$A$195) &gt; 0) * (TRIM('MTD Pivot'!$C$3:$C$400)=TRIM($A204)) * ('MTD Pivot'!$D$2:$K$2=M$2) * 'MTD Pivot'!$D$3:$K$400), "")</f>
        <v/>
      </c>
      <c r="N204" s="157">
        <f>IF(AND(ISNUMBER(K204), ISNUMBER(J204), J204&gt;0), (K204-J204)/J204, "")</f>
        <v/>
      </c>
      <c r="O204" s="193">
        <f>IF(SUMPRODUCT((('Full month Pivot'!$B$3:$B$400=$A$195) + ('Full month Pivot'!$A$3:$A$400=$A$195) &gt; 0) * (TRIM('Full month Pivot'!$C$3:$C$400)=TRIM($A204)) * ('Full month Pivot'!$D$2:$K$2=O$2) * 'Full month Pivot'!$D$3:$K$400)&gt;0, SUMPRODUCT((('Full month Pivot'!$B$3:$B$400=$A$195) + ('Full month Pivot'!$A$3:$A$400=$A$195) &gt; 0) * (TRIM('Full month Pivot'!$C$3:$C$400)=TRIM($A204)) * ('Full month Pivot'!$D$2:$K$2=O$2) * 'Full month Pivot'!$D$3:$K$400), "")</f>
        <v/>
      </c>
      <c r="P204" s="193">
        <f>IF(SUMPRODUCT((('Full month Pivot'!$B$3:$B$400=$A$195) + ('Full month Pivot'!$A$3:$A$400=$A$195) &gt; 0) * (TRIM('Full month Pivot'!$C$3:$C$400)=TRIM($A204)) * ('Full month Pivot'!$D$2:$K$2=P$2) * 'Full month Pivot'!$D$3:$K$400)&gt;0, SUMPRODUCT((('Full month Pivot'!$B$3:$B$400=$A$195) + ('Full month Pivot'!$A$3:$A$400=$A$195) &gt; 0) * (TRIM('Full month Pivot'!$C$3:$C$400)=TRIM($A204)) * ('Full month Pivot'!$D$2:$K$2=P$2) * 'Full month Pivot'!$D$3:$K$400), "")</f>
        <v/>
      </c>
      <c r="Q204" s="193">
        <f>IF(SUMPRODUCT((('Full month Pivot'!$B$3:$B$400=$A$195) + ('Full month Pivot'!$A$3:$A$400=$A$195) &gt; 0) * (TRIM('Full month Pivot'!$C$3:$C$400)=TRIM($A204)) * ('Full month Pivot'!$D$2:$K$2=Q$2) * 'Full month Pivot'!$D$3:$K$400)&gt;0, SUMPRODUCT((('Full month Pivot'!$B$3:$B$400=$A$195) + ('Full month Pivot'!$A$3:$A$400=$A$195) &gt; 0) * (TRIM('Full month Pivot'!$C$3:$C$400)=TRIM($A204)) * ('Full month Pivot'!$D$2:$K$2=Q$2) * 'Full month Pivot'!$D$3:$K$400), "")</f>
        <v/>
      </c>
      <c r="R204" s="193">
        <f>IF(SUMPRODUCT((('Full month Pivot'!$B$3:$B$400=$A$195) + ('Full month Pivot'!$A$3:$A$400=$A$195) &gt; 0) * (TRIM('Full month Pivot'!$C$3:$C$400)=TRIM($A204)) * ('Full month Pivot'!$D$2:$K$2=R$2) * 'Full month Pivot'!$D$3:$K$400)&gt;0, SUMPRODUCT((('Full month Pivot'!$B$3:$B$400=$A$195) + ('Full month Pivot'!$A$3:$A$400=$A$195) &gt; 0) * (TRIM('Full month Pivot'!$C$3:$C$400)=TRIM($A204)) * ('Full month Pivot'!$D$2:$K$2=R$2) * 'Full month Pivot'!$D$3:$K$400), "")</f>
        <v/>
      </c>
      <c r="S204" s="193">
        <f>IF(SUMPRODUCT((('Full month Pivot'!$B$3:$B$400=$A$195) + ('Full month Pivot'!$A$3:$A$400=$A$195) &gt; 0) * (TRIM('Full month Pivot'!$C$3:$C$400)=TRIM($A204)) * ('Full month Pivot'!$D$2:$K$2=S$2) * 'Full month Pivot'!$D$3:$K$400)&gt;0, SUMPRODUCT((('Full month Pivot'!$B$3:$B$400=$A$195) + ('Full month Pivot'!$A$3:$A$400=$A$195) &gt; 0) * (TRIM('Full month Pivot'!$C$3:$C$400)=TRIM($A204)) * ('Full month Pivot'!$D$2:$K$2=S$2) * 'Full month Pivot'!$D$3:$K$400), "")</f>
        <v/>
      </c>
      <c r="T204" s="193">
        <f>IF(SUMPRODUCT((('Full month Pivot'!$B$3:$B$400=$A$195) + ('Full month Pivot'!$A$3:$A$400=$A$195) &gt; 0) * (TRIM('Full month Pivot'!$C$3:$C$400)=TRIM($A204)) * ('Full month Pivot'!$D$2:$K$2=T$2) * 'Full month Pivot'!$D$3:$K$400)&gt;0, SUMPRODUCT((('Full month Pivot'!$B$3:$B$400=$A$195) + ('Full month Pivot'!$A$3:$A$400=$A$195) &gt; 0) * (TRIM('Full month Pivot'!$C$3:$C$400)=TRIM($A204)) * ('Full month Pivot'!$D$2:$K$2=T$2) * 'Full month Pivot'!$D$3:$K$400), "")</f>
        <v/>
      </c>
      <c r="U204" s="193">
        <f>IF(SUMPRODUCT((('Full month Pivot'!$B$3:$B$400=$A$195) + ('Full month Pivot'!$A$3:$A$400=$A$195) &gt; 0) * (TRIM('Full month Pivot'!$C$3:$C$400)=TRIM($A204)) * ('Full month Pivot'!$D$2:$K$2=U$2) * 'Full month Pivot'!$D$3:$K$400)&gt;0, SUMPRODUCT((('Full month Pivot'!$B$3:$B$400=$A$195) + ('Full month Pivot'!$A$3:$A$400=$A$195) &gt; 0) * (TRIM('Full month Pivot'!$C$3:$C$400)=TRIM($A204)) * ('Full month Pivot'!$D$2:$K$2=U$2) * 'Full month Pivot'!$D$3:$K$400), "")</f>
        <v/>
      </c>
      <c r="V204" s="193">
        <f>IF(SUMPRODUCT((('Full month Pivot'!$B$3:$B$400=$A$195) + ('Full month Pivot'!$A$3:$A$400=$A$195) &gt; 0) * (TRIM('Full month Pivot'!$C$3:$C$400)=TRIM($A204)) * ('Full month Pivot'!$D$2:$K$2=V$2) * 'Full month Pivot'!$D$3:$K$400)&gt;0, SUMPRODUCT((('Full month Pivot'!$B$3:$B$400=$A$195) + ('Full month Pivot'!$A$3:$A$400=$A$195) &gt; 0) * (TRIM('Full month Pivot'!$C$3:$C$400)=TRIM($A204)) * ('Full month Pivot'!$D$2:$K$2=V$2) * 'Full month Pivot'!$D$3:$K$400), "")</f>
        <v/>
      </c>
      <c r="W204" s="193">
        <f>IF(SUMPRODUCT((('Full month Pivot'!$B$3:$B$400=$A$195) + ('Full month Pivot'!$A$3:$A$400=$A$195) &gt; 0) * (TRIM('Full month Pivot'!$C$3:$C$400)=TRIM($A204)) * ('Full month Pivot'!$D$2:$K$2=W$2) * 'Full month Pivot'!$D$3:$K$400)&gt;0, SUMPRODUCT((('Full month Pivot'!$B$3:$B$400=$A$195) + ('Full month Pivot'!$A$3:$A$400=$A$195) &gt; 0) * (TRIM('Full month Pivot'!$C$3:$C$400)=TRIM($A204)) * ('Full month Pivot'!$D$2:$K$2=W$2) * 'Full month Pivot'!$D$3:$K$400), "")</f>
        <v/>
      </c>
      <c r="X204" s="193">
        <f>IF(SUMPRODUCT((('Full month Pivot'!$B$3:$B$400=$A$195) + ('Full month Pivot'!$A$3:$A$400=$A$195) &gt; 0) * (TRIM('Full month Pivot'!$C$3:$C$400)=TRIM($A204)) * ('Full month Pivot'!$D$2:$K$2=X$2) * 'Full month Pivot'!$D$3:$K$400)&gt;0, SUMPRODUCT((('Full month Pivot'!$B$3:$B$400=$A$195) + ('Full month Pivot'!$A$3:$A$400=$A$195) &gt; 0) * (TRIM('Full month Pivot'!$C$3:$C$400)=TRIM($A204)) * ('Full month Pivot'!$D$2:$K$2=X$2) * 'Full month Pivot'!$D$3:$K$400), "")</f>
        <v/>
      </c>
      <c r="Y204" s="193">
        <f>IF(SUMPRODUCT((('Full month Pivot'!$B$3:$B$400=$A$195) + ('Full month Pivot'!$A$3:$A$400=$A$195) &gt; 0) * (TRIM('Full month Pivot'!$C$3:$C$400)=TRIM($A204)) * ('Full month Pivot'!$D$2:$K$2=Y$2) * 'Full month Pivot'!$D$3:$K$400)&gt;0, SUMPRODUCT((('Full month Pivot'!$B$3:$B$400=$A$195) + ('Full month Pivot'!$A$3:$A$400=$A$195) &gt; 0) * (TRIM('Full month Pivot'!$C$3:$C$400)=TRIM($A204)) * ('Full month Pivot'!$D$2:$K$2=Y$2) * 'Full month Pivot'!$D$3:$K$400), "")</f>
        <v/>
      </c>
      <c r="Z204" s="193">
        <f>IF(SUMPRODUCT((('Full month Pivot'!$B$3:$B$400=$A$195) + ('Full month Pivot'!$A$3:$A$400=$A$195) &gt; 0) * (TRIM('Full month Pivot'!$C$3:$C$400)=TRIM($A204)) * ('Full month Pivot'!$D$2:$K$2=Z$2) * 'Full month Pivot'!$D$3:$K$400)&gt;0, SUMPRODUCT((('Full month Pivot'!$B$3:$B$400=$A$195) + ('Full month Pivot'!$A$3:$A$400=$A$195) &gt; 0) * (TRIM('Full month Pivot'!$C$3:$C$400)=TRIM($A204)) * ('Full month Pivot'!$D$2:$K$2=Z$2) * 'Full month Pivot'!$D$3:$K$400), "")</f>
        <v/>
      </c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202" t="inlineStr">
        <is>
          <t xml:space="preserve">  Others</t>
        </is>
      </c>
      <c r="B205" s="193">
        <f>IF(SUMPRODUCT((('MTD Pivot'!$B$3:$B$400=$A$195) + ('MTD Pivot'!$A$3:$A$400=$A$195) &gt; 0) * (TRIM('MTD Pivot'!$C$3:$C$400)=TRIM($A205)) * ('MTD Pivot'!$D$2:$K$2=B$2) * 'MTD Pivot'!$D$3:$K$400)&gt;0, SUMPRODUCT((('MTD Pivot'!$B$3:$B$400=$A$195) + ('MTD Pivot'!$A$3:$A$400=$A$195) &gt; 0) * (TRIM('MTD Pivot'!$C$3:$C$400)=TRIM($A205)) * ('MTD Pivot'!$D$2:$K$2=B$2) * 'MTD Pivot'!$D$3:$K$400), "")</f>
        <v/>
      </c>
      <c r="C205" s="193">
        <f>IF(SUMPRODUCT((('MTD Pivot'!$B$3:$B$400=$A$195) + ('MTD Pivot'!$A$3:$A$400=$A$195) &gt; 0) * (TRIM('MTD Pivot'!$C$3:$C$400)=TRIM($A205)) * ('MTD Pivot'!$D$2:$K$2=C$2) * 'MTD Pivot'!$D$3:$K$400)&gt;0, SUMPRODUCT((('MTD Pivot'!$B$3:$B$400=$A$195) + ('MTD Pivot'!$A$3:$A$400=$A$195) &gt; 0) * (TRIM('MTD Pivot'!$C$3:$C$400)=TRIM($A205)) * ('MTD Pivot'!$D$2:$K$2=C$2) * 'MTD Pivot'!$D$3:$K$400), "")</f>
        <v/>
      </c>
      <c r="D205" s="193">
        <f>IF(SUMPRODUCT((('MTD Pivot'!$B$3:$B$400=$A$195) + ('MTD Pivot'!$A$3:$A$400=$A$195) &gt; 0) * (TRIM('MTD Pivot'!$C$3:$C$400)=TRIM($A205)) * ('MTD Pivot'!$D$2:$K$2=D$2) * 'MTD Pivot'!$D$3:$K$400)&gt;0, SUMPRODUCT((('MTD Pivot'!$B$3:$B$400=$A$195) + ('MTD Pivot'!$A$3:$A$400=$A$195) &gt; 0) * (TRIM('MTD Pivot'!$C$3:$C$400)=TRIM($A205)) * ('MTD Pivot'!$D$2:$K$2=D$2) * 'MTD Pivot'!$D$3:$K$400), "")</f>
        <v/>
      </c>
      <c r="E205" s="193">
        <f>IF(SUMPRODUCT((('MTD Pivot'!$B$3:$B$400=$A$195) + ('MTD Pivot'!$A$3:$A$400=$A$195) &gt; 0) * (TRIM('MTD Pivot'!$C$3:$C$400)=TRIM($A205)) * ('MTD Pivot'!$D$2:$K$2=E$2) * 'MTD Pivot'!$D$3:$K$400)&gt;0, SUMPRODUCT((('MTD Pivot'!$B$3:$B$400=$A$195) + ('MTD Pivot'!$A$3:$A$400=$A$195) &gt; 0) * (TRIM('MTD Pivot'!$C$3:$C$400)=TRIM($A205)) * ('MTD Pivot'!$D$2:$K$2=E$2) * 'MTD Pivot'!$D$3:$K$400), "")</f>
        <v/>
      </c>
      <c r="F205" s="193">
        <f>IF(SUMPRODUCT((('MTD Pivot'!$B$3:$B$400=$A$195) + ('MTD Pivot'!$A$3:$A$400=$A$195) &gt; 0) * (TRIM('MTD Pivot'!$C$3:$C$400)=TRIM($A205)) * ('MTD Pivot'!$D$2:$K$2=F$2) * 'MTD Pivot'!$D$3:$K$400)&gt;0, SUMPRODUCT((('MTD Pivot'!$B$3:$B$400=$A$195) + ('MTD Pivot'!$A$3:$A$400=$A$195) &gt; 0) * (TRIM('MTD Pivot'!$C$3:$C$400)=TRIM($A205)) * ('MTD Pivot'!$D$2:$K$2=F$2) * 'MTD Pivot'!$D$3:$K$400), "")</f>
        <v/>
      </c>
      <c r="G205" s="193">
        <f>IF(SUMPRODUCT((('MTD Pivot'!$B$3:$B$400=$A$195) + ('MTD Pivot'!$A$3:$A$400=$A$195) &gt; 0) * (TRIM('MTD Pivot'!$C$3:$C$400)=TRIM($A205)) * ('MTD Pivot'!$D$2:$K$2=G$2) * 'MTD Pivot'!$D$3:$K$400)&gt;0, SUMPRODUCT((('MTD Pivot'!$B$3:$B$400=$A$195) + ('MTD Pivot'!$A$3:$A$400=$A$195) &gt; 0) * (TRIM('MTD Pivot'!$C$3:$C$400)=TRIM($A205)) * ('MTD Pivot'!$D$2:$K$2=G$2) * 'MTD Pivot'!$D$3:$K$400), "")</f>
        <v/>
      </c>
      <c r="H205" s="193">
        <f>IF(SUMPRODUCT((('MTD Pivot'!$B$3:$B$400=$A$195) + ('MTD Pivot'!$A$3:$A$400=$A$195) &gt; 0) * (TRIM('MTD Pivot'!$C$3:$C$400)=TRIM($A205)) * ('MTD Pivot'!$D$2:$K$2=H$2) * 'MTD Pivot'!$D$3:$K$400)&gt;0, SUMPRODUCT((('MTD Pivot'!$B$3:$B$400=$A$195) + ('MTD Pivot'!$A$3:$A$400=$A$195) &gt; 0) * (TRIM('MTD Pivot'!$C$3:$C$400)=TRIM($A205)) * ('MTD Pivot'!$D$2:$K$2=H$2) * 'MTD Pivot'!$D$3:$K$400), "")</f>
        <v/>
      </c>
      <c r="I205" s="193">
        <f>IF(SUMPRODUCT((('MTD Pivot'!$B$3:$B$400=$A$195) + ('MTD Pivot'!$A$3:$A$400=$A$195) &gt; 0) * (TRIM('MTD Pivot'!$C$3:$C$400)=TRIM($A205)) * ('MTD Pivot'!$D$2:$K$2=I$2) * 'MTD Pivot'!$D$3:$K$400)&gt;0, SUMPRODUCT((('MTD Pivot'!$B$3:$B$400=$A$195) + ('MTD Pivot'!$A$3:$A$400=$A$195) &gt; 0) * (TRIM('MTD Pivot'!$C$3:$C$400)=TRIM($A205)) * ('MTD Pivot'!$D$2:$K$2=I$2) * 'MTD Pivot'!$D$3:$K$400), "")</f>
        <v/>
      </c>
      <c r="J205" s="193">
        <f>IF(SUMPRODUCT((('MTD Pivot'!$B$3:$B$400=$A$195) + ('MTD Pivot'!$A$3:$A$400=$A$195) &gt; 0) * (TRIM('MTD Pivot'!$C$3:$C$400)=TRIM($A205)) * ('MTD Pivot'!$D$2:$K$2=J$2) * 'MTD Pivot'!$D$3:$K$400)&gt;0, SUMPRODUCT((('MTD Pivot'!$B$3:$B$400=$A$195) + ('MTD Pivot'!$A$3:$A$400=$A$195) &gt; 0) * (TRIM('MTD Pivot'!$C$3:$C$400)=TRIM($A205)) * ('MTD Pivot'!$D$2:$K$2=J$2) * 'MTD Pivot'!$D$3:$K$400), "")</f>
        <v/>
      </c>
      <c r="K205" s="193">
        <f>IF(SUMPRODUCT((('MTD Pivot'!$B$3:$B$400=$A$195) + ('MTD Pivot'!$A$3:$A$400=$A$195) &gt; 0) * (TRIM('MTD Pivot'!$C$3:$C$400)=TRIM($A205)) * ('MTD Pivot'!$D$2:$K$2=K$2) * 'MTD Pivot'!$D$3:$K$400)&gt;0, SUMPRODUCT((('MTD Pivot'!$B$3:$B$400=$A$195) + ('MTD Pivot'!$A$3:$A$400=$A$195) &gt; 0) * (TRIM('MTD Pivot'!$C$3:$C$400)=TRIM($A205)) * ('MTD Pivot'!$D$2:$K$2=K$2) * 'MTD Pivot'!$D$3:$K$400), "")</f>
        <v/>
      </c>
      <c r="L205" s="193">
        <f>IF(SUMPRODUCT((('MTD Pivot'!$B$3:$B$400=$A$195) + ('MTD Pivot'!$A$3:$A$400=$A$195) &gt; 0) * (TRIM('MTD Pivot'!$C$3:$C$400)=TRIM($A205)) * ('MTD Pivot'!$D$2:$K$2=L$2) * 'MTD Pivot'!$D$3:$K$400)&gt;0, SUMPRODUCT((('MTD Pivot'!$B$3:$B$400=$A$195) + ('MTD Pivot'!$A$3:$A$400=$A$195) &gt; 0) * (TRIM('MTD Pivot'!$C$3:$C$400)=TRIM($A205)) * ('MTD Pivot'!$D$2:$K$2=L$2) * 'MTD Pivot'!$D$3:$K$400), "")</f>
        <v/>
      </c>
      <c r="M205" s="193">
        <f>IF(SUMPRODUCT((('MTD Pivot'!$B$3:$B$400=$A$195) + ('MTD Pivot'!$A$3:$A$400=$A$195) &gt; 0) * (TRIM('MTD Pivot'!$C$3:$C$400)=TRIM($A205)) * ('MTD Pivot'!$D$2:$K$2=M$2) * 'MTD Pivot'!$D$3:$K$400)&gt;0, SUMPRODUCT((('MTD Pivot'!$B$3:$B$400=$A$195) + ('MTD Pivot'!$A$3:$A$400=$A$195) &gt; 0) * (TRIM('MTD Pivot'!$C$3:$C$400)=TRIM($A205)) * ('MTD Pivot'!$D$2:$K$2=M$2) * 'MTD Pivot'!$D$3:$K$400), "")</f>
        <v/>
      </c>
      <c r="N205" s="157">
        <f>IF(AND(ISNUMBER(K205), ISNUMBER(J205), J205&gt;0), (K205-J205)/J205, "")</f>
        <v/>
      </c>
      <c r="O205" s="193">
        <f>IF(SUMPRODUCT((('Full month Pivot'!$B$3:$B$400=$A$195) + ('Full month Pivot'!$A$3:$A$400=$A$195) &gt; 0) * (TRIM('Full month Pivot'!$C$3:$C$400)=TRIM($A205)) * ('Full month Pivot'!$D$2:$K$2=O$2) * 'Full month Pivot'!$D$3:$K$400)&gt;0, SUMPRODUCT((('Full month Pivot'!$B$3:$B$400=$A$195) + ('Full month Pivot'!$A$3:$A$400=$A$195) &gt; 0) * (TRIM('Full month Pivot'!$C$3:$C$400)=TRIM($A205)) * ('Full month Pivot'!$D$2:$K$2=O$2) * 'Full month Pivot'!$D$3:$K$400), "")</f>
        <v/>
      </c>
      <c r="P205" s="193">
        <f>IF(SUMPRODUCT((('Full month Pivot'!$B$3:$B$400=$A$195) + ('Full month Pivot'!$A$3:$A$400=$A$195) &gt; 0) * (TRIM('Full month Pivot'!$C$3:$C$400)=TRIM($A205)) * ('Full month Pivot'!$D$2:$K$2=P$2) * 'Full month Pivot'!$D$3:$K$400)&gt;0, SUMPRODUCT((('Full month Pivot'!$B$3:$B$400=$A$195) + ('Full month Pivot'!$A$3:$A$400=$A$195) &gt; 0) * (TRIM('Full month Pivot'!$C$3:$C$400)=TRIM($A205)) * ('Full month Pivot'!$D$2:$K$2=P$2) * 'Full month Pivot'!$D$3:$K$400), "")</f>
        <v/>
      </c>
      <c r="Q205" s="193">
        <f>IF(SUMPRODUCT((('Full month Pivot'!$B$3:$B$400=$A$195) + ('Full month Pivot'!$A$3:$A$400=$A$195) &gt; 0) * (TRIM('Full month Pivot'!$C$3:$C$400)=TRIM($A205)) * ('Full month Pivot'!$D$2:$K$2=Q$2) * 'Full month Pivot'!$D$3:$K$400)&gt;0, SUMPRODUCT((('Full month Pivot'!$B$3:$B$400=$A$195) + ('Full month Pivot'!$A$3:$A$400=$A$195) &gt; 0) * (TRIM('Full month Pivot'!$C$3:$C$400)=TRIM($A205)) * ('Full month Pivot'!$D$2:$K$2=Q$2) * 'Full month Pivot'!$D$3:$K$400), "")</f>
        <v/>
      </c>
      <c r="R205" s="193">
        <f>IF(SUMPRODUCT((('Full month Pivot'!$B$3:$B$400=$A$195) + ('Full month Pivot'!$A$3:$A$400=$A$195) &gt; 0) * (TRIM('Full month Pivot'!$C$3:$C$400)=TRIM($A205)) * ('Full month Pivot'!$D$2:$K$2=R$2) * 'Full month Pivot'!$D$3:$K$400)&gt;0, SUMPRODUCT((('Full month Pivot'!$B$3:$B$400=$A$195) + ('Full month Pivot'!$A$3:$A$400=$A$195) &gt; 0) * (TRIM('Full month Pivot'!$C$3:$C$400)=TRIM($A205)) * ('Full month Pivot'!$D$2:$K$2=R$2) * 'Full month Pivot'!$D$3:$K$400), "")</f>
        <v/>
      </c>
      <c r="S205" s="193">
        <f>IF(SUMPRODUCT((('Full month Pivot'!$B$3:$B$400=$A$195) + ('Full month Pivot'!$A$3:$A$400=$A$195) &gt; 0) * (TRIM('Full month Pivot'!$C$3:$C$400)=TRIM($A205)) * ('Full month Pivot'!$D$2:$K$2=S$2) * 'Full month Pivot'!$D$3:$K$400)&gt;0, SUMPRODUCT((('Full month Pivot'!$B$3:$B$400=$A$195) + ('Full month Pivot'!$A$3:$A$400=$A$195) &gt; 0) * (TRIM('Full month Pivot'!$C$3:$C$400)=TRIM($A205)) * ('Full month Pivot'!$D$2:$K$2=S$2) * 'Full month Pivot'!$D$3:$K$400), "")</f>
        <v/>
      </c>
      <c r="T205" s="193">
        <f>IF(SUMPRODUCT((('Full month Pivot'!$B$3:$B$400=$A$195) + ('Full month Pivot'!$A$3:$A$400=$A$195) &gt; 0) * (TRIM('Full month Pivot'!$C$3:$C$400)=TRIM($A205)) * ('Full month Pivot'!$D$2:$K$2=T$2) * 'Full month Pivot'!$D$3:$K$400)&gt;0, SUMPRODUCT((('Full month Pivot'!$B$3:$B$400=$A$195) + ('Full month Pivot'!$A$3:$A$400=$A$195) &gt; 0) * (TRIM('Full month Pivot'!$C$3:$C$400)=TRIM($A205)) * ('Full month Pivot'!$D$2:$K$2=T$2) * 'Full month Pivot'!$D$3:$K$400), "")</f>
        <v/>
      </c>
      <c r="U205" s="193">
        <f>IF(SUMPRODUCT((('Full month Pivot'!$B$3:$B$400=$A$195) + ('Full month Pivot'!$A$3:$A$400=$A$195) &gt; 0) * (TRIM('Full month Pivot'!$C$3:$C$400)=TRIM($A205)) * ('Full month Pivot'!$D$2:$K$2=U$2) * 'Full month Pivot'!$D$3:$K$400)&gt;0, SUMPRODUCT((('Full month Pivot'!$B$3:$B$400=$A$195) + ('Full month Pivot'!$A$3:$A$400=$A$195) &gt; 0) * (TRIM('Full month Pivot'!$C$3:$C$400)=TRIM($A205)) * ('Full month Pivot'!$D$2:$K$2=U$2) * 'Full month Pivot'!$D$3:$K$400), "")</f>
        <v/>
      </c>
      <c r="V205" s="193">
        <f>IF(SUMPRODUCT((('Full month Pivot'!$B$3:$B$400=$A$195) + ('Full month Pivot'!$A$3:$A$400=$A$195) &gt; 0) * (TRIM('Full month Pivot'!$C$3:$C$400)=TRIM($A205)) * ('Full month Pivot'!$D$2:$K$2=V$2) * 'Full month Pivot'!$D$3:$K$400)&gt;0, SUMPRODUCT((('Full month Pivot'!$B$3:$B$400=$A$195) + ('Full month Pivot'!$A$3:$A$400=$A$195) &gt; 0) * (TRIM('Full month Pivot'!$C$3:$C$400)=TRIM($A205)) * ('Full month Pivot'!$D$2:$K$2=V$2) * 'Full month Pivot'!$D$3:$K$400), "")</f>
        <v/>
      </c>
      <c r="W205" s="193">
        <f>IF(SUMPRODUCT((('Full month Pivot'!$B$3:$B$400=$A$195) + ('Full month Pivot'!$A$3:$A$400=$A$195) &gt; 0) * (TRIM('Full month Pivot'!$C$3:$C$400)=TRIM($A205)) * ('Full month Pivot'!$D$2:$K$2=W$2) * 'Full month Pivot'!$D$3:$K$400)&gt;0, SUMPRODUCT((('Full month Pivot'!$B$3:$B$400=$A$195) + ('Full month Pivot'!$A$3:$A$400=$A$195) &gt; 0) * (TRIM('Full month Pivot'!$C$3:$C$400)=TRIM($A205)) * ('Full month Pivot'!$D$2:$K$2=W$2) * 'Full month Pivot'!$D$3:$K$400), "")</f>
        <v/>
      </c>
      <c r="X205" s="193">
        <f>IF(SUMPRODUCT((('Full month Pivot'!$B$3:$B$400=$A$195) + ('Full month Pivot'!$A$3:$A$400=$A$195) &gt; 0) * (TRIM('Full month Pivot'!$C$3:$C$400)=TRIM($A205)) * ('Full month Pivot'!$D$2:$K$2=X$2) * 'Full month Pivot'!$D$3:$K$400)&gt;0, SUMPRODUCT((('Full month Pivot'!$B$3:$B$400=$A$195) + ('Full month Pivot'!$A$3:$A$400=$A$195) &gt; 0) * (TRIM('Full month Pivot'!$C$3:$C$400)=TRIM($A205)) * ('Full month Pivot'!$D$2:$K$2=X$2) * 'Full month Pivot'!$D$3:$K$400), "")</f>
        <v/>
      </c>
      <c r="Y205" s="193">
        <f>IF(SUMPRODUCT((('Full month Pivot'!$B$3:$B$400=$A$195) + ('Full month Pivot'!$A$3:$A$400=$A$195) &gt; 0) * (TRIM('Full month Pivot'!$C$3:$C$400)=TRIM($A205)) * ('Full month Pivot'!$D$2:$K$2=Y$2) * 'Full month Pivot'!$D$3:$K$400)&gt;0, SUMPRODUCT((('Full month Pivot'!$B$3:$B$400=$A$195) + ('Full month Pivot'!$A$3:$A$400=$A$195) &gt; 0) * (TRIM('Full month Pivot'!$C$3:$C$400)=TRIM($A205)) * ('Full month Pivot'!$D$2:$K$2=Y$2) * 'Full month Pivot'!$D$3:$K$400), "")</f>
        <v/>
      </c>
      <c r="Z205" s="193">
        <f>IF(SUMPRODUCT((('Full month Pivot'!$B$3:$B$400=$A$195) + ('Full month Pivot'!$A$3:$A$400=$A$195) &gt; 0) * (TRIM('Full month Pivot'!$C$3:$C$400)=TRIM($A205)) * ('Full month Pivot'!$D$2:$K$2=Z$2) * 'Full month Pivot'!$D$3:$K$400)&gt;0, SUMPRODUCT((('Full month Pivot'!$B$3:$B$400=$A$195) + ('Full month Pivot'!$A$3:$A$400=$A$195) &gt; 0) * (TRIM('Full month Pivot'!$C$3:$C$400)=TRIM($A205)) * ('Full month Pivot'!$D$2:$K$2=Z$2) * 'Full month Pivot'!$D$3:$K$400), "")</f>
        <v/>
      </c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202" t="n"/>
      <c r="B206" s="202" t="n"/>
      <c r="C206" s="202" t="n"/>
      <c r="D206" s="202" t="n"/>
      <c r="E206" s="202" t="n"/>
      <c r="F206" s="202" t="n"/>
      <c r="G206" s="202" t="n"/>
      <c r="H206" s="202" t="n"/>
      <c r="I206" s="202" t="n"/>
      <c r="J206" s="202" t="n"/>
      <c r="K206" s="202" t="n"/>
      <c r="L206" s="202" t="n"/>
      <c r="M206" s="202" t="n"/>
      <c r="N206" s="202" t="n"/>
      <c r="O206" s="202" t="n"/>
      <c r="P206" s="202" t="n"/>
      <c r="Q206" s="202" t="n"/>
      <c r="R206" s="202" t="n"/>
      <c r="S206" s="202" t="n"/>
      <c r="T206" s="202" t="n"/>
      <c r="U206" s="202" t="n"/>
      <c r="V206" s="202" t="n"/>
      <c r="W206" s="202" t="n"/>
      <c r="X206" s="202" t="n"/>
      <c r="Y206" s="202" t="n"/>
      <c r="Z206" s="202" t="n"/>
      <c r="AA206" s="202" t="n"/>
      <c r="AB206" s="140" t="n"/>
      <c r="AC206" s="140" t="n"/>
      <c r="AD206" s="140" t="n"/>
    </row>
    <row r="207" ht="15.75" customHeight="1" s="346">
      <c r="A207" s="145" t="inlineStr">
        <is>
          <t>Vé số</t>
        </is>
      </c>
      <c r="B207" s="145" t="n"/>
      <c r="C207" s="145" t="n"/>
      <c r="D207" s="145" t="n"/>
      <c r="E207" s="145" t="n"/>
      <c r="F207" s="145" t="n"/>
      <c r="G207" s="145" t="n"/>
      <c r="H207" s="145" t="n"/>
      <c r="I207" s="145" t="n"/>
      <c r="J207" s="145" t="n"/>
      <c r="K207" s="145" t="n"/>
      <c r="L207" s="145" t="n"/>
      <c r="M207" s="145" t="n"/>
      <c r="N207" s="145" t="n"/>
      <c r="O207" s="145" t="n"/>
      <c r="P207" s="145" t="n"/>
      <c r="Q207" s="145" t="n"/>
      <c r="R207" s="145" t="n"/>
      <c r="S207" s="145" t="n"/>
      <c r="T207" s="145" t="n"/>
      <c r="U207" s="145" t="n"/>
      <c r="V207" s="145" t="n"/>
      <c r="W207" s="145" t="n"/>
      <c r="X207" s="145" t="n"/>
      <c r="Y207" s="145" t="n"/>
      <c r="Z207" s="145" t="n"/>
      <c r="AA207" s="145" t="n"/>
      <c r="AB207" s="140" t="n"/>
      <c r="AC207" s="140" t="n"/>
      <c r="AD207" s="140" t="n"/>
    </row>
    <row r="208" ht="15.75" customHeight="1" s="346">
      <c r="A208" s="146" t="inlineStr">
        <is>
          <t>Page views</t>
        </is>
      </c>
      <c r="B208" s="147">
        <f>IF(SUM(B213:B217)&gt;0, SUM(B213:B217), "")</f>
        <v/>
      </c>
      <c r="C208" s="147">
        <f>IF(SUM(C213:C217)&gt;0, SUM(C213:C217), "")</f>
        <v/>
      </c>
      <c r="D208" s="147">
        <f>IF(SUM(D213:D217)&gt;0, SUM(D213:D217), "")</f>
        <v/>
      </c>
      <c r="E208" s="147">
        <f>IF(SUM(E213:E217)&gt;0, SUM(E213:E217), "")</f>
        <v/>
      </c>
      <c r="F208" s="147">
        <f>IF(SUM(F213:F217)&gt;0, SUM(F213:F217), "")</f>
        <v/>
      </c>
      <c r="G208" s="147">
        <f>IF(SUM(G213:G217)&gt;0, SUM(G213:G217), "")</f>
        <v/>
      </c>
      <c r="H208" s="147">
        <f>IF(SUM(H213:H217)&gt;0, SUM(H213:H217), "")</f>
        <v/>
      </c>
      <c r="I208" s="147">
        <f>IF(SUM(I213:I217)&gt;0, SUM(I213:I217), "")</f>
        <v/>
      </c>
      <c r="J208" s="147">
        <f>IF(SUM(J213:J217)&gt;0, SUM(J213:J217), "")</f>
        <v/>
      </c>
      <c r="K208" s="147">
        <f>IF(SUM(K213:K217)&gt;0, SUM(K213:K217), "")</f>
        <v/>
      </c>
      <c r="L208" s="147">
        <f>IF(SUM(L213:L217)&gt;0, SUM(L213:L217), "")</f>
        <v/>
      </c>
      <c r="M208" s="147">
        <f>IF(SUM(M213:M217)&gt;0, SUM(M213:M217), "")</f>
        <v/>
      </c>
      <c r="N208" s="148">
        <f>IFERROR((K208-J208)/J208, "")</f>
        <v/>
      </c>
      <c r="O208" s="147">
        <f>IF(SUM(O213:O217)&gt;0, SUM(O213:O217), "")</f>
        <v/>
      </c>
      <c r="P208" s="147">
        <f>IF(SUM(P213:P217)&gt;0, SUM(P213:P217), "")</f>
        <v/>
      </c>
      <c r="Q208" s="147">
        <f>IF(SUM(Q213:Q217)&gt;0, SUM(Q213:Q217), "")</f>
        <v/>
      </c>
      <c r="R208" s="147">
        <f>IF(SUM(R213:R217)&gt;0, SUM(R213:R217), "")</f>
        <v/>
      </c>
      <c r="S208" s="147">
        <f>IF(SUM(S213:S217)&gt;0, SUM(S213:S217), "")</f>
        <v/>
      </c>
      <c r="T208" s="147">
        <f>IF(SUM(T213:T217)&gt;0, SUM(T213:T217), "")</f>
        <v/>
      </c>
      <c r="U208" s="147">
        <f>IF(SUM(U213:U217)&gt;0, SUM(U213:U217), "")</f>
        <v/>
      </c>
      <c r="V208" s="147">
        <f>IF(SUM(V213:V217)&gt;0, SUM(V213:V217), "")</f>
        <v/>
      </c>
      <c r="W208" s="147">
        <f>IF(SUM(W213:W217)&gt;0, SUM(W213:W217), "")</f>
        <v/>
      </c>
      <c r="X208" s="147">
        <f>IF(SUM(X213:X217)&gt;0, SUM(X213:X217), "")</f>
        <v/>
      </c>
      <c r="Y208" s="147">
        <f>IF(SUM(Y213:Y217)&gt;0, SUM(Y213:Y217), "")</f>
        <v/>
      </c>
      <c r="Z208" s="147">
        <f>IF(SUM(Z213:Z217)&gt;0, SUM(Z213:Z217), "")</f>
        <v/>
      </c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150" t="inlineStr">
        <is>
          <t xml:space="preserve">  Click CTA</t>
        </is>
      </c>
      <c r="B209" s="150" t="n"/>
      <c r="C209" s="150" t="n"/>
      <c r="D209" s="150" t="n"/>
      <c r="E209" s="150" t="n"/>
      <c r="F209" s="150" t="n">
        <v>18</v>
      </c>
      <c r="G209" s="150" t="n">
        <v>13</v>
      </c>
      <c r="H209" s="150" t="n">
        <v>14</v>
      </c>
      <c r="I209" s="150" t="n">
        <v>55</v>
      </c>
      <c r="J209" s="150" t="n">
        <v>110</v>
      </c>
      <c r="K209" s="150" t="n">
        <v>322</v>
      </c>
      <c r="L209" s="150" t="n"/>
      <c r="M209" s="150" t="n"/>
      <c r="N209" s="151">
        <f>IFERROR((K209-J209)/J209, "")</f>
        <v/>
      </c>
      <c r="O209" s="150" t="n"/>
      <c r="P209" s="150" t="n"/>
      <c r="Q209" s="150" t="n"/>
      <c r="R209" s="150" t="n"/>
      <c r="S209" s="150" t="n">
        <v>18</v>
      </c>
      <c r="T209" s="150" t="n">
        <v>13</v>
      </c>
      <c r="U209" s="150" t="n">
        <v>15</v>
      </c>
      <c r="V209" s="150" t="n">
        <v>68</v>
      </c>
      <c r="W209" s="150" t="n">
        <v>117</v>
      </c>
      <c r="X209" s="150" t="n">
        <v>322</v>
      </c>
      <c r="Y209" s="150" t="n"/>
      <c r="Z209" s="150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152" t="inlineStr">
        <is>
          <t xml:space="preserve">  Net change</t>
        </is>
      </c>
      <c r="B210" s="153" t="n"/>
      <c r="C210" s="153">
        <f>IF(AND(ISNUMBER(C208), ISNUMBER(B208), B208&gt;0, C208&gt;0), C208-B208, "")</f>
        <v/>
      </c>
      <c r="D210" s="153">
        <f>IF(AND(ISNUMBER(D208), ISNUMBER(C208), C208&gt;0, D208&gt;0), D208-C208, "")</f>
        <v/>
      </c>
      <c r="E210" s="153">
        <f>IF(AND(ISNUMBER(E208), ISNUMBER(D208), D208&gt;0, E208&gt;0), E208-D208, "")</f>
        <v/>
      </c>
      <c r="F210" s="153">
        <f>IF(AND(ISNUMBER(F208), ISNUMBER(E208), E208&gt;0, F208&gt;0), F208-E208, "")</f>
        <v/>
      </c>
      <c r="G210" s="153">
        <f>IF(AND(ISNUMBER(G208), ISNUMBER(F208), F208&gt;0, G208&gt;0), G208-F208, "")</f>
        <v/>
      </c>
      <c r="H210" s="153">
        <f>IF(AND(ISNUMBER(H208), ISNUMBER(G208), G208&gt;0, H208&gt;0), H208-G208, "")</f>
        <v/>
      </c>
      <c r="I210" s="153">
        <f>IF(AND(ISNUMBER(I208), ISNUMBER(H208), H208&gt;0, I208&gt;0), I208-H208, "")</f>
        <v/>
      </c>
      <c r="J210" s="153">
        <f>IF(AND(ISNUMBER(J208), ISNUMBER(I208), I208&gt;0, J208&gt;0), J208-I208, "")</f>
        <v/>
      </c>
      <c r="K210" s="153">
        <f>IF(AND(ISNUMBER(K208), ISNUMBER(J208), J208&gt;0, K208&gt;0), K208-J208, "")</f>
        <v/>
      </c>
      <c r="L210" s="153">
        <f>IF(AND(ISNUMBER(L208), ISNUMBER(K208), K208&gt;0, L208&gt;0), L208-K208, "")</f>
        <v/>
      </c>
      <c r="M210" s="153">
        <f>IF(AND(ISNUMBER(M208), ISNUMBER(L208), L208&gt;0, M208&gt;0), M208-L208, "")</f>
        <v/>
      </c>
      <c r="N210" s="153" t="n"/>
      <c r="O210" s="153" t="n"/>
      <c r="P210" s="153">
        <f>IF(AND(ISNUMBER(P208), ISNUMBER(O208), O208&gt;0, P208&gt;0), P208-O208, "")</f>
        <v/>
      </c>
      <c r="Q210" s="153">
        <f>IF(AND(ISNUMBER(Q208), ISNUMBER(P208), P208&gt;0, Q208&gt;0), Q208-P208, "")</f>
        <v/>
      </c>
      <c r="R210" s="153">
        <f>IF(AND(ISNUMBER(R208), ISNUMBER(Q208), Q208&gt;0, R208&gt;0), R208-Q208, "")</f>
        <v/>
      </c>
      <c r="S210" s="153">
        <f>IF(AND(ISNUMBER(S208), ISNUMBER(R208), R208&gt;0, S208&gt;0), S208-R208, "")</f>
        <v/>
      </c>
      <c r="T210" s="153">
        <f>IF(AND(ISNUMBER(T208), ISNUMBER(S208), S208&gt;0, T208&gt;0), T208-S208, "")</f>
        <v/>
      </c>
      <c r="U210" s="153">
        <f>IF(AND(ISNUMBER(U208), ISNUMBER(T208), T208&gt;0, U208&gt;0), U208-T208, "")</f>
        <v/>
      </c>
      <c r="V210" s="153">
        <f>IF(AND(ISNUMBER(V208), ISNUMBER(U208), U208&gt;0, V208&gt;0), V208-U208, "")</f>
        <v/>
      </c>
      <c r="W210" s="153">
        <f>IF(AND(ISNUMBER(W208), ISNUMBER(V208), V208&gt;0, W208&gt;0), W208-V208, "")</f>
        <v/>
      </c>
      <c r="X210" s="153">
        <f>IF(AND(ISNUMBER(X208), ISNUMBER(W208), W208&gt;0, X208&gt;0), X208-W208, "")</f>
        <v/>
      </c>
      <c r="Y210" s="153">
        <f>IF(AND(ISNUMBER(Y208), ISNUMBER(X208), X208&gt;0, Y208&gt;0), Y208-X208, "")</f>
        <v/>
      </c>
      <c r="Z210" s="153">
        <f>IF(AND(ISNUMBER(Z208), ISNUMBER(Y208), Y208&gt;0, Z208&gt;0), Z208-Y208, "")</f>
        <v/>
      </c>
      <c r="AA210" s="153" t="n"/>
      <c r="AB210" s="140" t="n"/>
      <c r="AC210" s="140" t="n"/>
      <c r="AD210" s="140" t="n"/>
    </row>
    <row r="211" ht="15.75" customHeight="1" s="346">
      <c r="A211" s="152" t="inlineStr">
        <is>
          <t xml:space="preserve">  % Growth rate</t>
        </is>
      </c>
      <c r="B211" s="203" t="n"/>
      <c r="C211" s="203">
        <f>IF(AND(ISNUMBER(C208), ISNUMBER(B208), B208&gt;0, C208&gt;0), (C208-B208)/B208, "")</f>
        <v/>
      </c>
      <c r="D211" s="203">
        <f>IF(AND(ISNUMBER(D208), ISNUMBER(C208), C208&gt;0, D208&gt;0), (D208-C208)/C208, "")</f>
        <v/>
      </c>
      <c r="E211" s="203">
        <f>IF(AND(ISNUMBER(E208), ISNUMBER(D208), D208&gt;0, E208&gt;0), (E208-D208)/D208, "")</f>
        <v/>
      </c>
      <c r="F211" s="203">
        <f>IF(AND(ISNUMBER(F208), ISNUMBER(E208), E208&gt;0, F208&gt;0), (F208-E208)/E208, "")</f>
        <v/>
      </c>
      <c r="G211" s="203">
        <f>IF(AND(ISNUMBER(G208), ISNUMBER(F208), F208&gt;0, G208&gt;0), (G208-F208)/F208, "")</f>
        <v/>
      </c>
      <c r="H211" s="203">
        <f>IF(AND(ISNUMBER(H208), ISNUMBER(G208), G208&gt;0, H208&gt;0), (H208-G208)/G208, "")</f>
        <v/>
      </c>
      <c r="I211" s="203">
        <f>IF(AND(ISNUMBER(I208), ISNUMBER(H208), H208&gt;0, I208&gt;0), (I208-H208)/H208, "")</f>
        <v/>
      </c>
      <c r="J211" s="203">
        <f>IF(AND(ISNUMBER(J208), ISNUMBER(I208), I208&gt;0, J208&gt;0), (J208-I208)/I208, "")</f>
        <v/>
      </c>
      <c r="K211" s="203">
        <f>IF(AND(ISNUMBER(K208), ISNUMBER(J208), J208&gt;0, K208&gt;0), (K208-J208)/J208, "")</f>
        <v/>
      </c>
      <c r="L211" s="203">
        <f>IF(AND(ISNUMBER(L208), ISNUMBER(K208), K208&gt;0, L208&gt;0), (L208-K208)/K208, "")</f>
        <v/>
      </c>
      <c r="M211" s="203">
        <f>IF(AND(ISNUMBER(M208), ISNUMBER(L208), L208&gt;0, M208&gt;0), (M208-L208)/L208, "")</f>
        <v/>
      </c>
      <c r="N211" s="203" t="n"/>
      <c r="O211" s="203" t="n"/>
      <c r="P211" s="203">
        <f>IF(AND(ISNUMBER(P208), ISNUMBER(O208), O208&gt;0, P208&gt;0), (P208-O208)/O208, "")</f>
        <v/>
      </c>
      <c r="Q211" s="203">
        <f>IF(AND(ISNUMBER(Q208), ISNUMBER(P208), P208&gt;0, Q208&gt;0), (Q208-P208)/P208, "")</f>
        <v/>
      </c>
      <c r="R211" s="203">
        <f>IF(AND(ISNUMBER(R208), ISNUMBER(Q208), Q208&gt;0, R208&gt;0), (R208-Q208)/Q208, "")</f>
        <v/>
      </c>
      <c r="S211" s="203">
        <f>IF(AND(ISNUMBER(S208), ISNUMBER(R208), R208&gt;0, S208&gt;0), (S208-R208)/R208, "")</f>
        <v/>
      </c>
      <c r="T211" s="203">
        <f>IF(AND(ISNUMBER(T208), ISNUMBER(S208), S208&gt;0, T208&gt;0), (T208-S208)/S208, "")</f>
        <v/>
      </c>
      <c r="U211" s="203">
        <f>IF(AND(ISNUMBER(U208), ISNUMBER(T208), T208&gt;0, U208&gt;0), (U208-T208)/T208, "")</f>
        <v/>
      </c>
      <c r="V211" s="203">
        <f>IF(AND(ISNUMBER(V208), ISNUMBER(U208), U208&gt;0, V208&gt;0), (V208-U208)/U208, "")</f>
        <v/>
      </c>
      <c r="W211" s="203">
        <f>IF(AND(ISNUMBER(W208), ISNUMBER(V208), V208&gt;0, W208&gt;0), (W208-V208)/V208, "")</f>
        <v/>
      </c>
      <c r="X211" s="203">
        <f>IF(AND(ISNUMBER(X208), ISNUMBER(W208), W208&gt;0, X208&gt;0), (X208-W208)/W208, "")</f>
        <v/>
      </c>
      <c r="Y211" s="203">
        <f>IF(AND(ISNUMBER(Y208), ISNUMBER(X208), X208&gt;0, Y208&gt;0), (Y208-X208)/X208, "")</f>
        <v/>
      </c>
      <c r="Z211" s="203">
        <f>IF(AND(ISNUMBER(Z208), ISNUMBER(Y208), Y208&gt;0, Z208&gt;0), (Z208-Y208)/Y208, "")</f>
        <v/>
      </c>
      <c r="AA211" s="203" t="n"/>
      <c r="AB211" s="140" t="n"/>
      <c r="AC211" s="140" t="n"/>
      <c r="AD211" s="140" t="n"/>
    </row>
    <row r="212" ht="15.75" customHeight="1" s="346">
      <c r="A212" s="202" t="inlineStr">
        <is>
          <t>Tỷ trọng trong tổng traffic</t>
        </is>
      </c>
      <c r="B212" s="156">
        <f t="array" ref="B212">IF(AND(ISNUMBER(B208), B208&gt;0), B208/INDEX('MTD Pivot'!$D$3:$K$400, MATCH("Grand Total", 'MTD Pivot'!$A$3:$A$400, 0), MATCH(B$2, 'MTD Pivot'!$D$2:$K$2, 0)), "")</f>
        <v/>
      </c>
      <c r="C212" s="156">
        <f t="array" ref="C212">IF(AND(ISNUMBER(C208), C208&gt;0), C208/INDEX('MTD Pivot'!$D$3:$K$400, MATCH("Grand Total", 'MTD Pivot'!$A$3:$A$400, 0), MATCH(C$2, 'MTD Pivot'!$D$2:$K$2, 0)), "")</f>
        <v/>
      </c>
      <c r="D212" s="156">
        <f t="array" ref="D212">IF(AND(ISNUMBER(D208), D208&gt;0), D208/INDEX('MTD Pivot'!$D$3:$K$400, MATCH("Grand Total", 'MTD Pivot'!$A$3:$A$400, 0), MATCH(D$2, 'MTD Pivot'!$D$2:$K$2, 0)), "")</f>
        <v/>
      </c>
      <c r="E212" s="156">
        <f t="array" ref="E212">IF(AND(ISNUMBER(E208), E208&gt;0), E208/INDEX('MTD Pivot'!$D$3:$K$400, MATCH("Grand Total", 'MTD Pivot'!$A$3:$A$400, 0), MATCH(E$2, 'MTD Pivot'!$D$2:$K$2, 0)), "")</f>
        <v/>
      </c>
      <c r="F212" s="156">
        <f t="array" ref="F212">IF(AND(ISNUMBER(F208), F208&gt;0), F208/INDEX('MTD Pivot'!$D$3:$K$400, MATCH("Grand Total", 'MTD Pivot'!$A$3:$A$400, 0), MATCH(F$2, 'MTD Pivot'!$D$2:$K$2, 0)), "")</f>
        <v/>
      </c>
      <c r="G212" s="156">
        <f t="array" ref="G212">IF(AND(ISNUMBER(G208), G208&gt;0), G208/INDEX('MTD Pivot'!$D$3:$K$400, MATCH("Grand Total", 'MTD Pivot'!$A$3:$A$400, 0), MATCH(G$2, 'MTD Pivot'!$D$2:$K$2, 0)), "")</f>
        <v/>
      </c>
      <c r="H212" s="156">
        <f t="array" ref="H212">IF(AND(ISNUMBER(H208), H208&gt;0), H208/INDEX('MTD Pivot'!$D$3:$K$400, MATCH("Grand Total", 'MTD Pivot'!$A$3:$A$400, 0), MATCH(H$2, 'MTD Pivot'!$D$2:$K$2, 0)), "")</f>
        <v/>
      </c>
      <c r="I212" s="156">
        <f t="array" ref="I212">IF(AND(ISNUMBER(I208), I208&gt;0), I208/INDEX('MTD Pivot'!$D$3:$K$400, MATCH("Grand Total", 'MTD Pivot'!$A$3:$A$400, 0), MATCH(I$2, 'MTD Pivot'!$D$2:$K$2, 0)), "")</f>
        <v/>
      </c>
      <c r="J212" s="156">
        <f t="array" ref="J212">IF(AND(ISNUMBER(J208), J208&gt;0), J208/INDEX('MTD Pivot'!$D$3:$K$400, MATCH("Grand Total", 'MTD Pivot'!$A$3:$A$400, 0), MATCH(J$2, 'MTD Pivot'!$D$2:$K$2, 0)), "")</f>
        <v/>
      </c>
      <c r="K212" s="156">
        <f t="array" ref="K212">IF(AND(ISNUMBER(K208), K208&gt;0), K208/INDEX('MTD Pivot'!$D$3:$K$400, MATCH("Grand Total", 'MTD Pivot'!$A$3:$A$400, 0), MATCH(K$2, 'MTD Pivot'!$D$2:$K$2, 0)), "")</f>
        <v/>
      </c>
      <c r="L212" s="156">
        <f t="array" ref="L212">IF(AND(ISNUMBER(L208), L208&gt;0), L208/INDEX('MTD Pivot'!$D$3:$K$400, MATCH("Grand Total", 'MTD Pivot'!$A$3:$A$400, 0), MATCH(L$2, 'MTD Pivot'!$D$2:$K$2, 0)), "")</f>
        <v/>
      </c>
      <c r="M212" s="156">
        <f t="array" ref="M212">IF(AND(ISNUMBER(M208), M208&gt;0), M208/INDEX('MTD Pivot'!$D$3:$K$400, MATCH("Grand Total", 'MTD Pivot'!$A$3:$A$400, 0), MATCH(M$2, 'MTD Pivot'!$D$2:$K$2, 0)), "")</f>
        <v/>
      </c>
      <c r="N212" s="157">
        <f>IF(AND(ISNUMBER(K212), ISNUMBER(J212)), K212-J212, "")</f>
        <v/>
      </c>
      <c r="O212" s="156">
        <f t="array" ref="O212">IF(AND(ISNUMBER(O208), O208&gt;0), O208/INDEX('Full month Pivot'!$D$3:$K$400, MATCH("Grand Total", 'Full month Pivot'!$A$3:$A$400, 0), MATCH(O$2, 'Full month Pivot'!$D$2:$K$2, 0)), "")</f>
        <v/>
      </c>
      <c r="P212" s="156">
        <f t="array" ref="P212">IF(AND(ISNUMBER(P208), P208&gt;0), P208/INDEX('Full month Pivot'!$D$3:$K$400, MATCH("Grand Total", 'Full month Pivot'!$A$3:$A$400, 0), MATCH(P$2, 'Full month Pivot'!$D$2:$K$2, 0)), "")</f>
        <v/>
      </c>
      <c r="Q212" s="156">
        <f t="array" ref="Q212">IF(AND(ISNUMBER(Q208), Q208&gt;0), Q208/INDEX('Full month Pivot'!$D$3:$K$400, MATCH("Grand Total", 'Full month Pivot'!$A$3:$A$400, 0), MATCH(Q$2, 'Full month Pivot'!$D$2:$K$2, 0)), "")</f>
        <v/>
      </c>
      <c r="R212" s="156">
        <f t="array" ref="R212">IF(AND(ISNUMBER(R208), R208&gt;0), R208/INDEX('Full month Pivot'!$D$3:$K$400, MATCH("Grand Total", 'Full month Pivot'!$A$3:$A$400, 0), MATCH(R$2, 'Full month Pivot'!$D$2:$K$2, 0)), "")</f>
        <v/>
      </c>
      <c r="S212" s="156">
        <f t="array" ref="S212">IF(AND(ISNUMBER(S208), S208&gt;0), S208/INDEX('Full month Pivot'!$D$3:$K$400, MATCH("Grand Total", 'Full month Pivot'!$A$3:$A$400, 0), MATCH(S$2, 'Full month Pivot'!$D$2:$K$2, 0)), "")</f>
        <v/>
      </c>
      <c r="T212" s="156">
        <f t="array" ref="T212">IF(AND(ISNUMBER(T208), T208&gt;0), T208/INDEX('Full month Pivot'!$D$3:$K$400, MATCH("Grand Total", 'Full month Pivot'!$A$3:$A$400, 0), MATCH(T$2, 'Full month Pivot'!$D$2:$K$2, 0)), "")</f>
        <v/>
      </c>
      <c r="U212" s="156">
        <f t="array" ref="U212">IF(AND(ISNUMBER(U208), U208&gt;0), U208/INDEX('Full month Pivot'!$D$3:$K$400, MATCH("Grand Total", 'Full month Pivot'!$A$3:$A$400, 0), MATCH(U$2, 'Full month Pivot'!$D$2:$K$2, 0)), "")</f>
        <v/>
      </c>
      <c r="V212" s="156">
        <f t="array" ref="V212">IF(AND(ISNUMBER(V208), V208&gt;0), V208/INDEX('Full month Pivot'!$D$3:$K$400, MATCH("Grand Total", 'Full month Pivot'!$A$3:$A$400, 0), MATCH(V$2, 'Full month Pivot'!$D$2:$K$2, 0)), "")</f>
        <v/>
      </c>
      <c r="W212" s="156">
        <f t="array" ref="W212">IF(AND(ISNUMBER(W208), W208&gt;0), W208/INDEX('Full month Pivot'!$D$3:$K$400, MATCH("Grand Total", 'Full month Pivot'!$A$3:$A$400, 0), MATCH(W$2, 'Full month Pivot'!$D$2:$K$2, 0)), "")</f>
        <v/>
      </c>
      <c r="X212" s="156">
        <f t="array" ref="X212">IF(AND(ISNUMBER(X208), X208&gt;0), X208/INDEX('Full month Pivot'!$D$3:$K$400, MATCH("Grand Total", 'Full month Pivot'!$A$3:$A$400, 0), MATCH(X$2, 'Full month Pivot'!$D$2:$K$2, 0)), "")</f>
        <v/>
      </c>
      <c r="Y212" s="156">
        <f t="array" ref="Y212">IF(AND(ISNUMBER(Y208), Y208&gt;0), Y208/INDEX('Full month Pivot'!$D$3:$K$400, MATCH("Grand Total", 'Full month Pivot'!$A$3:$A$400, 0), MATCH(Y$2, 'Full month Pivot'!$D$2:$K$2, 0)), "")</f>
        <v/>
      </c>
      <c r="Z212" s="156">
        <f t="array" ref="Z212">IF(AND(ISNUMBER(Z208), Z208&gt;0), Z208/INDEX('Full month Pivot'!$D$3:$K$400, MATCH("Grand Total", 'Full month Pivot'!$A$3:$A$400, 0), MATCH(Z$2, 'Full month Pivot'!$D$2:$K$2, 0)), "")</f>
        <v/>
      </c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202" t="inlineStr">
        <is>
          <t xml:space="preserve">  Organic</t>
        </is>
      </c>
      <c r="B213" s="193">
        <f>IF(SUMPRODUCT((('MTD Pivot'!$B$3:$B$400=$A$207) + ('MTD Pivot'!$A$3:$A$400=$A$207) &gt; 0) * (TRIM('MTD Pivot'!$C$3:$C$400)=TRIM($A213)) * ('MTD Pivot'!$D$2:$K$2=B$2) * 'MTD Pivot'!$D$3:$K$400)&gt;0, SUMPRODUCT((('MTD Pivot'!$B$3:$B$400=$A$207) + ('MTD Pivot'!$A$3:$A$400=$A$207) &gt; 0) * (TRIM('MTD Pivot'!$C$3:$C$400)=TRIM($A213)) * ('MTD Pivot'!$D$2:$K$2=B$2) * 'MTD Pivot'!$D$3:$K$400), "")</f>
        <v/>
      </c>
      <c r="C213" s="193">
        <f>IF(SUMPRODUCT((('MTD Pivot'!$B$3:$B$400=$A$207) + ('MTD Pivot'!$A$3:$A$400=$A$207) &gt; 0) * (TRIM('MTD Pivot'!$C$3:$C$400)=TRIM($A213)) * ('MTD Pivot'!$D$2:$K$2=C$2) * 'MTD Pivot'!$D$3:$K$400)&gt;0, SUMPRODUCT((('MTD Pivot'!$B$3:$B$400=$A$207) + ('MTD Pivot'!$A$3:$A$400=$A$207) &gt; 0) * (TRIM('MTD Pivot'!$C$3:$C$400)=TRIM($A213)) * ('MTD Pivot'!$D$2:$K$2=C$2) * 'MTD Pivot'!$D$3:$K$400), "")</f>
        <v/>
      </c>
      <c r="D213" s="193">
        <f>IF(SUMPRODUCT((('MTD Pivot'!$B$3:$B$400=$A$207) + ('MTD Pivot'!$A$3:$A$400=$A$207) &gt; 0) * (TRIM('MTD Pivot'!$C$3:$C$400)=TRIM($A213)) * ('MTD Pivot'!$D$2:$K$2=D$2) * 'MTD Pivot'!$D$3:$K$400)&gt;0, SUMPRODUCT((('MTD Pivot'!$B$3:$B$400=$A$207) + ('MTD Pivot'!$A$3:$A$400=$A$207) &gt; 0) * (TRIM('MTD Pivot'!$C$3:$C$400)=TRIM($A213)) * ('MTD Pivot'!$D$2:$K$2=D$2) * 'MTD Pivot'!$D$3:$K$400), "")</f>
        <v/>
      </c>
      <c r="E213" s="193">
        <f>IF(SUMPRODUCT((('MTD Pivot'!$B$3:$B$400=$A$207) + ('MTD Pivot'!$A$3:$A$400=$A$207) &gt; 0) * (TRIM('MTD Pivot'!$C$3:$C$400)=TRIM($A213)) * ('MTD Pivot'!$D$2:$K$2=E$2) * 'MTD Pivot'!$D$3:$K$400)&gt;0, SUMPRODUCT((('MTD Pivot'!$B$3:$B$400=$A$207) + ('MTD Pivot'!$A$3:$A$400=$A$207) &gt; 0) * (TRIM('MTD Pivot'!$C$3:$C$400)=TRIM($A213)) * ('MTD Pivot'!$D$2:$K$2=E$2) * 'MTD Pivot'!$D$3:$K$400), "")</f>
        <v/>
      </c>
      <c r="F213" s="193">
        <f>IF(SUMPRODUCT((('MTD Pivot'!$B$3:$B$400=$A$207) + ('MTD Pivot'!$A$3:$A$400=$A$207) &gt; 0) * (TRIM('MTD Pivot'!$C$3:$C$400)=TRIM($A213)) * ('MTD Pivot'!$D$2:$K$2=F$2) * 'MTD Pivot'!$D$3:$K$400)&gt;0, SUMPRODUCT((('MTD Pivot'!$B$3:$B$400=$A$207) + ('MTD Pivot'!$A$3:$A$400=$A$207) &gt; 0) * (TRIM('MTD Pivot'!$C$3:$C$400)=TRIM($A213)) * ('MTD Pivot'!$D$2:$K$2=F$2) * 'MTD Pivot'!$D$3:$K$400), "")</f>
        <v/>
      </c>
      <c r="G213" s="193">
        <f>IF(SUMPRODUCT((('MTD Pivot'!$B$3:$B$400=$A$207) + ('MTD Pivot'!$A$3:$A$400=$A$207) &gt; 0) * (TRIM('MTD Pivot'!$C$3:$C$400)=TRIM($A213)) * ('MTD Pivot'!$D$2:$K$2=G$2) * 'MTD Pivot'!$D$3:$K$400)&gt;0, SUMPRODUCT((('MTD Pivot'!$B$3:$B$400=$A$207) + ('MTD Pivot'!$A$3:$A$400=$A$207) &gt; 0) * (TRIM('MTD Pivot'!$C$3:$C$400)=TRIM($A213)) * ('MTD Pivot'!$D$2:$K$2=G$2) * 'MTD Pivot'!$D$3:$K$400), "")</f>
        <v/>
      </c>
      <c r="H213" s="193">
        <f>IF(SUMPRODUCT((('MTD Pivot'!$B$3:$B$400=$A$207) + ('MTD Pivot'!$A$3:$A$400=$A$207) &gt; 0) * (TRIM('MTD Pivot'!$C$3:$C$400)=TRIM($A213)) * ('MTD Pivot'!$D$2:$K$2=H$2) * 'MTD Pivot'!$D$3:$K$400)&gt;0, SUMPRODUCT((('MTD Pivot'!$B$3:$B$400=$A$207) + ('MTD Pivot'!$A$3:$A$400=$A$207) &gt; 0) * (TRIM('MTD Pivot'!$C$3:$C$400)=TRIM($A213)) * ('MTD Pivot'!$D$2:$K$2=H$2) * 'MTD Pivot'!$D$3:$K$400), "")</f>
        <v/>
      </c>
      <c r="I213" s="193">
        <f>IF(SUMPRODUCT((('MTD Pivot'!$B$3:$B$400=$A$207) + ('MTD Pivot'!$A$3:$A$400=$A$207) &gt; 0) * (TRIM('MTD Pivot'!$C$3:$C$400)=TRIM($A213)) * ('MTD Pivot'!$D$2:$K$2=I$2) * 'MTD Pivot'!$D$3:$K$400)&gt;0, SUMPRODUCT((('MTD Pivot'!$B$3:$B$400=$A$207) + ('MTD Pivot'!$A$3:$A$400=$A$207) &gt; 0) * (TRIM('MTD Pivot'!$C$3:$C$400)=TRIM($A213)) * ('MTD Pivot'!$D$2:$K$2=I$2) * 'MTD Pivot'!$D$3:$K$400), "")</f>
        <v/>
      </c>
      <c r="J213" s="193">
        <f>IF(SUMPRODUCT((('MTD Pivot'!$B$3:$B$400=$A$207) + ('MTD Pivot'!$A$3:$A$400=$A$207) &gt; 0) * (TRIM('MTD Pivot'!$C$3:$C$400)=TRIM($A213)) * ('MTD Pivot'!$D$2:$K$2=J$2) * 'MTD Pivot'!$D$3:$K$400)&gt;0, SUMPRODUCT((('MTD Pivot'!$B$3:$B$400=$A$207) + ('MTD Pivot'!$A$3:$A$400=$A$207) &gt; 0) * (TRIM('MTD Pivot'!$C$3:$C$400)=TRIM($A213)) * ('MTD Pivot'!$D$2:$K$2=J$2) * 'MTD Pivot'!$D$3:$K$400), "")</f>
        <v/>
      </c>
      <c r="K213" s="193">
        <f>IF(SUMPRODUCT((('MTD Pivot'!$B$3:$B$400=$A$207) + ('MTD Pivot'!$A$3:$A$400=$A$207) &gt; 0) * (TRIM('MTD Pivot'!$C$3:$C$400)=TRIM($A213)) * ('MTD Pivot'!$D$2:$K$2=K$2) * 'MTD Pivot'!$D$3:$K$400)&gt;0, SUMPRODUCT((('MTD Pivot'!$B$3:$B$400=$A$207) + ('MTD Pivot'!$A$3:$A$400=$A$207) &gt; 0) * (TRIM('MTD Pivot'!$C$3:$C$400)=TRIM($A213)) * ('MTD Pivot'!$D$2:$K$2=K$2) * 'MTD Pivot'!$D$3:$K$400), "")</f>
        <v/>
      </c>
      <c r="L213" s="193">
        <f>IF(SUMPRODUCT((('MTD Pivot'!$B$3:$B$400=$A$207) + ('MTD Pivot'!$A$3:$A$400=$A$207) &gt; 0) * (TRIM('MTD Pivot'!$C$3:$C$400)=TRIM($A213)) * ('MTD Pivot'!$D$2:$K$2=L$2) * 'MTD Pivot'!$D$3:$K$400)&gt;0, SUMPRODUCT((('MTD Pivot'!$B$3:$B$400=$A$207) + ('MTD Pivot'!$A$3:$A$400=$A$207) &gt; 0) * (TRIM('MTD Pivot'!$C$3:$C$400)=TRIM($A213)) * ('MTD Pivot'!$D$2:$K$2=L$2) * 'MTD Pivot'!$D$3:$K$400), "")</f>
        <v/>
      </c>
      <c r="M213" s="193">
        <f>IF(SUMPRODUCT((('MTD Pivot'!$B$3:$B$400=$A$207) + ('MTD Pivot'!$A$3:$A$400=$A$207) &gt; 0) * (TRIM('MTD Pivot'!$C$3:$C$400)=TRIM($A213)) * ('MTD Pivot'!$D$2:$K$2=M$2) * 'MTD Pivot'!$D$3:$K$400)&gt;0, SUMPRODUCT((('MTD Pivot'!$B$3:$B$400=$A$207) + ('MTD Pivot'!$A$3:$A$400=$A$207) &gt; 0) * (TRIM('MTD Pivot'!$C$3:$C$400)=TRIM($A213)) * ('MTD Pivot'!$D$2:$K$2=M$2) * 'MTD Pivot'!$D$3:$K$400), "")</f>
        <v/>
      </c>
      <c r="N213" s="157">
        <f>IF(AND(ISNUMBER(K213), ISNUMBER(J213), J213&gt;0), (K213-J213)/J213, "")</f>
        <v/>
      </c>
      <c r="O213" s="193">
        <f>IF(SUMPRODUCT((('Full month Pivot'!$B$3:$B$400=$A$207) + ('Full month Pivot'!$A$3:$A$400=$A$207) &gt; 0) * (TRIM('Full month Pivot'!$C$3:$C$400)=TRIM($A213)) * ('Full month Pivot'!$D$2:$K$2=O$2) * 'Full month Pivot'!$D$3:$K$400)&gt;0, SUMPRODUCT((('Full month Pivot'!$B$3:$B$400=$A$207) + ('Full month Pivot'!$A$3:$A$400=$A$207) &gt; 0) * (TRIM('Full month Pivot'!$C$3:$C$400)=TRIM($A213)) * ('Full month Pivot'!$D$2:$K$2=O$2) * 'Full month Pivot'!$D$3:$K$400), "")</f>
        <v/>
      </c>
      <c r="P213" s="193">
        <f>IF(SUMPRODUCT((('Full month Pivot'!$B$3:$B$400=$A$207) + ('Full month Pivot'!$A$3:$A$400=$A$207) &gt; 0) * (TRIM('Full month Pivot'!$C$3:$C$400)=TRIM($A213)) * ('Full month Pivot'!$D$2:$K$2=P$2) * 'Full month Pivot'!$D$3:$K$400)&gt;0, SUMPRODUCT((('Full month Pivot'!$B$3:$B$400=$A$207) + ('Full month Pivot'!$A$3:$A$400=$A$207) &gt; 0) * (TRIM('Full month Pivot'!$C$3:$C$400)=TRIM($A213)) * ('Full month Pivot'!$D$2:$K$2=P$2) * 'Full month Pivot'!$D$3:$K$400), "")</f>
        <v/>
      </c>
      <c r="Q213" s="193">
        <f>IF(SUMPRODUCT((('Full month Pivot'!$B$3:$B$400=$A$207) + ('Full month Pivot'!$A$3:$A$400=$A$207) &gt; 0) * (TRIM('Full month Pivot'!$C$3:$C$400)=TRIM($A213)) * ('Full month Pivot'!$D$2:$K$2=Q$2) * 'Full month Pivot'!$D$3:$K$400)&gt;0, SUMPRODUCT((('Full month Pivot'!$B$3:$B$400=$A$207) + ('Full month Pivot'!$A$3:$A$400=$A$207) &gt; 0) * (TRIM('Full month Pivot'!$C$3:$C$400)=TRIM($A213)) * ('Full month Pivot'!$D$2:$K$2=Q$2) * 'Full month Pivot'!$D$3:$K$400), "")</f>
        <v/>
      </c>
      <c r="R213" s="193">
        <f>IF(SUMPRODUCT((('Full month Pivot'!$B$3:$B$400=$A$207) + ('Full month Pivot'!$A$3:$A$400=$A$207) &gt; 0) * (TRIM('Full month Pivot'!$C$3:$C$400)=TRIM($A213)) * ('Full month Pivot'!$D$2:$K$2=R$2) * 'Full month Pivot'!$D$3:$K$400)&gt;0, SUMPRODUCT((('Full month Pivot'!$B$3:$B$400=$A$207) + ('Full month Pivot'!$A$3:$A$400=$A$207) &gt; 0) * (TRIM('Full month Pivot'!$C$3:$C$400)=TRIM($A213)) * ('Full month Pivot'!$D$2:$K$2=R$2) * 'Full month Pivot'!$D$3:$K$400), "")</f>
        <v/>
      </c>
      <c r="S213" s="193">
        <f>IF(SUMPRODUCT((('Full month Pivot'!$B$3:$B$400=$A$207) + ('Full month Pivot'!$A$3:$A$400=$A$207) &gt; 0) * (TRIM('Full month Pivot'!$C$3:$C$400)=TRIM($A213)) * ('Full month Pivot'!$D$2:$K$2=S$2) * 'Full month Pivot'!$D$3:$K$400)&gt;0, SUMPRODUCT((('Full month Pivot'!$B$3:$B$400=$A$207) + ('Full month Pivot'!$A$3:$A$400=$A$207) &gt; 0) * (TRIM('Full month Pivot'!$C$3:$C$400)=TRIM($A213)) * ('Full month Pivot'!$D$2:$K$2=S$2) * 'Full month Pivot'!$D$3:$K$400), "")</f>
        <v/>
      </c>
      <c r="T213" s="193">
        <f>IF(SUMPRODUCT((('Full month Pivot'!$B$3:$B$400=$A$207) + ('Full month Pivot'!$A$3:$A$400=$A$207) &gt; 0) * (TRIM('Full month Pivot'!$C$3:$C$400)=TRIM($A213)) * ('Full month Pivot'!$D$2:$K$2=T$2) * 'Full month Pivot'!$D$3:$K$400)&gt;0, SUMPRODUCT((('Full month Pivot'!$B$3:$B$400=$A$207) + ('Full month Pivot'!$A$3:$A$400=$A$207) &gt; 0) * (TRIM('Full month Pivot'!$C$3:$C$400)=TRIM($A213)) * ('Full month Pivot'!$D$2:$K$2=T$2) * 'Full month Pivot'!$D$3:$K$400), "")</f>
        <v/>
      </c>
      <c r="U213" s="193">
        <f>IF(SUMPRODUCT((('Full month Pivot'!$B$3:$B$400=$A$207) + ('Full month Pivot'!$A$3:$A$400=$A$207) &gt; 0) * (TRIM('Full month Pivot'!$C$3:$C$400)=TRIM($A213)) * ('Full month Pivot'!$D$2:$K$2=U$2) * 'Full month Pivot'!$D$3:$K$400)&gt;0, SUMPRODUCT((('Full month Pivot'!$B$3:$B$400=$A$207) + ('Full month Pivot'!$A$3:$A$400=$A$207) &gt; 0) * (TRIM('Full month Pivot'!$C$3:$C$400)=TRIM($A213)) * ('Full month Pivot'!$D$2:$K$2=U$2) * 'Full month Pivot'!$D$3:$K$400), "")</f>
        <v/>
      </c>
      <c r="V213" s="193">
        <f>IF(SUMPRODUCT((('Full month Pivot'!$B$3:$B$400=$A$207) + ('Full month Pivot'!$A$3:$A$400=$A$207) &gt; 0) * (TRIM('Full month Pivot'!$C$3:$C$400)=TRIM($A213)) * ('Full month Pivot'!$D$2:$K$2=V$2) * 'Full month Pivot'!$D$3:$K$400)&gt;0, SUMPRODUCT((('Full month Pivot'!$B$3:$B$400=$A$207) + ('Full month Pivot'!$A$3:$A$400=$A$207) &gt; 0) * (TRIM('Full month Pivot'!$C$3:$C$400)=TRIM($A213)) * ('Full month Pivot'!$D$2:$K$2=V$2) * 'Full month Pivot'!$D$3:$K$400), "")</f>
        <v/>
      </c>
      <c r="W213" s="193">
        <f>IF(SUMPRODUCT((('Full month Pivot'!$B$3:$B$400=$A$207) + ('Full month Pivot'!$A$3:$A$400=$A$207) &gt; 0) * (TRIM('Full month Pivot'!$C$3:$C$400)=TRIM($A213)) * ('Full month Pivot'!$D$2:$K$2=W$2) * 'Full month Pivot'!$D$3:$K$400)&gt;0, SUMPRODUCT((('Full month Pivot'!$B$3:$B$400=$A$207) + ('Full month Pivot'!$A$3:$A$400=$A$207) &gt; 0) * (TRIM('Full month Pivot'!$C$3:$C$400)=TRIM($A213)) * ('Full month Pivot'!$D$2:$K$2=W$2) * 'Full month Pivot'!$D$3:$K$400), "")</f>
        <v/>
      </c>
      <c r="X213" s="193">
        <f>IF(SUMPRODUCT((('Full month Pivot'!$B$3:$B$400=$A$207) + ('Full month Pivot'!$A$3:$A$400=$A$207) &gt; 0) * (TRIM('Full month Pivot'!$C$3:$C$400)=TRIM($A213)) * ('Full month Pivot'!$D$2:$K$2=X$2) * 'Full month Pivot'!$D$3:$K$400)&gt;0, SUMPRODUCT((('Full month Pivot'!$B$3:$B$400=$A$207) + ('Full month Pivot'!$A$3:$A$400=$A$207) &gt; 0) * (TRIM('Full month Pivot'!$C$3:$C$400)=TRIM($A213)) * ('Full month Pivot'!$D$2:$K$2=X$2) * 'Full month Pivot'!$D$3:$K$400), "")</f>
        <v/>
      </c>
      <c r="Y213" s="193">
        <f>IF(SUMPRODUCT((('Full month Pivot'!$B$3:$B$400=$A$207) + ('Full month Pivot'!$A$3:$A$400=$A$207) &gt; 0) * (TRIM('Full month Pivot'!$C$3:$C$400)=TRIM($A213)) * ('Full month Pivot'!$D$2:$K$2=Y$2) * 'Full month Pivot'!$D$3:$K$400)&gt;0, SUMPRODUCT((('Full month Pivot'!$B$3:$B$400=$A$207) + ('Full month Pivot'!$A$3:$A$400=$A$207) &gt; 0) * (TRIM('Full month Pivot'!$C$3:$C$400)=TRIM($A213)) * ('Full month Pivot'!$D$2:$K$2=Y$2) * 'Full month Pivot'!$D$3:$K$400), "")</f>
        <v/>
      </c>
      <c r="Z213" s="193">
        <f>IF(SUMPRODUCT((('Full month Pivot'!$B$3:$B$400=$A$207) + ('Full month Pivot'!$A$3:$A$400=$A$207) &gt; 0) * (TRIM('Full month Pivot'!$C$3:$C$400)=TRIM($A213)) * ('Full month Pivot'!$D$2:$K$2=Z$2) * 'Full month Pivot'!$D$3:$K$400)&gt;0, SUMPRODUCT((('Full month Pivot'!$B$3:$B$400=$A$207) + ('Full month Pivot'!$A$3:$A$400=$A$207) &gt; 0) * (TRIM('Full month Pivot'!$C$3:$C$400)=TRIM($A213)) * ('Full month Pivot'!$D$2:$K$2=Z$2) * 'Full month Pivot'!$D$3:$K$400), "")</f>
        <v/>
      </c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202" t="inlineStr">
        <is>
          <t xml:space="preserve">  Paid</t>
        </is>
      </c>
      <c r="B214" s="193">
        <f>IF(SUMPRODUCT((('MTD Pivot'!$B$3:$B$400=$A$207) + ('MTD Pivot'!$A$3:$A$400=$A$207) &gt; 0) * (TRIM('MTD Pivot'!$C$3:$C$400)=TRIM($A214)) * ('MTD Pivot'!$D$2:$K$2=B$2) * 'MTD Pivot'!$D$3:$K$400)&gt;0, SUMPRODUCT((('MTD Pivot'!$B$3:$B$400=$A$207) + ('MTD Pivot'!$A$3:$A$400=$A$207) &gt; 0) * (TRIM('MTD Pivot'!$C$3:$C$400)=TRIM($A214)) * ('MTD Pivot'!$D$2:$K$2=B$2) * 'MTD Pivot'!$D$3:$K$400), "")</f>
        <v/>
      </c>
      <c r="C214" s="193">
        <f>IF(SUMPRODUCT((('MTD Pivot'!$B$3:$B$400=$A$207) + ('MTD Pivot'!$A$3:$A$400=$A$207) &gt; 0) * (TRIM('MTD Pivot'!$C$3:$C$400)=TRIM($A214)) * ('MTD Pivot'!$D$2:$K$2=C$2) * 'MTD Pivot'!$D$3:$K$400)&gt;0, SUMPRODUCT((('MTD Pivot'!$B$3:$B$400=$A$207) + ('MTD Pivot'!$A$3:$A$400=$A$207) &gt; 0) * (TRIM('MTD Pivot'!$C$3:$C$400)=TRIM($A214)) * ('MTD Pivot'!$D$2:$K$2=C$2) * 'MTD Pivot'!$D$3:$K$400), "")</f>
        <v/>
      </c>
      <c r="D214" s="193">
        <f>IF(SUMPRODUCT((('MTD Pivot'!$B$3:$B$400=$A$207) + ('MTD Pivot'!$A$3:$A$400=$A$207) &gt; 0) * (TRIM('MTD Pivot'!$C$3:$C$400)=TRIM($A214)) * ('MTD Pivot'!$D$2:$K$2=D$2) * 'MTD Pivot'!$D$3:$K$400)&gt;0, SUMPRODUCT((('MTD Pivot'!$B$3:$B$400=$A$207) + ('MTD Pivot'!$A$3:$A$400=$A$207) &gt; 0) * (TRIM('MTD Pivot'!$C$3:$C$400)=TRIM($A214)) * ('MTD Pivot'!$D$2:$K$2=D$2) * 'MTD Pivot'!$D$3:$K$400), "")</f>
        <v/>
      </c>
      <c r="E214" s="193">
        <f>IF(SUMPRODUCT((('MTD Pivot'!$B$3:$B$400=$A$207) + ('MTD Pivot'!$A$3:$A$400=$A$207) &gt; 0) * (TRIM('MTD Pivot'!$C$3:$C$400)=TRIM($A214)) * ('MTD Pivot'!$D$2:$K$2=E$2) * 'MTD Pivot'!$D$3:$K$400)&gt;0, SUMPRODUCT((('MTD Pivot'!$B$3:$B$400=$A$207) + ('MTD Pivot'!$A$3:$A$400=$A$207) &gt; 0) * (TRIM('MTD Pivot'!$C$3:$C$400)=TRIM($A214)) * ('MTD Pivot'!$D$2:$K$2=E$2) * 'MTD Pivot'!$D$3:$K$400), "")</f>
        <v/>
      </c>
      <c r="F214" s="193">
        <f>IF(SUMPRODUCT((('MTD Pivot'!$B$3:$B$400=$A$207) + ('MTD Pivot'!$A$3:$A$400=$A$207) &gt; 0) * (TRIM('MTD Pivot'!$C$3:$C$400)=TRIM($A214)) * ('MTD Pivot'!$D$2:$K$2=F$2) * 'MTD Pivot'!$D$3:$K$400)&gt;0, SUMPRODUCT((('MTD Pivot'!$B$3:$B$400=$A$207) + ('MTD Pivot'!$A$3:$A$400=$A$207) &gt; 0) * (TRIM('MTD Pivot'!$C$3:$C$400)=TRIM($A214)) * ('MTD Pivot'!$D$2:$K$2=F$2) * 'MTD Pivot'!$D$3:$K$400), "")</f>
        <v/>
      </c>
      <c r="G214" s="193">
        <f>IF(SUMPRODUCT((('MTD Pivot'!$B$3:$B$400=$A$207) + ('MTD Pivot'!$A$3:$A$400=$A$207) &gt; 0) * (TRIM('MTD Pivot'!$C$3:$C$400)=TRIM($A214)) * ('MTD Pivot'!$D$2:$K$2=G$2) * 'MTD Pivot'!$D$3:$K$400)&gt;0, SUMPRODUCT((('MTD Pivot'!$B$3:$B$400=$A$207) + ('MTD Pivot'!$A$3:$A$400=$A$207) &gt; 0) * (TRIM('MTD Pivot'!$C$3:$C$400)=TRIM($A214)) * ('MTD Pivot'!$D$2:$K$2=G$2) * 'MTD Pivot'!$D$3:$K$400), "")</f>
        <v/>
      </c>
      <c r="H214" s="193">
        <f>IF(SUMPRODUCT((('MTD Pivot'!$B$3:$B$400=$A$207) + ('MTD Pivot'!$A$3:$A$400=$A$207) &gt; 0) * (TRIM('MTD Pivot'!$C$3:$C$400)=TRIM($A214)) * ('MTD Pivot'!$D$2:$K$2=H$2) * 'MTD Pivot'!$D$3:$K$400)&gt;0, SUMPRODUCT((('MTD Pivot'!$B$3:$B$400=$A$207) + ('MTD Pivot'!$A$3:$A$400=$A$207) &gt; 0) * (TRIM('MTD Pivot'!$C$3:$C$400)=TRIM($A214)) * ('MTD Pivot'!$D$2:$K$2=H$2) * 'MTD Pivot'!$D$3:$K$400), "")</f>
        <v/>
      </c>
      <c r="I214" s="193">
        <f>IF(SUMPRODUCT((('MTD Pivot'!$B$3:$B$400=$A$207) + ('MTD Pivot'!$A$3:$A$400=$A$207) &gt; 0) * (TRIM('MTD Pivot'!$C$3:$C$400)=TRIM($A214)) * ('MTD Pivot'!$D$2:$K$2=I$2) * 'MTD Pivot'!$D$3:$K$400)&gt;0, SUMPRODUCT((('MTD Pivot'!$B$3:$B$400=$A$207) + ('MTD Pivot'!$A$3:$A$400=$A$207) &gt; 0) * (TRIM('MTD Pivot'!$C$3:$C$400)=TRIM($A214)) * ('MTD Pivot'!$D$2:$K$2=I$2) * 'MTD Pivot'!$D$3:$K$400), "")</f>
        <v/>
      </c>
      <c r="J214" s="193">
        <f>IF(SUMPRODUCT((('MTD Pivot'!$B$3:$B$400=$A$207) + ('MTD Pivot'!$A$3:$A$400=$A$207) &gt; 0) * (TRIM('MTD Pivot'!$C$3:$C$400)=TRIM($A214)) * ('MTD Pivot'!$D$2:$K$2=J$2) * 'MTD Pivot'!$D$3:$K$400)&gt;0, SUMPRODUCT((('MTD Pivot'!$B$3:$B$400=$A$207) + ('MTD Pivot'!$A$3:$A$400=$A$207) &gt; 0) * (TRIM('MTD Pivot'!$C$3:$C$400)=TRIM($A214)) * ('MTD Pivot'!$D$2:$K$2=J$2) * 'MTD Pivot'!$D$3:$K$400), "")</f>
        <v/>
      </c>
      <c r="K214" s="193">
        <f>IF(SUMPRODUCT((('MTD Pivot'!$B$3:$B$400=$A$207) + ('MTD Pivot'!$A$3:$A$400=$A$207) &gt; 0) * (TRIM('MTD Pivot'!$C$3:$C$400)=TRIM($A214)) * ('MTD Pivot'!$D$2:$K$2=K$2) * 'MTD Pivot'!$D$3:$K$400)&gt;0, SUMPRODUCT((('MTD Pivot'!$B$3:$B$400=$A$207) + ('MTD Pivot'!$A$3:$A$400=$A$207) &gt; 0) * (TRIM('MTD Pivot'!$C$3:$C$400)=TRIM($A214)) * ('MTD Pivot'!$D$2:$K$2=K$2) * 'MTD Pivot'!$D$3:$K$400), "")</f>
        <v/>
      </c>
      <c r="L214" s="193">
        <f>IF(SUMPRODUCT((('MTD Pivot'!$B$3:$B$400=$A$207) + ('MTD Pivot'!$A$3:$A$400=$A$207) &gt; 0) * (TRIM('MTD Pivot'!$C$3:$C$400)=TRIM($A214)) * ('MTD Pivot'!$D$2:$K$2=L$2) * 'MTD Pivot'!$D$3:$K$400)&gt;0, SUMPRODUCT((('MTD Pivot'!$B$3:$B$400=$A$207) + ('MTD Pivot'!$A$3:$A$400=$A$207) &gt; 0) * (TRIM('MTD Pivot'!$C$3:$C$400)=TRIM($A214)) * ('MTD Pivot'!$D$2:$K$2=L$2) * 'MTD Pivot'!$D$3:$K$400), "")</f>
        <v/>
      </c>
      <c r="M214" s="193">
        <f>IF(SUMPRODUCT((('MTD Pivot'!$B$3:$B$400=$A$207) + ('MTD Pivot'!$A$3:$A$400=$A$207) &gt; 0) * (TRIM('MTD Pivot'!$C$3:$C$400)=TRIM($A214)) * ('MTD Pivot'!$D$2:$K$2=M$2) * 'MTD Pivot'!$D$3:$K$400)&gt;0, SUMPRODUCT((('MTD Pivot'!$B$3:$B$400=$A$207) + ('MTD Pivot'!$A$3:$A$400=$A$207) &gt; 0) * (TRIM('MTD Pivot'!$C$3:$C$400)=TRIM($A214)) * ('MTD Pivot'!$D$2:$K$2=M$2) * 'MTD Pivot'!$D$3:$K$400), "")</f>
        <v/>
      </c>
      <c r="N214" s="157">
        <f>IF(AND(ISNUMBER(K214), ISNUMBER(J214), J214&gt;0), (K214-J214)/J214, "")</f>
        <v/>
      </c>
      <c r="O214" s="193">
        <f>IF(SUMPRODUCT((('Full month Pivot'!$B$3:$B$400=$A$207) + ('Full month Pivot'!$A$3:$A$400=$A$207) &gt; 0) * (TRIM('Full month Pivot'!$C$3:$C$400)=TRIM($A214)) * ('Full month Pivot'!$D$2:$K$2=O$2) * 'Full month Pivot'!$D$3:$K$400)&gt;0, SUMPRODUCT((('Full month Pivot'!$B$3:$B$400=$A$207) + ('Full month Pivot'!$A$3:$A$400=$A$207) &gt; 0) * (TRIM('Full month Pivot'!$C$3:$C$400)=TRIM($A214)) * ('Full month Pivot'!$D$2:$K$2=O$2) * 'Full month Pivot'!$D$3:$K$400), "")</f>
        <v/>
      </c>
      <c r="P214" s="193">
        <f>IF(SUMPRODUCT((('Full month Pivot'!$B$3:$B$400=$A$207) + ('Full month Pivot'!$A$3:$A$400=$A$207) &gt; 0) * (TRIM('Full month Pivot'!$C$3:$C$400)=TRIM($A214)) * ('Full month Pivot'!$D$2:$K$2=P$2) * 'Full month Pivot'!$D$3:$K$400)&gt;0, SUMPRODUCT((('Full month Pivot'!$B$3:$B$400=$A$207) + ('Full month Pivot'!$A$3:$A$400=$A$207) &gt; 0) * (TRIM('Full month Pivot'!$C$3:$C$400)=TRIM($A214)) * ('Full month Pivot'!$D$2:$K$2=P$2) * 'Full month Pivot'!$D$3:$K$400), "")</f>
        <v/>
      </c>
      <c r="Q214" s="193">
        <f>IF(SUMPRODUCT((('Full month Pivot'!$B$3:$B$400=$A$207) + ('Full month Pivot'!$A$3:$A$400=$A$207) &gt; 0) * (TRIM('Full month Pivot'!$C$3:$C$400)=TRIM($A214)) * ('Full month Pivot'!$D$2:$K$2=Q$2) * 'Full month Pivot'!$D$3:$K$400)&gt;0, SUMPRODUCT((('Full month Pivot'!$B$3:$B$400=$A$207) + ('Full month Pivot'!$A$3:$A$400=$A$207) &gt; 0) * (TRIM('Full month Pivot'!$C$3:$C$400)=TRIM($A214)) * ('Full month Pivot'!$D$2:$K$2=Q$2) * 'Full month Pivot'!$D$3:$K$400), "")</f>
        <v/>
      </c>
      <c r="R214" s="193">
        <f>IF(SUMPRODUCT((('Full month Pivot'!$B$3:$B$400=$A$207) + ('Full month Pivot'!$A$3:$A$400=$A$207) &gt; 0) * (TRIM('Full month Pivot'!$C$3:$C$400)=TRIM($A214)) * ('Full month Pivot'!$D$2:$K$2=R$2) * 'Full month Pivot'!$D$3:$K$400)&gt;0, SUMPRODUCT((('Full month Pivot'!$B$3:$B$400=$A$207) + ('Full month Pivot'!$A$3:$A$400=$A$207) &gt; 0) * (TRIM('Full month Pivot'!$C$3:$C$400)=TRIM($A214)) * ('Full month Pivot'!$D$2:$K$2=R$2) * 'Full month Pivot'!$D$3:$K$400), "")</f>
        <v/>
      </c>
      <c r="S214" s="193">
        <f>IF(SUMPRODUCT((('Full month Pivot'!$B$3:$B$400=$A$207) + ('Full month Pivot'!$A$3:$A$400=$A$207) &gt; 0) * (TRIM('Full month Pivot'!$C$3:$C$400)=TRIM($A214)) * ('Full month Pivot'!$D$2:$K$2=S$2) * 'Full month Pivot'!$D$3:$K$400)&gt;0, SUMPRODUCT((('Full month Pivot'!$B$3:$B$400=$A$207) + ('Full month Pivot'!$A$3:$A$400=$A$207) &gt; 0) * (TRIM('Full month Pivot'!$C$3:$C$400)=TRIM($A214)) * ('Full month Pivot'!$D$2:$K$2=S$2) * 'Full month Pivot'!$D$3:$K$400), "")</f>
        <v/>
      </c>
      <c r="T214" s="193">
        <f>IF(SUMPRODUCT((('Full month Pivot'!$B$3:$B$400=$A$207) + ('Full month Pivot'!$A$3:$A$400=$A$207) &gt; 0) * (TRIM('Full month Pivot'!$C$3:$C$400)=TRIM($A214)) * ('Full month Pivot'!$D$2:$K$2=T$2) * 'Full month Pivot'!$D$3:$K$400)&gt;0, SUMPRODUCT((('Full month Pivot'!$B$3:$B$400=$A$207) + ('Full month Pivot'!$A$3:$A$400=$A$207) &gt; 0) * (TRIM('Full month Pivot'!$C$3:$C$400)=TRIM($A214)) * ('Full month Pivot'!$D$2:$K$2=T$2) * 'Full month Pivot'!$D$3:$K$400), "")</f>
        <v/>
      </c>
      <c r="U214" s="193">
        <f>IF(SUMPRODUCT((('Full month Pivot'!$B$3:$B$400=$A$207) + ('Full month Pivot'!$A$3:$A$400=$A$207) &gt; 0) * (TRIM('Full month Pivot'!$C$3:$C$400)=TRIM($A214)) * ('Full month Pivot'!$D$2:$K$2=U$2) * 'Full month Pivot'!$D$3:$K$400)&gt;0, SUMPRODUCT((('Full month Pivot'!$B$3:$B$400=$A$207) + ('Full month Pivot'!$A$3:$A$400=$A$207) &gt; 0) * (TRIM('Full month Pivot'!$C$3:$C$400)=TRIM($A214)) * ('Full month Pivot'!$D$2:$K$2=U$2) * 'Full month Pivot'!$D$3:$K$400), "")</f>
        <v/>
      </c>
      <c r="V214" s="193">
        <f>IF(SUMPRODUCT((('Full month Pivot'!$B$3:$B$400=$A$207) + ('Full month Pivot'!$A$3:$A$400=$A$207) &gt; 0) * (TRIM('Full month Pivot'!$C$3:$C$400)=TRIM($A214)) * ('Full month Pivot'!$D$2:$K$2=V$2) * 'Full month Pivot'!$D$3:$K$400)&gt;0, SUMPRODUCT((('Full month Pivot'!$B$3:$B$400=$A$207) + ('Full month Pivot'!$A$3:$A$400=$A$207) &gt; 0) * (TRIM('Full month Pivot'!$C$3:$C$400)=TRIM($A214)) * ('Full month Pivot'!$D$2:$K$2=V$2) * 'Full month Pivot'!$D$3:$K$400), "")</f>
        <v/>
      </c>
      <c r="W214" s="193">
        <f>IF(SUMPRODUCT((('Full month Pivot'!$B$3:$B$400=$A$207) + ('Full month Pivot'!$A$3:$A$400=$A$207) &gt; 0) * (TRIM('Full month Pivot'!$C$3:$C$400)=TRIM($A214)) * ('Full month Pivot'!$D$2:$K$2=W$2) * 'Full month Pivot'!$D$3:$K$400)&gt;0, SUMPRODUCT((('Full month Pivot'!$B$3:$B$400=$A$207) + ('Full month Pivot'!$A$3:$A$400=$A$207) &gt; 0) * (TRIM('Full month Pivot'!$C$3:$C$400)=TRIM($A214)) * ('Full month Pivot'!$D$2:$K$2=W$2) * 'Full month Pivot'!$D$3:$K$400), "")</f>
        <v/>
      </c>
      <c r="X214" s="193">
        <f>IF(SUMPRODUCT((('Full month Pivot'!$B$3:$B$400=$A$207) + ('Full month Pivot'!$A$3:$A$400=$A$207) &gt; 0) * (TRIM('Full month Pivot'!$C$3:$C$400)=TRIM($A214)) * ('Full month Pivot'!$D$2:$K$2=X$2) * 'Full month Pivot'!$D$3:$K$400)&gt;0, SUMPRODUCT((('Full month Pivot'!$B$3:$B$400=$A$207) + ('Full month Pivot'!$A$3:$A$400=$A$207) &gt; 0) * (TRIM('Full month Pivot'!$C$3:$C$400)=TRIM($A214)) * ('Full month Pivot'!$D$2:$K$2=X$2) * 'Full month Pivot'!$D$3:$K$400), "")</f>
        <v/>
      </c>
      <c r="Y214" s="193">
        <f>IF(SUMPRODUCT((('Full month Pivot'!$B$3:$B$400=$A$207) + ('Full month Pivot'!$A$3:$A$400=$A$207) &gt; 0) * (TRIM('Full month Pivot'!$C$3:$C$400)=TRIM($A214)) * ('Full month Pivot'!$D$2:$K$2=Y$2) * 'Full month Pivot'!$D$3:$K$400)&gt;0, SUMPRODUCT((('Full month Pivot'!$B$3:$B$400=$A$207) + ('Full month Pivot'!$A$3:$A$400=$A$207) &gt; 0) * (TRIM('Full month Pivot'!$C$3:$C$400)=TRIM($A214)) * ('Full month Pivot'!$D$2:$K$2=Y$2) * 'Full month Pivot'!$D$3:$K$400), "")</f>
        <v/>
      </c>
      <c r="Z214" s="193">
        <f>IF(SUMPRODUCT((('Full month Pivot'!$B$3:$B$400=$A$207) + ('Full month Pivot'!$A$3:$A$400=$A$207) &gt; 0) * (TRIM('Full month Pivot'!$C$3:$C$400)=TRIM($A214)) * ('Full month Pivot'!$D$2:$K$2=Z$2) * 'Full month Pivot'!$D$3:$K$400)&gt;0, SUMPRODUCT((('Full month Pivot'!$B$3:$B$400=$A$207) + ('Full month Pivot'!$A$3:$A$400=$A$207) &gt; 0) * (TRIM('Full month Pivot'!$C$3:$C$400)=TRIM($A214)) * ('Full month Pivot'!$D$2:$K$2=Z$2) * 'Full month Pivot'!$D$3:$K$400), "")</f>
        <v/>
      </c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202" t="inlineStr">
        <is>
          <t xml:space="preserve">  Direct</t>
        </is>
      </c>
      <c r="B215" s="193">
        <f>IF(SUMPRODUCT((('MTD Pivot'!$B$3:$B$400=$A$207) + ('MTD Pivot'!$A$3:$A$400=$A$207) &gt; 0) * (TRIM('MTD Pivot'!$C$3:$C$400)=TRIM($A215)) * ('MTD Pivot'!$D$2:$K$2=B$2) * 'MTD Pivot'!$D$3:$K$400)&gt;0, SUMPRODUCT((('MTD Pivot'!$B$3:$B$400=$A$207) + ('MTD Pivot'!$A$3:$A$400=$A$207) &gt; 0) * (TRIM('MTD Pivot'!$C$3:$C$400)=TRIM($A215)) * ('MTD Pivot'!$D$2:$K$2=B$2) * 'MTD Pivot'!$D$3:$K$400), "")</f>
        <v/>
      </c>
      <c r="C215" s="193">
        <f>IF(SUMPRODUCT((('MTD Pivot'!$B$3:$B$400=$A$207) + ('MTD Pivot'!$A$3:$A$400=$A$207) &gt; 0) * (TRIM('MTD Pivot'!$C$3:$C$400)=TRIM($A215)) * ('MTD Pivot'!$D$2:$K$2=C$2) * 'MTD Pivot'!$D$3:$K$400)&gt;0, SUMPRODUCT((('MTD Pivot'!$B$3:$B$400=$A$207) + ('MTD Pivot'!$A$3:$A$400=$A$207) &gt; 0) * (TRIM('MTD Pivot'!$C$3:$C$400)=TRIM($A215)) * ('MTD Pivot'!$D$2:$K$2=C$2) * 'MTD Pivot'!$D$3:$K$400), "")</f>
        <v/>
      </c>
      <c r="D215" s="193">
        <f>IF(SUMPRODUCT((('MTD Pivot'!$B$3:$B$400=$A$207) + ('MTD Pivot'!$A$3:$A$400=$A$207) &gt; 0) * (TRIM('MTD Pivot'!$C$3:$C$400)=TRIM($A215)) * ('MTD Pivot'!$D$2:$K$2=D$2) * 'MTD Pivot'!$D$3:$K$400)&gt;0, SUMPRODUCT((('MTD Pivot'!$B$3:$B$400=$A$207) + ('MTD Pivot'!$A$3:$A$400=$A$207) &gt; 0) * (TRIM('MTD Pivot'!$C$3:$C$400)=TRIM($A215)) * ('MTD Pivot'!$D$2:$K$2=D$2) * 'MTD Pivot'!$D$3:$K$400), "")</f>
        <v/>
      </c>
      <c r="E215" s="193">
        <f>IF(SUMPRODUCT((('MTD Pivot'!$B$3:$B$400=$A$207) + ('MTD Pivot'!$A$3:$A$400=$A$207) &gt; 0) * (TRIM('MTD Pivot'!$C$3:$C$400)=TRIM($A215)) * ('MTD Pivot'!$D$2:$K$2=E$2) * 'MTD Pivot'!$D$3:$K$400)&gt;0, SUMPRODUCT((('MTD Pivot'!$B$3:$B$400=$A$207) + ('MTD Pivot'!$A$3:$A$400=$A$207) &gt; 0) * (TRIM('MTD Pivot'!$C$3:$C$400)=TRIM($A215)) * ('MTD Pivot'!$D$2:$K$2=E$2) * 'MTD Pivot'!$D$3:$K$400), "")</f>
        <v/>
      </c>
      <c r="F215" s="193">
        <f>IF(SUMPRODUCT((('MTD Pivot'!$B$3:$B$400=$A$207) + ('MTD Pivot'!$A$3:$A$400=$A$207) &gt; 0) * (TRIM('MTD Pivot'!$C$3:$C$400)=TRIM($A215)) * ('MTD Pivot'!$D$2:$K$2=F$2) * 'MTD Pivot'!$D$3:$K$400)&gt;0, SUMPRODUCT((('MTD Pivot'!$B$3:$B$400=$A$207) + ('MTD Pivot'!$A$3:$A$400=$A$207) &gt; 0) * (TRIM('MTD Pivot'!$C$3:$C$400)=TRIM($A215)) * ('MTD Pivot'!$D$2:$K$2=F$2) * 'MTD Pivot'!$D$3:$K$400), "")</f>
        <v/>
      </c>
      <c r="G215" s="193">
        <f>IF(SUMPRODUCT((('MTD Pivot'!$B$3:$B$400=$A$207) + ('MTD Pivot'!$A$3:$A$400=$A$207) &gt; 0) * (TRIM('MTD Pivot'!$C$3:$C$400)=TRIM($A215)) * ('MTD Pivot'!$D$2:$K$2=G$2) * 'MTD Pivot'!$D$3:$K$400)&gt;0, SUMPRODUCT((('MTD Pivot'!$B$3:$B$400=$A$207) + ('MTD Pivot'!$A$3:$A$400=$A$207) &gt; 0) * (TRIM('MTD Pivot'!$C$3:$C$400)=TRIM($A215)) * ('MTD Pivot'!$D$2:$K$2=G$2) * 'MTD Pivot'!$D$3:$K$400), "")</f>
        <v/>
      </c>
      <c r="H215" s="193">
        <f>IF(SUMPRODUCT((('MTD Pivot'!$B$3:$B$400=$A$207) + ('MTD Pivot'!$A$3:$A$400=$A$207) &gt; 0) * (TRIM('MTD Pivot'!$C$3:$C$400)=TRIM($A215)) * ('MTD Pivot'!$D$2:$K$2=H$2) * 'MTD Pivot'!$D$3:$K$400)&gt;0, SUMPRODUCT((('MTD Pivot'!$B$3:$B$400=$A$207) + ('MTD Pivot'!$A$3:$A$400=$A$207) &gt; 0) * (TRIM('MTD Pivot'!$C$3:$C$400)=TRIM($A215)) * ('MTD Pivot'!$D$2:$K$2=H$2) * 'MTD Pivot'!$D$3:$K$400), "")</f>
        <v/>
      </c>
      <c r="I215" s="193">
        <f>IF(SUMPRODUCT((('MTD Pivot'!$B$3:$B$400=$A$207) + ('MTD Pivot'!$A$3:$A$400=$A$207) &gt; 0) * (TRIM('MTD Pivot'!$C$3:$C$400)=TRIM($A215)) * ('MTD Pivot'!$D$2:$K$2=I$2) * 'MTD Pivot'!$D$3:$K$400)&gt;0, SUMPRODUCT((('MTD Pivot'!$B$3:$B$400=$A$207) + ('MTD Pivot'!$A$3:$A$400=$A$207) &gt; 0) * (TRIM('MTD Pivot'!$C$3:$C$400)=TRIM($A215)) * ('MTD Pivot'!$D$2:$K$2=I$2) * 'MTD Pivot'!$D$3:$K$400), "")</f>
        <v/>
      </c>
      <c r="J215" s="193">
        <f>IF(SUMPRODUCT((('MTD Pivot'!$B$3:$B$400=$A$207) + ('MTD Pivot'!$A$3:$A$400=$A$207) &gt; 0) * (TRIM('MTD Pivot'!$C$3:$C$400)=TRIM($A215)) * ('MTD Pivot'!$D$2:$K$2=J$2) * 'MTD Pivot'!$D$3:$K$400)&gt;0, SUMPRODUCT((('MTD Pivot'!$B$3:$B$400=$A$207) + ('MTD Pivot'!$A$3:$A$400=$A$207) &gt; 0) * (TRIM('MTD Pivot'!$C$3:$C$400)=TRIM($A215)) * ('MTD Pivot'!$D$2:$K$2=J$2) * 'MTD Pivot'!$D$3:$K$400), "")</f>
        <v/>
      </c>
      <c r="K215" s="193">
        <f>IF(SUMPRODUCT((('MTD Pivot'!$B$3:$B$400=$A$207) + ('MTD Pivot'!$A$3:$A$400=$A$207) &gt; 0) * (TRIM('MTD Pivot'!$C$3:$C$400)=TRIM($A215)) * ('MTD Pivot'!$D$2:$K$2=K$2) * 'MTD Pivot'!$D$3:$K$400)&gt;0, SUMPRODUCT((('MTD Pivot'!$B$3:$B$400=$A$207) + ('MTD Pivot'!$A$3:$A$400=$A$207) &gt; 0) * (TRIM('MTD Pivot'!$C$3:$C$400)=TRIM($A215)) * ('MTD Pivot'!$D$2:$K$2=K$2) * 'MTD Pivot'!$D$3:$K$400), "")</f>
        <v/>
      </c>
      <c r="L215" s="193">
        <f>IF(SUMPRODUCT((('MTD Pivot'!$B$3:$B$400=$A$207) + ('MTD Pivot'!$A$3:$A$400=$A$207) &gt; 0) * (TRIM('MTD Pivot'!$C$3:$C$400)=TRIM($A215)) * ('MTD Pivot'!$D$2:$K$2=L$2) * 'MTD Pivot'!$D$3:$K$400)&gt;0, SUMPRODUCT((('MTD Pivot'!$B$3:$B$400=$A$207) + ('MTD Pivot'!$A$3:$A$400=$A$207) &gt; 0) * (TRIM('MTD Pivot'!$C$3:$C$400)=TRIM($A215)) * ('MTD Pivot'!$D$2:$K$2=L$2) * 'MTD Pivot'!$D$3:$K$400), "")</f>
        <v/>
      </c>
      <c r="M215" s="193">
        <f>IF(SUMPRODUCT((('MTD Pivot'!$B$3:$B$400=$A$207) + ('MTD Pivot'!$A$3:$A$400=$A$207) &gt; 0) * (TRIM('MTD Pivot'!$C$3:$C$400)=TRIM($A215)) * ('MTD Pivot'!$D$2:$K$2=M$2) * 'MTD Pivot'!$D$3:$K$400)&gt;0, SUMPRODUCT((('MTD Pivot'!$B$3:$B$400=$A$207) + ('MTD Pivot'!$A$3:$A$400=$A$207) &gt; 0) * (TRIM('MTD Pivot'!$C$3:$C$400)=TRIM($A215)) * ('MTD Pivot'!$D$2:$K$2=M$2) * 'MTD Pivot'!$D$3:$K$400), "")</f>
        <v/>
      </c>
      <c r="N215" s="157">
        <f>IF(AND(ISNUMBER(K215), ISNUMBER(J215), J215&gt;0), (K215-J215)/J215, "")</f>
        <v/>
      </c>
      <c r="O215" s="193">
        <f>IF(SUMPRODUCT((('Full month Pivot'!$B$3:$B$400=$A$207) + ('Full month Pivot'!$A$3:$A$400=$A$207) &gt; 0) * (TRIM('Full month Pivot'!$C$3:$C$400)=TRIM($A215)) * ('Full month Pivot'!$D$2:$K$2=O$2) * 'Full month Pivot'!$D$3:$K$400)&gt;0, SUMPRODUCT((('Full month Pivot'!$B$3:$B$400=$A$207) + ('Full month Pivot'!$A$3:$A$400=$A$207) &gt; 0) * (TRIM('Full month Pivot'!$C$3:$C$400)=TRIM($A215)) * ('Full month Pivot'!$D$2:$K$2=O$2) * 'Full month Pivot'!$D$3:$K$400), "")</f>
        <v/>
      </c>
      <c r="P215" s="193">
        <f>IF(SUMPRODUCT((('Full month Pivot'!$B$3:$B$400=$A$207) + ('Full month Pivot'!$A$3:$A$400=$A$207) &gt; 0) * (TRIM('Full month Pivot'!$C$3:$C$400)=TRIM($A215)) * ('Full month Pivot'!$D$2:$K$2=P$2) * 'Full month Pivot'!$D$3:$K$400)&gt;0, SUMPRODUCT((('Full month Pivot'!$B$3:$B$400=$A$207) + ('Full month Pivot'!$A$3:$A$400=$A$207) &gt; 0) * (TRIM('Full month Pivot'!$C$3:$C$400)=TRIM($A215)) * ('Full month Pivot'!$D$2:$K$2=P$2) * 'Full month Pivot'!$D$3:$K$400), "")</f>
        <v/>
      </c>
      <c r="Q215" s="193">
        <f>IF(SUMPRODUCT((('Full month Pivot'!$B$3:$B$400=$A$207) + ('Full month Pivot'!$A$3:$A$400=$A$207) &gt; 0) * (TRIM('Full month Pivot'!$C$3:$C$400)=TRIM($A215)) * ('Full month Pivot'!$D$2:$K$2=Q$2) * 'Full month Pivot'!$D$3:$K$400)&gt;0, SUMPRODUCT((('Full month Pivot'!$B$3:$B$400=$A$207) + ('Full month Pivot'!$A$3:$A$400=$A$207) &gt; 0) * (TRIM('Full month Pivot'!$C$3:$C$400)=TRIM($A215)) * ('Full month Pivot'!$D$2:$K$2=Q$2) * 'Full month Pivot'!$D$3:$K$400), "")</f>
        <v/>
      </c>
      <c r="R215" s="193">
        <f>IF(SUMPRODUCT((('Full month Pivot'!$B$3:$B$400=$A$207) + ('Full month Pivot'!$A$3:$A$400=$A$207) &gt; 0) * (TRIM('Full month Pivot'!$C$3:$C$400)=TRIM($A215)) * ('Full month Pivot'!$D$2:$K$2=R$2) * 'Full month Pivot'!$D$3:$K$400)&gt;0, SUMPRODUCT((('Full month Pivot'!$B$3:$B$400=$A$207) + ('Full month Pivot'!$A$3:$A$400=$A$207) &gt; 0) * (TRIM('Full month Pivot'!$C$3:$C$400)=TRIM($A215)) * ('Full month Pivot'!$D$2:$K$2=R$2) * 'Full month Pivot'!$D$3:$K$400), "")</f>
        <v/>
      </c>
      <c r="S215" s="193">
        <f>IF(SUMPRODUCT((('Full month Pivot'!$B$3:$B$400=$A$207) + ('Full month Pivot'!$A$3:$A$400=$A$207) &gt; 0) * (TRIM('Full month Pivot'!$C$3:$C$400)=TRIM($A215)) * ('Full month Pivot'!$D$2:$K$2=S$2) * 'Full month Pivot'!$D$3:$K$400)&gt;0, SUMPRODUCT((('Full month Pivot'!$B$3:$B$400=$A$207) + ('Full month Pivot'!$A$3:$A$400=$A$207) &gt; 0) * (TRIM('Full month Pivot'!$C$3:$C$400)=TRIM($A215)) * ('Full month Pivot'!$D$2:$K$2=S$2) * 'Full month Pivot'!$D$3:$K$400), "")</f>
        <v/>
      </c>
      <c r="T215" s="193">
        <f>IF(SUMPRODUCT((('Full month Pivot'!$B$3:$B$400=$A$207) + ('Full month Pivot'!$A$3:$A$400=$A$207) &gt; 0) * (TRIM('Full month Pivot'!$C$3:$C$400)=TRIM($A215)) * ('Full month Pivot'!$D$2:$K$2=T$2) * 'Full month Pivot'!$D$3:$K$400)&gt;0, SUMPRODUCT((('Full month Pivot'!$B$3:$B$400=$A$207) + ('Full month Pivot'!$A$3:$A$400=$A$207) &gt; 0) * (TRIM('Full month Pivot'!$C$3:$C$400)=TRIM($A215)) * ('Full month Pivot'!$D$2:$K$2=T$2) * 'Full month Pivot'!$D$3:$K$400), "")</f>
        <v/>
      </c>
      <c r="U215" s="193">
        <f>IF(SUMPRODUCT((('Full month Pivot'!$B$3:$B$400=$A$207) + ('Full month Pivot'!$A$3:$A$400=$A$207) &gt; 0) * (TRIM('Full month Pivot'!$C$3:$C$400)=TRIM($A215)) * ('Full month Pivot'!$D$2:$K$2=U$2) * 'Full month Pivot'!$D$3:$K$400)&gt;0, SUMPRODUCT((('Full month Pivot'!$B$3:$B$400=$A$207) + ('Full month Pivot'!$A$3:$A$400=$A$207) &gt; 0) * (TRIM('Full month Pivot'!$C$3:$C$400)=TRIM($A215)) * ('Full month Pivot'!$D$2:$K$2=U$2) * 'Full month Pivot'!$D$3:$K$400), "")</f>
        <v/>
      </c>
      <c r="V215" s="193">
        <f>IF(SUMPRODUCT((('Full month Pivot'!$B$3:$B$400=$A$207) + ('Full month Pivot'!$A$3:$A$400=$A$207) &gt; 0) * (TRIM('Full month Pivot'!$C$3:$C$400)=TRIM($A215)) * ('Full month Pivot'!$D$2:$K$2=V$2) * 'Full month Pivot'!$D$3:$K$400)&gt;0, SUMPRODUCT((('Full month Pivot'!$B$3:$B$400=$A$207) + ('Full month Pivot'!$A$3:$A$400=$A$207) &gt; 0) * (TRIM('Full month Pivot'!$C$3:$C$400)=TRIM($A215)) * ('Full month Pivot'!$D$2:$K$2=V$2) * 'Full month Pivot'!$D$3:$K$400), "")</f>
        <v/>
      </c>
      <c r="W215" s="193">
        <f>IF(SUMPRODUCT((('Full month Pivot'!$B$3:$B$400=$A$207) + ('Full month Pivot'!$A$3:$A$400=$A$207) &gt; 0) * (TRIM('Full month Pivot'!$C$3:$C$400)=TRIM($A215)) * ('Full month Pivot'!$D$2:$K$2=W$2) * 'Full month Pivot'!$D$3:$K$400)&gt;0, SUMPRODUCT((('Full month Pivot'!$B$3:$B$400=$A$207) + ('Full month Pivot'!$A$3:$A$400=$A$207) &gt; 0) * (TRIM('Full month Pivot'!$C$3:$C$400)=TRIM($A215)) * ('Full month Pivot'!$D$2:$K$2=W$2) * 'Full month Pivot'!$D$3:$K$400), "")</f>
        <v/>
      </c>
      <c r="X215" s="193">
        <f>IF(SUMPRODUCT((('Full month Pivot'!$B$3:$B$400=$A$207) + ('Full month Pivot'!$A$3:$A$400=$A$207) &gt; 0) * (TRIM('Full month Pivot'!$C$3:$C$400)=TRIM($A215)) * ('Full month Pivot'!$D$2:$K$2=X$2) * 'Full month Pivot'!$D$3:$K$400)&gt;0, SUMPRODUCT((('Full month Pivot'!$B$3:$B$400=$A$207) + ('Full month Pivot'!$A$3:$A$400=$A$207) &gt; 0) * (TRIM('Full month Pivot'!$C$3:$C$400)=TRIM($A215)) * ('Full month Pivot'!$D$2:$K$2=X$2) * 'Full month Pivot'!$D$3:$K$400), "")</f>
        <v/>
      </c>
      <c r="Y215" s="193">
        <f>IF(SUMPRODUCT((('Full month Pivot'!$B$3:$B$400=$A$207) + ('Full month Pivot'!$A$3:$A$400=$A$207) &gt; 0) * (TRIM('Full month Pivot'!$C$3:$C$400)=TRIM($A215)) * ('Full month Pivot'!$D$2:$K$2=Y$2) * 'Full month Pivot'!$D$3:$K$400)&gt;0, SUMPRODUCT((('Full month Pivot'!$B$3:$B$400=$A$207) + ('Full month Pivot'!$A$3:$A$400=$A$207) &gt; 0) * (TRIM('Full month Pivot'!$C$3:$C$400)=TRIM($A215)) * ('Full month Pivot'!$D$2:$K$2=Y$2) * 'Full month Pivot'!$D$3:$K$400), "")</f>
        <v/>
      </c>
      <c r="Z215" s="193">
        <f>IF(SUMPRODUCT((('Full month Pivot'!$B$3:$B$400=$A$207) + ('Full month Pivot'!$A$3:$A$400=$A$207) &gt; 0) * (TRIM('Full month Pivot'!$C$3:$C$400)=TRIM($A215)) * ('Full month Pivot'!$D$2:$K$2=Z$2) * 'Full month Pivot'!$D$3:$K$400)&gt;0, SUMPRODUCT((('Full month Pivot'!$B$3:$B$400=$A$207) + ('Full month Pivot'!$A$3:$A$400=$A$207) &gt; 0) * (TRIM('Full month Pivot'!$C$3:$C$400)=TRIM($A215)) * ('Full month Pivot'!$D$2:$K$2=Z$2) * 'Full month Pivot'!$D$3:$K$400), "")</f>
        <v/>
      </c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202" t="inlineStr">
        <is>
          <t xml:space="preserve">  Referral</t>
        </is>
      </c>
      <c r="B216" s="193">
        <f>IF(SUMPRODUCT((('MTD Pivot'!$B$3:$B$400=$A$207) + ('MTD Pivot'!$A$3:$A$400=$A$207) &gt; 0) * (TRIM('MTD Pivot'!$C$3:$C$400)=TRIM($A216)) * ('MTD Pivot'!$D$2:$K$2=B$2) * 'MTD Pivot'!$D$3:$K$400)&gt;0, SUMPRODUCT((('MTD Pivot'!$B$3:$B$400=$A$207) + ('MTD Pivot'!$A$3:$A$400=$A$207) &gt; 0) * (TRIM('MTD Pivot'!$C$3:$C$400)=TRIM($A216)) * ('MTD Pivot'!$D$2:$K$2=B$2) * 'MTD Pivot'!$D$3:$K$400), "")</f>
        <v/>
      </c>
      <c r="C216" s="193">
        <f>IF(SUMPRODUCT((('MTD Pivot'!$B$3:$B$400=$A$207) + ('MTD Pivot'!$A$3:$A$400=$A$207) &gt; 0) * (TRIM('MTD Pivot'!$C$3:$C$400)=TRIM($A216)) * ('MTD Pivot'!$D$2:$K$2=C$2) * 'MTD Pivot'!$D$3:$K$400)&gt;0, SUMPRODUCT((('MTD Pivot'!$B$3:$B$400=$A$207) + ('MTD Pivot'!$A$3:$A$400=$A$207) &gt; 0) * (TRIM('MTD Pivot'!$C$3:$C$400)=TRIM($A216)) * ('MTD Pivot'!$D$2:$K$2=C$2) * 'MTD Pivot'!$D$3:$K$400), "")</f>
        <v/>
      </c>
      <c r="D216" s="193">
        <f>IF(SUMPRODUCT((('MTD Pivot'!$B$3:$B$400=$A$207) + ('MTD Pivot'!$A$3:$A$400=$A$207) &gt; 0) * (TRIM('MTD Pivot'!$C$3:$C$400)=TRIM($A216)) * ('MTD Pivot'!$D$2:$K$2=D$2) * 'MTD Pivot'!$D$3:$K$400)&gt;0, SUMPRODUCT((('MTD Pivot'!$B$3:$B$400=$A$207) + ('MTD Pivot'!$A$3:$A$400=$A$207) &gt; 0) * (TRIM('MTD Pivot'!$C$3:$C$400)=TRIM($A216)) * ('MTD Pivot'!$D$2:$K$2=D$2) * 'MTD Pivot'!$D$3:$K$400), "")</f>
        <v/>
      </c>
      <c r="E216" s="193">
        <f>IF(SUMPRODUCT((('MTD Pivot'!$B$3:$B$400=$A$207) + ('MTD Pivot'!$A$3:$A$400=$A$207) &gt; 0) * (TRIM('MTD Pivot'!$C$3:$C$400)=TRIM($A216)) * ('MTD Pivot'!$D$2:$K$2=E$2) * 'MTD Pivot'!$D$3:$K$400)&gt;0, SUMPRODUCT((('MTD Pivot'!$B$3:$B$400=$A$207) + ('MTD Pivot'!$A$3:$A$400=$A$207) &gt; 0) * (TRIM('MTD Pivot'!$C$3:$C$400)=TRIM($A216)) * ('MTD Pivot'!$D$2:$K$2=E$2) * 'MTD Pivot'!$D$3:$K$400), "")</f>
        <v/>
      </c>
      <c r="F216" s="193">
        <f>IF(SUMPRODUCT((('MTD Pivot'!$B$3:$B$400=$A$207) + ('MTD Pivot'!$A$3:$A$400=$A$207) &gt; 0) * (TRIM('MTD Pivot'!$C$3:$C$400)=TRIM($A216)) * ('MTD Pivot'!$D$2:$K$2=F$2) * 'MTD Pivot'!$D$3:$K$400)&gt;0, SUMPRODUCT((('MTD Pivot'!$B$3:$B$400=$A$207) + ('MTD Pivot'!$A$3:$A$400=$A$207) &gt; 0) * (TRIM('MTD Pivot'!$C$3:$C$400)=TRIM($A216)) * ('MTD Pivot'!$D$2:$K$2=F$2) * 'MTD Pivot'!$D$3:$K$400), "")</f>
        <v/>
      </c>
      <c r="G216" s="193">
        <f>IF(SUMPRODUCT((('MTD Pivot'!$B$3:$B$400=$A$207) + ('MTD Pivot'!$A$3:$A$400=$A$207) &gt; 0) * (TRIM('MTD Pivot'!$C$3:$C$400)=TRIM($A216)) * ('MTD Pivot'!$D$2:$K$2=G$2) * 'MTD Pivot'!$D$3:$K$400)&gt;0, SUMPRODUCT((('MTD Pivot'!$B$3:$B$400=$A$207) + ('MTD Pivot'!$A$3:$A$400=$A$207) &gt; 0) * (TRIM('MTD Pivot'!$C$3:$C$400)=TRIM($A216)) * ('MTD Pivot'!$D$2:$K$2=G$2) * 'MTD Pivot'!$D$3:$K$400), "")</f>
        <v/>
      </c>
      <c r="H216" s="193">
        <f>IF(SUMPRODUCT((('MTD Pivot'!$B$3:$B$400=$A$207) + ('MTD Pivot'!$A$3:$A$400=$A$207) &gt; 0) * (TRIM('MTD Pivot'!$C$3:$C$400)=TRIM($A216)) * ('MTD Pivot'!$D$2:$K$2=H$2) * 'MTD Pivot'!$D$3:$K$400)&gt;0, SUMPRODUCT((('MTD Pivot'!$B$3:$B$400=$A$207) + ('MTD Pivot'!$A$3:$A$400=$A$207) &gt; 0) * (TRIM('MTD Pivot'!$C$3:$C$400)=TRIM($A216)) * ('MTD Pivot'!$D$2:$K$2=H$2) * 'MTD Pivot'!$D$3:$K$400), "")</f>
        <v/>
      </c>
      <c r="I216" s="193">
        <f>IF(SUMPRODUCT((('MTD Pivot'!$B$3:$B$400=$A$207) + ('MTD Pivot'!$A$3:$A$400=$A$207) &gt; 0) * (TRIM('MTD Pivot'!$C$3:$C$400)=TRIM($A216)) * ('MTD Pivot'!$D$2:$K$2=I$2) * 'MTD Pivot'!$D$3:$K$400)&gt;0, SUMPRODUCT((('MTD Pivot'!$B$3:$B$400=$A$207) + ('MTD Pivot'!$A$3:$A$400=$A$207) &gt; 0) * (TRIM('MTD Pivot'!$C$3:$C$400)=TRIM($A216)) * ('MTD Pivot'!$D$2:$K$2=I$2) * 'MTD Pivot'!$D$3:$K$400), "")</f>
        <v/>
      </c>
      <c r="J216" s="193">
        <f>IF(SUMPRODUCT((('MTD Pivot'!$B$3:$B$400=$A$207) + ('MTD Pivot'!$A$3:$A$400=$A$207) &gt; 0) * (TRIM('MTD Pivot'!$C$3:$C$400)=TRIM($A216)) * ('MTD Pivot'!$D$2:$K$2=J$2) * 'MTD Pivot'!$D$3:$K$400)&gt;0, SUMPRODUCT((('MTD Pivot'!$B$3:$B$400=$A$207) + ('MTD Pivot'!$A$3:$A$400=$A$207) &gt; 0) * (TRIM('MTD Pivot'!$C$3:$C$400)=TRIM($A216)) * ('MTD Pivot'!$D$2:$K$2=J$2) * 'MTD Pivot'!$D$3:$K$400), "")</f>
        <v/>
      </c>
      <c r="K216" s="193">
        <f>IF(SUMPRODUCT((('MTD Pivot'!$B$3:$B$400=$A$207) + ('MTD Pivot'!$A$3:$A$400=$A$207) &gt; 0) * (TRIM('MTD Pivot'!$C$3:$C$400)=TRIM($A216)) * ('MTD Pivot'!$D$2:$K$2=K$2) * 'MTD Pivot'!$D$3:$K$400)&gt;0, SUMPRODUCT((('MTD Pivot'!$B$3:$B$400=$A$207) + ('MTD Pivot'!$A$3:$A$400=$A$207) &gt; 0) * (TRIM('MTD Pivot'!$C$3:$C$400)=TRIM($A216)) * ('MTD Pivot'!$D$2:$K$2=K$2) * 'MTD Pivot'!$D$3:$K$400), "")</f>
        <v/>
      </c>
      <c r="L216" s="193">
        <f>IF(SUMPRODUCT((('MTD Pivot'!$B$3:$B$400=$A$207) + ('MTD Pivot'!$A$3:$A$400=$A$207) &gt; 0) * (TRIM('MTD Pivot'!$C$3:$C$400)=TRIM($A216)) * ('MTD Pivot'!$D$2:$K$2=L$2) * 'MTD Pivot'!$D$3:$K$400)&gt;0, SUMPRODUCT((('MTD Pivot'!$B$3:$B$400=$A$207) + ('MTD Pivot'!$A$3:$A$400=$A$207) &gt; 0) * (TRIM('MTD Pivot'!$C$3:$C$400)=TRIM($A216)) * ('MTD Pivot'!$D$2:$K$2=L$2) * 'MTD Pivot'!$D$3:$K$400), "")</f>
        <v/>
      </c>
      <c r="M216" s="193">
        <f>IF(SUMPRODUCT((('MTD Pivot'!$B$3:$B$400=$A$207) + ('MTD Pivot'!$A$3:$A$400=$A$207) &gt; 0) * (TRIM('MTD Pivot'!$C$3:$C$400)=TRIM($A216)) * ('MTD Pivot'!$D$2:$K$2=M$2) * 'MTD Pivot'!$D$3:$K$400)&gt;0, SUMPRODUCT((('MTD Pivot'!$B$3:$B$400=$A$207) + ('MTD Pivot'!$A$3:$A$400=$A$207) &gt; 0) * (TRIM('MTD Pivot'!$C$3:$C$400)=TRIM($A216)) * ('MTD Pivot'!$D$2:$K$2=M$2) * 'MTD Pivot'!$D$3:$K$400), "")</f>
        <v/>
      </c>
      <c r="N216" s="157">
        <f>IF(AND(ISNUMBER(K216), ISNUMBER(J216), J216&gt;0), (K216-J216)/J216, "")</f>
        <v/>
      </c>
      <c r="O216" s="193">
        <f>IF(SUMPRODUCT((('Full month Pivot'!$B$3:$B$400=$A$207) + ('Full month Pivot'!$A$3:$A$400=$A$207) &gt; 0) * (TRIM('Full month Pivot'!$C$3:$C$400)=TRIM($A216)) * ('Full month Pivot'!$D$2:$K$2=O$2) * 'Full month Pivot'!$D$3:$K$400)&gt;0, SUMPRODUCT((('Full month Pivot'!$B$3:$B$400=$A$207) + ('Full month Pivot'!$A$3:$A$400=$A$207) &gt; 0) * (TRIM('Full month Pivot'!$C$3:$C$400)=TRIM($A216)) * ('Full month Pivot'!$D$2:$K$2=O$2) * 'Full month Pivot'!$D$3:$K$400), "")</f>
        <v/>
      </c>
      <c r="P216" s="193">
        <f>IF(SUMPRODUCT((('Full month Pivot'!$B$3:$B$400=$A$207) + ('Full month Pivot'!$A$3:$A$400=$A$207) &gt; 0) * (TRIM('Full month Pivot'!$C$3:$C$400)=TRIM($A216)) * ('Full month Pivot'!$D$2:$K$2=P$2) * 'Full month Pivot'!$D$3:$K$400)&gt;0, SUMPRODUCT((('Full month Pivot'!$B$3:$B$400=$A$207) + ('Full month Pivot'!$A$3:$A$400=$A$207) &gt; 0) * (TRIM('Full month Pivot'!$C$3:$C$400)=TRIM($A216)) * ('Full month Pivot'!$D$2:$K$2=P$2) * 'Full month Pivot'!$D$3:$K$400), "")</f>
        <v/>
      </c>
      <c r="Q216" s="193">
        <f>IF(SUMPRODUCT((('Full month Pivot'!$B$3:$B$400=$A$207) + ('Full month Pivot'!$A$3:$A$400=$A$207) &gt; 0) * (TRIM('Full month Pivot'!$C$3:$C$400)=TRIM($A216)) * ('Full month Pivot'!$D$2:$K$2=Q$2) * 'Full month Pivot'!$D$3:$K$400)&gt;0, SUMPRODUCT((('Full month Pivot'!$B$3:$B$400=$A$207) + ('Full month Pivot'!$A$3:$A$400=$A$207) &gt; 0) * (TRIM('Full month Pivot'!$C$3:$C$400)=TRIM($A216)) * ('Full month Pivot'!$D$2:$K$2=Q$2) * 'Full month Pivot'!$D$3:$K$400), "")</f>
        <v/>
      </c>
      <c r="R216" s="193">
        <f>IF(SUMPRODUCT((('Full month Pivot'!$B$3:$B$400=$A$207) + ('Full month Pivot'!$A$3:$A$400=$A$207) &gt; 0) * (TRIM('Full month Pivot'!$C$3:$C$400)=TRIM($A216)) * ('Full month Pivot'!$D$2:$K$2=R$2) * 'Full month Pivot'!$D$3:$K$400)&gt;0, SUMPRODUCT((('Full month Pivot'!$B$3:$B$400=$A$207) + ('Full month Pivot'!$A$3:$A$400=$A$207) &gt; 0) * (TRIM('Full month Pivot'!$C$3:$C$400)=TRIM($A216)) * ('Full month Pivot'!$D$2:$K$2=R$2) * 'Full month Pivot'!$D$3:$K$400), "")</f>
        <v/>
      </c>
      <c r="S216" s="193">
        <f>IF(SUMPRODUCT((('Full month Pivot'!$B$3:$B$400=$A$207) + ('Full month Pivot'!$A$3:$A$400=$A$207) &gt; 0) * (TRIM('Full month Pivot'!$C$3:$C$400)=TRIM($A216)) * ('Full month Pivot'!$D$2:$K$2=S$2) * 'Full month Pivot'!$D$3:$K$400)&gt;0, SUMPRODUCT((('Full month Pivot'!$B$3:$B$400=$A$207) + ('Full month Pivot'!$A$3:$A$400=$A$207) &gt; 0) * (TRIM('Full month Pivot'!$C$3:$C$400)=TRIM($A216)) * ('Full month Pivot'!$D$2:$K$2=S$2) * 'Full month Pivot'!$D$3:$K$400), "")</f>
        <v/>
      </c>
      <c r="T216" s="193">
        <f>IF(SUMPRODUCT((('Full month Pivot'!$B$3:$B$400=$A$207) + ('Full month Pivot'!$A$3:$A$400=$A$207) &gt; 0) * (TRIM('Full month Pivot'!$C$3:$C$400)=TRIM($A216)) * ('Full month Pivot'!$D$2:$K$2=T$2) * 'Full month Pivot'!$D$3:$K$400)&gt;0, SUMPRODUCT((('Full month Pivot'!$B$3:$B$400=$A$207) + ('Full month Pivot'!$A$3:$A$400=$A$207) &gt; 0) * (TRIM('Full month Pivot'!$C$3:$C$400)=TRIM($A216)) * ('Full month Pivot'!$D$2:$K$2=T$2) * 'Full month Pivot'!$D$3:$K$400), "")</f>
        <v/>
      </c>
      <c r="U216" s="193">
        <f>IF(SUMPRODUCT((('Full month Pivot'!$B$3:$B$400=$A$207) + ('Full month Pivot'!$A$3:$A$400=$A$207) &gt; 0) * (TRIM('Full month Pivot'!$C$3:$C$400)=TRIM($A216)) * ('Full month Pivot'!$D$2:$K$2=U$2) * 'Full month Pivot'!$D$3:$K$400)&gt;0, SUMPRODUCT((('Full month Pivot'!$B$3:$B$400=$A$207) + ('Full month Pivot'!$A$3:$A$400=$A$207) &gt; 0) * (TRIM('Full month Pivot'!$C$3:$C$400)=TRIM($A216)) * ('Full month Pivot'!$D$2:$K$2=U$2) * 'Full month Pivot'!$D$3:$K$400), "")</f>
        <v/>
      </c>
      <c r="V216" s="193">
        <f>IF(SUMPRODUCT((('Full month Pivot'!$B$3:$B$400=$A$207) + ('Full month Pivot'!$A$3:$A$400=$A$207) &gt; 0) * (TRIM('Full month Pivot'!$C$3:$C$400)=TRIM($A216)) * ('Full month Pivot'!$D$2:$K$2=V$2) * 'Full month Pivot'!$D$3:$K$400)&gt;0, SUMPRODUCT((('Full month Pivot'!$B$3:$B$400=$A$207) + ('Full month Pivot'!$A$3:$A$400=$A$207) &gt; 0) * (TRIM('Full month Pivot'!$C$3:$C$400)=TRIM($A216)) * ('Full month Pivot'!$D$2:$K$2=V$2) * 'Full month Pivot'!$D$3:$K$400), "")</f>
        <v/>
      </c>
      <c r="W216" s="193">
        <f>IF(SUMPRODUCT((('Full month Pivot'!$B$3:$B$400=$A$207) + ('Full month Pivot'!$A$3:$A$400=$A$207) &gt; 0) * (TRIM('Full month Pivot'!$C$3:$C$400)=TRIM($A216)) * ('Full month Pivot'!$D$2:$K$2=W$2) * 'Full month Pivot'!$D$3:$K$400)&gt;0, SUMPRODUCT((('Full month Pivot'!$B$3:$B$400=$A$207) + ('Full month Pivot'!$A$3:$A$400=$A$207) &gt; 0) * (TRIM('Full month Pivot'!$C$3:$C$400)=TRIM($A216)) * ('Full month Pivot'!$D$2:$K$2=W$2) * 'Full month Pivot'!$D$3:$K$400), "")</f>
        <v/>
      </c>
      <c r="X216" s="193">
        <f>IF(SUMPRODUCT((('Full month Pivot'!$B$3:$B$400=$A$207) + ('Full month Pivot'!$A$3:$A$400=$A$207) &gt; 0) * (TRIM('Full month Pivot'!$C$3:$C$400)=TRIM($A216)) * ('Full month Pivot'!$D$2:$K$2=X$2) * 'Full month Pivot'!$D$3:$K$400)&gt;0, SUMPRODUCT((('Full month Pivot'!$B$3:$B$400=$A$207) + ('Full month Pivot'!$A$3:$A$400=$A$207) &gt; 0) * (TRIM('Full month Pivot'!$C$3:$C$400)=TRIM($A216)) * ('Full month Pivot'!$D$2:$K$2=X$2) * 'Full month Pivot'!$D$3:$K$400), "")</f>
        <v/>
      </c>
      <c r="Y216" s="193">
        <f>IF(SUMPRODUCT((('Full month Pivot'!$B$3:$B$400=$A$207) + ('Full month Pivot'!$A$3:$A$400=$A$207) &gt; 0) * (TRIM('Full month Pivot'!$C$3:$C$400)=TRIM($A216)) * ('Full month Pivot'!$D$2:$K$2=Y$2) * 'Full month Pivot'!$D$3:$K$400)&gt;0, SUMPRODUCT((('Full month Pivot'!$B$3:$B$400=$A$207) + ('Full month Pivot'!$A$3:$A$400=$A$207) &gt; 0) * (TRIM('Full month Pivot'!$C$3:$C$400)=TRIM($A216)) * ('Full month Pivot'!$D$2:$K$2=Y$2) * 'Full month Pivot'!$D$3:$K$400), "")</f>
        <v/>
      </c>
      <c r="Z216" s="193">
        <f>IF(SUMPRODUCT((('Full month Pivot'!$B$3:$B$400=$A$207) + ('Full month Pivot'!$A$3:$A$400=$A$207) &gt; 0) * (TRIM('Full month Pivot'!$C$3:$C$400)=TRIM($A216)) * ('Full month Pivot'!$D$2:$K$2=Z$2) * 'Full month Pivot'!$D$3:$K$400)&gt;0, SUMPRODUCT((('Full month Pivot'!$B$3:$B$400=$A$207) + ('Full month Pivot'!$A$3:$A$400=$A$207) &gt; 0) * (TRIM('Full month Pivot'!$C$3:$C$400)=TRIM($A216)) * ('Full month Pivot'!$D$2:$K$2=Z$2) * 'Full month Pivot'!$D$3:$K$400), "")</f>
        <v/>
      </c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202" t="inlineStr">
        <is>
          <t xml:space="preserve">  Others</t>
        </is>
      </c>
      <c r="B217" s="193">
        <f>IF(SUMPRODUCT((('MTD Pivot'!$B$3:$B$400=$A$207) + ('MTD Pivot'!$A$3:$A$400=$A$207) &gt; 0) * (TRIM('MTD Pivot'!$C$3:$C$400)=TRIM($A217)) * ('MTD Pivot'!$D$2:$K$2=B$2) * 'MTD Pivot'!$D$3:$K$400)&gt;0, SUMPRODUCT((('MTD Pivot'!$B$3:$B$400=$A$207) + ('MTD Pivot'!$A$3:$A$400=$A$207) &gt; 0) * (TRIM('MTD Pivot'!$C$3:$C$400)=TRIM($A217)) * ('MTD Pivot'!$D$2:$K$2=B$2) * 'MTD Pivot'!$D$3:$K$400), "")</f>
        <v/>
      </c>
      <c r="C217" s="193">
        <f>IF(SUMPRODUCT((('MTD Pivot'!$B$3:$B$400=$A$207) + ('MTD Pivot'!$A$3:$A$400=$A$207) &gt; 0) * (TRIM('MTD Pivot'!$C$3:$C$400)=TRIM($A217)) * ('MTD Pivot'!$D$2:$K$2=C$2) * 'MTD Pivot'!$D$3:$K$400)&gt;0, SUMPRODUCT((('MTD Pivot'!$B$3:$B$400=$A$207) + ('MTD Pivot'!$A$3:$A$400=$A$207) &gt; 0) * (TRIM('MTD Pivot'!$C$3:$C$400)=TRIM($A217)) * ('MTD Pivot'!$D$2:$K$2=C$2) * 'MTD Pivot'!$D$3:$K$400), "")</f>
        <v/>
      </c>
      <c r="D217" s="193">
        <f>IF(SUMPRODUCT((('MTD Pivot'!$B$3:$B$400=$A$207) + ('MTD Pivot'!$A$3:$A$400=$A$207) &gt; 0) * (TRIM('MTD Pivot'!$C$3:$C$400)=TRIM($A217)) * ('MTD Pivot'!$D$2:$K$2=D$2) * 'MTD Pivot'!$D$3:$K$400)&gt;0, SUMPRODUCT((('MTD Pivot'!$B$3:$B$400=$A$207) + ('MTD Pivot'!$A$3:$A$400=$A$207) &gt; 0) * (TRIM('MTD Pivot'!$C$3:$C$400)=TRIM($A217)) * ('MTD Pivot'!$D$2:$K$2=D$2) * 'MTD Pivot'!$D$3:$K$400), "")</f>
        <v/>
      </c>
      <c r="E217" s="193">
        <f>IF(SUMPRODUCT((('MTD Pivot'!$B$3:$B$400=$A$207) + ('MTD Pivot'!$A$3:$A$400=$A$207) &gt; 0) * (TRIM('MTD Pivot'!$C$3:$C$400)=TRIM($A217)) * ('MTD Pivot'!$D$2:$K$2=E$2) * 'MTD Pivot'!$D$3:$K$400)&gt;0, SUMPRODUCT((('MTD Pivot'!$B$3:$B$400=$A$207) + ('MTD Pivot'!$A$3:$A$400=$A$207) &gt; 0) * (TRIM('MTD Pivot'!$C$3:$C$400)=TRIM($A217)) * ('MTD Pivot'!$D$2:$K$2=E$2) * 'MTD Pivot'!$D$3:$K$400), "")</f>
        <v/>
      </c>
      <c r="F217" s="193">
        <f>IF(SUMPRODUCT((('MTD Pivot'!$B$3:$B$400=$A$207) + ('MTD Pivot'!$A$3:$A$400=$A$207) &gt; 0) * (TRIM('MTD Pivot'!$C$3:$C$400)=TRIM($A217)) * ('MTD Pivot'!$D$2:$K$2=F$2) * 'MTD Pivot'!$D$3:$K$400)&gt;0, SUMPRODUCT((('MTD Pivot'!$B$3:$B$400=$A$207) + ('MTD Pivot'!$A$3:$A$400=$A$207) &gt; 0) * (TRIM('MTD Pivot'!$C$3:$C$400)=TRIM($A217)) * ('MTD Pivot'!$D$2:$K$2=F$2) * 'MTD Pivot'!$D$3:$K$400), "")</f>
        <v/>
      </c>
      <c r="G217" s="193">
        <f>IF(SUMPRODUCT((('MTD Pivot'!$B$3:$B$400=$A$207) + ('MTD Pivot'!$A$3:$A$400=$A$207) &gt; 0) * (TRIM('MTD Pivot'!$C$3:$C$400)=TRIM($A217)) * ('MTD Pivot'!$D$2:$K$2=G$2) * 'MTD Pivot'!$D$3:$K$400)&gt;0, SUMPRODUCT((('MTD Pivot'!$B$3:$B$400=$A$207) + ('MTD Pivot'!$A$3:$A$400=$A$207) &gt; 0) * (TRIM('MTD Pivot'!$C$3:$C$400)=TRIM($A217)) * ('MTD Pivot'!$D$2:$K$2=G$2) * 'MTD Pivot'!$D$3:$K$400), "")</f>
        <v/>
      </c>
      <c r="H217" s="193">
        <f>IF(SUMPRODUCT((('MTD Pivot'!$B$3:$B$400=$A$207) + ('MTD Pivot'!$A$3:$A$400=$A$207) &gt; 0) * (TRIM('MTD Pivot'!$C$3:$C$400)=TRIM($A217)) * ('MTD Pivot'!$D$2:$K$2=H$2) * 'MTD Pivot'!$D$3:$K$400)&gt;0, SUMPRODUCT((('MTD Pivot'!$B$3:$B$400=$A$207) + ('MTD Pivot'!$A$3:$A$400=$A$207) &gt; 0) * (TRIM('MTD Pivot'!$C$3:$C$400)=TRIM($A217)) * ('MTD Pivot'!$D$2:$K$2=H$2) * 'MTD Pivot'!$D$3:$K$400), "")</f>
        <v/>
      </c>
      <c r="I217" s="193">
        <f>IF(SUMPRODUCT((('MTD Pivot'!$B$3:$B$400=$A$207) + ('MTD Pivot'!$A$3:$A$400=$A$207) &gt; 0) * (TRIM('MTD Pivot'!$C$3:$C$400)=TRIM($A217)) * ('MTD Pivot'!$D$2:$K$2=I$2) * 'MTD Pivot'!$D$3:$K$400)&gt;0, SUMPRODUCT((('MTD Pivot'!$B$3:$B$400=$A$207) + ('MTD Pivot'!$A$3:$A$400=$A$207) &gt; 0) * (TRIM('MTD Pivot'!$C$3:$C$400)=TRIM($A217)) * ('MTD Pivot'!$D$2:$K$2=I$2) * 'MTD Pivot'!$D$3:$K$400), "")</f>
        <v/>
      </c>
      <c r="J217" s="193">
        <f>IF(SUMPRODUCT((('MTD Pivot'!$B$3:$B$400=$A$207) + ('MTD Pivot'!$A$3:$A$400=$A$207) &gt; 0) * (TRIM('MTD Pivot'!$C$3:$C$400)=TRIM($A217)) * ('MTD Pivot'!$D$2:$K$2=J$2) * 'MTD Pivot'!$D$3:$K$400)&gt;0, SUMPRODUCT((('MTD Pivot'!$B$3:$B$400=$A$207) + ('MTD Pivot'!$A$3:$A$400=$A$207) &gt; 0) * (TRIM('MTD Pivot'!$C$3:$C$400)=TRIM($A217)) * ('MTD Pivot'!$D$2:$K$2=J$2) * 'MTD Pivot'!$D$3:$K$400), "")</f>
        <v/>
      </c>
      <c r="K217" s="193">
        <f>IF(SUMPRODUCT((('MTD Pivot'!$B$3:$B$400=$A$207) + ('MTD Pivot'!$A$3:$A$400=$A$207) &gt; 0) * (TRIM('MTD Pivot'!$C$3:$C$400)=TRIM($A217)) * ('MTD Pivot'!$D$2:$K$2=K$2) * 'MTD Pivot'!$D$3:$K$400)&gt;0, SUMPRODUCT((('MTD Pivot'!$B$3:$B$400=$A$207) + ('MTD Pivot'!$A$3:$A$400=$A$207) &gt; 0) * (TRIM('MTD Pivot'!$C$3:$C$400)=TRIM($A217)) * ('MTD Pivot'!$D$2:$K$2=K$2) * 'MTD Pivot'!$D$3:$K$400), "")</f>
        <v/>
      </c>
      <c r="L217" s="193">
        <f>IF(SUMPRODUCT((('MTD Pivot'!$B$3:$B$400=$A$207) + ('MTD Pivot'!$A$3:$A$400=$A$207) &gt; 0) * (TRIM('MTD Pivot'!$C$3:$C$400)=TRIM($A217)) * ('MTD Pivot'!$D$2:$K$2=L$2) * 'MTD Pivot'!$D$3:$K$400)&gt;0, SUMPRODUCT((('MTD Pivot'!$B$3:$B$400=$A$207) + ('MTD Pivot'!$A$3:$A$400=$A$207) &gt; 0) * (TRIM('MTD Pivot'!$C$3:$C$400)=TRIM($A217)) * ('MTD Pivot'!$D$2:$K$2=L$2) * 'MTD Pivot'!$D$3:$K$400), "")</f>
        <v/>
      </c>
      <c r="M217" s="193">
        <f>IF(SUMPRODUCT((('MTD Pivot'!$B$3:$B$400=$A$207) + ('MTD Pivot'!$A$3:$A$400=$A$207) &gt; 0) * (TRIM('MTD Pivot'!$C$3:$C$400)=TRIM($A217)) * ('MTD Pivot'!$D$2:$K$2=M$2) * 'MTD Pivot'!$D$3:$K$400)&gt;0, SUMPRODUCT((('MTD Pivot'!$B$3:$B$400=$A$207) + ('MTD Pivot'!$A$3:$A$400=$A$207) &gt; 0) * (TRIM('MTD Pivot'!$C$3:$C$400)=TRIM($A217)) * ('MTD Pivot'!$D$2:$K$2=M$2) * 'MTD Pivot'!$D$3:$K$400), "")</f>
        <v/>
      </c>
      <c r="N217" s="157">
        <f>IF(AND(ISNUMBER(K217), ISNUMBER(J217), J217&gt;0), (K217-J217)/J217, "")</f>
        <v/>
      </c>
      <c r="O217" s="193">
        <f>IF(SUMPRODUCT((('Full month Pivot'!$B$3:$B$400=$A$207) + ('Full month Pivot'!$A$3:$A$400=$A$207) &gt; 0) * (TRIM('Full month Pivot'!$C$3:$C$400)=TRIM($A217)) * ('Full month Pivot'!$D$2:$K$2=O$2) * 'Full month Pivot'!$D$3:$K$400)&gt;0, SUMPRODUCT((('Full month Pivot'!$B$3:$B$400=$A$207) + ('Full month Pivot'!$A$3:$A$400=$A$207) &gt; 0) * (TRIM('Full month Pivot'!$C$3:$C$400)=TRIM($A217)) * ('Full month Pivot'!$D$2:$K$2=O$2) * 'Full month Pivot'!$D$3:$K$400), "")</f>
        <v/>
      </c>
      <c r="P217" s="193">
        <f>IF(SUMPRODUCT((('Full month Pivot'!$B$3:$B$400=$A$207) + ('Full month Pivot'!$A$3:$A$400=$A$207) &gt; 0) * (TRIM('Full month Pivot'!$C$3:$C$400)=TRIM($A217)) * ('Full month Pivot'!$D$2:$K$2=P$2) * 'Full month Pivot'!$D$3:$K$400)&gt;0, SUMPRODUCT((('Full month Pivot'!$B$3:$B$400=$A$207) + ('Full month Pivot'!$A$3:$A$400=$A$207) &gt; 0) * (TRIM('Full month Pivot'!$C$3:$C$400)=TRIM($A217)) * ('Full month Pivot'!$D$2:$K$2=P$2) * 'Full month Pivot'!$D$3:$K$400), "")</f>
        <v/>
      </c>
      <c r="Q217" s="193">
        <f>IF(SUMPRODUCT((('Full month Pivot'!$B$3:$B$400=$A$207) + ('Full month Pivot'!$A$3:$A$400=$A$207) &gt; 0) * (TRIM('Full month Pivot'!$C$3:$C$400)=TRIM($A217)) * ('Full month Pivot'!$D$2:$K$2=Q$2) * 'Full month Pivot'!$D$3:$K$400)&gt;0, SUMPRODUCT((('Full month Pivot'!$B$3:$B$400=$A$207) + ('Full month Pivot'!$A$3:$A$400=$A$207) &gt; 0) * (TRIM('Full month Pivot'!$C$3:$C$400)=TRIM($A217)) * ('Full month Pivot'!$D$2:$K$2=Q$2) * 'Full month Pivot'!$D$3:$K$400), "")</f>
        <v/>
      </c>
      <c r="R217" s="193">
        <f>IF(SUMPRODUCT((('Full month Pivot'!$B$3:$B$400=$A$207) + ('Full month Pivot'!$A$3:$A$400=$A$207) &gt; 0) * (TRIM('Full month Pivot'!$C$3:$C$400)=TRIM($A217)) * ('Full month Pivot'!$D$2:$K$2=R$2) * 'Full month Pivot'!$D$3:$K$400)&gt;0, SUMPRODUCT((('Full month Pivot'!$B$3:$B$400=$A$207) + ('Full month Pivot'!$A$3:$A$400=$A$207) &gt; 0) * (TRIM('Full month Pivot'!$C$3:$C$400)=TRIM($A217)) * ('Full month Pivot'!$D$2:$K$2=R$2) * 'Full month Pivot'!$D$3:$K$400), "")</f>
        <v/>
      </c>
      <c r="S217" s="193">
        <f>IF(SUMPRODUCT((('Full month Pivot'!$B$3:$B$400=$A$207) + ('Full month Pivot'!$A$3:$A$400=$A$207) &gt; 0) * (TRIM('Full month Pivot'!$C$3:$C$400)=TRIM($A217)) * ('Full month Pivot'!$D$2:$K$2=S$2) * 'Full month Pivot'!$D$3:$K$400)&gt;0, SUMPRODUCT((('Full month Pivot'!$B$3:$B$400=$A$207) + ('Full month Pivot'!$A$3:$A$400=$A$207) &gt; 0) * (TRIM('Full month Pivot'!$C$3:$C$400)=TRIM($A217)) * ('Full month Pivot'!$D$2:$K$2=S$2) * 'Full month Pivot'!$D$3:$K$400), "")</f>
        <v/>
      </c>
      <c r="T217" s="193">
        <f>IF(SUMPRODUCT((('Full month Pivot'!$B$3:$B$400=$A$207) + ('Full month Pivot'!$A$3:$A$400=$A$207) &gt; 0) * (TRIM('Full month Pivot'!$C$3:$C$400)=TRIM($A217)) * ('Full month Pivot'!$D$2:$K$2=T$2) * 'Full month Pivot'!$D$3:$K$400)&gt;0, SUMPRODUCT((('Full month Pivot'!$B$3:$B$400=$A$207) + ('Full month Pivot'!$A$3:$A$400=$A$207) &gt; 0) * (TRIM('Full month Pivot'!$C$3:$C$400)=TRIM($A217)) * ('Full month Pivot'!$D$2:$K$2=T$2) * 'Full month Pivot'!$D$3:$K$400), "")</f>
        <v/>
      </c>
      <c r="U217" s="193">
        <f>IF(SUMPRODUCT((('Full month Pivot'!$B$3:$B$400=$A$207) + ('Full month Pivot'!$A$3:$A$400=$A$207) &gt; 0) * (TRIM('Full month Pivot'!$C$3:$C$400)=TRIM($A217)) * ('Full month Pivot'!$D$2:$K$2=U$2) * 'Full month Pivot'!$D$3:$K$400)&gt;0, SUMPRODUCT((('Full month Pivot'!$B$3:$B$400=$A$207) + ('Full month Pivot'!$A$3:$A$400=$A$207) &gt; 0) * (TRIM('Full month Pivot'!$C$3:$C$400)=TRIM($A217)) * ('Full month Pivot'!$D$2:$K$2=U$2) * 'Full month Pivot'!$D$3:$K$400), "")</f>
        <v/>
      </c>
      <c r="V217" s="193">
        <f>IF(SUMPRODUCT((('Full month Pivot'!$B$3:$B$400=$A$207) + ('Full month Pivot'!$A$3:$A$400=$A$207) &gt; 0) * (TRIM('Full month Pivot'!$C$3:$C$400)=TRIM($A217)) * ('Full month Pivot'!$D$2:$K$2=V$2) * 'Full month Pivot'!$D$3:$K$400)&gt;0, SUMPRODUCT((('Full month Pivot'!$B$3:$B$400=$A$207) + ('Full month Pivot'!$A$3:$A$400=$A$207) &gt; 0) * (TRIM('Full month Pivot'!$C$3:$C$400)=TRIM($A217)) * ('Full month Pivot'!$D$2:$K$2=V$2) * 'Full month Pivot'!$D$3:$K$400), "")</f>
        <v/>
      </c>
      <c r="W217" s="193">
        <f>IF(SUMPRODUCT((('Full month Pivot'!$B$3:$B$400=$A$207) + ('Full month Pivot'!$A$3:$A$400=$A$207) &gt; 0) * (TRIM('Full month Pivot'!$C$3:$C$400)=TRIM($A217)) * ('Full month Pivot'!$D$2:$K$2=W$2) * 'Full month Pivot'!$D$3:$K$400)&gt;0, SUMPRODUCT((('Full month Pivot'!$B$3:$B$400=$A$207) + ('Full month Pivot'!$A$3:$A$400=$A$207) &gt; 0) * (TRIM('Full month Pivot'!$C$3:$C$400)=TRIM($A217)) * ('Full month Pivot'!$D$2:$K$2=W$2) * 'Full month Pivot'!$D$3:$K$400), "")</f>
        <v/>
      </c>
      <c r="X217" s="193">
        <f>IF(SUMPRODUCT((('Full month Pivot'!$B$3:$B$400=$A$207) + ('Full month Pivot'!$A$3:$A$400=$A$207) &gt; 0) * (TRIM('Full month Pivot'!$C$3:$C$400)=TRIM($A217)) * ('Full month Pivot'!$D$2:$K$2=X$2) * 'Full month Pivot'!$D$3:$K$400)&gt;0, SUMPRODUCT((('Full month Pivot'!$B$3:$B$400=$A$207) + ('Full month Pivot'!$A$3:$A$400=$A$207) &gt; 0) * (TRIM('Full month Pivot'!$C$3:$C$400)=TRIM($A217)) * ('Full month Pivot'!$D$2:$K$2=X$2) * 'Full month Pivot'!$D$3:$K$400), "")</f>
        <v/>
      </c>
      <c r="Y217" s="193">
        <f>IF(SUMPRODUCT((('Full month Pivot'!$B$3:$B$400=$A$207) + ('Full month Pivot'!$A$3:$A$400=$A$207) &gt; 0) * (TRIM('Full month Pivot'!$C$3:$C$400)=TRIM($A217)) * ('Full month Pivot'!$D$2:$K$2=Y$2) * 'Full month Pivot'!$D$3:$K$400)&gt;0, SUMPRODUCT((('Full month Pivot'!$B$3:$B$400=$A$207) + ('Full month Pivot'!$A$3:$A$400=$A$207) &gt; 0) * (TRIM('Full month Pivot'!$C$3:$C$400)=TRIM($A217)) * ('Full month Pivot'!$D$2:$K$2=Y$2) * 'Full month Pivot'!$D$3:$K$400), "")</f>
        <v/>
      </c>
      <c r="Z217" s="193">
        <f>IF(SUMPRODUCT((('Full month Pivot'!$B$3:$B$400=$A$207) + ('Full month Pivot'!$A$3:$A$400=$A$207) &gt; 0) * (TRIM('Full month Pivot'!$C$3:$C$400)=TRIM($A217)) * ('Full month Pivot'!$D$2:$K$2=Z$2) * 'Full month Pivot'!$D$3:$K$400)&gt;0, SUMPRODUCT((('Full month Pivot'!$B$3:$B$400=$A$207) + ('Full month Pivot'!$A$3:$A$400=$A$207) &gt; 0) * (TRIM('Full month Pivot'!$C$3:$C$400)=TRIM($A217)) * ('Full month Pivot'!$D$2:$K$2=Z$2) * 'Full month Pivot'!$D$3:$K$400), "")</f>
        <v/>
      </c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202" t="n"/>
      <c r="B218" s="202" t="n"/>
      <c r="C218" s="202" t="n"/>
      <c r="D218" s="202" t="n"/>
      <c r="E218" s="202" t="n"/>
      <c r="F218" s="202" t="n"/>
      <c r="G218" s="202" t="n"/>
      <c r="H218" s="202" t="n"/>
      <c r="I218" s="202" t="n"/>
      <c r="J218" s="202" t="n"/>
      <c r="K218" s="202" t="n"/>
      <c r="L218" s="202" t="n"/>
      <c r="M218" s="202" t="n"/>
      <c r="N218" s="202" t="n"/>
      <c r="O218" s="202" t="n"/>
      <c r="P218" s="202" t="n"/>
      <c r="Q218" s="202" t="n"/>
      <c r="R218" s="202" t="n"/>
      <c r="S218" s="202" t="n"/>
      <c r="T218" s="202" t="n"/>
      <c r="U218" s="202" t="n"/>
      <c r="V218" s="202" t="n"/>
      <c r="W218" s="202" t="n"/>
      <c r="X218" s="202" t="n"/>
      <c r="Y218" s="202" t="n"/>
      <c r="Z218" s="202" t="n"/>
      <c r="AA218" s="202" t="n"/>
      <c r="AB218" s="140" t="n"/>
      <c r="AC218" s="140" t="n"/>
      <c r="AD218" s="140" t="n"/>
    </row>
    <row r="219" ht="15.75" customHeight="1" s="346">
      <c r="A219" s="145" t="inlineStr">
        <is>
          <t>Sim</t>
        </is>
      </c>
      <c r="B219" s="145" t="n"/>
      <c r="C219" s="145" t="n"/>
      <c r="D219" s="145" t="n"/>
      <c r="E219" s="145" t="n"/>
      <c r="F219" s="145" t="n"/>
      <c r="G219" s="145" t="n"/>
      <c r="H219" s="145" t="n"/>
      <c r="I219" s="145" t="n"/>
      <c r="J219" s="145" t="n"/>
      <c r="K219" s="145" t="n"/>
      <c r="L219" s="145" t="n"/>
      <c r="M219" s="145" t="n"/>
      <c r="N219" s="145" t="n"/>
      <c r="O219" s="145" t="n"/>
      <c r="P219" s="145" t="n"/>
      <c r="Q219" s="145" t="n"/>
      <c r="R219" s="145" t="n"/>
      <c r="S219" s="145" t="n"/>
      <c r="T219" s="145" t="n"/>
      <c r="U219" s="145" t="n"/>
      <c r="V219" s="145" t="n"/>
      <c r="W219" s="145" t="n"/>
      <c r="X219" s="145" t="n"/>
      <c r="Y219" s="145" t="n"/>
      <c r="Z219" s="145" t="n"/>
      <c r="AA219" s="145" t="n"/>
      <c r="AB219" s="140" t="n"/>
      <c r="AC219" s="140" t="n"/>
      <c r="AD219" s="140" t="n"/>
    </row>
    <row r="220" ht="15.75" customHeight="1" s="346">
      <c r="A220" s="146" t="inlineStr">
        <is>
          <t>Page views</t>
        </is>
      </c>
      <c r="B220" s="147">
        <f>IF(SUM(B225:B229)&gt;0, SUM(B225:B229), "")</f>
        <v/>
      </c>
      <c r="C220" s="147">
        <f>IF(SUM(C225:C229)&gt;0, SUM(C225:C229), "")</f>
        <v/>
      </c>
      <c r="D220" s="147">
        <f>IF(SUM(D225:D229)&gt;0, SUM(D225:D229), "")</f>
        <v/>
      </c>
      <c r="E220" s="147">
        <f>IF(SUM(E225:E229)&gt;0, SUM(E225:E229), "")</f>
        <v/>
      </c>
      <c r="F220" s="147">
        <f>IF(SUM(F225:F229)&gt;0, SUM(F225:F229), "")</f>
        <v/>
      </c>
      <c r="G220" s="147">
        <f>IF(SUM(G225:G229)&gt;0, SUM(G225:G229), "")</f>
        <v/>
      </c>
      <c r="H220" s="147">
        <f>IF(SUM(H225:H229)&gt;0, SUM(H225:H229), "")</f>
        <v/>
      </c>
      <c r="I220" s="147">
        <f>IF(SUM(I225:I229)&gt;0, SUM(I225:I229), "")</f>
        <v/>
      </c>
      <c r="J220" s="147">
        <f>IF(SUM(J225:J229)&gt;0, SUM(J225:J229), "")</f>
        <v/>
      </c>
      <c r="K220" s="147">
        <f>IF(SUM(K225:K229)&gt;0, SUM(K225:K229), "")</f>
        <v/>
      </c>
      <c r="L220" s="147">
        <f>IF(SUM(L225:L229)&gt;0, SUM(L225:L229), "")</f>
        <v/>
      </c>
      <c r="M220" s="147">
        <f>IF(SUM(M225:M229)&gt;0, SUM(M225:M229), "")</f>
        <v/>
      </c>
      <c r="N220" s="148">
        <f>IFERROR((K220-J220)/J220, "")</f>
        <v/>
      </c>
      <c r="O220" s="147">
        <f>IF(SUM(O225:O229)&gt;0, SUM(O225:O229), "")</f>
        <v/>
      </c>
      <c r="P220" s="147">
        <f>IF(SUM(P225:P229)&gt;0, SUM(P225:P229), "")</f>
        <v/>
      </c>
      <c r="Q220" s="147">
        <f>IF(SUM(Q225:Q229)&gt;0, SUM(Q225:Q229), "")</f>
        <v/>
      </c>
      <c r="R220" s="147">
        <f>IF(SUM(R225:R229)&gt;0, SUM(R225:R229), "")</f>
        <v/>
      </c>
      <c r="S220" s="147">
        <f>IF(SUM(S225:S229)&gt;0, SUM(S225:S229), "")</f>
        <v/>
      </c>
      <c r="T220" s="147">
        <f>IF(SUM(T225:T229)&gt;0, SUM(T225:T229), "")</f>
        <v/>
      </c>
      <c r="U220" s="147">
        <f>IF(SUM(U225:U229)&gt;0, SUM(U225:U229), "")</f>
        <v/>
      </c>
      <c r="V220" s="147">
        <f>IF(SUM(V225:V229)&gt;0, SUM(V225:V229), "")</f>
        <v/>
      </c>
      <c r="W220" s="147">
        <f>IF(SUM(W225:W229)&gt;0, SUM(W225:W229), "")</f>
        <v/>
      </c>
      <c r="X220" s="147">
        <f>IF(SUM(X225:X229)&gt;0, SUM(X225:X229), "")</f>
        <v/>
      </c>
      <c r="Y220" s="147">
        <f>IF(SUM(Y225:Y229)&gt;0, SUM(Y225:Y229), "")</f>
        <v/>
      </c>
      <c r="Z220" s="147">
        <f>IF(SUM(Z225:Z229)&gt;0, SUM(Z225:Z229), "")</f>
        <v/>
      </c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150" t="inlineStr">
        <is>
          <t xml:space="preserve">  Click CTA</t>
        </is>
      </c>
      <c r="B221" s="150" t="n"/>
      <c r="C221" s="150" t="n"/>
      <c r="D221" s="150" t="n"/>
      <c r="E221" s="150" t="n"/>
      <c r="F221" s="150" t="n">
        <v>447</v>
      </c>
      <c r="G221" s="150" t="n">
        <v>34</v>
      </c>
      <c r="H221" s="150" t="n">
        <v>86</v>
      </c>
      <c r="I221" s="150" t="n">
        <v>181</v>
      </c>
      <c r="J221" s="150" t="n">
        <v>120</v>
      </c>
      <c r="K221" s="150" t="n">
        <v>57</v>
      </c>
      <c r="L221" s="150" t="n"/>
      <c r="M221" s="150" t="n"/>
      <c r="N221" s="151">
        <f>IFERROR((K221-J221)/J221, "")</f>
        <v/>
      </c>
      <c r="O221" s="150" t="n"/>
      <c r="P221" s="150" t="n"/>
      <c r="Q221" s="150" t="n"/>
      <c r="R221" s="150" t="n"/>
      <c r="S221" s="150" t="n">
        <v>450</v>
      </c>
      <c r="T221" s="150" t="n">
        <v>34</v>
      </c>
      <c r="U221" s="150" t="n">
        <v>97</v>
      </c>
      <c r="V221" s="150" t="n">
        <v>188</v>
      </c>
      <c r="W221" s="150" t="n">
        <v>131</v>
      </c>
      <c r="X221" s="150" t="n">
        <v>57</v>
      </c>
      <c r="Y221" s="150" t="n"/>
      <c r="Z221" s="150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152" t="inlineStr">
        <is>
          <t xml:space="preserve">  Net change</t>
        </is>
      </c>
      <c r="B222" s="153" t="n"/>
      <c r="C222" s="153">
        <f>IF(AND(ISNUMBER(C220), ISNUMBER(B220), B220&gt;0, C220&gt;0), C220-B220, "")</f>
        <v/>
      </c>
      <c r="D222" s="153">
        <f>IF(AND(ISNUMBER(D220), ISNUMBER(C220), C220&gt;0, D220&gt;0), D220-C220, "")</f>
        <v/>
      </c>
      <c r="E222" s="153">
        <f>IF(AND(ISNUMBER(E220), ISNUMBER(D220), D220&gt;0, E220&gt;0), E220-D220, "")</f>
        <v/>
      </c>
      <c r="F222" s="153">
        <f>IF(AND(ISNUMBER(F220), ISNUMBER(E220), E220&gt;0, F220&gt;0), F220-E220, "")</f>
        <v/>
      </c>
      <c r="G222" s="153">
        <f>IF(AND(ISNUMBER(G220), ISNUMBER(F220), F220&gt;0, G220&gt;0), G220-F220, "")</f>
        <v/>
      </c>
      <c r="H222" s="153">
        <f>IF(AND(ISNUMBER(H220), ISNUMBER(G220), G220&gt;0, H220&gt;0), H220-G220, "")</f>
        <v/>
      </c>
      <c r="I222" s="153">
        <f>IF(AND(ISNUMBER(I220), ISNUMBER(H220), H220&gt;0, I220&gt;0), I220-H220, "")</f>
        <v/>
      </c>
      <c r="J222" s="153">
        <f>IF(AND(ISNUMBER(J220), ISNUMBER(I220), I220&gt;0, J220&gt;0), J220-I220, "")</f>
        <v/>
      </c>
      <c r="K222" s="153">
        <f>IF(AND(ISNUMBER(K220), ISNUMBER(J220), J220&gt;0, K220&gt;0), K220-J220, "")</f>
        <v/>
      </c>
      <c r="L222" s="153">
        <f>IF(AND(ISNUMBER(L220), ISNUMBER(K220), K220&gt;0, L220&gt;0), L220-K220, "")</f>
        <v/>
      </c>
      <c r="M222" s="153">
        <f>IF(AND(ISNUMBER(M220), ISNUMBER(L220), L220&gt;0, M220&gt;0), M220-L220, "")</f>
        <v/>
      </c>
      <c r="N222" s="153" t="n"/>
      <c r="O222" s="153" t="n"/>
      <c r="P222" s="153">
        <f>IF(AND(ISNUMBER(P220), ISNUMBER(O220), O220&gt;0, P220&gt;0), P220-O220, "")</f>
        <v/>
      </c>
      <c r="Q222" s="153">
        <f>IF(AND(ISNUMBER(Q220), ISNUMBER(P220), P220&gt;0, Q220&gt;0), Q220-P220, "")</f>
        <v/>
      </c>
      <c r="R222" s="153">
        <f>IF(AND(ISNUMBER(R220), ISNUMBER(Q220), Q220&gt;0, R220&gt;0), R220-Q220, "")</f>
        <v/>
      </c>
      <c r="S222" s="153">
        <f>IF(AND(ISNUMBER(S220), ISNUMBER(R220), R220&gt;0, S220&gt;0), S220-R220, "")</f>
        <v/>
      </c>
      <c r="T222" s="153">
        <f>IF(AND(ISNUMBER(T220), ISNUMBER(S220), S220&gt;0, T220&gt;0), T220-S220, "")</f>
        <v/>
      </c>
      <c r="U222" s="153">
        <f>IF(AND(ISNUMBER(U220), ISNUMBER(T220), T220&gt;0, U220&gt;0), U220-T220, "")</f>
        <v/>
      </c>
      <c r="V222" s="153">
        <f>IF(AND(ISNUMBER(V220), ISNUMBER(U220), U220&gt;0, V220&gt;0), V220-U220, "")</f>
        <v/>
      </c>
      <c r="W222" s="153">
        <f>IF(AND(ISNUMBER(W220), ISNUMBER(V220), V220&gt;0, W220&gt;0), W220-V220, "")</f>
        <v/>
      </c>
      <c r="X222" s="153">
        <f>IF(AND(ISNUMBER(X220), ISNUMBER(W220), W220&gt;0, X220&gt;0), X220-W220, "")</f>
        <v/>
      </c>
      <c r="Y222" s="153">
        <f>IF(AND(ISNUMBER(Y220), ISNUMBER(X220), X220&gt;0, Y220&gt;0), Y220-X220, "")</f>
        <v/>
      </c>
      <c r="Z222" s="153">
        <f>IF(AND(ISNUMBER(Z220), ISNUMBER(Y220), Y220&gt;0, Z220&gt;0), Z220-Y220, "")</f>
        <v/>
      </c>
      <c r="AA222" s="153" t="n"/>
      <c r="AB222" s="140" t="n"/>
      <c r="AC222" s="140" t="n"/>
      <c r="AD222" s="140" t="n"/>
    </row>
    <row r="223" ht="15.75" customHeight="1" s="346">
      <c r="A223" s="152" t="inlineStr">
        <is>
          <t xml:space="preserve">  % Growth rate</t>
        </is>
      </c>
      <c r="B223" s="203" t="n"/>
      <c r="C223" s="203">
        <f>IF(AND(ISNUMBER(C220), ISNUMBER(B220), B220&gt;0, C220&gt;0), (C220-B220)/B220, "")</f>
        <v/>
      </c>
      <c r="D223" s="203">
        <f>IF(AND(ISNUMBER(D220), ISNUMBER(C220), C220&gt;0, D220&gt;0), (D220-C220)/C220, "")</f>
        <v/>
      </c>
      <c r="E223" s="203">
        <f>IF(AND(ISNUMBER(E220), ISNUMBER(D220), D220&gt;0, E220&gt;0), (E220-D220)/D220, "")</f>
        <v/>
      </c>
      <c r="F223" s="203">
        <f>IF(AND(ISNUMBER(F220), ISNUMBER(E220), E220&gt;0, F220&gt;0), (F220-E220)/E220, "")</f>
        <v/>
      </c>
      <c r="G223" s="203">
        <f>IF(AND(ISNUMBER(G220), ISNUMBER(F220), F220&gt;0, G220&gt;0), (G220-F220)/F220, "")</f>
        <v/>
      </c>
      <c r="H223" s="203">
        <f>IF(AND(ISNUMBER(H220), ISNUMBER(G220), G220&gt;0, H220&gt;0), (H220-G220)/G220, "")</f>
        <v/>
      </c>
      <c r="I223" s="203">
        <f>IF(AND(ISNUMBER(I220), ISNUMBER(H220), H220&gt;0, I220&gt;0), (I220-H220)/H220, "")</f>
        <v/>
      </c>
      <c r="J223" s="203">
        <f>IF(AND(ISNUMBER(J220), ISNUMBER(I220), I220&gt;0, J220&gt;0), (J220-I220)/I220, "")</f>
        <v/>
      </c>
      <c r="K223" s="203">
        <f>IF(AND(ISNUMBER(K220), ISNUMBER(J220), J220&gt;0, K220&gt;0), (K220-J220)/J220, "")</f>
        <v/>
      </c>
      <c r="L223" s="203">
        <f>IF(AND(ISNUMBER(L220), ISNUMBER(K220), K220&gt;0, L220&gt;0), (L220-K220)/K220, "")</f>
        <v/>
      </c>
      <c r="M223" s="203">
        <f>IF(AND(ISNUMBER(M220), ISNUMBER(L220), L220&gt;0, M220&gt;0), (M220-L220)/L220, "")</f>
        <v/>
      </c>
      <c r="N223" s="203" t="n"/>
      <c r="O223" s="203" t="n"/>
      <c r="P223" s="203">
        <f>IF(AND(ISNUMBER(P220), ISNUMBER(O220), O220&gt;0, P220&gt;0), (P220-O220)/O220, "")</f>
        <v/>
      </c>
      <c r="Q223" s="203">
        <f>IF(AND(ISNUMBER(Q220), ISNUMBER(P220), P220&gt;0, Q220&gt;0), (Q220-P220)/P220, "")</f>
        <v/>
      </c>
      <c r="R223" s="203">
        <f>IF(AND(ISNUMBER(R220), ISNUMBER(Q220), Q220&gt;0, R220&gt;0), (R220-Q220)/Q220, "")</f>
        <v/>
      </c>
      <c r="S223" s="203">
        <f>IF(AND(ISNUMBER(S220), ISNUMBER(R220), R220&gt;0, S220&gt;0), (S220-R220)/R220, "")</f>
        <v/>
      </c>
      <c r="T223" s="203">
        <f>IF(AND(ISNUMBER(T220), ISNUMBER(S220), S220&gt;0, T220&gt;0), (T220-S220)/S220, "")</f>
        <v/>
      </c>
      <c r="U223" s="203">
        <f>IF(AND(ISNUMBER(U220), ISNUMBER(T220), T220&gt;0, U220&gt;0), (U220-T220)/T220, "")</f>
        <v/>
      </c>
      <c r="V223" s="203">
        <f>IF(AND(ISNUMBER(V220), ISNUMBER(U220), U220&gt;0, V220&gt;0), (V220-U220)/U220, "")</f>
        <v/>
      </c>
      <c r="W223" s="203">
        <f>IF(AND(ISNUMBER(W220), ISNUMBER(V220), V220&gt;0, W220&gt;0), (W220-V220)/V220, "")</f>
        <v/>
      </c>
      <c r="X223" s="203">
        <f>IF(AND(ISNUMBER(X220), ISNUMBER(W220), W220&gt;0, X220&gt;0), (X220-W220)/W220, "")</f>
        <v/>
      </c>
      <c r="Y223" s="203">
        <f>IF(AND(ISNUMBER(Y220), ISNUMBER(X220), X220&gt;0, Y220&gt;0), (Y220-X220)/X220, "")</f>
        <v/>
      </c>
      <c r="Z223" s="203">
        <f>IF(AND(ISNUMBER(Z220), ISNUMBER(Y220), Y220&gt;0, Z220&gt;0), (Z220-Y220)/Y220, "")</f>
        <v/>
      </c>
      <c r="AA223" s="203" t="n"/>
      <c r="AB223" s="140" t="n"/>
      <c r="AC223" s="140" t="n"/>
      <c r="AD223" s="140" t="n"/>
    </row>
    <row r="224" ht="15.75" customHeight="1" s="346">
      <c r="A224" s="202" t="inlineStr">
        <is>
          <t>Tỷ trọng trong tổng traffic</t>
        </is>
      </c>
      <c r="B224" s="156">
        <f t="array" ref="B224">IF(AND(ISNUMBER(B220), B220&gt;0), B220/INDEX('MTD Pivot'!$D$3:$K$400, MATCH("Grand Total", 'MTD Pivot'!$A$3:$A$400, 0), MATCH(B$2, 'MTD Pivot'!$D$2:$K$2, 0)), "")</f>
        <v/>
      </c>
      <c r="C224" s="156">
        <f t="array" ref="C224">IF(AND(ISNUMBER(C220), C220&gt;0), C220/INDEX('MTD Pivot'!$D$3:$K$400, MATCH("Grand Total", 'MTD Pivot'!$A$3:$A$400, 0), MATCH(C$2, 'MTD Pivot'!$D$2:$K$2, 0)), "")</f>
        <v/>
      </c>
      <c r="D224" s="156">
        <f t="array" ref="D224">IF(AND(ISNUMBER(D220), D220&gt;0), D220/INDEX('MTD Pivot'!$D$3:$K$400, MATCH("Grand Total", 'MTD Pivot'!$A$3:$A$400, 0), MATCH(D$2, 'MTD Pivot'!$D$2:$K$2, 0)), "")</f>
        <v/>
      </c>
      <c r="E224" s="156">
        <f t="array" ref="E224">IF(AND(ISNUMBER(E220), E220&gt;0), E220/INDEX('MTD Pivot'!$D$3:$K$400, MATCH("Grand Total", 'MTD Pivot'!$A$3:$A$400, 0), MATCH(E$2, 'MTD Pivot'!$D$2:$K$2, 0)), "")</f>
        <v/>
      </c>
      <c r="F224" s="156">
        <f t="array" ref="F224">IF(AND(ISNUMBER(F220), F220&gt;0), F220/INDEX('MTD Pivot'!$D$3:$K$400, MATCH("Grand Total", 'MTD Pivot'!$A$3:$A$400, 0), MATCH(F$2, 'MTD Pivot'!$D$2:$K$2, 0)), "")</f>
        <v/>
      </c>
      <c r="G224" s="156">
        <f t="array" ref="G224">IF(AND(ISNUMBER(G220), G220&gt;0), G220/INDEX('MTD Pivot'!$D$3:$K$400, MATCH("Grand Total", 'MTD Pivot'!$A$3:$A$400, 0), MATCH(G$2, 'MTD Pivot'!$D$2:$K$2, 0)), "")</f>
        <v/>
      </c>
      <c r="H224" s="156">
        <f t="array" ref="H224">IF(AND(ISNUMBER(H220), H220&gt;0), H220/INDEX('MTD Pivot'!$D$3:$K$400, MATCH("Grand Total", 'MTD Pivot'!$A$3:$A$400, 0), MATCH(H$2, 'MTD Pivot'!$D$2:$K$2, 0)), "")</f>
        <v/>
      </c>
      <c r="I224" s="156">
        <f t="array" ref="I224">IF(AND(ISNUMBER(I220), I220&gt;0), I220/INDEX('MTD Pivot'!$D$3:$K$400, MATCH("Grand Total", 'MTD Pivot'!$A$3:$A$400, 0), MATCH(I$2, 'MTD Pivot'!$D$2:$K$2, 0)), "")</f>
        <v/>
      </c>
      <c r="J224" s="156">
        <f t="array" ref="J224">IF(AND(ISNUMBER(J220), J220&gt;0), J220/INDEX('MTD Pivot'!$D$3:$K$400, MATCH("Grand Total", 'MTD Pivot'!$A$3:$A$400, 0), MATCH(J$2, 'MTD Pivot'!$D$2:$K$2, 0)), "")</f>
        <v/>
      </c>
      <c r="K224" s="156">
        <f t="array" ref="K224">IF(AND(ISNUMBER(K220), K220&gt;0), K220/INDEX('MTD Pivot'!$D$3:$K$400, MATCH("Grand Total", 'MTD Pivot'!$A$3:$A$400, 0), MATCH(K$2, 'MTD Pivot'!$D$2:$K$2, 0)), "")</f>
        <v/>
      </c>
      <c r="L224" s="156">
        <f t="array" ref="L224">IF(AND(ISNUMBER(L220), L220&gt;0), L220/INDEX('MTD Pivot'!$D$3:$K$400, MATCH("Grand Total", 'MTD Pivot'!$A$3:$A$400, 0), MATCH(L$2, 'MTD Pivot'!$D$2:$K$2, 0)), "")</f>
        <v/>
      </c>
      <c r="M224" s="156">
        <f t="array" ref="M224">IF(AND(ISNUMBER(M220), M220&gt;0), M220/INDEX('MTD Pivot'!$D$3:$K$400, MATCH("Grand Total", 'MTD Pivot'!$A$3:$A$400, 0), MATCH(M$2, 'MTD Pivot'!$D$2:$K$2, 0)), "")</f>
        <v/>
      </c>
      <c r="N224" s="157">
        <f>IF(AND(ISNUMBER(K224), ISNUMBER(J224)), K224-J224, "")</f>
        <v/>
      </c>
      <c r="O224" s="156">
        <f t="array" ref="O224">IF(AND(ISNUMBER(O220), O220&gt;0), O220/INDEX('Full month Pivot'!$D$3:$K$400, MATCH("Grand Total", 'Full month Pivot'!$A$3:$A$400, 0), MATCH(O$2, 'Full month Pivot'!$D$2:$K$2, 0)), "")</f>
        <v/>
      </c>
      <c r="P224" s="156">
        <f t="array" ref="P224">IF(AND(ISNUMBER(P220), P220&gt;0), P220/INDEX('Full month Pivot'!$D$3:$K$400, MATCH("Grand Total", 'Full month Pivot'!$A$3:$A$400, 0), MATCH(P$2, 'Full month Pivot'!$D$2:$K$2, 0)), "")</f>
        <v/>
      </c>
      <c r="Q224" s="156">
        <f t="array" ref="Q224">IF(AND(ISNUMBER(Q220), Q220&gt;0), Q220/INDEX('Full month Pivot'!$D$3:$K$400, MATCH("Grand Total", 'Full month Pivot'!$A$3:$A$400, 0), MATCH(Q$2, 'Full month Pivot'!$D$2:$K$2, 0)), "")</f>
        <v/>
      </c>
      <c r="R224" s="156">
        <f t="array" ref="R224">IF(AND(ISNUMBER(R220), R220&gt;0), R220/INDEX('Full month Pivot'!$D$3:$K$400, MATCH("Grand Total", 'Full month Pivot'!$A$3:$A$400, 0), MATCH(R$2, 'Full month Pivot'!$D$2:$K$2, 0)), "")</f>
        <v/>
      </c>
      <c r="S224" s="156">
        <f t="array" ref="S224">IF(AND(ISNUMBER(S220), S220&gt;0), S220/INDEX('Full month Pivot'!$D$3:$K$400, MATCH("Grand Total", 'Full month Pivot'!$A$3:$A$400, 0), MATCH(S$2, 'Full month Pivot'!$D$2:$K$2, 0)), "")</f>
        <v/>
      </c>
      <c r="T224" s="156">
        <f t="array" ref="T224">IF(AND(ISNUMBER(T220), T220&gt;0), T220/INDEX('Full month Pivot'!$D$3:$K$400, MATCH("Grand Total", 'Full month Pivot'!$A$3:$A$400, 0), MATCH(T$2, 'Full month Pivot'!$D$2:$K$2, 0)), "")</f>
        <v/>
      </c>
      <c r="U224" s="156">
        <f t="array" ref="U224">IF(AND(ISNUMBER(U220), U220&gt;0), U220/INDEX('Full month Pivot'!$D$3:$K$400, MATCH("Grand Total", 'Full month Pivot'!$A$3:$A$400, 0), MATCH(U$2, 'Full month Pivot'!$D$2:$K$2, 0)), "")</f>
        <v/>
      </c>
      <c r="V224" s="156">
        <f t="array" ref="V224">IF(AND(ISNUMBER(V220), V220&gt;0), V220/INDEX('Full month Pivot'!$D$3:$K$400, MATCH("Grand Total", 'Full month Pivot'!$A$3:$A$400, 0), MATCH(V$2, 'Full month Pivot'!$D$2:$K$2, 0)), "")</f>
        <v/>
      </c>
      <c r="W224" s="156">
        <f t="array" ref="W224">IF(AND(ISNUMBER(W220), W220&gt;0), W220/INDEX('Full month Pivot'!$D$3:$K$400, MATCH("Grand Total", 'Full month Pivot'!$A$3:$A$400, 0), MATCH(W$2, 'Full month Pivot'!$D$2:$K$2, 0)), "")</f>
        <v/>
      </c>
      <c r="X224" s="156">
        <f t="array" ref="X224">IF(AND(ISNUMBER(X220), X220&gt;0), X220/INDEX('Full month Pivot'!$D$3:$K$400, MATCH("Grand Total", 'Full month Pivot'!$A$3:$A$400, 0), MATCH(X$2, 'Full month Pivot'!$D$2:$K$2, 0)), "")</f>
        <v/>
      </c>
      <c r="Y224" s="156">
        <f t="array" ref="Y224">IF(AND(ISNUMBER(Y220), Y220&gt;0), Y220/INDEX('Full month Pivot'!$D$3:$K$400, MATCH("Grand Total", 'Full month Pivot'!$A$3:$A$400, 0), MATCH(Y$2, 'Full month Pivot'!$D$2:$K$2, 0)), "")</f>
        <v/>
      </c>
      <c r="Z224" s="156">
        <f t="array" ref="Z224">IF(AND(ISNUMBER(Z220), Z220&gt;0), Z220/INDEX('Full month Pivot'!$D$3:$K$400, MATCH("Grand Total", 'Full month Pivot'!$A$3:$A$400, 0), MATCH(Z$2, 'Full month Pivot'!$D$2:$K$2, 0)), "")</f>
        <v/>
      </c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202" t="inlineStr">
        <is>
          <t xml:space="preserve">  Organic</t>
        </is>
      </c>
      <c r="B225" s="193">
        <f>IF(SUMPRODUCT((('MTD Pivot'!$B$3:$B$400="Sim") + ('MTD Pivot'!$A$3:$A$400="Sim") + ('MTD Pivot'!$A$3:$A$400="Esim") &gt; 0) * (TRIM('MTD Pivot'!$C$3:$C$400)=TRIM($A225)) * ('MTD Pivot'!$D$2:$K$2=B$2) * 'MTD Pivot'!$D$3:$K$400)&gt;0, SUMPRODUCT((('MTD Pivot'!$B$3:$B$400="Sim") + ('MTD Pivot'!$A$3:$A$400="Sim") + ('MTD Pivot'!$A$3:$A$400="Esim") &gt; 0) * (TRIM('MTD Pivot'!$C$3:$C$400)=TRIM($A225)) * ('MTD Pivot'!$D$2:$K$2=B$2) * 'MTD Pivot'!$D$3:$K$400), "")</f>
        <v/>
      </c>
      <c r="C225" s="193">
        <f>IF(SUMPRODUCT((('MTD Pivot'!$B$3:$B$400="Sim") + ('MTD Pivot'!$A$3:$A$400="Sim") + ('MTD Pivot'!$A$3:$A$400="Esim") &gt; 0) * (TRIM('MTD Pivot'!$C$3:$C$400)=TRIM($A225)) * ('MTD Pivot'!$D$2:$K$2=C$2) * 'MTD Pivot'!$D$3:$K$400)&gt;0, SUMPRODUCT((('MTD Pivot'!$B$3:$B$400="Sim") + ('MTD Pivot'!$A$3:$A$400="Sim") + ('MTD Pivot'!$A$3:$A$400="Esim") &gt; 0) * (TRIM('MTD Pivot'!$C$3:$C$400)=TRIM($A225)) * ('MTD Pivot'!$D$2:$K$2=C$2) * 'MTD Pivot'!$D$3:$K$400), "")</f>
        <v/>
      </c>
      <c r="D225" s="193">
        <f>IF(SUMPRODUCT((('MTD Pivot'!$B$3:$B$400="Sim") + ('MTD Pivot'!$A$3:$A$400="Sim") + ('MTD Pivot'!$A$3:$A$400="Esim") &gt; 0) * (TRIM('MTD Pivot'!$C$3:$C$400)=TRIM($A225)) * ('MTD Pivot'!$D$2:$K$2=D$2) * 'MTD Pivot'!$D$3:$K$400)&gt;0, SUMPRODUCT((('MTD Pivot'!$B$3:$B$400="Sim") + ('MTD Pivot'!$A$3:$A$400="Sim") + ('MTD Pivot'!$A$3:$A$400="Esim") &gt; 0) * (TRIM('MTD Pivot'!$C$3:$C$400)=TRIM($A225)) * ('MTD Pivot'!$D$2:$K$2=D$2) * 'MTD Pivot'!$D$3:$K$400), "")</f>
        <v/>
      </c>
      <c r="E225" s="193">
        <f>IF(SUMPRODUCT((('MTD Pivot'!$B$3:$B$400="Sim") + ('MTD Pivot'!$A$3:$A$400="Sim") + ('MTD Pivot'!$A$3:$A$400="Esim") &gt; 0) * (TRIM('MTD Pivot'!$C$3:$C$400)=TRIM($A225)) * ('MTD Pivot'!$D$2:$K$2=E$2) * 'MTD Pivot'!$D$3:$K$400)&gt;0, SUMPRODUCT((('MTD Pivot'!$B$3:$B$400="Sim") + ('MTD Pivot'!$A$3:$A$400="Sim") + ('MTD Pivot'!$A$3:$A$400="Esim") &gt; 0) * (TRIM('MTD Pivot'!$C$3:$C$400)=TRIM($A225)) * ('MTD Pivot'!$D$2:$K$2=E$2) * 'MTD Pivot'!$D$3:$K$400), "")</f>
        <v/>
      </c>
      <c r="F225" s="193">
        <f>IF(SUMPRODUCT((('MTD Pivot'!$B$3:$B$400="Sim") + ('MTD Pivot'!$A$3:$A$400="Sim") + ('MTD Pivot'!$A$3:$A$400="Esim") &gt; 0) * (TRIM('MTD Pivot'!$C$3:$C$400)=TRIM($A225)) * ('MTD Pivot'!$D$2:$K$2=F$2) * 'MTD Pivot'!$D$3:$K$400)&gt;0, SUMPRODUCT((('MTD Pivot'!$B$3:$B$400="Sim") + ('MTD Pivot'!$A$3:$A$400="Sim") + ('MTD Pivot'!$A$3:$A$400="Esim") &gt; 0) * (TRIM('MTD Pivot'!$C$3:$C$400)=TRIM($A225)) * ('MTD Pivot'!$D$2:$K$2=F$2) * 'MTD Pivot'!$D$3:$K$400), "")</f>
        <v/>
      </c>
      <c r="G225" s="193">
        <f>IF(SUMPRODUCT((('MTD Pivot'!$B$3:$B$400="Sim") + ('MTD Pivot'!$A$3:$A$400="Sim") + ('MTD Pivot'!$A$3:$A$400="Esim") &gt; 0) * (TRIM('MTD Pivot'!$C$3:$C$400)=TRIM($A225)) * ('MTD Pivot'!$D$2:$K$2=G$2) * 'MTD Pivot'!$D$3:$K$400)&gt;0, SUMPRODUCT((('MTD Pivot'!$B$3:$B$400="Sim") + ('MTD Pivot'!$A$3:$A$400="Sim") + ('MTD Pivot'!$A$3:$A$400="Esim") &gt; 0) * (TRIM('MTD Pivot'!$C$3:$C$400)=TRIM($A225)) * ('MTD Pivot'!$D$2:$K$2=G$2) * 'MTD Pivot'!$D$3:$K$400), "")</f>
        <v/>
      </c>
      <c r="H225" s="193">
        <f>IF(SUMPRODUCT((('MTD Pivot'!$B$3:$B$400="Sim") + ('MTD Pivot'!$A$3:$A$400="Sim") + ('MTD Pivot'!$A$3:$A$400="Esim") &gt; 0) * (TRIM('MTD Pivot'!$C$3:$C$400)=TRIM($A225)) * ('MTD Pivot'!$D$2:$K$2=H$2) * 'MTD Pivot'!$D$3:$K$400)&gt;0, SUMPRODUCT((('MTD Pivot'!$B$3:$B$400="Sim") + ('MTD Pivot'!$A$3:$A$400="Sim") + ('MTD Pivot'!$A$3:$A$400="Esim") &gt; 0) * (TRIM('MTD Pivot'!$C$3:$C$400)=TRIM($A225)) * ('MTD Pivot'!$D$2:$K$2=H$2) * 'MTD Pivot'!$D$3:$K$400), "")</f>
        <v/>
      </c>
      <c r="I225" s="193">
        <f>IF(SUMPRODUCT((('MTD Pivot'!$B$3:$B$400="Sim") + ('MTD Pivot'!$A$3:$A$400="Sim") + ('MTD Pivot'!$A$3:$A$400="Esim") &gt; 0) * (TRIM('MTD Pivot'!$C$3:$C$400)=TRIM($A225)) * ('MTD Pivot'!$D$2:$K$2=I$2) * 'MTD Pivot'!$D$3:$K$400)&gt;0, SUMPRODUCT((('MTD Pivot'!$B$3:$B$400="Sim") + ('MTD Pivot'!$A$3:$A$400="Sim") + ('MTD Pivot'!$A$3:$A$400="Esim") &gt; 0) * (TRIM('MTD Pivot'!$C$3:$C$400)=TRIM($A225)) * ('MTD Pivot'!$D$2:$K$2=I$2) * 'MTD Pivot'!$D$3:$K$400), "")</f>
        <v/>
      </c>
      <c r="J225" s="193">
        <f>IF(SUMPRODUCT((('MTD Pivot'!$B$3:$B$400="Sim") + ('MTD Pivot'!$A$3:$A$400="Sim") + ('MTD Pivot'!$A$3:$A$400="Esim") &gt; 0) * (TRIM('MTD Pivot'!$C$3:$C$400)=TRIM($A225)) * ('MTD Pivot'!$D$2:$K$2=J$2) * 'MTD Pivot'!$D$3:$K$400)&gt;0, SUMPRODUCT((('MTD Pivot'!$B$3:$B$400="Sim") + ('MTD Pivot'!$A$3:$A$400="Sim") + ('MTD Pivot'!$A$3:$A$400="Esim") &gt; 0) * (TRIM('MTD Pivot'!$C$3:$C$400)=TRIM($A225)) * ('MTD Pivot'!$D$2:$K$2=J$2) * 'MTD Pivot'!$D$3:$K$400), "")</f>
        <v/>
      </c>
      <c r="K225" s="193">
        <f>IF(SUMPRODUCT((('MTD Pivot'!$B$3:$B$400="Sim") + ('MTD Pivot'!$A$3:$A$400="Sim") + ('MTD Pivot'!$A$3:$A$400="Esim") &gt; 0) * (TRIM('MTD Pivot'!$C$3:$C$400)=TRIM($A225)) * ('MTD Pivot'!$D$2:$K$2=K$2) * 'MTD Pivot'!$D$3:$K$400)&gt;0, SUMPRODUCT((('MTD Pivot'!$B$3:$B$400="Sim") + ('MTD Pivot'!$A$3:$A$400="Sim") + ('MTD Pivot'!$A$3:$A$400="Esim") &gt; 0) * (TRIM('MTD Pivot'!$C$3:$C$400)=TRIM($A225)) * ('MTD Pivot'!$D$2:$K$2=K$2) * 'MTD Pivot'!$D$3:$K$400), "")</f>
        <v/>
      </c>
      <c r="L225" s="193">
        <f>IF(SUMPRODUCT((('MTD Pivot'!$B$3:$B$400="Sim") + ('MTD Pivot'!$A$3:$A$400="Sim") + ('MTD Pivot'!$A$3:$A$400="Esim") &gt; 0) * (TRIM('MTD Pivot'!$C$3:$C$400)=TRIM($A225)) * ('MTD Pivot'!$D$2:$K$2=L$2) * 'MTD Pivot'!$D$3:$K$400)&gt;0, SUMPRODUCT((('MTD Pivot'!$B$3:$B$400="Sim") + ('MTD Pivot'!$A$3:$A$400="Sim") + ('MTD Pivot'!$A$3:$A$400="Esim") &gt; 0) * (TRIM('MTD Pivot'!$C$3:$C$400)=TRIM($A225)) * ('MTD Pivot'!$D$2:$K$2=L$2) * 'MTD Pivot'!$D$3:$K$400), "")</f>
        <v/>
      </c>
      <c r="M225" s="193">
        <f>IF(SUMPRODUCT((('MTD Pivot'!$B$3:$B$400="Sim") + ('MTD Pivot'!$A$3:$A$400="Sim") + ('MTD Pivot'!$A$3:$A$400="Esim") &gt; 0) * (TRIM('MTD Pivot'!$C$3:$C$400)=TRIM($A225)) * ('MTD Pivot'!$D$2:$K$2=M$2) * 'MTD Pivot'!$D$3:$K$400)&gt;0, SUMPRODUCT((('MTD Pivot'!$B$3:$B$400="Sim") + ('MTD Pivot'!$A$3:$A$400="Sim") + ('MTD Pivot'!$A$3:$A$400="Esim") &gt; 0) * (TRIM('MTD Pivot'!$C$3:$C$400)=TRIM($A225)) * ('MTD Pivot'!$D$2:$K$2=M$2) * 'MTD Pivot'!$D$3:$K$400), "")</f>
        <v/>
      </c>
      <c r="N225" s="157">
        <f>IF(AND(ISNUMBER(K225), ISNUMBER(J225), J225&gt;0), (K225-J225)/J225, "")</f>
        <v/>
      </c>
      <c r="O225" s="193">
        <f>IF(SUMPRODUCT((('Full month Pivot'!$B$3:$B$400="Sim") + ('Full month Pivot'!$A$3:$A$400="Sim") + ('Full month Pivot'!$A$3:$A$400="Esim") &gt; 0) * (TRIM('Full month Pivot'!$C$3:$C$400)=TRIM($A225)) * ('Full month Pivot'!$D$2:$K$2=O$2) * 'Full month Pivot'!$D$3:$K$400)&gt;0, SUMPRODUCT((('Full month Pivot'!$B$3:$B$400="Sim") + ('Full month Pivot'!$A$3:$A$400="Sim") + ('Full month Pivot'!$A$3:$A$400="Esim") &gt; 0) * (TRIM('Full month Pivot'!$C$3:$C$400)=TRIM($A225)) * ('Full month Pivot'!$D$2:$K$2=O$2) * 'Full month Pivot'!$D$3:$K$400), "")</f>
        <v/>
      </c>
      <c r="P225" s="193">
        <f>IF(SUMPRODUCT((('Full month Pivot'!$B$3:$B$400="Sim") + ('Full month Pivot'!$A$3:$A$400="Sim") + ('Full month Pivot'!$A$3:$A$400="Esim") &gt; 0) * (TRIM('Full month Pivot'!$C$3:$C$400)=TRIM($A225)) * ('Full month Pivot'!$D$2:$K$2=P$2) * 'Full month Pivot'!$D$3:$K$400)&gt;0, SUMPRODUCT((('Full month Pivot'!$B$3:$B$400="Sim") + ('Full month Pivot'!$A$3:$A$400="Sim") + ('Full month Pivot'!$A$3:$A$400="Esim") &gt; 0) * (TRIM('Full month Pivot'!$C$3:$C$400)=TRIM($A225)) * ('Full month Pivot'!$D$2:$K$2=P$2) * 'Full month Pivot'!$D$3:$K$400), "")</f>
        <v/>
      </c>
      <c r="Q225" s="193">
        <f>IF(SUMPRODUCT((('Full month Pivot'!$B$3:$B$400="Sim") + ('Full month Pivot'!$A$3:$A$400="Sim") + ('Full month Pivot'!$A$3:$A$400="Esim") &gt; 0) * (TRIM('Full month Pivot'!$C$3:$C$400)=TRIM($A225)) * ('Full month Pivot'!$D$2:$K$2=Q$2) * 'Full month Pivot'!$D$3:$K$400)&gt;0, SUMPRODUCT((('Full month Pivot'!$B$3:$B$400="Sim") + ('Full month Pivot'!$A$3:$A$400="Sim") + ('Full month Pivot'!$A$3:$A$400="Esim") &gt; 0) * (TRIM('Full month Pivot'!$C$3:$C$400)=TRIM($A225)) * ('Full month Pivot'!$D$2:$K$2=Q$2) * 'Full month Pivot'!$D$3:$K$400), "")</f>
        <v/>
      </c>
      <c r="R225" s="193">
        <f>IF(SUMPRODUCT((('Full month Pivot'!$B$3:$B$400="Sim") + ('Full month Pivot'!$A$3:$A$400="Sim") + ('Full month Pivot'!$A$3:$A$400="Esim") &gt; 0) * (TRIM('Full month Pivot'!$C$3:$C$400)=TRIM($A225)) * ('Full month Pivot'!$D$2:$K$2=R$2) * 'Full month Pivot'!$D$3:$K$400)&gt;0, SUMPRODUCT((('Full month Pivot'!$B$3:$B$400="Sim") + ('Full month Pivot'!$A$3:$A$400="Sim") + ('Full month Pivot'!$A$3:$A$400="Esim") &gt; 0) * (TRIM('Full month Pivot'!$C$3:$C$400)=TRIM($A225)) * ('Full month Pivot'!$D$2:$K$2=R$2) * 'Full month Pivot'!$D$3:$K$400), "")</f>
        <v/>
      </c>
      <c r="S225" s="193">
        <f>IF(SUMPRODUCT((('Full month Pivot'!$B$3:$B$400="Sim") + ('Full month Pivot'!$A$3:$A$400="Sim") + ('Full month Pivot'!$A$3:$A$400="Esim") &gt; 0) * (TRIM('Full month Pivot'!$C$3:$C$400)=TRIM($A225)) * ('Full month Pivot'!$D$2:$K$2=S$2) * 'Full month Pivot'!$D$3:$K$400)&gt;0, SUMPRODUCT((('Full month Pivot'!$B$3:$B$400="Sim") + ('Full month Pivot'!$A$3:$A$400="Sim") + ('Full month Pivot'!$A$3:$A$400="Esim") &gt; 0) * (TRIM('Full month Pivot'!$C$3:$C$400)=TRIM($A225)) * ('Full month Pivot'!$D$2:$K$2=S$2) * 'Full month Pivot'!$D$3:$K$400), "")</f>
        <v/>
      </c>
      <c r="T225" s="193">
        <f>IF(SUMPRODUCT((('Full month Pivot'!$B$3:$B$400="Sim") + ('Full month Pivot'!$A$3:$A$400="Sim") + ('Full month Pivot'!$A$3:$A$400="Esim") &gt; 0) * (TRIM('Full month Pivot'!$C$3:$C$400)=TRIM($A225)) * ('Full month Pivot'!$D$2:$K$2=T$2) * 'Full month Pivot'!$D$3:$K$400)&gt;0, SUMPRODUCT((('Full month Pivot'!$B$3:$B$400="Sim") + ('Full month Pivot'!$A$3:$A$400="Sim") + ('Full month Pivot'!$A$3:$A$400="Esim") &gt; 0) * (TRIM('Full month Pivot'!$C$3:$C$400)=TRIM($A225)) * ('Full month Pivot'!$D$2:$K$2=T$2) * 'Full month Pivot'!$D$3:$K$400), "")</f>
        <v/>
      </c>
      <c r="U225" s="193">
        <f>IF(SUMPRODUCT((('Full month Pivot'!$B$3:$B$400="Sim") + ('Full month Pivot'!$A$3:$A$400="Sim") + ('Full month Pivot'!$A$3:$A$400="Esim") &gt; 0) * (TRIM('Full month Pivot'!$C$3:$C$400)=TRIM($A225)) * ('Full month Pivot'!$D$2:$K$2=U$2) * 'Full month Pivot'!$D$3:$K$400)&gt;0, SUMPRODUCT((('Full month Pivot'!$B$3:$B$400="Sim") + ('Full month Pivot'!$A$3:$A$400="Sim") + ('Full month Pivot'!$A$3:$A$400="Esim") &gt; 0) * (TRIM('Full month Pivot'!$C$3:$C$400)=TRIM($A225)) * ('Full month Pivot'!$D$2:$K$2=U$2) * 'Full month Pivot'!$D$3:$K$400), "")</f>
        <v/>
      </c>
      <c r="V225" s="193">
        <f>IF(SUMPRODUCT((('Full month Pivot'!$B$3:$B$400="Sim") + ('Full month Pivot'!$A$3:$A$400="Sim") + ('Full month Pivot'!$A$3:$A$400="Esim") &gt; 0) * (TRIM('Full month Pivot'!$C$3:$C$400)=TRIM($A225)) * ('Full month Pivot'!$D$2:$K$2=V$2) * 'Full month Pivot'!$D$3:$K$400)&gt;0, SUMPRODUCT((('Full month Pivot'!$B$3:$B$400="Sim") + ('Full month Pivot'!$A$3:$A$400="Sim") + ('Full month Pivot'!$A$3:$A$400="Esim") &gt; 0) * (TRIM('Full month Pivot'!$C$3:$C$400)=TRIM($A225)) * ('Full month Pivot'!$D$2:$K$2=V$2) * 'Full month Pivot'!$D$3:$K$400), "")</f>
        <v/>
      </c>
      <c r="W225" s="193">
        <f>IF(SUMPRODUCT((('Full month Pivot'!$B$3:$B$400="Sim") + ('Full month Pivot'!$A$3:$A$400="Sim") + ('Full month Pivot'!$A$3:$A$400="Esim") &gt; 0) * (TRIM('Full month Pivot'!$C$3:$C$400)=TRIM($A225)) * ('Full month Pivot'!$D$2:$K$2=W$2) * 'Full month Pivot'!$D$3:$K$400)&gt;0, SUMPRODUCT((('Full month Pivot'!$B$3:$B$400="Sim") + ('Full month Pivot'!$A$3:$A$400="Sim") + ('Full month Pivot'!$A$3:$A$400="Esim") &gt; 0) * (TRIM('Full month Pivot'!$C$3:$C$400)=TRIM($A225)) * ('Full month Pivot'!$D$2:$K$2=W$2) * 'Full month Pivot'!$D$3:$K$400), "")</f>
        <v/>
      </c>
      <c r="X225" s="193">
        <f>IF(SUMPRODUCT((('Full month Pivot'!$B$3:$B$400="Sim") + ('Full month Pivot'!$A$3:$A$400="Sim") + ('Full month Pivot'!$A$3:$A$400="Esim") &gt; 0) * (TRIM('Full month Pivot'!$C$3:$C$400)=TRIM($A225)) * ('Full month Pivot'!$D$2:$K$2=X$2) * 'Full month Pivot'!$D$3:$K$400)&gt;0, SUMPRODUCT((('Full month Pivot'!$B$3:$B$400="Sim") + ('Full month Pivot'!$A$3:$A$400="Sim") + ('Full month Pivot'!$A$3:$A$400="Esim") &gt; 0) * (TRIM('Full month Pivot'!$C$3:$C$400)=TRIM($A225)) * ('Full month Pivot'!$D$2:$K$2=X$2) * 'Full month Pivot'!$D$3:$K$400), "")</f>
        <v/>
      </c>
      <c r="Y225" s="193">
        <f>IF(SUMPRODUCT((('Full month Pivot'!$B$3:$B$400="Sim") + ('Full month Pivot'!$A$3:$A$400="Sim") + ('Full month Pivot'!$A$3:$A$400="Esim") &gt; 0) * (TRIM('Full month Pivot'!$C$3:$C$400)=TRIM($A225)) * ('Full month Pivot'!$D$2:$K$2=Y$2) * 'Full month Pivot'!$D$3:$K$400)&gt;0, SUMPRODUCT((('Full month Pivot'!$B$3:$B$400="Sim") + ('Full month Pivot'!$A$3:$A$400="Sim") + ('Full month Pivot'!$A$3:$A$400="Esim") &gt; 0) * (TRIM('Full month Pivot'!$C$3:$C$400)=TRIM($A225)) * ('Full month Pivot'!$D$2:$K$2=Y$2) * 'Full month Pivot'!$D$3:$K$400), "")</f>
        <v/>
      </c>
      <c r="Z225" s="193">
        <f>IF(SUMPRODUCT((('Full month Pivot'!$B$3:$B$400="Sim") + ('Full month Pivot'!$A$3:$A$400="Sim") + ('Full month Pivot'!$A$3:$A$400="Esim") &gt; 0) * (TRIM('Full month Pivot'!$C$3:$C$400)=TRIM($A225)) * ('Full month Pivot'!$D$2:$K$2=Z$2) * 'Full month Pivot'!$D$3:$K$400)&gt;0, SUMPRODUCT((('Full month Pivot'!$B$3:$B$400="Sim") + ('Full month Pivot'!$A$3:$A$400="Sim") + ('Full month Pivot'!$A$3:$A$400="Esim") &gt; 0) * (TRIM('Full month Pivot'!$C$3:$C$400)=TRIM($A225)) * ('Full month Pivot'!$D$2:$K$2=Z$2) * 'Full month Pivot'!$D$3:$K$400), "")</f>
        <v/>
      </c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202" t="inlineStr">
        <is>
          <t xml:space="preserve">  Paid</t>
        </is>
      </c>
      <c r="B226" s="193">
        <f>IF(SUMPRODUCT((('MTD Pivot'!$B$3:$B$400="Sim") + ('MTD Pivot'!$A$3:$A$400="Sim") + ('MTD Pivot'!$A$3:$A$400="Esim") &gt; 0) * (TRIM('MTD Pivot'!$C$3:$C$400)=TRIM($A226)) * ('MTD Pivot'!$D$2:$K$2=B$2) * 'MTD Pivot'!$D$3:$K$400)&gt;0, SUMPRODUCT((('MTD Pivot'!$B$3:$B$400="Sim") + ('MTD Pivot'!$A$3:$A$400="Sim") + ('MTD Pivot'!$A$3:$A$400="Esim") &gt; 0) * (TRIM('MTD Pivot'!$C$3:$C$400)=TRIM($A226)) * ('MTD Pivot'!$D$2:$K$2=B$2) * 'MTD Pivot'!$D$3:$K$400), "")</f>
        <v/>
      </c>
      <c r="C226" s="193">
        <f>IF(SUMPRODUCT((('MTD Pivot'!$B$3:$B$400="Sim") + ('MTD Pivot'!$A$3:$A$400="Sim") + ('MTD Pivot'!$A$3:$A$400="Esim") &gt; 0) * (TRIM('MTD Pivot'!$C$3:$C$400)=TRIM($A226)) * ('MTD Pivot'!$D$2:$K$2=C$2) * 'MTD Pivot'!$D$3:$K$400)&gt;0, SUMPRODUCT((('MTD Pivot'!$B$3:$B$400="Sim") + ('MTD Pivot'!$A$3:$A$400="Sim") + ('MTD Pivot'!$A$3:$A$400="Esim") &gt; 0) * (TRIM('MTD Pivot'!$C$3:$C$400)=TRIM($A226)) * ('MTD Pivot'!$D$2:$K$2=C$2) * 'MTD Pivot'!$D$3:$K$400), "")</f>
        <v/>
      </c>
      <c r="D226" s="193">
        <f>IF(SUMPRODUCT((('MTD Pivot'!$B$3:$B$400="Sim") + ('MTD Pivot'!$A$3:$A$400="Sim") + ('MTD Pivot'!$A$3:$A$400="Esim") &gt; 0) * (TRIM('MTD Pivot'!$C$3:$C$400)=TRIM($A226)) * ('MTD Pivot'!$D$2:$K$2=D$2) * 'MTD Pivot'!$D$3:$K$400)&gt;0, SUMPRODUCT((('MTD Pivot'!$B$3:$B$400="Sim") + ('MTD Pivot'!$A$3:$A$400="Sim") + ('MTD Pivot'!$A$3:$A$400="Esim") &gt; 0) * (TRIM('MTD Pivot'!$C$3:$C$400)=TRIM($A226)) * ('MTD Pivot'!$D$2:$K$2=D$2) * 'MTD Pivot'!$D$3:$K$400), "")</f>
        <v/>
      </c>
      <c r="E226" s="193">
        <f>IF(SUMPRODUCT((('MTD Pivot'!$B$3:$B$400="Sim") + ('MTD Pivot'!$A$3:$A$400="Sim") + ('MTD Pivot'!$A$3:$A$400="Esim") &gt; 0) * (TRIM('MTD Pivot'!$C$3:$C$400)=TRIM($A226)) * ('MTD Pivot'!$D$2:$K$2=E$2) * 'MTD Pivot'!$D$3:$K$400)&gt;0, SUMPRODUCT((('MTD Pivot'!$B$3:$B$400="Sim") + ('MTD Pivot'!$A$3:$A$400="Sim") + ('MTD Pivot'!$A$3:$A$400="Esim") &gt; 0) * (TRIM('MTD Pivot'!$C$3:$C$400)=TRIM($A226)) * ('MTD Pivot'!$D$2:$K$2=E$2) * 'MTD Pivot'!$D$3:$K$400), "")</f>
        <v/>
      </c>
      <c r="F226" s="193">
        <f>IF(SUMPRODUCT((('MTD Pivot'!$B$3:$B$400="Sim") + ('MTD Pivot'!$A$3:$A$400="Sim") + ('MTD Pivot'!$A$3:$A$400="Esim") &gt; 0) * (TRIM('MTD Pivot'!$C$3:$C$400)=TRIM($A226)) * ('MTD Pivot'!$D$2:$K$2=F$2) * 'MTD Pivot'!$D$3:$K$400)&gt;0, SUMPRODUCT((('MTD Pivot'!$B$3:$B$400="Sim") + ('MTD Pivot'!$A$3:$A$400="Sim") + ('MTD Pivot'!$A$3:$A$400="Esim") &gt; 0) * (TRIM('MTD Pivot'!$C$3:$C$400)=TRIM($A226)) * ('MTD Pivot'!$D$2:$K$2=F$2) * 'MTD Pivot'!$D$3:$K$400), "")</f>
        <v/>
      </c>
      <c r="G226" s="193">
        <f>IF(SUMPRODUCT((('MTD Pivot'!$B$3:$B$400="Sim") + ('MTD Pivot'!$A$3:$A$400="Sim") + ('MTD Pivot'!$A$3:$A$400="Esim") &gt; 0) * (TRIM('MTD Pivot'!$C$3:$C$400)=TRIM($A226)) * ('MTD Pivot'!$D$2:$K$2=G$2) * 'MTD Pivot'!$D$3:$K$400)&gt;0, SUMPRODUCT((('MTD Pivot'!$B$3:$B$400="Sim") + ('MTD Pivot'!$A$3:$A$400="Sim") + ('MTD Pivot'!$A$3:$A$400="Esim") &gt; 0) * (TRIM('MTD Pivot'!$C$3:$C$400)=TRIM($A226)) * ('MTD Pivot'!$D$2:$K$2=G$2) * 'MTD Pivot'!$D$3:$K$400), "")</f>
        <v/>
      </c>
      <c r="H226" s="193">
        <f>IF(SUMPRODUCT((('MTD Pivot'!$B$3:$B$400="Sim") + ('MTD Pivot'!$A$3:$A$400="Sim") + ('MTD Pivot'!$A$3:$A$400="Esim") &gt; 0) * (TRIM('MTD Pivot'!$C$3:$C$400)=TRIM($A226)) * ('MTD Pivot'!$D$2:$K$2=H$2) * 'MTD Pivot'!$D$3:$K$400)&gt;0, SUMPRODUCT((('MTD Pivot'!$B$3:$B$400="Sim") + ('MTD Pivot'!$A$3:$A$400="Sim") + ('MTD Pivot'!$A$3:$A$400="Esim") &gt; 0) * (TRIM('MTD Pivot'!$C$3:$C$400)=TRIM($A226)) * ('MTD Pivot'!$D$2:$K$2=H$2) * 'MTD Pivot'!$D$3:$K$400), "")</f>
        <v/>
      </c>
      <c r="I226" s="193">
        <f>IF(SUMPRODUCT((('MTD Pivot'!$B$3:$B$400="Sim") + ('MTD Pivot'!$A$3:$A$400="Sim") + ('MTD Pivot'!$A$3:$A$400="Esim") &gt; 0) * (TRIM('MTD Pivot'!$C$3:$C$400)=TRIM($A226)) * ('MTD Pivot'!$D$2:$K$2=I$2) * 'MTD Pivot'!$D$3:$K$400)&gt;0, SUMPRODUCT((('MTD Pivot'!$B$3:$B$400="Sim") + ('MTD Pivot'!$A$3:$A$400="Sim") + ('MTD Pivot'!$A$3:$A$400="Esim") &gt; 0) * (TRIM('MTD Pivot'!$C$3:$C$400)=TRIM($A226)) * ('MTD Pivot'!$D$2:$K$2=I$2) * 'MTD Pivot'!$D$3:$K$400), "")</f>
        <v/>
      </c>
      <c r="J226" s="193">
        <f>IF(SUMPRODUCT((('MTD Pivot'!$B$3:$B$400="Sim") + ('MTD Pivot'!$A$3:$A$400="Sim") + ('MTD Pivot'!$A$3:$A$400="Esim") &gt; 0) * (TRIM('MTD Pivot'!$C$3:$C$400)=TRIM($A226)) * ('MTD Pivot'!$D$2:$K$2=J$2) * 'MTD Pivot'!$D$3:$K$400)&gt;0, SUMPRODUCT((('MTD Pivot'!$B$3:$B$400="Sim") + ('MTD Pivot'!$A$3:$A$400="Sim") + ('MTD Pivot'!$A$3:$A$400="Esim") &gt; 0) * (TRIM('MTD Pivot'!$C$3:$C$400)=TRIM($A226)) * ('MTD Pivot'!$D$2:$K$2=J$2) * 'MTD Pivot'!$D$3:$K$400), "")</f>
        <v/>
      </c>
      <c r="K226" s="193">
        <f>IF(SUMPRODUCT((('MTD Pivot'!$B$3:$B$400="Sim") + ('MTD Pivot'!$A$3:$A$400="Sim") + ('MTD Pivot'!$A$3:$A$400="Esim") &gt; 0) * (TRIM('MTD Pivot'!$C$3:$C$400)=TRIM($A226)) * ('MTD Pivot'!$D$2:$K$2=K$2) * 'MTD Pivot'!$D$3:$K$400)&gt;0, SUMPRODUCT((('MTD Pivot'!$B$3:$B$400="Sim") + ('MTD Pivot'!$A$3:$A$400="Sim") + ('MTD Pivot'!$A$3:$A$400="Esim") &gt; 0) * (TRIM('MTD Pivot'!$C$3:$C$400)=TRIM($A226)) * ('MTD Pivot'!$D$2:$K$2=K$2) * 'MTD Pivot'!$D$3:$K$400), "")</f>
        <v/>
      </c>
      <c r="L226" s="193">
        <f>IF(SUMPRODUCT((('MTD Pivot'!$B$3:$B$400="Sim") + ('MTD Pivot'!$A$3:$A$400="Sim") + ('MTD Pivot'!$A$3:$A$400="Esim") &gt; 0) * (TRIM('MTD Pivot'!$C$3:$C$400)=TRIM($A226)) * ('MTD Pivot'!$D$2:$K$2=L$2) * 'MTD Pivot'!$D$3:$K$400)&gt;0, SUMPRODUCT((('MTD Pivot'!$B$3:$B$400="Sim") + ('MTD Pivot'!$A$3:$A$400="Sim") + ('MTD Pivot'!$A$3:$A$400="Esim") &gt; 0) * (TRIM('MTD Pivot'!$C$3:$C$400)=TRIM($A226)) * ('MTD Pivot'!$D$2:$K$2=L$2) * 'MTD Pivot'!$D$3:$K$400), "")</f>
        <v/>
      </c>
      <c r="M226" s="193">
        <f>IF(SUMPRODUCT((('MTD Pivot'!$B$3:$B$400="Sim") + ('MTD Pivot'!$A$3:$A$400="Sim") + ('MTD Pivot'!$A$3:$A$400="Esim") &gt; 0) * (TRIM('MTD Pivot'!$C$3:$C$400)=TRIM($A226)) * ('MTD Pivot'!$D$2:$K$2=M$2) * 'MTD Pivot'!$D$3:$K$400)&gt;0, SUMPRODUCT((('MTD Pivot'!$B$3:$B$400="Sim") + ('MTD Pivot'!$A$3:$A$400="Sim") + ('MTD Pivot'!$A$3:$A$400="Esim") &gt; 0) * (TRIM('MTD Pivot'!$C$3:$C$400)=TRIM($A226)) * ('MTD Pivot'!$D$2:$K$2=M$2) * 'MTD Pivot'!$D$3:$K$400), "")</f>
        <v/>
      </c>
      <c r="N226" s="157">
        <f>IF(AND(ISNUMBER(K226), ISNUMBER(J226), J226&gt;0), (K226-J226)/J226, "")</f>
        <v/>
      </c>
      <c r="O226" s="193">
        <f>IF(SUMPRODUCT((('Full month Pivot'!$B$3:$B$400="Sim") + ('Full month Pivot'!$A$3:$A$400="Sim") + ('Full month Pivot'!$A$3:$A$400="Esim") &gt; 0) * (TRIM('Full month Pivot'!$C$3:$C$400)=TRIM($A226)) * ('Full month Pivot'!$D$2:$K$2=O$2) * 'Full month Pivot'!$D$3:$K$400)&gt;0, SUMPRODUCT((('Full month Pivot'!$B$3:$B$400="Sim") + ('Full month Pivot'!$A$3:$A$400="Sim") + ('Full month Pivot'!$A$3:$A$400="Esim") &gt; 0) * (TRIM('Full month Pivot'!$C$3:$C$400)=TRIM($A226)) * ('Full month Pivot'!$D$2:$K$2=O$2) * 'Full month Pivot'!$D$3:$K$400), "")</f>
        <v/>
      </c>
      <c r="P226" s="193">
        <f>IF(SUMPRODUCT((('Full month Pivot'!$B$3:$B$400="Sim") + ('Full month Pivot'!$A$3:$A$400="Sim") + ('Full month Pivot'!$A$3:$A$400="Esim") &gt; 0) * (TRIM('Full month Pivot'!$C$3:$C$400)=TRIM($A226)) * ('Full month Pivot'!$D$2:$K$2=P$2) * 'Full month Pivot'!$D$3:$K$400)&gt;0, SUMPRODUCT((('Full month Pivot'!$B$3:$B$400="Sim") + ('Full month Pivot'!$A$3:$A$400="Sim") + ('Full month Pivot'!$A$3:$A$400="Esim") &gt; 0) * (TRIM('Full month Pivot'!$C$3:$C$400)=TRIM($A226)) * ('Full month Pivot'!$D$2:$K$2=P$2) * 'Full month Pivot'!$D$3:$K$400), "")</f>
        <v/>
      </c>
      <c r="Q226" s="193">
        <f>IF(SUMPRODUCT((('Full month Pivot'!$B$3:$B$400="Sim") + ('Full month Pivot'!$A$3:$A$400="Sim") + ('Full month Pivot'!$A$3:$A$400="Esim") &gt; 0) * (TRIM('Full month Pivot'!$C$3:$C$400)=TRIM($A226)) * ('Full month Pivot'!$D$2:$K$2=Q$2) * 'Full month Pivot'!$D$3:$K$400)&gt;0, SUMPRODUCT((('Full month Pivot'!$B$3:$B$400="Sim") + ('Full month Pivot'!$A$3:$A$400="Sim") + ('Full month Pivot'!$A$3:$A$400="Esim") &gt; 0) * (TRIM('Full month Pivot'!$C$3:$C$400)=TRIM($A226)) * ('Full month Pivot'!$D$2:$K$2=Q$2) * 'Full month Pivot'!$D$3:$K$400), "")</f>
        <v/>
      </c>
      <c r="R226" s="193">
        <f>IF(SUMPRODUCT((('Full month Pivot'!$B$3:$B$400="Sim") + ('Full month Pivot'!$A$3:$A$400="Sim") + ('Full month Pivot'!$A$3:$A$400="Esim") &gt; 0) * (TRIM('Full month Pivot'!$C$3:$C$400)=TRIM($A226)) * ('Full month Pivot'!$D$2:$K$2=R$2) * 'Full month Pivot'!$D$3:$K$400)&gt;0, SUMPRODUCT((('Full month Pivot'!$B$3:$B$400="Sim") + ('Full month Pivot'!$A$3:$A$400="Sim") + ('Full month Pivot'!$A$3:$A$400="Esim") &gt; 0) * (TRIM('Full month Pivot'!$C$3:$C$400)=TRIM($A226)) * ('Full month Pivot'!$D$2:$K$2=R$2) * 'Full month Pivot'!$D$3:$K$400), "")</f>
        <v/>
      </c>
      <c r="S226" s="193">
        <f>IF(SUMPRODUCT((('Full month Pivot'!$B$3:$B$400="Sim") + ('Full month Pivot'!$A$3:$A$400="Sim") + ('Full month Pivot'!$A$3:$A$400="Esim") &gt; 0) * (TRIM('Full month Pivot'!$C$3:$C$400)=TRIM($A226)) * ('Full month Pivot'!$D$2:$K$2=S$2) * 'Full month Pivot'!$D$3:$K$400)&gt;0, SUMPRODUCT((('Full month Pivot'!$B$3:$B$400="Sim") + ('Full month Pivot'!$A$3:$A$400="Sim") + ('Full month Pivot'!$A$3:$A$400="Esim") &gt; 0) * (TRIM('Full month Pivot'!$C$3:$C$400)=TRIM($A226)) * ('Full month Pivot'!$D$2:$K$2=S$2) * 'Full month Pivot'!$D$3:$K$400), "")</f>
        <v/>
      </c>
      <c r="T226" s="193">
        <f>IF(SUMPRODUCT((('Full month Pivot'!$B$3:$B$400="Sim") + ('Full month Pivot'!$A$3:$A$400="Sim") + ('Full month Pivot'!$A$3:$A$400="Esim") &gt; 0) * (TRIM('Full month Pivot'!$C$3:$C$400)=TRIM($A226)) * ('Full month Pivot'!$D$2:$K$2=T$2) * 'Full month Pivot'!$D$3:$K$400)&gt;0, SUMPRODUCT((('Full month Pivot'!$B$3:$B$400="Sim") + ('Full month Pivot'!$A$3:$A$400="Sim") + ('Full month Pivot'!$A$3:$A$400="Esim") &gt; 0) * (TRIM('Full month Pivot'!$C$3:$C$400)=TRIM($A226)) * ('Full month Pivot'!$D$2:$K$2=T$2) * 'Full month Pivot'!$D$3:$K$400), "")</f>
        <v/>
      </c>
      <c r="U226" s="193">
        <f>IF(SUMPRODUCT((('Full month Pivot'!$B$3:$B$400="Sim") + ('Full month Pivot'!$A$3:$A$400="Sim") + ('Full month Pivot'!$A$3:$A$400="Esim") &gt; 0) * (TRIM('Full month Pivot'!$C$3:$C$400)=TRIM($A226)) * ('Full month Pivot'!$D$2:$K$2=U$2) * 'Full month Pivot'!$D$3:$K$400)&gt;0, SUMPRODUCT((('Full month Pivot'!$B$3:$B$400="Sim") + ('Full month Pivot'!$A$3:$A$400="Sim") + ('Full month Pivot'!$A$3:$A$400="Esim") &gt; 0) * (TRIM('Full month Pivot'!$C$3:$C$400)=TRIM($A226)) * ('Full month Pivot'!$D$2:$K$2=U$2) * 'Full month Pivot'!$D$3:$K$400), "")</f>
        <v/>
      </c>
      <c r="V226" s="193">
        <f>IF(SUMPRODUCT((('Full month Pivot'!$B$3:$B$400="Sim") + ('Full month Pivot'!$A$3:$A$400="Sim") + ('Full month Pivot'!$A$3:$A$400="Esim") &gt; 0) * (TRIM('Full month Pivot'!$C$3:$C$400)=TRIM($A226)) * ('Full month Pivot'!$D$2:$K$2=V$2) * 'Full month Pivot'!$D$3:$K$400)&gt;0, SUMPRODUCT((('Full month Pivot'!$B$3:$B$400="Sim") + ('Full month Pivot'!$A$3:$A$400="Sim") + ('Full month Pivot'!$A$3:$A$400="Esim") &gt; 0) * (TRIM('Full month Pivot'!$C$3:$C$400)=TRIM($A226)) * ('Full month Pivot'!$D$2:$K$2=V$2) * 'Full month Pivot'!$D$3:$K$400), "")</f>
        <v/>
      </c>
      <c r="W226" s="193">
        <f>IF(SUMPRODUCT((('Full month Pivot'!$B$3:$B$400="Sim") + ('Full month Pivot'!$A$3:$A$400="Sim") + ('Full month Pivot'!$A$3:$A$400="Esim") &gt; 0) * (TRIM('Full month Pivot'!$C$3:$C$400)=TRIM($A226)) * ('Full month Pivot'!$D$2:$K$2=W$2) * 'Full month Pivot'!$D$3:$K$400)&gt;0, SUMPRODUCT((('Full month Pivot'!$B$3:$B$400="Sim") + ('Full month Pivot'!$A$3:$A$400="Sim") + ('Full month Pivot'!$A$3:$A$400="Esim") &gt; 0) * (TRIM('Full month Pivot'!$C$3:$C$400)=TRIM($A226)) * ('Full month Pivot'!$D$2:$K$2=W$2) * 'Full month Pivot'!$D$3:$K$400), "")</f>
        <v/>
      </c>
      <c r="X226" s="193">
        <f>IF(SUMPRODUCT((('Full month Pivot'!$B$3:$B$400="Sim") + ('Full month Pivot'!$A$3:$A$400="Sim") + ('Full month Pivot'!$A$3:$A$400="Esim") &gt; 0) * (TRIM('Full month Pivot'!$C$3:$C$400)=TRIM($A226)) * ('Full month Pivot'!$D$2:$K$2=X$2) * 'Full month Pivot'!$D$3:$K$400)&gt;0, SUMPRODUCT((('Full month Pivot'!$B$3:$B$400="Sim") + ('Full month Pivot'!$A$3:$A$400="Sim") + ('Full month Pivot'!$A$3:$A$400="Esim") &gt; 0) * (TRIM('Full month Pivot'!$C$3:$C$400)=TRIM($A226)) * ('Full month Pivot'!$D$2:$K$2=X$2) * 'Full month Pivot'!$D$3:$K$400), "")</f>
        <v/>
      </c>
      <c r="Y226" s="193">
        <f>IF(SUMPRODUCT((('Full month Pivot'!$B$3:$B$400="Sim") + ('Full month Pivot'!$A$3:$A$400="Sim") + ('Full month Pivot'!$A$3:$A$400="Esim") &gt; 0) * (TRIM('Full month Pivot'!$C$3:$C$400)=TRIM($A226)) * ('Full month Pivot'!$D$2:$K$2=Y$2) * 'Full month Pivot'!$D$3:$K$400)&gt;0, SUMPRODUCT((('Full month Pivot'!$B$3:$B$400="Sim") + ('Full month Pivot'!$A$3:$A$400="Sim") + ('Full month Pivot'!$A$3:$A$400="Esim") &gt; 0) * (TRIM('Full month Pivot'!$C$3:$C$400)=TRIM($A226)) * ('Full month Pivot'!$D$2:$K$2=Y$2) * 'Full month Pivot'!$D$3:$K$400), "")</f>
        <v/>
      </c>
      <c r="Z226" s="193">
        <f>IF(SUMPRODUCT((('Full month Pivot'!$B$3:$B$400="Sim") + ('Full month Pivot'!$A$3:$A$400="Sim") + ('Full month Pivot'!$A$3:$A$400="Esim") &gt; 0) * (TRIM('Full month Pivot'!$C$3:$C$400)=TRIM($A226)) * ('Full month Pivot'!$D$2:$K$2=Z$2) * 'Full month Pivot'!$D$3:$K$400)&gt;0, SUMPRODUCT((('Full month Pivot'!$B$3:$B$400="Sim") + ('Full month Pivot'!$A$3:$A$400="Sim") + ('Full month Pivot'!$A$3:$A$400="Esim") &gt; 0) * (TRIM('Full month Pivot'!$C$3:$C$400)=TRIM($A226)) * ('Full month Pivot'!$D$2:$K$2=Z$2) * 'Full month Pivot'!$D$3:$K$400), "")</f>
        <v/>
      </c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202" t="inlineStr">
        <is>
          <t xml:space="preserve">  Direct</t>
        </is>
      </c>
      <c r="B227" s="193">
        <f>IF(SUMPRODUCT((('MTD Pivot'!$B$3:$B$400="Sim") + ('MTD Pivot'!$A$3:$A$400="Sim") + ('MTD Pivot'!$A$3:$A$400="Esim") &gt; 0) * (TRIM('MTD Pivot'!$C$3:$C$400)=TRIM($A227)) * ('MTD Pivot'!$D$2:$K$2=B$2) * 'MTD Pivot'!$D$3:$K$400)&gt;0, SUMPRODUCT((('MTD Pivot'!$B$3:$B$400="Sim") + ('MTD Pivot'!$A$3:$A$400="Sim") + ('MTD Pivot'!$A$3:$A$400="Esim") &gt; 0) * (TRIM('MTD Pivot'!$C$3:$C$400)=TRIM($A227)) * ('MTD Pivot'!$D$2:$K$2=B$2) * 'MTD Pivot'!$D$3:$K$400), "")</f>
        <v/>
      </c>
      <c r="C227" s="193">
        <f>IF(SUMPRODUCT((('MTD Pivot'!$B$3:$B$400="Sim") + ('MTD Pivot'!$A$3:$A$400="Sim") + ('MTD Pivot'!$A$3:$A$400="Esim") &gt; 0) * (TRIM('MTD Pivot'!$C$3:$C$400)=TRIM($A227)) * ('MTD Pivot'!$D$2:$K$2=C$2) * 'MTD Pivot'!$D$3:$K$400)&gt;0, SUMPRODUCT((('MTD Pivot'!$B$3:$B$400="Sim") + ('MTD Pivot'!$A$3:$A$400="Sim") + ('MTD Pivot'!$A$3:$A$400="Esim") &gt; 0) * (TRIM('MTD Pivot'!$C$3:$C$400)=TRIM($A227)) * ('MTD Pivot'!$D$2:$K$2=C$2) * 'MTD Pivot'!$D$3:$K$400), "")</f>
        <v/>
      </c>
      <c r="D227" s="193">
        <f>IF(SUMPRODUCT((('MTD Pivot'!$B$3:$B$400="Sim") + ('MTD Pivot'!$A$3:$A$400="Sim") + ('MTD Pivot'!$A$3:$A$400="Esim") &gt; 0) * (TRIM('MTD Pivot'!$C$3:$C$400)=TRIM($A227)) * ('MTD Pivot'!$D$2:$K$2=D$2) * 'MTD Pivot'!$D$3:$K$400)&gt;0, SUMPRODUCT((('MTD Pivot'!$B$3:$B$400="Sim") + ('MTD Pivot'!$A$3:$A$400="Sim") + ('MTD Pivot'!$A$3:$A$400="Esim") &gt; 0) * (TRIM('MTD Pivot'!$C$3:$C$400)=TRIM($A227)) * ('MTD Pivot'!$D$2:$K$2=D$2) * 'MTD Pivot'!$D$3:$K$400), "")</f>
        <v/>
      </c>
      <c r="E227" s="193">
        <f>IF(SUMPRODUCT((('MTD Pivot'!$B$3:$B$400="Sim") + ('MTD Pivot'!$A$3:$A$400="Sim") + ('MTD Pivot'!$A$3:$A$400="Esim") &gt; 0) * (TRIM('MTD Pivot'!$C$3:$C$400)=TRIM($A227)) * ('MTD Pivot'!$D$2:$K$2=E$2) * 'MTD Pivot'!$D$3:$K$400)&gt;0, SUMPRODUCT((('MTD Pivot'!$B$3:$B$400="Sim") + ('MTD Pivot'!$A$3:$A$400="Sim") + ('MTD Pivot'!$A$3:$A$400="Esim") &gt; 0) * (TRIM('MTD Pivot'!$C$3:$C$400)=TRIM($A227)) * ('MTD Pivot'!$D$2:$K$2=E$2) * 'MTD Pivot'!$D$3:$K$400), "")</f>
        <v/>
      </c>
      <c r="F227" s="193">
        <f>IF(SUMPRODUCT((('MTD Pivot'!$B$3:$B$400="Sim") + ('MTD Pivot'!$A$3:$A$400="Sim") + ('MTD Pivot'!$A$3:$A$400="Esim") &gt; 0) * (TRIM('MTD Pivot'!$C$3:$C$400)=TRIM($A227)) * ('MTD Pivot'!$D$2:$K$2=F$2) * 'MTD Pivot'!$D$3:$K$400)&gt;0, SUMPRODUCT((('MTD Pivot'!$B$3:$B$400="Sim") + ('MTD Pivot'!$A$3:$A$400="Sim") + ('MTD Pivot'!$A$3:$A$400="Esim") &gt; 0) * (TRIM('MTD Pivot'!$C$3:$C$400)=TRIM($A227)) * ('MTD Pivot'!$D$2:$K$2=F$2) * 'MTD Pivot'!$D$3:$K$400), "")</f>
        <v/>
      </c>
      <c r="G227" s="193">
        <f>IF(SUMPRODUCT((('MTD Pivot'!$B$3:$B$400="Sim") + ('MTD Pivot'!$A$3:$A$400="Sim") + ('MTD Pivot'!$A$3:$A$400="Esim") &gt; 0) * (TRIM('MTD Pivot'!$C$3:$C$400)=TRIM($A227)) * ('MTD Pivot'!$D$2:$K$2=G$2) * 'MTD Pivot'!$D$3:$K$400)&gt;0, SUMPRODUCT((('MTD Pivot'!$B$3:$B$400="Sim") + ('MTD Pivot'!$A$3:$A$400="Sim") + ('MTD Pivot'!$A$3:$A$400="Esim") &gt; 0) * (TRIM('MTD Pivot'!$C$3:$C$400)=TRIM($A227)) * ('MTD Pivot'!$D$2:$K$2=G$2) * 'MTD Pivot'!$D$3:$K$400), "")</f>
        <v/>
      </c>
      <c r="H227" s="193">
        <f>IF(SUMPRODUCT((('MTD Pivot'!$B$3:$B$400="Sim") + ('MTD Pivot'!$A$3:$A$400="Sim") + ('MTD Pivot'!$A$3:$A$400="Esim") &gt; 0) * (TRIM('MTD Pivot'!$C$3:$C$400)=TRIM($A227)) * ('MTD Pivot'!$D$2:$K$2=H$2) * 'MTD Pivot'!$D$3:$K$400)&gt;0, SUMPRODUCT((('MTD Pivot'!$B$3:$B$400="Sim") + ('MTD Pivot'!$A$3:$A$400="Sim") + ('MTD Pivot'!$A$3:$A$400="Esim") &gt; 0) * (TRIM('MTD Pivot'!$C$3:$C$400)=TRIM($A227)) * ('MTD Pivot'!$D$2:$K$2=H$2) * 'MTD Pivot'!$D$3:$K$400), "")</f>
        <v/>
      </c>
      <c r="I227" s="193">
        <f>IF(SUMPRODUCT((('MTD Pivot'!$B$3:$B$400="Sim") + ('MTD Pivot'!$A$3:$A$400="Sim") + ('MTD Pivot'!$A$3:$A$400="Esim") &gt; 0) * (TRIM('MTD Pivot'!$C$3:$C$400)=TRIM($A227)) * ('MTD Pivot'!$D$2:$K$2=I$2) * 'MTD Pivot'!$D$3:$K$400)&gt;0, SUMPRODUCT((('MTD Pivot'!$B$3:$B$400="Sim") + ('MTD Pivot'!$A$3:$A$400="Sim") + ('MTD Pivot'!$A$3:$A$400="Esim") &gt; 0) * (TRIM('MTD Pivot'!$C$3:$C$400)=TRIM($A227)) * ('MTD Pivot'!$D$2:$K$2=I$2) * 'MTD Pivot'!$D$3:$K$400), "")</f>
        <v/>
      </c>
      <c r="J227" s="193">
        <f>IF(SUMPRODUCT((('MTD Pivot'!$B$3:$B$400="Sim") + ('MTD Pivot'!$A$3:$A$400="Sim") + ('MTD Pivot'!$A$3:$A$400="Esim") &gt; 0) * (TRIM('MTD Pivot'!$C$3:$C$400)=TRIM($A227)) * ('MTD Pivot'!$D$2:$K$2=J$2) * 'MTD Pivot'!$D$3:$K$400)&gt;0, SUMPRODUCT((('MTD Pivot'!$B$3:$B$400="Sim") + ('MTD Pivot'!$A$3:$A$400="Sim") + ('MTD Pivot'!$A$3:$A$400="Esim") &gt; 0) * (TRIM('MTD Pivot'!$C$3:$C$400)=TRIM($A227)) * ('MTD Pivot'!$D$2:$K$2=J$2) * 'MTD Pivot'!$D$3:$K$400), "")</f>
        <v/>
      </c>
      <c r="K227" s="193">
        <f>IF(SUMPRODUCT((('MTD Pivot'!$B$3:$B$400="Sim") + ('MTD Pivot'!$A$3:$A$400="Sim") + ('MTD Pivot'!$A$3:$A$400="Esim") &gt; 0) * (TRIM('MTD Pivot'!$C$3:$C$400)=TRIM($A227)) * ('MTD Pivot'!$D$2:$K$2=K$2) * 'MTD Pivot'!$D$3:$K$400)&gt;0, SUMPRODUCT((('MTD Pivot'!$B$3:$B$400="Sim") + ('MTD Pivot'!$A$3:$A$400="Sim") + ('MTD Pivot'!$A$3:$A$400="Esim") &gt; 0) * (TRIM('MTD Pivot'!$C$3:$C$400)=TRIM($A227)) * ('MTD Pivot'!$D$2:$K$2=K$2) * 'MTD Pivot'!$D$3:$K$400), "")</f>
        <v/>
      </c>
      <c r="L227" s="193">
        <f>IF(SUMPRODUCT((('MTD Pivot'!$B$3:$B$400="Sim") + ('MTD Pivot'!$A$3:$A$400="Sim") + ('MTD Pivot'!$A$3:$A$400="Esim") &gt; 0) * (TRIM('MTD Pivot'!$C$3:$C$400)=TRIM($A227)) * ('MTD Pivot'!$D$2:$K$2=L$2) * 'MTD Pivot'!$D$3:$K$400)&gt;0, SUMPRODUCT((('MTD Pivot'!$B$3:$B$400="Sim") + ('MTD Pivot'!$A$3:$A$400="Sim") + ('MTD Pivot'!$A$3:$A$400="Esim") &gt; 0) * (TRIM('MTD Pivot'!$C$3:$C$400)=TRIM($A227)) * ('MTD Pivot'!$D$2:$K$2=L$2) * 'MTD Pivot'!$D$3:$K$400), "")</f>
        <v/>
      </c>
      <c r="M227" s="193">
        <f>IF(SUMPRODUCT((('MTD Pivot'!$B$3:$B$400="Sim") + ('MTD Pivot'!$A$3:$A$400="Sim") + ('MTD Pivot'!$A$3:$A$400="Esim") &gt; 0) * (TRIM('MTD Pivot'!$C$3:$C$400)=TRIM($A227)) * ('MTD Pivot'!$D$2:$K$2=M$2) * 'MTD Pivot'!$D$3:$K$400)&gt;0, SUMPRODUCT((('MTD Pivot'!$B$3:$B$400="Sim") + ('MTD Pivot'!$A$3:$A$400="Sim") + ('MTD Pivot'!$A$3:$A$400="Esim") &gt; 0) * (TRIM('MTD Pivot'!$C$3:$C$400)=TRIM($A227)) * ('MTD Pivot'!$D$2:$K$2=M$2) * 'MTD Pivot'!$D$3:$K$400), "")</f>
        <v/>
      </c>
      <c r="N227" s="157">
        <f>IF(AND(ISNUMBER(K227), ISNUMBER(J227), J227&gt;0), (K227-J227)/J227, "")</f>
        <v/>
      </c>
      <c r="O227" s="193">
        <f>IF(SUMPRODUCT((('Full month Pivot'!$B$3:$B$400="Sim") + ('Full month Pivot'!$A$3:$A$400="Sim") + ('Full month Pivot'!$A$3:$A$400="Esim") &gt; 0) * (TRIM('Full month Pivot'!$C$3:$C$400)=TRIM($A227)) * ('Full month Pivot'!$D$2:$K$2=O$2) * 'Full month Pivot'!$D$3:$K$400)&gt;0, SUMPRODUCT((('Full month Pivot'!$B$3:$B$400="Sim") + ('Full month Pivot'!$A$3:$A$400="Sim") + ('Full month Pivot'!$A$3:$A$400="Esim") &gt; 0) * (TRIM('Full month Pivot'!$C$3:$C$400)=TRIM($A227)) * ('Full month Pivot'!$D$2:$K$2=O$2) * 'Full month Pivot'!$D$3:$K$400), "")</f>
        <v/>
      </c>
      <c r="P227" s="193">
        <f>IF(SUMPRODUCT((('Full month Pivot'!$B$3:$B$400="Sim") + ('Full month Pivot'!$A$3:$A$400="Sim") + ('Full month Pivot'!$A$3:$A$400="Esim") &gt; 0) * (TRIM('Full month Pivot'!$C$3:$C$400)=TRIM($A227)) * ('Full month Pivot'!$D$2:$K$2=P$2) * 'Full month Pivot'!$D$3:$K$400)&gt;0, SUMPRODUCT((('Full month Pivot'!$B$3:$B$400="Sim") + ('Full month Pivot'!$A$3:$A$400="Sim") + ('Full month Pivot'!$A$3:$A$400="Esim") &gt; 0) * (TRIM('Full month Pivot'!$C$3:$C$400)=TRIM($A227)) * ('Full month Pivot'!$D$2:$K$2=P$2) * 'Full month Pivot'!$D$3:$K$400), "")</f>
        <v/>
      </c>
      <c r="Q227" s="193">
        <f>IF(SUMPRODUCT((('Full month Pivot'!$B$3:$B$400="Sim") + ('Full month Pivot'!$A$3:$A$400="Sim") + ('Full month Pivot'!$A$3:$A$400="Esim") &gt; 0) * (TRIM('Full month Pivot'!$C$3:$C$400)=TRIM($A227)) * ('Full month Pivot'!$D$2:$K$2=Q$2) * 'Full month Pivot'!$D$3:$K$400)&gt;0, SUMPRODUCT((('Full month Pivot'!$B$3:$B$400="Sim") + ('Full month Pivot'!$A$3:$A$400="Sim") + ('Full month Pivot'!$A$3:$A$400="Esim") &gt; 0) * (TRIM('Full month Pivot'!$C$3:$C$400)=TRIM($A227)) * ('Full month Pivot'!$D$2:$K$2=Q$2) * 'Full month Pivot'!$D$3:$K$400), "")</f>
        <v/>
      </c>
      <c r="R227" s="193">
        <f>IF(SUMPRODUCT((('Full month Pivot'!$B$3:$B$400="Sim") + ('Full month Pivot'!$A$3:$A$400="Sim") + ('Full month Pivot'!$A$3:$A$400="Esim") &gt; 0) * (TRIM('Full month Pivot'!$C$3:$C$400)=TRIM($A227)) * ('Full month Pivot'!$D$2:$K$2=R$2) * 'Full month Pivot'!$D$3:$K$400)&gt;0, SUMPRODUCT((('Full month Pivot'!$B$3:$B$400="Sim") + ('Full month Pivot'!$A$3:$A$400="Sim") + ('Full month Pivot'!$A$3:$A$400="Esim") &gt; 0) * (TRIM('Full month Pivot'!$C$3:$C$400)=TRIM($A227)) * ('Full month Pivot'!$D$2:$K$2=R$2) * 'Full month Pivot'!$D$3:$K$400), "")</f>
        <v/>
      </c>
      <c r="S227" s="193">
        <f>IF(SUMPRODUCT((('Full month Pivot'!$B$3:$B$400="Sim") + ('Full month Pivot'!$A$3:$A$400="Sim") + ('Full month Pivot'!$A$3:$A$400="Esim") &gt; 0) * (TRIM('Full month Pivot'!$C$3:$C$400)=TRIM($A227)) * ('Full month Pivot'!$D$2:$K$2=S$2) * 'Full month Pivot'!$D$3:$K$400)&gt;0, SUMPRODUCT((('Full month Pivot'!$B$3:$B$400="Sim") + ('Full month Pivot'!$A$3:$A$400="Sim") + ('Full month Pivot'!$A$3:$A$400="Esim") &gt; 0) * (TRIM('Full month Pivot'!$C$3:$C$400)=TRIM($A227)) * ('Full month Pivot'!$D$2:$K$2=S$2) * 'Full month Pivot'!$D$3:$K$400), "")</f>
        <v/>
      </c>
      <c r="T227" s="193">
        <f>IF(SUMPRODUCT((('Full month Pivot'!$B$3:$B$400="Sim") + ('Full month Pivot'!$A$3:$A$400="Sim") + ('Full month Pivot'!$A$3:$A$400="Esim") &gt; 0) * (TRIM('Full month Pivot'!$C$3:$C$400)=TRIM($A227)) * ('Full month Pivot'!$D$2:$K$2=T$2) * 'Full month Pivot'!$D$3:$K$400)&gt;0, SUMPRODUCT((('Full month Pivot'!$B$3:$B$400="Sim") + ('Full month Pivot'!$A$3:$A$400="Sim") + ('Full month Pivot'!$A$3:$A$400="Esim") &gt; 0) * (TRIM('Full month Pivot'!$C$3:$C$400)=TRIM($A227)) * ('Full month Pivot'!$D$2:$K$2=T$2) * 'Full month Pivot'!$D$3:$K$400), "")</f>
        <v/>
      </c>
      <c r="U227" s="193">
        <f>IF(SUMPRODUCT((('Full month Pivot'!$B$3:$B$400="Sim") + ('Full month Pivot'!$A$3:$A$400="Sim") + ('Full month Pivot'!$A$3:$A$400="Esim") &gt; 0) * (TRIM('Full month Pivot'!$C$3:$C$400)=TRIM($A227)) * ('Full month Pivot'!$D$2:$K$2=U$2) * 'Full month Pivot'!$D$3:$K$400)&gt;0, SUMPRODUCT((('Full month Pivot'!$B$3:$B$400="Sim") + ('Full month Pivot'!$A$3:$A$400="Sim") + ('Full month Pivot'!$A$3:$A$400="Esim") &gt; 0) * (TRIM('Full month Pivot'!$C$3:$C$400)=TRIM($A227)) * ('Full month Pivot'!$D$2:$K$2=U$2) * 'Full month Pivot'!$D$3:$K$400), "")</f>
        <v/>
      </c>
      <c r="V227" s="193">
        <f>IF(SUMPRODUCT((('Full month Pivot'!$B$3:$B$400="Sim") + ('Full month Pivot'!$A$3:$A$400="Sim") + ('Full month Pivot'!$A$3:$A$400="Esim") &gt; 0) * (TRIM('Full month Pivot'!$C$3:$C$400)=TRIM($A227)) * ('Full month Pivot'!$D$2:$K$2=V$2) * 'Full month Pivot'!$D$3:$K$400)&gt;0, SUMPRODUCT((('Full month Pivot'!$B$3:$B$400="Sim") + ('Full month Pivot'!$A$3:$A$400="Sim") + ('Full month Pivot'!$A$3:$A$400="Esim") &gt; 0) * (TRIM('Full month Pivot'!$C$3:$C$400)=TRIM($A227)) * ('Full month Pivot'!$D$2:$K$2=V$2) * 'Full month Pivot'!$D$3:$K$400), "")</f>
        <v/>
      </c>
      <c r="W227" s="193">
        <f>IF(SUMPRODUCT((('Full month Pivot'!$B$3:$B$400="Sim") + ('Full month Pivot'!$A$3:$A$400="Sim") + ('Full month Pivot'!$A$3:$A$400="Esim") &gt; 0) * (TRIM('Full month Pivot'!$C$3:$C$400)=TRIM($A227)) * ('Full month Pivot'!$D$2:$K$2=W$2) * 'Full month Pivot'!$D$3:$K$400)&gt;0, SUMPRODUCT((('Full month Pivot'!$B$3:$B$400="Sim") + ('Full month Pivot'!$A$3:$A$400="Sim") + ('Full month Pivot'!$A$3:$A$400="Esim") &gt; 0) * (TRIM('Full month Pivot'!$C$3:$C$400)=TRIM($A227)) * ('Full month Pivot'!$D$2:$K$2=W$2) * 'Full month Pivot'!$D$3:$K$400), "")</f>
        <v/>
      </c>
      <c r="X227" s="193">
        <f>IF(SUMPRODUCT((('Full month Pivot'!$B$3:$B$400="Sim") + ('Full month Pivot'!$A$3:$A$400="Sim") + ('Full month Pivot'!$A$3:$A$400="Esim") &gt; 0) * (TRIM('Full month Pivot'!$C$3:$C$400)=TRIM($A227)) * ('Full month Pivot'!$D$2:$K$2=X$2) * 'Full month Pivot'!$D$3:$K$400)&gt;0, SUMPRODUCT((('Full month Pivot'!$B$3:$B$400="Sim") + ('Full month Pivot'!$A$3:$A$400="Sim") + ('Full month Pivot'!$A$3:$A$400="Esim") &gt; 0) * (TRIM('Full month Pivot'!$C$3:$C$400)=TRIM($A227)) * ('Full month Pivot'!$D$2:$K$2=X$2) * 'Full month Pivot'!$D$3:$K$400), "")</f>
        <v/>
      </c>
      <c r="Y227" s="193">
        <f>IF(SUMPRODUCT((('Full month Pivot'!$B$3:$B$400="Sim") + ('Full month Pivot'!$A$3:$A$400="Sim") + ('Full month Pivot'!$A$3:$A$400="Esim") &gt; 0) * (TRIM('Full month Pivot'!$C$3:$C$400)=TRIM($A227)) * ('Full month Pivot'!$D$2:$K$2=Y$2) * 'Full month Pivot'!$D$3:$K$400)&gt;0, SUMPRODUCT((('Full month Pivot'!$B$3:$B$400="Sim") + ('Full month Pivot'!$A$3:$A$400="Sim") + ('Full month Pivot'!$A$3:$A$400="Esim") &gt; 0) * (TRIM('Full month Pivot'!$C$3:$C$400)=TRIM($A227)) * ('Full month Pivot'!$D$2:$K$2=Y$2) * 'Full month Pivot'!$D$3:$K$400), "")</f>
        <v/>
      </c>
      <c r="Z227" s="193">
        <f>IF(SUMPRODUCT((('Full month Pivot'!$B$3:$B$400="Sim") + ('Full month Pivot'!$A$3:$A$400="Sim") + ('Full month Pivot'!$A$3:$A$400="Esim") &gt; 0) * (TRIM('Full month Pivot'!$C$3:$C$400)=TRIM($A227)) * ('Full month Pivot'!$D$2:$K$2=Z$2) * 'Full month Pivot'!$D$3:$K$400)&gt;0, SUMPRODUCT((('Full month Pivot'!$B$3:$B$400="Sim") + ('Full month Pivot'!$A$3:$A$400="Sim") + ('Full month Pivot'!$A$3:$A$400="Esim") &gt; 0) * (TRIM('Full month Pivot'!$C$3:$C$400)=TRIM($A227)) * ('Full month Pivot'!$D$2:$K$2=Z$2) * 'Full month Pivot'!$D$3:$K$400), "")</f>
        <v/>
      </c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202" t="inlineStr">
        <is>
          <t xml:space="preserve">  Referral</t>
        </is>
      </c>
      <c r="B228" s="193">
        <f>IF(SUMPRODUCT((('MTD Pivot'!$B$3:$B$400="Sim") + ('MTD Pivot'!$A$3:$A$400="Sim") + ('MTD Pivot'!$A$3:$A$400="Esim") &gt; 0) * (TRIM('MTD Pivot'!$C$3:$C$400)=TRIM($A228)) * ('MTD Pivot'!$D$2:$K$2=B$2) * 'MTD Pivot'!$D$3:$K$400)&gt;0, SUMPRODUCT((('MTD Pivot'!$B$3:$B$400="Sim") + ('MTD Pivot'!$A$3:$A$400="Sim") + ('MTD Pivot'!$A$3:$A$400="Esim") &gt; 0) * (TRIM('MTD Pivot'!$C$3:$C$400)=TRIM($A228)) * ('MTD Pivot'!$D$2:$K$2=B$2) * 'MTD Pivot'!$D$3:$K$400), "")</f>
        <v/>
      </c>
      <c r="C228" s="193">
        <f>IF(SUMPRODUCT((('MTD Pivot'!$B$3:$B$400="Sim") + ('MTD Pivot'!$A$3:$A$400="Sim") + ('MTD Pivot'!$A$3:$A$400="Esim") &gt; 0) * (TRIM('MTD Pivot'!$C$3:$C$400)=TRIM($A228)) * ('MTD Pivot'!$D$2:$K$2=C$2) * 'MTD Pivot'!$D$3:$K$400)&gt;0, SUMPRODUCT((('MTD Pivot'!$B$3:$B$400="Sim") + ('MTD Pivot'!$A$3:$A$400="Sim") + ('MTD Pivot'!$A$3:$A$400="Esim") &gt; 0) * (TRIM('MTD Pivot'!$C$3:$C$400)=TRIM($A228)) * ('MTD Pivot'!$D$2:$K$2=C$2) * 'MTD Pivot'!$D$3:$K$400), "")</f>
        <v/>
      </c>
      <c r="D228" s="193">
        <f>IF(SUMPRODUCT((('MTD Pivot'!$B$3:$B$400="Sim") + ('MTD Pivot'!$A$3:$A$400="Sim") + ('MTD Pivot'!$A$3:$A$400="Esim") &gt; 0) * (TRIM('MTD Pivot'!$C$3:$C$400)=TRIM($A228)) * ('MTD Pivot'!$D$2:$K$2=D$2) * 'MTD Pivot'!$D$3:$K$400)&gt;0, SUMPRODUCT((('MTD Pivot'!$B$3:$B$400="Sim") + ('MTD Pivot'!$A$3:$A$400="Sim") + ('MTD Pivot'!$A$3:$A$400="Esim") &gt; 0) * (TRIM('MTD Pivot'!$C$3:$C$400)=TRIM($A228)) * ('MTD Pivot'!$D$2:$K$2=D$2) * 'MTD Pivot'!$D$3:$K$400), "")</f>
        <v/>
      </c>
      <c r="E228" s="193">
        <f>IF(SUMPRODUCT((('MTD Pivot'!$B$3:$B$400="Sim") + ('MTD Pivot'!$A$3:$A$400="Sim") + ('MTD Pivot'!$A$3:$A$400="Esim") &gt; 0) * (TRIM('MTD Pivot'!$C$3:$C$400)=TRIM($A228)) * ('MTD Pivot'!$D$2:$K$2=E$2) * 'MTD Pivot'!$D$3:$K$400)&gt;0, SUMPRODUCT((('MTD Pivot'!$B$3:$B$400="Sim") + ('MTD Pivot'!$A$3:$A$400="Sim") + ('MTD Pivot'!$A$3:$A$400="Esim") &gt; 0) * (TRIM('MTD Pivot'!$C$3:$C$400)=TRIM($A228)) * ('MTD Pivot'!$D$2:$K$2=E$2) * 'MTD Pivot'!$D$3:$K$400), "")</f>
        <v/>
      </c>
      <c r="F228" s="193">
        <f>IF(SUMPRODUCT((('MTD Pivot'!$B$3:$B$400="Sim") + ('MTD Pivot'!$A$3:$A$400="Sim") + ('MTD Pivot'!$A$3:$A$400="Esim") &gt; 0) * (TRIM('MTD Pivot'!$C$3:$C$400)=TRIM($A228)) * ('MTD Pivot'!$D$2:$K$2=F$2) * 'MTD Pivot'!$D$3:$K$400)&gt;0, SUMPRODUCT((('MTD Pivot'!$B$3:$B$400="Sim") + ('MTD Pivot'!$A$3:$A$400="Sim") + ('MTD Pivot'!$A$3:$A$400="Esim") &gt; 0) * (TRIM('MTD Pivot'!$C$3:$C$400)=TRIM($A228)) * ('MTD Pivot'!$D$2:$K$2=F$2) * 'MTD Pivot'!$D$3:$K$400), "")</f>
        <v/>
      </c>
      <c r="G228" s="193">
        <f>IF(SUMPRODUCT((('MTD Pivot'!$B$3:$B$400="Sim") + ('MTD Pivot'!$A$3:$A$400="Sim") + ('MTD Pivot'!$A$3:$A$400="Esim") &gt; 0) * (TRIM('MTD Pivot'!$C$3:$C$400)=TRIM($A228)) * ('MTD Pivot'!$D$2:$K$2=G$2) * 'MTD Pivot'!$D$3:$K$400)&gt;0, SUMPRODUCT((('MTD Pivot'!$B$3:$B$400="Sim") + ('MTD Pivot'!$A$3:$A$400="Sim") + ('MTD Pivot'!$A$3:$A$400="Esim") &gt; 0) * (TRIM('MTD Pivot'!$C$3:$C$400)=TRIM($A228)) * ('MTD Pivot'!$D$2:$K$2=G$2) * 'MTD Pivot'!$D$3:$K$400), "")</f>
        <v/>
      </c>
      <c r="H228" s="193">
        <f>IF(SUMPRODUCT((('MTD Pivot'!$B$3:$B$400="Sim") + ('MTD Pivot'!$A$3:$A$400="Sim") + ('MTD Pivot'!$A$3:$A$400="Esim") &gt; 0) * (TRIM('MTD Pivot'!$C$3:$C$400)=TRIM($A228)) * ('MTD Pivot'!$D$2:$K$2=H$2) * 'MTD Pivot'!$D$3:$K$400)&gt;0, SUMPRODUCT((('MTD Pivot'!$B$3:$B$400="Sim") + ('MTD Pivot'!$A$3:$A$400="Sim") + ('MTD Pivot'!$A$3:$A$400="Esim") &gt; 0) * (TRIM('MTD Pivot'!$C$3:$C$400)=TRIM($A228)) * ('MTD Pivot'!$D$2:$K$2=H$2) * 'MTD Pivot'!$D$3:$K$400), "")</f>
        <v/>
      </c>
      <c r="I228" s="193">
        <f>IF(SUMPRODUCT((('MTD Pivot'!$B$3:$B$400="Sim") + ('MTD Pivot'!$A$3:$A$400="Sim") + ('MTD Pivot'!$A$3:$A$400="Esim") &gt; 0) * (TRIM('MTD Pivot'!$C$3:$C$400)=TRIM($A228)) * ('MTD Pivot'!$D$2:$K$2=I$2) * 'MTD Pivot'!$D$3:$K$400)&gt;0, SUMPRODUCT((('MTD Pivot'!$B$3:$B$400="Sim") + ('MTD Pivot'!$A$3:$A$400="Sim") + ('MTD Pivot'!$A$3:$A$400="Esim") &gt; 0) * (TRIM('MTD Pivot'!$C$3:$C$400)=TRIM($A228)) * ('MTD Pivot'!$D$2:$K$2=I$2) * 'MTD Pivot'!$D$3:$K$400), "")</f>
        <v/>
      </c>
      <c r="J228" s="193">
        <f>IF(SUMPRODUCT((('MTD Pivot'!$B$3:$B$400="Sim") + ('MTD Pivot'!$A$3:$A$400="Sim") + ('MTD Pivot'!$A$3:$A$400="Esim") &gt; 0) * (TRIM('MTD Pivot'!$C$3:$C$400)=TRIM($A228)) * ('MTD Pivot'!$D$2:$K$2=J$2) * 'MTD Pivot'!$D$3:$K$400)&gt;0, SUMPRODUCT((('MTD Pivot'!$B$3:$B$400="Sim") + ('MTD Pivot'!$A$3:$A$400="Sim") + ('MTD Pivot'!$A$3:$A$400="Esim") &gt; 0) * (TRIM('MTD Pivot'!$C$3:$C$400)=TRIM($A228)) * ('MTD Pivot'!$D$2:$K$2=J$2) * 'MTD Pivot'!$D$3:$K$400), "")</f>
        <v/>
      </c>
      <c r="K228" s="193">
        <f>IF(SUMPRODUCT((('MTD Pivot'!$B$3:$B$400="Sim") + ('MTD Pivot'!$A$3:$A$400="Sim") + ('MTD Pivot'!$A$3:$A$400="Esim") &gt; 0) * (TRIM('MTD Pivot'!$C$3:$C$400)=TRIM($A228)) * ('MTD Pivot'!$D$2:$K$2=K$2) * 'MTD Pivot'!$D$3:$K$400)&gt;0, SUMPRODUCT((('MTD Pivot'!$B$3:$B$400="Sim") + ('MTD Pivot'!$A$3:$A$400="Sim") + ('MTD Pivot'!$A$3:$A$400="Esim") &gt; 0) * (TRIM('MTD Pivot'!$C$3:$C$400)=TRIM($A228)) * ('MTD Pivot'!$D$2:$K$2=K$2) * 'MTD Pivot'!$D$3:$K$400), "")</f>
        <v/>
      </c>
      <c r="L228" s="193">
        <f>IF(SUMPRODUCT((('MTD Pivot'!$B$3:$B$400="Sim") + ('MTD Pivot'!$A$3:$A$400="Sim") + ('MTD Pivot'!$A$3:$A$400="Esim") &gt; 0) * (TRIM('MTD Pivot'!$C$3:$C$400)=TRIM($A228)) * ('MTD Pivot'!$D$2:$K$2=L$2) * 'MTD Pivot'!$D$3:$K$400)&gt;0, SUMPRODUCT((('MTD Pivot'!$B$3:$B$400="Sim") + ('MTD Pivot'!$A$3:$A$400="Sim") + ('MTD Pivot'!$A$3:$A$400="Esim") &gt; 0) * (TRIM('MTD Pivot'!$C$3:$C$400)=TRIM($A228)) * ('MTD Pivot'!$D$2:$K$2=L$2) * 'MTD Pivot'!$D$3:$K$400), "")</f>
        <v/>
      </c>
      <c r="M228" s="193">
        <f>IF(SUMPRODUCT((('MTD Pivot'!$B$3:$B$400="Sim") + ('MTD Pivot'!$A$3:$A$400="Sim") + ('MTD Pivot'!$A$3:$A$400="Esim") &gt; 0) * (TRIM('MTD Pivot'!$C$3:$C$400)=TRIM($A228)) * ('MTD Pivot'!$D$2:$K$2=M$2) * 'MTD Pivot'!$D$3:$K$400)&gt;0, SUMPRODUCT((('MTD Pivot'!$B$3:$B$400="Sim") + ('MTD Pivot'!$A$3:$A$400="Sim") + ('MTD Pivot'!$A$3:$A$400="Esim") &gt; 0) * (TRIM('MTD Pivot'!$C$3:$C$400)=TRIM($A228)) * ('MTD Pivot'!$D$2:$K$2=M$2) * 'MTD Pivot'!$D$3:$K$400), "")</f>
        <v/>
      </c>
      <c r="N228" s="157">
        <f>IF(AND(ISNUMBER(K228), ISNUMBER(J228), J228&gt;0), (K228-J228)/J228, "")</f>
        <v/>
      </c>
      <c r="O228" s="193">
        <f>IF(SUMPRODUCT((('Full month Pivot'!$B$3:$B$400="Sim") + ('Full month Pivot'!$A$3:$A$400="Sim") + ('Full month Pivot'!$A$3:$A$400="Esim") &gt; 0) * (TRIM('Full month Pivot'!$C$3:$C$400)=TRIM($A228)) * ('Full month Pivot'!$D$2:$K$2=O$2) * 'Full month Pivot'!$D$3:$K$400)&gt;0, SUMPRODUCT((('Full month Pivot'!$B$3:$B$400="Sim") + ('Full month Pivot'!$A$3:$A$400="Sim") + ('Full month Pivot'!$A$3:$A$400="Esim") &gt; 0) * (TRIM('Full month Pivot'!$C$3:$C$400)=TRIM($A228)) * ('Full month Pivot'!$D$2:$K$2=O$2) * 'Full month Pivot'!$D$3:$K$400), "")</f>
        <v/>
      </c>
      <c r="P228" s="193">
        <f>IF(SUMPRODUCT((('Full month Pivot'!$B$3:$B$400="Sim") + ('Full month Pivot'!$A$3:$A$400="Sim") + ('Full month Pivot'!$A$3:$A$400="Esim") &gt; 0) * (TRIM('Full month Pivot'!$C$3:$C$400)=TRIM($A228)) * ('Full month Pivot'!$D$2:$K$2=P$2) * 'Full month Pivot'!$D$3:$K$400)&gt;0, SUMPRODUCT((('Full month Pivot'!$B$3:$B$400="Sim") + ('Full month Pivot'!$A$3:$A$400="Sim") + ('Full month Pivot'!$A$3:$A$400="Esim") &gt; 0) * (TRIM('Full month Pivot'!$C$3:$C$400)=TRIM($A228)) * ('Full month Pivot'!$D$2:$K$2=P$2) * 'Full month Pivot'!$D$3:$K$400), "")</f>
        <v/>
      </c>
      <c r="Q228" s="193">
        <f>IF(SUMPRODUCT((('Full month Pivot'!$B$3:$B$400="Sim") + ('Full month Pivot'!$A$3:$A$400="Sim") + ('Full month Pivot'!$A$3:$A$400="Esim") &gt; 0) * (TRIM('Full month Pivot'!$C$3:$C$400)=TRIM($A228)) * ('Full month Pivot'!$D$2:$K$2=Q$2) * 'Full month Pivot'!$D$3:$K$400)&gt;0, SUMPRODUCT((('Full month Pivot'!$B$3:$B$400="Sim") + ('Full month Pivot'!$A$3:$A$400="Sim") + ('Full month Pivot'!$A$3:$A$400="Esim") &gt; 0) * (TRIM('Full month Pivot'!$C$3:$C$400)=TRIM($A228)) * ('Full month Pivot'!$D$2:$K$2=Q$2) * 'Full month Pivot'!$D$3:$K$400), "")</f>
        <v/>
      </c>
      <c r="R228" s="193">
        <f>IF(SUMPRODUCT((('Full month Pivot'!$B$3:$B$400="Sim") + ('Full month Pivot'!$A$3:$A$400="Sim") + ('Full month Pivot'!$A$3:$A$400="Esim") &gt; 0) * (TRIM('Full month Pivot'!$C$3:$C$400)=TRIM($A228)) * ('Full month Pivot'!$D$2:$K$2=R$2) * 'Full month Pivot'!$D$3:$K$400)&gt;0, SUMPRODUCT((('Full month Pivot'!$B$3:$B$400="Sim") + ('Full month Pivot'!$A$3:$A$400="Sim") + ('Full month Pivot'!$A$3:$A$400="Esim") &gt; 0) * (TRIM('Full month Pivot'!$C$3:$C$400)=TRIM($A228)) * ('Full month Pivot'!$D$2:$K$2=R$2) * 'Full month Pivot'!$D$3:$K$400), "")</f>
        <v/>
      </c>
      <c r="S228" s="193">
        <f>IF(SUMPRODUCT((('Full month Pivot'!$B$3:$B$400="Sim") + ('Full month Pivot'!$A$3:$A$400="Sim") + ('Full month Pivot'!$A$3:$A$400="Esim") &gt; 0) * (TRIM('Full month Pivot'!$C$3:$C$400)=TRIM($A228)) * ('Full month Pivot'!$D$2:$K$2=S$2) * 'Full month Pivot'!$D$3:$K$400)&gt;0, SUMPRODUCT((('Full month Pivot'!$B$3:$B$400="Sim") + ('Full month Pivot'!$A$3:$A$400="Sim") + ('Full month Pivot'!$A$3:$A$400="Esim") &gt; 0) * (TRIM('Full month Pivot'!$C$3:$C$400)=TRIM($A228)) * ('Full month Pivot'!$D$2:$K$2=S$2) * 'Full month Pivot'!$D$3:$K$400), "")</f>
        <v/>
      </c>
      <c r="T228" s="193">
        <f>IF(SUMPRODUCT((('Full month Pivot'!$B$3:$B$400="Sim") + ('Full month Pivot'!$A$3:$A$400="Sim") + ('Full month Pivot'!$A$3:$A$400="Esim") &gt; 0) * (TRIM('Full month Pivot'!$C$3:$C$400)=TRIM($A228)) * ('Full month Pivot'!$D$2:$K$2=T$2) * 'Full month Pivot'!$D$3:$K$400)&gt;0, SUMPRODUCT((('Full month Pivot'!$B$3:$B$400="Sim") + ('Full month Pivot'!$A$3:$A$400="Sim") + ('Full month Pivot'!$A$3:$A$400="Esim") &gt; 0) * (TRIM('Full month Pivot'!$C$3:$C$400)=TRIM($A228)) * ('Full month Pivot'!$D$2:$K$2=T$2) * 'Full month Pivot'!$D$3:$K$400), "")</f>
        <v/>
      </c>
      <c r="U228" s="193">
        <f>IF(SUMPRODUCT((('Full month Pivot'!$B$3:$B$400="Sim") + ('Full month Pivot'!$A$3:$A$400="Sim") + ('Full month Pivot'!$A$3:$A$400="Esim") &gt; 0) * (TRIM('Full month Pivot'!$C$3:$C$400)=TRIM($A228)) * ('Full month Pivot'!$D$2:$K$2=U$2) * 'Full month Pivot'!$D$3:$K$400)&gt;0, SUMPRODUCT((('Full month Pivot'!$B$3:$B$400="Sim") + ('Full month Pivot'!$A$3:$A$400="Sim") + ('Full month Pivot'!$A$3:$A$400="Esim") &gt; 0) * (TRIM('Full month Pivot'!$C$3:$C$400)=TRIM($A228)) * ('Full month Pivot'!$D$2:$K$2=U$2) * 'Full month Pivot'!$D$3:$K$400), "")</f>
        <v/>
      </c>
      <c r="V228" s="193">
        <f>IF(SUMPRODUCT((('Full month Pivot'!$B$3:$B$400="Sim") + ('Full month Pivot'!$A$3:$A$400="Sim") + ('Full month Pivot'!$A$3:$A$400="Esim") &gt; 0) * (TRIM('Full month Pivot'!$C$3:$C$400)=TRIM($A228)) * ('Full month Pivot'!$D$2:$K$2=V$2) * 'Full month Pivot'!$D$3:$K$400)&gt;0, SUMPRODUCT((('Full month Pivot'!$B$3:$B$400="Sim") + ('Full month Pivot'!$A$3:$A$400="Sim") + ('Full month Pivot'!$A$3:$A$400="Esim") &gt; 0) * (TRIM('Full month Pivot'!$C$3:$C$400)=TRIM($A228)) * ('Full month Pivot'!$D$2:$K$2=V$2) * 'Full month Pivot'!$D$3:$K$400), "")</f>
        <v/>
      </c>
      <c r="W228" s="193">
        <f>IF(SUMPRODUCT((('Full month Pivot'!$B$3:$B$400="Sim") + ('Full month Pivot'!$A$3:$A$400="Sim") + ('Full month Pivot'!$A$3:$A$400="Esim") &gt; 0) * (TRIM('Full month Pivot'!$C$3:$C$400)=TRIM($A228)) * ('Full month Pivot'!$D$2:$K$2=W$2) * 'Full month Pivot'!$D$3:$K$400)&gt;0, SUMPRODUCT((('Full month Pivot'!$B$3:$B$400="Sim") + ('Full month Pivot'!$A$3:$A$400="Sim") + ('Full month Pivot'!$A$3:$A$400="Esim") &gt; 0) * (TRIM('Full month Pivot'!$C$3:$C$400)=TRIM($A228)) * ('Full month Pivot'!$D$2:$K$2=W$2) * 'Full month Pivot'!$D$3:$K$400), "")</f>
        <v/>
      </c>
      <c r="X228" s="193">
        <f>IF(SUMPRODUCT((('Full month Pivot'!$B$3:$B$400="Sim") + ('Full month Pivot'!$A$3:$A$400="Sim") + ('Full month Pivot'!$A$3:$A$400="Esim") &gt; 0) * (TRIM('Full month Pivot'!$C$3:$C$400)=TRIM($A228)) * ('Full month Pivot'!$D$2:$K$2=X$2) * 'Full month Pivot'!$D$3:$K$400)&gt;0, SUMPRODUCT((('Full month Pivot'!$B$3:$B$400="Sim") + ('Full month Pivot'!$A$3:$A$400="Sim") + ('Full month Pivot'!$A$3:$A$400="Esim") &gt; 0) * (TRIM('Full month Pivot'!$C$3:$C$400)=TRIM($A228)) * ('Full month Pivot'!$D$2:$K$2=X$2) * 'Full month Pivot'!$D$3:$K$400), "")</f>
        <v/>
      </c>
      <c r="Y228" s="193">
        <f>IF(SUMPRODUCT((('Full month Pivot'!$B$3:$B$400="Sim") + ('Full month Pivot'!$A$3:$A$400="Sim") + ('Full month Pivot'!$A$3:$A$400="Esim") &gt; 0) * (TRIM('Full month Pivot'!$C$3:$C$400)=TRIM($A228)) * ('Full month Pivot'!$D$2:$K$2=Y$2) * 'Full month Pivot'!$D$3:$K$400)&gt;0, SUMPRODUCT((('Full month Pivot'!$B$3:$B$400="Sim") + ('Full month Pivot'!$A$3:$A$400="Sim") + ('Full month Pivot'!$A$3:$A$400="Esim") &gt; 0) * (TRIM('Full month Pivot'!$C$3:$C$400)=TRIM($A228)) * ('Full month Pivot'!$D$2:$K$2=Y$2) * 'Full month Pivot'!$D$3:$K$400), "")</f>
        <v/>
      </c>
      <c r="Z228" s="193">
        <f>IF(SUMPRODUCT((('Full month Pivot'!$B$3:$B$400="Sim") + ('Full month Pivot'!$A$3:$A$400="Sim") + ('Full month Pivot'!$A$3:$A$400="Esim") &gt; 0) * (TRIM('Full month Pivot'!$C$3:$C$400)=TRIM($A228)) * ('Full month Pivot'!$D$2:$K$2=Z$2) * 'Full month Pivot'!$D$3:$K$400)&gt;0, SUMPRODUCT((('Full month Pivot'!$B$3:$B$400="Sim") + ('Full month Pivot'!$A$3:$A$400="Sim") + ('Full month Pivot'!$A$3:$A$400="Esim") &gt; 0) * (TRIM('Full month Pivot'!$C$3:$C$400)=TRIM($A228)) * ('Full month Pivot'!$D$2:$K$2=Z$2) * 'Full month Pivot'!$D$3:$K$400), "")</f>
        <v/>
      </c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202" t="inlineStr">
        <is>
          <t xml:space="preserve">  Others</t>
        </is>
      </c>
      <c r="B229" s="193">
        <f>IF(SUMPRODUCT((('MTD Pivot'!$B$3:$B$400="Sim") + ('MTD Pivot'!$A$3:$A$400="Sim") + ('MTD Pivot'!$A$3:$A$400="Esim") &gt; 0) * (TRIM('MTD Pivot'!$C$3:$C$400)=TRIM($A229)) * ('MTD Pivot'!$D$2:$K$2=B$2) * 'MTD Pivot'!$D$3:$K$400)&gt;0, SUMPRODUCT((('MTD Pivot'!$B$3:$B$400="Sim") + ('MTD Pivot'!$A$3:$A$400="Sim") + ('MTD Pivot'!$A$3:$A$400="Esim") &gt; 0) * (TRIM('MTD Pivot'!$C$3:$C$400)=TRIM($A229)) * ('MTD Pivot'!$D$2:$K$2=B$2) * 'MTD Pivot'!$D$3:$K$400), "")</f>
        <v/>
      </c>
      <c r="C229" s="193">
        <f>IF(SUMPRODUCT((('MTD Pivot'!$B$3:$B$400="Sim") + ('MTD Pivot'!$A$3:$A$400="Sim") + ('MTD Pivot'!$A$3:$A$400="Esim") &gt; 0) * (TRIM('MTD Pivot'!$C$3:$C$400)=TRIM($A229)) * ('MTD Pivot'!$D$2:$K$2=C$2) * 'MTD Pivot'!$D$3:$K$400)&gt;0, SUMPRODUCT((('MTD Pivot'!$B$3:$B$400="Sim") + ('MTD Pivot'!$A$3:$A$400="Sim") + ('MTD Pivot'!$A$3:$A$400="Esim") &gt; 0) * (TRIM('MTD Pivot'!$C$3:$C$400)=TRIM($A229)) * ('MTD Pivot'!$D$2:$K$2=C$2) * 'MTD Pivot'!$D$3:$K$400), "")</f>
        <v/>
      </c>
      <c r="D229" s="193">
        <f>IF(SUMPRODUCT((('MTD Pivot'!$B$3:$B$400="Sim") + ('MTD Pivot'!$A$3:$A$400="Sim") + ('MTD Pivot'!$A$3:$A$400="Esim") &gt; 0) * (TRIM('MTD Pivot'!$C$3:$C$400)=TRIM($A229)) * ('MTD Pivot'!$D$2:$K$2=D$2) * 'MTD Pivot'!$D$3:$K$400)&gt;0, SUMPRODUCT((('MTD Pivot'!$B$3:$B$400="Sim") + ('MTD Pivot'!$A$3:$A$400="Sim") + ('MTD Pivot'!$A$3:$A$400="Esim") &gt; 0) * (TRIM('MTD Pivot'!$C$3:$C$400)=TRIM($A229)) * ('MTD Pivot'!$D$2:$K$2=D$2) * 'MTD Pivot'!$D$3:$K$400), "")</f>
        <v/>
      </c>
      <c r="E229" s="193">
        <f>IF(SUMPRODUCT((('MTD Pivot'!$B$3:$B$400="Sim") + ('MTD Pivot'!$A$3:$A$400="Sim") + ('MTD Pivot'!$A$3:$A$400="Esim") &gt; 0) * (TRIM('MTD Pivot'!$C$3:$C$400)=TRIM($A229)) * ('MTD Pivot'!$D$2:$K$2=E$2) * 'MTD Pivot'!$D$3:$K$400)&gt;0, SUMPRODUCT((('MTD Pivot'!$B$3:$B$400="Sim") + ('MTD Pivot'!$A$3:$A$400="Sim") + ('MTD Pivot'!$A$3:$A$400="Esim") &gt; 0) * (TRIM('MTD Pivot'!$C$3:$C$400)=TRIM($A229)) * ('MTD Pivot'!$D$2:$K$2=E$2) * 'MTD Pivot'!$D$3:$K$400), "")</f>
        <v/>
      </c>
      <c r="F229" s="193">
        <f>IF(SUMPRODUCT((('MTD Pivot'!$B$3:$B$400="Sim") + ('MTD Pivot'!$A$3:$A$400="Sim") + ('MTD Pivot'!$A$3:$A$400="Esim") &gt; 0) * (TRIM('MTD Pivot'!$C$3:$C$400)=TRIM($A229)) * ('MTD Pivot'!$D$2:$K$2=F$2) * 'MTD Pivot'!$D$3:$K$400)&gt;0, SUMPRODUCT((('MTD Pivot'!$B$3:$B$400="Sim") + ('MTD Pivot'!$A$3:$A$400="Sim") + ('MTD Pivot'!$A$3:$A$400="Esim") &gt; 0) * (TRIM('MTD Pivot'!$C$3:$C$400)=TRIM($A229)) * ('MTD Pivot'!$D$2:$K$2=F$2) * 'MTD Pivot'!$D$3:$K$400), "")</f>
        <v/>
      </c>
      <c r="G229" s="193">
        <f>IF(SUMPRODUCT((('MTD Pivot'!$B$3:$B$400="Sim") + ('MTD Pivot'!$A$3:$A$400="Sim") + ('MTD Pivot'!$A$3:$A$400="Esim") &gt; 0) * (TRIM('MTD Pivot'!$C$3:$C$400)=TRIM($A229)) * ('MTD Pivot'!$D$2:$K$2=G$2) * 'MTD Pivot'!$D$3:$K$400)&gt;0, SUMPRODUCT((('MTD Pivot'!$B$3:$B$400="Sim") + ('MTD Pivot'!$A$3:$A$400="Sim") + ('MTD Pivot'!$A$3:$A$400="Esim") &gt; 0) * (TRIM('MTD Pivot'!$C$3:$C$400)=TRIM($A229)) * ('MTD Pivot'!$D$2:$K$2=G$2) * 'MTD Pivot'!$D$3:$K$400), "")</f>
        <v/>
      </c>
      <c r="H229" s="193">
        <f>IF(SUMPRODUCT((('MTD Pivot'!$B$3:$B$400="Sim") + ('MTD Pivot'!$A$3:$A$400="Sim") + ('MTD Pivot'!$A$3:$A$400="Esim") &gt; 0) * (TRIM('MTD Pivot'!$C$3:$C$400)=TRIM($A229)) * ('MTD Pivot'!$D$2:$K$2=H$2) * 'MTD Pivot'!$D$3:$K$400)&gt;0, SUMPRODUCT((('MTD Pivot'!$B$3:$B$400="Sim") + ('MTD Pivot'!$A$3:$A$400="Sim") + ('MTD Pivot'!$A$3:$A$400="Esim") &gt; 0) * (TRIM('MTD Pivot'!$C$3:$C$400)=TRIM($A229)) * ('MTD Pivot'!$D$2:$K$2=H$2) * 'MTD Pivot'!$D$3:$K$400), "")</f>
        <v/>
      </c>
      <c r="I229" s="193">
        <f>IF(SUMPRODUCT((('MTD Pivot'!$B$3:$B$400="Sim") + ('MTD Pivot'!$A$3:$A$400="Sim") + ('MTD Pivot'!$A$3:$A$400="Esim") &gt; 0) * (TRIM('MTD Pivot'!$C$3:$C$400)=TRIM($A229)) * ('MTD Pivot'!$D$2:$K$2=I$2) * 'MTD Pivot'!$D$3:$K$400)&gt;0, SUMPRODUCT((('MTD Pivot'!$B$3:$B$400="Sim") + ('MTD Pivot'!$A$3:$A$400="Sim") + ('MTD Pivot'!$A$3:$A$400="Esim") &gt; 0) * (TRIM('MTD Pivot'!$C$3:$C$400)=TRIM($A229)) * ('MTD Pivot'!$D$2:$K$2=I$2) * 'MTD Pivot'!$D$3:$K$400), "")</f>
        <v/>
      </c>
      <c r="J229" s="193">
        <f>IF(SUMPRODUCT((('MTD Pivot'!$B$3:$B$400="Sim") + ('MTD Pivot'!$A$3:$A$400="Sim") + ('MTD Pivot'!$A$3:$A$400="Esim") &gt; 0) * (TRIM('MTD Pivot'!$C$3:$C$400)=TRIM($A229)) * ('MTD Pivot'!$D$2:$K$2=J$2) * 'MTD Pivot'!$D$3:$K$400)&gt;0, SUMPRODUCT((('MTD Pivot'!$B$3:$B$400="Sim") + ('MTD Pivot'!$A$3:$A$400="Sim") + ('MTD Pivot'!$A$3:$A$400="Esim") &gt; 0) * (TRIM('MTD Pivot'!$C$3:$C$400)=TRIM($A229)) * ('MTD Pivot'!$D$2:$K$2=J$2) * 'MTD Pivot'!$D$3:$K$400), "")</f>
        <v/>
      </c>
      <c r="K229" s="193">
        <f>IF(SUMPRODUCT((('MTD Pivot'!$B$3:$B$400="Sim") + ('MTD Pivot'!$A$3:$A$400="Sim") + ('MTD Pivot'!$A$3:$A$400="Esim") &gt; 0) * (TRIM('MTD Pivot'!$C$3:$C$400)=TRIM($A229)) * ('MTD Pivot'!$D$2:$K$2=K$2) * 'MTD Pivot'!$D$3:$K$400)&gt;0, SUMPRODUCT((('MTD Pivot'!$B$3:$B$400="Sim") + ('MTD Pivot'!$A$3:$A$400="Sim") + ('MTD Pivot'!$A$3:$A$400="Esim") &gt; 0) * (TRIM('MTD Pivot'!$C$3:$C$400)=TRIM($A229)) * ('MTD Pivot'!$D$2:$K$2=K$2) * 'MTD Pivot'!$D$3:$K$400), "")</f>
        <v/>
      </c>
      <c r="L229" s="193">
        <f>IF(SUMPRODUCT((('MTD Pivot'!$B$3:$B$400="Sim") + ('MTD Pivot'!$A$3:$A$400="Sim") + ('MTD Pivot'!$A$3:$A$400="Esim") &gt; 0) * (TRIM('MTD Pivot'!$C$3:$C$400)=TRIM($A229)) * ('MTD Pivot'!$D$2:$K$2=L$2) * 'MTD Pivot'!$D$3:$K$400)&gt;0, SUMPRODUCT((('MTD Pivot'!$B$3:$B$400="Sim") + ('MTD Pivot'!$A$3:$A$400="Sim") + ('MTD Pivot'!$A$3:$A$400="Esim") &gt; 0) * (TRIM('MTD Pivot'!$C$3:$C$400)=TRIM($A229)) * ('MTD Pivot'!$D$2:$K$2=L$2) * 'MTD Pivot'!$D$3:$K$400), "")</f>
        <v/>
      </c>
      <c r="M229" s="193">
        <f>IF(SUMPRODUCT((('MTD Pivot'!$B$3:$B$400="Sim") + ('MTD Pivot'!$A$3:$A$400="Sim") + ('MTD Pivot'!$A$3:$A$400="Esim") &gt; 0) * (TRIM('MTD Pivot'!$C$3:$C$400)=TRIM($A229)) * ('MTD Pivot'!$D$2:$K$2=M$2) * 'MTD Pivot'!$D$3:$K$400)&gt;0, SUMPRODUCT((('MTD Pivot'!$B$3:$B$400="Sim") + ('MTD Pivot'!$A$3:$A$400="Sim") + ('MTD Pivot'!$A$3:$A$400="Esim") &gt; 0) * (TRIM('MTD Pivot'!$C$3:$C$400)=TRIM($A229)) * ('MTD Pivot'!$D$2:$K$2=M$2) * 'MTD Pivot'!$D$3:$K$400), "")</f>
        <v/>
      </c>
      <c r="N229" s="157">
        <f>IF(AND(ISNUMBER(K229), ISNUMBER(J229), J229&gt;0), (K229-J229)/J229, "")</f>
        <v/>
      </c>
      <c r="O229" s="193">
        <f>IF(SUMPRODUCT((('Full month Pivot'!$B$3:$B$400="Sim") + ('Full month Pivot'!$A$3:$A$400="Sim") + ('Full month Pivot'!$A$3:$A$400="Esim") &gt; 0) * (TRIM('Full month Pivot'!$C$3:$C$400)=TRIM($A229)) * ('Full month Pivot'!$D$2:$K$2=O$2) * 'Full month Pivot'!$D$3:$K$400)&gt;0, SUMPRODUCT((('Full month Pivot'!$B$3:$B$400="Sim") + ('Full month Pivot'!$A$3:$A$400="Sim") + ('Full month Pivot'!$A$3:$A$400="Esim") &gt; 0) * (TRIM('Full month Pivot'!$C$3:$C$400)=TRIM($A229)) * ('Full month Pivot'!$D$2:$K$2=O$2) * 'Full month Pivot'!$D$3:$K$400), "")</f>
        <v/>
      </c>
      <c r="P229" s="193">
        <f>IF(SUMPRODUCT((('Full month Pivot'!$B$3:$B$400="Sim") + ('Full month Pivot'!$A$3:$A$400="Sim") + ('Full month Pivot'!$A$3:$A$400="Esim") &gt; 0) * (TRIM('Full month Pivot'!$C$3:$C$400)=TRIM($A229)) * ('Full month Pivot'!$D$2:$K$2=P$2) * 'Full month Pivot'!$D$3:$K$400)&gt;0, SUMPRODUCT((('Full month Pivot'!$B$3:$B$400="Sim") + ('Full month Pivot'!$A$3:$A$400="Sim") + ('Full month Pivot'!$A$3:$A$400="Esim") &gt; 0) * (TRIM('Full month Pivot'!$C$3:$C$400)=TRIM($A229)) * ('Full month Pivot'!$D$2:$K$2=P$2) * 'Full month Pivot'!$D$3:$K$400), "")</f>
        <v/>
      </c>
      <c r="Q229" s="193">
        <f>IF(SUMPRODUCT((('Full month Pivot'!$B$3:$B$400="Sim") + ('Full month Pivot'!$A$3:$A$400="Sim") + ('Full month Pivot'!$A$3:$A$400="Esim") &gt; 0) * (TRIM('Full month Pivot'!$C$3:$C$400)=TRIM($A229)) * ('Full month Pivot'!$D$2:$K$2=Q$2) * 'Full month Pivot'!$D$3:$K$400)&gt;0, SUMPRODUCT((('Full month Pivot'!$B$3:$B$400="Sim") + ('Full month Pivot'!$A$3:$A$400="Sim") + ('Full month Pivot'!$A$3:$A$400="Esim") &gt; 0) * (TRIM('Full month Pivot'!$C$3:$C$400)=TRIM($A229)) * ('Full month Pivot'!$D$2:$K$2=Q$2) * 'Full month Pivot'!$D$3:$K$400), "")</f>
        <v/>
      </c>
      <c r="R229" s="193">
        <f>IF(SUMPRODUCT((('Full month Pivot'!$B$3:$B$400="Sim") + ('Full month Pivot'!$A$3:$A$400="Sim") + ('Full month Pivot'!$A$3:$A$400="Esim") &gt; 0) * (TRIM('Full month Pivot'!$C$3:$C$400)=TRIM($A229)) * ('Full month Pivot'!$D$2:$K$2=R$2) * 'Full month Pivot'!$D$3:$K$400)&gt;0, SUMPRODUCT((('Full month Pivot'!$B$3:$B$400="Sim") + ('Full month Pivot'!$A$3:$A$400="Sim") + ('Full month Pivot'!$A$3:$A$400="Esim") &gt; 0) * (TRIM('Full month Pivot'!$C$3:$C$400)=TRIM($A229)) * ('Full month Pivot'!$D$2:$K$2=R$2) * 'Full month Pivot'!$D$3:$K$400), "")</f>
        <v/>
      </c>
      <c r="S229" s="193">
        <f>IF(SUMPRODUCT((('Full month Pivot'!$B$3:$B$400="Sim") + ('Full month Pivot'!$A$3:$A$400="Sim") + ('Full month Pivot'!$A$3:$A$400="Esim") &gt; 0) * (TRIM('Full month Pivot'!$C$3:$C$400)=TRIM($A229)) * ('Full month Pivot'!$D$2:$K$2=S$2) * 'Full month Pivot'!$D$3:$K$400)&gt;0, SUMPRODUCT((('Full month Pivot'!$B$3:$B$400="Sim") + ('Full month Pivot'!$A$3:$A$400="Sim") + ('Full month Pivot'!$A$3:$A$400="Esim") &gt; 0) * (TRIM('Full month Pivot'!$C$3:$C$400)=TRIM($A229)) * ('Full month Pivot'!$D$2:$K$2=S$2) * 'Full month Pivot'!$D$3:$K$400), "")</f>
        <v/>
      </c>
      <c r="T229" s="193">
        <f>IF(SUMPRODUCT((('Full month Pivot'!$B$3:$B$400="Sim") + ('Full month Pivot'!$A$3:$A$400="Sim") + ('Full month Pivot'!$A$3:$A$400="Esim") &gt; 0) * (TRIM('Full month Pivot'!$C$3:$C$400)=TRIM($A229)) * ('Full month Pivot'!$D$2:$K$2=T$2) * 'Full month Pivot'!$D$3:$K$400)&gt;0, SUMPRODUCT((('Full month Pivot'!$B$3:$B$400="Sim") + ('Full month Pivot'!$A$3:$A$400="Sim") + ('Full month Pivot'!$A$3:$A$400="Esim") &gt; 0) * (TRIM('Full month Pivot'!$C$3:$C$400)=TRIM($A229)) * ('Full month Pivot'!$D$2:$K$2=T$2) * 'Full month Pivot'!$D$3:$K$400), "")</f>
        <v/>
      </c>
      <c r="U229" s="193">
        <f>IF(SUMPRODUCT((('Full month Pivot'!$B$3:$B$400="Sim") + ('Full month Pivot'!$A$3:$A$400="Sim") + ('Full month Pivot'!$A$3:$A$400="Esim") &gt; 0) * (TRIM('Full month Pivot'!$C$3:$C$400)=TRIM($A229)) * ('Full month Pivot'!$D$2:$K$2=U$2) * 'Full month Pivot'!$D$3:$K$400)&gt;0, SUMPRODUCT((('Full month Pivot'!$B$3:$B$400="Sim") + ('Full month Pivot'!$A$3:$A$400="Sim") + ('Full month Pivot'!$A$3:$A$400="Esim") &gt; 0) * (TRIM('Full month Pivot'!$C$3:$C$400)=TRIM($A229)) * ('Full month Pivot'!$D$2:$K$2=U$2) * 'Full month Pivot'!$D$3:$K$400), "")</f>
        <v/>
      </c>
      <c r="V229" s="193">
        <f>IF(SUMPRODUCT((('Full month Pivot'!$B$3:$B$400="Sim") + ('Full month Pivot'!$A$3:$A$400="Sim") + ('Full month Pivot'!$A$3:$A$400="Esim") &gt; 0) * (TRIM('Full month Pivot'!$C$3:$C$400)=TRIM($A229)) * ('Full month Pivot'!$D$2:$K$2=V$2) * 'Full month Pivot'!$D$3:$K$400)&gt;0, SUMPRODUCT((('Full month Pivot'!$B$3:$B$400="Sim") + ('Full month Pivot'!$A$3:$A$400="Sim") + ('Full month Pivot'!$A$3:$A$400="Esim") &gt; 0) * (TRIM('Full month Pivot'!$C$3:$C$400)=TRIM($A229)) * ('Full month Pivot'!$D$2:$K$2=V$2) * 'Full month Pivot'!$D$3:$K$400), "")</f>
        <v/>
      </c>
      <c r="W229" s="193">
        <f>IF(SUMPRODUCT((('Full month Pivot'!$B$3:$B$400="Sim") + ('Full month Pivot'!$A$3:$A$400="Sim") + ('Full month Pivot'!$A$3:$A$400="Esim") &gt; 0) * (TRIM('Full month Pivot'!$C$3:$C$400)=TRIM($A229)) * ('Full month Pivot'!$D$2:$K$2=W$2) * 'Full month Pivot'!$D$3:$K$400)&gt;0, SUMPRODUCT((('Full month Pivot'!$B$3:$B$400="Sim") + ('Full month Pivot'!$A$3:$A$400="Sim") + ('Full month Pivot'!$A$3:$A$400="Esim") &gt; 0) * (TRIM('Full month Pivot'!$C$3:$C$400)=TRIM($A229)) * ('Full month Pivot'!$D$2:$K$2=W$2) * 'Full month Pivot'!$D$3:$K$400), "")</f>
        <v/>
      </c>
      <c r="X229" s="193">
        <f>IF(SUMPRODUCT((('Full month Pivot'!$B$3:$B$400="Sim") + ('Full month Pivot'!$A$3:$A$400="Sim") + ('Full month Pivot'!$A$3:$A$400="Esim") &gt; 0) * (TRIM('Full month Pivot'!$C$3:$C$400)=TRIM($A229)) * ('Full month Pivot'!$D$2:$K$2=X$2) * 'Full month Pivot'!$D$3:$K$400)&gt;0, SUMPRODUCT((('Full month Pivot'!$B$3:$B$400="Sim") + ('Full month Pivot'!$A$3:$A$400="Sim") + ('Full month Pivot'!$A$3:$A$400="Esim") &gt; 0) * (TRIM('Full month Pivot'!$C$3:$C$400)=TRIM($A229)) * ('Full month Pivot'!$D$2:$K$2=X$2) * 'Full month Pivot'!$D$3:$K$400), "")</f>
        <v/>
      </c>
      <c r="Y229" s="193">
        <f>IF(SUMPRODUCT((('Full month Pivot'!$B$3:$B$400="Sim") + ('Full month Pivot'!$A$3:$A$400="Sim") + ('Full month Pivot'!$A$3:$A$400="Esim") &gt; 0) * (TRIM('Full month Pivot'!$C$3:$C$400)=TRIM($A229)) * ('Full month Pivot'!$D$2:$K$2=Y$2) * 'Full month Pivot'!$D$3:$K$400)&gt;0, SUMPRODUCT((('Full month Pivot'!$B$3:$B$400="Sim") + ('Full month Pivot'!$A$3:$A$400="Sim") + ('Full month Pivot'!$A$3:$A$400="Esim") &gt; 0) * (TRIM('Full month Pivot'!$C$3:$C$400)=TRIM($A229)) * ('Full month Pivot'!$D$2:$K$2=Y$2) * 'Full month Pivot'!$D$3:$K$400), "")</f>
        <v/>
      </c>
      <c r="Z229" s="193">
        <f>IF(SUMPRODUCT((('Full month Pivot'!$B$3:$B$400="Sim") + ('Full month Pivot'!$A$3:$A$400="Sim") + ('Full month Pivot'!$A$3:$A$400="Esim") &gt; 0) * (TRIM('Full month Pivot'!$C$3:$C$400)=TRIM($A229)) * ('Full month Pivot'!$D$2:$K$2=Z$2) * 'Full month Pivot'!$D$3:$K$400)&gt;0, SUMPRODUCT((('Full month Pivot'!$B$3:$B$400="Sim") + ('Full month Pivot'!$A$3:$A$400="Sim") + ('Full month Pivot'!$A$3:$A$400="Esim") &gt; 0) * (TRIM('Full month Pivot'!$C$3:$C$400)=TRIM($A229)) * ('Full month Pivot'!$D$2:$K$2=Z$2) * 'Full month Pivot'!$D$3:$K$400), "")</f>
        <v/>
      </c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202" t="n"/>
      <c r="B230" s="202" t="n"/>
      <c r="C230" s="202" t="n"/>
      <c r="D230" s="202" t="n"/>
      <c r="E230" s="202" t="n"/>
      <c r="F230" s="202" t="n"/>
      <c r="G230" s="202" t="n"/>
      <c r="H230" s="202" t="n"/>
      <c r="I230" s="202" t="n"/>
      <c r="J230" s="202" t="n"/>
      <c r="K230" s="202" t="n"/>
      <c r="L230" s="202" t="n"/>
      <c r="M230" s="202" t="n"/>
      <c r="N230" s="202" t="n"/>
      <c r="O230" s="202" t="n"/>
      <c r="P230" s="202" t="n"/>
      <c r="Q230" s="202" t="n"/>
      <c r="R230" s="202" t="n"/>
      <c r="S230" s="202" t="n"/>
      <c r="T230" s="202" t="n"/>
      <c r="U230" s="202" t="n"/>
      <c r="V230" s="202" t="n"/>
      <c r="W230" s="202" t="n"/>
      <c r="X230" s="202" t="n"/>
      <c r="Y230" s="202" t="n"/>
      <c r="Z230" s="202" t="n"/>
      <c r="AA230" s="202" t="n"/>
      <c r="AB230" s="140" t="n"/>
      <c r="AC230" s="140" t="n"/>
      <c r="AD230" s="140" t="n"/>
    </row>
    <row r="231" ht="15.75" customHeight="1" s="346">
      <c r="A231" s="145" t="inlineStr">
        <is>
          <t>Blog</t>
        </is>
      </c>
      <c r="B231" s="145" t="n"/>
      <c r="C231" s="145" t="n"/>
      <c r="D231" s="145" t="n"/>
      <c r="E231" s="145" t="n"/>
      <c r="F231" s="145" t="n"/>
      <c r="G231" s="145" t="n"/>
      <c r="H231" s="145" t="n"/>
      <c r="I231" s="145" t="n"/>
      <c r="J231" s="145" t="n"/>
      <c r="K231" s="145" t="n"/>
      <c r="L231" s="145" t="n"/>
      <c r="M231" s="145" t="n"/>
      <c r="N231" s="145" t="n"/>
      <c r="O231" s="145" t="n"/>
      <c r="P231" s="145" t="n"/>
      <c r="Q231" s="145" t="n"/>
      <c r="R231" s="145" t="n"/>
      <c r="S231" s="145" t="n"/>
      <c r="T231" s="145" t="n"/>
      <c r="U231" s="145" t="n"/>
      <c r="V231" s="145" t="n"/>
      <c r="W231" s="145" t="n"/>
      <c r="X231" s="145" t="n"/>
      <c r="Y231" s="145" t="n"/>
      <c r="Z231" s="145" t="n"/>
      <c r="AA231" s="145" t="n"/>
      <c r="AB231" s="140" t="n"/>
      <c r="AC231" s="140" t="n"/>
      <c r="AD231" s="140" t="n"/>
    </row>
    <row r="232" ht="15.75" customHeight="1" s="346">
      <c r="A232" s="146" t="inlineStr">
        <is>
          <t>Page views</t>
        </is>
      </c>
      <c r="B232" s="147">
        <f>IF(SUM(B237:B241)&gt;0, SUM(B237:B241), "")</f>
        <v/>
      </c>
      <c r="C232" s="147">
        <f>IF(SUM(C237:C241)&gt;0, SUM(C237:C241), "")</f>
        <v/>
      </c>
      <c r="D232" s="147">
        <f>IF(SUM(D237:D241)&gt;0, SUM(D237:D241), "")</f>
        <v/>
      </c>
      <c r="E232" s="147">
        <f>IF(SUM(E237:E241)&gt;0, SUM(E237:E241), "")</f>
        <v/>
      </c>
      <c r="F232" s="147">
        <f>IF(SUM(F237:F241)&gt;0, SUM(F237:F241), "")</f>
        <v/>
      </c>
      <c r="G232" s="147">
        <f>IF(SUM(G237:G241)&gt;0, SUM(G237:G241), "")</f>
        <v/>
      </c>
      <c r="H232" s="147">
        <f>IF(SUM(H237:H241)&gt;0, SUM(H237:H241), "")</f>
        <v/>
      </c>
      <c r="I232" s="147">
        <f>IF(SUM(I237:I241)&gt;0, SUM(I237:I241), "")</f>
        <v/>
      </c>
      <c r="J232" s="147">
        <f>IF(SUM(J237:J241)&gt;0, SUM(J237:J241), "")</f>
        <v/>
      </c>
      <c r="K232" s="147">
        <f>IF(SUM(K237:K241)&gt;0, SUM(K237:K241), "")</f>
        <v/>
      </c>
      <c r="L232" s="147">
        <f>IF(SUM(L237:L241)&gt;0, SUM(L237:L241), "")</f>
        <v/>
      </c>
      <c r="M232" s="147">
        <f>IF(SUM(M237:M241)&gt;0, SUM(M237:M241), "")</f>
        <v/>
      </c>
      <c r="N232" s="148">
        <f>IFERROR((K232-J232)/J232, "")</f>
        <v/>
      </c>
      <c r="O232" s="147">
        <f>IF(SUM(O237:O241)&gt;0, SUM(O237:O241), "")</f>
        <v/>
      </c>
      <c r="P232" s="147">
        <f>IF(SUM(P237:P241)&gt;0, SUM(P237:P241), "")</f>
        <v/>
      </c>
      <c r="Q232" s="147">
        <f>IF(SUM(Q237:Q241)&gt;0, SUM(Q237:Q241), "")</f>
        <v/>
      </c>
      <c r="R232" s="147">
        <f>IF(SUM(R237:R241)&gt;0, SUM(R237:R241), "")</f>
        <v/>
      </c>
      <c r="S232" s="147">
        <f>IF(SUM(S237:S241)&gt;0, SUM(S237:S241), "")</f>
        <v/>
      </c>
      <c r="T232" s="147">
        <f>IF(SUM(T237:T241)&gt;0, SUM(T237:T241), "")</f>
        <v/>
      </c>
      <c r="U232" s="147">
        <f>IF(SUM(U237:U241)&gt;0, SUM(U237:U241), "")</f>
        <v/>
      </c>
      <c r="V232" s="147">
        <f>IF(SUM(V237:V241)&gt;0, SUM(V237:V241), "")</f>
        <v/>
      </c>
      <c r="W232" s="147">
        <f>IF(SUM(W237:W241)&gt;0, SUM(W237:W241), "")</f>
        <v/>
      </c>
      <c r="X232" s="147">
        <f>IF(SUM(X237:X241)&gt;0, SUM(X237:X241), "")</f>
        <v/>
      </c>
      <c r="Y232" s="147">
        <f>IF(SUM(Y237:Y241)&gt;0, SUM(Y237:Y241), "")</f>
        <v/>
      </c>
      <c r="Z232" s="147">
        <f>IF(SUM(Z237:Z241)&gt;0, SUM(Z237:Z241), "")</f>
        <v/>
      </c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150" t="inlineStr">
        <is>
          <t xml:space="preserve">  Click CTA</t>
        </is>
      </c>
      <c r="B233" s="150" t="n"/>
      <c r="C233" s="150" t="n"/>
      <c r="D233" s="150" t="n"/>
      <c r="E233" s="150" t="n"/>
      <c r="F233" s="150" t="n">
        <v>228</v>
      </c>
      <c r="G233" s="150" t="n">
        <v>184</v>
      </c>
      <c r="H233" s="150" t="n">
        <v>165</v>
      </c>
      <c r="I233" s="150" t="n">
        <v>173</v>
      </c>
      <c r="J233" s="150" t="n">
        <v>178</v>
      </c>
      <c r="K233" s="150" t="n">
        <v>265</v>
      </c>
      <c r="L233" s="150" t="n"/>
      <c r="M233" s="150" t="n"/>
      <c r="N233" s="151">
        <f>IFERROR((K233-J233)/J233, "")</f>
        <v/>
      </c>
      <c r="O233" s="150" t="n"/>
      <c r="P233" s="150" t="n"/>
      <c r="Q233" s="150" t="n"/>
      <c r="R233" s="150" t="n"/>
      <c r="S233" s="150" t="n">
        <v>266</v>
      </c>
      <c r="T233" s="150" t="n">
        <v>194</v>
      </c>
      <c r="U233" s="150" t="n">
        <v>279</v>
      </c>
      <c r="V233" s="150" t="n">
        <v>193</v>
      </c>
      <c r="W233" s="150" t="n">
        <v>192</v>
      </c>
      <c r="X233" s="150" t="n">
        <v>265</v>
      </c>
      <c r="Y233" s="150" t="n"/>
      <c r="Z233" s="150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152" t="inlineStr">
        <is>
          <t xml:space="preserve">  Net change</t>
        </is>
      </c>
      <c r="B234" s="153" t="n"/>
      <c r="C234" s="153">
        <f>IF(AND(ISNUMBER(C232), ISNUMBER(B232), B232&gt;0, C232&gt;0), C232-B232, "")</f>
        <v/>
      </c>
      <c r="D234" s="153">
        <f>IF(AND(ISNUMBER(D232), ISNUMBER(C232), C232&gt;0, D232&gt;0), D232-C232, "")</f>
        <v/>
      </c>
      <c r="E234" s="153">
        <f>IF(AND(ISNUMBER(E232), ISNUMBER(D232), D232&gt;0, E232&gt;0), E232-D232, "")</f>
        <v/>
      </c>
      <c r="F234" s="153">
        <f>IF(AND(ISNUMBER(F232), ISNUMBER(E232), E232&gt;0, F232&gt;0), F232-E232, "")</f>
        <v/>
      </c>
      <c r="G234" s="153">
        <f>IF(AND(ISNUMBER(G232), ISNUMBER(F232), F232&gt;0, G232&gt;0), G232-F232, "")</f>
        <v/>
      </c>
      <c r="H234" s="153">
        <f>IF(AND(ISNUMBER(H232), ISNUMBER(G232), G232&gt;0, H232&gt;0), H232-G232, "")</f>
        <v/>
      </c>
      <c r="I234" s="153">
        <f>IF(AND(ISNUMBER(I232), ISNUMBER(H232), H232&gt;0, I232&gt;0), I232-H232, "")</f>
        <v/>
      </c>
      <c r="J234" s="153">
        <f>IF(AND(ISNUMBER(J232), ISNUMBER(I232), I232&gt;0, J232&gt;0), J232-I232, "")</f>
        <v/>
      </c>
      <c r="K234" s="153">
        <f>IF(AND(ISNUMBER(K232), ISNUMBER(J232), J232&gt;0, K232&gt;0), K232-J232, "")</f>
        <v/>
      </c>
      <c r="L234" s="153">
        <f>IF(AND(ISNUMBER(L232), ISNUMBER(K232), K232&gt;0, L232&gt;0), L232-K232, "")</f>
        <v/>
      </c>
      <c r="M234" s="153">
        <f>IF(AND(ISNUMBER(M232), ISNUMBER(L232), L232&gt;0, M232&gt;0), M232-L232, "")</f>
        <v/>
      </c>
      <c r="N234" s="153" t="n"/>
      <c r="O234" s="153" t="n"/>
      <c r="P234" s="153">
        <f>IF(AND(ISNUMBER(P232), ISNUMBER(O232), O232&gt;0, P232&gt;0), P232-O232, "")</f>
        <v/>
      </c>
      <c r="Q234" s="153">
        <f>IF(AND(ISNUMBER(Q232), ISNUMBER(P232), P232&gt;0, Q232&gt;0), Q232-P232, "")</f>
        <v/>
      </c>
      <c r="R234" s="153">
        <f>IF(AND(ISNUMBER(R232), ISNUMBER(Q232), Q232&gt;0, R232&gt;0), R232-Q232, "")</f>
        <v/>
      </c>
      <c r="S234" s="153">
        <f>IF(AND(ISNUMBER(S232), ISNUMBER(R232), R232&gt;0, S232&gt;0), S232-R232, "")</f>
        <v/>
      </c>
      <c r="T234" s="153">
        <f>IF(AND(ISNUMBER(T232), ISNUMBER(S232), S232&gt;0, T232&gt;0), T232-S232, "")</f>
        <v/>
      </c>
      <c r="U234" s="153">
        <f>IF(AND(ISNUMBER(U232), ISNUMBER(T232), T232&gt;0, U232&gt;0), U232-T232, "")</f>
        <v/>
      </c>
      <c r="V234" s="153">
        <f>IF(AND(ISNUMBER(V232), ISNUMBER(U232), U232&gt;0, V232&gt;0), V232-U232, "")</f>
        <v/>
      </c>
      <c r="W234" s="153">
        <f>IF(AND(ISNUMBER(W232), ISNUMBER(V232), V232&gt;0, W232&gt;0), W232-V232, "")</f>
        <v/>
      </c>
      <c r="X234" s="153">
        <f>IF(AND(ISNUMBER(X232), ISNUMBER(W232), W232&gt;0, X232&gt;0), X232-W232, "")</f>
        <v/>
      </c>
      <c r="Y234" s="153">
        <f>IF(AND(ISNUMBER(Y232), ISNUMBER(X232), X232&gt;0, Y232&gt;0), Y232-X232, "")</f>
        <v/>
      </c>
      <c r="Z234" s="153">
        <f>IF(AND(ISNUMBER(Z232), ISNUMBER(Y232), Y232&gt;0, Z232&gt;0), Z232-Y232, "")</f>
        <v/>
      </c>
      <c r="AA234" s="153" t="n"/>
      <c r="AB234" s="140" t="n"/>
      <c r="AC234" s="140" t="n"/>
      <c r="AD234" s="140" t="n"/>
    </row>
    <row r="235" ht="15.75" customHeight="1" s="346">
      <c r="A235" s="152" t="inlineStr">
        <is>
          <t xml:space="preserve">  % Growth rate</t>
        </is>
      </c>
      <c r="B235" s="203" t="n"/>
      <c r="C235" s="203">
        <f>IF(AND(ISNUMBER(C232), ISNUMBER(B232), B232&gt;0, C232&gt;0), (C232-B232)/B232, "")</f>
        <v/>
      </c>
      <c r="D235" s="203">
        <f>IF(AND(ISNUMBER(D232), ISNUMBER(C232), C232&gt;0, D232&gt;0), (D232-C232)/C232, "")</f>
        <v/>
      </c>
      <c r="E235" s="203">
        <f>IF(AND(ISNUMBER(E232), ISNUMBER(D232), D232&gt;0, E232&gt;0), (E232-D232)/D232, "")</f>
        <v/>
      </c>
      <c r="F235" s="203">
        <f>IF(AND(ISNUMBER(F232), ISNUMBER(E232), E232&gt;0, F232&gt;0), (F232-E232)/E232, "")</f>
        <v/>
      </c>
      <c r="G235" s="203">
        <f>IF(AND(ISNUMBER(G232), ISNUMBER(F232), F232&gt;0, G232&gt;0), (G232-F232)/F232, "")</f>
        <v/>
      </c>
      <c r="H235" s="203">
        <f>IF(AND(ISNUMBER(H232), ISNUMBER(G232), G232&gt;0, H232&gt;0), (H232-G232)/G232, "")</f>
        <v/>
      </c>
      <c r="I235" s="203">
        <f>IF(AND(ISNUMBER(I232), ISNUMBER(H232), H232&gt;0, I232&gt;0), (I232-H232)/H232, "")</f>
        <v/>
      </c>
      <c r="J235" s="203">
        <f>IF(AND(ISNUMBER(J232), ISNUMBER(I232), I232&gt;0, J232&gt;0), (J232-I232)/I232, "")</f>
        <v/>
      </c>
      <c r="K235" s="203">
        <f>IF(AND(ISNUMBER(K232), ISNUMBER(J232), J232&gt;0, K232&gt;0), (K232-J232)/J232, "")</f>
        <v/>
      </c>
      <c r="L235" s="203">
        <f>IF(AND(ISNUMBER(L232), ISNUMBER(K232), K232&gt;0, L232&gt;0), (L232-K232)/K232, "")</f>
        <v/>
      </c>
      <c r="M235" s="203">
        <f>IF(AND(ISNUMBER(M232), ISNUMBER(L232), L232&gt;0, M232&gt;0), (M232-L232)/L232, "")</f>
        <v/>
      </c>
      <c r="N235" s="203" t="n"/>
      <c r="O235" s="203" t="n"/>
      <c r="P235" s="203">
        <f>IF(AND(ISNUMBER(P232), ISNUMBER(O232), O232&gt;0, P232&gt;0), (P232-O232)/O232, "")</f>
        <v/>
      </c>
      <c r="Q235" s="203">
        <f>IF(AND(ISNUMBER(Q232), ISNUMBER(P232), P232&gt;0, Q232&gt;0), (Q232-P232)/P232, "")</f>
        <v/>
      </c>
      <c r="R235" s="203">
        <f>IF(AND(ISNUMBER(R232), ISNUMBER(Q232), Q232&gt;0, R232&gt;0), (R232-Q232)/Q232, "")</f>
        <v/>
      </c>
      <c r="S235" s="203">
        <f>IF(AND(ISNUMBER(S232), ISNUMBER(R232), R232&gt;0, S232&gt;0), (S232-R232)/R232, "")</f>
        <v/>
      </c>
      <c r="T235" s="203">
        <f>IF(AND(ISNUMBER(T232), ISNUMBER(S232), S232&gt;0, T232&gt;0), (T232-S232)/S232, "")</f>
        <v/>
      </c>
      <c r="U235" s="203">
        <f>IF(AND(ISNUMBER(U232), ISNUMBER(T232), T232&gt;0, U232&gt;0), (U232-T232)/T232, "")</f>
        <v/>
      </c>
      <c r="V235" s="203">
        <f>IF(AND(ISNUMBER(V232), ISNUMBER(U232), U232&gt;0, V232&gt;0), (V232-U232)/U232, "")</f>
        <v/>
      </c>
      <c r="W235" s="203">
        <f>IF(AND(ISNUMBER(W232), ISNUMBER(V232), V232&gt;0, W232&gt;0), (W232-V232)/V232, "")</f>
        <v/>
      </c>
      <c r="X235" s="203">
        <f>IF(AND(ISNUMBER(X232), ISNUMBER(W232), W232&gt;0, X232&gt;0), (X232-W232)/W232, "")</f>
        <v/>
      </c>
      <c r="Y235" s="203">
        <f>IF(AND(ISNUMBER(Y232), ISNUMBER(X232), X232&gt;0, Y232&gt;0), (Y232-X232)/X232, "")</f>
        <v/>
      </c>
      <c r="Z235" s="203">
        <f>IF(AND(ISNUMBER(Z232), ISNUMBER(Y232), Y232&gt;0, Z232&gt;0), (Z232-Y232)/Y232, "")</f>
        <v/>
      </c>
      <c r="AA235" s="203" t="n"/>
      <c r="AB235" s="140" t="n"/>
      <c r="AC235" s="140" t="n"/>
      <c r="AD235" s="140" t="n"/>
    </row>
    <row r="236" ht="15.75" customHeight="1" s="346">
      <c r="A236" s="202" t="inlineStr">
        <is>
          <t>Tỷ trọng trong tổng traffic</t>
        </is>
      </c>
      <c r="B236" s="156">
        <f t="array" ref="B236">IF(AND(ISNUMBER(B232), B232&gt;0), B232/INDEX('MTD Pivot'!$D$3:$K$400, MATCH("Grand Total", 'MTD Pivot'!$A$3:$A$400, 0), MATCH(B$2, 'MTD Pivot'!$D$2:$K$2, 0)), "")</f>
        <v/>
      </c>
      <c r="C236" s="156">
        <f t="array" ref="C236">IF(AND(ISNUMBER(C232), C232&gt;0), C232/INDEX('MTD Pivot'!$D$3:$K$400, MATCH("Grand Total", 'MTD Pivot'!$A$3:$A$400, 0), MATCH(C$2, 'MTD Pivot'!$D$2:$K$2, 0)), "")</f>
        <v/>
      </c>
      <c r="D236" s="156">
        <f t="array" ref="D236">IF(AND(ISNUMBER(D232), D232&gt;0), D232/INDEX('MTD Pivot'!$D$3:$K$400, MATCH("Grand Total", 'MTD Pivot'!$A$3:$A$400, 0), MATCH(D$2, 'MTD Pivot'!$D$2:$K$2, 0)), "")</f>
        <v/>
      </c>
      <c r="E236" s="156">
        <f t="array" ref="E236">IF(AND(ISNUMBER(E232), E232&gt;0), E232/INDEX('MTD Pivot'!$D$3:$K$400, MATCH("Grand Total", 'MTD Pivot'!$A$3:$A$400, 0), MATCH(E$2, 'MTD Pivot'!$D$2:$K$2, 0)), "")</f>
        <v/>
      </c>
      <c r="F236" s="156">
        <f t="array" ref="F236">IF(AND(ISNUMBER(F232), F232&gt;0), F232/INDEX('MTD Pivot'!$D$3:$K$400, MATCH("Grand Total", 'MTD Pivot'!$A$3:$A$400, 0), MATCH(F$2, 'MTD Pivot'!$D$2:$K$2, 0)), "")</f>
        <v/>
      </c>
      <c r="G236" s="156">
        <f t="array" ref="G236">IF(AND(ISNUMBER(G232), G232&gt;0), G232/INDEX('MTD Pivot'!$D$3:$K$400, MATCH("Grand Total", 'MTD Pivot'!$A$3:$A$400, 0), MATCH(G$2, 'MTD Pivot'!$D$2:$K$2, 0)), "")</f>
        <v/>
      </c>
      <c r="H236" s="156">
        <f t="array" ref="H236">IF(AND(ISNUMBER(H232), H232&gt;0), H232/INDEX('MTD Pivot'!$D$3:$K$400, MATCH("Grand Total", 'MTD Pivot'!$A$3:$A$400, 0), MATCH(H$2, 'MTD Pivot'!$D$2:$K$2, 0)), "")</f>
        <v/>
      </c>
      <c r="I236" s="156">
        <f t="array" ref="I236">IF(AND(ISNUMBER(I232), I232&gt;0), I232/INDEX('MTD Pivot'!$D$3:$K$400, MATCH("Grand Total", 'MTD Pivot'!$A$3:$A$400, 0), MATCH(I$2, 'MTD Pivot'!$D$2:$K$2, 0)), "")</f>
        <v/>
      </c>
      <c r="J236" s="156">
        <f t="array" ref="J236">IF(AND(ISNUMBER(J232), J232&gt;0), J232/INDEX('MTD Pivot'!$D$3:$K$400, MATCH("Grand Total", 'MTD Pivot'!$A$3:$A$400, 0), MATCH(J$2, 'MTD Pivot'!$D$2:$K$2, 0)), "")</f>
        <v/>
      </c>
      <c r="K236" s="156">
        <f t="array" ref="K236">IF(AND(ISNUMBER(K232), K232&gt;0), K232/INDEX('MTD Pivot'!$D$3:$K$400, MATCH("Grand Total", 'MTD Pivot'!$A$3:$A$400, 0), MATCH(K$2, 'MTD Pivot'!$D$2:$K$2, 0)), "")</f>
        <v/>
      </c>
      <c r="L236" s="156">
        <f t="array" ref="L236">IF(AND(ISNUMBER(L232), L232&gt;0), L232/INDEX('MTD Pivot'!$D$3:$K$400, MATCH("Grand Total", 'MTD Pivot'!$A$3:$A$400, 0), MATCH(L$2, 'MTD Pivot'!$D$2:$K$2, 0)), "")</f>
        <v/>
      </c>
      <c r="M236" s="156">
        <f t="array" ref="M236">IF(AND(ISNUMBER(M232), M232&gt;0), M232/INDEX('MTD Pivot'!$D$3:$K$400, MATCH("Grand Total", 'MTD Pivot'!$A$3:$A$400, 0), MATCH(M$2, 'MTD Pivot'!$D$2:$K$2, 0)), "")</f>
        <v/>
      </c>
      <c r="N236" s="157">
        <f>IF(AND(ISNUMBER(K236), ISNUMBER(J236)), K236-J236, "")</f>
        <v/>
      </c>
      <c r="O236" s="156">
        <f t="array" ref="O236">IF(AND(ISNUMBER(O232), O232&gt;0), O232/INDEX('Full month Pivot'!$D$3:$K$400, MATCH("Grand Total", 'Full month Pivot'!$A$3:$A$400, 0), MATCH(O$2, 'Full month Pivot'!$D$2:$K$2, 0)), "")</f>
        <v/>
      </c>
      <c r="P236" s="156">
        <f t="array" ref="P236">IF(AND(ISNUMBER(P232), P232&gt;0), P232/INDEX('Full month Pivot'!$D$3:$K$400, MATCH("Grand Total", 'Full month Pivot'!$A$3:$A$400, 0), MATCH(P$2, 'Full month Pivot'!$D$2:$K$2, 0)), "")</f>
        <v/>
      </c>
      <c r="Q236" s="156">
        <f t="array" ref="Q236">IF(AND(ISNUMBER(Q232), Q232&gt;0), Q232/INDEX('Full month Pivot'!$D$3:$K$400, MATCH("Grand Total", 'Full month Pivot'!$A$3:$A$400, 0), MATCH(Q$2, 'Full month Pivot'!$D$2:$K$2, 0)), "")</f>
        <v/>
      </c>
      <c r="R236" s="156">
        <f t="array" ref="R236">IF(AND(ISNUMBER(R232), R232&gt;0), R232/INDEX('Full month Pivot'!$D$3:$K$400, MATCH("Grand Total", 'Full month Pivot'!$A$3:$A$400, 0), MATCH(R$2, 'Full month Pivot'!$D$2:$K$2, 0)), "")</f>
        <v/>
      </c>
      <c r="S236" s="156">
        <f t="array" ref="S236">IF(AND(ISNUMBER(S232), S232&gt;0), S232/INDEX('Full month Pivot'!$D$3:$K$400, MATCH("Grand Total", 'Full month Pivot'!$A$3:$A$400, 0), MATCH(S$2, 'Full month Pivot'!$D$2:$K$2, 0)), "")</f>
        <v/>
      </c>
      <c r="T236" s="156">
        <f t="array" ref="T236">IF(AND(ISNUMBER(T232), T232&gt;0), T232/INDEX('Full month Pivot'!$D$3:$K$400, MATCH("Grand Total", 'Full month Pivot'!$A$3:$A$400, 0), MATCH(T$2, 'Full month Pivot'!$D$2:$K$2, 0)), "")</f>
        <v/>
      </c>
      <c r="U236" s="156">
        <f t="array" ref="U236">IF(AND(ISNUMBER(U232), U232&gt;0), U232/INDEX('Full month Pivot'!$D$3:$K$400, MATCH("Grand Total", 'Full month Pivot'!$A$3:$A$400, 0), MATCH(U$2, 'Full month Pivot'!$D$2:$K$2, 0)), "")</f>
        <v/>
      </c>
      <c r="V236" s="156">
        <f t="array" ref="V236">IF(AND(ISNUMBER(V232), V232&gt;0), V232/INDEX('Full month Pivot'!$D$3:$K$400, MATCH("Grand Total", 'Full month Pivot'!$A$3:$A$400, 0), MATCH(V$2, 'Full month Pivot'!$D$2:$K$2, 0)), "")</f>
        <v/>
      </c>
      <c r="W236" s="156">
        <f t="array" ref="W236">IF(AND(ISNUMBER(W232), W232&gt;0), W232/INDEX('Full month Pivot'!$D$3:$K$400, MATCH("Grand Total", 'Full month Pivot'!$A$3:$A$400, 0), MATCH(W$2, 'Full month Pivot'!$D$2:$K$2, 0)), "")</f>
        <v/>
      </c>
      <c r="X236" s="156">
        <f t="array" ref="X236">IF(AND(ISNUMBER(X232), X232&gt;0), X232/INDEX('Full month Pivot'!$D$3:$K$400, MATCH("Grand Total", 'Full month Pivot'!$A$3:$A$400, 0), MATCH(X$2, 'Full month Pivot'!$D$2:$K$2, 0)), "")</f>
        <v/>
      </c>
      <c r="Y236" s="156">
        <f t="array" ref="Y236">IF(AND(ISNUMBER(Y232), Y232&gt;0), Y232/INDEX('Full month Pivot'!$D$3:$K$400, MATCH("Grand Total", 'Full month Pivot'!$A$3:$A$400, 0), MATCH(Y$2, 'Full month Pivot'!$D$2:$K$2, 0)), "")</f>
        <v/>
      </c>
      <c r="Z236" s="156">
        <f t="array" ref="Z236">IF(AND(ISNUMBER(Z232), Z232&gt;0), Z232/INDEX('Full month Pivot'!$D$3:$K$400, MATCH("Grand Total", 'Full month Pivot'!$A$3:$A$400, 0), MATCH(Z$2, 'Full month Pivot'!$D$2:$K$2, 0)), "")</f>
        <v/>
      </c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202" t="inlineStr">
        <is>
          <t xml:space="preserve">  Organic</t>
        </is>
      </c>
      <c r="B237" s="193">
        <f>IF(SUMPRODUCT((('MTD Pivot'!$B$3:$B$400=$A$231) + ('MTD Pivot'!$A$3:$A$400=$A$231) &gt; 0) * (TRIM('MTD Pivot'!$C$3:$C$400)=TRIM($A237)) * ('MTD Pivot'!$D$2:$K$2=B$2) * 'MTD Pivot'!$D$3:$K$400)&gt;0, SUMPRODUCT((('MTD Pivot'!$B$3:$B$400=$A$231) + ('MTD Pivot'!$A$3:$A$400=$A$231) &gt; 0) * (TRIM('MTD Pivot'!$C$3:$C$400)=TRIM($A237)) * ('MTD Pivot'!$D$2:$K$2=B$2) * 'MTD Pivot'!$D$3:$K$400), "")</f>
        <v/>
      </c>
      <c r="C237" s="193">
        <f>IF(SUMPRODUCT((('MTD Pivot'!$B$3:$B$400=$A$231) + ('MTD Pivot'!$A$3:$A$400=$A$231) &gt; 0) * (TRIM('MTD Pivot'!$C$3:$C$400)=TRIM($A237)) * ('MTD Pivot'!$D$2:$K$2=C$2) * 'MTD Pivot'!$D$3:$K$400)&gt;0, SUMPRODUCT((('MTD Pivot'!$B$3:$B$400=$A$231) + ('MTD Pivot'!$A$3:$A$400=$A$231) &gt; 0) * (TRIM('MTD Pivot'!$C$3:$C$400)=TRIM($A237)) * ('MTD Pivot'!$D$2:$K$2=C$2) * 'MTD Pivot'!$D$3:$K$400), "")</f>
        <v/>
      </c>
      <c r="D237" s="193">
        <f>IF(SUMPRODUCT((('MTD Pivot'!$B$3:$B$400=$A$231) + ('MTD Pivot'!$A$3:$A$400=$A$231) &gt; 0) * (TRIM('MTD Pivot'!$C$3:$C$400)=TRIM($A237)) * ('MTD Pivot'!$D$2:$K$2=D$2) * 'MTD Pivot'!$D$3:$K$400)&gt;0, SUMPRODUCT((('MTD Pivot'!$B$3:$B$400=$A$231) + ('MTD Pivot'!$A$3:$A$400=$A$231) &gt; 0) * (TRIM('MTD Pivot'!$C$3:$C$400)=TRIM($A237)) * ('MTD Pivot'!$D$2:$K$2=D$2) * 'MTD Pivot'!$D$3:$K$400), "")</f>
        <v/>
      </c>
      <c r="E237" s="193">
        <f>IF(SUMPRODUCT((('MTD Pivot'!$B$3:$B$400=$A$231) + ('MTD Pivot'!$A$3:$A$400=$A$231) &gt; 0) * (TRIM('MTD Pivot'!$C$3:$C$400)=TRIM($A237)) * ('MTD Pivot'!$D$2:$K$2=E$2) * 'MTD Pivot'!$D$3:$K$400)&gt;0, SUMPRODUCT((('MTD Pivot'!$B$3:$B$400=$A$231) + ('MTD Pivot'!$A$3:$A$400=$A$231) &gt; 0) * (TRIM('MTD Pivot'!$C$3:$C$400)=TRIM($A237)) * ('MTD Pivot'!$D$2:$K$2=E$2) * 'MTD Pivot'!$D$3:$K$400), "")</f>
        <v/>
      </c>
      <c r="F237" s="193">
        <f>IF(SUMPRODUCT((('MTD Pivot'!$B$3:$B$400=$A$231) + ('MTD Pivot'!$A$3:$A$400=$A$231) &gt; 0) * (TRIM('MTD Pivot'!$C$3:$C$400)=TRIM($A237)) * ('MTD Pivot'!$D$2:$K$2=F$2) * 'MTD Pivot'!$D$3:$K$400)&gt;0, SUMPRODUCT((('MTD Pivot'!$B$3:$B$400=$A$231) + ('MTD Pivot'!$A$3:$A$400=$A$231) &gt; 0) * (TRIM('MTD Pivot'!$C$3:$C$400)=TRIM($A237)) * ('MTD Pivot'!$D$2:$K$2=F$2) * 'MTD Pivot'!$D$3:$K$400), "")</f>
        <v/>
      </c>
      <c r="G237" s="193">
        <f>IF(SUMPRODUCT((('MTD Pivot'!$B$3:$B$400=$A$231) + ('MTD Pivot'!$A$3:$A$400=$A$231) &gt; 0) * (TRIM('MTD Pivot'!$C$3:$C$400)=TRIM($A237)) * ('MTD Pivot'!$D$2:$K$2=G$2) * 'MTD Pivot'!$D$3:$K$400)&gt;0, SUMPRODUCT((('MTD Pivot'!$B$3:$B$400=$A$231) + ('MTD Pivot'!$A$3:$A$400=$A$231) &gt; 0) * (TRIM('MTD Pivot'!$C$3:$C$400)=TRIM($A237)) * ('MTD Pivot'!$D$2:$K$2=G$2) * 'MTD Pivot'!$D$3:$K$400), "")</f>
        <v/>
      </c>
      <c r="H237" s="193">
        <f>IF(SUMPRODUCT((('MTD Pivot'!$B$3:$B$400=$A$231) + ('MTD Pivot'!$A$3:$A$400=$A$231) &gt; 0) * (TRIM('MTD Pivot'!$C$3:$C$400)=TRIM($A237)) * ('MTD Pivot'!$D$2:$K$2=H$2) * 'MTD Pivot'!$D$3:$K$400)&gt;0, SUMPRODUCT((('MTD Pivot'!$B$3:$B$400=$A$231) + ('MTD Pivot'!$A$3:$A$400=$A$231) &gt; 0) * (TRIM('MTD Pivot'!$C$3:$C$400)=TRIM($A237)) * ('MTD Pivot'!$D$2:$K$2=H$2) * 'MTD Pivot'!$D$3:$K$400), "")</f>
        <v/>
      </c>
      <c r="I237" s="193">
        <f>IF(SUMPRODUCT((('MTD Pivot'!$B$3:$B$400=$A$231) + ('MTD Pivot'!$A$3:$A$400=$A$231) &gt; 0) * (TRIM('MTD Pivot'!$C$3:$C$400)=TRIM($A237)) * ('MTD Pivot'!$D$2:$K$2=I$2) * 'MTD Pivot'!$D$3:$K$400)&gt;0, SUMPRODUCT((('MTD Pivot'!$B$3:$B$400=$A$231) + ('MTD Pivot'!$A$3:$A$400=$A$231) &gt; 0) * (TRIM('MTD Pivot'!$C$3:$C$400)=TRIM($A237)) * ('MTD Pivot'!$D$2:$K$2=I$2) * 'MTD Pivot'!$D$3:$K$400), "")</f>
        <v/>
      </c>
      <c r="J237" s="193">
        <f>IF(SUMPRODUCT((('MTD Pivot'!$B$3:$B$400=$A$231) + ('MTD Pivot'!$A$3:$A$400=$A$231) &gt; 0) * (TRIM('MTD Pivot'!$C$3:$C$400)=TRIM($A237)) * ('MTD Pivot'!$D$2:$K$2=J$2) * 'MTD Pivot'!$D$3:$K$400)&gt;0, SUMPRODUCT((('MTD Pivot'!$B$3:$B$400=$A$231) + ('MTD Pivot'!$A$3:$A$400=$A$231) &gt; 0) * (TRIM('MTD Pivot'!$C$3:$C$400)=TRIM($A237)) * ('MTD Pivot'!$D$2:$K$2=J$2) * 'MTD Pivot'!$D$3:$K$400), "")</f>
        <v/>
      </c>
      <c r="K237" s="193">
        <f>IF(SUMPRODUCT((('MTD Pivot'!$B$3:$B$400=$A$231) + ('MTD Pivot'!$A$3:$A$400=$A$231) &gt; 0) * (TRIM('MTD Pivot'!$C$3:$C$400)=TRIM($A237)) * ('MTD Pivot'!$D$2:$K$2=K$2) * 'MTD Pivot'!$D$3:$K$400)&gt;0, SUMPRODUCT((('MTD Pivot'!$B$3:$B$400=$A$231) + ('MTD Pivot'!$A$3:$A$400=$A$231) &gt; 0) * (TRIM('MTD Pivot'!$C$3:$C$400)=TRIM($A237)) * ('MTD Pivot'!$D$2:$K$2=K$2) * 'MTD Pivot'!$D$3:$K$400), "")</f>
        <v/>
      </c>
      <c r="L237" s="193">
        <f>IF(SUMPRODUCT((('MTD Pivot'!$B$3:$B$400=$A$231) + ('MTD Pivot'!$A$3:$A$400=$A$231) &gt; 0) * (TRIM('MTD Pivot'!$C$3:$C$400)=TRIM($A237)) * ('MTD Pivot'!$D$2:$K$2=L$2) * 'MTD Pivot'!$D$3:$K$400)&gt;0, SUMPRODUCT((('MTD Pivot'!$B$3:$B$400=$A$231) + ('MTD Pivot'!$A$3:$A$400=$A$231) &gt; 0) * (TRIM('MTD Pivot'!$C$3:$C$400)=TRIM($A237)) * ('MTD Pivot'!$D$2:$K$2=L$2) * 'MTD Pivot'!$D$3:$K$400), "")</f>
        <v/>
      </c>
      <c r="M237" s="193">
        <f>IF(SUMPRODUCT((('MTD Pivot'!$B$3:$B$400=$A$231) + ('MTD Pivot'!$A$3:$A$400=$A$231) &gt; 0) * (TRIM('MTD Pivot'!$C$3:$C$400)=TRIM($A237)) * ('MTD Pivot'!$D$2:$K$2=M$2) * 'MTD Pivot'!$D$3:$K$400)&gt;0, SUMPRODUCT((('MTD Pivot'!$B$3:$B$400=$A$231) + ('MTD Pivot'!$A$3:$A$400=$A$231) &gt; 0) * (TRIM('MTD Pivot'!$C$3:$C$400)=TRIM($A237)) * ('MTD Pivot'!$D$2:$K$2=M$2) * 'MTD Pivot'!$D$3:$K$400), "")</f>
        <v/>
      </c>
      <c r="N237" s="157">
        <f>IF(AND(ISNUMBER(K237), ISNUMBER(J237), J237&gt;0), (K237-J237)/J237, "")</f>
        <v/>
      </c>
      <c r="O237" s="193">
        <f>IF(SUMPRODUCT((('Full month Pivot'!$B$3:$B$400=$A$231) + ('Full month Pivot'!$A$3:$A$400=$A$231) &gt; 0) * (TRIM('Full month Pivot'!$C$3:$C$400)=TRIM($A237)) * ('Full month Pivot'!$D$2:$K$2=O$2) * 'Full month Pivot'!$D$3:$K$400)&gt;0, SUMPRODUCT((('Full month Pivot'!$B$3:$B$400=$A$231) + ('Full month Pivot'!$A$3:$A$400=$A$231) &gt; 0) * (TRIM('Full month Pivot'!$C$3:$C$400)=TRIM($A237)) * ('Full month Pivot'!$D$2:$K$2=O$2) * 'Full month Pivot'!$D$3:$K$400), "")</f>
        <v/>
      </c>
      <c r="P237" s="193">
        <f>IF(SUMPRODUCT((('Full month Pivot'!$B$3:$B$400=$A$231) + ('Full month Pivot'!$A$3:$A$400=$A$231) &gt; 0) * (TRIM('Full month Pivot'!$C$3:$C$400)=TRIM($A237)) * ('Full month Pivot'!$D$2:$K$2=P$2) * 'Full month Pivot'!$D$3:$K$400)&gt;0, SUMPRODUCT((('Full month Pivot'!$B$3:$B$400=$A$231) + ('Full month Pivot'!$A$3:$A$400=$A$231) &gt; 0) * (TRIM('Full month Pivot'!$C$3:$C$400)=TRIM($A237)) * ('Full month Pivot'!$D$2:$K$2=P$2) * 'Full month Pivot'!$D$3:$K$400), "")</f>
        <v/>
      </c>
      <c r="Q237" s="193">
        <f>IF(SUMPRODUCT((('Full month Pivot'!$B$3:$B$400=$A$231) + ('Full month Pivot'!$A$3:$A$400=$A$231) &gt; 0) * (TRIM('Full month Pivot'!$C$3:$C$400)=TRIM($A237)) * ('Full month Pivot'!$D$2:$K$2=Q$2) * 'Full month Pivot'!$D$3:$K$400)&gt;0, SUMPRODUCT((('Full month Pivot'!$B$3:$B$400=$A$231) + ('Full month Pivot'!$A$3:$A$400=$A$231) &gt; 0) * (TRIM('Full month Pivot'!$C$3:$C$400)=TRIM($A237)) * ('Full month Pivot'!$D$2:$K$2=Q$2) * 'Full month Pivot'!$D$3:$K$400), "")</f>
        <v/>
      </c>
      <c r="R237" s="193">
        <f>IF(SUMPRODUCT((('Full month Pivot'!$B$3:$B$400=$A$231) + ('Full month Pivot'!$A$3:$A$400=$A$231) &gt; 0) * (TRIM('Full month Pivot'!$C$3:$C$400)=TRIM($A237)) * ('Full month Pivot'!$D$2:$K$2=R$2) * 'Full month Pivot'!$D$3:$K$400)&gt;0, SUMPRODUCT((('Full month Pivot'!$B$3:$B$400=$A$231) + ('Full month Pivot'!$A$3:$A$400=$A$231) &gt; 0) * (TRIM('Full month Pivot'!$C$3:$C$400)=TRIM($A237)) * ('Full month Pivot'!$D$2:$K$2=R$2) * 'Full month Pivot'!$D$3:$K$400), "")</f>
        <v/>
      </c>
      <c r="S237" s="193">
        <f>IF(SUMPRODUCT((('Full month Pivot'!$B$3:$B$400=$A$231) + ('Full month Pivot'!$A$3:$A$400=$A$231) &gt; 0) * (TRIM('Full month Pivot'!$C$3:$C$400)=TRIM($A237)) * ('Full month Pivot'!$D$2:$K$2=S$2) * 'Full month Pivot'!$D$3:$K$400)&gt;0, SUMPRODUCT((('Full month Pivot'!$B$3:$B$400=$A$231) + ('Full month Pivot'!$A$3:$A$400=$A$231) &gt; 0) * (TRIM('Full month Pivot'!$C$3:$C$400)=TRIM($A237)) * ('Full month Pivot'!$D$2:$K$2=S$2) * 'Full month Pivot'!$D$3:$K$400), "")</f>
        <v/>
      </c>
      <c r="T237" s="193">
        <f>IF(SUMPRODUCT((('Full month Pivot'!$B$3:$B$400=$A$231) + ('Full month Pivot'!$A$3:$A$400=$A$231) &gt; 0) * (TRIM('Full month Pivot'!$C$3:$C$400)=TRIM($A237)) * ('Full month Pivot'!$D$2:$K$2=T$2) * 'Full month Pivot'!$D$3:$K$400)&gt;0, SUMPRODUCT((('Full month Pivot'!$B$3:$B$400=$A$231) + ('Full month Pivot'!$A$3:$A$400=$A$231) &gt; 0) * (TRIM('Full month Pivot'!$C$3:$C$400)=TRIM($A237)) * ('Full month Pivot'!$D$2:$K$2=T$2) * 'Full month Pivot'!$D$3:$K$400), "")</f>
        <v/>
      </c>
      <c r="U237" s="193">
        <f>IF(SUMPRODUCT((('Full month Pivot'!$B$3:$B$400=$A$231) + ('Full month Pivot'!$A$3:$A$400=$A$231) &gt; 0) * (TRIM('Full month Pivot'!$C$3:$C$400)=TRIM($A237)) * ('Full month Pivot'!$D$2:$K$2=U$2) * 'Full month Pivot'!$D$3:$K$400)&gt;0, SUMPRODUCT((('Full month Pivot'!$B$3:$B$400=$A$231) + ('Full month Pivot'!$A$3:$A$400=$A$231) &gt; 0) * (TRIM('Full month Pivot'!$C$3:$C$400)=TRIM($A237)) * ('Full month Pivot'!$D$2:$K$2=U$2) * 'Full month Pivot'!$D$3:$K$400), "")</f>
        <v/>
      </c>
      <c r="V237" s="193">
        <f>IF(SUMPRODUCT((('Full month Pivot'!$B$3:$B$400=$A$231) + ('Full month Pivot'!$A$3:$A$400=$A$231) &gt; 0) * (TRIM('Full month Pivot'!$C$3:$C$400)=TRIM($A237)) * ('Full month Pivot'!$D$2:$K$2=V$2) * 'Full month Pivot'!$D$3:$K$400)&gt;0, SUMPRODUCT((('Full month Pivot'!$B$3:$B$400=$A$231) + ('Full month Pivot'!$A$3:$A$400=$A$231) &gt; 0) * (TRIM('Full month Pivot'!$C$3:$C$400)=TRIM($A237)) * ('Full month Pivot'!$D$2:$K$2=V$2) * 'Full month Pivot'!$D$3:$K$400), "")</f>
        <v/>
      </c>
      <c r="W237" s="193">
        <f>IF(SUMPRODUCT((('Full month Pivot'!$B$3:$B$400=$A$231) + ('Full month Pivot'!$A$3:$A$400=$A$231) &gt; 0) * (TRIM('Full month Pivot'!$C$3:$C$400)=TRIM($A237)) * ('Full month Pivot'!$D$2:$K$2=W$2) * 'Full month Pivot'!$D$3:$K$400)&gt;0, SUMPRODUCT((('Full month Pivot'!$B$3:$B$400=$A$231) + ('Full month Pivot'!$A$3:$A$400=$A$231) &gt; 0) * (TRIM('Full month Pivot'!$C$3:$C$400)=TRIM($A237)) * ('Full month Pivot'!$D$2:$K$2=W$2) * 'Full month Pivot'!$D$3:$K$400), "")</f>
        <v/>
      </c>
      <c r="X237" s="193">
        <f>IF(SUMPRODUCT((('Full month Pivot'!$B$3:$B$400=$A$231) + ('Full month Pivot'!$A$3:$A$400=$A$231) &gt; 0) * (TRIM('Full month Pivot'!$C$3:$C$400)=TRIM($A237)) * ('Full month Pivot'!$D$2:$K$2=X$2) * 'Full month Pivot'!$D$3:$K$400)&gt;0, SUMPRODUCT((('Full month Pivot'!$B$3:$B$400=$A$231) + ('Full month Pivot'!$A$3:$A$400=$A$231) &gt; 0) * (TRIM('Full month Pivot'!$C$3:$C$400)=TRIM($A237)) * ('Full month Pivot'!$D$2:$K$2=X$2) * 'Full month Pivot'!$D$3:$K$400), "")</f>
        <v/>
      </c>
      <c r="Y237" s="193">
        <f>IF(SUMPRODUCT((('Full month Pivot'!$B$3:$B$400=$A$231) + ('Full month Pivot'!$A$3:$A$400=$A$231) &gt; 0) * (TRIM('Full month Pivot'!$C$3:$C$400)=TRIM($A237)) * ('Full month Pivot'!$D$2:$K$2=Y$2) * 'Full month Pivot'!$D$3:$K$400)&gt;0, SUMPRODUCT((('Full month Pivot'!$B$3:$B$400=$A$231) + ('Full month Pivot'!$A$3:$A$400=$A$231) &gt; 0) * (TRIM('Full month Pivot'!$C$3:$C$400)=TRIM($A237)) * ('Full month Pivot'!$D$2:$K$2=Y$2) * 'Full month Pivot'!$D$3:$K$400), "")</f>
        <v/>
      </c>
      <c r="Z237" s="193">
        <f>IF(SUMPRODUCT((('Full month Pivot'!$B$3:$B$400=$A$231) + ('Full month Pivot'!$A$3:$A$400=$A$231) &gt; 0) * (TRIM('Full month Pivot'!$C$3:$C$400)=TRIM($A237)) * ('Full month Pivot'!$D$2:$K$2=Z$2) * 'Full month Pivot'!$D$3:$K$400)&gt;0, SUMPRODUCT((('Full month Pivot'!$B$3:$B$400=$A$231) + ('Full month Pivot'!$A$3:$A$400=$A$231) &gt; 0) * (TRIM('Full month Pivot'!$C$3:$C$400)=TRIM($A237)) * ('Full month Pivot'!$D$2:$K$2=Z$2) * 'Full month Pivot'!$D$3:$K$400), "")</f>
        <v/>
      </c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202" t="inlineStr">
        <is>
          <t xml:space="preserve">  Paid</t>
        </is>
      </c>
      <c r="B238" s="193">
        <f>IF(SUMPRODUCT((('MTD Pivot'!$B$3:$B$400=$A$231) + ('MTD Pivot'!$A$3:$A$400=$A$231) &gt; 0) * (TRIM('MTD Pivot'!$C$3:$C$400)=TRIM($A238)) * ('MTD Pivot'!$D$2:$K$2=B$2) * 'MTD Pivot'!$D$3:$K$400)&gt;0, SUMPRODUCT((('MTD Pivot'!$B$3:$B$400=$A$231) + ('MTD Pivot'!$A$3:$A$400=$A$231) &gt; 0) * (TRIM('MTD Pivot'!$C$3:$C$400)=TRIM($A238)) * ('MTD Pivot'!$D$2:$K$2=B$2) * 'MTD Pivot'!$D$3:$K$400), "")</f>
        <v/>
      </c>
      <c r="C238" s="193">
        <f>IF(SUMPRODUCT((('MTD Pivot'!$B$3:$B$400=$A$231) + ('MTD Pivot'!$A$3:$A$400=$A$231) &gt; 0) * (TRIM('MTD Pivot'!$C$3:$C$400)=TRIM($A238)) * ('MTD Pivot'!$D$2:$K$2=C$2) * 'MTD Pivot'!$D$3:$K$400)&gt;0, SUMPRODUCT((('MTD Pivot'!$B$3:$B$400=$A$231) + ('MTD Pivot'!$A$3:$A$400=$A$231) &gt; 0) * (TRIM('MTD Pivot'!$C$3:$C$400)=TRIM($A238)) * ('MTD Pivot'!$D$2:$K$2=C$2) * 'MTD Pivot'!$D$3:$K$400), "")</f>
        <v/>
      </c>
      <c r="D238" s="193">
        <f>IF(SUMPRODUCT((('MTD Pivot'!$B$3:$B$400=$A$231) + ('MTD Pivot'!$A$3:$A$400=$A$231) &gt; 0) * (TRIM('MTD Pivot'!$C$3:$C$400)=TRIM($A238)) * ('MTD Pivot'!$D$2:$K$2=D$2) * 'MTD Pivot'!$D$3:$K$400)&gt;0, SUMPRODUCT((('MTD Pivot'!$B$3:$B$400=$A$231) + ('MTD Pivot'!$A$3:$A$400=$A$231) &gt; 0) * (TRIM('MTD Pivot'!$C$3:$C$400)=TRIM($A238)) * ('MTD Pivot'!$D$2:$K$2=D$2) * 'MTD Pivot'!$D$3:$K$400), "")</f>
        <v/>
      </c>
      <c r="E238" s="193">
        <f>IF(SUMPRODUCT((('MTD Pivot'!$B$3:$B$400=$A$231) + ('MTD Pivot'!$A$3:$A$400=$A$231) &gt; 0) * (TRIM('MTD Pivot'!$C$3:$C$400)=TRIM($A238)) * ('MTD Pivot'!$D$2:$K$2=E$2) * 'MTD Pivot'!$D$3:$K$400)&gt;0, SUMPRODUCT((('MTD Pivot'!$B$3:$B$400=$A$231) + ('MTD Pivot'!$A$3:$A$400=$A$231) &gt; 0) * (TRIM('MTD Pivot'!$C$3:$C$400)=TRIM($A238)) * ('MTD Pivot'!$D$2:$K$2=E$2) * 'MTD Pivot'!$D$3:$K$400), "")</f>
        <v/>
      </c>
      <c r="F238" s="193">
        <f>IF(SUMPRODUCT((('MTD Pivot'!$B$3:$B$400=$A$231) + ('MTD Pivot'!$A$3:$A$400=$A$231) &gt; 0) * (TRIM('MTD Pivot'!$C$3:$C$400)=TRIM($A238)) * ('MTD Pivot'!$D$2:$K$2=F$2) * 'MTD Pivot'!$D$3:$K$400)&gt;0, SUMPRODUCT((('MTD Pivot'!$B$3:$B$400=$A$231) + ('MTD Pivot'!$A$3:$A$400=$A$231) &gt; 0) * (TRIM('MTD Pivot'!$C$3:$C$400)=TRIM($A238)) * ('MTD Pivot'!$D$2:$K$2=F$2) * 'MTD Pivot'!$D$3:$K$400), "")</f>
        <v/>
      </c>
      <c r="G238" s="193">
        <f>IF(SUMPRODUCT((('MTD Pivot'!$B$3:$B$400=$A$231) + ('MTD Pivot'!$A$3:$A$400=$A$231) &gt; 0) * (TRIM('MTD Pivot'!$C$3:$C$400)=TRIM($A238)) * ('MTD Pivot'!$D$2:$K$2=G$2) * 'MTD Pivot'!$D$3:$K$400)&gt;0, SUMPRODUCT((('MTD Pivot'!$B$3:$B$400=$A$231) + ('MTD Pivot'!$A$3:$A$400=$A$231) &gt; 0) * (TRIM('MTD Pivot'!$C$3:$C$400)=TRIM($A238)) * ('MTD Pivot'!$D$2:$K$2=G$2) * 'MTD Pivot'!$D$3:$K$400), "")</f>
        <v/>
      </c>
      <c r="H238" s="193">
        <f>IF(SUMPRODUCT((('MTD Pivot'!$B$3:$B$400=$A$231) + ('MTD Pivot'!$A$3:$A$400=$A$231) &gt; 0) * (TRIM('MTD Pivot'!$C$3:$C$400)=TRIM($A238)) * ('MTD Pivot'!$D$2:$K$2=H$2) * 'MTD Pivot'!$D$3:$K$400)&gt;0, SUMPRODUCT((('MTD Pivot'!$B$3:$B$400=$A$231) + ('MTD Pivot'!$A$3:$A$400=$A$231) &gt; 0) * (TRIM('MTD Pivot'!$C$3:$C$400)=TRIM($A238)) * ('MTD Pivot'!$D$2:$K$2=H$2) * 'MTD Pivot'!$D$3:$K$400), "")</f>
        <v/>
      </c>
      <c r="I238" s="193">
        <f>IF(SUMPRODUCT((('MTD Pivot'!$B$3:$B$400=$A$231) + ('MTD Pivot'!$A$3:$A$400=$A$231) &gt; 0) * (TRIM('MTD Pivot'!$C$3:$C$400)=TRIM($A238)) * ('MTD Pivot'!$D$2:$K$2=I$2) * 'MTD Pivot'!$D$3:$K$400)&gt;0, SUMPRODUCT((('MTD Pivot'!$B$3:$B$400=$A$231) + ('MTD Pivot'!$A$3:$A$400=$A$231) &gt; 0) * (TRIM('MTD Pivot'!$C$3:$C$400)=TRIM($A238)) * ('MTD Pivot'!$D$2:$K$2=I$2) * 'MTD Pivot'!$D$3:$K$400), "")</f>
        <v/>
      </c>
      <c r="J238" s="193">
        <f>IF(SUMPRODUCT((('MTD Pivot'!$B$3:$B$400=$A$231) + ('MTD Pivot'!$A$3:$A$400=$A$231) &gt; 0) * (TRIM('MTD Pivot'!$C$3:$C$400)=TRIM($A238)) * ('MTD Pivot'!$D$2:$K$2=J$2) * 'MTD Pivot'!$D$3:$K$400)&gt;0, SUMPRODUCT((('MTD Pivot'!$B$3:$B$400=$A$231) + ('MTD Pivot'!$A$3:$A$400=$A$231) &gt; 0) * (TRIM('MTD Pivot'!$C$3:$C$400)=TRIM($A238)) * ('MTD Pivot'!$D$2:$K$2=J$2) * 'MTD Pivot'!$D$3:$K$400), "")</f>
        <v/>
      </c>
      <c r="K238" s="193">
        <f>IF(SUMPRODUCT((('MTD Pivot'!$B$3:$B$400=$A$231) + ('MTD Pivot'!$A$3:$A$400=$A$231) &gt; 0) * (TRIM('MTD Pivot'!$C$3:$C$400)=TRIM($A238)) * ('MTD Pivot'!$D$2:$K$2=K$2) * 'MTD Pivot'!$D$3:$K$400)&gt;0, SUMPRODUCT((('MTD Pivot'!$B$3:$B$400=$A$231) + ('MTD Pivot'!$A$3:$A$400=$A$231) &gt; 0) * (TRIM('MTD Pivot'!$C$3:$C$400)=TRIM($A238)) * ('MTD Pivot'!$D$2:$K$2=K$2) * 'MTD Pivot'!$D$3:$K$400), "")</f>
        <v/>
      </c>
      <c r="L238" s="193">
        <f>IF(SUMPRODUCT((('MTD Pivot'!$B$3:$B$400=$A$231) + ('MTD Pivot'!$A$3:$A$400=$A$231) &gt; 0) * (TRIM('MTD Pivot'!$C$3:$C$400)=TRIM($A238)) * ('MTD Pivot'!$D$2:$K$2=L$2) * 'MTD Pivot'!$D$3:$K$400)&gt;0, SUMPRODUCT((('MTD Pivot'!$B$3:$B$400=$A$231) + ('MTD Pivot'!$A$3:$A$400=$A$231) &gt; 0) * (TRIM('MTD Pivot'!$C$3:$C$400)=TRIM($A238)) * ('MTD Pivot'!$D$2:$K$2=L$2) * 'MTD Pivot'!$D$3:$K$400), "")</f>
        <v/>
      </c>
      <c r="M238" s="193">
        <f>IF(SUMPRODUCT((('MTD Pivot'!$B$3:$B$400=$A$231) + ('MTD Pivot'!$A$3:$A$400=$A$231) &gt; 0) * (TRIM('MTD Pivot'!$C$3:$C$400)=TRIM($A238)) * ('MTD Pivot'!$D$2:$K$2=M$2) * 'MTD Pivot'!$D$3:$K$400)&gt;0, SUMPRODUCT((('MTD Pivot'!$B$3:$B$400=$A$231) + ('MTD Pivot'!$A$3:$A$400=$A$231) &gt; 0) * (TRIM('MTD Pivot'!$C$3:$C$400)=TRIM($A238)) * ('MTD Pivot'!$D$2:$K$2=M$2) * 'MTD Pivot'!$D$3:$K$400), "")</f>
        <v/>
      </c>
      <c r="N238" s="157">
        <f>IF(AND(ISNUMBER(K238), ISNUMBER(J238), J238&gt;0), (K238-J238)/J238, "")</f>
        <v/>
      </c>
      <c r="O238" s="193">
        <f>IF(SUMPRODUCT((('Full month Pivot'!$B$3:$B$400=$A$231) + ('Full month Pivot'!$A$3:$A$400=$A$231) &gt; 0) * (TRIM('Full month Pivot'!$C$3:$C$400)=TRIM($A238)) * ('Full month Pivot'!$D$2:$K$2=O$2) * 'Full month Pivot'!$D$3:$K$400)&gt;0, SUMPRODUCT((('Full month Pivot'!$B$3:$B$400=$A$231) + ('Full month Pivot'!$A$3:$A$400=$A$231) &gt; 0) * (TRIM('Full month Pivot'!$C$3:$C$400)=TRIM($A238)) * ('Full month Pivot'!$D$2:$K$2=O$2) * 'Full month Pivot'!$D$3:$K$400), "")</f>
        <v/>
      </c>
      <c r="P238" s="193">
        <f>IF(SUMPRODUCT((('Full month Pivot'!$B$3:$B$400=$A$231) + ('Full month Pivot'!$A$3:$A$400=$A$231) &gt; 0) * (TRIM('Full month Pivot'!$C$3:$C$400)=TRIM($A238)) * ('Full month Pivot'!$D$2:$K$2=P$2) * 'Full month Pivot'!$D$3:$K$400)&gt;0, SUMPRODUCT((('Full month Pivot'!$B$3:$B$400=$A$231) + ('Full month Pivot'!$A$3:$A$400=$A$231) &gt; 0) * (TRIM('Full month Pivot'!$C$3:$C$400)=TRIM($A238)) * ('Full month Pivot'!$D$2:$K$2=P$2) * 'Full month Pivot'!$D$3:$K$400), "")</f>
        <v/>
      </c>
      <c r="Q238" s="193">
        <f>IF(SUMPRODUCT((('Full month Pivot'!$B$3:$B$400=$A$231) + ('Full month Pivot'!$A$3:$A$400=$A$231) &gt; 0) * (TRIM('Full month Pivot'!$C$3:$C$400)=TRIM($A238)) * ('Full month Pivot'!$D$2:$K$2=Q$2) * 'Full month Pivot'!$D$3:$K$400)&gt;0, SUMPRODUCT((('Full month Pivot'!$B$3:$B$400=$A$231) + ('Full month Pivot'!$A$3:$A$400=$A$231) &gt; 0) * (TRIM('Full month Pivot'!$C$3:$C$400)=TRIM($A238)) * ('Full month Pivot'!$D$2:$K$2=Q$2) * 'Full month Pivot'!$D$3:$K$400), "")</f>
        <v/>
      </c>
      <c r="R238" s="193">
        <f>IF(SUMPRODUCT((('Full month Pivot'!$B$3:$B$400=$A$231) + ('Full month Pivot'!$A$3:$A$400=$A$231) &gt; 0) * (TRIM('Full month Pivot'!$C$3:$C$400)=TRIM($A238)) * ('Full month Pivot'!$D$2:$K$2=R$2) * 'Full month Pivot'!$D$3:$K$400)&gt;0, SUMPRODUCT((('Full month Pivot'!$B$3:$B$400=$A$231) + ('Full month Pivot'!$A$3:$A$400=$A$231) &gt; 0) * (TRIM('Full month Pivot'!$C$3:$C$400)=TRIM($A238)) * ('Full month Pivot'!$D$2:$K$2=R$2) * 'Full month Pivot'!$D$3:$K$400), "")</f>
        <v/>
      </c>
      <c r="S238" s="193">
        <f>IF(SUMPRODUCT((('Full month Pivot'!$B$3:$B$400=$A$231) + ('Full month Pivot'!$A$3:$A$400=$A$231) &gt; 0) * (TRIM('Full month Pivot'!$C$3:$C$400)=TRIM($A238)) * ('Full month Pivot'!$D$2:$K$2=S$2) * 'Full month Pivot'!$D$3:$K$400)&gt;0, SUMPRODUCT((('Full month Pivot'!$B$3:$B$400=$A$231) + ('Full month Pivot'!$A$3:$A$400=$A$231) &gt; 0) * (TRIM('Full month Pivot'!$C$3:$C$400)=TRIM($A238)) * ('Full month Pivot'!$D$2:$K$2=S$2) * 'Full month Pivot'!$D$3:$K$400), "")</f>
        <v/>
      </c>
      <c r="T238" s="193">
        <f>IF(SUMPRODUCT((('Full month Pivot'!$B$3:$B$400=$A$231) + ('Full month Pivot'!$A$3:$A$400=$A$231) &gt; 0) * (TRIM('Full month Pivot'!$C$3:$C$400)=TRIM($A238)) * ('Full month Pivot'!$D$2:$K$2=T$2) * 'Full month Pivot'!$D$3:$K$400)&gt;0, SUMPRODUCT((('Full month Pivot'!$B$3:$B$400=$A$231) + ('Full month Pivot'!$A$3:$A$400=$A$231) &gt; 0) * (TRIM('Full month Pivot'!$C$3:$C$400)=TRIM($A238)) * ('Full month Pivot'!$D$2:$K$2=T$2) * 'Full month Pivot'!$D$3:$K$400), "")</f>
        <v/>
      </c>
      <c r="U238" s="193">
        <f>IF(SUMPRODUCT((('Full month Pivot'!$B$3:$B$400=$A$231) + ('Full month Pivot'!$A$3:$A$400=$A$231) &gt; 0) * (TRIM('Full month Pivot'!$C$3:$C$400)=TRIM($A238)) * ('Full month Pivot'!$D$2:$K$2=U$2) * 'Full month Pivot'!$D$3:$K$400)&gt;0, SUMPRODUCT((('Full month Pivot'!$B$3:$B$400=$A$231) + ('Full month Pivot'!$A$3:$A$400=$A$231) &gt; 0) * (TRIM('Full month Pivot'!$C$3:$C$400)=TRIM($A238)) * ('Full month Pivot'!$D$2:$K$2=U$2) * 'Full month Pivot'!$D$3:$K$400), "")</f>
        <v/>
      </c>
      <c r="V238" s="193">
        <f>IF(SUMPRODUCT((('Full month Pivot'!$B$3:$B$400=$A$231) + ('Full month Pivot'!$A$3:$A$400=$A$231) &gt; 0) * (TRIM('Full month Pivot'!$C$3:$C$400)=TRIM($A238)) * ('Full month Pivot'!$D$2:$K$2=V$2) * 'Full month Pivot'!$D$3:$K$400)&gt;0, SUMPRODUCT((('Full month Pivot'!$B$3:$B$400=$A$231) + ('Full month Pivot'!$A$3:$A$400=$A$231) &gt; 0) * (TRIM('Full month Pivot'!$C$3:$C$400)=TRIM($A238)) * ('Full month Pivot'!$D$2:$K$2=V$2) * 'Full month Pivot'!$D$3:$K$400), "")</f>
        <v/>
      </c>
      <c r="W238" s="193">
        <f>IF(SUMPRODUCT((('Full month Pivot'!$B$3:$B$400=$A$231) + ('Full month Pivot'!$A$3:$A$400=$A$231) &gt; 0) * (TRIM('Full month Pivot'!$C$3:$C$400)=TRIM($A238)) * ('Full month Pivot'!$D$2:$K$2=W$2) * 'Full month Pivot'!$D$3:$K$400)&gt;0, SUMPRODUCT((('Full month Pivot'!$B$3:$B$400=$A$231) + ('Full month Pivot'!$A$3:$A$400=$A$231) &gt; 0) * (TRIM('Full month Pivot'!$C$3:$C$400)=TRIM($A238)) * ('Full month Pivot'!$D$2:$K$2=W$2) * 'Full month Pivot'!$D$3:$K$400), "")</f>
        <v/>
      </c>
      <c r="X238" s="193">
        <f>IF(SUMPRODUCT((('Full month Pivot'!$B$3:$B$400=$A$231) + ('Full month Pivot'!$A$3:$A$400=$A$231) &gt; 0) * (TRIM('Full month Pivot'!$C$3:$C$400)=TRIM($A238)) * ('Full month Pivot'!$D$2:$K$2=X$2) * 'Full month Pivot'!$D$3:$K$400)&gt;0, SUMPRODUCT((('Full month Pivot'!$B$3:$B$400=$A$231) + ('Full month Pivot'!$A$3:$A$400=$A$231) &gt; 0) * (TRIM('Full month Pivot'!$C$3:$C$400)=TRIM($A238)) * ('Full month Pivot'!$D$2:$K$2=X$2) * 'Full month Pivot'!$D$3:$K$400), "")</f>
        <v/>
      </c>
      <c r="Y238" s="193">
        <f>IF(SUMPRODUCT((('Full month Pivot'!$B$3:$B$400=$A$231) + ('Full month Pivot'!$A$3:$A$400=$A$231) &gt; 0) * (TRIM('Full month Pivot'!$C$3:$C$400)=TRIM($A238)) * ('Full month Pivot'!$D$2:$K$2=Y$2) * 'Full month Pivot'!$D$3:$K$400)&gt;0, SUMPRODUCT((('Full month Pivot'!$B$3:$B$400=$A$231) + ('Full month Pivot'!$A$3:$A$400=$A$231) &gt; 0) * (TRIM('Full month Pivot'!$C$3:$C$400)=TRIM($A238)) * ('Full month Pivot'!$D$2:$K$2=Y$2) * 'Full month Pivot'!$D$3:$K$400), "")</f>
        <v/>
      </c>
      <c r="Z238" s="193">
        <f>IF(SUMPRODUCT((('Full month Pivot'!$B$3:$B$400=$A$231) + ('Full month Pivot'!$A$3:$A$400=$A$231) &gt; 0) * (TRIM('Full month Pivot'!$C$3:$C$400)=TRIM($A238)) * ('Full month Pivot'!$D$2:$K$2=Z$2) * 'Full month Pivot'!$D$3:$K$400)&gt;0, SUMPRODUCT((('Full month Pivot'!$B$3:$B$400=$A$231) + ('Full month Pivot'!$A$3:$A$400=$A$231) &gt; 0) * (TRIM('Full month Pivot'!$C$3:$C$400)=TRIM($A238)) * ('Full month Pivot'!$D$2:$K$2=Z$2) * 'Full month Pivot'!$D$3:$K$400), "")</f>
        <v/>
      </c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202" t="inlineStr">
        <is>
          <t xml:space="preserve">  Direct</t>
        </is>
      </c>
      <c r="B239" s="193">
        <f>IF(SUMPRODUCT((('MTD Pivot'!$B$3:$B$400=$A$231) + ('MTD Pivot'!$A$3:$A$400=$A$231) &gt; 0) * (TRIM('MTD Pivot'!$C$3:$C$400)=TRIM($A239)) * ('MTD Pivot'!$D$2:$K$2=B$2) * 'MTD Pivot'!$D$3:$K$400)&gt;0, SUMPRODUCT((('MTD Pivot'!$B$3:$B$400=$A$231) + ('MTD Pivot'!$A$3:$A$400=$A$231) &gt; 0) * (TRIM('MTD Pivot'!$C$3:$C$400)=TRIM($A239)) * ('MTD Pivot'!$D$2:$K$2=B$2) * 'MTD Pivot'!$D$3:$K$400), "")</f>
        <v/>
      </c>
      <c r="C239" s="193">
        <f>IF(SUMPRODUCT((('MTD Pivot'!$B$3:$B$400=$A$231) + ('MTD Pivot'!$A$3:$A$400=$A$231) &gt; 0) * (TRIM('MTD Pivot'!$C$3:$C$400)=TRIM($A239)) * ('MTD Pivot'!$D$2:$K$2=C$2) * 'MTD Pivot'!$D$3:$K$400)&gt;0, SUMPRODUCT((('MTD Pivot'!$B$3:$B$400=$A$231) + ('MTD Pivot'!$A$3:$A$400=$A$231) &gt; 0) * (TRIM('MTD Pivot'!$C$3:$C$400)=TRIM($A239)) * ('MTD Pivot'!$D$2:$K$2=C$2) * 'MTD Pivot'!$D$3:$K$400), "")</f>
        <v/>
      </c>
      <c r="D239" s="193">
        <f>IF(SUMPRODUCT((('MTD Pivot'!$B$3:$B$400=$A$231) + ('MTD Pivot'!$A$3:$A$400=$A$231) &gt; 0) * (TRIM('MTD Pivot'!$C$3:$C$400)=TRIM($A239)) * ('MTD Pivot'!$D$2:$K$2=D$2) * 'MTD Pivot'!$D$3:$K$400)&gt;0, SUMPRODUCT((('MTD Pivot'!$B$3:$B$400=$A$231) + ('MTD Pivot'!$A$3:$A$400=$A$231) &gt; 0) * (TRIM('MTD Pivot'!$C$3:$C$400)=TRIM($A239)) * ('MTD Pivot'!$D$2:$K$2=D$2) * 'MTD Pivot'!$D$3:$K$400), "")</f>
        <v/>
      </c>
      <c r="E239" s="193">
        <f>IF(SUMPRODUCT((('MTD Pivot'!$B$3:$B$400=$A$231) + ('MTD Pivot'!$A$3:$A$400=$A$231) &gt; 0) * (TRIM('MTD Pivot'!$C$3:$C$400)=TRIM($A239)) * ('MTD Pivot'!$D$2:$K$2=E$2) * 'MTD Pivot'!$D$3:$K$400)&gt;0, SUMPRODUCT((('MTD Pivot'!$B$3:$B$400=$A$231) + ('MTD Pivot'!$A$3:$A$400=$A$231) &gt; 0) * (TRIM('MTD Pivot'!$C$3:$C$400)=TRIM($A239)) * ('MTD Pivot'!$D$2:$K$2=E$2) * 'MTD Pivot'!$D$3:$K$400), "")</f>
        <v/>
      </c>
      <c r="F239" s="193">
        <f>IF(SUMPRODUCT((('MTD Pivot'!$B$3:$B$400=$A$231) + ('MTD Pivot'!$A$3:$A$400=$A$231) &gt; 0) * (TRIM('MTD Pivot'!$C$3:$C$400)=TRIM($A239)) * ('MTD Pivot'!$D$2:$K$2=F$2) * 'MTD Pivot'!$D$3:$K$400)&gt;0, SUMPRODUCT((('MTD Pivot'!$B$3:$B$400=$A$231) + ('MTD Pivot'!$A$3:$A$400=$A$231) &gt; 0) * (TRIM('MTD Pivot'!$C$3:$C$400)=TRIM($A239)) * ('MTD Pivot'!$D$2:$K$2=F$2) * 'MTD Pivot'!$D$3:$K$400), "")</f>
        <v/>
      </c>
      <c r="G239" s="193">
        <f>IF(SUMPRODUCT((('MTD Pivot'!$B$3:$B$400=$A$231) + ('MTD Pivot'!$A$3:$A$400=$A$231) &gt; 0) * (TRIM('MTD Pivot'!$C$3:$C$400)=TRIM($A239)) * ('MTD Pivot'!$D$2:$K$2=G$2) * 'MTD Pivot'!$D$3:$K$400)&gt;0, SUMPRODUCT((('MTD Pivot'!$B$3:$B$400=$A$231) + ('MTD Pivot'!$A$3:$A$400=$A$231) &gt; 0) * (TRIM('MTD Pivot'!$C$3:$C$400)=TRIM($A239)) * ('MTD Pivot'!$D$2:$K$2=G$2) * 'MTD Pivot'!$D$3:$K$400), "")</f>
        <v/>
      </c>
      <c r="H239" s="193">
        <f>IF(SUMPRODUCT((('MTD Pivot'!$B$3:$B$400=$A$231) + ('MTD Pivot'!$A$3:$A$400=$A$231) &gt; 0) * (TRIM('MTD Pivot'!$C$3:$C$400)=TRIM($A239)) * ('MTD Pivot'!$D$2:$K$2=H$2) * 'MTD Pivot'!$D$3:$K$400)&gt;0, SUMPRODUCT((('MTD Pivot'!$B$3:$B$400=$A$231) + ('MTD Pivot'!$A$3:$A$400=$A$231) &gt; 0) * (TRIM('MTD Pivot'!$C$3:$C$400)=TRIM($A239)) * ('MTD Pivot'!$D$2:$K$2=H$2) * 'MTD Pivot'!$D$3:$K$400), "")</f>
        <v/>
      </c>
      <c r="I239" s="193">
        <f>IF(SUMPRODUCT((('MTD Pivot'!$B$3:$B$400=$A$231) + ('MTD Pivot'!$A$3:$A$400=$A$231) &gt; 0) * (TRIM('MTD Pivot'!$C$3:$C$400)=TRIM($A239)) * ('MTD Pivot'!$D$2:$K$2=I$2) * 'MTD Pivot'!$D$3:$K$400)&gt;0, SUMPRODUCT((('MTD Pivot'!$B$3:$B$400=$A$231) + ('MTD Pivot'!$A$3:$A$400=$A$231) &gt; 0) * (TRIM('MTD Pivot'!$C$3:$C$400)=TRIM($A239)) * ('MTD Pivot'!$D$2:$K$2=I$2) * 'MTD Pivot'!$D$3:$K$400), "")</f>
        <v/>
      </c>
      <c r="J239" s="193">
        <f>IF(SUMPRODUCT((('MTD Pivot'!$B$3:$B$400=$A$231) + ('MTD Pivot'!$A$3:$A$400=$A$231) &gt; 0) * (TRIM('MTD Pivot'!$C$3:$C$400)=TRIM($A239)) * ('MTD Pivot'!$D$2:$K$2=J$2) * 'MTD Pivot'!$D$3:$K$400)&gt;0, SUMPRODUCT((('MTD Pivot'!$B$3:$B$400=$A$231) + ('MTD Pivot'!$A$3:$A$400=$A$231) &gt; 0) * (TRIM('MTD Pivot'!$C$3:$C$400)=TRIM($A239)) * ('MTD Pivot'!$D$2:$K$2=J$2) * 'MTD Pivot'!$D$3:$K$400), "")</f>
        <v/>
      </c>
      <c r="K239" s="193">
        <f>IF(SUMPRODUCT((('MTD Pivot'!$B$3:$B$400=$A$231) + ('MTD Pivot'!$A$3:$A$400=$A$231) &gt; 0) * (TRIM('MTD Pivot'!$C$3:$C$400)=TRIM($A239)) * ('MTD Pivot'!$D$2:$K$2=K$2) * 'MTD Pivot'!$D$3:$K$400)&gt;0, SUMPRODUCT((('MTD Pivot'!$B$3:$B$400=$A$231) + ('MTD Pivot'!$A$3:$A$400=$A$231) &gt; 0) * (TRIM('MTD Pivot'!$C$3:$C$400)=TRIM($A239)) * ('MTD Pivot'!$D$2:$K$2=K$2) * 'MTD Pivot'!$D$3:$K$400), "")</f>
        <v/>
      </c>
      <c r="L239" s="193">
        <f>IF(SUMPRODUCT((('MTD Pivot'!$B$3:$B$400=$A$231) + ('MTD Pivot'!$A$3:$A$400=$A$231) &gt; 0) * (TRIM('MTD Pivot'!$C$3:$C$400)=TRIM($A239)) * ('MTD Pivot'!$D$2:$K$2=L$2) * 'MTD Pivot'!$D$3:$K$400)&gt;0, SUMPRODUCT((('MTD Pivot'!$B$3:$B$400=$A$231) + ('MTD Pivot'!$A$3:$A$400=$A$231) &gt; 0) * (TRIM('MTD Pivot'!$C$3:$C$400)=TRIM($A239)) * ('MTD Pivot'!$D$2:$K$2=L$2) * 'MTD Pivot'!$D$3:$K$400), "")</f>
        <v/>
      </c>
      <c r="M239" s="193">
        <f>IF(SUMPRODUCT((('MTD Pivot'!$B$3:$B$400=$A$231) + ('MTD Pivot'!$A$3:$A$400=$A$231) &gt; 0) * (TRIM('MTD Pivot'!$C$3:$C$400)=TRIM($A239)) * ('MTD Pivot'!$D$2:$K$2=M$2) * 'MTD Pivot'!$D$3:$K$400)&gt;0, SUMPRODUCT((('MTD Pivot'!$B$3:$B$400=$A$231) + ('MTD Pivot'!$A$3:$A$400=$A$231) &gt; 0) * (TRIM('MTD Pivot'!$C$3:$C$400)=TRIM($A239)) * ('MTD Pivot'!$D$2:$K$2=M$2) * 'MTD Pivot'!$D$3:$K$400), "")</f>
        <v/>
      </c>
      <c r="N239" s="157">
        <f>IF(AND(ISNUMBER(K239), ISNUMBER(J239), J239&gt;0), (K239-J239)/J239, "")</f>
        <v/>
      </c>
      <c r="O239" s="193">
        <f>IF(SUMPRODUCT((('Full month Pivot'!$B$3:$B$400=$A$231) + ('Full month Pivot'!$A$3:$A$400=$A$231) &gt; 0) * (TRIM('Full month Pivot'!$C$3:$C$400)=TRIM($A239)) * ('Full month Pivot'!$D$2:$K$2=O$2) * 'Full month Pivot'!$D$3:$K$400)&gt;0, SUMPRODUCT((('Full month Pivot'!$B$3:$B$400=$A$231) + ('Full month Pivot'!$A$3:$A$400=$A$231) &gt; 0) * (TRIM('Full month Pivot'!$C$3:$C$400)=TRIM($A239)) * ('Full month Pivot'!$D$2:$K$2=O$2) * 'Full month Pivot'!$D$3:$K$400), "")</f>
        <v/>
      </c>
      <c r="P239" s="193">
        <f>IF(SUMPRODUCT((('Full month Pivot'!$B$3:$B$400=$A$231) + ('Full month Pivot'!$A$3:$A$400=$A$231) &gt; 0) * (TRIM('Full month Pivot'!$C$3:$C$400)=TRIM($A239)) * ('Full month Pivot'!$D$2:$K$2=P$2) * 'Full month Pivot'!$D$3:$K$400)&gt;0, SUMPRODUCT((('Full month Pivot'!$B$3:$B$400=$A$231) + ('Full month Pivot'!$A$3:$A$400=$A$231) &gt; 0) * (TRIM('Full month Pivot'!$C$3:$C$400)=TRIM($A239)) * ('Full month Pivot'!$D$2:$K$2=P$2) * 'Full month Pivot'!$D$3:$K$400), "")</f>
        <v/>
      </c>
      <c r="Q239" s="193">
        <f>IF(SUMPRODUCT((('Full month Pivot'!$B$3:$B$400=$A$231) + ('Full month Pivot'!$A$3:$A$400=$A$231) &gt; 0) * (TRIM('Full month Pivot'!$C$3:$C$400)=TRIM($A239)) * ('Full month Pivot'!$D$2:$K$2=Q$2) * 'Full month Pivot'!$D$3:$K$400)&gt;0, SUMPRODUCT((('Full month Pivot'!$B$3:$B$400=$A$231) + ('Full month Pivot'!$A$3:$A$400=$A$231) &gt; 0) * (TRIM('Full month Pivot'!$C$3:$C$400)=TRIM($A239)) * ('Full month Pivot'!$D$2:$K$2=Q$2) * 'Full month Pivot'!$D$3:$K$400), "")</f>
        <v/>
      </c>
      <c r="R239" s="193">
        <f>IF(SUMPRODUCT((('Full month Pivot'!$B$3:$B$400=$A$231) + ('Full month Pivot'!$A$3:$A$400=$A$231) &gt; 0) * (TRIM('Full month Pivot'!$C$3:$C$400)=TRIM($A239)) * ('Full month Pivot'!$D$2:$K$2=R$2) * 'Full month Pivot'!$D$3:$K$400)&gt;0, SUMPRODUCT((('Full month Pivot'!$B$3:$B$400=$A$231) + ('Full month Pivot'!$A$3:$A$400=$A$231) &gt; 0) * (TRIM('Full month Pivot'!$C$3:$C$400)=TRIM($A239)) * ('Full month Pivot'!$D$2:$K$2=R$2) * 'Full month Pivot'!$D$3:$K$400), "")</f>
        <v/>
      </c>
      <c r="S239" s="193">
        <f>IF(SUMPRODUCT((('Full month Pivot'!$B$3:$B$400=$A$231) + ('Full month Pivot'!$A$3:$A$400=$A$231) &gt; 0) * (TRIM('Full month Pivot'!$C$3:$C$400)=TRIM($A239)) * ('Full month Pivot'!$D$2:$K$2=S$2) * 'Full month Pivot'!$D$3:$K$400)&gt;0, SUMPRODUCT((('Full month Pivot'!$B$3:$B$400=$A$231) + ('Full month Pivot'!$A$3:$A$400=$A$231) &gt; 0) * (TRIM('Full month Pivot'!$C$3:$C$400)=TRIM($A239)) * ('Full month Pivot'!$D$2:$K$2=S$2) * 'Full month Pivot'!$D$3:$K$400), "")</f>
        <v/>
      </c>
      <c r="T239" s="193">
        <f>IF(SUMPRODUCT((('Full month Pivot'!$B$3:$B$400=$A$231) + ('Full month Pivot'!$A$3:$A$400=$A$231) &gt; 0) * (TRIM('Full month Pivot'!$C$3:$C$400)=TRIM($A239)) * ('Full month Pivot'!$D$2:$K$2=T$2) * 'Full month Pivot'!$D$3:$K$400)&gt;0, SUMPRODUCT((('Full month Pivot'!$B$3:$B$400=$A$231) + ('Full month Pivot'!$A$3:$A$400=$A$231) &gt; 0) * (TRIM('Full month Pivot'!$C$3:$C$400)=TRIM($A239)) * ('Full month Pivot'!$D$2:$K$2=T$2) * 'Full month Pivot'!$D$3:$K$400), "")</f>
        <v/>
      </c>
      <c r="U239" s="193">
        <f>IF(SUMPRODUCT((('Full month Pivot'!$B$3:$B$400=$A$231) + ('Full month Pivot'!$A$3:$A$400=$A$231) &gt; 0) * (TRIM('Full month Pivot'!$C$3:$C$400)=TRIM($A239)) * ('Full month Pivot'!$D$2:$K$2=U$2) * 'Full month Pivot'!$D$3:$K$400)&gt;0, SUMPRODUCT((('Full month Pivot'!$B$3:$B$400=$A$231) + ('Full month Pivot'!$A$3:$A$400=$A$231) &gt; 0) * (TRIM('Full month Pivot'!$C$3:$C$400)=TRIM($A239)) * ('Full month Pivot'!$D$2:$K$2=U$2) * 'Full month Pivot'!$D$3:$K$400), "")</f>
        <v/>
      </c>
      <c r="V239" s="193">
        <f>IF(SUMPRODUCT((('Full month Pivot'!$B$3:$B$400=$A$231) + ('Full month Pivot'!$A$3:$A$400=$A$231) &gt; 0) * (TRIM('Full month Pivot'!$C$3:$C$400)=TRIM($A239)) * ('Full month Pivot'!$D$2:$K$2=V$2) * 'Full month Pivot'!$D$3:$K$400)&gt;0, SUMPRODUCT((('Full month Pivot'!$B$3:$B$400=$A$231) + ('Full month Pivot'!$A$3:$A$400=$A$231) &gt; 0) * (TRIM('Full month Pivot'!$C$3:$C$400)=TRIM($A239)) * ('Full month Pivot'!$D$2:$K$2=V$2) * 'Full month Pivot'!$D$3:$K$400), "")</f>
        <v/>
      </c>
      <c r="W239" s="193">
        <f>IF(SUMPRODUCT((('Full month Pivot'!$B$3:$B$400=$A$231) + ('Full month Pivot'!$A$3:$A$400=$A$231) &gt; 0) * (TRIM('Full month Pivot'!$C$3:$C$400)=TRIM($A239)) * ('Full month Pivot'!$D$2:$K$2=W$2) * 'Full month Pivot'!$D$3:$K$400)&gt;0, SUMPRODUCT((('Full month Pivot'!$B$3:$B$400=$A$231) + ('Full month Pivot'!$A$3:$A$400=$A$231) &gt; 0) * (TRIM('Full month Pivot'!$C$3:$C$400)=TRIM($A239)) * ('Full month Pivot'!$D$2:$K$2=W$2) * 'Full month Pivot'!$D$3:$K$400), "")</f>
        <v/>
      </c>
      <c r="X239" s="193">
        <f>IF(SUMPRODUCT((('Full month Pivot'!$B$3:$B$400=$A$231) + ('Full month Pivot'!$A$3:$A$400=$A$231) &gt; 0) * (TRIM('Full month Pivot'!$C$3:$C$400)=TRIM($A239)) * ('Full month Pivot'!$D$2:$K$2=X$2) * 'Full month Pivot'!$D$3:$K$400)&gt;0, SUMPRODUCT((('Full month Pivot'!$B$3:$B$400=$A$231) + ('Full month Pivot'!$A$3:$A$400=$A$231) &gt; 0) * (TRIM('Full month Pivot'!$C$3:$C$400)=TRIM($A239)) * ('Full month Pivot'!$D$2:$K$2=X$2) * 'Full month Pivot'!$D$3:$K$400), "")</f>
        <v/>
      </c>
      <c r="Y239" s="193">
        <f>IF(SUMPRODUCT((('Full month Pivot'!$B$3:$B$400=$A$231) + ('Full month Pivot'!$A$3:$A$400=$A$231) &gt; 0) * (TRIM('Full month Pivot'!$C$3:$C$400)=TRIM($A239)) * ('Full month Pivot'!$D$2:$K$2=Y$2) * 'Full month Pivot'!$D$3:$K$400)&gt;0, SUMPRODUCT((('Full month Pivot'!$B$3:$B$400=$A$231) + ('Full month Pivot'!$A$3:$A$400=$A$231) &gt; 0) * (TRIM('Full month Pivot'!$C$3:$C$400)=TRIM($A239)) * ('Full month Pivot'!$D$2:$K$2=Y$2) * 'Full month Pivot'!$D$3:$K$400), "")</f>
        <v/>
      </c>
      <c r="Z239" s="193">
        <f>IF(SUMPRODUCT((('Full month Pivot'!$B$3:$B$400=$A$231) + ('Full month Pivot'!$A$3:$A$400=$A$231) &gt; 0) * (TRIM('Full month Pivot'!$C$3:$C$400)=TRIM($A239)) * ('Full month Pivot'!$D$2:$K$2=Z$2) * 'Full month Pivot'!$D$3:$K$400)&gt;0, SUMPRODUCT((('Full month Pivot'!$B$3:$B$400=$A$231) + ('Full month Pivot'!$A$3:$A$400=$A$231) &gt; 0) * (TRIM('Full month Pivot'!$C$3:$C$400)=TRIM($A239)) * ('Full month Pivot'!$D$2:$K$2=Z$2) * 'Full month Pivot'!$D$3:$K$400), "")</f>
        <v/>
      </c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202" t="inlineStr">
        <is>
          <t xml:space="preserve">  Referral</t>
        </is>
      </c>
      <c r="B240" s="193">
        <f>IF(SUMPRODUCT((('MTD Pivot'!$B$3:$B$400=$A$231) + ('MTD Pivot'!$A$3:$A$400=$A$231) &gt; 0) * (TRIM('MTD Pivot'!$C$3:$C$400)=TRIM($A240)) * ('MTD Pivot'!$D$2:$K$2=B$2) * 'MTD Pivot'!$D$3:$K$400)&gt;0, SUMPRODUCT((('MTD Pivot'!$B$3:$B$400=$A$231) + ('MTD Pivot'!$A$3:$A$400=$A$231) &gt; 0) * (TRIM('MTD Pivot'!$C$3:$C$400)=TRIM($A240)) * ('MTD Pivot'!$D$2:$K$2=B$2) * 'MTD Pivot'!$D$3:$K$400), "")</f>
        <v/>
      </c>
      <c r="C240" s="193">
        <f>IF(SUMPRODUCT((('MTD Pivot'!$B$3:$B$400=$A$231) + ('MTD Pivot'!$A$3:$A$400=$A$231) &gt; 0) * (TRIM('MTD Pivot'!$C$3:$C$400)=TRIM($A240)) * ('MTD Pivot'!$D$2:$K$2=C$2) * 'MTD Pivot'!$D$3:$K$400)&gt;0, SUMPRODUCT((('MTD Pivot'!$B$3:$B$400=$A$231) + ('MTD Pivot'!$A$3:$A$400=$A$231) &gt; 0) * (TRIM('MTD Pivot'!$C$3:$C$400)=TRIM($A240)) * ('MTD Pivot'!$D$2:$K$2=C$2) * 'MTD Pivot'!$D$3:$K$400), "")</f>
        <v/>
      </c>
      <c r="D240" s="193">
        <f>IF(SUMPRODUCT((('MTD Pivot'!$B$3:$B$400=$A$231) + ('MTD Pivot'!$A$3:$A$400=$A$231) &gt; 0) * (TRIM('MTD Pivot'!$C$3:$C$400)=TRIM($A240)) * ('MTD Pivot'!$D$2:$K$2=D$2) * 'MTD Pivot'!$D$3:$K$400)&gt;0, SUMPRODUCT((('MTD Pivot'!$B$3:$B$400=$A$231) + ('MTD Pivot'!$A$3:$A$400=$A$231) &gt; 0) * (TRIM('MTD Pivot'!$C$3:$C$400)=TRIM($A240)) * ('MTD Pivot'!$D$2:$K$2=D$2) * 'MTD Pivot'!$D$3:$K$400), "")</f>
        <v/>
      </c>
      <c r="E240" s="193">
        <f>IF(SUMPRODUCT((('MTD Pivot'!$B$3:$B$400=$A$231) + ('MTD Pivot'!$A$3:$A$400=$A$231) &gt; 0) * (TRIM('MTD Pivot'!$C$3:$C$400)=TRIM($A240)) * ('MTD Pivot'!$D$2:$K$2=E$2) * 'MTD Pivot'!$D$3:$K$400)&gt;0, SUMPRODUCT((('MTD Pivot'!$B$3:$B$400=$A$231) + ('MTD Pivot'!$A$3:$A$400=$A$231) &gt; 0) * (TRIM('MTD Pivot'!$C$3:$C$400)=TRIM($A240)) * ('MTD Pivot'!$D$2:$K$2=E$2) * 'MTD Pivot'!$D$3:$K$400), "")</f>
        <v/>
      </c>
      <c r="F240" s="193">
        <f>IF(SUMPRODUCT((('MTD Pivot'!$B$3:$B$400=$A$231) + ('MTD Pivot'!$A$3:$A$400=$A$231) &gt; 0) * (TRIM('MTD Pivot'!$C$3:$C$400)=TRIM($A240)) * ('MTD Pivot'!$D$2:$K$2=F$2) * 'MTD Pivot'!$D$3:$K$400)&gt;0, SUMPRODUCT((('MTD Pivot'!$B$3:$B$400=$A$231) + ('MTD Pivot'!$A$3:$A$400=$A$231) &gt; 0) * (TRIM('MTD Pivot'!$C$3:$C$400)=TRIM($A240)) * ('MTD Pivot'!$D$2:$K$2=F$2) * 'MTD Pivot'!$D$3:$K$400), "")</f>
        <v/>
      </c>
      <c r="G240" s="193">
        <f>IF(SUMPRODUCT((('MTD Pivot'!$B$3:$B$400=$A$231) + ('MTD Pivot'!$A$3:$A$400=$A$231) &gt; 0) * (TRIM('MTD Pivot'!$C$3:$C$400)=TRIM($A240)) * ('MTD Pivot'!$D$2:$K$2=G$2) * 'MTD Pivot'!$D$3:$K$400)&gt;0, SUMPRODUCT((('MTD Pivot'!$B$3:$B$400=$A$231) + ('MTD Pivot'!$A$3:$A$400=$A$231) &gt; 0) * (TRIM('MTD Pivot'!$C$3:$C$400)=TRIM($A240)) * ('MTD Pivot'!$D$2:$K$2=G$2) * 'MTD Pivot'!$D$3:$K$400), "")</f>
        <v/>
      </c>
      <c r="H240" s="193">
        <f>IF(SUMPRODUCT((('MTD Pivot'!$B$3:$B$400=$A$231) + ('MTD Pivot'!$A$3:$A$400=$A$231) &gt; 0) * (TRIM('MTD Pivot'!$C$3:$C$400)=TRIM($A240)) * ('MTD Pivot'!$D$2:$K$2=H$2) * 'MTD Pivot'!$D$3:$K$400)&gt;0, SUMPRODUCT((('MTD Pivot'!$B$3:$B$400=$A$231) + ('MTD Pivot'!$A$3:$A$400=$A$231) &gt; 0) * (TRIM('MTD Pivot'!$C$3:$C$400)=TRIM($A240)) * ('MTD Pivot'!$D$2:$K$2=H$2) * 'MTD Pivot'!$D$3:$K$400), "")</f>
        <v/>
      </c>
      <c r="I240" s="193">
        <f>IF(SUMPRODUCT((('MTD Pivot'!$B$3:$B$400=$A$231) + ('MTD Pivot'!$A$3:$A$400=$A$231) &gt; 0) * (TRIM('MTD Pivot'!$C$3:$C$400)=TRIM($A240)) * ('MTD Pivot'!$D$2:$K$2=I$2) * 'MTD Pivot'!$D$3:$K$400)&gt;0, SUMPRODUCT((('MTD Pivot'!$B$3:$B$400=$A$231) + ('MTD Pivot'!$A$3:$A$400=$A$231) &gt; 0) * (TRIM('MTD Pivot'!$C$3:$C$400)=TRIM($A240)) * ('MTD Pivot'!$D$2:$K$2=I$2) * 'MTD Pivot'!$D$3:$K$400), "")</f>
        <v/>
      </c>
      <c r="J240" s="193">
        <f>IF(SUMPRODUCT((('MTD Pivot'!$B$3:$B$400=$A$231) + ('MTD Pivot'!$A$3:$A$400=$A$231) &gt; 0) * (TRIM('MTD Pivot'!$C$3:$C$400)=TRIM($A240)) * ('MTD Pivot'!$D$2:$K$2=J$2) * 'MTD Pivot'!$D$3:$K$400)&gt;0, SUMPRODUCT((('MTD Pivot'!$B$3:$B$400=$A$231) + ('MTD Pivot'!$A$3:$A$400=$A$231) &gt; 0) * (TRIM('MTD Pivot'!$C$3:$C$400)=TRIM($A240)) * ('MTD Pivot'!$D$2:$K$2=J$2) * 'MTD Pivot'!$D$3:$K$400), "")</f>
        <v/>
      </c>
      <c r="K240" s="193">
        <f>IF(SUMPRODUCT((('MTD Pivot'!$B$3:$B$400=$A$231) + ('MTD Pivot'!$A$3:$A$400=$A$231) &gt; 0) * (TRIM('MTD Pivot'!$C$3:$C$400)=TRIM($A240)) * ('MTD Pivot'!$D$2:$K$2=K$2) * 'MTD Pivot'!$D$3:$K$400)&gt;0, SUMPRODUCT((('MTD Pivot'!$B$3:$B$400=$A$231) + ('MTD Pivot'!$A$3:$A$400=$A$231) &gt; 0) * (TRIM('MTD Pivot'!$C$3:$C$400)=TRIM($A240)) * ('MTD Pivot'!$D$2:$K$2=K$2) * 'MTD Pivot'!$D$3:$K$400), "")</f>
        <v/>
      </c>
      <c r="L240" s="193">
        <f>IF(SUMPRODUCT((('MTD Pivot'!$B$3:$B$400=$A$231) + ('MTD Pivot'!$A$3:$A$400=$A$231) &gt; 0) * (TRIM('MTD Pivot'!$C$3:$C$400)=TRIM($A240)) * ('MTD Pivot'!$D$2:$K$2=L$2) * 'MTD Pivot'!$D$3:$K$400)&gt;0, SUMPRODUCT((('MTD Pivot'!$B$3:$B$400=$A$231) + ('MTD Pivot'!$A$3:$A$400=$A$231) &gt; 0) * (TRIM('MTD Pivot'!$C$3:$C$400)=TRIM($A240)) * ('MTD Pivot'!$D$2:$K$2=L$2) * 'MTD Pivot'!$D$3:$K$400), "")</f>
        <v/>
      </c>
      <c r="M240" s="193">
        <f>IF(SUMPRODUCT((('MTD Pivot'!$B$3:$B$400=$A$231) + ('MTD Pivot'!$A$3:$A$400=$A$231) &gt; 0) * (TRIM('MTD Pivot'!$C$3:$C$400)=TRIM($A240)) * ('MTD Pivot'!$D$2:$K$2=M$2) * 'MTD Pivot'!$D$3:$K$400)&gt;0, SUMPRODUCT((('MTD Pivot'!$B$3:$B$400=$A$231) + ('MTD Pivot'!$A$3:$A$400=$A$231) &gt; 0) * (TRIM('MTD Pivot'!$C$3:$C$400)=TRIM($A240)) * ('MTD Pivot'!$D$2:$K$2=M$2) * 'MTD Pivot'!$D$3:$K$400), "")</f>
        <v/>
      </c>
      <c r="N240" s="157">
        <f>IF(AND(ISNUMBER(K240), ISNUMBER(J240), J240&gt;0), (K240-J240)/J240, "")</f>
        <v/>
      </c>
      <c r="O240" s="193">
        <f>IF(SUMPRODUCT((('Full month Pivot'!$B$3:$B$400=$A$231) + ('Full month Pivot'!$A$3:$A$400=$A$231) &gt; 0) * (TRIM('Full month Pivot'!$C$3:$C$400)=TRIM($A240)) * ('Full month Pivot'!$D$2:$K$2=O$2) * 'Full month Pivot'!$D$3:$K$400)&gt;0, SUMPRODUCT((('Full month Pivot'!$B$3:$B$400=$A$231) + ('Full month Pivot'!$A$3:$A$400=$A$231) &gt; 0) * (TRIM('Full month Pivot'!$C$3:$C$400)=TRIM($A240)) * ('Full month Pivot'!$D$2:$K$2=O$2) * 'Full month Pivot'!$D$3:$K$400), "")</f>
        <v/>
      </c>
      <c r="P240" s="193">
        <f>IF(SUMPRODUCT((('Full month Pivot'!$B$3:$B$400=$A$231) + ('Full month Pivot'!$A$3:$A$400=$A$231) &gt; 0) * (TRIM('Full month Pivot'!$C$3:$C$400)=TRIM($A240)) * ('Full month Pivot'!$D$2:$K$2=P$2) * 'Full month Pivot'!$D$3:$K$400)&gt;0, SUMPRODUCT((('Full month Pivot'!$B$3:$B$400=$A$231) + ('Full month Pivot'!$A$3:$A$400=$A$231) &gt; 0) * (TRIM('Full month Pivot'!$C$3:$C$400)=TRIM($A240)) * ('Full month Pivot'!$D$2:$K$2=P$2) * 'Full month Pivot'!$D$3:$K$400), "")</f>
        <v/>
      </c>
      <c r="Q240" s="193">
        <f>IF(SUMPRODUCT((('Full month Pivot'!$B$3:$B$400=$A$231) + ('Full month Pivot'!$A$3:$A$400=$A$231) &gt; 0) * (TRIM('Full month Pivot'!$C$3:$C$400)=TRIM($A240)) * ('Full month Pivot'!$D$2:$K$2=Q$2) * 'Full month Pivot'!$D$3:$K$400)&gt;0, SUMPRODUCT((('Full month Pivot'!$B$3:$B$400=$A$231) + ('Full month Pivot'!$A$3:$A$400=$A$231) &gt; 0) * (TRIM('Full month Pivot'!$C$3:$C$400)=TRIM($A240)) * ('Full month Pivot'!$D$2:$K$2=Q$2) * 'Full month Pivot'!$D$3:$K$400), "")</f>
        <v/>
      </c>
      <c r="R240" s="193">
        <f>IF(SUMPRODUCT((('Full month Pivot'!$B$3:$B$400=$A$231) + ('Full month Pivot'!$A$3:$A$400=$A$231) &gt; 0) * (TRIM('Full month Pivot'!$C$3:$C$400)=TRIM($A240)) * ('Full month Pivot'!$D$2:$K$2=R$2) * 'Full month Pivot'!$D$3:$K$400)&gt;0, SUMPRODUCT((('Full month Pivot'!$B$3:$B$400=$A$231) + ('Full month Pivot'!$A$3:$A$400=$A$231) &gt; 0) * (TRIM('Full month Pivot'!$C$3:$C$400)=TRIM($A240)) * ('Full month Pivot'!$D$2:$K$2=R$2) * 'Full month Pivot'!$D$3:$K$400), "")</f>
        <v/>
      </c>
      <c r="S240" s="193">
        <f>IF(SUMPRODUCT((('Full month Pivot'!$B$3:$B$400=$A$231) + ('Full month Pivot'!$A$3:$A$400=$A$231) &gt; 0) * (TRIM('Full month Pivot'!$C$3:$C$400)=TRIM($A240)) * ('Full month Pivot'!$D$2:$K$2=S$2) * 'Full month Pivot'!$D$3:$K$400)&gt;0, SUMPRODUCT((('Full month Pivot'!$B$3:$B$400=$A$231) + ('Full month Pivot'!$A$3:$A$400=$A$231) &gt; 0) * (TRIM('Full month Pivot'!$C$3:$C$400)=TRIM($A240)) * ('Full month Pivot'!$D$2:$K$2=S$2) * 'Full month Pivot'!$D$3:$K$400), "")</f>
        <v/>
      </c>
      <c r="T240" s="193">
        <f>IF(SUMPRODUCT((('Full month Pivot'!$B$3:$B$400=$A$231) + ('Full month Pivot'!$A$3:$A$400=$A$231) &gt; 0) * (TRIM('Full month Pivot'!$C$3:$C$400)=TRIM($A240)) * ('Full month Pivot'!$D$2:$K$2=T$2) * 'Full month Pivot'!$D$3:$K$400)&gt;0, SUMPRODUCT((('Full month Pivot'!$B$3:$B$400=$A$231) + ('Full month Pivot'!$A$3:$A$400=$A$231) &gt; 0) * (TRIM('Full month Pivot'!$C$3:$C$400)=TRIM($A240)) * ('Full month Pivot'!$D$2:$K$2=T$2) * 'Full month Pivot'!$D$3:$K$400), "")</f>
        <v/>
      </c>
      <c r="U240" s="193">
        <f>IF(SUMPRODUCT((('Full month Pivot'!$B$3:$B$400=$A$231) + ('Full month Pivot'!$A$3:$A$400=$A$231) &gt; 0) * (TRIM('Full month Pivot'!$C$3:$C$400)=TRIM($A240)) * ('Full month Pivot'!$D$2:$K$2=U$2) * 'Full month Pivot'!$D$3:$K$400)&gt;0, SUMPRODUCT((('Full month Pivot'!$B$3:$B$400=$A$231) + ('Full month Pivot'!$A$3:$A$400=$A$231) &gt; 0) * (TRIM('Full month Pivot'!$C$3:$C$400)=TRIM($A240)) * ('Full month Pivot'!$D$2:$K$2=U$2) * 'Full month Pivot'!$D$3:$K$400), "")</f>
        <v/>
      </c>
      <c r="V240" s="193">
        <f>IF(SUMPRODUCT((('Full month Pivot'!$B$3:$B$400=$A$231) + ('Full month Pivot'!$A$3:$A$400=$A$231) &gt; 0) * (TRIM('Full month Pivot'!$C$3:$C$400)=TRIM($A240)) * ('Full month Pivot'!$D$2:$K$2=V$2) * 'Full month Pivot'!$D$3:$K$400)&gt;0, SUMPRODUCT((('Full month Pivot'!$B$3:$B$400=$A$231) + ('Full month Pivot'!$A$3:$A$400=$A$231) &gt; 0) * (TRIM('Full month Pivot'!$C$3:$C$400)=TRIM($A240)) * ('Full month Pivot'!$D$2:$K$2=V$2) * 'Full month Pivot'!$D$3:$K$400), "")</f>
        <v/>
      </c>
      <c r="W240" s="193">
        <f>IF(SUMPRODUCT((('Full month Pivot'!$B$3:$B$400=$A$231) + ('Full month Pivot'!$A$3:$A$400=$A$231) &gt; 0) * (TRIM('Full month Pivot'!$C$3:$C$400)=TRIM($A240)) * ('Full month Pivot'!$D$2:$K$2=W$2) * 'Full month Pivot'!$D$3:$K$400)&gt;0, SUMPRODUCT((('Full month Pivot'!$B$3:$B$400=$A$231) + ('Full month Pivot'!$A$3:$A$400=$A$231) &gt; 0) * (TRIM('Full month Pivot'!$C$3:$C$400)=TRIM($A240)) * ('Full month Pivot'!$D$2:$K$2=W$2) * 'Full month Pivot'!$D$3:$K$400), "")</f>
        <v/>
      </c>
      <c r="X240" s="193">
        <f>IF(SUMPRODUCT((('Full month Pivot'!$B$3:$B$400=$A$231) + ('Full month Pivot'!$A$3:$A$400=$A$231) &gt; 0) * (TRIM('Full month Pivot'!$C$3:$C$400)=TRIM($A240)) * ('Full month Pivot'!$D$2:$K$2=X$2) * 'Full month Pivot'!$D$3:$K$400)&gt;0, SUMPRODUCT((('Full month Pivot'!$B$3:$B$400=$A$231) + ('Full month Pivot'!$A$3:$A$400=$A$231) &gt; 0) * (TRIM('Full month Pivot'!$C$3:$C$400)=TRIM($A240)) * ('Full month Pivot'!$D$2:$K$2=X$2) * 'Full month Pivot'!$D$3:$K$400), "")</f>
        <v/>
      </c>
      <c r="Y240" s="193">
        <f>IF(SUMPRODUCT((('Full month Pivot'!$B$3:$B$400=$A$231) + ('Full month Pivot'!$A$3:$A$400=$A$231) &gt; 0) * (TRIM('Full month Pivot'!$C$3:$C$400)=TRIM($A240)) * ('Full month Pivot'!$D$2:$K$2=Y$2) * 'Full month Pivot'!$D$3:$K$400)&gt;0, SUMPRODUCT((('Full month Pivot'!$B$3:$B$400=$A$231) + ('Full month Pivot'!$A$3:$A$400=$A$231) &gt; 0) * (TRIM('Full month Pivot'!$C$3:$C$400)=TRIM($A240)) * ('Full month Pivot'!$D$2:$K$2=Y$2) * 'Full month Pivot'!$D$3:$K$400), "")</f>
        <v/>
      </c>
      <c r="Z240" s="193">
        <f>IF(SUMPRODUCT((('Full month Pivot'!$B$3:$B$400=$A$231) + ('Full month Pivot'!$A$3:$A$400=$A$231) &gt; 0) * (TRIM('Full month Pivot'!$C$3:$C$400)=TRIM($A240)) * ('Full month Pivot'!$D$2:$K$2=Z$2) * 'Full month Pivot'!$D$3:$K$400)&gt;0, SUMPRODUCT((('Full month Pivot'!$B$3:$B$400=$A$231) + ('Full month Pivot'!$A$3:$A$400=$A$231) &gt; 0) * (TRIM('Full month Pivot'!$C$3:$C$400)=TRIM($A240)) * ('Full month Pivot'!$D$2:$K$2=Z$2) * 'Full month Pivot'!$D$3:$K$400), "")</f>
        <v/>
      </c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202" t="inlineStr">
        <is>
          <t xml:space="preserve">  Others</t>
        </is>
      </c>
      <c r="B241" s="193">
        <f>IF(SUMPRODUCT((('MTD Pivot'!$B$3:$B$400=$A$231) + ('MTD Pivot'!$A$3:$A$400=$A$231) &gt; 0) * (TRIM('MTD Pivot'!$C$3:$C$400)=TRIM($A241)) * ('MTD Pivot'!$D$2:$K$2=B$2) * 'MTD Pivot'!$D$3:$K$400)&gt;0, SUMPRODUCT((('MTD Pivot'!$B$3:$B$400=$A$231) + ('MTD Pivot'!$A$3:$A$400=$A$231) &gt; 0) * (TRIM('MTD Pivot'!$C$3:$C$400)=TRIM($A241)) * ('MTD Pivot'!$D$2:$K$2=B$2) * 'MTD Pivot'!$D$3:$K$400), "")</f>
        <v/>
      </c>
      <c r="C241" s="193">
        <f>IF(SUMPRODUCT((('MTD Pivot'!$B$3:$B$400=$A$231) + ('MTD Pivot'!$A$3:$A$400=$A$231) &gt; 0) * (TRIM('MTD Pivot'!$C$3:$C$400)=TRIM($A241)) * ('MTD Pivot'!$D$2:$K$2=C$2) * 'MTD Pivot'!$D$3:$K$400)&gt;0, SUMPRODUCT((('MTD Pivot'!$B$3:$B$400=$A$231) + ('MTD Pivot'!$A$3:$A$400=$A$231) &gt; 0) * (TRIM('MTD Pivot'!$C$3:$C$400)=TRIM($A241)) * ('MTD Pivot'!$D$2:$K$2=C$2) * 'MTD Pivot'!$D$3:$K$400), "")</f>
        <v/>
      </c>
      <c r="D241" s="193">
        <f>IF(SUMPRODUCT((('MTD Pivot'!$B$3:$B$400=$A$231) + ('MTD Pivot'!$A$3:$A$400=$A$231) &gt; 0) * (TRIM('MTD Pivot'!$C$3:$C$400)=TRIM($A241)) * ('MTD Pivot'!$D$2:$K$2=D$2) * 'MTD Pivot'!$D$3:$K$400)&gt;0, SUMPRODUCT((('MTD Pivot'!$B$3:$B$400=$A$231) + ('MTD Pivot'!$A$3:$A$400=$A$231) &gt; 0) * (TRIM('MTD Pivot'!$C$3:$C$400)=TRIM($A241)) * ('MTD Pivot'!$D$2:$K$2=D$2) * 'MTD Pivot'!$D$3:$K$400), "")</f>
        <v/>
      </c>
      <c r="E241" s="193">
        <f>IF(SUMPRODUCT((('MTD Pivot'!$B$3:$B$400=$A$231) + ('MTD Pivot'!$A$3:$A$400=$A$231) &gt; 0) * (TRIM('MTD Pivot'!$C$3:$C$400)=TRIM($A241)) * ('MTD Pivot'!$D$2:$K$2=E$2) * 'MTD Pivot'!$D$3:$K$400)&gt;0, SUMPRODUCT((('MTD Pivot'!$B$3:$B$400=$A$231) + ('MTD Pivot'!$A$3:$A$400=$A$231) &gt; 0) * (TRIM('MTD Pivot'!$C$3:$C$400)=TRIM($A241)) * ('MTD Pivot'!$D$2:$K$2=E$2) * 'MTD Pivot'!$D$3:$K$400), "")</f>
        <v/>
      </c>
      <c r="F241" s="193">
        <f>IF(SUMPRODUCT((('MTD Pivot'!$B$3:$B$400=$A$231) + ('MTD Pivot'!$A$3:$A$400=$A$231) &gt; 0) * (TRIM('MTD Pivot'!$C$3:$C$400)=TRIM($A241)) * ('MTD Pivot'!$D$2:$K$2=F$2) * 'MTD Pivot'!$D$3:$K$400)&gt;0, SUMPRODUCT((('MTD Pivot'!$B$3:$B$400=$A$231) + ('MTD Pivot'!$A$3:$A$400=$A$231) &gt; 0) * (TRIM('MTD Pivot'!$C$3:$C$400)=TRIM($A241)) * ('MTD Pivot'!$D$2:$K$2=F$2) * 'MTD Pivot'!$D$3:$K$400), "")</f>
        <v/>
      </c>
      <c r="G241" s="193">
        <f>IF(SUMPRODUCT((('MTD Pivot'!$B$3:$B$400=$A$231) + ('MTD Pivot'!$A$3:$A$400=$A$231) &gt; 0) * (TRIM('MTD Pivot'!$C$3:$C$400)=TRIM($A241)) * ('MTD Pivot'!$D$2:$K$2=G$2) * 'MTD Pivot'!$D$3:$K$400)&gt;0, SUMPRODUCT((('MTD Pivot'!$B$3:$B$400=$A$231) + ('MTD Pivot'!$A$3:$A$400=$A$231) &gt; 0) * (TRIM('MTD Pivot'!$C$3:$C$400)=TRIM($A241)) * ('MTD Pivot'!$D$2:$K$2=G$2) * 'MTD Pivot'!$D$3:$K$400), "")</f>
        <v/>
      </c>
      <c r="H241" s="193">
        <f>IF(SUMPRODUCT((('MTD Pivot'!$B$3:$B$400=$A$231) + ('MTD Pivot'!$A$3:$A$400=$A$231) &gt; 0) * (TRIM('MTD Pivot'!$C$3:$C$400)=TRIM($A241)) * ('MTD Pivot'!$D$2:$K$2=H$2) * 'MTD Pivot'!$D$3:$K$400)&gt;0, SUMPRODUCT((('MTD Pivot'!$B$3:$B$400=$A$231) + ('MTD Pivot'!$A$3:$A$400=$A$231) &gt; 0) * (TRIM('MTD Pivot'!$C$3:$C$400)=TRIM($A241)) * ('MTD Pivot'!$D$2:$K$2=H$2) * 'MTD Pivot'!$D$3:$K$400), "")</f>
        <v/>
      </c>
      <c r="I241" s="193">
        <f>IF(SUMPRODUCT((('MTD Pivot'!$B$3:$B$400=$A$231) + ('MTD Pivot'!$A$3:$A$400=$A$231) &gt; 0) * (TRIM('MTD Pivot'!$C$3:$C$400)=TRIM($A241)) * ('MTD Pivot'!$D$2:$K$2=I$2) * 'MTD Pivot'!$D$3:$K$400)&gt;0, SUMPRODUCT((('MTD Pivot'!$B$3:$B$400=$A$231) + ('MTD Pivot'!$A$3:$A$400=$A$231) &gt; 0) * (TRIM('MTD Pivot'!$C$3:$C$400)=TRIM($A241)) * ('MTD Pivot'!$D$2:$K$2=I$2) * 'MTD Pivot'!$D$3:$K$400), "")</f>
        <v/>
      </c>
      <c r="J241" s="193">
        <f>IF(SUMPRODUCT((('MTD Pivot'!$B$3:$B$400=$A$231) + ('MTD Pivot'!$A$3:$A$400=$A$231) &gt; 0) * (TRIM('MTD Pivot'!$C$3:$C$400)=TRIM($A241)) * ('MTD Pivot'!$D$2:$K$2=J$2) * 'MTD Pivot'!$D$3:$K$400)&gt;0, SUMPRODUCT((('MTD Pivot'!$B$3:$B$400=$A$231) + ('MTD Pivot'!$A$3:$A$400=$A$231) &gt; 0) * (TRIM('MTD Pivot'!$C$3:$C$400)=TRIM($A241)) * ('MTD Pivot'!$D$2:$K$2=J$2) * 'MTD Pivot'!$D$3:$K$400), "")</f>
        <v/>
      </c>
      <c r="K241" s="193">
        <f>IF(SUMPRODUCT((('MTD Pivot'!$B$3:$B$400=$A$231) + ('MTD Pivot'!$A$3:$A$400=$A$231) &gt; 0) * (TRIM('MTD Pivot'!$C$3:$C$400)=TRIM($A241)) * ('MTD Pivot'!$D$2:$K$2=K$2) * 'MTD Pivot'!$D$3:$K$400)&gt;0, SUMPRODUCT((('MTD Pivot'!$B$3:$B$400=$A$231) + ('MTD Pivot'!$A$3:$A$400=$A$231) &gt; 0) * (TRIM('MTD Pivot'!$C$3:$C$400)=TRIM($A241)) * ('MTD Pivot'!$D$2:$K$2=K$2) * 'MTD Pivot'!$D$3:$K$400), "")</f>
        <v/>
      </c>
      <c r="L241" s="193">
        <f>IF(SUMPRODUCT((('MTD Pivot'!$B$3:$B$400=$A$231) + ('MTD Pivot'!$A$3:$A$400=$A$231) &gt; 0) * (TRIM('MTD Pivot'!$C$3:$C$400)=TRIM($A241)) * ('MTD Pivot'!$D$2:$K$2=L$2) * 'MTD Pivot'!$D$3:$K$400)&gt;0, SUMPRODUCT((('MTD Pivot'!$B$3:$B$400=$A$231) + ('MTD Pivot'!$A$3:$A$400=$A$231) &gt; 0) * (TRIM('MTD Pivot'!$C$3:$C$400)=TRIM($A241)) * ('MTD Pivot'!$D$2:$K$2=L$2) * 'MTD Pivot'!$D$3:$K$400), "")</f>
        <v/>
      </c>
      <c r="M241" s="193">
        <f>IF(SUMPRODUCT((('MTD Pivot'!$B$3:$B$400=$A$231) + ('MTD Pivot'!$A$3:$A$400=$A$231) &gt; 0) * (TRIM('MTD Pivot'!$C$3:$C$400)=TRIM($A241)) * ('MTD Pivot'!$D$2:$K$2=M$2) * 'MTD Pivot'!$D$3:$K$400)&gt;0, SUMPRODUCT((('MTD Pivot'!$B$3:$B$400=$A$231) + ('MTD Pivot'!$A$3:$A$400=$A$231) &gt; 0) * (TRIM('MTD Pivot'!$C$3:$C$400)=TRIM($A241)) * ('MTD Pivot'!$D$2:$K$2=M$2) * 'MTD Pivot'!$D$3:$K$400), "")</f>
        <v/>
      </c>
      <c r="N241" s="157">
        <f>IF(AND(ISNUMBER(K241), ISNUMBER(J241), J241&gt;0), (K241-J241)/J241, "")</f>
        <v/>
      </c>
      <c r="O241" s="193">
        <f>IF(SUMPRODUCT((('Full month Pivot'!$B$3:$B$400=$A$231) + ('Full month Pivot'!$A$3:$A$400=$A$231) &gt; 0) * (TRIM('Full month Pivot'!$C$3:$C$400)=TRIM($A241)) * ('Full month Pivot'!$D$2:$K$2=O$2) * 'Full month Pivot'!$D$3:$K$400)&gt;0, SUMPRODUCT((('Full month Pivot'!$B$3:$B$400=$A$231) + ('Full month Pivot'!$A$3:$A$400=$A$231) &gt; 0) * (TRIM('Full month Pivot'!$C$3:$C$400)=TRIM($A241)) * ('Full month Pivot'!$D$2:$K$2=O$2) * 'Full month Pivot'!$D$3:$K$400), "")</f>
        <v/>
      </c>
      <c r="P241" s="193">
        <f>IF(SUMPRODUCT((('Full month Pivot'!$B$3:$B$400=$A$231) + ('Full month Pivot'!$A$3:$A$400=$A$231) &gt; 0) * (TRIM('Full month Pivot'!$C$3:$C$400)=TRIM($A241)) * ('Full month Pivot'!$D$2:$K$2=P$2) * 'Full month Pivot'!$D$3:$K$400)&gt;0, SUMPRODUCT((('Full month Pivot'!$B$3:$B$400=$A$231) + ('Full month Pivot'!$A$3:$A$400=$A$231) &gt; 0) * (TRIM('Full month Pivot'!$C$3:$C$400)=TRIM($A241)) * ('Full month Pivot'!$D$2:$K$2=P$2) * 'Full month Pivot'!$D$3:$K$400), "")</f>
        <v/>
      </c>
      <c r="Q241" s="193">
        <f>IF(SUMPRODUCT((('Full month Pivot'!$B$3:$B$400=$A$231) + ('Full month Pivot'!$A$3:$A$400=$A$231) &gt; 0) * (TRIM('Full month Pivot'!$C$3:$C$400)=TRIM($A241)) * ('Full month Pivot'!$D$2:$K$2=Q$2) * 'Full month Pivot'!$D$3:$K$400)&gt;0, SUMPRODUCT((('Full month Pivot'!$B$3:$B$400=$A$231) + ('Full month Pivot'!$A$3:$A$400=$A$231) &gt; 0) * (TRIM('Full month Pivot'!$C$3:$C$400)=TRIM($A241)) * ('Full month Pivot'!$D$2:$K$2=Q$2) * 'Full month Pivot'!$D$3:$K$400), "")</f>
        <v/>
      </c>
      <c r="R241" s="193">
        <f>IF(SUMPRODUCT((('Full month Pivot'!$B$3:$B$400=$A$231) + ('Full month Pivot'!$A$3:$A$400=$A$231) &gt; 0) * (TRIM('Full month Pivot'!$C$3:$C$400)=TRIM($A241)) * ('Full month Pivot'!$D$2:$K$2=R$2) * 'Full month Pivot'!$D$3:$K$400)&gt;0, SUMPRODUCT((('Full month Pivot'!$B$3:$B$400=$A$231) + ('Full month Pivot'!$A$3:$A$400=$A$231) &gt; 0) * (TRIM('Full month Pivot'!$C$3:$C$400)=TRIM($A241)) * ('Full month Pivot'!$D$2:$K$2=R$2) * 'Full month Pivot'!$D$3:$K$400), "")</f>
        <v/>
      </c>
      <c r="S241" s="193">
        <f>IF(SUMPRODUCT((('Full month Pivot'!$B$3:$B$400=$A$231) + ('Full month Pivot'!$A$3:$A$400=$A$231) &gt; 0) * (TRIM('Full month Pivot'!$C$3:$C$400)=TRIM($A241)) * ('Full month Pivot'!$D$2:$K$2=S$2) * 'Full month Pivot'!$D$3:$K$400)&gt;0, SUMPRODUCT((('Full month Pivot'!$B$3:$B$400=$A$231) + ('Full month Pivot'!$A$3:$A$400=$A$231) &gt; 0) * (TRIM('Full month Pivot'!$C$3:$C$400)=TRIM($A241)) * ('Full month Pivot'!$D$2:$K$2=S$2) * 'Full month Pivot'!$D$3:$K$400), "")</f>
        <v/>
      </c>
      <c r="T241" s="193">
        <f>IF(SUMPRODUCT((('Full month Pivot'!$B$3:$B$400=$A$231) + ('Full month Pivot'!$A$3:$A$400=$A$231) &gt; 0) * (TRIM('Full month Pivot'!$C$3:$C$400)=TRIM($A241)) * ('Full month Pivot'!$D$2:$K$2=T$2) * 'Full month Pivot'!$D$3:$K$400)&gt;0, SUMPRODUCT((('Full month Pivot'!$B$3:$B$400=$A$231) + ('Full month Pivot'!$A$3:$A$400=$A$231) &gt; 0) * (TRIM('Full month Pivot'!$C$3:$C$400)=TRIM($A241)) * ('Full month Pivot'!$D$2:$K$2=T$2) * 'Full month Pivot'!$D$3:$K$400), "")</f>
        <v/>
      </c>
      <c r="U241" s="193">
        <f>IF(SUMPRODUCT((('Full month Pivot'!$B$3:$B$400=$A$231) + ('Full month Pivot'!$A$3:$A$400=$A$231) &gt; 0) * (TRIM('Full month Pivot'!$C$3:$C$400)=TRIM($A241)) * ('Full month Pivot'!$D$2:$K$2=U$2) * 'Full month Pivot'!$D$3:$K$400)&gt;0, SUMPRODUCT((('Full month Pivot'!$B$3:$B$400=$A$231) + ('Full month Pivot'!$A$3:$A$400=$A$231) &gt; 0) * (TRIM('Full month Pivot'!$C$3:$C$400)=TRIM($A241)) * ('Full month Pivot'!$D$2:$K$2=U$2) * 'Full month Pivot'!$D$3:$K$400), "")</f>
        <v/>
      </c>
      <c r="V241" s="193">
        <f>IF(SUMPRODUCT((('Full month Pivot'!$B$3:$B$400=$A$231) + ('Full month Pivot'!$A$3:$A$400=$A$231) &gt; 0) * (TRIM('Full month Pivot'!$C$3:$C$400)=TRIM($A241)) * ('Full month Pivot'!$D$2:$K$2=V$2) * 'Full month Pivot'!$D$3:$K$400)&gt;0, SUMPRODUCT((('Full month Pivot'!$B$3:$B$400=$A$231) + ('Full month Pivot'!$A$3:$A$400=$A$231) &gt; 0) * (TRIM('Full month Pivot'!$C$3:$C$400)=TRIM($A241)) * ('Full month Pivot'!$D$2:$K$2=V$2) * 'Full month Pivot'!$D$3:$K$400), "")</f>
        <v/>
      </c>
      <c r="W241" s="193">
        <f>IF(SUMPRODUCT((('Full month Pivot'!$B$3:$B$400=$A$231) + ('Full month Pivot'!$A$3:$A$400=$A$231) &gt; 0) * (TRIM('Full month Pivot'!$C$3:$C$400)=TRIM($A241)) * ('Full month Pivot'!$D$2:$K$2=W$2) * 'Full month Pivot'!$D$3:$K$400)&gt;0, SUMPRODUCT((('Full month Pivot'!$B$3:$B$400=$A$231) + ('Full month Pivot'!$A$3:$A$400=$A$231) &gt; 0) * (TRIM('Full month Pivot'!$C$3:$C$400)=TRIM($A241)) * ('Full month Pivot'!$D$2:$K$2=W$2) * 'Full month Pivot'!$D$3:$K$400), "")</f>
        <v/>
      </c>
      <c r="X241" s="193">
        <f>IF(SUMPRODUCT((('Full month Pivot'!$B$3:$B$400=$A$231) + ('Full month Pivot'!$A$3:$A$400=$A$231) &gt; 0) * (TRIM('Full month Pivot'!$C$3:$C$400)=TRIM($A241)) * ('Full month Pivot'!$D$2:$K$2=X$2) * 'Full month Pivot'!$D$3:$K$400)&gt;0, SUMPRODUCT((('Full month Pivot'!$B$3:$B$400=$A$231) + ('Full month Pivot'!$A$3:$A$400=$A$231) &gt; 0) * (TRIM('Full month Pivot'!$C$3:$C$400)=TRIM($A241)) * ('Full month Pivot'!$D$2:$K$2=X$2) * 'Full month Pivot'!$D$3:$K$400), "")</f>
        <v/>
      </c>
      <c r="Y241" s="193">
        <f>IF(SUMPRODUCT((('Full month Pivot'!$B$3:$B$400=$A$231) + ('Full month Pivot'!$A$3:$A$400=$A$231) &gt; 0) * (TRIM('Full month Pivot'!$C$3:$C$400)=TRIM($A241)) * ('Full month Pivot'!$D$2:$K$2=Y$2) * 'Full month Pivot'!$D$3:$K$400)&gt;0, SUMPRODUCT((('Full month Pivot'!$B$3:$B$400=$A$231) + ('Full month Pivot'!$A$3:$A$400=$A$231) &gt; 0) * (TRIM('Full month Pivot'!$C$3:$C$400)=TRIM($A241)) * ('Full month Pivot'!$D$2:$K$2=Y$2) * 'Full month Pivot'!$D$3:$K$400), "")</f>
        <v/>
      </c>
      <c r="Z241" s="193">
        <f>IF(SUMPRODUCT((('Full month Pivot'!$B$3:$B$400=$A$231) + ('Full month Pivot'!$A$3:$A$400=$A$231) &gt; 0) * (TRIM('Full month Pivot'!$C$3:$C$400)=TRIM($A241)) * ('Full month Pivot'!$D$2:$K$2=Z$2) * 'Full month Pivot'!$D$3:$K$400)&gt;0, SUMPRODUCT((('Full month Pivot'!$B$3:$B$400=$A$231) + ('Full month Pivot'!$A$3:$A$400=$A$231) &gt; 0) * (TRIM('Full month Pivot'!$C$3:$C$400)=TRIM($A241)) * ('Full month Pivot'!$D$2:$K$2=Z$2) * 'Full month Pivot'!$D$3:$K$400), "")</f>
        <v/>
      </c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202" t="n"/>
      <c r="B242" s="202" t="n"/>
      <c r="C242" s="202" t="n"/>
      <c r="D242" s="202" t="n"/>
      <c r="E242" s="202" t="n"/>
      <c r="F242" s="202" t="n"/>
      <c r="G242" s="202" t="n"/>
      <c r="H242" s="202" t="n"/>
      <c r="I242" s="202" t="n"/>
      <c r="J242" s="202" t="n"/>
      <c r="K242" s="202" t="n"/>
      <c r="L242" s="202" t="n"/>
      <c r="M242" s="202" t="n"/>
      <c r="N242" s="202" t="n"/>
      <c r="O242" s="202" t="n"/>
      <c r="P242" s="202" t="n"/>
      <c r="Q242" s="202" t="n"/>
      <c r="R242" s="202" t="n"/>
      <c r="S242" s="202" t="n"/>
      <c r="T242" s="202" t="n"/>
      <c r="U242" s="202" t="n"/>
      <c r="V242" s="202" t="n"/>
      <c r="W242" s="202" t="n"/>
      <c r="X242" s="202" t="n"/>
      <c r="Y242" s="202" t="n"/>
      <c r="Z242" s="202" t="n"/>
      <c r="AA242" s="202" t="n"/>
      <c r="AB242" s="140" t="n"/>
      <c r="AC242" s="140" t="n"/>
      <c r="AD242" s="140" t="n"/>
    </row>
    <row r="243" ht="15.75" customHeight="1" s="346">
      <c r="A243" s="145" t="inlineStr">
        <is>
          <t>Tìm Kiếm</t>
        </is>
      </c>
      <c r="B243" s="145" t="n"/>
      <c r="C243" s="145" t="n"/>
      <c r="D243" s="145" t="n"/>
      <c r="E243" s="145" t="n"/>
      <c r="F243" s="145" t="n"/>
      <c r="G243" s="145" t="n"/>
      <c r="H243" s="145" t="n"/>
      <c r="I243" s="145" t="n"/>
      <c r="J243" s="145" t="n"/>
      <c r="K243" s="145" t="n"/>
      <c r="L243" s="145" t="n"/>
      <c r="M243" s="145" t="n"/>
      <c r="N243" s="145" t="n"/>
      <c r="O243" s="145" t="n"/>
      <c r="P243" s="145" t="n"/>
      <c r="Q243" s="145" t="n"/>
      <c r="R243" s="145" t="n"/>
      <c r="S243" s="145" t="n"/>
      <c r="T243" s="145" t="n"/>
      <c r="U243" s="145" t="n"/>
      <c r="V243" s="145" t="n"/>
      <c r="W243" s="145" t="n"/>
      <c r="X243" s="145" t="n"/>
      <c r="Y243" s="145" t="n"/>
      <c r="Z243" s="145" t="n"/>
      <c r="AA243" s="145" t="n"/>
      <c r="AB243" s="140" t="n"/>
      <c r="AC243" s="140" t="n"/>
      <c r="AD243" s="140" t="n"/>
    </row>
    <row r="244" ht="15.75" customHeight="1" s="346">
      <c r="A244" s="146" t="inlineStr">
        <is>
          <t>Page views</t>
        </is>
      </c>
      <c r="B244" s="147">
        <f>IF(SUM(B249:B253)&gt;0, SUM(B249:B253), "")</f>
        <v/>
      </c>
      <c r="C244" s="147">
        <f>IF(SUM(C249:C253)&gt;0, SUM(C249:C253), "")</f>
        <v/>
      </c>
      <c r="D244" s="147">
        <f>IF(SUM(D249:D253)&gt;0, SUM(D249:D253), "")</f>
        <v/>
      </c>
      <c r="E244" s="147">
        <f>IF(SUM(E249:E253)&gt;0, SUM(E249:E253), "")</f>
        <v/>
      </c>
      <c r="F244" s="147">
        <f>IF(SUM(F249:F253)&gt;0, SUM(F249:F253), "")</f>
        <v/>
      </c>
      <c r="G244" s="147">
        <f>IF(SUM(G249:G253)&gt;0, SUM(G249:G253), "")</f>
        <v/>
      </c>
      <c r="H244" s="147">
        <f>IF(SUM(H249:H253)&gt;0, SUM(H249:H253), "")</f>
        <v/>
      </c>
      <c r="I244" s="147">
        <f>IF(SUM(I249:I253)&gt;0, SUM(I249:I253), "")</f>
        <v/>
      </c>
      <c r="J244" s="147">
        <f>IF(SUM(J249:J253)&gt;0, SUM(J249:J253), "")</f>
        <v/>
      </c>
      <c r="K244" s="147">
        <f>IF(SUM(K249:K253)&gt;0, SUM(K249:K253), "")</f>
        <v/>
      </c>
      <c r="L244" s="147">
        <f>IF(SUM(L249:L253)&gt;0, SUM(L249:L253), "")</f>
        <v/>
      </c>
      <c r="M244" s="147">
        <f>IF(SUM(M249:M253)&gt;0, SUM(M249:M253), "")</f>
        <v/>
      </c>
      <c r="N244" s="148">
        <f>IFERROR((K244-J244)/J244, "")</f>
        <v/>
      </c>
      <c r="O244" s="147">
        <f>IF(SUM(O249:O253)&gt;0, SUM(O249:O253), "")</f>
        <v/>
      </c>
      <c r="P244" s="147">
        <f>IF(SUM(P249:P253)&gt;0, SUM(P249:P253), "")</f>
        <v/>
      </c>
      <c r="Q244" s="147">
        <f>IF(SUM(Q249:Q253)&gt;0, SUM(Q249:Q253), "")</f>
        <v/>
      </c>
      <c r="R244" s="147">
        <f>IF(SUM(R249:R253)&gt;0, SUM(R249:R253), "")</f>
        <v/>
      </c>
      <c r="S244" s="147">
        <f>IF(SUM(S249:S253)&gt;0, SUM(S249:S253), "")</f>
        <v/>
      </c>
      <c r="T244" s="147">
        <f>IF(SUM(T249:T253)&gt;0, SUM(T249:T253), "")</f>
        <v/>
      </c>
      <c r="U244" s="147">
        <f>IF(SUM(U249:U253)&gt;0, SUM(U249:U253), "")</f>
        <v/>
      </c>
      <c r="V244" s="147">
        <f>IF(SUM(V249:V253)&gt;0, SUM(V249:V253), "")</f>
        <v/>
      </c>
      <c r="W244" s="147">
        <f>IF(SUM(W249:W253)&gt;0, SUM(W249:W253), "")</f>
        <v/>
      </c>
      <c r="X244" s="147">
        <f>IF(SUM(X249:X253)&gt;0, SUM(X249:X253), "")</f>
        <v/>
      </c>
      <c r="Y244" s="147">
        <f>IF(SUM(Y249:Y253)&gt;0, SUM(Y249:Y253), "")</f>
        <v/>
      </c>
      <c r="Z244" s="147">
        <f>IF(SUM(Z249:Z253)&gt;0, SUM(Z249:Z253), "")</f>
        <v/>
      </c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150" t="inlineStr">
        <is>
          <t xml:space="preserve">  Click CTA</t>
        </is>
      </c>
      <c r="B245" s="150" t="n"/>
      <c r="C245" s="150" t="n"/>
      <c r="D245" s="150" t="n"/>
      <c r="E245" s="150" t="n"/>
      <c r="F245" s="150" t="n">
        <v>83</v>
      </c>
      <c r="G245" s="150" t="n">
        <v>99</v>
      </c>
      <c r="H245" s="150" t="n">
        <v>106</v>
      </c>
      <c r="I245" s="150" t="n">
        <v>124</v>
      </c>
      <c r="J245" s="150" t="n">
        <v>76</v>
      </c>
      <c r="K245" s="150" t="n">
        <v>103</v>
      </c>
      <c r="L245" s="150" t="n"/>
      <c r="M245" s="150" t="n"/>
      <c r="N245" s="151">
        <f>IFERROR((K245-J245)/J245, "")</f>
        <v/>
      </c>
      <c r="O245" s="150" t="n"/>
      <c r="P245" s="150" t="n"/>
      <c r="Q245" s="150" t="n"/>
      <c r="R245" s="150" t="n"/>
      <c r="S245" s="150" t="n">
        <v>91</v>
      </c>
      <c r="T245" s="150" t="n">
        <v>103</v>
      </c>
      <c r="U245" s="150" t="n">
        <v>127</v>
      </c>
      <c r="V245" s="150" t="n">
        <v>128</v>
      </c>
      <c r="W245" s="150" t="n">
        <v>86</v>
      </c>
      <c r="X245" s="150" t="n">
        <v>103</v>
      </c>
      <c r="Y245" s="150" t="n"/>
      <c r="Z245" s="150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152" t="inlineStr">
        <is>
          <t xml:space="preserve">  Net change</t>
        </is>
      </c>
      <c r="B246" s="153" t="n"/>
      <c r="C246" s="153">
        <f>IF(AND(ISNUMBER(C244), ISNUMBER(B244), B244&gt;0, C244&gt;0), C244-B244, "")</f>
        <v/>
      </c>
      <c r="D246" s="153">
        <f>IF(AND(ISNUMBER(D244), ISNUMBER(C244), C244&gt;0, D244&gt;0), D244-C244, "")</f>
        <v/>
      </c>
      <c r="E246" s="153">
        <f>IF(AND(ISNUMBER(E244), ISNUMBER(D244), D244&gt;0, E244&gt;0), E244-D244, "")</f>
        <v/>
      </c>
      <c r="F246" s="153">
        <f>IF(AND(ISNUMBER(F244), ISNUMBER(E244), E244&gt;0, F244&gt;0), F244-E244, "")</f>
        <v/>
      </c>
      <c r="G246" s="153">
        <f>IF(AND(ISNUMBER(G244), ISNUMBER(F244), F244&gt;0, G244&gt;0), G244-F244, "")</f>
        <v/>
      </c>
      <c r="H246" s="153">
        <f>IF(AND(ISNUMBER(H244), ISNUMBER(G244), G244&gt;0, H244&gt;0), H244-G244, "")</f>
        <v/>
      </c>
      <c r="I246" s="153">
        <f>IF(AND(ISNUMBER(I244), ISNUMBER(H244), H244&gt;0, I244&gt;0), I244-H244, "")</f>
        <v/>
      </c>
      <c r="J246" s="153">
        <f>IF(AND(ISNUMBER(J244), ISNUMBER(I244), I244&gt;0, J244&gt;0), J244-I244, "")</f>
        <v/>
      </c>
      <c r="K246" s="153">
        <f>IF(AND(ISNUMBER(K244), ISNUMBER(J244), J244&gt;0, K244&gt;0), K244-J244, "")</f>
        <v/>
      </c>
      <c r="L246" s="153">
        <f>IF(AND(ISNUMBER(L244), ISNUMBER(K244), K244&gt;0, L244&gt;0), L244-K244, "")</f>
        <v/>
      </c>
      <c r="M246" s="153">
        <f>IF(AND(ISNUMBER(M244), ISNUMBER(L244), L244&gt;0, M244&gt;0), M244-L244, "")</f>
        <v/>
      </c>
      <c r="N246" s="153" t="n"/>
      <c r="O246" s="153" t="n"/>
      <c r="P246" s="153">
        <f>IF(AND(ISNUMBER(P244), ISNUMBER(O244), O244&gt;0, P244&gt;0), P244-O244, "")</f>
        <v/>
      </c>
      <c r="Q246" s="153">
        <f>IF(AND(ISNUMBER(Q244), ISNUMBER(P244), P244&gt;0, Q244&gt;0), Q244-P244, "")</f>
        <v/>
      </c>
      <c r="R246" s="153">
        <f>IF(AND(ISNUMBER(R244), ISNUMBER(Q244), Q244&gt;0, R244&gt;0), R244-Q244, "")</f>
        <v/>
      </c>
      <c r="S246" s="153">
        <f>IF(AND(ISNUMBER(S244), ISNUMBER(R244), R244&gt;0, S244&gt;0), S244-R244, "")</f>
        <v/>
      </c>
      <c r="T246" s="153">
        <f>IF(AND(ISNUMBER(T244), ISNUMBER(S244), S244&gt;0, T244&gt;0), T244-S244, "")</f>
        <v/>
      </c>
      <c r="U246" s="153">
        <f>IF(AND(ISNUMBER(U244), ISNUMBER(T244), T244&gt;0, U244&gt;0), U244-T244, "")</f>
        <v/>
      </c>
      <c r="V246" s="153">
        <f>IF(AND(ISNUMBER(V244), ISNUMBER(U244), U244&gt;0, V244&gt;0), V244-U244, "")</f>
        <v/>
      </c>
      <c r="W246" s="153">
        <f>IF(AND(ISNUMBER(W244), ISNUMBER(V244), V244&gt;0, W244&gt;0), W244-V244, "")</f>
        <v/>
      </c>
      <c r="X246" s="153">
        <f>IF(AND(ISNUMBER(X244), ISNUMBER(W244), W244&gt;0, X244&gt;0), X244-W244, "")</f>
        <v/>
      </c>
      <c r="Y246" s="153">
        <f>IF(AND(ISNUMBER(Y244), ISNUMBER(X244), X244&gt;0, Y244&gt;0), Y244-X244, "")</f>
        <v/>
      </c>
      <c r="Z246" s="153">
        <f>IF(AND(ISNUMBER(Z244), ISNUMBER(Y244), Y244&gt;0, Z244&gt;0), Z244-Y244, "")</f>
        <v/>
      </c>
      <c r="AA246" s="153" t="n"/>
      <c r="AB246" s="140" t="n"/>
      <c r="AC246" s="140" t="n"/>
      <c r="AD246" s="140" t="n"/>
    </row>
    <row r="247" ht="15.75" customHeight="1" s="346">
      <c r="A247" s="152" t="inlineStr">
        <is>
          <t xml:space="preserve">  % Growth rate</t>
        </is>
      </c>
      <c r="B247" s="203" t="n"/>
      <c r="C247" s="203">
        <f>IF(AND(ISNUMBER(C244), ISNUMBER(B244), B244&gt;0, C244&gt;0), (C244-B244)/B244, "")</f>
        <v/>
      </c>
      <c r="D247" s="203">
        <f>IF(AND(ISNUMBER(D244), ISNUMBER(C244), C244&gt;0, D244&gt;0), (D244-C244)/C244, "")</f>
        <v/>
      </c>
      <c r="E247" s="203">
        <f>IF(AND(ISNUMBER(E244), ISNUMBER(D244), D244&gt;0, E244&gt;0), (E244-D244)/D244, "")</f>
        <v/>
      </c>
      <c r="F247" s="203">
        <f>IF(AND(ISNUMBER(F244), ISNUMBER(E244), E244&gt;0, F244&gt;0), (F244-E244)/E244, "")</f>
        <v/>
      </c>
      <c r="G247" s="203">
        <f>IF(AND(ISNUMBER(G244), ISNUMBER(F244), F244&gt;0, G244&gt;0), (G244-F244)/F244, "")</f>
        <v/>
      </c>
      <c r="H247" s="203">
        <f>IF(AND(ISNUMBER(H244), ISNUMBER(G244), G244&gt;0, H244&gt;0), (H244-G244)/G244, "")</f>
        <v/>
      </c>
      <c r="I247" s="203">
        <f>IF(AND(ISNUMBER(I244), ISNUMBER(H244), H244&gt;0, I244&gt;0), (I244-H244)/H244, "")</f>
        <v/>
      </c>
      <c r="J247" s="203">
        <f>IF(AND(ISNUMBER(J244), ISNUMBER(I244), I244&gt;0, J244&gt;0), (J244-I244)/I244, "")</f>
        <v/>
      </c>
      <c r="K247" s="203">
        <f>IF(AND(ISNUMBER(K244), ISNUMBER(J244), J244&gt;0, K244&gt;0), (K244-J244)/J244, "")</f>
        <v/>
      </c>
      <c r="L247" s="203">
        <f>IF(AND(ISNUMBER(L244), ISNUMBER(K244), K244&gt;0, L244&gt;0), (L244-K244)/K244, "")</f>
        <v/>
      </c>
      <c r="M247" s="203">
        <f>IF(AND(ISNUMBER(M244), ISNUMBER(L244), L244&gt;0, M244&gt;0), (M244-L244)/L244, "")</f>
        <v/>
      </c>
      <c r="N247" s="203" t="n"/>
      <c r="O247" s="203" t="n"/>
      <c r="P247" s="203">
        <f>IF(AND(ISNUMBER(P244), ISNUMBER(O244), O244&gt;0, P244&gt;0), (P244-O244)/O244, "")</f>
        <v/>
      </c>
      <c r="Q247" s="203">
        <f>IF(AND(ISNUMBER(Q244), ISNUMBER(P244), P244&gt;0, Q244&gt;0), (Q244-P244)/P244, "")</f>
        <v/>
      </c>
      <c r="R247" s="203">
        <f>IF(AND(ISNUMBER(R244), ISNUMBER(Q244), Q244&gt;0, R244&gt;0), (R244-Q244)/Q244, "")</f>
        <v/>
      </c>
      <c r="S247" s="203">
        <f>IF(AND(ISNUMBER(S244), ISNUMBER(R244), R244&gt;0, S244&gt;0), (S244-R244)/R244, "")</f>
        <v/>
      </c>
      <c r="T247" s="203">
        <f>IF(AND(ISNUMBER(T244), ISNUMBER(S244), S244&gt;0, T244&gt;0), (T244-S244)/S244, "")</f>
        <v/>
      </c>
      <c r="U247" s="203">
        <f>IF(AND(ISNUMBER(U244), ISNUMBER(T244), T244&gt;0, U244&gt;0), (U244-T244)/T244, "")</f>
        <v/>
      </c>
      <c r="V247" s="203">
        <f>IF(AND(ISNUMBER(V244), ISNUMBER(U244), U244&gt;0, V244&gt;0), (V244-U244)/U244, "")</f>
        <v/>
      </c>
      <c r="W247" s="203">
        <f>IF(AND(ISNUMBER(W244), ISNUMBER(V244), V244&gt;0, W244&gt;0), (W244-V244)/V244, "")</f>
        <v/>
      </c>
      <c r="X247" s="203">
        <f>IF(AND(ISNUMBER(X244), ISNUMBER(W244), W244&gt;0, X244&gt;0), (X244-W244)/W244, "")</f>
        <v/>
      </c>
      <c r="Y247" s="203">
        <f>IF(AND(ISNUMBER(Y244), ISNUMBER(X244), X244&gt;0, Y244&gt;0), (Y244-X244)/X244, "")</f>
        <v/>
      </c>
      <c r="Z247" s="203">
        <f>IF(AND(ISNUMBER(Z244), ISNUMBER(Y244), Y244&gt;0, Z244&gt;0), (Z244-Y244)/Y244, "")</f>
        <v/>
      </c>
      <c r="AA247" s="203" t="n"/>
      <c r="AB247" s="140" t="n"/>
      <c r="AC247" s="140" t="n"/>
      <c r="AD247" s="140" t="n"/>
    </row>
    <row r="248" ht="15.75" customHeight="1" s="346">
      <c r="A248" s="202" t="inlineStr">
        <is>
          <t>Tỷ trọng trong tổng traffic</t>
        </is>
      </c>
      <c r="B248" s="156">
        <f t="array" ref="B248">IF(AND(ISNUMBER(B244), B244&gt;0), B244/INDEX('MTD Pivot'!$D$3:$K$400, MATCH("Grand Total", 'MTD Pivot'!$A$3:$A$400, 0), MATCH(B$2, 'MTD Pivot'!$D$2:$K$2, 0)), "")</f>
        <v/>
      </c>
      <c r="C248" s="156">
        <f t="array" ref="C248">IF(AND(ISNUMBER(C244), C244&gt;0), C244/INDEX('MTD Pivot'!$D$3:$K$400, MATCH("Grand Total", 'MTD Pivot'!$A$3:$A$400, 0), MATCH(C$2, 'MTD Pivot'!$D$2:$K$2, 0)), "")</f>
        <v/>
      </c>
      <c r="D248" s="156">
        <f t="array" ref="D248">IF(AND(ISNUMBER(D244), D244&gt;0), D244/INDEX('MTD Pivot'!$D$3:$K$400, MATCH("Grand Total", 'MTD Pivot'!$A$3:$A$400, 0), MATCH(D$2, 'MTD Pivot'!$D$2:$K$2, 0)), "")</f>
        <v/>
      </c>
      <c r="E248" s="156">
        <f t="array" ref="E248">IF(AND(ISNUMBER(E244), E244&gt;0), E244/INDEX('MTD Pivot'!$D$3:$K$400, MATCH("Grand Total", 'MTD Pivot'!$A$3:$A$400, 0), MATCH(E$2, 'MTD Pivot'!$D$2:$K$2, 0)), "")</f>
        <v/>
      </c>
      <c r="F248" s="156">
        <f t="array" ref="F248">IF(AND(ISNUMBER(F244), F244&gt;0), F244/INDEX('MTD Pivot'!$D$3:$K$400, MATCH("Grand Total", 'MTD Pivot'!$A$3:$A$400, 0), MATCH(F$2, 'MTD Pivot'!$D$2:$K$2, 0)), "")</f>
        <v/>
      </c>
      <c r="G248" s="156">
        <f t="array" ref="G248">IF(AND(ISNUMBER(G244), G244&gt;0), G244/INDEX('MTD Pivot'!$D$3:$K$400, MATCH("Grand Total", 'MTD Pivot'!$A$3:$A$400, 0), MATCH(G$2, 'MTD Pivot'!$D$2:$K$2, 0)), "")</f>
        <v/>
      </c>
      <c r="H248" s="156">
        <f t="array" ref="H248">IF(AND(ISNUMBER(H244), H244&gt;0), H244/INDEX('MTD Pivot'!$D$3:$K$400, MATCH("Grand Total", 'MTD Pivot'!$A$3:$A$400, 0), MATCH(H$2, 'MTD Pivot'!$D$2:$K$2, 0)), "")</f>
        <v/>
      </c>
      <c r="I248" s="156">
        <f t="array" ref="I248">IF(AND(ISNUMBER(I244), I244&gt;0), I244/INDEX('MTD Pivot'!$D$3:$K$400, MATCH("Grand Total", 'MTD Pivot'!$A$3:$A$400, 0), MATCH(I$2, 'MTD Pivot'!$D$2:$K$2, 0)), "")</f>
        <v/>
      </c>
      <c r="J248" s="156">
        <f t="array" ref="J248">IF(AND(ISNUMBER(J244), J244&gt;0), J244/INDEX('MTD Pivot'!$D$3:$K$400, MATCH("Grand Total", 'MTD Pivot'!$A$3:$A$400, 0), MATCH(J$2, 'MTD Pivot'!$D$2:$K$2, 0)), "")</f>
        <v/>
      </c>
      <c r="K248" s="156">
        <f t="array" ref="K248">IF(AND(ISNUMBER(K244), K244&gt;0), K244/INDEX('MTD Pivot'!$D$3:$K$400, MATCH("Grand Total", 'MTD Pivot'!$A$3:$A$400, 0), MATCH(K$2, 'MTD Pivot'!$D$2:$K$2, 0)), "")</f>
        <v/>
      </c>
      <c r="L248" s="156">
        <f t="array" ref="L248">IF(AND(ISNUMBER(L244), L244&gt;0), L244/INDEX('MTD Pivot'!$D$3:$K$400, MATCH("Grand Total", 'MTD Pivot'!$A$3:$A$400, 0), MATCH(L$2, 'MTD Pivot'!$D$2:$K$2, 0)), "")</f>
        <v/>
      </c>
      <c r="M248" s="156">
        <f t="array" ref="M248">IF(AND(ISNUMBER(M244), M244&gt;0), M244/INDEX('MTD Pivot'!$D$3:$K$400, MATCH("Grand Total", 'MTD Pivot'!$A$3:$A$400, 0), MATCH(M$2, 'MTD Pivot'!$D$2:$K$2, 0)), "")</f>
        <v/>
      </c>
      <c r="N248" s="157">
        <f>IF(AND(ISNUMBER(K248), ISNUMBER(J248)), K248-J248, "")</f>
        <v/>
      </c>
      <c r="O248" s="156">
        <f t="array" ref="O248">IF(AND(ISNUMBER(O244), O244&gt;0), O244/INDEX('Full month Pivot'!$D$3:$K$400, MATCH("Grand Total", 'Full month Pivot'!$A$3:$A$400, 0), MATCH(O$2, 'Full month Pivot'!$D$2:$K$2, 0)), "")</f>
        <v/>
      </c>
      <c r="P248" s="156">
        <f t="array" ref="P248">IF(AND(ISNUMBER(P244), P244&gt;0), P244/INDEX('Full month Pivot'!$D$3:$K$400, MATCH("Grand Total", 'Full month Pivot'!$A$3:$A$400, 0), MATCH(P$2, 'Full month Pivot'!$D$2:$K$2, 0)), "")</f>
        <v/>
      </c>
      <c r="Q248" s="156">
        <f t="array" ref="Q248">IF(AND(ISNUMBER(Q244), Q244&gt;0), Q244/INDEX('Full month Pivot'!$D$3:$K$400, MATCH("Grand Total", 'Full month Pivot'!$A$3:$A$400, 0), MATCH(Q$2, 'Full month Pivot'!$D$2:$K$2, 0)), "")</f>
        <v/>
      </c>
      <c r="R248" s="156">
        <f t="array" ref="R248">IF(AND(ISNUMBER(R244), R244&gt;0), R244/INDEX('Full month Pivot'!$D$3:$K$400, MATCH("Grand Total", 'Full month Pivot'!$A$3:$A$400, 0), MATCH(R$2, 'Full month Pivot'!$D$2:$K$2, 0)), "")</f>
        <v/>
      </c>
      <c r="S248" s="156">
        <f t="array" ref="S248">IF(AND(ISNUMBER(S244), S244&gt;0), S244/INDEX('Full month Pivot'!$D$3:$K$400, MATCH("Grand Total", 'Full month Pivot'!$A$3:$A$400, 0), MATCH(S$2, 'Full month Pivot'!$D$2:$K$2, 0)), "")</f>
        <v/>
      </c>
      <c r="T248" s="156">
        <f t="array" ref="T248">IF(AND(ISNUMBER(T244), T244&gt;0), T244/INDEX('Full month Pivot'!$D$3:$K$400, MATCH("Grand Total", 'Full month Pivot'!$A$3:$A$400, 0), MATCH(T$2, 'Full month Pivot'!$D$2:$K$2, 0)), "")</f>
        <v/>
      </c>
      <c r="U248" s="156">
        <f t="array" ref="U248">IF(AND(ISNUMBER(U244), U244&gt;0), U244/INDEX('Full month Pivot'!$D$3:$K$400, MATCH("Grand Total", 'Full month Pivot'!$A$3:$A$400, 0), MATCH(U$2, 'Full month Pivot'!$D$2:$K$2, 0)), "")</f>
        <v/>
      </c>
      <c r="V248" s="156">
        <f t="array" ref="V248">IF(AND(ISNUMBER(V244), V244&gt;0), V244/INDEX('Full month Pivot'!$D$3:$K$400, MATCH("Grand Total", 'Full month Pivot'!$A$3:$A$400, 0), MATCH(V$2, 'Full month Pivot'!$D$2:$K$2, 0)), "")</f>
        <v/>
      </c>
      <c r="W248" s="156">
        <f t="array" ref="W248">IF(AND(ISNUMBER(W244), W244&gt;0), W244/INDEX('Full month Pivot'!$D$3:$K$400, MATCH("Grand Total", 'Full month Pivot'!$A$3:$A$400, 0), MATCH(W$2, 'Full month Pivot'!$D$2:$K$2, 0)), "")</f>
        <v/>
      </c>
      <c r="X248" s="156">
        <f t="array" ref="X248">IF(AND(ISNUMBER(X244), X244&gt;0), X244/INDEX('Full month Pivot'!$D$3:$K$400, MATCH("Grand Total", 'Full month Pivot'!$A$3:$A$400, 0), MATCH(X$2, 'Full month Pivot'!$D$2:$K$2, 0)), "")</f>
        <v/>
      </c>
      <c r="Y248" s="156">
        <f t="array" ref="Y248">IF(AND(ISNUMBER(Y244), Y244&gt;0), Y244/INDEX('Full month Pivot'!$D$3:$K$400, MATCH("Grand Total", 'Full month Pivot'!$A$3:$A$400, 0), MATCH(Y$2, 'Full month Pivot'!$D$2:$K$2, 0)), "")</f>
        <v/>
      </c>
      <c r="Z248" s="156">
        <f t="array" ref="Z248">IF(AND(ISNUMBER(Z244), Z244&gt;0), Z244/INDEX('Full month Pivot'!$D$3:$K$400, MATCH("Grand Total", 'Full month Pivot'!$A$3:$A$400, 0), MATCH(Z$2, 'Full month Pivot'!$D$2:$K$2, 0)), "")</f>
        <v/>
      </c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202" t="inlineStr">
        <is>
          <t xml:space="preserve">  Organic</t>
        </is>
      </c>
      <c r="B249" s="193">
        <f>IF(SUMPRODUCT((('MTD Pivot'!$B$3:$B$400=$A$243) + ('MTD Pivot'!$A$3:$A$400=$A$243) &gt; 0) * (TRIM('MTD Pivot'!$C$3:$C$400)=TRIM($A249)) * ('MTD Pivot'!$D$2:$K$2=B$2) * 'MTD Pivot'!$D$3:$K$400)&gt;0, SUMPRODUCT((('MTD Pivot'!$B$3:$B$400=$A$243) + ('MTD Pivot'!$A$3:$A$400=$A$243) &gt; 0) * (TRIM('MTD Pivot'!$C$3:$C$400)=TRIM($A249)) * ('MTD Pivot'!$D$2:$K$2=B$2) * 'MTD Pivot'!$D$3:$K$400), "")</f>
        <v/>
      </c>
      <c r="C249" s="193">
        <f>IF(SUMPRODUCT((('MTD Pivot'!$B$3:$B$400=$A$243) + ('MTD Pivot'!$A$3:$A$400=$A$243) &gt; 0) * (TRIM('MTD Pivot'!$C$3:$C$400)=TRIM($A249)) * ('MTD Pivot'!$D$2:$K$2=C$2) * 'MTD Pivot'!$D$3:$K$400)&gt;0, SUMPRODUCT((('MTD Pivot'!$B$3:$B$400=$A$243) + ('MTD Pivot'!$A$3:$A$400=$A$243) &gt; 0) * (TRIM('MTD Pivot'!$C$3:$C$400)=TRIM($A249)) * ('MTD Pivot'!$D$2:$K$2=C$2) * 'MTD Pivot'!$D$3:$K$400), "")</f>
        <v/>
      </c>
      <c r="D249" s="193">
        <f>IF(SUMPRODUCT((('MTD Pivot'!$B$3:$B$400=$A$243) + ('MTD Pivot'!$A$3:$A$400=$A$243) &gt; 0) * (TRIM('MTD Pivot'!$C$3:$C$400)=TRIM($A249)) * ('MTD Pivot'!$D$2:$K$2=D$2) * 'MTD Pivot'!$D$3:$K$400)&gt;0, SUMPRODUCT((('MTD Pivot'!$B$3:$B$400=$A$243) + ('MTD Pivot'!$A$3:$A$400=$A$243) &gt; 0) * (TRIM('MTD Pivot'!$C$3:$C$400)=TRIM($A249)) * ('MTD Pivot'!$D$2:$K$2=D$2) * 'MTD Pivot'!$D$3:$K$400), "")</f>
        <v/>
      </c>
      <c r="E249" s="193">
        <f>IF(SUMPRODUCT((('MTD Pivot'!$B$3:$B$400=$A$243) + ('MTD Pivot'!$A$3:$A$400=$A$243) &gt; 0) * (TRIM('MTD Pivot'!$C$3:$C$400)=TRIM($A249)) * ('MTD Pivot'!$D$2:$K$2=E$2) * 'MTD Pivot'!$D$3:$K$400)&gt;0, SUMPRODUCT((('MTD Pivot'!$B$3:$B$400=$A$243) + ('MTD Pivot'!$A$3:$A$400=$A$243) &gt; 0) * (TRIM('MTD Pivot'!$C$3:$C$400)=TRIM($A249)) * ('MTD Pivot'!$D$2:$K$2=E$2) * 'MTD Pivot'!$D$3:$K$400), "")</f>
        <v/>
      </c>
      <c r="F249" s="193">
        <f>IF(SUMPRODUCT((('MTD Pivot'!$B$3:$B$400=$A$243) + ('MTD Pivot'!$A$3:$A$400=$A$243) &gt; 0) * (TRIM('MTD Pivot'!$C$3:$C$400)=TRIM($A249)) * ('MTD Pivot'!$D$2:$K$2=F$2) * 'MTD Pivot'!$D$3:$K$400)&gt;0, SUMPRODUCT((('MTD Pivot'!$B$3:$B$400=$A$243) + ('MTD Pivot'!$A$3:$A$400=$A$243) &gt; 0) * (TRIM('MTD Pivot'!$C$3:$C$400)=TRIM($A249)) * ('MTD Pivot'!$D$2:$K$2=F$2) * 'MTD Pivot'!$D$3:$K$400), "")</f>
        <v/>
      </c>
      <c r="G249" s="193">
        <f>IF(SUMPRODUCT((('MTD Pivot'!$B$3:$B$400=$A$243) + ('MTD Pivot'!$A$3:$A$400=$A$243) &gt; 0) * (TRIM('MTD Pivot'!$C$3:$C$400)=TRIM($A249)) * ('MTD Pivot'!$D$2:$K$2=G$2) * 'MTD Pivot'!$D$3:$K$400)&gt;0, SUMPRODUCT((('MTD Pivot'!$B$3:$B$400=$A$243) + ('MTD Pivot'!$A$3:$A$400=$A$243) &gt; 0) * (TRIM('MTD Pivot'!$C$3:$C$400)=TRIM($A249)) * ('MTD Pivot'!$D$2:$K$2=G$2) * 'MTD Pivot'!$D$3:$K$400), "")</f>
        <v/>
      </c>
      <c r="H249" s="193">
        <f>IF(SUMPRODUCT((('MTD Pivot'!$B$3:$B$400=$A$243) + ('MTD Pivot'!$A$3:$A$400=$A$243) &gt; 0) * (TRIM('MTD Pivot'!$C$3:$C$400)=TRIM($A249)) * ('MTD Pivot'!$D$2:$K$2=H$2) * 'MTD Pivot'!$D$3:$K$400)&gt;0, SUMPRODUCT((('MTD Pivot'!$B$3:$B$400=$A$243) + ('MTD Pivot'!$A$3:$A$400=$A$243) &gt; 0) * (TRIM('MTD Pivot'!$C$3:$C$400)=TRIM($A249)) * ('MTD Pivot'!$D$2:$K$2=H$2) * 'MTD Pivot'!$D$3:$K$400), "")</f>
        <v/>
      </c>
      <c r="I249" s="193">
        <f>IF(SUMPRODUCT((('MTD Pivot'!$B$3:$B$400=$A$243) + ('MTD Pivot'!$A$3:$A$400=$A$243) &gt; 0) * (TRIM('MTD Pivot'!$C$3:$C$400)=TRIM($A249)) * ('MTD Pivot'!$D$2:$K$2=I$2) * 'MTD Pivot'!$D$3:$K$400)&gt;0, SUMPRODUCT((('MTD Pivot'!$B$3:$B$400=$A$243) + ('MTD Pivot'!$A$3:$A$400=$A$243) &gt; 0) * (TRIM('MTD Pivot'!$C$3:$C$400)=TRIM($A249)) * ('MTD Pivot'!$D$2:$K$2=I$2) * 'MTD Pivot'!$D$3:$K$400), "")</f>
        <v/>
      </c>
      <c r="J249" s="193">
        <f>IF(SUMPRODUCT((('MTD Pivot'!$B$3:$B$400=$A$243) + ('MTD Pivot'!$A$3:$A$400=$A$243) &gt; 0) * (TRIM('MTD Pivot'!$C$3:$C$400)=TRIM($A249)) * ('MTD Pivot'!$D$2:$K$2=J$2) * 'MTD Pivot'!$D$3:$K$400)&gt;0, SUMPRODUCT((('MTD Pivot'!$B$3:$B$400=$A$243) + ('MTD Pivot'!$A$3:$A$400=$A$243) &gt; 0) * (TRIM('MTD Pivot'!$C$3:$C$400)=TRIM($A249)) * ('MTD Pivot'!$D$2:$K$2=J$2) * 'MTD Pivot'!$D$3:$K$400), "")</f>
        <v/>
      </c>
      <c r="K249" s="193">
        <f>IF(SUMPRODUCT((('MTD Pivot'!$B$3:$B$400=$A$243) + ('MTD Pivot'!$A$3:$A$400=$A$243) &gt; 0) * (TRIM('MTD Pivot'!$C$3:$C$400)=TRIM($A249)) * ('MTD Pivot'!$D$2:$K$2=K$2) * 'MTD Pivot'!$D$3:$K$400)&gt;0, SUMPRODUCT((('MTD Pivot'!$B$3:$B$400=$A$243) + ('MTD Pivot'!$A$3:$A$400=$A$243) &gt; 0) * (TRIM('MTD Pivot'!$C$3:$C$400)=TRIM($A249)) * ('MTD Pivot'!$D$2:$K$2=K$2) * 'MTD Pivot'!$D$3:$K$400), "")</f>
        <v/>
      </c>
      <c r="L249" s="193">
        <f>IF(SUMPRODUCT((('MTD Pivot'!$B$3:$B$400=$A$243) + ('MTD Pivot'!$A$3:$A$400=$A$243) &gt; 0) * (TRIM('MTD Pivot'!$C$3:$C$400)=TRIM($A249)) * ('MTD Pivot'!$D$2:$K$2=L$2) * 'MTD Pivot'!$D$3:$K$400)&gt;0, SUMPRODUCT((('MTD Pivot'!$B$3:$B$400=$A$243) + ('MTD Pivot'!$A$3:$A$400=$A$243) &gt; 0) * (TRIM('MTD Pivot'!$C$3:$C$400)=TRIM($A249)) * ('MTD Pivot'!$D$2:$K$2=L$2) * 'MTD Pivot'!$D$3:$K$400), "")</f>
        <v/>
      </c>
      <c r="M249" s="193">
        <f>IF(SUMPRODUCT((('MTD Pivot'!$B$3:$B$400=$A$243) + ('MTD Pivot'!$A$3:$A$400=$A$243) &gt; 0) * (TRIM('MTD Pivot'!$C$3:$C$400)=TRIM($A249)) * ('MTD Pivot'!$D$2:$K$2=M$2) * 'MTD Pivot'!$D$3:$K$400)&gt;0, SUMPRODUCT((('MTD Pivot'!$B$3:$B$400=$A$243) + ('MTD Pivot'!$A$3:$A$400=$A$243) &gt; 0) * (TRIM('MTD Pivot'!$C$3:$C$400)=TRIM($A249)) * ('MTD Pivot'!$D$2:$K$2=M$2) * 'MTD Pivot'!$D$3:$K$400), "")</f>
        <v/>
      </c>
      <c r="N249" s="157">
        <f>IF(AND(ISNUMBER(K249), ISNUMBER(J249), J249&gt;0), (K249-J249)/J249, "")</f>
        <v/>
      </c>
      <c r="O249" s="193">
        <f>IF(SUMPRODUCT((('Full month Pivot'!$B$3:$B$400=$A$243) + ('Full month Pivot'!$A$3:$A$400=$A$243) &gt; 0) * (TRIM('Full month Pivot'!$C$3:$C$400)=TRIM($A249)) * ('Full month Pivot'!$D$2:$K$2=O$2) * 'Full month Pivot'!$D$3:$K$400)&gt;0, SUMPRODUCT((('Full month Pivot'!$B$3:$B$400=$A$243) + ('Full month Pivot'!$A$3:$A$400=$A$243) &gt; 0) * (TRIM('Full month Pivot'!$C$3:$C$400)=TRIM($A249)) * ('Full month Pivot'!$D$2:$K$2=O$2) * 'Full month Pivot'!$D$3:$K$400), "")</f>
        <v/>
      </c>
      <c r="P249" s="193">
        <f>IF(SUMPRODUCT((('Full month Pivot'!$B$3:$B$400=$A$243) + ('Full month Pivot'!$A$3:$A$400=$A$243) &gt; 0) * (TRIM('Full month Pivot'!$C$3:$C$400)=TRIM($A249)) * ('Full month Pivot'!$D$2:$K$2=P$2) * 'Full month Pivot'!$D$3:$K$400)&gt;0, SUMPRODUCT((('Full month Pivot'!$B$3:$B$400=$A$243) + ('Full month Pivot'!$A$3:$A$400=$A$243) &gt; 0) * (TRIM('Full month Pivot'!$C$3:$C$400)=TRIM($A249)) * ('Full month Pivot'!$D$2:$K$2=P$2) * 'Full month Pivot'!$D$3:$K$400), "")</f>
        <v/>
      </c>
      <c r="Q249" s="193">
        <f>IF(SUMPRODUCT((('Full month Pivot'!$B$3:$B$400=$A$243) + ('Full month Pivot'!$A$3:$A$400=$A$243) &gt; 0) * (TRIM('Full month Pivot'!$C$3:$C$400)=TRIM($A249)) * ('Full month Pivot'!$D$2:$K$2=Q$2) * 'Full month Pivot'!$D$3:$K$400)&gt;0, SUMPRODUCT((('Full month Pivot'!$B$3:$B$400=$A$243) + ('Full month Pivot'!$A$3:$A$400=$A$243) &gt; 0) * (TRIM('Full month Pivot'!$C$3:$C$400)=TRIM($A249)) * ('Full month Pivot'!$D$2:$K$2=Q$2) * 'Full month Pivot'!$D$3:$K$400), "")</f>
        <v/>
      </c>
      <c r="R249" s="193">
        <f>IF(SUMPRODUCT((('Full month Pivot'!$B$3:$B$400=$A$243) + ('Full month Pivot'!$A$3:$A$400=$A$243) &gt; 0) * (TRIM('Full month Pivot'!$C$3:$C$400)=TRIM($A249)) * ('Full month Pivot'!$D$2:$K$2=R$2) * 'Full month Pivot'!$D$3:$K$400)&gt;0, SUMPRODUCT((('Full month Pivot'!$B$3:$B$400=$A$243) + ('Full month Pivot'!$A$3:$A$400=$A$243) &gt; 0) * (TRIM('Full month Pivot'!$C$3:$C$400)=TRIM($A249)) * ('Full month Pivot'!$D$2:$K$2=R$2) * 'Full month Pivot'!$D$3:$K$400), "")</f>
        <v/>
      </c>
      <c r="S249" s="193">
        <f>IF(SUMPRODUCT((('Full month Pivot'!$B$3:$B$400=$A$243) + ('Full month Pivot'!$A$3:$A$400=$A$243) &gt; 0) * (TRIM('Full month Pivot'!$C$3:$C$400)=TRIM($A249)) * ('Full month Pivot'!$D$2:$K$2=S$2) * 'Full month Pivot'!$D$3:$K$400)&gt;0, SUMPRODUCT((('Full month Pivot'!$B$3:$B$400=$A$243) + ('Full month Pivot'!$A$3:$A$400=$A$243) &gt; 0) * (TRIM('Full month Pivot'!$C$3:$C$400)=TRIM($A249)) * ('Full month Pivot'!$D$2:$K$2=S$2) * 'Full month Pivot'!$D$3:$K$400), "")</f>
        <v/>
      </c>
      <c r="T249" s="193">
        <f>IF(SUMPRODUCT((('Full month Pivot'!$B$3:$B$400=$A$243) + ('Full month Pivot'!$A$3:$A$400=$A$243) &gt; 0) * (TRIM('Full month Pivot'!$C$3:$C$400)=TRIM($A249)) * ('Full month Pivot'!$D$2:$K$2=T$2) * 'Full month Pivot'!$D$3:$K$400)&gt;0, SUMPRODUCT((('Full month Pivot'!$B$3:$B$400=$A$243) + ('Full month Pivot'!$A$3:$A$400=$A$243) &gt; 0) * (TRIM('Full month Pivot'!$C$3:$C$400)=TRIM($A249)) * ('Full month Pivot'!$D$2:$K$2=T$2) * 'Full month Pivot'!$D$3:$K$400), "")</f>
        <v/>
      </c>
      <c r="U249" s="193">
        <f>IF(SUMPRODUCT((('Full month Pivot'!$B$3:$B$400=$A$243) + ('Full month Pivot'!$A$3:$A$400=$A$243) &gt; 0) * (TRIM('Full month Pivot'!$C$3:$C$400)=TRIM($A249)) * ('Full month Pivot'!$D$2:$K$2=U$2) * 'Full month Pivot'!$D$3:$K$400)&gt;0, SUMPRODUCT((('Full month Pivot'!$B$3:$B$400=$A$243) + ('Full month Pivot'!$A$3:$A$400=$A$243) &gt; 0) * (TRIM('Full month Pivot'!$C$3:$C$400)=TRIM($A249)) * ('Full month Pivot'!$D$2:$K$2=U$2) * 'Full month Pivot'!$D$3:$K$400), "")</f>
        <v/>
      </c>
      <c r="V249" s="193">
        <f>IF(SUMPRODUCT((('Full month Pivot'!$B$3:$B$400=$A$243) + ('Full month Pivot'!$A$3:$A$400=$A$243) &gt; 0) * (TRIM('Full month Pivot'!$C$3:$C$400)=TRIM($A249)) * ('Full month Pivot'!$D$2:$K$2=V$2) * 'Full month Pivot'!$D$3:$K$400)&gt;0, SUMPRODUCT((('Full month Pivot'!$B$3:$B$400=$A$243) + ('Full month Pivot'!$A$3:$A$400=$A$243) &gt; 0) * (TRIM('Full month Pivot'!$C$3:$C$400)=TRIM($A249)) * ('Full month Pivot'!$D$2:$K$2=V$2) * 'Full month Pivot'!$D$3:$K$400), "")</f>
        <v/>
      </c>
      <c r="W249" s="193">
        <f>IF(SUMPRODUCT((('Full month Pivot'!$B$3:$B$400=$A$243) + ('Full month Pivot'!$A$3:$A$400=$A$243) &gt; 0) * (TRIM('Full month Pivot'!$C$3:$C$400)=TRIM($A249)) * ('Full month Pivot'!$D$2:$K$2=W$2) * 'Full month Pivot'!$D$3:$K$400)&gt;0, SUMPRODUCT((('Full month Pivot'!$B$3:$B$400=$A$243) + ('Full month Pivot'!$A$3:$A$400=$A$243) &gt; 0) * (TRIM('Full month Pivot'!$C$3:$C$400)=TRIM($A249)) * ('Full month Pivot'!$D$2:$K$2=W$2) * 'Full month Pivot'!$D$3:$K$400), "")</f>
        <v/>
      </c>
      <c r="X249" s="193">
        <f>IF(SUMPRODUCT((('Full month Pivot'!$B$3:$B$400=$A$243) + ('Full month Pivot'!$A$3:$A$400=$A$243) &gt; 0) * (TRIM('Full month Pivot'!$C$3:$C$400)=TRIM($A249)) * ('Full month Pivot'!$D$2:$K$2=X$2) * 'Full month Pivot'!$D$3:$K$400)&gt;0, SUMPRODUCT((('Full month Pivot'!$B$3:$B$400=$A$243) + ('Full month Pivot'!$A$3:$A$400=$A$243) &gt; 0) * (TRIM('Full month Pivot'!$C$3:$C$400)=TRIM($A249)) * ('Full month Pivot'!$D$2:$K$2=X$2) * 'Full month Pivot'!$D$3:$K$400), "")</f>
        <v/>
      </c>
      <c r="Y249" s="193">
        <f>IF(SUMPRODUCT((('Full month Pivot'!$B$3:$B$400=$A$243) + ('Full month Pivot'!$A$3:$A$400=$A$243) &gt; 0) * (TRIM('Full month Pivot'!$C$3:$C$400)=TRIM($A249)) * ('Full month Pivot'!$D$2:$K$2=Y$2) * 'Full month Pivot'!$D$3:$K$400)&gt;0, SUMPRODUCT((('Full month Pivot'!$B$3:$B$400=$A$243) + ('Full month Pivot'!$A$3:$A$400=$A$243) &gt; 0) * (TRIM('Full month Pivot'!$C$3:$C$400)=TRIM($A249)) * ('Full month Pivot'!$D$2:$K$2=Y$2) * 'Full month Pivot'!$D$3:$K$400), "")</f>
        <v/>
      </c>
      <c r="Z249" s="193">
        <f>IF(SUMPRODUCT((('Full month Pivot'!$B$3:$B$400=$A$243) + ('Full month Pivot'!$A$3:$A$400=$A$243) &gt; 0) * (TRIM('Full month Pivot'!$C$3:$C$400)=TRIM($A249)) * ('Full month Pivot'!$D$2:$K$2=Z$2) * 'Full month Pivot'!$D$3:$K$400)&gt;0, SUMPRODUCT((('Full month Pivot'!$B$3:$B$400=$A$243) + ('Full month Pivot'!$A$3:$A$400=$A$243) &gt; 0) * (TRIM('Full month Pivot'!$C$3:$C$400)=TRIM($A249)) * ('Full month Pivot'!$D$2:$K$2=Z$2) * 'Full month Pivot'!$D$3:$K$400), "")</f>
        <v/>
      </c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202" t="inlineStr">
        <is>
          <t xml:space="preserve">  Paid</t>
        </is>
      </c>
      <c r="B250" s="193">
        <f>IF(SUMPRODUCT((('MTD Pivot'!$B$3:$B$400=$A$243) + ('MTD Pivot'!$A$3:$A$400=$A$243) &gt; 0) * (TRIM('MTD Pivot'!$C$3:$C$400)=TRIM($A250)) * ('MTD Pivot'!$D$2:$K$2=B$2) * 'MTD Pivot'!$D$3:$K$400)&gt;0, SUMPRODUCT((('MTD Pivot'!$B$3:$B$400=$A$243) + ('MTD Pivot'!$A$3:$A$400=$A$243) &gt; 0) * (TRIM('MTD Pivot'!$C$3:$C$400)=TRIM($A250)) * ('MTD Pivot'!$D$2:$K$2=B$2) * 'MTD Pivot'!$D$3:$K$400), "")</f>
        <v/>
      </c>
      <c r="C250" s="193">
        <f>IF(SUMPRODUCT((('MTD Pivot'!$B$3:$B$400=$A$243) + ('MTD Pivot'!$A$3:$A$400=$A$243) &gt; 0) * (TRIM('MTD Pivot'!$C$3:$C$400)=TRIM($A250)) * ('MTD Pivot'!$D$2:$K$2=C$2) * 'MTD Pivot'!$D$3:$K$400)&gt;0, SUMPRODUCT((('MTD Pivot'!$B$3:$B$400=$A$243) + ('MTD Pivot'!$A$3:$A$400=$A$243) &gt; 0) * (TRIM('MTD Pivot'!$C$3:$C$400)=TRIM($A250)) * ('MTD Pivot'!$D$2:$K$2=C$2) * 'MTD Pivot'!$D$3:$K$400), "")</f>
        <v/>
      </c>
      <c r="D250" s="193">
        <f>IF(SUMPRODUCT((('MTD Pivot'!$B$3:$B$400=$A$243) + ('MTD Pivot'!$A$3:$A$400=$A$243) &gt; 0) * (TRIM('MTD Pivot'!$C$3:$C$400)=TRIM($A250)) * ('MTD Pivot'!$D$2:$K$2=D$2) * 'MTD Pivot'!$D$3:$K$400)&gt;0, SUMPRODUCT((('MTD Pivot'!$B$3:$B$400=$A$243) + ('MTD Pivot'!$A$3:$A$400=$A$243) &gt; 0) * (TRIM('MTD Pivot'!$C$3:$C$400)=TRIM($A250)) * ('MTD Pivot'!$D$2:$K$2=D$2) * 'MTD Pivot'!$D$3:$K$400), "")</f>
        <v/>
      </c>
      <c r="E250" s="193">
        <f>IF(SUMPRODUCT((('MTD Pivot'!$B$3:$B$400=$A$243) + ('MTD Pivot'!$A$3:$A$400=$A$243) &gt; 0) * (TRIM('MTD Pivot'!$C$3:$C$400)=TRIM($A250)) * ('MTD Pivot'!$D$2:$K$2=E$2) * 'MTD Pivot'!$D$3:$K$400)&gt;0, SUMPRODUCT((('MTD Pivot'!$B$3:$B$400=$A$243) + ('MTD Pivot'!$A$3:$A$400=$A$243) &gt; 0) * (TRIM('MTD Pivot'!$C$3:$C$400)=TRIM($A250)) * ('MTD Pivot'!$D$2:$K$2=E$2) * 'MTD Pivot'!$D$3:$K$400), "")</f>
        <v/>
      </c>
      <c r="F250" s="193">
        <f>IF(SUMPRODUCT((('MTD Pivot'!$B$3:$B$400=$A$243) + ('MTD Pivot'!$A$3:$A$400=$A$243) &gt; 0) * (TRIM('MTD Pivot'!$C$3:$C$400)=TRIM($A250)) * ('MTD Pivot'!$D$2:$K$2=F$2) * 'MTD Pivot'!$D$3:$K$400)&gt;0, SUMPRODUCT((('MTD Pivot'!$B$3:$B$400=$A$243) + ('MTD Pivot'!$A$3:$A$400=$A$243) &gt; 0) * (TRIM('MTD Pivot'!$C$3:$C$400)=TRIM($A250)) * ('MTD Pivot'!$D$2:$K$2=F$2) * 'MTD Pivot'!$D$3:$K$400), "")</f>
        <v/>
      </c>
      <c r="G250" s="193">
        <f>IF(SUMPRODUCT((('MTD Pivot'!$B$3:$B$400=$A$243) + ('MTD Pivot'!$A$3:$A$400=$A$243) &gt; 0) * (TRIM('MTD Pivot'!$C$3:$C$400)=TRIM($A250)) * ('MTD Pivot'!$D$2:$K$2=G$2) * 'MTD Pivot'!$D$3:$K$400)&gt;0, SUMPRODUCT((('MTD Pivot'!$B$3:$B$400=$A$243) + ('MTD Pivot'!$A$3:$A$400=$A$243) &gt; 0) * (TRIM('MTD Pivot'!$C$3:$C$400)=TRIM($A250)) * ('MTD Pivot'!$D$2:$K$2=G$2) * 'MTD Pivot'!$D$3:$K$400), "")</f>
        <v/>
      </c>
      <c r="H250" s="193">
        <f>IF(SUMPRODUCT((('MTD Pivot'!$B$3:$B$400=$A$243) + ('MTD Pivot'!$A$3:$A$400=$A$243) &gt; 0) * (TRIM('MTD Pivot'!$C$3:$C$400)=TRIM($A250)) * ('MTD Pivot'!$D$2:$K$2=H$2) * 'MTD Pivot'!$D$3:$K$400)&gt;0, SUMPRODUCT((('MTD Pivot'!$B$3:$B$400=$A$243) + ('MTD Pivot'!$A$3:$A$400=$A$243) &gt; 0) * (TRIM('MTD Pivot'!$C$3:$C$400)=TRIM($A250)) * ('MTD Pivot'!$D$2:$K$2=H$2) * 'MTD Pivot'!$D$3:$K$400), "")</f>
        <v/>
      </c>
      <c r="I250" s="193">
        <f>IF(SUMPRODUCT((('MTD Pivot'!$B$3:$B$400=$A$243) + ('MTD Pivot'!$A$3:$A$400=$A$243) &gt; 0) * (TRIM('MTD Pivot'!$C$3:$C$400)=TRIM($A250)) * ('MTD Pivot'!$D$2:$K$2=I$2) * 'MTD Pivot'!$D$3:$K$400)&gt;0, SUMPRODUCT((('MTD Pivot'!$B$3:$B$400=$A$243) + ('MTD Pivot'!$A$3:$A$400=$A$243) &gt; 0) * (TRIM('MTD Pivot'!$C$3:$C$400)=TRIM($A250)) * ('MTD Pivot'!$D$2:$K$2=I$2) * 'MTD Pivot'!$D$3:$K$400), "")</f>
        <v/>
      </c>
      <c r="J250" s="193">
        <f>IF(SUMPRODUCT((('MTD Pivot'!$B$3:$B$400=$A$243) + ('MTD Pivot'!$A$3:$A$400=$A$243) &gt; 0) * (TRIM('MTD Pivot'!$C$3:$C$400)=TRIM($A250)) * ('MTD Pivot'!$D$2:$K$2=J$2) * 'MTD Pivot'!$D$3:$K$400)&gt;0, SUMPRODUCT((('MTD Pivot'!$B$3:$B$400=$A$243) + ('MTD Pivot'!$A$3:$A$400=$A$243) &gt; 0) * (TRIM('MTD Pivot'!$C$3:$C$400)=TRIM($A250)) * ('MTD Pivot'!$D$2:$K$2=J$2) * 'MTD Pivot'!$D$3:$K$400), "")</f>
        <v/>
      </c>
      <c r="K250" s="193">
        <f>IF(SUMPRODUCT((('MTD Pivot'!$B$3:$B$400=$A$243) + ('MTD Pivot'!$A$3:$A$400=$A$243) &gt; 0) * (TRIM('MTD Pivot'!$C$3:$C$400)=TRIM($A250)) * ('MTD Pivot'!$D$2:$K$2=K$2) * 'MTD Pivot'!$D$3:$K$400)&gt;0, SUMPRODUCT((('MTD Pivot'!$B$3:$B$400=$A$243) + ('MTD Pivot'!$A$3:$A$400=$A$243) &gt; 0) * (TRIM('MTD Pivot'!$C$3:$C$400)=TRIM($A250)) * ('MTD Pivot'!$D$2:$K$2=K$2) * 'MTD Pivot'!$D$3:$K$400), "")</f>
        <v/>
      </c>
      <c r="L250" s="193">
        <f>IF(SUMPRODUCT((('MTD Pivot'!$B$3:$B$400=$A$243) + ('MTD Pivot'!$A$3:$A$400=$A$243) &gt; 0) * (TRIM('MTD Pivot'!$C$3:$C$400)=TRIM($A250)) * ('MTD Pivot'!$D$2:$K$2=L$2) * 'MTD Pivot'!$D$3:$K$400)&gt;0, SUMPRODUCT((('MTD Pivot'!$B$3:$B$400=$A$243) + ('MTD Pivot'!$A$3:$A$400=$A$243) &gt; 0) * (TRIM('MTD Pivot'!$C$3:$C$400)=TRIM($A250)) * ('MTD Pivot'!$D$2:$K$2=L$2) * 'MTD Pivot'!$D$3:$K$400), "")</f>
        <v/>
      </c>
      <c r="M250" s="193">
        <f>IF(SUMPRODUCT((('MTD Pivot'!$B$3:$B$400=$A$243) + ('MTD Pivot'!$A$3:$A$400=$A$243) &gt; 0) * (TRIM('MTD Pivot'!$C$3:$C$400)=TRIM($A250)) * ('MTD Pivot'!$D$2:$K$2=M$2) * 'MTD Pivot'!$D$3:$K$400)&gt;0, SUMPRODUCT((('MTD Pivot'!$B$3:$B$400=$A$243) + ('MTD Pivot'!$A$3:$A$400=$A$243) &gt; 0) * (TRIM('MTD Pivot'!$C$3:$C$400)=TRIM($A250)) * ('MTD Pivot'!$D$2:$K$2=M$2) * 'MTD Pivot'!$D$3:$K$400), "")</f>
        <v/>
      </c>
      <c r="N250" s="157">
        <f>IF(AND(ISNUMBER(K250), ISNUMBER(J250), J250&gt;0), (K250-J250)/J250, "")</f>
        <v/>
      </c>
      <c r="O250" s="193">
        <f>IF(SUMPRODUCT((('Full month Pivot'!$B$3:$B$400=$A$243) + ('Full month Pivot'!$A$3:$A$400=$A$243) &gt; 0) * (TRIM('Full month Pivot'!$C$3:$C$400)=TRIM($A250)) * ('Full month Pivot'!$D$2:$K$2=O$2) * 'Full month Pivot'!$D$3:$K$400)&gt;0, SUMPRODUCT((('Full month Pivot'!$B$3:$B$400=$A$243) + ('Full month Pivot'!$A$3:$A$400=$A$243) &gt; 0) * (TRIM('Full month Pivot'!$C$3:$C$400)=TRIM($A250)) * ('Full month Pivot'!$D$2:$K$2=O$2) * 'Full month Pivot'!$D$3:$K$400), "")</f>
        <v/>
      </c>
      <c r="P250" s="193">
        <f>IF(SUMPRODUCT((('Full month Pivot'!$B$3:$B$400=$A$243) + ('Full month Pivot'!$A$3:$A$400=$A$243) &gt; 0) * (TRIM('Full month Pivot'!$C$3:$C$400)=TRIM($A250)) * ('Full month Pivot'!$D$2:$K$2=P$2) * 'Full month Pivot'!$D$3:$K$400)&gt;0, SUMPRODUCT((('Full month Pivot'!$B$3:$B$400=$A$243) + ('Full month Pivot'!$A$3:$A$400=$A$243) &gt; 0) * (TRIM('Full month Pivot'!$C$3:$C$400)=TRIM($A250)) * ('Full month Pivot'!$D$2:$K$2=P$2) * 'Full month Pivot'!$D$3:$K$400), "")</f>
        <v/>
      </c>
      <c r="Q250" s="193">
        <f>IF(SUMPRODUCT((('Full month Pivot'!$B$3:$B$400=$A$243) + ('Full month Pivot'!$A$3:$A$400=$A$243) &gt; 0) * (TRIM('Full month Pivot'!$C$3:$C$400)=TRIM($A250)) * ('Full month Pivot'!$D$2:$K$2=Q$2) * 'Full month Pivot'!$D$3:$K$400)&gt;0, SUMPRODUCT((('Full month Pivot'!$B$3:$B$400=$A$243) + ('Full month Pivot'!$A$3:$A$400=$A$243) &gt; 0) * (TRIM('Full month Pivot'!$C$3:$C$400)=TRIM($A250)) * ('Full month Pivot'!$D$2:$K$2=Q$2) * 'Full month Pivot'!$D$3:$K$400), "")</f>
        <v/>
      </c>
      <c r="R250" s="193">
        <f>IF(SUMPRODUCT((('Full month Pivot'!$B$3:$B$400=$A$243) + ('Full month Pivot'!$A$3:$A$400=$A$243) &gt; 0) * (TRIM('Full month Pivot'!$C$3:$C$400)=TRIM($A250)) * ('Full month Pivot'!$D$2:$K$2=R$2) * 'Full month Pivot'!$D$3:$K$400)&gt;0, SUMPRODUCT((('Full month Pivot'!$B$3:$B$400=$A$243) + ('Full month Pivot'!$A$3:$A$400=$A$243) &gt; 0) * (TRIM('Full month Pivot'!$C$3:$C$400)=TRIM($A250)) * ('Full month Pivot'!$D$2:$K$2=R$2) * 'Full month Pivot'!$D$3:$K$400), "")</f>
        <v/>
      </c>
      <c r="S250" s="193">
        <f>IF(SUMPRODUCT((('Full month Pivot'!$B$3:$B$400=$A$243) + ('Full month Pivot'!$A$3:$A$400=$A$243) &gt; 0) * (TRIM('Full month Pivot'!$C$3:$C$400)=TRIM($A250)) * ('Full month Pivot'!$D$2:$K$2=S$2) * 'Full month Pivot'!$D$3:$K$400)&gt;0, SUMPRODUCT((('Full month Pivot'!$B$3:$B$400=$A$243) + ('Full month Pivot'!$A$3:$A$400=$A$243) &gt; 0) * (TRIM('Full month Pivot'!$C$3:$C$400)=TRIM($A250)) * ('Full month Pivot'!$D$2:$K$2=S$2) * 'Full month Pivot'!$D$3:$K$400), "")</f>
        <v/>
      </c>
      <c r="T250" s="193">
        <f>IF(SUMPRODUCT((('Full month Pivot'!$B$3:$B$400=$A$243) + ('Full month Pivot'!$A$3:$A$400=$A$243) &gt; 0) * (TRIM('Full month Pivot'!$C$3:$C$400)=TRIM($A250)) * ('Full month Pivot'!$D$2:$K$2=T$2) * 'Full month Pivot'!$D$3:$K$400)&gt;0, SUMPRODUCT((('Full month Pivot'!$B$3:$B$400=$A$243) + ('Full month Pivot'!$A$3:$A$400=$A$243) &gt; 0) * (TRIM('Full month Pivot'!$C$3:$C$400)=TRIM($A250)) * ('Full month Pivot'!$D$2:$K$2=T$2) * 'Full month Pivot'!$D$3:$K$400), "")</f>
        <v/>
      </c>
      <c r="U250" s="193">
        <f>IF(SUMPRODUCT((('Full month Pivot'!$B$3:$B$400=$A$243) + ('Full month Pivot'!$A$3:$A$400=$A$243) &gt; 0) * (TRIM('Full month Pivot'!$C$3:$C$400)=TRIM($A250)) * ('Full month Pivot'!$D$2:$K$2=U$2) * 'Full month Pivot'!$D$3:$K$400)&gt;0, SUMPRODUCT((('Full month Pivot'!$B$3:$B$400=$A$243) + ('Full month Pivot'!$A$3:$A$400=$A$243) &gt; 0) * (TRIM('Full month Pivot'!$C$3:$C$400)=TRIM($A250)) * ('Full month Pivot'!$D$2:$K$2=U$2) * 'Full month Pivot'!$D$3:$K$400), "")</f>
        <v/>
      </c>
      <c r="V250" s="193">
        <f>IF(SUMPRODUCT((('Full month Pivot'!$B$3:$B$400=$A$243) + ('Full month Pivot'!$A$3:$A$400=$A$243) &gt; 0) * (TRIM('Full month Pivot'!$C$3:$C$400)=TRIM($A250)) * ('Full month Pivot'!$D$2:$K$2=V$2) * 'Full month Pivot'!$D$3:$K$400)&gt;0, SUMPRODUCT((('Full month Pivot'!$B$3:$B$400=$A$243) + ('Full month Pivot'!$A$3:$A$400=$A$243) &gt; 0) * (TRIM('Full month Pivot'!$C$3:$C$400)=TRIM($A250)) * ('Full month Pivot'!$D$2:$K$2=V$2) * 'Full month Pivot'!$D$3:$K$400), "")</f>
        <v/>
      </c>
      <c r="W250" s="193">
        <f>IF(SUMPRODUCT((('Full month Pivot'!$B$3:$B$400=$A$243) + ('Full month Pivot'!$A$3:$A$400=$A$243) &gt; 0) * (TRIM('Full month Pivot'!$C$3:$C$400)=TRIM($A250)) * ('Full month Pivot'!$D$2:$K$2=W$2) * 'Full month Pivot'!$D$3:$K$400)&gt;0, SUMPRODUCT((('Full month Pivot'!$B$3:$B$400=$A$243) + ('Full month Pivot'!$A$3:$A$400=$A$243) &gt; 0) * (TRIM('Full month Pivot'!$C$3:$C$400)=TRIM($A250)) * ('Full month Pivot'!$D$2:$K$2=W$2) * 'Full month Pivot'!$D$3:$K$400), "")</f>
        <v/>
      </c>
      <c r="X250" s="193">
        <f>IF(SUMPRODUCT((('Full month Pivot'!$B$3:$B$400=$A$243) + ('Full month Pivot'!$A$3:$A$400=$A$243) &gt; 0) * (TRIM('Full month Pivot'!$C$3:$C$400)=TRIM($A250)) * ('Full month Pivot'!$D$2:$K$2=X$2) * 'Full month Pivot'!$D$3:$K$400)&gt;0, SUMPRODUCT((('Full month Pivot'!$B$3:$B$400=$A$243) + ('Full month Pivot'!$A$3:$A$400=$A$243) &gt; 0) * (TRIM('Full month Pivot'!$C$3:$C$400)=TRIM($A250)) * ('Full month Pivot'!$D$2:$K$2=X$2) * 'Full month Pivot'!$D$3:$K$400), "")</f>
        <v/>
      </c>
      <c r="Y250" s="193">
        <f>IF(SUMPRODUCT((('Full month Pivot'!$B$3:$B$400=$A$243) + ('Full month Pivot'!$A$3:$A$400=$A$243) &gt; 0) * (TRIM('Full month Pivot'!$C$3:$C$400)=TRIM($A250)) * ('Full month Pivot'!$D$2:$K$2=Y$2) * 'Full month Pivot'!$D$3:$K$400)&gt;0, SUMPRODUCT((('Full month Pivot'!$B$3:$B$400=$A$243) + ('Full month Pivot'!$A$3:$A$400=$A$243) &gt; 0) * (TRIM('Full month Pivot'!$C$3:$C$400)=TRIM($A250)) * ('Full month Pivot'!$D$2:$K$2=Y$2) * 'Full month Pivot'!$D$3:$K$400), "")</f>
        <v/>
      </c>
      <c r="Z250" s="193">
        <f>IF(SUMPRODUCT((('Full month Pivot'!$B$3:$B$400=$A$243) + ('Full month Pivot'!$A$3:$A$400=$A$243) &gt; 0) * (TRIM('Full month Pivot'!$C$3:$C$400)=TRIM($A250)) * ('Full month Pivot'!$D$2:$K$2=Z$2) * 'Full month Pivot'!$D$3:$K$400)&gt;0, SUMPRODUCT((('Full month Pivot'!$B$3:$B$400=$A$243) + ('Full month Pivot'!$A$3:$A$400=$A$243) &gt; 0) * (TRIM('Full month Pivot'!$C$3:$C$400)=TRIM($A250)) * ('Full month Pivot'!$D$2:$K$2=Z$2) * 'Full month Pivot'!$D$3:$K$400), "")</f>
        <v/>
      </c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202" t="inlineStr">
        <is>
          <t xml:space="preserve">  Direct</t>
        </is>
      </c>
      <c r="B251" s="193">
        <f>IF(SUMPRODUCT((('MTD Pivot'!$B$3:$B$400=$A$243) + ('MTD Pivot'!$A$3:$A$400=$A$243) &gt; 0) * (TRIM('MTD Pivot'!$C$3:$C$400)=TRIM($A251)) * ('MTD Pivot'!$D$2:$K$2=B$2) * 'MTD Pivot'!$D$3:$K$400)&gt;0, SUMPRODUCT((('MTD Pivot'!$B$3:$B$400=$A$243) + ('MTD Pivot'!$A$3:$A$400=$A$243) &gt; 0) * (TRIM('MTD Pivot'!$C$3:$C$400)=TRIM($A251)) * ('MTD Pivot'!$D$2:$K$2=B$2) * 'MTD Pivot'!$D$3:$K$400), "")</f>
        <v/>
      </c>
      <c r="C251" s="193">
        <f>IF(SUMPRODUCT((('MTD Pivot'!$B$3:$B$400=$A$243) + ('MTD Pivot'!$A$3:$A$400=$A$243) &gt; 0) * (TRIM('MTD Pivot'!$C$3:$C$400)=TRIM($A251)) * ('MTD Pivot'!$D$2:$K$2=C$2) * 'MTD Pivot'!$D$3:$K$400)&gt;0, SUMPRODUCT((('MTD Pivot'!$B$3:$B$400=$A$243) + ('MTD Pivot'!$A$3:$A$400=$A$243) &gt; 0) * (TRIM('MTD Pivot'!$C$3:$C$400)=TRIM($A251)) * ('MTD Pivot'!$D$2:$K$2=C$2) * 'MTD Pivot'!$D$3:$K$400), "")</f>
        <v/>
      </c>
      <c r="D251" s="193">
        <f>IF(SUMPRODUCT((('MTD Pivot'!$B$3:$B$400=$A$243) + ('MTD Pivot'!$A$3:$A$400=$A$243) &gt; 0) * (TRIM('MTD Pivot'!$C$3:$C$400)=TRIM($A251)) * ('MTD Pivot'!$D$2:$K$2=D$2) * 'MTD Pivot'!$D$3:$K$400)&gt;0, SUMPRODUCT((('MTD Pivot'!$B$3:$B$400=$A$243) + ('MTD Pivot'!$A$3:$A$400=$A$243) &gt; 0) * (TRIM('MTD Pivot'!$C$3:$C$400)=TRIM($A251)) * ('MTD Pivot'!$D$2:$K$2=D$2) * 'MTD Pivot'!$D$3:$K$400), "")</f>
        <v/>
      </c>
      <c r="E251" s="193">
        <f>IF(SUMPRODUCT((('MTD Pivot'!$B$3:$B$400=$A$243) + ('MTD Pivot'!$A$3:$A$400=$A$243) &gt; 0) * (TRIM('MTD Pivot'!$C$3:$C$400)=TRIM($A251)) * ('MTD Pivot'!$D$2:$K$2=E$2) * 'MTD Pivot'!$D$3:$K$400)&gt;0, SUMPRODUCT((('MTD Pivot'!$B$3:$B$400=$A$243) + ('MTD Pivot'!$A$3:$A$400=$A$243) &gt; 0) * (TRIM('MTD Pivot'!$C$3:$C$400)=TRIM($A251)) * ('MTD Pivot'!$D$2:$K$2=E$2) * 'MTD Pivot'!$D$3:$K$400), "")</f>
        <v/>
      </c>
      <c r="F251" s="193">
        <f>IF(SUMPRODUCT((('MTD Pivot'!$B$3:$B$400=$A$243) + ('MTD Pivot'!$A$3:$A$400=$A$243) &gt; 0) * (TRIM('MTD Pivot'!$C$3:$C$400)=TRIM($A251)) * ('MTD Pivot'!$D$2:$K$2=F$2) * 'MTD Pivot'!$D$3:$K$400)&gt;0, SUMPRODUCT((('MTD Pivot'!$B$3:$B$400=$A$243) + ('MTD Pivot'!$A$3:$A$400=$A$243) &gt; 0) * (TRIM('MTD Pivot'!$C$3:$C$400)=TRIM($A251)) * ('MTD Pivot'!$D$2:$K$2=F$2) * 'MTD Pivot'!$D$3:$K$400), "")</f>
        <v/>
      </c>
      <c r="G251" s="193">
        <f>IF(SUMPRODUCT((('MTD Pivot'!$B$3:$B$400=$A$243) + ('MTD Pivot'!$A$3:$A$400=$A$243) &gt; 0) * (TRIM('MTD Pivot'!$C$3:$C$400)=TRIM($A251)) * ('MTD Pivot'!$D$2:$K$2=G$2) * 'MTD Pivot'!$D$3:$K$400)&gt;0, SUMPRODUCT((('MTD Pivot'!$B$3:$B$400=$A$243) + ('MTD Pivot'!$A$3:$A$400=$A$243) &gt; 0) * (TRIM('MTD Pivot'!$C$3:$C$400)=TRIM($A251)) * ('MTD Pivot'!$D$2:$K$2=G$2) * 'MTD Pivot'!$D$3:$K$400), "")</f>
        <v/>
      </c>
      <c r="H251" s="193">
        <f>IF(SUMPRODUCT((('MTD Pivot'!$B$3:$B$400=$A$243) + ('MTD Pivot'!$A$3:$A$400=$A$243) &gt; 0) * (TRIM('MTD Pivot'!$C$3:$C$400)=TRIM($A251)) * ('MTD Pivot'!$D$2:$K$2=H$2) * 'MTD Pivot'!$D$3:$K$400)&gt;0, SUMPRODUCT((('MTD Pivot'!$B$3:$B$400=$A$243) + ('MTD Pivot'!$A$3:$A$400=$A$243) &gt; 0) * (TRIM('MTD Pivot'!$C$3:$C$400)=TRIM($A251)) * ('MTD Pivot'!$D$2:$K$2=H$2) * 'MTD Pivot'!$D$3:$K$400), "")</f>
        <v/>
      </c>
      <c r="I251" s="193">
        <f>IF(SUMPRODUCT((('MTD Pivot'!$B$3:$B$400=$A$243) + ('MTD Pivot'!$A$3:$A$400=$A$243) &gt; 0) * (TRIM('MTD Pivot'!$C$3:$C$400)=TRIM($A251)) * ('MTD Pivot'!$D$2:$K$2=I$2) * 'MTD Pivot'!$D$3:$K$400)&gt;0, SUMPRODUCT((('MTD Pivot'!$B$3:$B$400=$A$243) + ('MTD Pivot'!$A$3:$A$400=$A$243) &gt; 0) * (TRIM('MTD Pivot'!$C$3:$C$400)=TRIM($A251)) * ('MTD Pivot'!$D$2:$K$2=I$2) * 'MTD Pivot'!$D$3:$K$400), "")</f>
        <v/>
      </c>
      <c r="J251" s="193">
        <f>IF(SUMPRODUCT((('MTD Pivot'!$B$3:$B$400=$A$243) + ('MTD Pivot'!$A$3:$A$400=$A$243) &gt; 0) * (TRIM('MTD Pivot'!$C$3:$C$400)=TRIM($A251)) * ('MTD Pivot'!$D$2:$K$2=J$2) * 'MTD Pivot'!$D$3:$K$400)&gt;0, SUMPRODUCT((('MTD Pivot'!$B$3:$B$400=$A$243) + ('MTD Pivot'!$A$3:$A$400=$A$243) &gt; 0) * (TRIM('MTD Pivot'!$C$3:$C$400)=TRIM($A251)) * ('MTD Pivot'!$D$2:$K$2=J$2) * 'MTD Pivot'!$D$3:$K$400), "")</f>
        <v/>
      </c>
      <c r="K251" s="193">
        <f>IF(SUMPRODUCT((('MTD Pivot'!$B$3:$B$400=$A$243) + ('MTD Pivot'!$A$3:$A$400=$A$243) &gt; 0) * (TRIM('MTD Pivot'!$C$3:$C$400)=TRIM($A251)) * ('MTD Pivot'!$D$2:$K$2=K$2) * 'MTD Pivot'!$D$3:$K$400)&gt;0, SUMPRODUCT((('MTD Pivot'!$B$3:$B$400=$A$243) + ('MTD Pivot'!$A$3:$A$400=$A$243) &gt; 0) * (TRIM('MTD Pivot'!$C$3:$C$400)=TRIM($A251)) * ('MTD Pivot'!$D$2:$K$2=K$2) * 'MTD Pivot'!$D$3:$K$400), "")</f>
        <v/>
      </c>
      <c r="L251" s="193">
        <f>IF(SUMPRODUCT((('MTD Pivot'!$B$3:$B$400=$A$243) + ('MTD Pivot'!$A$3:$A$400=$A$243) &gt; 0) * (TRIM('MTD Pivot'!$C$3:$C$400)=TRIM($A251)) * ('MTD Pivot'!$D$2:$K$2=L$2) * 'MTD Pivot'!$D$3:$K$400)&gt;0, SUMPRODUCT((('MTD Pivot'!$B$3:$B$400=$A$243) + ('MTD Pivot'!$A$3:$A$400=$A$243) &gt; 0) * (TRIM('MTD Pivot'!$C$3:$C$400)=TRIM($A251)) * ('MTD Pivot'!$D$2:$K$2=L$2) * 'MTD Pivot'!$D$3:$K$400), "")</f>
        <v/>
      </c>
      <c r="M251" s="193">
        <f>IF(SUMPRODUCT((('MTD Pivot'!$B$3:$B$400=$A$243) + ('MTD Pivot'!$A$3:$A$400=$A$243) &gt; 0) * (TRIM('MTD Pivot'!$C$3:$C$400)=TRIM($A251)) * ('MTD Pivot'!$D$2:$K$2=M$2) * 'MTD Pivot'!$D$3:$K$400)&gt;0, SUMPRODUCT((('MTD Pivot'!$B$3:$B$400=$A$243) + ('MTD Pivot'!$A$3:$A$400=$A$243) &gt; 0) * (TRIM('MTD Pivot'!$C$3:$C$400)=TRIM($A251)) * ('MTD Pivot'!$D$2:$K$2=M$2) * 'MTD Pivot'!$D$3:$K$400), "")</f>
        <v/>
      </c>
      <c r="N251" s="157">
        <f>IF(AND(ISNUMBER(K251), ISNUMBER(J251), J251&gt;0), (K251-J251)/J251, "")</f>
        <v/>
      </c>
      <c r="O251" s="193">
        <f>IF(SUMPRODUCT((('Full month Pivot'!$B$3:$B$400=$A$243) + ('Full month Pivot'!$A$3:$A$400=$A$243) &gt; 0) * (TRIM('Full month Pivot'!$C$3:$C$400)=TRIM($A251)) * ('Full month Pivot'!$D$2:$K$2=O$2) * 'Full month Pivot'!$D$3:$K$400)&gt;0, SUMPRODUCT((('Full month Pivot'!$B$3:$B$400=$A$243) + ('Full month Pivot'!$A$3:$A$400=$A$243) &gt; 0) * (TRIM('Full month Pivot'!$C$3:$C$400)=TRIM($A251)) * ('Full month Pivot'!$D$2:$K$2=O$2) * 'Full month Pivot'!$D$3:$K$400), "")</f>
        <v/>
      </c>
      <c r="P251" s="193">
        <f>IF(SUMPRODUCT((('Full month Pivot'!$B$3:$B$400=$A$243) + ('Full month Pivot'!$A$3:$A$400=$A$243) &gt; 0) * (TRIM('Full month Pivot'!$C$3:$C$400)=TRIM($A251)) * ('Full month Pivot'!$D$2:$K$2=P$2) * 'Full month Pivot'!$D$3:$K$400)&gt;0, SUMPRODUCT((('Full month Pivot'!$B$3:$B$400=$A$243) + ('Full month Pivot'!$A$3:$A$400=$A$243) &gt; 0) * (TRIM('Full month Pivot'!$C$3:$C$400)=TRIM($A251)) * ('Full month Pivot'!$D$2:$K$2=P$2) * 'Full month Pivot'!$D$3:$K$400), "")</f>
        <v/>
      </c>
      <c r="Q251" s="193">
        <f>IF(SUMPRODUCT((('Full month Pivot'!$B$3:$B$400=$A$243) + ('Full month Pivot'!$A$3:$A$400=$A$243) &gt; 0) * (TRIM('Full month Pivot'!$C$3:$C$400)=TRIM($A251)) * ('Full month Pivot'!$D$2:$K$2=Q$2) * 'Full month Pivot'!$D$3:$K$400)&gt;0, SUMPRODUCT((('Full month Pivot'!$B$3:$B$400=$A$243) + ('Full month Pivot'!$A$3:$A$400=$A$243) &gt; 0) * (TRIM('Full month Pivot'!$C$3:$C$400)=TRIM($A251)) * ('Full month Pivot'!$D$2:$K$2=Q$2) * 'Full month Pivot'!$D$3:$K$400), "")</f>
        <v/>
      </c>
      <c r="R251" s="193">
        <f>IF(SUMPRODUCT((('Full month Pivot'!$B$3:$B$400=$A$243) + ('Full month Pivot'!$A$3:$A$400=$A$243) &gt; 0) * (TRIM('Full month Pivot'!$C$3:$C$400)=TRIM($A251)) * ('Full month Pivot'!$D$2:$K$2=R$2) * 'Full month Pivot'!$D$3:$K$400)&gt;0, SUMPRODUCT((('Full month Pivot'!$B$3:$B$400=$A$243) + ('Full month Pivot'!$A$3:$A$400=$A$243) &gt; 0) * (TRIM('Full month Pivot'!$C$3:$C$400)=TRIM($A251)) * ('Full month Pivot'!$D$2:$K$2=R$2) * 'Full month Pivot'!$D$3:$K$400), "")</f>
        <v/>
      </c>
      <c r="S251" s="193">
        <f>IF(SUMPRODUCT((('Full month Pivot'!$B$3:$B$400=$A$243) + ('Full month Pivot'!$A$3:$A$400=$A$243) &gt; 0) * (TRIM('Full month Pivot'!$C$3:$C$400)=TRIM($A251)) * ('Full month Pivot'!$D$2:$K$2=S$2) * 'Full month Pivot'!$D$3:$K$400)&gt;0, SUMPRODUCT((('Full month Pivot'!$B$3:$B$400=$A$243) + ('Full month Pivot'!$A$3:$A$400=$A$243) &gt; 0) * (TRIM('Full month Pivot'!$C$3:$C$400)=TRIM($A251)) * ('Full month Pivot'!$D$2:$K$2=S$2) * 'Full month Pivot'!$D$3:$K$400), "")</f>
        <v/>
      </c>
      <c r="T251" s="193">
        <f>IF(SUMPRODUCT((('Full month Pivot'!$B$3:$B$400=$A$243) + ('Full month Pivot'!$A$3:$A$400=$A$243) &gt; 0) * (TRIM('Full month Pivot'!$C$3:$C$400)=TRIM($A251)) * ('Full month Pivot'!$D$2:$K$2=T$2) * 'Full month Pivot'!$D$3:$K$400)&gt;0, SUMPRODUCT((('Full month Pivot'!$B$3:$B$400=$A$243) + ('Full month Pivot'!$A$3:$A$400=$A$243) &gt; 0) * (TRIM('Full month Pivot'!$C$3:$C$400)=TRIM($A251)) * ('Full month Pivot'!$D$2:$K$2=T$2) * 'Full month Pivot'!$D$3:$K$400), "")</f>
        <v/>
      </c>
      <c r="U251" s="193">
        <f>IF(SUMPRODUCT((('Full month Pivot'!$B$3:$B$400=$A$243) + ('Full month Pivot'!$A$3:$A$400=$A$243) &gt; 0) * (TRIM('Full month Pivot'!$C$3:$C$400)=TRIM($A251)) * ('Full month Pivot'!$D$2:$K$2=U$2) * 'Full month Pivot'!$D$3:$K$400)&gt;0, SUMPRODUCT((('Full month Pivot'!$B$3:$B$400=$A$243) + ('Full month Pivot'!$A$3:$A$400=$A$243) &gt; 0) * (TRIM('Full month Pivot'!$C$3:$C$400)=TRIM($A251)) * ('Full month Pivot'!$D$2:$K$2=U$2) * 'Full month Pivot'!$D$3:$K$400), "")</f>
        <v/>
      </c>
      <c r="V251" s="193">
        <f>IF(SUMPRODUCT((('Full month Pivot'!$B$3:$B$400=$A$243) + ('Full month Pivot'!$A$3:$A$400=$A$243) &gt; 0) * (TRIM('Full month Pivot'!$C$3:$C$400)=TRIM($A251)) * ('Full month Pivot'!$D$2:$K$2=V$2) * 'Full month Pivot'!$D$3:$K$400)&gt;0, SUMPRODUCT((('Full month Pivot'!$B$3:$B$400=$A$243) + ('Full month Pivot'!$A$3:$A$400=$A$243) &gt; 0) * (TRIM('Full month Pivot'!$C$3:$C$400)=TRIM($A251)) * ('Full month Pivot'!$D$2:$K$2=V$2) * 'Full month Pivot'!$D$3:$K$400), "")</f>
        <v/>
      </c>
      <c r="W251" s="193">
        <f>IF(SUMPRODUCT((('Full month Pivot'!$B$3:$B$400=$A$243) + ('Full month Pivot'!$A$3:$A$400=$A$243) &gt; 0) * (TRIM('Full month Pivot'!$C$3:$C$400)=TRIM($A251)) * ('Full month Pivot'!$D$2:$K$2=W$2) * 'Full month Pivot'!$D$3:$K$400)&gt;0, SUMPRODUCT((('Full month Pivot'!$B$3:$B$400=$A$243) + ('Full month Pivot'!$A$3:$A$400=$A$243) &gt; 0) * (TRIM('Full month Pivot'!$C$3:$C$400)=TRIM($A251)) * ('Full month Pivot'!$D$2:$K$2=W$2) * 'Full month Pivot'!$D$3:$K$400), "")</f>
        <v/>
      </c>
      <c r="X251" s="193">
        <f>IF(SUMPRODUCT((('Full month Pivot'!$B$3:$B$400=$A$243) + ('Full month Pivot'!$A$3:$A$400=$A$243) &gt; 0) * (TRIM('Full month Pivot'!$C$3:$C$400)=TRIM($A251)) * ('Full month Pivot'!$D$2:$K$2=X$2) * 'Full month Pivot'!$D$3:$K$400)&gt;0, SUMPRODUCT((('Full month Pivot'!$B$3:$B$400=$A$243) + ('Full month Pivot'!$A$3:$A$400=$A$243) &gt; 0) * (TRIM('Full month Pivot'!$C$3:$C$400)=TRIM($A251)) * ('Full month Pivot'!$D$2:$K$2=X$2) * 'Full month Pivot'!$D$3:$K$400), "")</f>
        <v/>
      </c>
      <c r="Y251" s="193">
        <f>IF(SUMPRODUCT((('Full month Pivot'!$B$3:$B$400=$A$243) + ('Full month Pivot'!$A$3:$A$400=$A$243) &gt; 0) * (TRIM('Full month Pivot'!$C$3:$C$400)=TRIM($A251)) * ('Full month Pivot'!$D$2:$K$2=Y$2) * 'Full month Pivot'!$D$3:$K$400)&gt;0, SUMPRODUCT((('Full month Pivot'!$B$3:$B$400=$A$243) + ('Full month Pivot'!$A$3:$A$400=$A$243) &gt; 0) * (TRIM('Full month Pivot'!$C$3:$C$400)=TRIM($A251)) * ('Full month Pivot'!$D$2:$K$2=Y$2) * 'Full month Pivot'!$D$3:$K$400), "")</f>
        <v/>
      </c>
      <c r="Z251" s="193">
        <f>IF(SUMPRODUCT((('Full month Pivot'!$B$3:$B$400=$A$243) + ('Full month Pivot'!$A$3:$A$400=$A$243) &gt; 0) * (TRIM('Full month Pivot'!$C$3:$C$400)=TRIM($A251)) * ('Full month Pivot'!$D$2:$K$2=Z$2) * 'Full month Pivot'!$D$3:$K$400)&gt;0, SUMPRODUCT((('Full month Pivot'!$B$3:$B$400=$A$243) + ('Full month Pivot'!$A$3:$A$400=$A$243) &gt; 0) * (TRIM('Full month Pivot'!$C$3:$C$400)=TRIM($A251)) * ('Full month Pivot'!$D$2:$K$2=Z$2) * 'Full month Pivot'!$D$3:$K$400), "")</f>
        <v/>
      </c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202" t="inlineStr">
        <is>
          <t xml:space="preserve">  Referral</t>
        </is>
      </c>
      <c r="B252" s="193">
        <f>IF(SUMPRODUCT((('MTD Pivot'!$B$3:$B$400=$A$243) + ('MTD Pivot'!$A$3:$A$400=$A$243) &gt; 0) * (TRIM('MTD Pivot'!$C$3:$C$400)=TRIM($A252)) * ('MTD Pivot'!$D$2:$K$2=B$2) * 'MTD Pivot'!$D$3:$K$400)&gt;0, SUMPRODUCT((('MTD Pivot'!$B$3:$B$400=$A$243) + ('MTD Pivot'!$A$3:$A$400=$A$243) &gt; 0) * (TRIM('MTD Pivot'!$C$3:$C$400)=TRIM($A252)) * ('MTD Pivot'!$D$2:$K$2=B$2) * 'MTD Pivot'!$D$3:$K$400), "")</f>
        <v/>
      </c>
      <c r="C252" s="193">
        <f>IF(SUMPRODUCT((('MTD Pivot'!$B$3:$B$400=$A$243) + ('MTD Pivot'!$A$3:$A$400=$A$243) &gt; 0) * (TRIM('MTD Pivot'!$C$3:$C$400)=TRIM($A252)) * ('MTD Pivot'!$D$2:$K$2=C$2) * 'MTD Pivot'!$D$3:$K$400)&gt;0, SUMPRODUCT((('MTD Pivot'!$B$3:$B$400=$A$243) + ('MTD Pivot'!$A$3:$A$400=$A$243) &gt; 0) * (TRIM('MTD Pivot'!$C$3:$C$400)=TRIM($A252)) * ('MTD Pivot'!$D$2:$K$2=C$2) * 'MTD Pivot'!$D$3:$K$400), "")</f>
        <v/>
      </c>
      <c r="D252" s="193">
        <f>IF(SUMPRODUCT((('MTD Pivot'!$B$3:$B$400=$A$243) + ('MTD Pivot'!$A$3:$A$400=$A$243) &gt; 0) * (TRIM('MTD Pivot'!$C$3:$C$400)=TRIM($A252)) * ('MTD Pivot'!$D$2:$K$2=D$2) * 'MTD Pivot'!$D$3:$K$400)&gt;0, SUMPRODUCT((('MTD Pivot'!$B$3:$B$400=$A$243) + ('MTD Pivot'!$A$3:$A$400=$A$243) &gt; 0) * (TRIM('MTD Pivot'!$C$3:$C$400)=TRIM($A252)) * ('MTD Pivot'!$D$2:$K$2=D$2) * 'MTD Pivot'!$D$3:$K$400), "")</f>
        <v/>
      </c>
      <c r="E252" s="193">
        <f>IF(SUMPRODUCT((('MTD Pivot'!$B$3:$B$400=$A$243) + ('MTD Pivot'!$A$3:$A$400=$A$243) &gt; 0) * (TRIM('MTD Pivot'!$C$3:$C$400)=TRIM($A252)) * ('MTD Pivot'!$D$2:$K$2=E$2) * 'MTD Pivot'!$D$3:$K$400)&gt;0, SUMPRODUCT((('MTD Pivot'!$B$3:$B$400=$A$243) + ('MTD Pivot'!$A$3:$A$400=$A$243) &gt; 0) * (TRIM('MTD Pivot'!$C$3:$C$400)=TRIM($A252)) * ('MTD Pivot'!$D$2:$K$2=E$2) * 'MTD Pivot'!$D$3:$K$400), "")</f>
        <v/>
      </c>
      <c r="F252" s="193">
        <f>IF(SUMPRODUCT((('MTD Pivot'!$B$3:$B$400=$A$243) + ('MTD Pivot'!$A$3:$A$400=$A$243) &gt; 0) * (TRIM('MTD Pivot'!$C$3:$C$400)=TRIM($A252)) * ('MTD Pivot'!$D$2:$K$2=F$2) * 'MTD Pivot'!$D$3:$K$400)&gt;0, SUMPRODUCT((('MTD Pivot'!$B$3:$B$400=$A$243) + ('MTD Pivot'!$A$3:$A$400=$A$243) &gt; 0) * (TRIM('MTD Pivot'!$C$3:$C$400)=TRIM($A252)) * ('MTD Pivot'!$D$2:$K$2=F$2) * 'MTD Pivot'!$D$3:$K$400), "")</f>
        <v/>
      </c>
      <c r="G252" s="193">
        <f>IF(SUMPRODUCT((('MTD Pivot'!$B$3:$B$400=$A$243) + ('MTD Pivot'!$A$3:$A$400=$A$243) &gt; 0) * (TRIM('MTD Pivot'!$C$3:$C$400)=TRIM($A252)) * ('MTD Pivot'!$D$2:$K$2=G$2) * 'MTD Pivot'!$D$3:$K$400)&gt;0, SUMPRODUCT((('MTD Pivot'!$B$3:$B$400=$A$243) + ('MTD Pivot'!$A$3:$A$400=$A$243) &gt; 0) * (TRIM('MTD Pivot'!$C$3:$C$400)=TRIM($A252)) * ('MTD Pivot'!$D$2:$K$2=G$2) * 'MTD Pivot'!$D$3:$K$400), "")</f>
        <v/>
      </c>
      <c r="H252" s="193">
        <f>IF(SUMPRODUCT((('MTD Pivot'!$B$3:$B$400=$A$243) + ('MTD Pivot'!$A$3:$A$400=$A$243) &gt; 0) * (TRIM('MTD Pivot'!$C$3:$C$400)=TRIM($A252)) * ('MTD Pivot'!$D$2:$K$2=H$2) * 'MTD Pivot'!$D$3:$K$400)&gt;0, SUMPRODUCT((('MTD Pivot'!$B$3:$B$400=$A$243) + ('MTD Pivot'!$A$3:$A$400=$A$243) &gt; 0) * (TRIM('MTD Pivot'!$C$3:$C$400)=TRIM($A252)) * ('MTD Pivot'!$D$2:$K$2=H$2) * 'MTD Pivot'!$D$3:$K$400), "")</f>
        <v/>
      </c>
      <c r="I252" s="193">
        <f>IF(SUMPRODUCT((('MTD Pivot'!$B$3:$B$400=$A$243) + ('MTD Pivot'!$A$3:$A$400=$A$243) &gt; 0) * (TRIM('MTD Pivot'!$C$3:$C$400)=TRIM($A252)) * ('MTD Pivot'!$D$2:$K$2=I$2) * 'MTD Pivot'!$D$3:$K$400)&gt;0, SUMPRODUCT((('MTD Pivot'!$B$3:$B$400=$A$243) + ('MTD Pivot'!$A$3:$A$400=$A$243) &gt; 0) * (TRIM('MTD Pivot'!$C$3:$C$400)=TRIM($A252)) * ('MTD Pivot'!$D$2:$K$2=I$2) * 'MTD Pivot'!$D$3:$K$400), "")</f>
        <v/>
      </c>
      <c r="J252" s="193">
        <f>IF(SUMPRODUCT((('MTD Pivot'!$B$3:$B$400=$A$243) + ('MTD Pivot'!$A$3:$A$400=$A$243) &gt; 0) * (TRIM('MTD Pivot'!$C$3:$C$400)=TRIM($A252)) * ('MTD Pivot'!$D$2:$K$2=J$2) * 'MTD Pivot'!$D$3:$K$400)&gt;0, SUMPRODUCT((('MTD Pivot'!$B$3:$B$400=$A$243) + ('MTD Pivot'!$A$3:$A$400=$A$243) &gt; 0) * (TRIM('MTD Pivot'!$C$3:$C$400)=TRIM($A252)) * ('MTD Pivot'!$D$2:$K$2=J$2) * 'MTD Pivot'!$D$3:$K$400), "")</f>
        <v/>
      </c>
      <c r="K252" s="193">
        <f>IF(SUMPRODUCT((('MTD Pivot'!$B$3:$B$400=$A$243) + ('MTD Pivot'!$A$3:$A$400=$A$243) &gt; 0) * (TRIM('MTD Pivot'!$C$3:$C$400)=TRIM($A252)) * ('MTD Pivot'!$D$2:$K$2=K$2) * 'MTD Pivot'!$D$3:$K$400)&gt;0, SUMPRODUCT((('MTD Pivot'!$B$3:$B$400=$A$243) + ('MTD Pivot'!$A$3:$A$400=$A$243) &gt; 0) * (TRIM('MTD Pivot'!$C$3:$C$400)=TRIM($A252)) * ('MTD Pivot'!$D$2:$K$2=K$2) * 'MTD Pivot'!$D$3:$K$400), "")</f>
        <v/>
      </c>
      <c r="L252" s="193">
        <f>IF(SUMPRODUCT((('MTD Pivot'!$B$3:$B$400=$A$243) + ('MTD Pivot'!$A$3:$A$400=$A$243) &gt; 0) * (TRIM('MTD Pivot'!$C$3:$C$400)=TRIM($A252)) * ('MTD Pivot'!$D$2:$K$2=L$2) * 'MTD Pivot'!$D$3:$K$400)&gt;0, SUMPRODUCT((('MTD Pivot'!$B$3:$B$400=$A$243) + ('MTD Pivot'!$A$3:$A$400=$A$243) &gt; 0) * (TRIM('MTD Pivot'!$C$3:$C$400)=TRIM($A252)) * ('MTD Pivot'!$D$2:$K$2=L$2) * 'MTD Pivot'!$D$3:$K$400), "")</f>
        <v/>
      </c>
      <c r="M252" s="193">
        <f>IF(SUMPRODUCT((('MTD Pivot'!$B$3:$B$400=$A$243) + ('MTD Pivot'!$A$3:$A$400=$A$243) &gt; 0) * (TRIM('MTD Pivot'!$C$3:$C$400)=TRIM($A252)) * ('MTD Pivot'!$D$2:$K$2=M$2) * 'MTD Pivot'!$D$3:$K$400)&gt;0, SUMPRODUCT((('MTD Pivot'!$B$3:$B$400=$A$243) + ('MTD Pivot'!$A$3:$A$400=$A$243) &gt; 0) * (TRIM('MTD Pivot'!$C$3:$C$400)=TRIM($A252)) * ('MTD Pivot'!$D$2:$K$2=M$2) * 'MTD Pivot'!$D$3:$K$400), "")</f>
        <v/>
      </c>
      <c r="N252" s="157">
        <f>IF(AND(ISNUMBER(K252), ISNUMBER(J252), J252&gt;0), (K252-J252)/J252, "")</f>
        <v/>
      </c>
      <c r="O252" s="193">
        <f>IF(SUMPRODUCT((('Full month Pivot'!$B$3:$B$400=$A$243) + ('Full month Pivot'!$A$3:$A$400=$A$243) &gt; 0) * (TRIM('Full month Pivot'!$C$3:$C$400)=TRIM($A252)) * ('Full month Pivot'!$D$2:$K$2=O$2) * 'Full month Pivot'!$D$3:$K$400)&gt;0, SUMPRODUCT((('Full month Pivot'!$B$3:$B$400=$A$243) + ('Full month Pivot'!$A$3:$A$400=$A$243) &gt; 0) * (TRIM('Full month Pivot'!$C$3:$C$400)=TRIM($A252)) * ('Full month Pivot'!$D$2:$K$2=O$2) * 'Full month Pivot'!$D$3:$K$400), "")</f>
        <v/>
      </c>
      <c r="P252" s="193">
        <f>IF(SUMPRODUCT((('Full month Pivot'!$B$3:$B$400=$A$243) + ('Full month Pivot'!$A$3:$A$400=$A$243) &gt; 0) * (TRIM('Full month Pivot'!$C$3:$C$400)=TRIM($A252)) * ('Full month Pivot'!$D$2:$K$2=P$2) * 'Full month Pivot'!$D$3:$K$400)&gt;0, SUMPRODUCT((('Full month Pivot'!$B$3:$B$400=$A$243) + ('Full month Pivot'!$A$3:$A$400=$A$243) &gt; 0) * (TRIM('Full month Pivot'!$C$3:$C$400)=TRIM($A252)) * ('Full month Pivot'!$D$2:$K$2=P$2) * 'Full month Pivot'!$D$3:$K$400), "")</f>
        <v/>
      </c>
      <c r="Q252" s="193">
        <f>IF(SUMPRODUCT((('Full month Pivot'!$B$3:$B$400=$A$243) + ('Full month Pivot'!$A$3:$A$400=$A$243) &gt; 0) * (TRIM('Full month Pivot'!$C$3:$C$400)=TRIM($A252)) * ('Full month Pivot'!$D$2:$K$2=Q$2) * 'Full month Pivot'!$D$3:$K$400)&gt;0, SUMPRODUCT((('Full month Pivot'!$B$3:$B$400=$A$243) + ('Full month Pivot'!$A$3:$A$400=$A$243) &gt; 0) * (TRIM('Full month Pivot'!$C$3:$C$400)=TRIM($A252)) * ('Full month Pivot'!$D$2:$K$2=Q$2) * 'Full month Pivot'!$D$3:$K$400), "")</f>
        <v/>
      </c>
      <c r="R252" s="193">
        <f>IF(SUMPRODUCT((('Full month Pivot'!$B$3:$B$400=$A$243) + ('Full month Pivot'!$A$3:$A$400=$A$243) &gt; 0) * (TRIM('Full month Pivot'!$C$3:$C$400)=TRIM($A252)) * ('Full month Pivot'!$D$2:$K$2=R$2) * 'Full month Pivot'!$D$3:$K$400)&gt;0, SUMPRODUCT((('Full month Pivot'!$B$3:$B$400=$A$243) + ('Full month Pivot'!$A$3:$A$400=$A$243) &gt; 0) * (TRIM('Full month Pivot'!$C$3:$C$400)=TRIM($A252)) * ('Full month Pivot'!$D$2:$K$2=R$2) * 'Full month Pivot'!$D$3:$K$400), "")</f>
        <v/>
      </c>
      <c r="S252" s="193">
        <f>IF(SUMPRODUCT((('Full month Pivot'!$B$3:$B$400=$A$243) + ('Full month Pivot'!$A$3:$A$400=$A$243) &gt; 0) * (TRIM('Full month Pivot'!$C$3:$C$400)=TRIM($A252)) * ('Full month Pivot'!$D$2:$K$2=S$2) * 'Full month Pivot'!$D$3:$K$400)&gt;0, SUMPRODUCT((('Full month Pivot'!$B$3:$B$400=$A$243) + ('Full month Pivot'!$A$3:$A$400=$A$243) &gt; 0) * (TRIM('Full month Pivot'!$C$3:$C$400)=TRIM($A252)) * ('Full month Pivot'!$D$2:$K$2=S$2) * 'Full month Pivot'!$D$3:$K$400), "")</f>
        <v/>
      </c>
      <c r="T252" s="193">
        <f>IF(SUMPRODUCT((('Full month Pivot'!$B$3:$B$400=$A$243) + ('Full month Pivot'!$A$3:$A$400=$A$243) &gt; 0) * (TRIM('Full month Pivot'!$C$3:$C$400)=TRIM($A252)) * ('Full month Pivot'!$D$2:$K$2=T$2) * 'Full month Pivot'!$D$3:$K$400)&gt;0, SUMPRODUCT((('Full month Pivot'!$B$3:$B$400=$A$243) + ('Full month Pivot'!$A$3:$A$400=$A$243) &gt; 0) * (TRIM('Full month Pivot'!$C$3:$C$400)=TRIM($A252)) * ('Full month Pivot'!$D$2:$K$2=T$2) * 'Full month Pivot'!$D$3:$K$400), "")</f>
        <v/>
      </c>
      <c r="U252" s="193">
        <f>IF(SUMPRODUCT((('Full month Pivot'!$B$3:$B$400=$A$243) + ('Full month Pivot'!$A$3:$A$400=$A$243) &gt; 0) * (TRIM('Full month Pivot'!$C$3:$C$400)=TRIM($A252)) * ('Full month Pivot'!$D$2:$K$2=U$2) * 'Full month Pivot'!$D$3:$K$400)&gt;0, SUMPRODUCT((('Full month Pivot'!$B$3:$B$400=$A$243) + ('Full month Pivot'!$A$3:$A$400=$A$243) &gt; 0) * (TRIM('Full month Pivot'!$C$3:$C$400)=TRIM($A252)) * ('Full month Pivot'!$D$2:$K$2=U$2) * 'Full month Pivot'!$D$3:$K$400), "")</f>
        <v/>
      </c>
      <c r="V252" s="193">
        <f>IF(SUMPRODUCT((('Full month Pivot'!$B$3:$B$400=$A$243) + ('Full month Pivot'!$A$3:$A$400=$A$243) &gt; 0) * (TRIM('Full month Pivot'!$C$3:$C$400)=TRIM($A252)) * ('Full month Pivot'!$D$2:$K$2=V$2) * 'Full month Pivot'!$D$3:$K$400)&gt;0, SUMPRODUCT((('Full month Pivot'!$B$3:$B$400=$A$243) + ('Full month Pivot'!$A$3:$A$400=$A$243) &gt; 0) * (TRIM('Full month Pivot'!$C$3:$C$400)=TRIM($A252)) * ('Full month Pivot'!$D$2:$K$2=V$2) * 'Full month Pivot'!$D$3:$K$400), "")</f>
        <v/>
      </c>
      <c r="W252" s="193">
        <f>IF(SUMPRODUCT((('Full month Pivot'!$B$3:$B$400=$A$243) + ('Full month Pivot'!$A$3:$A$400=$A$243) &gt; 0) * (TRIM('Full month Pivot'!$C$3:$C$400)=TRIM($A252)) * ('Full month Pivot'!$D$2:$K$2=W$2) * 'Full month Pivot'!$D$3:$K$400)&gt;0, SUMPRODUCT((('Full month Pivot'!$B$3:$B$400=$A$243) + ('Full month Pivot'!$A$3:$A$400=$A$243) &gt; 0) * (TRIM('Full month Pivot'!$C$3:$C$400)=TRIM($A252)) * ('Full month Pivot'!$D$2:$K$2=W$2) * 'Full month Pivot'!$D$3:$K$400), "")</f>
        <v/>
      </c>
      <c r="X252" s="193">
        <f>IF(SUMPRODUCT((('Full month Pivot'!$B$3:$B$400=$A$243) + ('Full month Pivot'!$A$3:$A$400=$A$243) &gt; 0) * (TRIM('Full month Pivot'!$C$3:$C$400)=TRIM($A252)) * ('Full month Pivot'!$D$2:$K$2=X$2) * 'Full month Pivot'!$D$3:$K$400)&gt;0, SUMPRODUCT((('Full month Pivot'!$B$3:$B$400=$A$243) + ('Full month Pivot'!$A$3:$A$400=$A$243) &gt; 0) * (TRIM('Full month Pivot'!$C$3:$C$400)=TRIM($A252)) * ('Full month Pivot'!$D$2:$K$2=X$2) * 'Full month Pivot'!$D$3:$K$400), "")</f>
        <v/>
      </c>
      <c r="Y252" s="193">
        <f>IF(SUMPRODUCT((('Full month Pivot'!$B$3:$B$400=$A$243) + ('Full month Pivot'!$A$3:$A$400=$A$243) &gt; 0) * (TRIM('Full month Pivot'!$C$3:$C$400)=TRIM($A252)) * ('Full month Pivot'!$D$2:$K$2=Y$2) * 'Full month Pivot'!$D$3:$K$400)&gt;0, SUMPRODUCT((('Full month Pivot'!$B$3:$B$400=$A$243) + ('Full month Pivot'!$A$3:$A$400=$A$243) &gt; 0) * (TRIM('Full month Pivot'!$C$3:$C$400)=TRIM($A252)) * ('Full month Pivot'!$D$2:$K$2=Y$2) * 'Full month Pivot'!$D$3:$K$400), "")</f>
        <v/>
      </c>
      <c r="Z252" s="193">
        <f>IF(SUMPRODUCT((('Full month Pivot'!$B$3:$B$400=$A$243) + ('Full month Pivot'!$A$3:$A$400=$A$243) &gt; 0) * (TRIM('Full month Pivot'!$C$3:$C$400)=TRIM($A252)) * ('Full month Pivot'!$D$2:$K$2=Z$2) * 'Full month Pivot'!$D$3:$K$400)&gt;0, SUMPRODUCT((('Full month Pivot'!$B$3:$B$400=$A$243) + ('Full month Pivot'!$A$3:$A$400=$A$243) &gt; 0) * (TRIM('Full month Pivot'!$C$3:$C$400)=TRIM($A252)) * ('Full month Pivot'!$D$2:$K$2=Z$2) * 'Full month Pivot'!$D$3:$K$400), "")</f>
        <v/>
      </c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202" t="inlineStr">
        <is>
          <t xml:space="preserve">  Others</t>
        </is>
      </c>
      <c r="B253" s="193">
        <f>IF(SUMPRODUCT((('MTD Pivot'!$B$3:$B$400=$A$243) + ('MTD Pivot'!$A$3:$A$400=$A$243) &gt; 0) * (TRIM('MTD Pivot'!$C$3:$C$400)=TRIM($A253)) * ('MTD Pivot'!$D$2:$K$2=B$2) * 'MTD Pivot'!$D$3:$K$400)&gt;0, SUMPRODUCT((('MTD Pivot'!$B$3:$B$400=$A$243) + ('MTD Pivot'!$A$3:$A$400=$A$243) &gt; 0) * (TRIM('MTD Pivot'!$C$3:$C$400)=TRIM($A253)) * ('MTD Pivot'!$D$2:$K$2=B$2) * 'MTD Pivot'!$D$3:$K$400), "")</f>
        <v/>
      </c>
      <c r="C253" s="193">
        <f>IF(SUMPRODUCT((('MTD Pivot'!$B$3:$B$400=$A$243) + ('MTD Pivot'!$A$3:$A$400=$A$243) &gt; 0) * (TRIM('MTD Pivot'!$C$3:$C$400)=TRIM($A253)) * ('MTD Pivot'!$D$2:$K$2=C$2) * 'MTD Pivot'!$D$3:$K$400)&gt;0, SUMPRODUCT((('MTD Pivot'!$B$3:$B$400=$A$243) + ('MTD Pivot'!$A$3:$A$400=$A$243) &gt; 0) * (TRIM('MTD Pivot'!$C$3:$C$400)=TRIM($A253)) * ('MTD Pivot'!$D$2:$K$2=C$2) * 'MTD Pivot'!$D$3:$K$400), "")</f>
        <v/>
      </c>
      <c r="D253" s="193">
        <f>IF(SUMPRODUCT((('MTD Pivot'!$B$3:$B$400=$A$243) + ('MTD Pivot'!$A$3:$A$400=$A$243) &gt; 0) * (TRIM('MTD Pivot'!$C$3:$C$400)=TRIM($A253)) * ('MTD Pivot'!$D$2:$K$2=D$2) * 'MTD Pivot'!$D$3:$K$400)&gt;0, SUMPRODUCT((('MTD Pivot'!$B$3:$B$400=$A$243) + ('MTD Pivot'!$A$3:$A$400=$A$243) &gt; 0) * (TRIM('MTD Pivot'!$C$3:$C$400)=TRIM($A253)) * ('MTD Pivot'!$D$2:$K$2=D$2) * 'MTD Pivot'!$D$3:$K$400), "")</f>
        <v/>
      </c>
      <c r="E253" s="193">
        <f>IF(SUMPRODUCT((('MTD Pivot'!$B$3:$B$400=$A$243) + ('MTD Pivot'!$A$3:$A$400=$A$243) &gt; 0) * (TRIM('MTD Pivot'!$C$3:$C$400)=TRIM($A253)) * ('MTD Pivot'!$D$2:$K$2=E$2) * 'MTD Pivot'!$D$3:$K$400)&gt;0, SUMPRODUCT((('MTD Pivot'!$B$3:$B$400=$A$243) + ('MTD Pivot'!$A$3:$A$400=$A$243) &gt; 0) * (TRIM('MTD Pivot'!$C$3:$C$400)=TRIM($A253)) * ('MTD Pivot'!$D$2:$K$2=E$2) * 'MTD Pivot'!$D$3:$K$400), "")</f>
        <v/>
      </c>
      <c r="F253" s="193">
        <f>IF(SUMPRODUCT((('MTD Pivot'!$B$3:$B$400=$A$243) + ('MTD Pivot'!$A$3:$A$400=$A$243) &gt; 0) * (TRIM('MTD Pivot'!$C$3:$C$400)=TRIM($A253)) * ('MTD Pivot'!$D$2:$K$2=F$2) * 'MTD Pivot'!$D$3:$K$400)&gt;0, SUMPRODUCT((('MTD Pivot'!$B$3:$B$400=$A$243) + ('MTD Pivot'!$A$3:$A$400=$A$243) &gt; 0) * (TRIM('MTD Pivot'!$C$3:$C$400)=TRIM($A253)) * ('MTD Pivot'!$D$2:$K$2=F$2) * 'MTD Pivot'!$D$3:$K$400), "")</f>
        <v/>
      </c>
      <c r="G253" s="193">
        <f>IF(SUMPRODUCT((('MTD Pivot'!$B$3:$B$400=$A$243) + ('MTD Pivot'!$A$3:$A$400=$A$243) &gt; 0) * (TRIM('MTD Pivot'!$C$3:$C$400)=TRIM($A253)) * ('MTD Pivot'!$D$2:$K$2=G$2) * 'MTD Pivot'!$D$3:$K$400)&gt;0, SUMPRODUCT((('MTD Pivot'!$B$3:$B$400=$A$243) + ('MTD Pivot'!$A$3:$A$400=$A$243) &gt; 0) * (TRIM('MTD Pivot'!$C$3:$C$400)=TRIM($A253)) * ('MTD Pivot'!$D$2:$K$2=G$2) * 'MTD Pivot'!$D$3:$K$400), "")</f>
        <v/>
      </c>
      <c r="H253" s="193">
        <f>IF(SUMPRODUCT((('MTD Pivot'!$B$3:$B$400=$A$243) + ('MTD Pivot'!$A$3:$A$400=$A$243) &gt; 0) * (TRIM('MTD Pivot'!$C$3:$C$400)=TRIM($A253)) * ('MTD Pivot'!$D$2:$K$2=H$2) * 'MTD Pivot'!$D$3:$K$400)&gt;0, SUMPRODUCT((('MTD Pivot'!$B$3:$B$400=$A$243) + ('MTD Pivot'!$A$3:$A$400=$A$243) &gt; 0) * (TRIM('MTD Pivot'!$C$3:$C$400)=TRIM($A253)) * ('MTD Pivot'!$D$2:$K$2=H$2) * 'MTD Pivot'!$D$3:$K$400), "")</f>
        <v/>
      </c>
      <c r="I253" s="193">
        <f>IF(SUMPRODUCT((('MTD Pivot'!$B$3:$B$400=$A$243) + ('MTD Pivot'!$A$3:$A$400=$A$243) &gt; 0) * (TRIM('MTD Pivot'!$C$3:$C$400)=TRIM($A253)) * ('MTD Pivot'!$D$2:$K$2=I$2) * 'MTD Pivot'!$D$3:$K$400)&gt;0, SUMPRODUCT((('MTD Pivot'!$B$3:$B$400=$A$243) + ('MTD Pivot'!$A$3:$A$400=$A$243) &gt; 0) * (TRIM('MTD Pivot'!$C$3:$C$400)=TRIM($A253)) * ('MTD Pivot'!$D$2:$K$2=I$2) * 'MTD Pivot'!$D$3:$K$400), "")</f>
        <v/>
      </c>
      <c r="J253" s="193">
        <f>IF(SUMPRODUCT((('MTD Pivot'!$B$3:$B$400=$A$243) + ('MTD Pivot'!$A$3:$A$400=$A$243) &gt; 0) * (TRIM('MTD Pivot'!$C$3:$C$400)=TRIM($A253)) * ('MTD Pivot'!$D$2:$K$2=J$2) * 'MTD Pivot'!$D$3:$K$400)&gt;0, SUMPRODUCT((('MTD Pivot'!$B$3:$B$400=$A$243) + ('MTD Pivot'!$A$3:$A$400=$A$243) &gt; 0) * (TRIM('MTD Pivot'!$C$3:$C$400)=TRIM($A253)) * ('MTD Pivot'!$D$2:$K$2=J$2) * 'MTD Pivot'!$D$3:$K$400), "")</f>
        <v/>
      </c>
      <c r="K253" s="193">
        <f>IF(SUMPRODUCT((('MTD Pivot'!$B$3:$B$400=$A$243) + ('MTD Pivot'!$A$3:$A$400=$A$243) &gt; 0) * (TRIM('MTD Pivot'!$C$3:$C$400)=TRIM($A253)) * ('MTD Pivot'!$D$2:$K$2=K$2) * 'MTD Pivot'!$D$3:$K$400)&gt;0, SUMPRODUCT((('MTD Pivot'!$B$3:$B$400=$A$243) + ('MTD Pivot'!$A$3:$A$400=$A$243) &gt; 0) * (TRIM('MTD Pivot'!$C$3:$C$400)=TRIM($A253)) * ('MTD Pivot'!$D$2:$K$2=K$2) * 'MTD Pivot'!$D$3:$K$400), "")</f>
        <v/>
      </c>
      <c r="L253" s="193">
        <f>IF(SUMPRODUCT((('MTD Pivot'!$B$3:$B$400=$A$243) + ('MTD Pivot'!$A$3:$A$400=$A$243) &gt; 0) * (TRIM('MTD Pivot'!$C$3:$C$400)=TRIM($A253)) * ('MTD Pivot'!$D$2:$K$2=L$2) * 'MTD Pivot'!$D$3:$K$400)&gt;0, SUMPRODUCT((('MTD Pivot'!$B$3:$B$400=$A$243) + ('MTD Pivot'!$A$3:$A$400=$A$243) &gt; 0) * (TRIM('MTD Pivot'!$C$3:$C$400)=TRIM($A253)) * ('MTD Pivot'!$D$2:$K$2=L$2) * 'MTD Pivot'!$D$3:$K$400), "")</f>
        <v/>
      </c>
      <c r="M253" s="193">
        <f>IF(SUMPRODUCT((('MTD Pivot'!$B$3:$B$400=$A$243) + ('MTD Pivot'!$A$3:$A$400=$A$243) &gt; 0) * (TRIM('MTD Pivot'!$C$3:$C$400)=TRIM($A253)) * ('MTD Pivot'!$D$2:$K$2=M$2) * 'MTD Pivot'!$D$3:$K$400)&gt;0, SUMPRODUCT((('MTD Pivot'!$B$3:$B$400=$A$243) + ('MTD Pivot'!$A$3:$A$400=$A$243) &gt; 0) * (TRIM('MTD Pivot'!$C$3:$C$400)=TRIM($A253)) * ('MTD Pivot'!$D$2:$K$2=M$2) * 'MTD Pivot'!$D$3:$K$400), "")</f>
        <v/>
      </c>
      <c r="N253" s="157">
        <f>IF(AND(ISNUMBER(K253), ISNUMBER(J253), J253&gt;0), (K253-J253)/J253, "")</f>
        <v/>
      </c>
      <c r="O253" s="193">
        <f>IF(SUMPRODUCT((('Full month Pivot'!$B$3:$B$400=$A$243) + ('Full month Pivot'!$A$3:$A$400=$A$243) &gt; 0) * (TRIM('Full month Pivot'!$C$3:$C$400)=TRIM($A253)) * ('Full month Pivot'!$D$2:$K$2=O$2) * 'Full month Pivot'!$D$3:$K$400)&gt;0, SUMPRODUCT((('Full month Pivot'!$B$3:$B$400=$A$243) + ('Full month Pivot'!$A$3:$A$400=$A$243) &gt; 0) * (TRIM('Full month Pivot'!$C$3:$C$400)=TRIM($A253)) * ('Full month Pivot'!$D$2:$K$2=O$2) * 'Full month Pivot'!$D$3:$K$400), "")</f>
        <v/>
      </c>
      <c r="P253" s="193">
        <f>IF(SUMPRODUCT((('Full month Pivot'!$B$3:$B$400=$A$243) + ('Full month Pivot'!$A$3:$A$400=$A$243) &gt; 0) * (TRIM('Full month Pivot'!$C$3:$C$400)=TRIM($A253)) * ('Full month Pivot'!$D$2:$K$2=P$2) * 'Full month Pivot'!$D$3:$K$400)&gt;0, SUMPRODUCT((('Full month Pivot'!$B$3:$B$400=$A$243) + ('Full month Pivot'!$A$3:$A$400=$A$243) &gt; 0) * (TRIM('Full month Pivot'!$C$3:$C$400)=TRIM($A253)) * ('Full month Pivot'!$D$2:$K$2=P$2) * 'Full month Pivot'!$D$3:$K$400), "")</f>
        <v/>
      </c>
      <c r="Q253" s="193">
        <f>IF(SUMPRODUCT((('Full month Pivot'!$B$3:$B$400=$A$243) + ('Full month Pivot'!$A$3:$A$400=$A$243) &gt; 0) * (TRIM('Full month Pivot'!$C$3:$C$400)=TRIM($A253)) * ('Full month Pivot'!$D$2:$K$2=Q$2) * 'Full month Pivot'!$D$3:$K$400)&gt;0, SUMPRODUCT((('Full month Pivot'!$B$3:$B$400=$A$243) + ('Full month Pivot'!$A$3:$A$400=$A$243) &gt; 0) * (TRIM('Full month Pivot'!$C$3:$C$400)=TRIM($A253)) * ('Full month Pivot'!$D$2:$K$2=Q$2) * 'Full month Pivot'!$D$3:$K$400), "")</f>
        <v/>
      </c>
      <c r="R253" s="193">
        <f>IF(SUMPRODUCT((('Full month Pivot'!$B$3:$B$400=$A$243) + ('Full month Pivot'!$A$3:$A$400=$A$243) &gt; 0) * (TRIM('Full month Pivot'!$C$3:$C$400)=TRIM($A253)) * ('Full month Pivot'!$D$2:$K$2=R$2) * 'Full month Pivot'!$D$3:$K$400)&gt;0, SUMPRODUCT((('Full month Pivot'!$B$3:$B$400=$A$243) + ('Full month Pivot'!$A$3:$A$400=$A$243) &gt; 0) * (TRIM('Full month Pivot'!$C$3:$C$400)=TRIM($A253)) * ('Full month Pivot'!$D$2:$K$2=R$2) * 'Full month Pivot'!$D$3:$K$400), "")</f>
        <v/>
      </c>
      <c r="S253" s="193">
        <f>IF(SUMPRODUCT((('Full month Pivot'!$B$3:$B$400=$A$243) + ('Full month Pivot'!$A$3:$A$400=$A$243) &gt; 0) * (TRIM('Full month Pivot'!$C$3:$C$400)=TRIM($A253)) * ('Full month Pivot'!$D$2:$K$2=S$2) * 'Full month Pivot'!$D$3:$K$400)&gt;0, SUMPRODUCT((('Full month Pivot'!$B$3:$B$400=$A$243) + ('Full month Pivot'!$A$3:$A$400=$A$243) &gt; 0) * (TRIM('Full month Pivot'!$C$3:$C$400)=TRIM($A253)) * ('Full month Pivot'!$D$2:$K$2=S$2) * 'Full month Pivot'!$D$3:$K$400), "")</f>
        <v/>
      </c>
      <c r="T253" s="193">
        <f>IF(SUMPRODUCT((('Full month Pivot'!$B$3:$B$400=$A$243) + ('Full month Pivot'!$A$3:$A$400=$A$243) &gt; 0) * (TRIM('Full month Pivot'!$C$3:$C$400)=TRIM($A253)) * ('Full month Pivot'!$D$2:$K$2=T$2) * 'Full month Pivot'!$D$3:$K$400)&gt;0, SUMPRODUCT((('Full month Pivot'!$B$3:$B$400=$A$243) + ('Full month Pivot'!$A$3:$A$400=$A$243) &gt; 0) * (TRIM('Full month Pivot'!$C$3:$C$400)=TRIM($A253)) * ('Full month Pivot'!$D$2:$K$2=T$2) * 'Full month Pivot'!$D$3:$K$400), "")</f>
        <v/>
      </c>
      <c r="U253" s="193">
        <f>IF(SUMPRODUCT((('Full month Pivot'!$B$3:$B$400=$A$243) + ('Full month Pivot'!$A$3:$A$400=$A$243) &gt; 0) * (TRIM('Full month Pivot'!$C$3:$C$400)=TRIM($A253)) * ('Full month Pivot'!$D$2:$K$2=U$2) * 'Full month Pivot'!$D$3:$K$400)&gt;0, SUMPRODUCT((('Full month Pivot'!$B$3:$B$400=$A$243) + ('Full month Pivot'!$A$3:$A$400=$A$243) &gt; 0) * (TRIM('Full month Pivot'!$C$3:$C$400)=TRIM($A253)) * ('Full month Pivot'!$D$2:$K$2=U$2) * 'Full month Pivot'!$D$3:$K$400), "")</f>
        <v/>
      </c>
      <c r="V253" s="193">
        <f>IF(SUMPRODUCT((('Full month Pivot'!$B$3:$B$400=$A$243) + ('Full month Pivot'!$A$3:$A$400=$A$243) &gt; 0) * (TRIM('Full month Pivot'!$C$3:$C$400)=TRIM($A253)) * ('Full month Pivot'!$D$2:$K$2=V$2) * 'Full month Pivot'!$D$3:$K$400)&gt;0, SUMPRODUCT((('Full month Pivot'!$B$3:$B$400=$A$243) + ('Full month Pivot'!$A$3:$A$400=$A$243) &gt; 0) * (TRIM('Full month Pivot'!$C$3:$C$400)=TRIM($A253)) * ('Full month Pivot'!$D$2:$K$2=V$2) * 'Full month Pivot'!$D$3:$K$400), "")</f>
        <v/>
      </c>
      <c r="W253" s="193">
        <f>IF(SUMPRODUCT((('Full month Pivot'!$B$3:$B$400=$A$243) + ('Full month Pivot'!$A$3:$A$400=$A$243) &gt; 0) * (TRIM('Full month Pivot'!$C$3:$C$400)=TRIM($A253)) * ('Full month Pivot'!$D$2:$K$2=W$2) * 'Full month Pivot'!$D$3:$K$400)&gt;0, SUMPRODUCT((('Full month Pivot'!$B$3:$B$400=$A$243) + ('Full month Pivot'!$A$3:$A$400=$A$243) &gt; 0) * (TRIM('Full month Pivot'!$C$3:$C$400)=TRIM($A253)) * ('Full month Pivot'!$D$2:$K$2=W$2) * 'Full month Pivot'!$D$3:$K$400), "")</f>
        <v/>
      </c>
      <c r="X253" s="193">
        <f>IF(SUMPRODUCT((('Full month Pivot'!$B$3:$B$400=$A$243) + ('Full month Pivot'!$A$3:$A$400=$A$243) &gt; 0) * (TRIM('Full month Pivot'!$C$3:$C$400)=TRIM($A253)) * ('Full month Pivot'!$D$2:$K$2=X$2) * 'Full month Pivot'!$D$3:$K$400)&gt;0, SUMPRODUCT((('Full month Pivot'!$B$3:$B$400=$A$243) + ('Full month Pivot'!$A$3:$A$400=$A$243) &gt; 0) * (TRIM('Full month Pivot'!$C$3:$C$400)=TRIM($A253)) * ('Full month Pivot'!$D$2:$K$2=X$2) * 'Full month Pivot'!$D$3:$K$400), "")</f>
        <v/>
      </c>
      <c r="Y253" s="193">
        <f>IF(SUMPRODUCT((('Full month Pivot'!$B$3:$B$400=$A$243) + ('Full month Pivot'!$A$3:$A$400=$A$243) &gt; 0) * (TRIM('Full month Pivot'!$C$3:$C$400)=TRIM($A253)) * ('Full month Pivot'!$D$2:$K$2=Y$2) * 'Full month Pivot'!$D$3:$K$400)&gt;0, SUMPRODUCT((('Full month Pivot'!$B$3:$B$400=$A$243) + ('Full month Pivot'!$A$3:$A$400=$A$243) &gt; 0) * (TRIM('Full month Pivot'!$C$3:$C$400)=TRIM($A253)) * ('Full month Pivot'!$D$2:$K$2=Y$2) * 'Full month Pivot'!$D$3:$K$400), "")</f>
        <v/>
      </c>
      <c r="Z253" s="193">
        <f>IF(SUMPRODUCT((('Full month Pivot'!$B$3:$B$400=$A$243) + ('Full month Pivot'!$A$3:$A$400=$A$243) &gt; 0) * (TRIM('Full month Pivot'!$C$3:$C$400)=TRIM($A253)) * ('Full month Pivot'!$D$2:$K$2=Z$2) * 'Full month Pivot'!$D$3:$K$400)&gt;0, SUMPRODUCT((('Full month Pivot'!$B$3:$B$400=$A$243) + ('Full month Pivot'!$A$3:$A$400=$A$243) &gt; 0) * (TRIM('Full month Pivot'!$C$3:$C$400)=TRIM($A253)) * ('Full month Pivot'!$D$2:$K$2=Z$2) * 'Full month Pivot'!$D$3:$K$400), "")</f>
        <v/>
      </c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202" t="n"/>
      <c r="B254" s="202" t="n"/>
      <c r="C254" s="202" t="n"/>
      <c r="D254" s="202" t="n"/>
      <c r="E254" s="202" t="n"/>
      <c r="F254" s="202" t="n"/>
      <c r="G254" s="202" t="n"/>
      <c r="H254" s="202" t="n"/>
      <c r="I254" s="202" t="n"/>
      <c r="J254" s="202" t="n"/>
      <c r="K254" s="202" t="n"/>
      <c r="L254" s="202" t="n"/>
      <c r="M254" s="202" t="n"/>
      <c r="N254" s="202" t="n"/>
      <c r="O254" s="202" t="n"/>
      <c r="P254" s="202" t="n"/>
      <c r="Q254" s="202" t="n"/>
      <c r="R254" s="202" t="n"/>
      <c r="S254" s="202" t="n"/>
      <c r="T254" s="202" t="n"/>
      <c r="U254" s="202" t="n"/>
      <c r="V254" s="202" t="n"/>
      <c r="W254" s="202" t="n"/>
      <c r="X254" s="202" t="n"/>
      <c r="Y254" s="202" t="n"/>
      <c r="Z254" s="202" t="n"/>
      <c r="AA254" s="202" t="n"/>
      <c r="AB254" s="140" t="n"/>
      <c r="AC254" s="140" t="n"/>
      <c r="AD254" s="140" t="n"/>
    </row>
    <row r="255" ht="15.75" customHeight="1" s="346">
      <c r="A255" s="145" t="inlineStr">
        <is>
          <t>Soundbox</t>
        </is>
      </c>
      <c r="B255" s="145" t="n"/>
      <c r="C255" s="145" t="n"/>
      <c r="D255" s="145" t="n"/>
      <c r="E255" s="145" t="n"/>
      <c r="F255" s="145" t="n"/>
      <c r="G255" s="145" t="n"/>
      <c r="H255" s="145" t="n"/>
      <c r="I255" s="145" t="n"/>
      <c r="J255" s="145" t="n"/>
      <c r="K255" s="145" t="n"/>
      <c r="L255" s="145" t="n"/>
      <c r="M255" s="145" t="n"/>
      <c r="N255" s="145" t="n"/>
      <c r="O255" s="145" t="n"/>
      <c r="P255" s="145" t="n"/>
      <c r="Q255" s="145" t="n"/>
      <c r="R255" s="145" t="n"/>
      <c r="S255" s="145" t="n"/>
      <c r="T255" s="145" t="n"/>
      <c r="U255" s="145" t="n"/>
      <c r="V255" s="145" t="n"/>
      <c r="W255" s="145" t="n"/>
      <c r="X255" s="145" t="n"/>
      <c r="Y255" s="145" t="n"/>
      <c r="Z255" s="145" t="n"/>
      <c r="AA255" s="145" t="n"/>
      <c r="AB255" s="140" t="n"/>
      <c r="AC255" s="140" t="n"/>
      <c r="AD255" s="140" t="n"/>
    </row>
    <row r="256" ht="15.75" customHeight="1" s="346">
      <c r="A256" s="146" t="inlineStr">
        <is>
          <t>Page views</t>
        </is>
      </c>
      <c r="B256" s="147">
        <f>IF(SUM(B261:B265)&gt;0, SUM(B261:B265), "")</f>
        <v/>
      </c>
      <c r="C256" s="147">
        <f>IF(SUM(C261:C265)&gt;0, SUM(C261:C265), "")</f>
        <v/>
      </c>
      <c r="D256" s="147">
        <f>IF(SUM(D261:D265)&gt;0, SUM(D261:D265), "")</f>
        <v/>
      </c>
      <c r="E256" s="147">
        <f>IF(SUM(E261:E265)&gt;0, SUM(E261:E265), "")</f>
        <v/>
      </c>
      <c r="F256" s="147">
        <f>IF(SUM(F261:F265)&gt;0, SUM(F261:F265), "")</f>
        <v/>
      </c>
      <c r="G256" s="147">
        <f>IF(SUM(G261:G265)&gt;0, SUM(G261:G265), "")</f>
        <v/>
      </c>
      <c r="H256" s="147">
        <f>IF(SUM(H261:H265)&gt;0, SUM(H261:H265), "")</f>
        <v/>
      </c>
      <c r="I256" s="147">
        <f>IF(SUM(I261:I265)&gt;0, SUM(I261:I265), "")</f>
        <v/>
      </c>
      <c r="J256" s="147">
        <f>IF(SUM(J261:J265)&gt;0, SUM(J261:J265), "")</f>
        <v/>
      </c>
      <c r="K256" s="147">
        <f>IF(SUM(K261:K265)&gt;0, SUM(K261:K265), "")</f>
        <v/>
      </c>
      <c r="L256" s="147">
        <f>IF(SUM(L261:L265)&gt;0, SUM(L261:L265), "")</f>
        <v/>
      </c>
      <c r="M256" s="147">
        <f>IF(SUM(M261:M265)&gt;0, SUM(M261:M265), "")</f>
        <v/>
      </c>
      <c r="N256" s="148">
        <f>IFERROR((K256-J256)/J256, "")</f>
        <v/>
      </c>
      <c r="O256" s="147">
        <f>IF(SUM(O261:O265)&gt;0, SUM(O261:O265), "")</f>
        <v/>
      </c>
      <c r="P256" s="147">
        <f>IF(SUM(P261:P265)&gt;0, SUM(P261:P265), "")</f>
        <v/>
      </c>
      <c r="Q256" s="147">
        <f>IF(SUM(Q261:Q265)&gt;0, SUM(Q261:Q265), "")</f>
        <v/>
      </c>
      <c r="R256" s="147">
        <f>IF(SUM(R261:R265)&gt;0, SUM(R261:R265), "")</f>
        <v/>
      </c>
      <c r="S256" s="147">
        <f>IF(SUM(S261:S265)&gt;0, SUM(S261:S265), "")</f>
        <v/>
      </c>
      <c r="T256" s="147">
        <f>IF(SUM(T261:T265)&gt;0, SUM(T261:T265), "")</f>
        <v/>
      </c>
      <c r="U256" s="147">
        <f>IF(SUM(U261:U265)&gt;0, SUM(U261:U265), "")</f>
        <v/>
      </c>
      <c r="V256" s="147">
        <f>IF(SUM(V261:V265)&gt;0, SUM(V261:V265), "")</f>
        <v/>
      </c>
      <c r="W256" s="147">
        <f>IF(SUM(W261:W265)&gt;0, SUM(W261:W265), "")</f>
        <v/>
      </c>
      <c r="X256" s="147">
        <f>IF(SUM(X261:X265)&gt;0, SUM(X261:X265), "")</f>
        <v/>
      </c>
      <c r="Y256" s="147">
        <f>IF(SUM(Y261:Y265)&gt;0, SUM(Y261:Y265), "")</f>
        <v/>
      </c>
      <c r="Z256" s="147">
        <f>IF(SUM(Z261:Z265)&gt;0, SUM(Z261:Z265), "")</f>
        <v/>
      </c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150" t="inlineStr">
        <is>
          <t xml:space="preserve">  Click CTA</t>
        </is>
      </c>
      <c r="B257" s="150" t="n"/>
      <c r="C257" s="150" t="n"/>
      <c r="D257" s="150" t="n"/>
      <c r="E257" s="150" t="n"/>
      <c r="F257" s="150" t="n">
        <v>40</v>
      </c>
      <c r="G257" s="150" t="n">
        <v>95</v>
      </c>
      <c r="H257" s="150" t="n">
        <v>45</v>
      </c>
      <c r="I257" s="150" t="n">
        <v>17</v>
      </c>
      <c r="J257" s="150" t="n">
        <v>55</v>
      </c>
      <c r="K257" s="150" t="n">
        <v>31</v>
      </c>
      <c r="L257" s="150" t="n"/>
      <c r="M257" s="150" t="n"/>
      <c r="N257" s="151">
        <f>IFERROR((K257-J257)/J257, "")</f>
        <v/>
      </c>
      <c r="O257" s="150" t="n"/>
      <c r="P257" s="150" t="n"/>
      <c r="Q257" s="150" t="n"/>
      <c r="R257" s="150" t="n"/>
      <c r="S257" s="150" t="n">
        <v>45</v>
      </c>
      <c r="T257" s="150" t="n">
        <v>101</v>
      </c>
      <c r="U257" s="150" t="n">
        <v>48</v>
      </c>
      <c r="V257" s="150" t="n">
        <v>18</v>
      </c>
      <c r="W257" s="150" t="n">
        <v>57</v>
      </c>
      <c r="X257" s="150" t="n">
        <v>31</v>
      </c>
      <c r="Y257" s="150" t="n"/>
      <c r="Z257" s="150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152" t="inlineStr">
        <is>
          <t xml:space="preserve">  Net change</t>
        </is>
      </c>
      <c r="B258" s="153" t="n"/>
      <c r="C258" s="153">
        <f>IF(AND(ISNUMBER(C256), ISNUMBER(B256), B256&gt;0, C256&gt;0), C256-B256, "")</f>
        <v/>
      </c>
      <c r="D258" s="153">
        <f>IF(AND(ISNUMBER(D256), ISNUMBER(C256), C256&gt;0, D256&gt;0), D256-C256, "")</f>
        <v/>
      </c>
      <c r="E258" s="153">
        <f>IF(AND(ISNUMBER(E256), ISNUMBER(D256), D256&gt;0, E256&gt;0), E256-D256, "")</f>
        <v/>
      </c>
      <c r="F258" s="153">
        <f>IF(AND(ISNUMBER(F256), ISNUMBER(E256), E256&gt;0, F256&gt;0), F256-E256, "")</f>
        <v/>
      </c>
      <c r="G258" s="153">
        <f>IF(AND(ISNUMBER(G256), ISNUMBER(F256), F256&gt;0, G256&gt;0), G256-F256, "")</f>
        <v/>
      </c>
      <c r="H258" s="153">
        <f>IF(AND(ISNUMBER(H256), ISNUMBER(G256), G256&gt;0, H256&gt;0), H256-G256, "")</f>
        <v/>
      </c>
      <c r="I258" s="153">
        <f>IF(AND(ISNUMBER(I256), ISNUMBER(H256), H256&gt;0, I256&gt;0), I256-H256, "")</f>
        <v/>
      </c>
      <c r="J258" s="153">
        <f>IF(AND(ISNUMBER(J256), ISNUMBER(I256), I256&gt;0, J256&gt;0), J256-I256, "")</f>
        <v/>
      </c>
      <c r="K258" s="153">
        <f>IF(AND(ISNUMBER(K256), ISNUMBER(J256), J256&gt;0, K256&gt;0), K256-J256, "")</f>
        <v/>
      </c>
      <c r="L258" s="153">
        <f>IF(AND(ISNUMBER(L256), ISNUMBER(K256), K256&gt;0, L256&gt;0), L256-K256, "")</f>
        <v/>
      </c>
      <c r="M258" s="153">
        <f>IF(AND(ISNUMBER(M256), ISNUMBER(L256), L256&gt;0, M256&gt;0), M256-L256, "")</f>
        <v/>
      </c>
      <c r="N258" s="153" t="n"/>
      <c r="O258" s="153" t="n"/>
      <c r="P258" s="153">
        <f>IF(AND(ISNUMBER(P256), ISNUMBER(O256), O256&gt;0, P256&gt;0), P256-O256, "")</f>
        <v/>
      </c>
      <c r="Q258" s="153">
        <f>IF(AND(ISNUMBER(Q256), ISNUMBER(P256), P256&gt;0, Q256&gt;0), Q256-P256, "")</f>
        <v/>
      </c>
      <c r="R258" s="153">
        <f>IF(AND(ISNUMBER(R256), ISNUMBER(Q256), Q256&gt;0, R256&gt;0), R256-Q256, "")</f>
        <v/>
      </c>
      <c r="S258" s="153">
        <f>IF(AND(ISNUMBER(S256), ISNUMBER(R256), R256&gt;0, S256&gt;0), S256-R256, "")</f>
        <v/>
      </c>
      <c r="T258" s="153">
        <f>IF(AND(ISNUMBER(T256), ISNUMBER(S256), S256&gt;0, T256&gt;0), T256-S256, "")</f>
        <v/>
      </c>
      <c r="U258" s="153">
        <f>IF(AND(ISNUMBER(U256), ISNUMBER(T256), T256&gt;0, U256&gt;0), U256-T256, "")</f>
        <v/>
      </c>
      <c r="V258" s="153">
        <f>IF(AND(ISNUMBER(V256), ISNUMBER(U256), U256&gt;0, V256&gt;0), V256-U256, "")</f>
        <v/>
      </c>
      <c r="W258" s="153">
        <f>IF(AND(ISNUMBER(W256), ISNUMBER(V256), V256&gt;0, W256&gt;0), W256-V256, "")</f>
        <v/>
      </c>
      <c r="X258" s="153">
        <f>IF(AND(ISNUMBER(X256), ISNUMBER(W256), W256&gt;0, X256&gt;0), X256-W256, "")</f>
        <v/>
      </c>
      <c r="Y258" s="153">
        <f>IF(AND(ISNUMBER(Y256), ISNUMBER(X256), X256&gt;0, Y256&gt;0), Y256-X256, "")</f>
        <v/>
      </c>
      <c r="Z258" s="153">
        <f>IF(AND(ISNUMBER(Z256), ISNUMBER(Y256), Y256&gt;0, Z256&gt;0), Z256-Y256, "")</f>
        <v/>
      </c>
      <c r="AA258" s="153" t="n"/>
      <c r="AB258" s="140" t="n"/>
      <c r="AC258" s="140" t="n"/>
      <c r="AD258" s="140" t="n"/>
    </row>
    <row r="259" ht="15.75" customHeight="1" s="346">
      <c r="A259" s="152" t="inlineStr">
        <is>
          <t xml:space="preserve">  % Growth rate</t>
        </is>
      </c>
      <c r="B259" s="203" t="n"/>
      <c r="C259" s="203">
        <f>IF(AND(ISNUMBER(C256), ISNUMBER(B256), B256&gt;0, C256&gt;0), (C256-B256)/B256, "")</f>
        <v/>
      </c>
      <c r="D259" s="203">
        <f>IF(AND(ISNUMBER(D256), ISNUMBER(C256), C256&gt;0, D256&gt;0), (D256-C256)/C256, "")</f>
        <v/>
      </c>
      <c r="E259" s="203">
        <f>IF(AND(ISNUMBER(E256), ISNUMBER(D256), D256&gt;0, E256&gt;0), (E256-D256)/D256, "")</f>
        <v/>
      </c>
      <c r="F259" s="203">
        <f>IF(AND(ISNUMBER(F256), ISNUMBER(E256), E256&gt;0, F256&gt;0), (F256-E256)/E256, "")</f>
        <v/>
      </c>
      <c r="G259" s="203">
        <f>IF(AND(ISNUMBER(G256), ISNUMBER(F256), F256&gt;0, G256&gt;0), (G256-F256)/F256, "")</f>
        <v/>
      </c>
      <c r="H259" s="203">
        <f>IF(AND(ISNUMBER(H256), ISNUMBER(G256), G256&gt;0, H256&gt;0), (H256-G256)/G256, "")</f>
        <v/>
      </c>
      <c r="I259" s="203">
        <f>IF(AND(ISNUMBER(I256), ISNUMBER(H256), H256&gt;0, I256&gt;0), (I256-H256)/H256, "")</f>
        <v/>
      </c>
      <c r="J259" s="203">
        <f>IF(AND(ISNUMBER(J256), ISNUMBER(I256), I256&gt;0, J256&gt;0), (J256-I256)/I256, "")</f>
        <v/>
      </c>
      <c r="K259" s="203">
        <f>IF(AND(ISNUMBER(K256), ISNUMBER(J256), J256&gt;0, K256&gt;0), (K256-J256)/J256, "")</f>
        <v/>
      </c>
      <c r="L259" s="203">
        <f>IF(AND(ISNUMBER(L256), ISNUMBER(K256), K256&gt;0, L256&gt;0), (L256-K256)/K256, "")</f>
        <v/>
      </c>
      <c r="M259" s="203">
        <f>IF(AND(ISNUMBER(M256), ISNUMBER(L256), L256&gt;0, M256&gt;0), (M256-L256)/L256, "")</f>
        <v/>
      </c>
      <c r="N259" s="203" t="n"/>
      <c r="O259" s="203" t="n"/>
      <c r="P259" s="203">
        <f>IF(AND(ISNUMBER(P256), ISNUMBER(O256), O256&gt;0, P256&gt;0), (P256-O256)/O256, "")</f>
        <v/>
      </c>
      <c r="Q259" s="203">
        <f>IF(AND(ISNUMBER(Q256), ISNUMBER(P256), P256&gt;0, Q256&gt;0), (Q256-P256)/P256, "")</f>
        <v/>
      </c>
      <c r="R259" s="203">
        <f>IF(AND(ISNUMBER(R256), ISNUMBER(Q256), Q256&gt;0, R256&gt;0), (R256-Q256)/Q256, "")</f>
        <v/>
      </c>
      <c r="S259" s="203">
        <f>IF(AND(ISNUMBER(S256), ISNUMBER(R256), R256&gt;0, S256&gt;0), (S256-R256)/R256, "")</f>
        <v/>
      </c>
      <c r="T259" s="203">
        <f>IF(AND(ISNUMBER(T256), ISNUMBER(S256), S256&gt;0, T256&gt;0), (T256-S256)/S256, "")</f>
        <v/>
      </c>
      <c r="U259" s="203">
        <f>IF(AND(ISNUMBER(U256), ISNUMBER(T256), T256&gt;0, U256&gt;0), (U256-T256)/T256, "")</f>
        <v/>
      </c>
      <c r="V259" s="203">
        <f>IF(AND(ISNUMBER(V256), ISNUMBER(U256), U256&gt;0, V256&gt;0), (V256-U256)/U256, "")</f>
        <v/>
      </c>
      <c r="W259" s="203">
        <f>IF(AND(ISNUMBER(W256), ISNUMBER(V256), V256&gt;0, W256&gt;0), (W256-V256)/V256, "")</f>
        <v/>
      </c>
      <c r="X259" s="203">
        <f>IF(AND(ISNUMBER(X256), ISNUMBER(W256), W256&gt;0, X256&gt;0), (X256-W256)/W256, "")</f>
        <v/>
      </c>
      <c r="Y259" s="203">
        <f>IF(AND(ISNUMBER(Y256), ISNUMBER(X256), X256&gt;0, Y256&gt;0), (Y256-X256)/X256, "")</f>
        <v/>
      </c>
      <c r="Z259" s="203">
        <f>IF(AND(ISNUMBER(Z256), ISNUMBER(Y256), Y256&gt;0, Z256&gt;0), (Z256-Y256)/Y256, "")</f>
        <v/>
      </c>
      <c r="AA259" s="203" t="n"/>
      <c r="AB259" s="140" t="n"/>
      <c r="AC259" s="140" t="n"/>
      <c r="AD259" s="140" t="n"/>
    </row>
    <row r="260" ht="15.75" customHeight="1" s="346">
      <c r="A260" s="202" t="inlineStr">
        <is>
          <t>Tỷ trọng trong tổng traffic</t>
        </is>
      </c>
      <c r="B260" s="156">
        <f t="array" ref="B260">IF(AND(ISNUMBER(B256), B256&gt;0), B256/INDEX('MTD Pivot'!$D$3:$K$400, MATCH("Grand Total", 'MTD Pivot'!$A$3:$A$400, 0), MATCH(B$2, 'MTD Pivot'!$D$2:$K$2, 0)), "")</f>
        <v/>
      </c>
      <c r="C260" s="156">
        <f t="array" ref="C260">IF(AND(ISNUMBER(C256), C256&gt;0), C256/INDEX('MTD Pivot'!$D$3:$K$400, MATCH("Grand Total", 'MTD Pivot'!$A$3:$A$400, 0), MATCH(C$2, 'MTD Pivot'!$D$2:$K$2, 0)), "")</f>
        <v/>
      </c>
      <c r="D260" s="156">
        <f t="array" ref="D260">IF(AND(ISNUMBER(D256), D256&gt;0), D256/INDEX('MTD Pivot'!$D$3:$K$400, MATCH("Grand Total", 'MTD Pivot'!$A$3:$A$400, 0), MATCH(D$2, 'MTD Pivot'!$D$2:$K$2, 0)), "")</f>
        <v/>
      </c>
      <c r="E260" s="156">
        <f t="array" ref="E260">IF(AND(ISNUMBER(E256), E256&gt;0), E256/INDEX('MTD Pivot'!$D$3:$K$400, MATCH("Grand Total", 'MTD Pivot'!$A$3:$A$400, 0), MATCH(E$2, 'MTD Pivot'!$D$2:$K$2, 0)), "")</f>
        <v/>
      </c>
      <c r="F260" s="156">
        <f t="array" ref="F260">IF(AND(ISNUMBER(F256), F256&gt;0), F256/INDEX('MTD Pivot'!$D$3:$K$400, MATCH("Grand Total", 'MTD Pivot'!$A$3:$A$400, 0), MATCH(F$2, 'MTD Pivot'!$D$2:$K$2, 0)), "")</f>
        <v/>
      </c>
      <c r="G260" s="156">
        <f t="array" ref="G260">IF(AND(ISNUMBER(G256), G256&gt;0), G256/INDEX('MTD Pivot'!$D$3:$K$400, MATCH("Grand Total", 'MTD Pivot'!$A$3:$A$400, 0), MATCH(G$2, 'MTD Pivot'!$D$2:$K$2, 0)), "")</f>
        <v/>
      </c>
      <c r="H260" s="156">
        <f t="array" ref="H260">IF(AND(ISNUMBER(H256), H256&gt;0), H256/INDEX('MTD Pivot'!$D$3:$K$400, MATCH("Grand Total", 'MTD Pivot'!$A$3:$A$400, 0), MATCH(H$2, 'MTD Pivot'!$D$2:$K$2, 0)), "")</f>
        <v/>
      </c>
      <c r="I260" s="156">
        <f t="array" ref="I260">IF(AND(ISNUMBER(I256), I256&gt;0), I256/INDEX('MTD Pivot'!$D$3:$K$400, MATCH("Grand Total", 'MTD Pivot'!$A$3:$A$400, 0), MATCH(I$2, 'MTD Pivot'!$D$2:$K$2, 0)), "")</f>
        <v/>
      </c>
      <c r="J260" s="156">
        <f t="array" ref="J260">IF(AND(ISNUMBER(J256), J256&gt;0), J256/INDEX('MTD Pivot'!$D$3:$K$400, MATCH("Grand Total", 'MTD Pivot'!$A$3:$A$400, 0), MATCH(J$2, 'MTD Pivot'!$D$2:$K$2, 0)), "")</f>
        <v/>
      </c>
      <c r="K260" s="156">
        <f t="array" ref="K260">IF(AND(ISNUMBER(K256), K256&gt;0), K256/INDEX('MTD Pivot'!$D$3:$K$400, MATCH("Grand Total", 'MTD Pivot'!$A$3:$A$400, 0), MATCH(K$2, 'MTD Pivot'!$D$2:$K$2, 0)), "")</f>
        <v/>
      </c>
      <c r="L260" s="156">
        <f t="array" ref="L260">IF(AND(ISNUMBER(L256), L256&gt;0), L256/INDEX('MTD Pivot'!$D$3:$K$400, MATCH("Grand Total", 'MTD Pivot'!$A$3:$A$400, 0), MATCH(L$2, 'MTD Pivot'!$D$2:$K$2, 0)), "")</f>
        <v/>
      </c>
      <c r="M260" s="156">
        <f t="array" ref="M260">IF(AND(ISNUMBER(M256), M256&gt;0), M256/INDEX('MTD Pivot'!$D$3:$K$400, MATCH("Grand Total", 'MTD Pivot'!$A$3:$A$400, 0), MATCH(M$2, 'MTD Pivot'!$D$2:$K$2, 0)), "")</f>
        <v/>
      </c>
      <c r="N260" s="157">
        <f>IF(AND(ISNUMBER(K260), ISNUMBER(J260)), K260-J260, "")</f>
        <v/>
      </c>
      <c r="O260" s="156">
        <f t="array" ref="O260">IF(AND(ISNUMBER(O256), O256&gt;0), O256/INDEX('Full month Pivot'!$D$3:$K$400, MATCH("Grand Total", 'Full month Pivot'!$A$3:$A$400, 0), MATCH(O$2, 'Full month Pivot'!$D$2:$K$2, 0)), "")</f>
        <v/>
      </c>
      <c r="P260" s="156">
        <f t="array" ref="P260">IF(AND(ISNUMBER(P256), P256&gt;0), P256/INDEX('Full month Pivot'!$D$3:$K$400, MATCH("Grand Total", 'Full month Pivot'!$A$3:$A$400, 0), MATCH(P$2, 'Full month Pivot'!$D$2:$K$2, 0)), "")</f>
        <v/>
      </c>
      <c r="Q260" s="156">
        <f t="array" ref="Q260">IF(AND(ISNUMBER(Q256), Q256&gt;0), Q256/INDEX('Full month Pivot'!$D$3:$K$400, MATCH("Grand Total", 'Full month Pivot'!$A$3:$A$400, 0), MATCH(Q$2, 'Full month Pivot'!$D$2:$K$2, 0)), "")</f>
        <v/>
      </c>
      <c r="R260" s="156">
        <f t="array" ref="R260">IF(AND(ISNUMBER(R256), R256&gt;0), R256/INDEX('Full month Pivot'!$D$3:$K$400, MATCH("Grand Total", 'Full month Pivot'!$A$3:$A$400, 0), MATCH(R$2, 'Full month Pivot'!$D$2:$K$2, 0)), "")</f>
        <v/>
      </c>
      <c r="S260" s="156">
        <f t="array" ref="S260">IF(AND(ISNUMBER(S256), S256&gt;0), S256/INDEX('Full month Pivot'!$D$3:$K$400, MATCH("Grand Total", 'Full month Pivot'!$A$3:$A$400, 0), MATCH(S$2, 'Full month Pivot'!$D$2:$K$2, 0)), "")</f>
        <v/>
      </c>
      <c r="T260" s="156">
        <f t="array" ref="T260">IF(AND(ISNUMBER(T256), T256&gt;0), T256/INDEX('Full month Pivot'!$D$3:$K$400, MATCH("Grand Total", 'Full month Pivot'!$A$3:$A$400, 0), MATCH(T$2, 'Full month Pivot'!$D$2:$K$2, 0)), "")</f>
        <v/>
      </c>
      <c r="U260" s="156">
        <f t="array" ref="U260">IF(AND(ISNUMBER(U256), U256&gt;0), U256/INDEX('Full month Pivot'!$D$3:$K$400, MATCH("Grand Total", 'Full month Pivot'!$A$3:$A$400, 0), MATCH(U$2, 'Full month Pivot'!$D$2:$K$2, 0)), "")</f>
        <v/>
      </c>
      <c r="V260" s="156">
        <f t="array" ref="V260">IF(AND(ISNUMBER(V256), V256&gt;0), V256/INDEX('Full month Pivot'!$D$3:$K$400, MATCH("Grand Total", 'Full month Pivot'!$A$3:$A$400, 0), MATCH(V$2, 'Full month Pivot'!$D$2:$K$2, 0)), "")</f>
        <v/>
      </c>
      <c r="W260" s="156">
        <f t="array" ref="W260">IF(AND(ISNUMBER(W256), W256&gt;0), W256/INDEX('Full month Pivot'!$D$3:$K$400, MATCH("Grand Total", 'Full month Pivot'!$A$3:$A$400, 0), MATCH(W$2, 'Full month Pivot'!$D$2:$K$2, 0)), "")</f>
        <v/>
      </c>
      <c r="X260" s="156">
        <f t="array" ref="X260">IF(AND(ISNUMBER(X256), X256&gt;0), X256/INDEX('Full month Pivot'!$D$3:$K$400, MATCH("Grand Total", 'Full month Pivot'!$A$3:$A$400, 0), MATCH(X$2, 'Full month Pivot'!$D$2:$K$2, 0)), "")</f>
        <v/>
      </c>
      <c r="Y260" s="156">
        <f t="array" ref="Y260">IF(AND(ISNUMBER(Y256), Y256&gt;0), Y256/INDEX('Full month Pivot'!$D$3:$K$400, MATCH("Grand Total", 'Full month Pivot'!$A$3:$A$400, 0), MATCH(Y$2, 'Full month Pivot'!$D$2:$K$2, 0)), "")</f>
        <v/>
      </c>
      <c r="Z260" s="156">
        <f t="array" ref="Z260">IF(AND(ISNUMBER(Z256), Z256&gt;0), Z256/INDEX('Full month Pivot'!$D$3:$K$400, MATCH("Grand Total", 'Full month Pivot'!$A$3:$A$400, 0), MATCH(Z$2, 'Full month Pivot'!$D$2:$K$2, 0)), "")</f>
        <v/>
      </c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202" t="inlineStr">
        <is>
          <t xml:space="preserve">  Organic</t>
        </is>
      </c>
      <c r="B261" s="193">
        <f>IF(SUMPRODUCT((('MTD Pivot'!$B$3:$B$400=$A$255) + ('MTD Pivot'!$A$3:$A$400=$A$255) &gt; 0) * (TRIM('MTD Pivot'!$C$3:$C$400)=TRIM($A261)) * ('MTD Pivot'!$D$2:$K$2=B$2) * 'MTD Pivot'!$D$3:$K$400)&gt;0, SUMPRODUCT((('MTD Pivot'!$B$3:$B$400=$A$255) + ('MTD Pivot'!$A$3:$A$400=$A$255) &gt; 0) * (TRIM('MTD Pivot'!$C$3:$C$400)=TRIM($A261)) * ('MTD Pivot'!$D$2:$K$2=B$2) * 'MTD Pivot'!$D$3:$K$400), "")</f>
        <v/>
      </c>
      <c r="C261" s="193">
        <f>IF(SUMPRODUCT((('MTD Pivot'!$B$3:$B$400=$A$255) + ('MTD Pivot'!$A$3:$A$400=$A$255) &gt; 0) * (TRIM('MTD Pivot'!$C$3:$C$400)=TRIM($A261)) * ('MTD Pivot'!$D$2:$K$2=C$2) * 'MTD Pivot'!$D$3:$K$400)&gt;0, SUMPRODUCT((('MTD Pivot'!$B$3:$B$400=$A$255) + ('MTD Pivot'!$A$3:$A$400=$A$255) &gt; 0) * (TRIM('MTD Pivot'!$C$3:$C$400)=TRIM($A261)) * ('MTD Pivot'!$D$2:$K$2=C$2) * 'MTD Pivot'!$D$3:$K$400), "")</f>
        <v/>
      </c>
      <c r="D261" s="193">
        <f>IF(SUMPRODUCT((('MTD Pivot'!$B$3:$B$400=$A$255) + ('MTD Pivot'!$A$3:$A$400=$A$255) &gt; 0) * (TRIM('MTD Pivot'!$C$3:$C$400)=TRIM($A261)) * ('MTD Pivot'!$D$2:$K$2=D$2) * 'MTD Pivot'!$D$3:$K$400)&gt;0, SUMPRODUCT((('MTD Pivot'!$B$3:$B$400=$A$255) + ('MTD Pivot'!$A$3:$A$400=$A$255) &gt; 0) * (TRIM('MTD Pivot'!$C$3:$C$400)=TRIM($A261)) * ('MTD Pivot'!$D$2:$K$2=D$2) * 'MTD Pivot'!$D$3:$K$400), "")</f>
        <v/>
      </c>
      <c r="E261" s="193">
        <f>IF(SUMPRODUCT((('MTD Pivot'!$B$3:$B$400=$A$255) + ('MTD Pivot'!$A$3:$A$400=$A$255) &gt; 0) * (TRIM('MTD Pivot'!$C$3:$C$400)=TRIM($A261)) * ('MTD Pivot'!$D$2:$K$2=E$2) * 'MTD Pivot'!$D$3:$K$400)&gt;0, SUMPRODUCT((('MTD Pivot'!$B$3:$B$400=$A$255) + ('MTD Pivot'!$A$3:$A$400=$A$255) &gt; 0) * (TRIM('MTD Pivot'!$C$3:$C$400)=TRIM($A261)) * ('MTD Pivot'!$D$2:$K$2=E$2) * 'MTD Pivot'!$D$3:$K$400), "")</f>
        <v/>
      </c>
      <c r="F261" s="193">
        <f>IF(SUMPRODUCT((('MTD Pivot'!$B$3:$B$400=$A$255) + ('MTD Pivot'!$A$3:$A$400=$A$255) &gt; 0) * (TRIM('MTD Pivot'!$C$3:$C$400)=TRIM($A261)) * ('MTD Pivot'!$D$2:$K$2=F$2) * 'MTD Pivot'!$D$3:$K$400)&gt;0, SUMPRODUCT((('MTD Pivot'!$B$3:$B$400=$A$255) + ('MTD Pivot'!$A$3:$A$400=$A$255) &gt; 0) * (TRIM('MTD Pivot'!$C$3:$C$400)=TRIM($A261)) * ('MTD Pivot'!$D$2:$K$2=F$2) * 'MTD Pivot'!$D$3:$K$400), "")</f>
        <v/>
      </c>
      <c r="G261" s="193">
        <f>IF(SUMPRODUCT((('MTD Pivot'!$B$3:$B$400=$A$255) + ('MTD Pivot'!$A$3:$A$400=$A$255) &gt; 0) * (TRIM('MTD Pivot'!$C$3:$C$400)=TRIM($A261)) * ('MTD Pivot'!$D$2:$K$2=G$2) * 'MTD Pivot'!$D$3:$K$400)&gt;0, SUMPRODUCT((('MTD Pivot'!$B$3:$B$400=$A$255) + ('MTD Pivot'!$A$3:$A$400=$A$255) &gt; 0) * (TRIM('MTD Pivot'!$C$3:$C$400)=TRIM($A261)) * ('MTD Pivot'!$D$2:$K$2=G$2) * 'MTD Pivot'!$D$3:$K$400), "")</f>
        <v/>
      </c>
      <c r="H261" s="193">
        <f>IF(SUMPRODUCT((('MTD Pivot'!$B$3:$B$400=$A$255) + ('MTD Pivot'!$A$3:$A$400=$A$255) &gt; 0) * (TRIM('MTD Pivot'!$C$3:$C$400)=TRIM($A261)) * ('MTD Pivot'!$D$2:$K$2=H$2) * 'MTD Pivot'!$D$3:$K$400)&gt;0, SUMPRODUCT((('MTD Pivot'!$B$3:$B$400=$A$255) + ('MTD Pivot'!$A$3:$A$400=$A$255) &gt; 0) * (TRIM('MTD Pivot'!$C$3:$C$400)=TRIM($A261)) * ('MTD Pivot'!$D$2:$K$2=H$2) * 'MTD Pivot'!$D$3:$K$400), "")</f>
        <v/>
      </c>
      <c r="I261" s="193">
        <f>IF(SUMPRODUCT((('MTD Pivot'!$B$3:$B$400=$A$255) + ('MTD Pivot'!$A$3:$A$400=$A$255) &gt; 0) * (TRIM('MTD Pivot'!$C$3:$C$400)=TRIM($A261)) * ('MTD Pivot'!$D$2:$K$2=I$2) * 'MTD Pivot'!$D$3:$K$400)&gt;0, SUMPRODUCT((('MTD Pivot'!$B$3:$B$400=$A$255) + ('MTD Pivot'!$A$3:$A$400=$A$255) &gt; 0) * (TRIM('MTD Pivot'!$C$3:$C$400)=TRIM($A261)) * ('MTD Pivot'!$D$2:$K$2=I$2) * 'MTD Pivot'!$D$3:$K$400), "")</f>
        <v/>
      </c>
      <c r="J261" s="193">
        <f>IF(SUMPRODUCT((('MTD Pivot'!$B$3:$B$400=$A$255) + ('MTD Pivot'!$A$3:$A$400=$A$255) &gt; 0) * (TRIM('MTD Pivot'!$C$3:$C$400)=TRIM($A261)) * ('MTD Pivot'!$D$2:$K$2=J$2) * 'MTD Pivot'!$D$3:$K$400)&gt;0, SUMPRODUCT((('MTD Pivot'!$B$3:$B$400=$A$255) + ('MTD Pivot'!$A$3:$A$400=$A$255) &gt; 0) * (TRIM('MTD Pivot'!$C$3:$C$400)=TRIM($A261)) * ('MTD Pivot'!$D$2:$K$2=J$2) * 'MTD Pivot'!$D$3:$K$400), "")</f>
        <v/>
      </c>
      <c r="K261" s="193">
        <f>IF(SUMPRODUCT((('MTD Pivot'!$B$3:$B$400=$A$255) + ('MTD Pivot'!$A$3:$A$400=$A$255) &gt; 0) * (TRIM('MTD Pivot'!$C$3:$C$400)=TRIM($A261)) * ('MTD Pivot'!$D$2:$K$2=K$2) * 'MTD Pivot'!$D$3:$K$400)&gt;0, SUMPRODUCT((('MTD Pivot'!$B$3:$B$400=$A$255) + ('MTD Pivot'!$A$3:$A$400=$A$255) &gt; 0) * (TRIM('MTD Pivot'!$C$3:$C$400)=TRIM($A261)) * ('MTD Pivot'!$D$2:$K$2=K$2) * 'MTD Pivot'!$D$3:$K$400), "")</f>
        <v/>
      </c>
      <c r="L261" s="193">
        <f>IF(SUMPRODUCT((('MTD Pivot'!$B$3:$B$400=$A$255) + ('MTD Pivot'!$A$3:$A$400=$A$255) &gt; 0) * (TRIM('MTD Pivot'!$C$3:$C$400)=TRIM($A261)) * ('MTD Pivot'!$D$2:$K$2=L$2) * 'MTD Pivot'!$D$3:$K$400)&gt;0, SUMPRODUCT((('MTD Pivot'!$B$3:$B$400=$A$255) + ('MTD Pivot'!$A$3:$A$400=$A$255) &gt; 0) * (TRIM('MTD Pivot'!$C$3:$C$400)=TRIM($A261)) * ('MTD Pivot'!$D$2:$K$2=L$2) * 'MTD Pivot'!$D$3:$K$400), "")</f>
        <v/>
      </c>
      <c r="M261" s="193">
        <f>IF(SUMPRODUCT((('MTD Pivot'!$B$3:$B$400=$A$255) + ('MTD Pivot'!$A$3:$A$400=$A$255) &gt; 0) * (TRIM('MTD Pivot'!$C$3:$C$400)=TRIM($A261)) * ('MTD Pivot'!$D$2:$K$2=M$2) * 'MTD Pivot'!$D$3:$K$400)&gt;0, SUMPRODUCT((('MTD Pivot'!$B$3:$B$400=$A$255) + ('MTD Pivot'!$A$3:$A$400=$A$255) &gt; 0) * (TRIM('MTD Pivot'!$C$3:$C$400)=TRIM($A261)) * ('MTD Pivot'!$D$2:$K$2=M$2) * 'MTD Pivot'!$D$3:$K$400), "")</f>
        <v/>
      </c>
      <c r="N261" s="157">
        <f>IF(AND(ISNUMBER(K261), ISNUMBER(J261), J261&gt;0), (K261-J261)/J261, "")</f>
        <v/>
      </c>
      <c r="O261" s="193">
        <f>IF(SUMPRODUCT((('Full month Pivot'!$B$3:$B$400=$A$255) + ('Full month Pivot'!$A$3:$A$400=$A$255) &gt; 0) * (TRIM('Full month Pivot'!$C$3:$C$400)=TRIM($A261)) * ('Full month Pivot'!$D$2:$K$2=O$2) * 'Full month Pivot'!$D$3:$K$400)&gt;0, SUMPRODUCT((('Full month Pivot'!$B$3:$B$400=$A$255) + ('Full month Pivot'!$A$3:$A$400=$A$255) &gt; 0) * (TRIM('Full month Pivot'!$C$3:$C$400)=TRIM($A261)) * ('Full month Pivot'!$D$2:$K$2=O$2) * 'Full month Pivot'!$D$3:$K$400), "")</f>
        <v/>
      </c>
      <c r="P261" s="193">
        <f>IF(SUMPRODUCT((('Full month Pivot'!$B$3:$B$400=$A$255) + ('Full month Pivot'!$A$3:$A$400=$A$255) &gt; 0) * (TRIM('Full month Pivot'!$C$3:$C$400)=TRIM($A261)) * ('Full month Pivot'!$D$2:$K$2=P$2) * 'Full month Pivot'!$D$3:$K$400)&gt;0, SUMPRODUCT((('Full month Pivot'!$B$3:$B$400=$A$255) + ('Full month Pivot'!$A$3:$A$400=$A$255) &gt; 0) * (TRIM('Full month Pivot'!$C$3:$C$400)=TRIM($A261)) * ('Full month Pivot'!$D$2:$K$2=P$2) * 'Full month Pivot'!$D$3:$K$400), "")</f>
        <v/>
      </c>
      <c r="Q261" s="193">
        <f>IF(SUMPRODUCT((('Full month Pivot'!$B$3:$B$400=$A$255) + ('Full month Pivot'!$A$3:$A$400=$A$255) &gt; 0) * (TRIM('Full month Pivot'!$C$3:$C$400)=TRIM($A261)) * ('Full month Pivot'!$D$2:$K$2=Q$2) * 'Full month Pivot'!$D$3:$K$400)&gt;0, SUMPRODUCT((('Full month Pivot'!$B$3:$B$400=$A$255) + ('Full month Pivot'!$A$3:$A$400=$A$255) &gt; 0) * (TRIM('Full month Pivot'!$C$3:$C$400)=TRIM($A261)) * ('Full month Pivot'!$D$2:$K$2=Q$2) * 'Full month Pivot'!$D$3:$K$400), "")</f>
        <v/>
      </c>
      <c r="R261" s="193">
        <f>IF(SUMPRODUCT((('Full month Pivot'!$B$3:$B$400=$A$255) + ('Full month Pivot'!$A$3:$A$400=$A$255) &gt; 0) * (TRIM('Full month Pivot'!$C$3:$C$400)=TRIM($A261)) * ('Full month Pivot'!$D$2:$K$2=R$2) * 'Full month Pivot'!$D$3:$K$400)&gt;0, SUMPRODUCT((('Full month Pivot'!$B$3:$B$400=$A$255) + ('Full month Pivot'!$A$3:$A$400=$A$255) &gt; 0) * (TRIM('Full month Pivot'!$C$3:$C$400)=TRIM($A261)) * ('Full month Pivot'!$D$2:$K$2=R$2) * 'Full month Pivot'!$D$3:$K$400), "")</f>
        <v/>
      </c>
      <c r="S261" s="193">
        <f>IF(SUMPRODUCT((('Full month Pivot'!$B$3:$B$400=$A$255) + ('Full month Pivot'!$A$3:$A$400=$A$255) &gt; 0) * (TRIM('Full month Pivot'!$C$3:$C$400)=TRIM($A261)) * ('Full month Pivot'!$D$2:$K$2=S$2) * 'Full month Pivot'!$D$3:$K$400)&gt;0, SUMPRODUCT((('Full month Pivot'!$B$3:$B$400=$A$255) + ('Full month Pivot'!$A$3:$A$400=$A$255) &gt; 0) * (TRIM('Full month Pivot'!$C$3:$C$400)=TRIM($A261)) * ('Full month Pivot'!$D$2:$K$2=S$2) * 'Full month Pivot'!$D$3:$K$400), "")</f>
        <v/>
      </c>
      <c r="T261" s="193">
        <f>IF(SUMPRODUCT((('Full month Pivot'!$B$3:$B$400=$A$255) + ('Full month Pivot'!$A$3:$A$400=$A$255) &gt; 0) * (TRIM('Full month Pivot'!$C$3:$C$400)=TRIM($A261)) * ('Full month Pivot'!$D$2:$K$2=T$2) * 'Full month Pivot'!$D$3:$K$400)&gt;0, SUMPRODUCT((('Full month Pivot'!$B$3:$B$400=$A$255) + ('Full month Pivot'!$A$3:$A$400=$A$255) &gt; 0) * (TRIM('Full month Pivot'!$C$3:$C$400)=TRIM($A261)) * ('Full month Pivot'!$D$2:$K$2=T$2) * 'Full month Pivot'!$D$3:$K$400), "")</f>
        <v/>
      </c>
      <c r="U261" s="193">
        <f>IF(SUMPRODUCT((('Full month Pivot'!$B$3:$B$400=$A$255) + ('Full month Pivot'!$A$3:$A$400=$A$255) &gt; 0) * (TRIM('Full month Pivot'!$C$3:$C$400)=TRIM($A261)) * ('Full month Pivot'!$D$2:$K$2=U$2) * 'Full month Pivot'!$D$3:$K$400)&gt;0, SUMPRODUCT((('Full month Pivot'!$B$3:$B$400=$A$255) + ('Full month Pivot'!$A$3:$A$400=$A$255) &gt; 0) * (TRIM('Full month Pivot'!$C$3:$C$400)=TRIM($A261)) * ('Full month Pivot'!$D$2:$K$2=U$2) * 'Full month Pivot'!$D$3:$K$400), "")</f>
        <v/>
      </c>
      <c r="V261" s="193">
        <f>IF(SUMPRODUCT((('Full month Pivot'!$B$3:$B$400=$A$255) + ('Full month Pivot'!$A$3:$A$400=$A$255) &gt; 0) * (TRIM('Full month Pivot'!$C$3:$C$400)=TRIM($A261)) * ('Full month Pivot'!$D$2:$K$2=V$2) * 'Full month Pivot'!$D$3:$K$400)&gt;0, SUMPRODUCT((('Full month Pivot'!$B$3:$B$400=$A$255) + ('Full month Pivot'!$A$3:$A$400=$A$255) &gt; 0) * (TRIM('Full month Pivot'!$C$3:$C$400)=TRIM($A261)) * ('Full month Pivot'!$D$2:$K$2=V$2) * 'Full month Pivot'!$D$3:$K$400), "")</f>
        <v/>
      </c>
      <c r="W261" s="193">
        <f>IF(SUMPRODUCT((('Full month Pivot'!$B$3:$B$400=$A$255) + ('Full month Pivot'!$A$3:$A$400=$A$255) &gt; 0) * (TRIM('Full month Pivot'!$C$3:$C$400)=TRIM($A261)) * ('Full month Pivot'!$D$2:$K$2=W$2) * 'Full month Pivot'!$D$3:$K$400)&gt;0, SUMPRODUCT((('Full month Pivot'!$B$3:$B$400=$A$255) + ('Full month Pivot'!$A$3:$A$400=$A$255) &gt; 0) * (TRIM('Full month Pivot'!$C$3:$C$400)=TRIM($A261)) * ('Full month Pivot'!$D$2:$K$2=W$2) * 'Full month Pivot'!$D$3:$K$400), "")</f>
        <v/>
      </c>
      <c r="X261" s="193">
        <f>IF(SUMPRODUCT((('Full month Pivot'!$B$3:$B$400=$A$255) + ('Full month Pivot'!$A$3:$A$400=$A$255) &gt; 0) * (TRIM('Full month Pivot'!$C$3:$C$400)=TRIM($A261)) * ('Full month Pivot'!$D$2:$K$2=X$2) * 'Full month Pivot'!$D$3:$K$400)&gt;0, SUMPRODUCT((('Full month Pivot'!$B$3:$B$400=$A$255) + ('Full month Pivot'!$A$3:$A$400=$A$255) &gt; 0) * (TRIM('Full month Pivot'!$C$3:$C$400)=TRIM($A261)) * ('Full month Pivot'!$D$2:$K$2=X$2) * 'Full month Pivot'!$D$3:$K$400), "")</f>
        <v/>
      </c>
      <c r="Y261" s="193">
        <f>IF(SUMPRODUCT((('Full month Pivot'!$B$3:$B$400=$A$255) + ('Full month Pivot'!$A$3:$A$400=$A$255) &gt; 0) * (TRIM('Full month Pivot'!$C$3:$C$400)=TRIM($A261)) * ('Full month Pivot'!$D$2:$K$2=Y$2) * 'Full month Pivot'!$D$3:$K$400)&gt;0, SUMPRODUCT((('Full month Pivot'!$B$3:$B$400=$A$255) + ('Full month Pivot'!$A$3:$A$400=$A$255) &gt; 0) * (TRIM('Full month Pivot'!$C$3:$C$400)=TRIM($A261)) * ('Full month Pivot'!$D$2:$K$2=Y$2) * 'Full month Pivot'!$D$3:$K$400), "")</f>
        <v/>
      </c>
      <c r="Z261" s="193">
        <f>IF(SUMPRODUCT((('Full month Pivot'!$B$3:$B$400=$A$255) + ('Full month Pivot'!$A$3:$A$400=$A$255) &gt; 0) * (TRIM('Full month Pivot'!$C$3:$C$400)=TRIM($A261)) * ('Full month Pivot'!$D$2:$K$2=Z$2) * 'Full month Pivot'!$D$3:$K$400)&gt;0, SUMPRODUCT((('Full month Pivot'!$B$3:$B$400=$A$255) + ('Full month Pivot'!$A$3:$A$400=$A$255) &gt; 0) * (TRIM('Full month Pivot'!$C$3:$C$400)=TRIM($A261)) * ('Full month Pivot'!$D$2:$K$2=Z$2) * 'Full month Pivot'!$D$3:$K$400), "")</f>
        <v/>
      </c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202" t="inlineStr">
        <is>
          <t xml:space="preserve">  Paid</t>
        </is>
      </c>
      <c r="B262" s="193">
        <f>IF(SUMPRODUCT((('MTD Pivot'!$B$3:$B$400=$A$255) + ('MTD Pivot'!$A$3:$A$400=$A$255) &gt; 0) * (TRIM('MTD Pivot'!$C$3:$C$400)=TRIM($A262)) * ('MTD Pivot'!$D$2:$K$2=B$2) * 'MTD Pivot'!$D$3:$K$400)&gt;0, SUMPRODUCT((('MTD Pivot'!$B$3:$B$400=$A$255) + ('MTD Pivot'!$A$3:$A$400=$A$255) &gt; 0) * (TRIM('MTD Pivot'!$C$3:$C$400)=TRIM($A262)) * ('MTD Pivot'!$D$2:$K$2=B$2) * 'MTD Pivot'!$D$3:$K$400), "")</f>
        <v/>
      </c>
      <c r="C262" s="193">
        <f>IF(SUMPRODUCT((('MTD Pivot'!$B$3:$B$400=$A$255) + ('MTD Pivot'!$A$3:$A$400=$A$255) &gt; 0) * (TRIM('MTD Pivot'!$C$3:$C$400)=TRIM($A262)) * ('MTD Pivot'!$D$2:$K$2=C$2) * 'MTD Pivot'!$D$3:$K$400)&gt;0, SUMPRODUCT((('MTD Pivot'!$B$3:$B$400=$A$255) + ('MTD Pivot'!$A$3:$A$400=$A$255) &gt; 0) * (TRIM('MTD Pivot'!$C$3:$C$400)=TRIM($A262)) * ('MTD Pivot'!$D$2:$K$2=C$2) * 'MTD Pivot'!$D$3:$K$400), "")</f>
        <v/>
      </c>
      <c r="D262" s="193">
        <f>IF(SUMPRODUCT((('MTD Pivot'!$B$3:$B$400=$A$255) + ('MTD Pivot'!$A$3:$A$400=$A$255) &gt; 0) * (TRIM('MTD Pivot'!$C$3:$C$400)=TRIM($A262)) * ('MTD Pivot'!$D$2:$K$2=D$2) * 'MTD Pivot'!$D$3:$K$400)&gt;0, SUMPRODUCT((('MTD Pivot'!$B$3:$B$400=$A$255) + ('MTD Pivot'!$A$3:$A$400=$A$255) &gt; 0) * (TRIM('MTD Pivot'!$C$3:$C$400)=TRIM($A262)) * ('MTD Pivot'!$D$2:$K$2=D$2) * 'MTD Pivot'!$D$3:$K$400), "")</f>
        <v/>
      </c>
      <c r="E262" s="193">
        <f>IF(SUMPRODUCT((('MTD Pivot'!$B$3:$B$400=$A$255) + ('MTD Pivot'!$A$3:$A$400=$A$255) &gt; 0) * (TRIM('MTD Pivot'!$C$3:$C$400)=TRIM($A262)) * ('MTD Pivot'!$D$2:$K$2=E$2) * 'MTD Pivot'!$D$3:$K$400)&gt;0, SUMPRODUCT((('MTD Pivot'!$B$3:$B$400=$A$255) + ('MTD Pivot'!$A$3:$A$400=$A$255) &gt; 0) * (TRIM('MTD Pivot'!$C$3:$C$400)=TRIM($A262)) * ('MTD Pivot'!$D$2:$K$2=E$2) * 'MTD Pivot'!$D$3:$K$400), "")</f>
        <v/>
      </c>
      <c r="F262" s="193">
        <f>IF(SUMPRODUCT((('MTD Pivot'!$B$3:$B$400=$A$255) + ('MTD Pivot'!$A$3:$A$400=$A$255) &gt; 0) * (TRIM('MTD Pivot'!$C$3:$C$400)=TRIM($A262)) * ('MTD Pivot'!$D$2:$K$2=F$2) * 'MTD Pivot'!$D$3:$K$400)&gt;0, SUMPRODUCT((('MTD Pivot'!$B$3:$B$400=$A$255) + ('MTD Pivot'!$A$3:$A$400=$A$255) &gt; 0) * (TRIM('MTD Pivot'!$C$3:$C$400)=TRIM($A262)) * ('MTD Pivot'!$D$2:$K$2=F$2) * 'MTD Pivot'!$D$3:$K$400), "")</f>
        <v/>
      </c>
      <c r="G262" s="193">
        <f>IF(SUMPRODUCT((('MTD Pivot'!$B$3:$B$400=$A$255) + ('MTD Pivot'!$A$3:$A$400=$A$255) &gt; 0) * (TRIM('MTD Pivot'!$C$3:$C$400)=TRIM($A262)) * ('MTD Pivot'!$D$2:$K$2=G$2) * 'MTD Pivot'!$D$3:$K$400)&gt;0, SUMPRODUCT((('MTD Pivot'!$B$3:$B$400=$A$255) + ('MTD Pivot'!$A$3:$A$400=$A$255) &gt; 0) * (TRIM('MTD Pivot'!$C$3:$C$400)=TRIM($A262)) * ('MTD Pivot'!$D$2:$K$2=G$2) * 'MTD Pivot'!$D$3:$K$400), "")</f>
        <v/>
      </c>
      <c r="H262" s="193">
        <f>IF(SUMPRODUCT((('MTD Pivot'!$B$3:$B$400=$A$255) + ('MTD Pivot'!$A$3:$A$400=$A$255) &gt; 0) * (TRIM('MTD Pivot'!$C$3:$C$400)=TRIM($A262)) * ('MTD Pivot'!$D$2:$K$2=H$2) * 'MTD Pivot'!$D$3:$K$400)&gt;0, SUMPRODUCT((('MTD Pivot'!$B$3:$B$400=$A$255) + ('MTD Pivot'!$A$3:$A$400=$A$255) &gt; 0) * (TRIM('MTD Pivot'!$C$3:$C$400)=TRIM($A262)) * ('MTD Pivot'!$D$2:$K$2=H$2) * 'MTD Pivot'!$D$3:$K$400), "")</f>
        <v/>
      </c>
      <c r="I262" s="193">
        <f>IF(SUMPRODUCT((('MTD Pivot'!$B$3:$B$400=$A$255) + ('MTD Pivot'!$A$3:$A$400=$A$255) &gt; 0) * (TRIM('MTD Pivot'!$C$3:$C$400)=TRIM($A262)) * ('MTD Pivot'!$D$2:$K$2=I$2) * 'MTD Pivot'!$D$3:$K$400)&gt;0, SUMPRODUCT((('MTD Pivot'!$B$3:$B$400=$A$255) + ('MTD Pivot'!$A$3:$A$400=$A$255) &gt; 0) * (TRIM('MTD Pivot'!$C$3:$C$400)=TRIM($A262)) * ('MTD Pivot'!$D$2:$K$2=I$2) * 'MTD Pivot'!$D$3:$K$400), "")</f>
        <v/>
      </c>
      <c r="J262" s="193">
        <f>IF(SUMPRODUCT((('MTD Pivot'!$B$3:$B$400=$A$255) + ('MTD Pivot'!$A$3:$A$400=$A$255) &gt; 0) * (TRIM('MTD Pivot'!$C$3:$C$400)=TRIM($A262)) * ('MTD Pivot'!$D$2:$K$2=J$2) * 'MTD Pivot'!$D$3:$K$400)&gt;0, SUMPRODUCT((('MTD Pivot'!$B$3:$B$400=$A$255) + ('MTD Pivot'!$A$3:$A$400=$A$255) &gt; 0) * (TRIM('MTD Pivot'!$C$3:$C$400)=TRIM($A262)) * ('MTD Pivot'!$D$2:$K$2=J$2) * 'MTD Pivot'!$D$3:$K$400), "")</f>
        <v/>
      </c>
      <c r="K262" s="193">
        <f>IF(SUMPRODUCT((('MTD Pivot'!$B$3:$B$400=$A$255) + ('MTD Pivot'!$A$3:$A$400=$A$255) &gt; 0) * (TRIM('MTD Pivot'!$C$3:$C$400)=TRIM($A262)) * ('MTD Pivot'!$D$2:$K$2=K$2) * 'MTD Pivot'!$D$3:$K$400)&gt;0, SUMPRODUCT((('MTD Pivot'!$B$3:$B$400=$A$255) + ('MTD Pivot'!$A$3:$A$400=$A$255) &gt; 0) * (TRIM('MTD Pivot'!$C$3:$C$400)=TRIM($A262)) * ('MTD Pivot'!$D$2:$K$2=K$2) * 'MTD Pivot'!$D$3:$K$400), "")</f>
        <v/>
      </c>
      <c r="L262" s="193">
        <f>IF(SUMPRODUCT((('MTD Pivot'!$B$3:$B$400=$A$255) + ('MTD Pivot'!$A$3:$A$400=$A$255) &gt; 0) * (TRIM('MTD Pivot'!$C$3:$C$400)=TRIM($A262)) * ('MTD Pivot'!$D$2:$K$2=L$2) * 'MTD Pivot'!$D$3:$K$400)&gt;0, SUMPRODUCT((('MTD Pivot'!$B$3:$B$400=$A$255) + ('MTD Pivot'!$A$3:$A$400=$A$255) &gt; 0) * (TRIM('MTD Pivot'!$C$3:$C$400)=TRIM($A262)) * ('MTD Pivot'!$D$2:$K$2=L$2) * 'MTD Pivot'!$D$3:$K$400), "")</f>
        <v/>
      </c>
      <c r="M262" s="193">
        <f>IF(SUMPRODUCT((('MTD Pivot'!$B$3:$B$400=$A$255) + ('MTD Pivot'!$A$3:$A$400=$A$255) &gt; 0) * (TRIM('MTD Pivot'!$C$3:$C$400)=TRIM($A262)) * ('MTD Pivot'!$D$2:$K$2=M$2) * 'MTD Pivot'!$D$3:$K$400)&gt;0, SUMPRODUCT((('MTD Pivot'!$B$3:$B$400=$A$255) + ('MTD Pivot'!$A$3:$A$400=$A$255) &gt; 0) * (TRIM('MTD Pivot'!$C$3:$C$400)=TRIM($A262)) * ('MTD Pivot'!$D$2:$K$2=M$2) * 'MTD Pivot'!$D$3:$K$400), "")</f>
        <v/>
      </c>
      <c r="N262" s="157">
        <f>IF(AND(ISNUMBER(K262), ISNUMBER(J262), J262&gt;0), (K262-J262)/J262, "")</f>
        <v/>
      </c>
      <c r="O262" s="193">
        <f>IF(SUMPRODUCT((('Full month Pivot'!$B$3:$B$400=$A$255) + ('Full month Pivot'!$A$3:$A$400=$A$255) &gt; 0) * (TRIM('Full month Pivot'!$C$3:$C$400)=TRIM($A262)) * ('Full month Pivot'!$D$2:$K$2=O$2) * 'Full month Pivot'!$D$3:$K$400)&gt;0, SUMPRODUCT((('Full month Pivot'!$B$3:$B$400=$A$255) + ('Full month Pivot'!$A$3:$A$400=$A$255) &gt; 0) * (TRIM('Full month Pivot'!$C$3:$C$400)=TRIM($A262)) * ('Full month Pivot'!$D$2:$K$2=O$2) * 'Full month Pivot'!$D$3:$K$400), "")</f>
        <v/>
      </c>
      <c r="P262" s="193">
        <f>IF(SUMPRODUCT((('Full month Pivot'!$B$3:$B$400=$A$255) + ('Full month Pivot'!$A$3:$A$400=$A$255) &gt; 0) * (TRIM('Full month Pivot'!$C$3:$C$400)=TRIM($A262)) * ('Full month Pivot'!$D$2:$K$2=P$2) * 'Full month Pivot'!$D$3:$K$400)&gt;0, SUMPRODUCT((('Full month Pivot'!$B$3:$B$400=$A$255) + ('Full month Pivot'!$A$3:$A$400=$A$255) &gt; 0) * (TRIM('Full month Pivot'!$C$3:$C$400)=TRIM($A262)) * ('Full month Pivot'!$D$2:$K$2=P$2) * 'Full month Pivot'!$D$3:$K$400), "")</f>
        <v/>
      </c>
      <c r="Q262" s="193">
        <f>IF(SUMPRODUCT((('Full month Pivot'!$B$3:$B$400=$A$255) + ('Full month Pivot'!$A$3:$A$400=$A$255) &gt; 0) * (TRIM('Full month Pivot'!$C$3:$C$400)=TRIM($A262)) * ('Full month Pivot'!$D$2:$K$2=Q$2) * 'Full month Pivot'!$D$3:$K$400)&gt;0, SUMPRODUCT((('Full month Pivot'!$B$3:$B$400=$A$255) + ('Full month Pivot'!$A$3:$A$400=$A$255) &gt; 0) * (TRIM('Full month Pivot'!$C$3:$C$400)=TRIM($A262)) * ('Full month Pivot'!$D$2:$K$2=Q$2) * 'Full month Pivot'!$D$3:$K$400), "")</f>
        <v/>
      </c>
      <c r="R262" s="193">
        <f>IF(SUMPRODUCT((('Full month Pivot'!$B$3:$B$400=$A$255) + ('Full month Pivot'!$A$3:$A$400=$A$255) &gt; 0) * (TRIM('Full month Pivot'!$C$3:$C$400)=TRIM($A262)) * ('Full month Pivot'!$D$2:$K$2=R$2) * 'Full month Pivot'!$D$3:$K$400)&gt;0, SUMPRODUCT((('Full month Pivot'!$B$3:$B$400=$A$255) + ('Full month Pivot'!$A$3:$A$400=$A$255) &gt; 0) * (TRIM('Full month Pivot'!$C$3:$C$400)=TRIM($A262)) * ('Full month Pivot'!$D$2:$K$2=R$2) * 'Full month Pivot'!$D$3:$K$400), "")</f>
        <v/>
      </c>
      <c r="S262" s="193">
        <f>IF(SUMPRODUCT((('Full month Pivot'!$B$3:$B$400=$A$255) + ('Full month Pivot'!$A$3:$A$400=$A$255) &gt; 0) * (TRIM('Full month Pivot'!$C$3:$C$400)=TRIM($A262)) * ('Full month Pivot'!$D$2:$K$2=S$2) * 'Full month Pivot'!$D$3:$K$400)&gt;0, SUMPRODUCT((('Full month Pivot'!$B$3:$B$400=$A$255) + ('Full month Pivot'!$A$3:$A$400=$A$255) &gt; 0) * (TRIM('Full month Pivot'!$C$3:$C$400)=TRIM($A262)) * ('Full month Pivot'!$D$2:$K$2=S$2) * 'Full month Pivot'!$D$3:$K$400), "")</f>
        <v/>
      </c>
      <c r="T262" s="193">
        <f>IF(SUMPRODUCT((('Full month Pivot'!$B$3:$B$400=$A$255) + ('Full month Pivot'!$A$3:$A$400=$A$255) &gt; 0) * (TRIM('Full month Pivot'!$C$3:$C$400)=TRIM($A262)) * ('Full month Pivot'!$D$2:$K$2=T$2) * 'Full month Pivot'!$D$3:$K$400)&gt;0, SUMPRODUCT((('Full month Pivot'!$B$3:$B$400=$A$255) + ('Full month Pivot'!$A$3:$A$400=$A$255) &gt; 0) * (TRIM('Full month Pivot'!$C$3:$C$400)=TRIM($A262)) * ('Full month Pivot'!$D$2:$K$2=T$2) * 'Full month Pivot'!$D$3:$K$400), "")</f>
        <v/>
      </c>
      <c r="U262" s="193">
        <f>IF(SUMPRODUCT((('Full month Pivot'!$B$3:$B$400=$A$255) + ('Full month Pivot'!$A$3:$A$400=$A$255) &gt; 0) * (TRIM('Full month Pivot'!$C$3:$C$400)=TRIM($A262)) * ('Full month Pivot'!$D$2:$K$2=U$2) * 'Full month Pivot'!$D$3:$K$400)&gt;0, SUMPRODUCT((('Full month Pivot'!$B$3:$B$400=$A$255) + ('Full month Pivot'!$A$3:$A$400=$A$255) &gt; 0) * (TRIM('Full month Pivot'!$C$3:$C$400)=TRIM($A262)) * ('Full month Pivot'!$D$2:$K$2=U$2) * 'Full month Pivot'!$D$3:$K$400), "")</f>
        <v/>
      </c>
      <c r="V262" s="193">
        <f>IF(SUMPRODUCT((('Full month Pivot'!$B$3:$B$400=$A$255) + ('Full month Pivot'!$A$3:$A$400=$A$255) &gt; 0) * (TRIM('Full month Pivot'!$C$3:$C$400)=TRIM($A262)) * ('Full month Pivot'!$D$2:$K$2=V$2) * 'Full month Pivot'!$D$3:$K$400)&gt;0, SUMPRODUCT((('Full month Pivot'!$B$3:$B$400=$A$255) + ('Full month Pivot'!$A$3:$A$400=$A$255) &gt; 0) * (TRIM('Full month Pivot'!$C$3:$C$400)=TRIM($A262)) * ('Full month Pivot'!$D$2:$K$2=V$2) * 'Full month Pivot'!$D$3:$K$400), "")</f>
        <v/>
      </c>
      <c r="W262" s="193">
        <f>IF(SUMPRODUCT((('Full month Pivot'!$B$3:$B$400=$A$255) + ('Full month Pivot'!$A$3:$A$400=$A$255) &gt; 0) * (TRIM('Full month Pivot'!$C$3:$C$400)=TRIM($A262)) * ('Full month Pivot'!$D$2:$K$2=W$2) * 'Full month Pivot'!$D$3:$K$400)&gt;0, SUMPRODUCT((('Full month Pivot'!$B$3:$B$400=$A$255) + ('Full month Pivot'!$A$3:$A$400=$A$255) &gt; 0) * (TRIM('Full month Pivot'!$C$3:$C$400)=TRIM($A262)) * ('Full month Pivot'!$D$2:$K$2=W$2) * 'Full month Pivot'!$D$3:$K$400), "")</f>
        <v/>
      </c>
      <c r="X262" s="193">
        <f>IF(SUMPRODUCT((('Full month Pivot'!$B$3:$B$400=$A$255) + ('Full month Pivot'!$A$3:$A$400=$A$255) &gt; 0) * (TRIM('Full month Pivot'!$C$3:$C$400)=TRIM($A262)) * ('Full month Pivot'!$D$2:$K$2=X$2) * 'Full month Pivot'!$D$3:$K$400)&gt;0, SUMPRODUCT((('Full month Pivot'!$B$3:$B$400=$A$255) + ('Full month Pivot'!$A$3:$A$400=$A$255) &gt; 0) * (TRIM('Full month Pivot'!$C$3:$C$400)=TRIM($A262)) * ('Full month Pivot'!$D$2:$K$2=X$2) * 'Full month Pivot'!$D$3:$K$400), "")</f>
        <v/>
      </c>
      <c r="Y262" s="193">
        <f>IF(SUMPRODUCT((('Full month Pivot'!$B$3:$B$400=$A$255) + ('Full month Pivot'!$A$3:$A$400=$A$255) &gt; 0) * (TRIM('Full month Pivot'!$C$3:$C$400)=TRIM($A262)) * ('Full month Pivot'!$D$2:$K$2=Y$2) * 'Full month Pivot'!$D$3:$K$400)&gt;0, SUMPRODUCT((('Full month Pivot'!$B$3:$B$400=$A$255) + ('Full month Pivot'!$A$3:$A$400=$A$255) &gt; 0) * (TRIM('Full month Pivot'!$C$3:$C$400)=TRIM($A262)) * ('Full month Pivot'!$D$2:$K$2=Y$2) * 'Full month Pivot'!$D$3:$K$400), "")</f>
        <v/>
      </c>
      <c r="Z262" s="193">
        <f>IF(SUMPRODUCT((('Full month Pivot'!$B$3:$B$400=$A$255) + ('Full month Pivot'!$A$3:$A$400=$A$255) &gt; 0) * (TRIM('Full month Pivot'!$C$3:$C$400)=TRIM($A262)) * ('Full month Pivot'!$D$2:$K$2=Z$2) * 'Full month Pivot'!$D$3:$K$400)&gt;0, SUMPRODUCT((('Full month Pivot'!$B$3:$B$400=$A$255) + ('Full month Pivot'!$A$3:$A$400=$A$255) &gt; 0) * (TRIM('Full month Pivot'!$C$3:$C$400)=TRIM($A262)) * ('Full month Pivot'!$D$2:$K$2=Z$2) * 'Full month Pivot'!$D$3:$K$400), "")</f>
        <v/>
      </c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202" t="inlineStr">
        <is>
          <t xml:space="preserve">  Direct</t>
        </is>
      </c>
      <c r="B263" s="193">
        <f>IF(SUMPRODUCT((('MTD Pivot'!$B$3:$B$400=$A$255) + ('MTD Pivot'!$A$3:$A$400=$A$255) &gt; 0) * (TRIM('MTD Pivot'!$C$3:$C$400)=TRIM($A263)) * ('MTD Pivot'!$D$2:$K$2=B$2) * 'MTD Pivot'!$D$3:$K$400)&gt;0, SUMPRODUCT((('MTD Pivot'!$B$3:$B$400=$A$255) + ('MTD Pivot'!$A$3:$A$400=$A$255) &gt; 0) * (TRIM('MTD Pivot'!$C$3:$C$400)=TRIM($A263)) * ('MTD Pivot'!$D$2:$K$2=B$2) * 'MTD Pivot'!$D$3:$K$400), "")</f>
        <v/>
      </c>
      <c r="C263" s="193">
        <f>IF(SUMPRODUCT((('MTD Pivot'!$B$3:$B$400=$A$255) + ('MTD Pivot'!$A$3:$A$400=$A$255) &gt; 0) * (TRIM('MTD Pivot'!$C$3:$C$400)=TRIM($A263)) * ('MTD Pivot'!$D$2:$K$2=C$2) * 'MTD Pivot'!$D$3:$K$400)&gt;0, SUMPRODUCT((('MTD Pivot'!$B$3:$B$400=$A$255) + ('MTD Pivot'!$A$3:$A$400=$A$255) &gt; 0) * (TRIM('MTD Pivot'!$C$3:$C$400)=TRIM($A263)) * ('MTD Pivot'!$D$2:$K$2=C$2) * 'MTD Pivot'!$D$3:$K$400), "")</f>
        <v/>
      </c>
      <c r="D263" s="193">
        <f>IF(SUMPRODUCT((('MTD Pivot'!$B$3:$B$400=$A$255) + ('MTD Pivot'!$A$3:$A$400=$A$255) &gt; 0) * (TRIM('MTD Pivot'!$C$3:$C$400)=TRIM($A263)) * ('MTD Pivot'!$D$2:$K$2=D$2) * 'MTD Pivot'!$D$3:$K$400)&gt;0, SUMPRODUCT((('MTD Pivot'!$B$3:$B$400=$A$255) + ('MTD Pivot'!$A$3:$A$400=$A$255) &gt; 0) * (TRIM('MTD Pivot'!$C$3:$C$400)=TRIM($A263)) * ('MTD Pivot'!$D$2:$K$2=D$2) * 'MTD Pivot'!$D$3:$K$400), "")</f>
        <v/>
      </c>
      <c r="E263" s="193">
        <f>IF(SUMPRODUCT((('MTD Pivot'!$B$3:$B$400=$A$255) + ('MTD Pivot'!$A$3:$A$400=$A$255) &gt; 0) * (TRIM('MTD Pivot'!$C$3:$C$400)=TRIM($A263)) * ('MTD Pivot'!$D$2:$K$2=E$2) * 'MTD Pivot'!$D$3:$K$400)&gt;0, SUMPRODUCT((('MTD Pivot'!$B$3:$B$400=$A$255) + ('MTD Pivot'!$A$3:$A$400=$A$255) &gt; 0) * (TRIM('MTD Pivot'!$C$3:$C$400)=TRIM($A263)) * ('MTD Pivot'!$D$2:$K$2=E$2) * 'MTD Pivot'!$D$3:$K$400), "")</f>
        <v/>
      </c>
      <c r="F263" s="193">
        <f>IF(SUMPRODUCT((('MTD Pivot'!$B$3:$B$400=$A$255) + ('MTD Pivot'!$A$3:$A$400=$A$255) &gt; 0) * (TRIM('MTD Pivot'!$C$3:$C$400)=TRIM($A263)) * ('MTD Pivot'!$D$2:$K$2=F$2) * 'MTD Pivot'!$D$3:$K$400)&gt;0, SUMPRODUCT((('MTD Pivot'!$B$3:$B$400=$A$255) + ('MTD Pivot'!$A$3:$A$400=$A$255) &gt; 0) * (TRIM('MTD Pivot'!$C$3:$C$400)=TRIM($A263)) * ('MTD Pivot'!$D$2:$K$2=F$2) * 'MTD Pivot'!$D$3:$K$400), "")</f>
        <v/>
      </c>
      <c r="G263" s="193">
        <f>IF(SUMPRODUCT((('MTD Pivot'!$B$3:$B$400=$A$255) + ('MTD Pivot'!$A$3:$A$400=$A$255) &gt; 0) * (TRIM('MTD Pivot'!$C$3:$C$400)=TRIM($A263)) * ('MTD Pivot'!$D$2:$K$2=G$2) * 'MTD Pivot'!$D$3:$K$400)&gt;0, SUMPRODUCT((('MTD Pivot'!$B$3:$B$400=$A$255) + ('MTD Pivot'!$A$3:$A$400=$A$255) &gt; 0) * (TRIM('MTD Pivot'!$C$3:$C$400)=TRIM($A263)) * ('MTD Pivot'!$D$2:$K$2=G$2) * 'MTD Pivot'!$D$3:$K$400), "")</f>
        <v/>
      </c>
      <c r="H263" s="193">
        <f>IF(SUMPRODUCT((('MTD Pivot'!$B$3:$B$400=$A$255) + ('MTD Pivot'!$A$3:$A$400=$A$255) &gt; 0) * (TRIM('MTD Pivot'!$C$3:$C$400)=TRIM($A263)) * ('MTD Pivot'!$D$2:$K$2=H$2) * 'MTD Pivot'!$D$3:$K$400)&gt;0, SUMPRODUCT((('MTD Pivot'!$B$3:$B$400=$A$255) + ('MTD Pivot'!$A$3:$A$400=$A$255) &gt; 0) * (TRIM('MTD Pivot'!$C$3:$C$400)=TRIM($A263)) * ('MTD Pivot'!$D$2:$K$2=H$2) * 'MTD Pivot'!$D$3:$K$400), "")</f>
        <v/>
      </c>
      <c r="I263" s="193">
        <f>IF(SUMPRODUCT((('MTD Pivot'!$B$3:$B$400=$A$255) + ('MTD Pivot'!$A$3:$A$400=$A$255) &gt; 0) * (TRIM('MTD Pivot'!$C$3:$C$400)=TRIM($A263)) * ('MTD Pivot'!$D$2:$K$2=I$2) * 'MTD Pivot'!$D$3:$K$400)&gt;0, SUMPRODUCT((('MTD Pivot'!$B$3:$B$400=$A$255) + ('MTD Pivot'!$A$3:$A$400=$A$255) &gt; 0) * (TRIM('MTD Pivot'!$C$3:$C$400)=TRIM($A263)) * ('MTD Pivot'!$D$2:$K$2=I$2) * 'MTD Pivot'!$D$3:$K$400), "")</f>
        <v/>
      </c>
      <c r="J263" s="193">
        <f>IF(SUMPRODUCT((('MTD Pivot'!$B$3:$B$400=$A$255) + ('MTD Pivot'!$A$3:$A$400=$A$255) &gt; 0) * (TRIM('MTD Pivot'!$C$3:$C$400)=TRIM($A263)) * ('MTD Pivot'!$D$2:$K$2=J$2) * 'MTD Pivot'!$D$3:$K$400)&gt;0, SUMPRODUCT((('MTD Pivot'!$B$3:$B$400=$A$255) + ('MTD Pivot'!$A$3:$A$400=$A$255) &gt; 0) * (TRIM('MTD Pivot'!$C$3:$C$400)=TRIM($A263)) * ('MTD Pivot'!$D$2:$K$2=J$2) * 'MTD Pivot'!$D$3:$K$400), "")</f>
        <v/>
      </c>
      <c r="K263" s="193">
        <f>IF(SUMPRODUCT((('MTD Pivot'!$B$3:$B$400=$A$255) + ('MTD Pivot'!$A$3:$A$400=$A$255) &gt; 0) * (TRIM('MTD Pivot'!$C$3:$C$400)=TRIM($A263)) * ('MTD Pivot'!$D$2:$K$2=K$2) * 'MTD Pivot'!$D$3:$K$400)&gt;0, SUMPRODUCT((('MTD Pivot'!$B$3:$B$400=$A$255) + ('MTD Pivot'!$A$3:$A$400=$A$255) &gt; 0) * (TRIM('MTD Pivot'!$C$3:$C$400)=TRIM($A263)) * ('MTD Pivot'!$D$2:$K$2=K$2) * 'MTD Pivot'!$D$3:$K$400), "")</f>
        <v/>
      </c>
      <c r="L263" s="193">
        <f>IF(SUMPRODUCT((('MTD Pivot'!$B$3:$B$400=$A$255) + ('MTD Pivot'!$A$3:$A$400=$A$255) &gt; 0) * (TRIM('MTD Pivot'!$C$3:$C$400)=TRIM($A263)) * ('MTD Pivot'!$D$2:$K$2=L$2) * 'MTD Pivot'!$D$3:$K$400)&gt;0, SUMPRODUCT((('MTD Pivot'!$B$3:$B$400=$A$255) + ('MTD Pivot'!$A$3:$A$400=$A$255) &gt; 0) * (TRIM('MTD Pivot'!$C$3:$C$400)=TRIM($A263)) * ('MTD Pivot'!$D$2:$K$2=L$2) * 'MTD Pivot'!$D$3:$K$400), "")</f>
        <v/>
      </c>
      <c r="M263" s="193">
        <f>IF(SUMPRODUCT((('MTD Pivot'!$B$3:$B$400=$A$255) + ('MTD Pivot'!$A$3:$A$400=$A$255) &gt; 0) * (TRIM('MTD Pivot'!$C$3:$C$400)=TRIM($A263)) * ('MTD Pivot'!$D$2:$K$2=M$2) * 'MTD Pivot'!$D$3:$K$400)&gt;0, SUMPRODUCT((('MTD Pivot'!$B$3:$B$400=$A$255) + ('MTD Pivot'!$A$3:$A$400=$A$255) &gt; 0) * (TRIM('MTD Pivot'!$C$3:$C$400)=TRIM($A263)) * ('MTD Pivot'!$D$2:$K$2=M$2) * 'MTD Pivot'!$D$3:$K$400), "")</f>
        <v/>
      </c>
      <c r="N263" s="157">
        <f>IF(AND(ISNUMBER(K263), ISNUMBER(J263), J263&gt;0), (K263-J263)/J263, "")</f>
        <v/>
      </c>
      <c r="O263" s="193">
        <f>IF(SUMPRODUCT((('Full month Pivot'!$B$3:$B$400=$A$255) + ('Full month Pivot'!$A$3:$A$400=$A$255) &gt; 0) * (TRIM('Full month Pivot'!$C$3:$C$400)=TRIM($A263)) * ('Full month Pivot'!$D$2:$K$2=O$2) * 'Full month Pivot'!$D$3:$K$400)&gt;0, SUMPRODUCT((('Full month Pivot'!$B$3:$B$400=$A$255) + ('Full month Pivot'!$A$3:$A$400=$A$255) &gt; 0) * (TRIM('Full month Pivot'!$C$3:$C$400)=TRIM($A263)) * ('Full month Pivot'!$D$2:$K$2=O$2) * 'Full month Pivot'!$D$3:$K$400), "")</f>
        <v/>
      </c>
      <c r="P263" s="193">
        <f>IF(SUMPRODUCT((('Full month Pivot'!$B$3:$B$400=$A$255) + ('Full month Pivot'!$A$3:$A$400=$A$255) &gt; 0) * (TRIM('Full month Pivot'!$C$3:$C$400)=TRIM($A263)) * ('Full month Pivot'!$D$2:$K$2=P$2) * 'Full month Pivot'!$D$3:$K$400)&gt;0, SUMPRODUCT((('Full month Pivot'!$B$3:$B$400=$A$255) + ('Full month Pivot'!$A$3:$A$400=$A$255) &gt; 0) * (TRIM('Full month Pivot'!$C$3:$C$400)=TRIM($A263)) * ('Full month Pivot'!$D$2:$K$2=P$2) * 'Full month Pivot'!$D$3:$K$400), "")</f>
        <v/>
      </c>
      <c r="Q263" s="193">
        <f>IF(SUMPRODUCT((('Full month Pivot'!$B$3:$B$400=$A$255) + ('Full month Pivot'!$A$3:$A$400=$A$255) &gt; 0) * (TRIM('Full month Pivot'!$C$3:$C$400)=TRIM($A263)) * ('Full month Pivot'!$D$2:$K$2=Q$2) * 'Full month Pivot'!$D$3:$K$400)&gt;0, SUMPRODUCT((('Full month Pivot'!$B$3:$B$400=$A$255) + ('Full month Pivot'!$A$3:$A$400=$A$255) &gt; 0) * (TRIM('Full month Pivot'!$C$3:$C$400)=TRIM($A263)) * ('Full month Pivot'!$D$2:$K$2=Q$2) * 'Full month Pivot'!$D$3:$K$400), "")</f>
        <v/>
      </c>
      <c r="R263" s="193">
        <f>IF(SUMPRODUCT((('Full month Pivot'!$B$3:$B$400=$A$255) + ('Full month Pivot'!$A$3:$A$400=$A$255) &gt; 0) * (TRIM('Full month Pivot'!$C$3:$C$400)=TRIM($A263)) * ('Full month Pivot'!$D$2:$K$2=R$2) * 'Full month Pivot'!$D$3:$K$400)&gt;0, SUMPRODUCT((('Full month Pivot'!$B$3:$B$400=$A$255) + ('Full month Pivot'!$A$3:$A$400=$A$255) &gt; 0) * (TRIM('Full month Pivot'!$C$3:$C$400)=TRIM($A263)) * ('Full month Pivot'!$D$2:$K$2=R$2) * 'Full month Pivot'!$D$3:$K$400), "")</f>
        <v/>
      </c>
      <c r="S263" s="193">
        <f>IF(SUMPRODUCT((('Full month Pivot'!$B$3:$B$400=$A$255) + ('Full month Pivot'!$A$3:$A$400=$A$255) &gt; 0) * (TRIM('Full month Pivot'!$C$3:$C$400)=TRIM($A263)) * ('Full month Pivot'!$D$2:$K$2=S$2) * 'Full month Pivot'!$D$3:$K$400)&gt;0, SUMPRODUCT((('Full month Pivot'!$B$3:$B$400=$A$255) + ('Full month Pivot'!$A$3:$A$400=$A$255) &gt; 0) * (TRIM('Full month Pivot'!$C$3:$C$400)=TRIM($A263)) * ('Full month Pivot'!$D$2:$K$2=S$2) * 'Full month Pivot'!$D$3:$K$400), "")</f>
        <v/>
      </c>
      <c r="T263" s="193">
        <f>IF(SUMPRODUCT((('Full month Pivot'!$B$3:$B$400=$A$255) + ('Full month Pivot'!$A$3:$A$400=$A$255) &gt; 0) * (TRIM('Full month Pivot'!$C$3:$C$400)=TRIM($A263)) * ('Full month Pivot'!$D$2:$K$2=T$2) * 'Full month Pivot'!$D$3:$K$400)&gt;0, SUMPRODUCT((('Full month Pivot'!$B$3:$B$400=$A$255) + ('Full month Pivot'!$A$3:$A$400=$A$255) &gt; 0) * (TRIM('Full month Pivot'!$C$3:$C$400)=TRIM($A263)) * ('Full month Pivot'!$D$2:$K$2=T$2) * 'Full month Pivot'!$D$3:$K$400), "")</f>
        <v/>
      </c>
      <c r="U263" s="193">
        <f>IF(SUMPRODUCT((('Full month Pivot'!$B$3:$B$400=$A$255) + ('Full month Pivot'!$A$3:$A$400=$A$255) &gt; 0) * (TRIM('Full month Pivot'!$C$3:$C$400)=TRIM($A263)) * ('Full month Pivot'!$D$2:$K$2=U$2) * 'Full month Pivot'!$D$3:$K$400)&gt;0, SUMPRODUCT((('Full month Pivot'!$B$3:$B$400=$A$255) + ('Full month Pivot'!$A$3:$A$400=$A$255) &gt; 0) * (TRIM('Full month Pivot'!$C$3:$C$400)=TRIM($A263)) * ('Full month Pivot'!$D$2:$K$2=U$2) * 'Full month Pivot'!$D$3:$K$400), "")</f>
        <v/>
      </c>
      <c r="V263" s="193">
        <f>IF(SUMPRODUCT((('Full month Pivot'!$B$3:$B$400=$A$255) + ('Full month Pivot'!$A$3:$A$400=$A$255) &gt; 0) * (TRIM('Full month Pivot'!$C$3:$C$400)=TRIM($A263)) * ('Full month Pivot'!$D$2:$K$2=V$2) * 'Full month Pivot'!$D$3:$K$400)&gt;0, SUMPRODUCT((('Full month Pivot'!$B$3:$B$400=$A$255) + ('Full month Pivot'!$A$3:$A$400=$A$255) &gt; 0) * (TRIM('Full month Pivot'!$C$3:$C$400)=TRIM($A263)) * ('Full month Pivot'!$D$2:$K$2=V$2) * 'Full month Pivot'!$D$3:$K$400), "")</f>
        <v/>
      </c>
      <c r="W263" s="193">
        <f>IF(SUMPRODUCT((('Full month Pivot'!$B$3:$B$400=$A$255) + ('Full month Pivot'!$A$3:$A$400=$A$255) &gt; 0) * (TRIM('Full month Pivot'!$C$3:$C$400)=TRIM($A263)) * ('Full month Pivot'!$D$2:$K$2=W$2) * 'Full month Pivot'!$D$3:$K$400)&gt;0, SUMPRODUCT((('Full month Pivot'!$B$3:$B$400=$A$255) + ('Full month Pivot'!$A$3:$A$400=$A$255) &gt; 0) * (TRIM('Full month Pivot'!$C$3:$C$400)=TRIM($A263)) * ('Full month Pivot'!$D$2:$K$2=W$2) * 'Full month Pivot'!$D$3:$K$400), "")</f>
        <v/>
      </c>
      <c r="X263" s="193">
        <f>IF(SUMPRODUCT((('Full month Pivot'!$B$3:$B$400=$A$255) + ('Full month Pivot'!$A$3:$A$400=$A$255) &gt; 0) * (TRIM('Full month Pivot'!$C$3:$C$400)=TRIM($A263)) * ('Full month Pivot'!$D$2:$K$2=X$2) * 'Full month Pivot'!$D$3:$K$400)&gt;0, SUMPRODUCT((('Full month Pivot'!$B$3:$B$400=$A$255) + ('Full month Pivot'!$A$3:$A$400=$A$255) &gt; 0) * (TRIM('Full month Pivot'!$C$3:$C$400)=TRIM($A263)) * ('Full month Pivot'!$D$2:$K$2=X$2) * 'Full month Pivot'!$D$3:$K$400), "")</f>
        <v/>
      </c>
      <c r="Y263" s="193">
        <f>IF(SUMPRODUCT((('Full month Pivot'!$B$3:$B$400=$A$255) + ('Full month Pivot'!$A$3:$A$400=$A$255) &gt; 0) * (TRIM('Full month Pivot'!$C$3:$C$400)=TRIM($A263)) * ('Full month Pivot'!$D$2:$K$2=Y$2) * 'Full month Pivot'!$D$3:$K$400)&gt;0, SUMPRODUCT((('Full month Pivot'!$B$3:$B$400=$A$255) + ('Full month Pivot'!$A$3:$A$400=$A$255) &gt; 0) * (TRIM('Full month Pivot'!$C$3:$C$400)=TRIM($A263)) * ('Full month Pivot'!$D$2:$K$2=Y$2) * 'Full month Pivot'!$D$3:$K$400), "")</f>
        <v/>
      </c>
      <c r="Z263" s="193">
        <f>IF(SUMPRODUCT((('Full month Pivot'!$B$3:$B$400=$A$255) + ('Full month Pivot'!$A$3:$A$400=$A$255) &gt; 0) * (TRIM('Full month Pivot'!$C$3:$C$400)=TRIM($A263)) * ('Full month Pivot'!$D$2:$K$2=Z$2) * 'Full month Pivot'!$D$3:$K$400)&gt;0, SUMPRODUCT((('Full month Pivot'!$B$3:$B$400=$A$255) + ('Full month Pivot'!$A$3:$A$400=$A$255) &gt; 0) * (TRIM('Full month Pivot'!$C$3:$C$400)=TRIM($A263)) * ('Full month Pivot'!$D$2:$K$2=Z$2) * 'Full month Pivot'!$D$3:$K$400), "")</f>
        <v/>
      </c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202" t="inlineStr">
        <is>
          <t xml:space="preserve">  Referral</t>
        </is>
      </c>
      <c r="B264" s="193">
        <f>IF(SUMPRODUCT((('MTD Pivot'!$B$3:$B$400=$A$255) + ('MTD Pivot'!$A$3:$A$400=$A$255) &gt; 0) * (TRIM('MTD Pivot'!$C$3:$C$400)=TRIM($A264)) * ('MTD Pivot'!$D$2:$K$2=B$2) * 'MTD Pivot'!$D$3:$K$400)&gt;0, SUMPRODUCT((('MTD Pivot'!$B$3:$B$400=$A$255) + ('MTD Pivot'!$A$3:$A$400=$A$255) &gt; 0) * (TRIM('MTD Pivot'!$C$3:$C$400)=TRIM($A264)) * ('MTD Pivot'!$D$2:$K$2=B$2) * 'MTD Pivot'!$D$3:$K$400), "")</f>
        <v/>
      </c>
      <c r="C264" s="193">
        <f>IF(SUMPRODUCT((('MTD Pivot'!$B$3:$B$400=$A$255) + ('MTD Pivot'!$A$3:$A$400=$A$255) &gt; 0) * (TRIM('MTD Pivot'!$C$3:$C$400)=TRIM($A264)) * ('MTD Pivot'!$D$2:$K$2=C$2) * 'MTD Pivot'!$D$3:$K$400)&gt;0, SUMPRODUCT((('MTD Pivot'!$B$3:$B$400=$A$255) + ('MTD Pivot'!$A$3:$A$400=$A$255) &gt; 0) * (TRIM('MTD Pivot'!$C$3:$C$400)=TRIM($A264)) * ('MTD Pivot'!$D$2:$K$2=C$2) * 'MTD Pivot'!$D$3:$K$400), "")</f>
        <v/>
      </c>
      <c r="D264" s="193">
        <f>IF(SUMPRODUCT((('MTD Pivot'!$B$3:$B$400=$A$255) + ('MTD Pivot'!$A$3:$A$400=$A$255) &gt; 0) * (TRIM('MTD Pivot'!$C$3:$C$400)=TRIM($A264)) * ('MTD Pivot'!$D$2:$K$2=D$2) * 'MTD Pivot'!$D$3:$K$400)&gt;0, SUMPRODUCT((('MTD Pivot'!$B$3:$B$400=$A$255) + ('MTD Pivot'!$A$3:$A$400=$A$255) &gt; 0) * (TRIM('MTD Pivot'!$C$3:$C$400)=TRIM($A264)) * ('MTD Pivot'!$D$2:$K$2=D$2) * 'MTD Pivot'!$D$3:$K$400), "")</f>
        <v/>
      </c>
      <c r="E264" s="193">
        <f>IF(SUMPRODUCT((('MTD Pivot'!$B$3:$B$400=$A$255) + ('MTD Pivot'!$A$3:$A$400=$A$255) &gt; 0) * (TRIM('MTD Pivot'!$C$3:$C$400)=TRIM($A264)) * ('MTD Pivot'!$D$2:$K$2=E$2) * 'MTD Pivot'!$D$3:$K$400)&gt;0, SUMPRODUCT((('MTD Pivot'!$B$3:$B$400=$A$255) + ('MTD Pivot'!$A$3:$A$400=$A$255) &gt; 0) * (TRIM('MTD Pivot'!$C$3:$C$400)=TRIM($A264)) * ('MTD Pivot'!$D$2:$K$2=E$2) * 'MTD Pivot'!$D$3:$K$400), "")</f>
        <v/>
      </c>
      <c r="F264" s="193">
        <f>IF(SUMPRODUCT((('MTD Pivot'!$B$3:$B$400=$A$255) + ('MTD Pivot'!$A$3:$A$400=$A$255) &gt; 0) * (TRIM('MTD Pivot'!$C$3:$C$400)=TRIM($A264)) * ('MTD Pivot'!$D$2:$K$2=F$2) * 'MTD Pivot'!$D$3:$K$400)&gt;0, SUMPRODUCT((('MTD Pivot'!$B$3:$B$400=$A$255) + ('MTD Pivot'!$A$3:$A$400=$A$255) &gt; 0) * (TRIM('MTD Pivot'!$C$3:$C$400)=TRIM($A264)) * ('MTD Pivot'!$D$2:$K$2=F$2) * 'MTD Pivot'!$D$3:$K$400), "")</f>
        <v/>
      </c>
      <c r="G264" s="193">
        <f>IF(SUMPRODUCT((('MTD Pivot'!$B$3:$B$400=$A$255) + ('MTD Pivot'!$A$3:$A$400=$A$255) &gt; 0) * (TRIM('MTD Pivot'!$C$3:$C$400)=TRIM($A264)) * ('MTD Pivot'!$D$2:$K$2=G$2) * 'MTD Pivot'!$D$3:$K$400)&gt;0, SUMPRODUCT((('MTD Pivot'!$B$3:$B$400=$A$255) + ('MTD Pivot'!$A$3:$A$400=$A$255) &gt; 0) * (TRIM('MTD Pivot'!$C$3:$C$400)=TRIM($A264)) * ('MTD Pivot'!$D$2:$K$2=G$2) * 'MTD Pivot'!$D$3:$K$400), "")</f>
        <v/>
      </c>
      <c r="H264" s="193">
        <f>IF(SUMPRODUCT((('MTD Pivot'!$B$3:$B$400=$A$255) + ('MTD Pivot'!$A$3:$A$400=$A$255) &gt; 0) * (TRIM('MTD Pivot'!$C$3:$C$400)=TRIM($A264)) * ('MTD Pivot'!$D$2:$K$2=H$2) * 'MTD Pivot'!$D$3:$K$400)&gt;0, SUMPRODUCT((('MTD Pivot'!$B$3:$B$400=$A$255) + ('MTD Pivot'!$A$3:$A$400=$A$255) &gt; 0) * (TRIM('MTD Pivot'!$C$3:$C$400)=TRIM($A264)) * ('MTD Pivot'!$D$2:$K$2=H$2) * 'MTD Pivot'!$D$3:$K$400), "")</f>
        <v/>
      </c>
      <c r="I264" s="193">
        <f>IF(SUMPRODUCT((('MTD Pivot'!$B$3:$B$400=$A$255) + ('MTD Pivot'!$A$3:$A$400=$A$255) &gt; 0) * (TRIM('MTD Pivot'!$C$3:$C$400)=TRIM($A264)) * ('MTD Pivot'!$D$2:$K$2=I$2) * 'MTD Pivot'!$D$3:$K$400)&gt;0, SUMPRODUCT((('MTD Pivot'!$B$3:$B$400=$A$255) + ('MTD Pivot'!$A$3:$A$400=$A$255) &gt; 0) * (TRIM('MTD Pivot'!$C$3:$C$400)=TRIM($A264)) * ('MTD Pivot'!$D$2:$K$2=I$2) * 'MTD Pivot'!$D$3:$K$400), "")</f>
        <v/>
      </c>
      <c r="J264" s="193">
        <f>IF(SUMPRODUCT((('MTD Pivot'!$B$3:$B$400=$A$255) + ('MTD Pivot'!$A$3:$A$400=$A$255) &gt; 0) * (TRIM('MTD Pivot'!$C$3:$C$400)=TRIM($A264)) * ('MTD Pivot'!$D$2:$K$2=J$2) * 'MTD Pivot'!$D$3:$K$400)&gt;0, SUMPRODUCT((('MTD Pivot'!$B$3:$B$400=$A$255) + ('MTD Pivot'!$A$3:$A$400=$A$255) &gt; 0) * (TRIM('MTD Pivot'!$C$3:$C$400)=TRIM($A264)) * ('MTD Pivot'!$D$2:$K$2=J$2) * 'MTD Pivot'!$D$3:$K$400), "")</f>
        <v/>
      </c>
      <c r="K264" s="193">
        <f>IF(SUMPRODUCT((('MTD Pivot'!$B$3:$B$400=$A$255) + ('MTD Pivot'!$A$3:$A$400=$A$255) &gt; 0) * (TRIM('MTD Pivot'!$C$3:$C$400)=TRIM($A264)) * ('MTD Pivot'!$D$2:$K$2=K$2) * 'MTD Pivot'!$D$3:$K$400)&gt;0, SUMPRODUCT((('MTD Pivot'!$B$3:$B$400=$A$255) + ('MTD Pivot'!$A$3:$A$400=$A$255) &gt; 0) * (TRIM('MTD Pivot'!$C$3:$C$400)=TRIM($A264)) * ('MTD Pivot'!$D$2:$K$2=K$2) * 'MTD Pivot'!$D$3:$K$400), "")</f>
        <v/>
      </c>
      <c r="L264" s="193">
        <f>IF(SUMPRODUCT((('MTD Pivot'!$B$3:$B$400=$A$255) + ('MTD Pivot'!$A$3:$A$400=$A$255) &gt; 0) * (TRIM('MTD Pivot'!$C$3:$C$400)=TRIM($A264)) * ('MTD Pivot'!$D$2:$K$2=L$2) * 'MTD Pivot'!$D$3:$K$400)&gt;0, SUMPRODUCT((('MTD Pivot'!$B$3:$B$400=$A$255) + ('MTD Pivot'!$A$3:$A$400=$A$255) &gt; 0) * (TRIM('MTD Pivot'!$C$3:$C$400)=TRIM($A264)) * ('MTD Pivot'!$D$2:$K$2=L$2) * 'MTD Pivot'!$D$3:$K$400), "")</f>
        <v/>
      </c>
      <c r="M264" s="193">
        <f>IF(SUMPRODUCT((('MTD Pivot'!$B$3:$B$400=$A$255) + ('MTD Pivot'!$A$3:$A$400=$A$255) &gt; 0) * (TRIM('MTD Pivot'!$C$3:$C$400)=TRIM($A264)) * ('MTD Pivot'!$D$2:$K$2=M$2) * 'MTD Pivot'!$D$3:$K$400)&gt;0, SUMPRODUCT((('MTD Pivot'!$B$3:$B$400=$A$255) + ('MTD Pivot'!$A$3:$A$400=$A$255) &gt; 0) * (TRIM('MTD Pivot'!$C$3:$C$400)=TRIM($A264)) * ('MTD Pivot'!$D$2:$K$2=M$2) * 'MTD Pivot'!$D$3:$K$400), "")</f>
        <v/>
      </c>
      <c r="N264" s="157">
        <f>IF(AND(ISNUMBER(K264), ISNUMBER(J264), J264&gt;0), (K264-J264)/J264, "")</f>
        <v/>
      </c>
      <c r="O264" s="193">
        <f>IF(SUMPRODUCT((('Full month Pivot'!$B$3:$B$400=$A$255) + ('Full month Pivot'!$A$3:$A$400=$A$255) &gt; 0) * (TRIM('Full month Pivot'!$C$3:$C$400)=TRIM($A264)) * ('Full month Pivot'!$D$2:$K$2=O$2) * 'Full month Pivot'!$D$3:$K$400)&gt;0, SUMPRODUCT((('Full month Pivot'!$B$3:$B$400=$A$255) + ('Full month Pivot'!$A$3:$A$400=$A$255) &gt; 0) * (TRIM('Full month Pivot'!$C$3:$C$400)=TRIM($A264)) * ('Full month Pivot'!$D$2:$K$2=O$2) * 'Full month Pivot'!$D$3:$K$400), "")</f>
        <v/>
      </c>
      <c r="P264" s="193">
        <f>IF(SUMPRODUCT((('Full month Pivot'!$B$3:$B$400=$A$255) + ('Full month Pivot'!$A$3:$A$400=$A$255) &gt; 0) * (TRIM('Full month Pivot'!$C$3:$C$400)=TRIM($A264)) * ('Full month Pivot'!$D$2:$K$2=P$2) * 'Full month Pivot'!$D$3:$K$400)&gt;0, SUMPRODUCT((('Full month Pivot'!$B$3:$B$400=$A$255) + ('Full month Pivot'!$A$3:$A$400=$A$255) &gt; 0) * (TRIM('Full month Pivot'!$C$3:$C$400)=TRIM($A264)) * ('Full month Pivot'!$D$2:$K$2=P$2) * 'Full month Pivot'!$D$3:$K$400), "")</f>
        <v/>
      </c>
      <c r="Q264" s="193">
        <f>IF(SUMPRODUCT((('Full month Pivot'!$B$3:$B$400=$A$255) + ('Full month Pivot'!$A$3:$A$400=$A$255) &gt; 0) * (TRIM('Full month Pivot'!$C$3:$C$400)=TRIM($A264)) * ('Full month Pivot'!$D$2:$K$2=Q$2) * 'Full month Pivot'!$D$3:$K$400)&gt;0, SUMPRODUCT((('Full month Pivot'!$B$3:$B$400=$A$255) + ('Full month Pivot'!$A$3:$A$400=$A$255) &gt; 0) * (TRIM('Full month Pivot'!$C$3:$C$400)=TRIM($A264)) * ('Full month Pivot'!$D$2:$K$2=Q$2) * 'Full month Pivot'!$D$3:$K$400), "")</f>
        <v/>
      </c>
      <c r="R264" s="193">
        <f>IF(SUMPRODUCT((('Full month Pivot'!$B$3:$B$400=$A$255) + ('Full month Pivot'!$A$3:$A$400=$A$255) &gt; 0) * (TRIM('Full month Pivot'!$C$3:$C$400)=TRIM($A264)) * ('Full month Pivot'!$D$2:$K$2=R$2) * 'Full month Pivot'!$D$3:$K$400)&gt;0, SUMPRODUCT((('Full month Pivot'!$B$3:$B$400=$A$255) + ('Full month Pivot'!$A$3:$A$400=$A$255) &gt; 0) * (TRIM('Full month Pivot'!$C$3:$C$400)=TRIM($A264)) * ('Full month Pivot'!$D$2:$K$2=R$2) * 'Full month Pivot'!$D$3:$K$400), "")</f>
        <v/>
      </c>
      <c r="S264" s="193">
        <f>IF(SUMPRODUCT((('Full month Pivot'!$B$3:$B$400=$A$255) + ('Full month Pivot'!$A$3:$A$400=$A$255) &gt; 0) * (TRIM('Full month Pivot'!$C$3:$C$400)=TRIM($A264)) * ('Full month Pivot'!$D$2:$K$2=S$2) * 'Full month Pivot'!$D$3:$K$400)&gt;0, SUMPRODUCT((('Full month Pivot'!$B$3:$B$400=$A$255) + ('Full month Pivot'!$A$3:$A$400=$A$255) &gt; 0) * (TRIM('Full month Pivot'!$C$3:$C$400)=TRIM($A264)) * ('Full month Pivot'!$D$2:$K$2=S$2) * 'Full month Pivot'!$D$3:$K$400), "")</f>
        <v/>
      </c>
      <c r="T264" s="193">
        <f>IF(SUMPRODUCT((('Full month Pivot'!$B$3:$B$400=$A$255) + ('Full month Pivot'!$A$3:$A$400=$A$255) &gt; 0) * (TRIM('Full month Pivot'!$C$3:$C$400)=TRIM($A264)) * ('Full month Pivot'!$D$2:$K$2=T$2) * 'Full month Pivot'!$D$3:$K$400)&gt;0, SUMPRODUCT((('Full month Pivot'!$B$3:$B$400=$A$255) + ('Full month Pivot'!$A$3:$A$400=$A$255) &gt; 0) * (TRIM('Full month Pivot'!$C$3:$C$400)=TRIM($A264)) * ('Full month Pivot'!$D$2:$K$2=T$2) * 'Full month Pivot'!$D$3:$K$400), "")</f>
        <v/>
      </c>
      <c r="U264" s="193">
        <f>IF(SUMPRODUCT((('Full month Pivot'!$B$3:$B$400=$A$255) + ('Full month Pivot'!$A$3:$A$400=$A$255) &gt; 0) * (TRIM('Full month Pivot'!$C$3:$C$400)=TRIM($A264)) * ('Full month Pivot'!$D$2:$K$2=U$2) * 'Full month Pivot'!$D$3:$K$400)&gt;0, SUMPRODUCT((('Full month Pivot'!$B$3:$B$400=$A$255) + ('Full month Pivot'!$A$3:$A$400=$A$255) &gt; 0) * (TRIM('Full month Pivot'!$C$3:$C$400)=TRIM($A264)) * ('Full month Pivot'!$D$2:$K$2=U$2) * 'Full month Pivot'!$D$3:$K$400), "")</f>
        <v/>
      </c>
      <c r="V264" s="193">
        <f>IF(SUMPRODUCT((('Full month Pivot'!$B$3:$B$400=$A$255) + ('Full month Pivot'!$A$3:$A$400=$A$255) &gt; 0) * (TRIM('Full month Pivot'!$C$3:$C$400)=TRIM($A264)) * ('Full month Pivot'!$D$2:$K$2=V$2) * 'Full month Pivot'!$D$3:$K$400)&gt;0, SUMPRODUCT((('Full month Pivot'!$B$3:$B$400=$A$255) + ('Full month Pivot'!$A$3:$A$400=$A$255) &gt; 0) * (TRIM('Full month Pivot'!$C$3:$C$400)=TRIM($A264)) * ('Full month Pivot'!$D$2:$K$2=V$2) * 'Full month Pivot'!$D$3:$K$400), "")</f>
        <v/>
      </c>
      <c r="W264" s="193">
        <f>IF(SUMPRODUCT((('Full month Pivot'!$B$3:$B$400=$A$255) + ('Full month Pivot'!$A$3:$A$400=$A$255) &gt; 0) * (TRIM('Full month Pivot'!$C$3:$C$400)=TRIM($A264)) * ('Full month Pivot'!$D$2:$K$2=W$2) * 'Full month Pivot'!$D$3:$K$400)&gt;0, SUMPRODUCT((('Full month Pivot'!$B$3:$B$400=$A$255) + ('Full month Pivot'!$A$3:$A$400=$A$255) &gt; 0) * (TRIM('Full month Pivot'!$C$3:$C$400)=TRIM($A264)) * ('Full month Pivot'!$D$2:$K$2=W$2) * 'Full month Pivot'!$D$3:$K$400), "")</f>
        <v/>
      </c>
      <c r="X264" s="193">
        <f>IF(SUMPRODUCT((('Full month Pivot'!$B$3:$B$400=$A$255) + ('Full month Pivot'!$A$3:$A$400=$A$255) &gt; 0) * (TRIM('Full month Pivot'!$C$3:$C$400)=TRIM($A264)) * ('Full month Pivot'!$D$2:$K$2=X$2) * 'Full month Pivot'!$D$3:$K$400)&gt;0, SUMPRODUCT((('Full month Pivot'!$B$3:$B$400=$A$255) + ('Full month Pivot'!$A$3:$A$400=$A$255) &gt; 0) * (TRIM('Full month Pivot'!$C$3:$C$400)=TRIM($A264)) * ('Full month Pivot'!$D$2:$K$2=X$2) * 'Full month Pivot'!$D$3:$K$400), "")</f>
        <v/>
      </c>
      <c r="Y264" s="193">
        <f>IF(SUMPRODUCT((('Full month Pivot'!$B$3:$B$400=$A$255) + ('Full month Pivot'!$A$3:$A$400=$A$255) &gt; 0) * (TRIM('Full month Pivot'!$C$3:$C$400)=TRIM($A264)) * ('Full month Pivot'!$D$2:$K$2=Y$2) * 'Full month Pivot'!$D$3:$K$400)&gt;0, SUMPRODUCT((('Full month Pivot'!$B$3:$B$400=$A$255) + ('Full month Pivot'!$A$3:$A$400=$A$255) &gt; 0) * (TRIM('Full month Pivot'!$C$3:$C$400)=TRIM($A264)) * ('Full month Pivot'!$D$2:$K$2=Y$2) * 'Full month Pivot'!$D$3:$K$400), "")</f>
        <v/>
      </c>
      <c r="Z264" s="193">
        <f>IF(SUMPRODUCT((('Full month Pivot'!$B$3:$B$400=$A$255) + ('Full month Pivot'!$A$3:$A$400=$A$255) &gt; 0) * (TRIM('Full month Pivot'!$C$3:$C$400)=TRIM($A264)) * ('Full month Pivot'!$D$2:$K$2=Z$2) * 'Full month Pivot'!$D$3:$K$400)&gt;0, SUMPRODUCT((('Full month Pivot'!$B$3:$B$400=$A$255) + ('Full month Pivot'!$A$3:$A$400=$A$255) &gt; 0) * (TRIM('Full month Pivot'!$C$3:$C$400)=TRIM($A264)) * ('Full month Pivot'!$D$2:$K$2=Z$2) * 'Full month Pivot'!$D$3:$K$400), "")</f>
        <v/>
      </c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202" t="inlineStr">
        <is>
          <t xml:space="preserve">  Others</t>
        </is>
      </c>
      <c r="B265" s="193">
        <f>IF(SUMPRODUCT((('MTD Pivot'!$B$3:$B$400=$A$255) + ('MTD Pivot'!$A$3:$A$400=$A$255) &gt; 0) * (TRIM('MTD Pivot'!$C$3:$C$400)=TRIM($A265)) * ('MTD Pivot'!$D$2:$K$2=B$2) * 'MTD Pivot'!$D$3:$K$400)&gt;0, SUMPRODUCT((('MTD Pivot'!$B$3:$B$400=$A$255) + ('MTD Pivot'!$A$3:$A$400=$A$255) &gt; 0) * (TRIM('MTD Pivot'!$C$3:$C$400)=TRIM($A265)) * ('MTD Pivot'!$D$2:$K$2=B$2) * 'MTD Pivot'!$D$3:$K$400), "")</f>
        <v/>
      </c>
      <c r="C265" s="193">
        <f>IF(SUMPRODUCT((('MTD Pivot'!$B$3:$B$400=$A$255) + ('MTD Pivot'!$A$3:$A$400=$A$255) &gt; 0) * (TRIM('MTD Pivot'!$C$3:$C$400)=TRIM($A265)) * ('MTD Pivot'!$D$2:$K$2=C$2) * 'MTD Pivot'!$D$3:$K$400)&gt;0, SUMPRODUCT((('MTD Pivot'!$B$3:$B$400=$A$255) + ('MTD Pivot'!$A$3:$A$400=$A$255) &gt; 0) * (TRIM('MTD Pivot'!$C$3:$C$400)=TRIM($A265)) * ('MTD Pivot'!$D$2:$K$2=C$2) * 'MTD Pivot'!$D$3:$K$400), "")</f>
        <v/>
      </c>
      <c r="D265" s="193">
        <f>IF(SUMPRODUCT((('MTD Pivot'!$B$3:$B$400=$A$255) + ('MTD Pivot'!$A$3:$A$400=$A$255) &gt; 0) * (TRIM('MTD Pivot'!$C$3:$C$400)=TRIM($A265)) * ('MTD Pivot'!$D$2:$K$2=D$2) * 'MTD Pivot'!$D$3:$K$400)&gt;0, SUMPRODUCT((('MTD Pivot'!$B$3:$B$400=$A$255) + ('MTD Pivot'!$A$3:$A$400=$A$255) &gt; 0) * (TRIM('MTD Pivot'!$C$3:$C$400)=TRIM($A265)) * ('MTD Pivot'!$D$2:$K$2=D$2) * 'MTD Pivot'!$D$3:$K$400), "")</f>
        <v/>
      </c>
      <c r="E265" s="193">
        <f>IF(SUMPRODUCT((('MTD Pivot'!$B$3:$B$400=$A$255) + ('MTD Pivot'!$A$3:$A$400=$A$255) &gt; 0) * (TRIM('MTD Pivot'!$C$3:$C$400)=TRIM($A265)) * ('MTD Pivot'!$D$2:$K$2=E$2) * 'MTD Pivot'!$D$3:$K$400)&gt;0, SUMPRODUCT((('MTD Pivot'!$B$3:$B$400=$A$255) + ('MTD Pivot'!$A$3:$A$400=$A$255) &gt; 0) * (TRIM('MTD Pivot'!$C$3:$C$400)=TRIM($A265)) * ('MTD Pivot'!$D$2:$K$2=E$2) * 'MTD Pivot'!$D$3:$K$400), "")</f>
        <v/>
      </c>
      <c r="F265" s="193">
        <f>IF(SUMPRODUCT((('MTD Pivot'!$B$3:$B$400=$A$255) + ('MTD Pivot'!$A$3:$A$400=$A$255) &gt; 0) * (TRIM('MTD Pivot'!$C$3:$C$400)=TRIM($A265)) * ('MTD Pivot'!$D$2:$K$2=F$2) * 'MTD Pivot'!$D$3:$K$400)&gt;0, SUMPRODUCT((('MTD Pivot'!$B$3:$B$400=$A$255) + ('MTD Pivot'!$A$3:$A$400=$A$255) &gt; 0) * (TRIM('MTD Pivot'!$C$3:$C$400)=TRIM($A265)) * ('MTD Pivot'!$D$2:$K$2=F$2) * 'MTD Pivot'!$D$3:$K$400), "")</f>
        <v/>
      </c>
      <c r="G265" s="193">
        <f>IF(SUMPRODUCT((('MTD Pivot'!$B$3:$B$400=$A$255) + ('MTD Pivot'!$A$3:$A$400=$A$255) &gt; 0) * (TRIM('MTD Pivot'!$C$3:$C$400)=TRIM($A265)) * ('MTD Pivot'!$D$2:$K$2=G$2) * 'MTD Pivot'!$D$3:$K$400)&gt;0, SUMPRODUCT((('MTD Pivot'!$B$3:$B$400=$A$255) + ('MTD Pivot'!$A$3:$A$400=$A$255) &gt; 0) * (TRIM('MTD Pivot'!$C$3:$C$400)=TRIM($A265)) * ('MTD Pivot'!$D$2:$K$2=G$2) * 'MTD Pivot'!$D$3:$K$400), "")</f>
        <v/>
      </c>
      <c r="H265" s="193">
        <f>IF(SUMPRODUCT((('MTD Pivot'!$B$3:$B$400=$A$255) + ('MTD Pivot'!$A$3:$A$400=$A$255) &gt; 0) * (TRIM('MTD Pivot'!$C$3:$C$400)=TRIM($A265)) * ('MTD Pivot'!$D$2:$K$2=H$2) * 'MTD Pivot'!$D$3:$K$400)&gt;0, SUMPRODUCT((('MTD Pivot'!$B$3:$B$400=$A$255) + ('MTD Pivot'!$A$3:$A$400=$A$255) &gt; 0) * (TRIM('MTD Pivot'!$C$3:$C$400)=TRIM($A265)) * ('MTD Pivot'!$D$2:$K$2=H$2) * 'MTD Pivot'!$D$3:$K$400), "")</f>
        <v/>
      </c>
      <c r="I265" s="193">
        <f>IF(SUMPRODUCT((('MTD Pivot'!$B$3:$B$400=$A$255) + ('MTD Pivot'!$A$3:$A$400=$A$255) &gt; 0) * (TRIM('MTD Pivot'!$C$3:$C$400)=TRIM($A265)) * ('MTD Pivot'!$D$2:$K$2=I$2) * 'MTD Pivot'!$D$3:$K$400)&gt;0, SUMPRODUCT((('MTD Pivot'!$B$3:$B$400=$A$255) + ('MTD Pivot'!$A$3:$A$400=$A$255) &gt; 0) * (TRIM('MTD Pivot'!$C$3:$C$400)=TRIM($A265)) * ('MTD Pivot'!$D$2:$K$2=I$2) * 'MTD Pivot'!$D$3:$K$400), "")</f>
        <v/>
      </c>
      <c r="J265" s="193">
        <f>IF(SUMPRODUCT((('MTD Pivot'!$B$3:$B$400=$A$255) + ('MTD Pivot'!$A$3:$A$400=$A$255) &gt; 0) * (TRIM('MTD Pivot'!$C$3:$C$400)=TRIM($A265)) * ('MTD Pivot'!$D$2:$K$2=J$2) * 'MTD Pivot'!$D$3:$K$400)&gt;0, SUMPRODUCT((('MTD Pivot'!$B$3:$B$400=$A$255) + ('MTD Pivot'!$A$3:$A$400=$A$255) &gt; 0) * (TRIM('MTD Pivot'!$C$3:$C$400)=TRIM($A265)) * ('MTD Pivot'!$D$2:$K$2=J$2) * 'MTD Pivot'!$D$3:$K$400), "")</f>
        <v/>
      </c>
      <c r="K265" s="193">
        <f>IF(SUMPRODUCT((('MTD Pivot'!$B$3:$B$400=$A$255) + ('MTD Pivot'!$A$3:$A$400=$A$255) &gt; 0) * (TRIM('MTD Pivot'!$C$3:$C$400)=TRIM($A265)) * ('MTD Pivot'!$D$2:$K$2=K$2) * 'MTD Pivot'!$D$3:$K$400)&gt;0, SUMPRODUCT((('MTD Pivot'!$B$3:$B$400=$A$255) + ('MTD Pivot'!$A$3:$A$400=$A$255) &gt; 0) * (TRIM('MTD Pivot'!$C$3:$C$400)=TRIM($A265)) * ('MTD Pivot'!$D$2:$K$2=K$2) * 'MTD Pivot'!$D$3:$K$400), "")</f>
        <v/>
      </c>
      <c r="L265" s="193">
        <f>IF(SUMPRODUCT((('MTD Pivot'!$B$3:$B$400=$A$255) + ('MTD Pivot'!$A$3:$A$400=$A$255) &gt; 0) * (TRIM('MTD Pivot'!$C$3:$C$400)=TRIM($A265)) * ('MTD Pivot'!$D$2:$K$2=L$2) * 'MTD Pivot'!$D$3:$K$400)&gt;0, SUMPRODUCT((('MTD Pivot'!$B$3:$B$400=$A$255) + ('MTD Pivot'!$A$3:$A$400=$A$255) &gt; 0) * (TRIM('MTD Pivot'!$C$3:$C$400)=TRIM($A265)) * ('MTD Pivot'!$D$2:$K$2=L$2) * 'MTD Pivot'!$D$3:$K$400), "")</f>
        <v/>
      </c>
      <c r="M265" s="193">
        <f>IF(SUMPRODUCT((('MTD Pivot'!$B$3:$B$400=$A$255) + ('MTD Pivot'!$A$3:$A$400=$A$255) &gt; 0) * (TRIM('MTD Pivot'!$C$3:$C$400)=TRIM($A265)) * ('MTD Pivot'!$D$2:$K$2=M$2) * 'MTD Pivot'!$D$3:$K$400)&gt;0, SUMPRODUCT((('MTD Pivot'!$B$3:$B$400=$A$255) + ('MTD Pivot'!$A$3:$A$400=$A$255) &gt; 0) * (TRIM('MTD Pivot'!$C$3:$C$400)=TRIM($A265)) * ('MTD Pivot'!$D$2:$K$2=M$2) * 'MTD Pivot'!$D$3:$K$400), "")</f>
        <v/>
      </c>
      <c r="N265" s="157">
        <f>IF(AND(ISNUMBER(K265), ISNUMBER(J265), J265&gt;0), (K265-J265)/J265, "")</f>
        <v/>
      </c>
      <c r="O265" s="193">
        <f>IF(SUMPRODUCT((('Full month Pivot'!$B$3:$B$400=$A$255) + ('Full month Pivot'!$A$3:$A$400=$A$255) &gt; 0) * (TRIM('Full month Pivot'!$C$3:$C$400)=TRIM($A265)) * ('Full month Pivot'!$D$2:$K$2=O$2) * 'Full month Pivot'!$D$3:$K$400)&gt;0, SUMPRODUCT((('Full month Pivot'!$B$3:$B$400=$A$255) + ('Full month Pivot'!$A$3:$A$400=$A$255) &gt; 0) * (TRIM('Full month Pivot'!$C$3:$C$400)=TRIM($A265)) * ('Full month Pivot'!$D$2:$K$2=O$2) * 'Full month Pivot'!$D$3:$K$400), "")</f>
        <v/>
      </c>
      <c r="P265" s="193">
        <f>IF(SUMPRODUCT((('Full month Pivot'!$B$3:$B$400=$A$255) + ('Full month Pivot'!$A$3:$A$400=$A$255) &gt; 0) * (TRIM('Full month Pivot'!$C$3:$C$400)=TRIM($A265)) * ('Full month Pivot'!$D$2:$K$2=P$2) * 'Full month Pivot'!$D$3:$K$400)&gt;0, SUMPRODUCT((('Full month Pivot'!$B$3:$B$400=$A$255) + ('Full month Pivot'!$A$3:$A$400=$A$255) &gt; 0) * (TRIM('Full month Pivot'!$C$3:$C$400)=TRIM($A265)) * ('Full month Pivot'!$D$2:$K$2=P$2) * 'Full month Pivot'!$D$3:$K$400), "")</f>
        <v/>
      </c>
      <c r="Q265" s="193">
        <f>IF(SUMPRODUCT((('Full month Pivot'!$B$3:$B$400=$A$255) + ('Full month Pivot'!$A$3:$A$400=$A$255) &gt; 0) * (TRIM('Full month Pivot'!$C$3:$C$400)=TRIM($A265)) * ('Full month Pivot'!$D$2:$K$2=Q$2) * 'Full month Pivot'!$D$3:$K$400)&gt;0, SUMPRODUCT((('Full month Pivot'!$B$3:$B$400=$A$255) + ('Full month Pivot'!$A$3:$A$400=$A$255) &gt; 0) * (TRIM('Full month Pivot'!$C$3:$C$400)=TRIM($A265)) * ('Full month Pivot'!$D$2:$K$2=Q$2) * 'Full month Pivot'!$D$3:$K$400), "")</f>
        <v/>
      </c>
      <c r="R265" s="193">
        <f>IF(SUMPRODUCT((('Full month Pivot'!$B$3:$B$400=$A$255) + ('Full month Pivot'!$A$3:$A$400=$A$255) &gt; 0) * (TRIM('Full month Pivot'!$C$3:$C$400)=TRIM($A265)) * ('Full month Pivot'!$D$2:$K$2=R$2) * 'Full month Pivot'!$D$3:$K$400)&gt;0, SUMPRODUCT((('Full month Pivot'!$B$3:$B$400=$A$255) + ('Full month Pivot'!$A$3:$A$400=$A$255) &gt; 0) * (TRIM('Full month Pivot'!$C$3:$C$400)=TRIM($A265)) * ('Full month Pivot'!$D$2:$K$2=R$2) * 'Full month Pivot'!$D$3:$K$400), "")</f>
        <v/>
      </c>
      <c r="S265" s="193">
        <f>IF(SUMPRODUCT((('Full month Pivot'!$B$3:$B$400=$A$255) + ('Full month Pivot'!$A$3:$A$400=$A$255) &gt; 0) * (TRIM('Full month Pivot'!$C$3:$C$400)=TRIM($A265)) * ('Full month Pivot'!$D$2:$K$2=S$2) * 'Full month Pivot'!$D$3:$K$400)&gt;0, SUMPRODUCT((('Full month Pivot'!$B$3:$B$400=$A$255) + ('Full month Pivot'!$A$3:$A$400=$A$255) &gt; 0) * (TRIM('Full month Pivot'!$C$3:$C$400)=TRIM($A265)) * ('Full month Pivot'!$D$2:$K$2=S$2) * 'Full month Pivot'!$D$3:$K$400), "")</f>
        <v/>
      </c>
      <c r="T265" s="193">
        <f>IF(SUMPRODUCT((('Full month Pivot'!$B$3:$B$400=$A$255) + ('Full month Pivot'!$A$3:$A$400=$A$255) &gt; 0) * (TRIM('Full month Pivot'!$C$3:$C$400)=TRIM($A265)) * ('Full month Pivot'!$D$2:$K$2=T$2) * 'Full month Pivot'!$D$3:$K$400)&gt;0, SUMPRODUCT((('Full month Pivot'!$B$3:$B$400=$A$255) + ('Full month Pivot'!$A$3:$A$400=$A$255) &gt; 0) * (TRIM('Full month Pivot'!$C$3:$C$400)=TRIM($A265)) * ('Full month Pivot'!$D$2:$K$2=T$2) * 'Full month Pivot'!$D$3:$K$400), "")</f>
        <v/>
      </c>
      <c r="U265" s="193">
        <f>IF(SUMPRODUCT((('Full month Pivot'!$B$3:$B$400=$A$255) + ('Full month Pivot'!$A$3:$A$400=$A$255) &gt; 0) * (TRIM('Full month Pivot'!$C$3:$C$400)=TRIM($A265)) * ('Full month Pivot'!$D$2:$K$2=U$2) * 'Full month Pivot'!$D$3:$K$400)&gt;0, SUMPRODUCT((('Full month Pivot'!$B$3:$B$400=$A$255) + ('Full month Pivot'!$A$3:$A$400=$A$255) &gt; 0) * (TRIM('Full month Pivot'!$C$3:$C$400)=TRIM($A265)) * ('Full month Pivot'!$D$2:$K$2=U$2) * 'Full month Pivot'!$D$3:$K$400), "")</f>
        <v/>
      </c>
      <c r="V265" s="193">
        <f>IF(SUMPRODUCT((('Full month Pivot'!$B$3:$B$400=$A$255) + ('Full month Pivot'!$A$3:$A$400=$A$255) &gt; 0) * (TRIM('Full month Pivot'!$C$3:$C$400)=TRIM($A265)) * ('Full month Pivot'!$D$2:$K$2=V$2) * 'Full month Pivot'!$D$3:$K$400)&gt;0, SUMPRODUCT((('Full month Pivot'!$B$3:$B$400=$A$255) + ('Full month Pivot'!$A$3:$A$400=$A$255) &gt; 0) * (TRIM('Full month Pivot'!$C$3:$C$400)=TRIM($A265)) * ('Full month Pivot'!$D$2:$K$2=V$2) * 'Full month Pivot'!$D$3:$K$400), "")</f>
        <v/>
      </c>
      <c r="W265" s="193">
        <f>IF(SUMPRODUCT((('Full month Pivot'!$B$3:$B$400=$A$255) + ('Full month Pivot'!$A$3:$A$400=$A$255) &gt; 0) * (TRIM('Full month Pivot'!$C$3:$C$400)=TRIM($A265)) * ('Full month Pivot'!$D$2:$K$2=W$2) * 'Full month Pivot'!$D$3:$K$400)&gt;0, SUMPRODUCT((('Full month Pivot'!$B$3:$B$400=$A$255) + ('Full month Pivot'!$A$3:$A$400=$A$255) &gt; 0) * (TRIM('Full month Pivot'!$C$3:$C$400)=TRIM($A265)) * ('Full month Pivot'!$D$2:$K$2=W$2) * 'Full month Pivot'!$D$3:$K$400), "")</f>
        <v/>
      </c>
      <c r="X265" s="193">
        <f>IF(SUMPRODUCT((('Full month Pivot'!$B$3:$B$400=$A$255) + ('Full month Pivot'!$A$3:$A$400=$A$255) &gt; 0) * (TRIM('Full month Pivot'!$C$3:$C$400)=TRIM($A265)) * ('Full month Pivot'!$D$2:$K$2=X$2) * 'Full month Pivot'!$D$3:$K$400)&gt;0, SUMPRODUCT((('Full month Pivot'!$B$3:$B$400=$A$255) + ('Full month Pivot'!$A$3:$A$400=$A$255) &gt; 0) * (TRIM('Full month Pivot'!$C$3:$C$400)=TRIM($A265)) * ('Full month Pivot'!$D$2:$K$2=X$2) * 'Full month Pivot'!$D$3:$K$400), "")</f>
        <v/>
      </c>
      <c r="Y265" s="193">
        <f>IF(SUMPRODUCT((('Full month Pivot'!$B$3:$B$400=$A$255) + ('Full month Pivot'!$A$3:$A$400=$A$255) &gt; 0) * (TRIM('Full month Pivot'!$C$3:$C$400)=TRIM($A265)) * ('Full month Pivot'!$D$2:$K$2=Y$2) * 'Full month Pivot'!$D$3:$K$400)&gt;0, SUMPRODUCT((('Full month Pivot'!$B$3:$B$400=$A$255) + ('Full month Pivot'!$A$3:$A$400=$A$255) &gt; 0) * (TRIM('Full month Pivot'!$C$3:$C$400)=TRIM($A265)) * ('Full month Pivot'!$D$2:$K$2=Y$2) * 'Full month Pivot'!$D$3:$K$400), "")</f>
        <v/>
      </c>
      <c r="Z265" s="193">
        <f>IF(SUMPRODUCT((('Full month Pivot'!$B$3:$B$400=$A$255) + ('Full month Pivot'!$A$3:$A$400=$A$255) &gt; 0) * (TRIM('Full month Pivot'!$C$3:$C$400)=TRIM($A265)) * ('Full month Pivot'!$D$2:$K$2=Z$2) * 'Full month Pivot'!$D$3:$K$400)&gt;0, SUMPRODUCT((('Full month Pivot'!$B$3:$B$400=$A$255) + ('Full month Pivot'!$A$3:$A$400=$A$255) &gt; 0) * (TRIM('Full month Pivot'!$C$3:$C$400)=TRIM($A265)) * ('Full month Pivot'!$D$2:$K$2=Z$2) * 'Full month Pivot'!$D$3:$K$400), "")</f>
        <v/>
      </c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202" t="n"/>
      <c r="B266" s="202" t="n"/>
      <c r="C266" s="202" t="n"/>
      <c r="D266" s="202" t="n"/>
      <c r="E266" s="202" t="n"/>
      <c r="F266" s="202" t="n"/>
      <c r="G266" s="202" t="n"/>
      <c r="H266" s="202" t="n"/>
      <c r="I266" s="202" t="n"/>
      <c r="J266" s="202" t="n"/>
      <c r="K266" s="202" t="n"/>
      <c r="L266" s="202" t="n"/>
      <c r="M266" s="202" t="n"/>
      <c r="N266" s="202" t="n"/>
      <c r="O266" s="202" t="n"/>
      <c r="P266" s="202" t="n"/>
      <c r="Q266" s="202" t="n"/>
      <c r="R266" s="202" t="n"/>
      <c r="S266" s="202" t="n"/>
      <c r="T266" s="202" t="n"/>
      <c r="U266" s="202" t="n"/>
      <c r="V266" s="202" t="n"/>
      <c r="W266" s="202" t="n"/>
      <c r="X266" s="202" t="n"/>
      <c r="Y266" s="202" t="n"/>
      <c r="Z266" s="202" t="n"/>
      <c r="AA266" s="202" t="n"/>
      <c r="AB266" s="140" t="n"/>
      <c r="AC266" s="140" t="n"/>
      <c r="AD266" s="140" t="n"/>
    </row>
    <row r="267" ht="15.75" customHeight="1" s="346">
      <c r="A267" s="145" t="inlineStr">
        <is>
          <t>Campaign</t>
        </is>
      </c>
      <c r="B267" s="145" t="n"/>
      <c r="C267" s="145" t="n"/>
      <c r="D267" s="145" t="n"/>
      <c r="E267" s="145" t="n"/>
      <c r="F267" s="145" t="n"/>
      <c r="G267" s="145" t="n"/>
      <c r="H267" s="145" t="n"/>
      <c r="I267" s="145" t="n"/>
      <c r="J267" s="145" t="n"/>
      <c r="K267" s="145" t="n"/>
      <c r="L267" s="145" t="n"/>
      <c r="M267" s="145" t="n"/>
      <c r="N267" s="145" t="n"/>
      <c r="O267" s="145" t="n"/>
      <c r="P267" s="145" t="n"/>
      <c r="Q267" s="145" t="n"/>
      <c r="R267" s="145" t="n"/>
      <c r="S267" s="145" t="n"/>
      <c r="T267" s="145" t="n"/>
      <c r="U267" s="145" t="n"/>
      <c r="V267" s="145" t="n"/>
      <c r="W267" s="145" t="n"/>
      <c r="X267" s="145" t="n"/>
      <c r="Y267" s="145" t="n"/>
      <c r="Z267" s="145" t="n"/>
      <c r="AA267" s="145" t="n"/>
      <c r="AB267" s="140" t="n"/>
      <c r="AC267" s="140" t="n"/>
      <c r="AD267" s="140" t="n"/>
    </row>
    <row r="268" ht="15.75" customHeight="1" s="346">
      <c r="A268" s="146" t="inlineStr">
        <is>
          <t>Page views</t>
        </is>
      </c>
      <c r="B268" s="147">
        <f>IF(SUM(B273:B277)&gt;0, SUM(B273:B277), "")</f>
        <v/>
      </c>
      <c r="C268" s="147">
        <f>IF(SUM(C273:C277)&gt;0, SUM(C273:C277), "")</f>
        <v/>
      </c>
      <c r="D268" s="147">
        <f>IF(SUM(D273:D277)&gt;0, SUM(D273:D277), "")</f>
        <v/>
      </c>
      <c r="E268" s="147">
        <f>IF(SUM(E273:E277)&gt;0, SUM(E273:E277), "")</f>
        <v/>
      </c>
      <c r="F268" s="147">
        <f>IF(SUM(F273:F277)&gt;0, SUM(F273:F277), "")</f>
        <v/>
      </c>
      <c r="G268" s="147">
        <f>IF(SUM(G273:G277)&gt;0, SUM(G273:G277), "")</f>
        <v/>
      </c>
      <c r="H268" s="147">
        <f>IF(SUM(H273:H277)&gt;0, SUM(H273:H277), "")</f>
        <v/>
      </c>
      <c r="I268" s="147">
        <f>IF(SUM(I273:I277)&gt;0, SUM(I273:I277), "")</f>
        <v/>
      </c>
      <c r="J268" s="147">
        <f>IF(SUM(J273:J277)&gt;0, SUM(J273:J277), "")</f>
        <v/>
      </c>
      <c r="K268" s="147">
        <f>IF(SUM(K273:K277)&gt;0, SUM(K273:K277), "")</f>
        <v/>
      </c>
      <c r="L268" s="147">
        <f>IF(SUM(L273:L277)&gt;0, SUM(L273:L277), "")</f>
        <v/>
      </c>
      <c r="M268" s="147">
        <f>IF(SUM(M273:M277)&gt;0, SUM(M273:M277), "")</f>
        <v/>
      </c>
      <c r="N268" s="148">
        <f>IFERROR((K268-J268)/J268, "")</f>
        <v/>
      </c>
      <c r="O268" s="147">
        <f>IF(SUM(O273:O277)&gt;0, SUM(O273:O277), "")</f>
        <v/>
      </c>
      <c r="P268" s="147">
        <f>IF(SUM(P273:P277)&gt;0, SUM(P273:P277), "")</f>
        <v/>
      </c>
      <c r="Q268" s="147">
        <f>IF(SUM(Q273:Q277)&gt;0, SUM(Q273:Q277), "")</f>
        <v/>
      </c>
      <c r="R268" s="147">
        <f>IF(SUM(R273:R277)&gt;0, SUM(R273:R277), "")</f>
        <v/>
      </c>
      <c r="S268" s="147">
        <f>IF(SUM(S273:S277)&gt;0, SUM(S273:S277), "")</f>
        <v/>
      </c>
      <c r="T268" s="147">
        <f>IF(SUM(T273:T277)&gt;0, SUM(T273:T277), "")</f>
        <v/>
      </c>
      <c r="U268" s="147">
        <f>IF(SUM(U273:U277)&gt;0, SUM(U273:U277), "")</f>
        <v/>
      </c>
      <c r="V268" s="147">
        <f>IF(SUM(V273:V277)&gt;0, SUM(V273:V277), "")</f>
        <v/>
      </c>
      <c r="W268" s="147">
        <f>IF(SUM(W273:W277)&gt;0, SUM(W273:W277), "")</f>
        <v/>
      </c>
      <c r="X268" s="147">
        <f>IF(SUM(X273:X277)&gt;0, SUM(X273:X277), "")</f>
        <v/>
      </c>
      <c r="Y268" s="147">
        <f>IF(SUM(Y273:Y277)&gt;0, SUM(Y273:Y277), "")</f>
        <v/>
      </c>
      <c r="Z268" s="147">
        <f>IF(SUM(Z273:Z277)&gt;0, SUM(Z273:Z277), "")</f>
        <v/>
      </c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150" t="inlineStr">
        <is>
          <t xml:space="preserve">  Click CTA</t>
        </is>
      </c>
      <c r="B269" s="150" t="n"/>
      <c r="C269" s="150" t="n"/>
      <c r="D269" s="150" t="n"/>
      <c r="E269" s="150" t="n"/>
      <c r="F269" s="150" t="n">
        <v>552</v>
      </c>
      <c r="G269" s="150" t="n">
        <v>182</v>
      </c>
      <c r="H269" s="150" t="n">
        <v>101</v>
      </c>
      <c r="I269" s="150" t="n">
        <v>281</v>
      </c>
      <c r="J269" s="150" t="n">
        <v>152</v>
      </c>
      <c r="K269" s="150" t="n">
        <v>259</v>
      </c>
      <c r="L269" s="150" t="n"/>
      <c r="M269" s="150" t="n"/>
      <c r="N269" s="151">
        <f>IFERROR((K269-J269)/J269, "")</f>
        <v/>
      </c>
      <c r="O269" s="150" t="n"/>
      <c r="P269" s="150" t="n"/>
      <c r="Q269" s="150" t="n"/>
      <c r="R269" s="150" t="n"/>
      <c r="S269" s="150" t="n">
        <v>568</v>
      </c>
      <c r="T269" s="150" t="n">
        <v>184</v>
      </c>
      <c r="U269" s="150" t="n">
        <v>123</v>
      </c>
      <c r="V269" s="150" t="n">
        <v>378</v>
      </c>
      <c r="W269" s="150" t="n">
        <v>180</v>
      </c>
      <c r="X269" s="150" t="n">
        <v>259</v>
      </c>
      <c r="Y269" s="150" t="n"/>
      <c r="Z269" s="150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152" t="inlineStr">
        <is>
          <t xml:space="preserve">  Net change</t>
        </is>
      </c>
      <c r="B270" s="153" t="n"/>
      <c r="C270" s="153">
        <f>IF(AND(ISNUMBER(C268), ISNUMBER(B268), B268&gt;0, C268&gt;0), C268-B268, "")</f>
        <v/>
      </c>
      <c r="D270" s="153">
        <f>IF(AND(ISNUMBER(D268), ISNUMBER(C268), C268&gt;0, D268&gt;0), D268-C268, "")</f>
        <v/>
      </c>
      <c r="E270" s="153">
        <f>IF(AND(ISNUMBER(E268), ISNUMBER(D268), D268&gt;0, E268&gt;0), E268-D268, "")</f>
        <v/>
      </c>
      <c r="F270" s="153">
        <f>IF(AND(ISNUMBER(F268), ISNUMBER(E268), E268&gt;0, F268&gt;0), F268-E268, "")</f>
        <v/>
      </c>
      <c r="G270" s="153">
        <f>IF(AND(ISNUMBER(G268), ISNUMBER(F268), F268&gt;0, G268&gt;0), G268-F268, "")</f>
        <v/>
      </c>
      <c r="H270" s="153">
        <f>IF(AND(ISNUMBER(H268), ISNUMBER(G268), G268&gt;0, H268&gt;0), H268-G268, "")</f>
        <v/>
      </c>
      <c r="I270" s="153">
        <f>IF(AND(ISNUMBER(I268), ISNUMBER(H268), H268&gt;0, I268&gt;0), I268-H268, "")</f>
        <v/>
      </c>
      <c r="J270" s="153">
        <f>IF(AND(ISNUMBER(J268), ISNUMBER(I268), I268&gt;0, J268&gt;0), J268-I268, "")</f>
        <v/>
      </c>
      <c r="K270" s="153">
        <f>IF(AND(ISNUMBER(K268), ISNUMBER(J268), J268&gt;0, K268&gt;0), K268-J268, "")</f>
        <v/>
      </c>
      <c r="L270" s="153">
        <f>IF(AND(ISNUMBER(L268), ISNUMBER(K268), K268&gt;0, L268&gt;0), L268-K268, "")</f>
        <v/>
      </c>
      <c r="M270" s="153">
        <f>IF(AND(ISNUMBER(M268), ISNUMBER(L268), L268&gt;0, M268&gt;0), M268-L268, "")</f>
        <v/>
      </c>
      <c r="N270" s="153" t="n"/>
      <c r="O270" s="153" t="n"/>
      <c r="P270" s="153">
        <f>IF(AND(ISNUMBER(P268), ISNUMBER(O268), O268&gt;0, P268&gt;0), P268-O268, "")</f>
        <v/>
      </c>
      <c r="Q270" s="153">
        <f>IF(AND(ISNUMBER(Q268), ISNUMBER(P268), P268&gt;0, Q268&gt;0), Q268-P268, "")</f>
        <v/>
      </c>
      <c r="R270" s="153">
        <f>IF(AND(ISNUMBER(R268), ISNUMBER(Q268), Q268&gt;0, R268&gt;0), R268-Q268, "")</f>
        <v/>
      </c>
      <c r="S270" s="153">
        <f>IF(AND(ISNUMBER(S268), ISNUMBER(R268), R268&gt;0, S268&gt;0), S268-R268, "")</f>
        <v/>
      </c>
      <c r="T270" s="153">
        <f>IF(AND(ISNUMBER(T268), ISNUMBER(S268), S268&gt;0, T268&gt;0), T268-S268, "")</f>
        <v/>
      </c>
      <c r="U270" s="153">
        <f>IF(AND(ISNUMBER(U268), ISNUMBER(T268), T268&gt;0, U268&gt;0), U268-T268, "")</f>
        <v/>
      </c>
      <c r="V270" s="153">
        <f>IF(AND(ISNUMBER(V268), ISNUMBER(U268), U268&gt;0, V268&gt;0), V268-U268, "")</f>
        <v/>
      </c>
      <c r="W270" s="153">
        <f>IF(AND(ISNUMBER(W268), ISNUMBER(V268), V268&gt;0, W268&gt;0), W268-V268, "")</f>
        <v/>
      </c>
      <c r="X270" s="153">
        <f>IF(AND(ISNUMBER(X268), ISNUMBER(W268), W268&gt;0, X268&gt;0), X268-W268, "")</f>
        <v/>
      </c>
      <c r="Y270" s="153">
        <f>IF(AND(ISNUMBER(Y268), ISNUMBER(X268), X268&gt;0, Y268&gt;0), Y268-X268, "")</f>
        <v/>
      </c>
      <c r="Z270" s="153">
        <f>IF(AND(ISNUMBER(Z268), ISNUMBER(Y268), Y268&gt;0, Z268&gt;0), Z268-Y268, "")</f>
        <v/>
      </c>
      <c r="AA270" s="153" t="n"/>
      <c r="AB270" s="140" t="n"/>
      <c r="AC270" s="140" t="n"/>
      <c r="AD270" s="140" t="n"/>
    </row>
    <row r="271" ht="15.75" customHeight="1" s="346">
      <c r="A271" s="152" t="inlineStr">
        <is>
          <t xml:space="preserve">  % Growth rate</t>
        </is>
      </c>
      <c r="B271" s="203" t="n"/>
      <c r="C271" s="203">
        <f>IF(AND(ISNUMBER(C268), ISNUMBER(B268), B268&gt;0, C268&gt;0), (C268-B268)/B268, "")</f>
        <v/>
      </c>
      <c r="D271" s="203">
        <f>IF(AND(ISNUMBER(D268), ISNUMBER(C268), C268&gt;0, D268&gt;0), (D268-C268)/C268, "")</f>
        <v/>
      </c>
      <c r="E271" s="203">
        <f>IF(AND(ISNUMBER(E268), ISNUMBER(D268), D268&gt;0, E268&gt;0), (E268-D268)/D268, "")</f>
        <v/>
      </c>
      <c r="F271" s="203">
        <f>IF(AND(ISNUMBER(F268), ISNUMBER(E268), E268&gt;0, F268&gt;0), (F268-E268)/E268, "")</f>
        <v/>
      </c>
      <c r="G271" s="203">
        <f>IF(AND(ISNUMBER(G268), ISNUMBER(F268), F268&gt;0, G268&gt;0), (G268-F268)/F268, "")</f>
        <v/>
      </c>
      <c r="H271" s="203">
        <f>IF(AND(ISNUMBER(H268), ISNUMBER(G268), G268&gt;0, H268&gt;0), (H268-G268)/G268, "")</f>
        <v/>
      </c>
      <c r="I271" s="203">
        <f>IF(AND(ISNUMBER(I268), ISNUMBER(H268), H268&gt;0, I268&gt;0), (I268-H268)/H268, "")</f>
        <v/>
      </c>
      <c r="J271" s="203">
        <f>IF(AND(ISNUMBER(J268), ISNUMBER(I268), I268&gt;0, J268&gt;0), (J268-I268)/I268, "")</f>
        <v/>
      </c>
      <c r="K271" s="203">
        <f>IF(AND(ISNUMBER(K268), ISNUMBER(J268), J268&gt;0, K268&gt;0), (K268-J268)/J268, "")</f>
        <v/>
      </c>
      <c r="L271" s="203">
        <f>IF(AND(ISNUMBER(L268), ISNUMBER(K268), K268&gt;0, L268&gt;0), (L268-K268)/K268, "")</f>
        <v/>
      </c>
      <c r="M271" s="203">
        <f>IF(AND(ISNUMBER(M268), ISNUMBER(L268), L268&gt;0, M268&gt;0), (M268-L268)/L268, "")</f>
        <v/>
      </c>
      <c r="N271" s="203" t="n"/>
      <c r="O271" s="203" t="n"/>
      <c r="P271" s="203">
        <f>IF(AND(ISNUMBER(P268), ISNUMBER(O268), O268&gt;0, P268&gt;0), (P268-O268)/O268, "")</f>
        <v/>
      </c>
      <c r="Q271" s="203">
        <f>IF(AND(ISNUMBER(Q268), ISNUMBER(P268), P268&gt;0, Q268&gt;0), (Q268-P268)/P268, "")</f>
        <v/>
      </c>
      <c r="R271" s="203">
        <f>IF(AND(ISNUMBER(R268), ISNUMBER(Q268), Q268&gt;0, R268&gt;0), (R268-Q268)/Q268, "")</f>
        <v/>
      </c>
      <c r="S271" s="203">
        <f>IF(AND(ISNUMBER(S268), ISNUMBER(R268), R268&gt;0, S268&gt;0), (S268-R268)/R268, "")</f>
        <v/>
      </c>
      <c r="T271" s="203">
        <f>IF(AND(ISNUMBER(T268), ISNUMBER(S268), S268&gt;0, T268&gt;0), (T268-S268)/S268, "")</f>
        <v/>
      </c>
      <c r="U271" s="203">
        <f>IF(AND(ISNUMBER(U268), ISNUMBER(T268), T268&gt;0, U268&gt;0), (U268-T268)/T268, "")</f>
        <v/>
      </c>
      <c r="V271" s="203">
        <f>IF(AND(ISNUMBER(V268), ISNUMBER(U268), U268&gt;0, V268&gt;0), (V268-U268)/U268, "")</f>
        <v/>
      </c>
      <c r="W271" s="203">
        <f>IF(AND(ISNUMBER(W268), ISNUMBER(V268), V268&gt;0, W268&gt;0), (W268-V268)/V268, "")</f>
        <v/>
      </c>
      <c r="X271" s="203">
        <f>IF(AND(ISNUMBER(X268), ISNUMBER(W268), W268&gt;0, X268&gt;0), (X268-W268)/W268, "")</f>
        <v/>
      </c>
      <c r="Y271" s="203">
        <f>IF(AND(ISNUMBER(Y268), ISNUMBER(X268), X268&gt;0, Y268&gt;0), (Y268-X268)/X268, "")</f>
        <v/>
      </c>
      <c r="Z271" s="203">
        <f>IF(AND(ISNUMBER(Z268), ISNUMBER(Y268), Y268&gt;0, Z268&gt;0), (Z268-Y268)/Y268, "")</f>
        <v/>
      </c>
      <c r="AA271" s="203" t="n"/>
      <c r="AB271" s="140" t="n"/>
      <c r="AC271" s="140" t="n"/>
      <c r="AD271" s="140" t="n"/>
    </row>
    <row r="272" ht="15.75" customHeight="1" s="346">
      <c r="A272" s="202" t="inlineStr">
        <is>
          <t>Tỷ trọng trong tổng traffic</t>
        </is>
      </c>
      <c r="B272" s="156">
        <f t="array" ref="B272">IF(AND(ISNUMBER(B268), B268&gt;0), B268/INDEX('MTD Pivot'!$D$3:$K$400, MATCH("Grand Total", 'MTD Pivot'!$A$3:$A$400, 0), MATCH(B$2, 'MTD Pivot'!$D$2:$K$2, 0)), "")</f>
        <v/>
      </c>
      <c r="C272" s="156">
        <f t="array" ref="C272">IF(AND(ISNUMBER(C268), C268&gt;0), C268/INDEX('MTD Pivot'!$D$3:$K$400, MATCH("Grand Total", 'MTD Pivot'!$A$3:$A$400, 0), MATCH(C$2, 'MTD Pivot'!$D$2:$K$2, 0)), "")</f>
        <v/>
      </c>
      <c r="D272" s="156">
        <f t="array" ref="D272">IF(AND(ISNUMBER(D268), D268&gt;0), D268/INDEX('MTD Pivot'!$D$3:$K$400, MATCH("Grand Total", 'MTD Pivot'!$A$3:$A$400, 0), MATCH(D$2, 'MTD Pivot'!$D$2:$K$2, 0)), "")</f>
        <v/>
      </c>
      <c r="E272" s="156">
        <f t="array" ref="E272">IF(AND(ISNUMBER(E268), E268&gt;0), E268/INDEX('MTD Pivot'!$D$3:$K$400, MATCH("Grand Total", 'MTD Pivot'!$A$3:$A$400, 0), MATCH(E$2, 'MTD Pivot'!$D$2:$K$2, 0)), "")</f>
        <v/>
      </c>
      <c r="F272" s="156">
        <f t="array" ref="F272">IF(AND(ISNUMBER(F268), F268&gt;0), F268/INDEX('MTD Pivot'!$D$3:$K$400, MATCH("Grand Total", 'MTD Pivot'!$A$3:$A$400, 0), MATCH(F$2, 'MTD Pivot'!$D$2:$K$2, 0)), "")</f>
        <v/>
      </c>
      <c r="G272" s="156">
        <f t="array" ref="G272">IF(AND(ISNUMBER(G268), G268&gt;0), G268/INDEX('MTD Pivot'!$D$3:$K$400, MATCH("Grand Total", 'MTD Pivot'!$A$3:$A$400, 0), MATCH(G$2, 'MTD Pivot'!$D$2:$K$2, 0)), "")</f>
        <v/>
      </c>
      <c r="H272" s="156">
        <f t="array" ref="H272">IF(AND(ISNUMBER(H268), H268&gt;0), H268/INDEX('MTD Pivot'!$D$3:$K$400, MATCH("Grand Total", 'MTD Pivot'!$A$3:$A$400, 0), MATCH(H$2, 'MTD Pivot'!$D$2:$K$2, 0)), "")</f>
        <v/>
      </c>
      <c r="I272" s="156">
        <f t="array" ref="I272">IF(AND(ISNUMBER(I268), I268&gt;0), I268/INDEX('MTD Pivot'!$D$3:$K$400, MATCH("Grand Total", 'MTD Pivot'!$A$3:$A$400, 0), MATCH(I$2, 'MTD Pivot'!$D$2:$K$2, 0)), "")</f>
        <v/>
      </c>
      <c r="J272" s="156">
        <f t="array" ref="J272">IF(AND(ISNUMBER(J268), J268&gt;0), J268/INDEX('MTD Pivot'!$D$3:$K$400, MATCH("Grand Total", 'MTD Pivot'!$A$3:$A$400, 0), MATCH(J$2, 'MTD Pivot'!$D$2:$K$2, 0)), "")</f>
        <v/>
      </c>
      <c r="K272" s="156">
        <f t="array" ref="K272">IF(AND(ISNUMBER(K268), K268&gt;0), K268/INDEX('MTD Pivot'!$D$3:$K$400, MATCH("Grand Total", 'MTD Pivot'!$A$3:$A$400, 0), MATCH(K$2, 'MTD Pivot'!$D$2:$K$2, 0)), "")</f>
        <v/>
      </c>
      <c r="L272" s="156">
        <f t="array" ref="L272">IF(AND(ISNUMBER(L268), L268&gt;0), L268/INDEX('MTD Pivot'!$D$3:$K$400, MATCH("Grand Total", 'MTD Pivot'!$A$3:$A$400, 0), MATCH(L$2, 'MTD Pivot'!$D$2:$K$2, 0)), "")</f>
        <v/>
      </c>
      <c r="M272" s="156">
        <f t="array" ref="M272">IF(AND(ISNUMBER(M268), M268&gt;0), M268/INDEX('MTD Pivot'!$D$3:$K$400, MATCH("Grand Total", 'MTD Pivot'!$A$3:$A$400, 0), MATCH(M$2, 'MTD Pivot'!$D$2:$K$2, 0)), "")</f>
        <v/>
      </c>
      <c r="N272" s="157">
        <f>IF(AND(ISNUMBER(K272), ISNUMBER(J272)), K272-J272, "")</f>
        <v/>
      </c>
      <c r="O272" s="156">
        <f t="array" ref="O272">IF(AND(ISNUMBER(O268), O268&gt;0), O268/INDEX('Full month Pivot'!$D$3:$K$400, MATCH("Grand Total", 'Full month Pivot'!$A$3:$A$400, 0), MATCH(O$2, 'Full month Pivot'!$D$2:$K$2, 0)), "")</f>
        <v/>
      </c>
      <c r="P272" s="156">
        <f t="array" ref="P272">IF(AND(ISNUMBER(P268), P268&gt;0), P268/INDEX('Full month Pivot'!$D$3:$K$400, MATCH("Grand Total", 'Full month Pivot'!$A$3:$A$400, 0), MATCH(P$2, 'Full month Pivot'!$D$2:$K$2, 0)), "")</f>
        <v/>
      </c>
      <c r="Q272" s="156">
        <f t="array" ref="Q272">IF(AND(ISNUMBER(Q268), Q268&gt;0), Q268/INDEX('Full month Pivot'!$D$3:$K$400, MATCH("Grand Total", 'Full month Pivot'!$A$3:$A$400, 0), MATCH(Q$2, 'Full month Pivot'!$D$2:$K$2, 0)), "")</f>
        <v/>
      </c>
      <c r="R272" s="156">
        <f t="array" ref="R272">IF(AND(ISNUMBER(R268), R268&gt;0), R268/INDEX('Full month Pivot'!$D$3:$K$400, MATCH("Grand Total", 'Full month Pivot'!$A$3:$A$400, 0), MATCH(R$2, 'Full month Pivot'!$D$2:$K$2, 0)), "")</f>
        <v/>
      </c>
      <c r="S272" s="156">
        <f t="array" ref="S272">IF(AND(ISNUMBER(S268), S268&gt;0), S268/INDEX('Full month Pivot'!$D$3:$K$400, MATCH("Grand Total", 'Full month Pivot'!$A$3:$A$400, 0), MATCH(S$2, 'Full month Pivot'!$D$2:$K$2, 0)), "")</f>
        <v/>
      </c>
      <c r="T272" s="156">
        <f t="array" ref="T272">IF(AND(ISNUMBER(T268), T268&gt;0), T268/INDEX('Full month Pivot'!$D$3:$K$400, MATCH("Grand Total", 'Full month Pivot'!$A$3:$A$400, 0), MATCH(T$2, 'Full month Pivot'!$D$2:$K$2, 0)), "")</f>
        <v/>
      </c>
      <c r="U272" s="156">
        <f t="array" ref="U272">IF(AND(ISNUMBER(U268), U268&gt;0), U268/INDEX('Full month Pivot'!$D$3:$K$400, MATCH("Grand Total", 'Full month Pivot'!$A$3:$A$400, 0), MATCH(U$2, 'Full month Pivot'!$D$2:$K$2, 0)), "")</f>
        <v/>
      </c>
      <c r="V272" s="156">
        <f t="array" ref="V272">IF(AND(ISNUMBER(V268), V268&gt;0), V268/INDEX('Full month Pivot'!$D$3:$K$400, MATCH("Grand Total", 'Full month Pivot'!$A$3:$A$400, 0), MATCH(V$2, 'Full month Pivot'!$D$2:$K$2, 0)), "")</f>
        <v/>
      </c>
      <c r="W272" s="156">
        <f t="array" ref="W272">IF(AND(ISNUMBER(W268), W268&gt;0), W268/INDEX('Full month Pivot'!$D$3:$K$400, MATCH("Grand Total", 'Full month Pivot'!$A$3:$A$400, 0), MATCH(W$2, 'Full month Pivot'!$D$2:$K$2, 0)), "")</f>
        <v/>
      </c>
      <c r="X272" s="156">
        <f t="array" ref="X272">IF(AND(ISNUMBER(X268), X268&gt;0), X268/INDEX('Full month Pivot'!$D$3:$K$400, MATCH("Grand Total", 'Full month Pivot'!$A$3:$A$400, 0), MATCH(X$2, 'Full month Pivot'!$D$2:$K$2, 0)), "")</f>
        <v/>
      </c>
      <c r="Y272" s="156">
        <f t="array" ref="Y272">IF(AND(ISNUMBER(Y268), Y268&gt;0), Y268/INDEX('Full month Pivot'!$D$3:$K$400, MATCH("Grand Total", 'Full month Pivot'!$A$3:$A$400, 0), MATCH(Y$2, 'Full month Pivot'!$D$2:$K$2, 0)), "")</f>
        <v/>
      </c>
      <c r="Z272" s="156">
        <f t="array" ref="Z272">IF(AND(ISNUMBER(Z268), Z268&gt;0), Z268/INDEX('Full month Pivot'!$D$3:$K$400, MATCH("Grand Total", 'Full month Pivot'!$A$3:$A$400, 0), MATCH(Z$2, 'Full month Pivot'!$D$2:$K$2, 0)), "")</f>
        <v/>
      </c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202" t="inlineStr">
        <is>
          <t xml:space="preserve">  Organic</t>
        </is>
      </c>
      <c r="B273" s="193">
        <f>IF(SUMPRODUCT((('MTD Pivot'!$B$3:$B$400=$A$267) + ('MTD Pivot'!$A$3:$A$400=$A$267) &gt; 0) * (TRIM('MTD Pivot'!$C$3:$C$400)=TRIM($A273)) * ('MTD Pivot'!$D$2:$K$2=B$2) * 'MTD Pivot'!$D$3:$K$400)&gt;0, SUMPRODUCT((('MTD Pivot'!$B$3:$B$400=$A$267) + ('MTD Pivot'!$A$3:$A$400=$A$267) &gt; 0) * (TRIM('MTD Pivot'!$C$3:$C$400)=TRIM($A273)) * ('MTD Pivot'!$D$2:$K$2=B$2) * 'MTD Pivot'!$D$3:$K$400), "")</f>
        <v/>
      </c>
      <c r="C273" s="193">
        <f>IF(SUMPRODUCT((('MTD Pivot'!$B$3:$B$400=$A$267) + ('MTD Pivot'!$A$3:$A$400=$A$267) &gt; 0) * (TRIM('MTD Pivot'!$C$3:$C$400)=TRIM($A273)) * ('MTD Pivot'!$D$2:$K$2=C$2) * 'MTD Pivot'!$D$3:$K$400)&gt;0, SUMPRODUCT((('MTD Pivot'!$B$3:$B$400=$A$267) + ('MTD Pivot'!$A$3:$A$400=$A$267) &gt; 0) * (TRIM('MTD Pivot'!$C$3:$C$400)=TRIM($A273)) * ('MTD Pivot'!$D$2:$K$2=C$2) * 'MTD Pivot'!$D$3:$K$400), "")</f>
        <v/>
      </c>
      <c r="D273" s="193">
        <f>IF(SUMPRODUCT((('MTD Pivot'!$B$3:$B$400=$A$267) + ('MTD Pivot'!$A$3:$A$400=$A$267) &gt; 0) * (TRIM('MTD Pivot'!$C$3:$C$400)=TRIM($A273)) * ('MTD Pivot'!$D$2:$K$2=D$2) * 'MTD Pivot'!$D$3:$K$400)&gt;0, SUMPRODUCT((('MTD Pivot'!$B$3:$B$400=$A$267) + ('MTD Pivot'!$A$3:$A$400=$A$267) &gt; 0) * (TRIM('MTD Pivot'!$C$3:$C$400)=TRIM($A273)) * ('MTD Pivot'!$D$2:$K$2=D$2) * 'MTD Pivot'!$D$3:$K$400), "")</f>
        <v/>
      </c>
      <c r="E273" s="193">
        <f>IF(SUMPRODUCT((('MTD Pivot'!$B$3:$B$400=$A$267) + ('MTD Pivot'!$A$3:$A$400=$A$267) &gt; 0) * (TRIM('MTD Pivot'!$C$3:$C$400)=TRIM($A273)) * ('MTD Pivot'!$D$2:$K$2=E$2) * 'MTD Pivot'!$D$3:$K$400)&gt;0, SUMPRODUCT((('MTD Pivot'!$B$3:$B$400=$A$267) + ('MTD Pivot'!$A$3:$A$400=$A$267) &gt; 0) * (TRIM('MTD Pivot'!$C$3:$C$400)=TRIM($A273)) * ('MTD Pivot'!$D$2:$K$2=E$2) * 'MTD Pivot'!$D$3:$K$400), "")</f>
        <v/>
      </c>
      <c r="F273" s="193">
        <f>IF(SUMPRODUCT((('MTD Pivot'!$B$3:$B$400=$A$267) + ('MTD Pivot'!$A$3:$A$400=$A$267) &gt; 0) * (TRIM('MTD Pivot'!$C$3:$C$400)=TRIM($A273)) * ('MTD Pivot'!$D$2:$K$2=F$2) * 'MTD Pivot'!$D$3:$K$400)&gt;0, SUMPRODUCT((('MTD Pivot'!$B$3:$B$400=$A$267) + ('MTD Pivot'!$A$3:$A$400=$A$267) &gt; 0) * (TRIM('MTD Pivot'!$C$3:$C$400)=TRIM($A273)) * ('MTD Pivot'!$D$2:$K$2=F$2) * 'MTD Pivot'!$D$3:$K$400), "")</f>
        <v/>
      </c>
      <c r="G273" s="193">
        <f>IF(SUMPRODUCT((('MTD Pivot'!$B$3:$B$400=$A$267) + ('MTD Pivot'!$A$3:$A$400=$A$267) &gt; 0) * (TRIM('MTD Pivot'!$C$3:$C$400)=TRIM($A273)) * ('MTD Pivot'!$D$2:$K$2=G$2) * 'MTD Pivot'!$D$3:$K$400)&gt;0, SUMPRODUCT((('MTD Pivot'!$B$3:$B$400=$A$267) + ('MTD Pivot'!$A$3:$A$400=$A$267) &gt; 0) * (TRIM('MTD Pivot'!$C$3:$C$400)=TRIM($A273)) * ('MTD Pivot'!$D$2:$K$2=G$2) * 'MTD Pivot'!$D$3:$K$400), "")</f>
        <v/>
      </c>
      <c r="H273" s="193">
        <f>IF(SUMPRODUCT((('MTD Pivot'!$B$3:$B$400=$A$267) + ('MTD Pivot'!$A$3:$A$400=$A$267) &gt; 0) * (TRIM('MTD Pivot'!$C$3:$C$400)=TRIM($A273)) * ('MTD Pivot'!$D$2:$K$2=H$2) * 'MTD Pivot'!$D$3:$K$400)&gt;0, SUMPRODUCT((('MTD Pivot'!$B$3:$B$400=$A$267) + ('MTD Pivot'!$A$3:$A$400=$A$267) &gt; 0) * (TRIM('MTD Pivot'!$C$3:$C$400)=TRIM($A273)) * ('MTD Pivot'!$D$2:$K$2=H$2) * 'MTD Pivot'!$D$3:$K$400), "")</f>
        <v/>
      </c>
      <c r="I273" s="193">
        <f>IF(SUMPRODUCT((('MTD Pivot'!$B$3:$B$400=$A$267) + ('MTD Pivot'!$A$3:$A$400=$A$267) &gt; 0) * (TRIM('MTD Pivot'!$C$3:$C$400)=TRIM($A273)) * ('MTD Pivot'!$D$2:$K$2=I$2) * 'MTD Pivot'!$D$3:$K$400)&gt;0, SUMPRODUCT((('MTD Pivot'!$B$3:$B$400=$A$267) + ('MTD Pivot'!$A$3:$A$400=$A$267) &gt; 0) * (TRIM('MTD Pivot'!$C$3:$C$400)=TRIM($A273)) * ('MTD Pivot'!$D$2:$K$2=I$2) * 'MTD Pivot'!$D$3:$K$400), "")</f>
        <v/>
      </c>
      <c r="J273" s="193">
        <f>IF(SUMPRODUCT((('MTD Pivot'!$B$3:$B$400=$A$267) + ('MTD Pivot'!$A$3:$A$400=$A$267) &gt; 0) * (TRIM('MTD Pivot'!$C$3:$C$400)=TRIM($A273)) * ('MTD Pivot'!$D$2:$K$2=J$2) * 'MTD Pivot'!$D$3:$K$400)&gt;0, SUMPRODUCT((('MTD Pivot'!$B$3:$B$400=$A$267) + ('MTD Pivot'!$A$3:$A$400=$A$267) &gt; 0) * (TRIM('MTD Pivot'!$C$3:$C$400)=TRIM($A273)) * ('MTD Pivot'!$D$2:$K$2=J$2) * 'MTD Pivot'!$D$3:$K$400), "")</f>
        <v/>
      </c>
      <c r="K273" s="193">
        <f>IF(SUMPRODUCT((('MTD Pivot'!$B$3:$B$400=$A$267) + ('MTD Pivot'!$A$3:$A$400=$A$267) &gt; 0) * (TRIM('MTD Pivot'!$C$3:$C$400)=TRIM($A273)) * ('MTD Pivot'!$D$2:$K$2=K$2) * 'MTD Pivot'!$D$3:$K$400)&gt;0, SUMPRODUCT((('MTD Pivot'!$B$3:$B$400=$A$267) + ('MTD Pivot'!$A$3:$A$400=$A$267) &gt; 0) * (TRIM('MTD Pivot'!$C$3:$C$400)=TRIM($A273)) * ('MTD Pivot'!$D$2:$K$2=K$2) * 'MTD Pivot'!$D$3:$K$400), "")</f>
        <v/>
      </c>
      <c r="L273" s="193">
        <f>IF(SUMPRODUCT((('MTD Pivot'!$B$3:$B$400=$A$267) + ('MTD Pivot'!$A$3:$A$400=$A$267) &gt; 0) * (TRIM('MTD Pivot'!$C$3:$C$400)=TRIM($A273)) * ('MTD Pivot'!$D$2:$K$2=L$2) * 'MTD Pivot'!$D$3:$K$400)&gt;0, SUMPRODUCT((('MTD Pivot'!$B$3:$B$400=$A$267) + ('MTD Pivot'!$A$3:$A$400=$A$267) &gt; 0) * (TRIM('MTD Pivot'!$C$3:$C$400)=TRIM($A273)) * ('MTD Pivot'!$D$2:$K$2=L$2) * 'MTD Pivot'!$D$3:$K$400), "")</f>
        <v/>
      </c>
      <c r="M273" s="193">
        <f>IF(SUMPRODUCT((('MTD Pivot'!$B$3:$B$400=$A$267) + ('MTD Pivot'!$A$3:$A$400=$A$267) &gt; 0) * (TRIM('MTD Pivot'!$C$3:$C$400)=TRIM($A273)) * ('MTD Pivot'!$D$2:$K$2=M$2) * 'MTD Pivot'!$D$3:$K$400)&gt;0, SUMPRODUCT((('MTD Pivot'!$B$3:$B$400=$A$267) + ('MTD Pivot'!$A$3:$A$400=$A$267) &gt; 0) * (TRIM('MTD Pivot'!$C$3:$C$400)=TRIM($A273)) * ('MTD Pivot'!$D$2:$K$2=M$2) * 'MTD Pivot'!$D$3:$K$400), "")</f>
        <v/>
      </c>
      <c r="N273" s="157">
        <f>IF(AND(ISNUMBER(K273), ISNUMBER(J273), J273&gt;0), (K273-J273)/J273, "")</f>
        <v/>
      </c>
      <c r="O273" s="193">
        <f>IF(SUMPRODUCT((('Full month Pivot'!$B$3:$B$400=$A$267) + ('Full month Pivot'!$A$3:$A$400=$A$267) &gt; 0) * (TRIM('Full month Pivot'!$C$3:$C$400)=TRIM($A273)) * ('Full month Pivot'!$D$2:$K$2=O$2) * 'Full month Pivot'!$D$3:$K$400)&gt;0, SUMPRODUCT((('Full month Pivot'!$B$3:$B$400=$A$267) + ('Full month Pivot'!$A$3:$A$400=$A$267) &gt; 0) * (TRIM('Full month Pivot'!$C$3:$C$400)=TRIM($A273)) * ('Full month Pivot'!$D$2:$K$2=O$2) * 'Full month Pivot'!$D$3:$K$400), "")</f>
        <v/>
      </c>
      <c r="P273" s="193">
        <f>IF(SUMPRODUCT((('Full month Pivot'!$B$3:$B$400=$A$267) + ('Full month Pivot'!$A$3:$A$400=$A$267) &gt; 0) * (TRIM('Full month Pivot'!$C$3:$C$400)=TRIM($A273)) * ('Full month Pivot'!$D$2:$K$2=P$2) * 'Full month Pivot'!$D$3:$K$400)&gt;0, SUMPRODUCT((('Full month Pivot'!$B$3:$B$400=$A$267) + ('Full month Pivot'!$A$3:$A$400=$A$267) &gt; 0) * (TRIM('Full month Pivot'!$C$3:$C$400)=TRIM($A273)) * ('Full month Pivot'!$D$2:$K$2=P$2) * 'Full month Pivot'!$D$3:$K$400), "")</f>
        <v/>
      </c>
      <c r="Q273" s="193">
        <f>IF(SUMPRODUCT((('Full month Pivot'!$B$3:$B$400=$A$267) + ('Full month Pivot'!$A$3:$A$400=$A$267) &gt; 0) * (TRIM('Full month Pivot'!$C$3:$C$400)=TRIM($A273)) * ('Full month Pivot'!$D$2:$K$2=Q$2) * 'Full month Pivot'!$D$3:$K$400)&gt;0, SUMPRODUCT((('Full month Pivot'!$B$3:$B$400=$A$267) + ('Full month Pivot'!$A$3:$A$400=$A$267) &gt; 0) * (TRIM('Full month Pivot'!$C$3:$C$400)=TRIM($A273)) * ('Full month Pivot'!$D$2:$K$2=Q$2) * 'Full month Pivot'!$D$3:$K$400), "")</f>
        <v/>
      </c>
      <c r="R273" s="193">
        <f>IF(SUMPRODUCT((('Full month Pivot'!$B$3:$B$400=$A$267) + ('Full month Pivot'!$A$3:$A$400=$A$267) &gt; 0) * (TRIM('Full month Pivot'!$C$3:$C$400)=TRIM($A273)) * ('Full month Pivot'!$D$2:$K$2=R$2) * 'Full month Pivot'!$D$3:$K$400)&gt;0, SUMPRODUCT((('Full month Pivot'!$B$3:$B$400=$A$267) + ('Full month Pivot'!$A$3:$A$400=$A$267) &gt; 0) * (TRIM('Full month Pivot'!$C$3:$C$400)=TRIM($A273)) * ('Full month Pivot'!$D$2:$K$2=R$2) * 'Full month Pivot'!$D$3:$K$400), "")</f>
        <v/>
      </c>
      <c r="S273" s="193">
        <f>IF(SUMPRODUCT((('Full month Pivot'!$B$3:$B$400=$A$267) + ('Full month Pivot'!$A$3:$A$400=$A$267) &gt; 0) * (TRIM('Full month Pivot'!$C$3:$C$400)=TRIM($A273)) * ('Full month Pivot'!$D$2:$K$2=S$2) * 'Full month Pivot'!$D$3:$K$400)&gt;0, SUMPRODUCT((('Full month Pivot'!$B$3:$B$400=$A$267) + ('Full month Pivot'!$A$3:$A$400=$A$267) &gt; 0) * (TRIM('Full month Pivot'!$C$3:$C$400)=TRIM($A273)) * ('Full month Pivot'!$D$2:$K$2=S$2) * 'Full month Pivot'!$D$3:$K$400), "")</f>
        <v/>
      </c>
      <c r="T273" s="193">
        <f>IF(SUMPRODUCT((('Full month Pivot'!$B$3:$B$400=$A$267) + ('Full month Pivot'!$A$3:$A$400=$A$267) &gt; 0) * (TRIM('Full month Pivot'!$C$3:$C$400)=TRIM($A273)) * ('Full month Pivot'!$D$2:$K$2=T$2) * 'Full month Pivot'!$D$3:$K$400)&gt;0, SUMPRODUCT((('Full month Pivot'!$B$3:$B$400=$A$267) + ('Full month Pivot'!$A$3:$A$400=$A$267) &gt; 0) * (TRIM('Full month Pivot'!$C$3:$C$400)=TRIM($A273)) * ('Full month Pivot'!$D$2:$K$2=T$2) * 'Full month Pivot'!$D$3:$K$400), "")</f>
        <v/>
      </c>
      <c r="U273" s="193">
        <f>IF(SUMPRODUCT((('Full month Pivot'!$B$3:$B$400=$A$267) + ('Full month Pivot'!$A$3:$A$400=$A$267) &gt; 0) * (TRIM('Full month Pivot'!$C$3:$C$400)=TRIM($A273)) * ('Full month Pivot'!$D$2:$K$2=U$2) * 'Full month Pivot'!$D$3:$K$400)&gt;0, SUMPRODUCT((('Full month Pivot'!$B$3:$B$400=$A$267) + ('Full month Pivot'!$A$3:$A$400=$A$267) &gt; 0) * (TRIM('Full month Pivot'!$C$3:$C$400)=TRIM($A273)) * ('Full month Pivot'!$D$2:$K$2=U$2) * 'Full month Pivot'!$D$3:$K$400), "")</f>
        <v/>
      </c>
      <c r="V273" s="193">
        <f>IF(SUMPRODUCT((('Full month Pivot'!$B$3:$B$400=$A$267) + ('Full month Pivot'!$A$3:$A$400=$A$267) &gt; 0) * (TRIM('Full month Pivot'!$C$3:$C$400)=TRIM($A273)) * ('Full month Pivot'!$D$2:$K$2=V$2) * 'Full month Pivot'!$D$3:$K$400)&gt;0, SUMPRODUCT((('Full month Pivot'!$B$3:$B$400=$A$267) + ('Full month Pivot'!$A$3:$A$400=$A$267) &gt; 0) * (TRIM('Full month Pivot'!$C$3:$C$400)=TRIM($A273)) * ('Full month Pivot'!$D$2:$K$2=V$2) * 'Full month Pivot'!$D$3:$K$400), "")</f>
        <v/>
      </c>
      <c r="W273" s="193">
        <f>IF(SUMPRODUCT((('Full month Pivot'!$B$3:$B$400=$A$267) + ('Full month Pivot'!$A$3:$A$400=$A$267) &gt; 0) * (TRIM('Full month Pivot'!$C$3:$C$400)=TRIM($A273)) * ('Full month Pivot'!$D$2:$K$2=W$2) * 'Full month Pivot'!$D$3:$K$400)&gt;0, SUMPRODUCT((('Full month Pivot'!$B$3:$B$400=$A$267) + ('Full month Pivot'!$A$3:$A$400=$A$267) &gt; 0) * (TRIM('Full month Pivot'!$C$3:$C$400)=TRIM($A273)) * ('Full month Pivot'!$D$2:$K$2=W$2) * 'Full month Pivot'!$D$3:$K$400), "")</f>
        <v/>
      </c>
      <c r="X273" s="193">
        <f>IF(SUMPRODUCT((('Full month Pivot'!$B$3:$B$400=$A$267) + ('Full month Pivot'!$A$3:$A$400=$A$267) &gt; 0) * (TRIM('Full month Pivot'!$C$3:$C$400)=TRIM($A273)) * ('Full month Pivot'!$D$2:$K$2=X$2) * 'Full month Pivot'!$D$3:$K$400)&gt;0, SUMPRODUCT((('Full month Pivot'!$B$3:$B$400=$A$267) + ('Full month Pivot'!$A$3:$A$400=$A$267) &gt; 0) * (TRIM('Full month Pivot'!$C$3:$C$400)=TRIM($A273)) * ('Full month Pivot'!$D$2:$K$2=X$2) * 'Full month Pivot'!$D$3:$K$400), "")</f>
        <v/>
      </c>
      <c r="Y273" s="193">
        <f>IF(SUMPRODUCT((('Full month Pivot'!$B$3:$B$400=$A$267) + ('Full month Pivot'!$A$3:$A$400=$A$267) &gt; 0) * (TRIM('Full month Pivot'!$C$3:$C$400)=TRIM($A273)) * ('Full month Pivot'!$D$2:$K$2=Y$2) * 'Full month Pivot'!$D$3:$K$400)&gt;0, SUMPRODUCT((('Full month Pivot'!$B$3:$B$400=$A$267) + ('Full month Pivot'!$A$3:$A$400=$A$267) &gt; 0) * (TRIM('Full month Pivot'!$C$3:$C$400)=TRIM($A273)) * ('Full month Pivot'!$D$2:$K$2=Y$2) * 'Full month Pivot'!$D$3:$K$400), "")</f>
        <v/>
      </c>
      <c r="Z273" s="193">
        <f>IF(SUMPRODUCT((('Full month Pivot'!$B$3:$B$400=$A$267) + ('Full month Pivot'!$A$3:$A$400=$A$267) &gt; 0) * (TRIM('Full month Pivot'!$C$3:$C$400)=TRIM($A273)) * ('Full month Pivot'!$D$2:$K$2=Z$2) * 'Full month Pivot'!$D$3:$K$400)&gt;0, SUMPRODUCT((('Full month Pivot'!$B$3:$B$400=$A$267) + ('Full month Pivot'!$A$3:$A$400=$A$267) &gt; 0) * (TRIM('Full month Pivot'!$C$3:$C$400)=TRIM($A273)) * ('Full month Pivot'!$D$2:$K$2=Z$2) * 'Full month Pivot'!$D$3:$K$400), "")</f>
        <v/>
      </c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202" t="inlineStr">
        <is>
          <t xml:space="preserve">  Paid</t>
        </is>
      </c>
      <c r="B274" s="193">
        <f>IF(SUMPRODUCT((('MTD Pivot'!$B$3:$B$400=$A$267) + ('MTD Pivot'!$A$3:$A$400=$A$267) &gt; 0) * (TRIM('MTD Pivot'!$C$3:$C$400)=TRIM($A274)) * ('MTD Pivot'!$D$2:$K$2=B$2) * 'MTD Pivot'!$D$3:$K$400)&gt;0, SUMPRODUCT((('MTD Pivot'!$B$3:$B$400=$A$267) + ('MTD Pivot'!$A$3:$A$400=$A$267) &gt; 0) * (TRIM('MTD Pivot'!$C$3:$C$400)=TRIM($A274)) * ('MTD Pivot'!$D$2:$K$2=B$2) * 'MTD Pivot'!$D$3:$K$400), "")</f>
        <v/>
      </c>
      <c r="C274" s="193">
        <f>IF(SUMPRODUCT((('MTD Pivot'!$B$3:$B$400=$A$267) + ('MTD Pivot'!$A$3:$A$400=$A$267) &gt; 0) * (TRIM('MTD Pivot'!$C$3:$C$400)=TRIM($A274)) * ('MTD Pivot'!$D$2:$K$2=C$2) * 'MTD Pivot'!$D$3:$K$400)&gt;0, SUMPRODUCT((('MTD Pivot'!$B$3:$B$400=$A$267) + ('MTD Pivot'!$A$3:$A$400=$A$267) &gt; 0) * (TRIM('MTD Pivot'!$C$3:$C$400)=TRIM($A274)) * ('MTD Pivot'!$D$2:$K$2=C$2) * 'MTD Pivot'!$D$3:$K$400), "")</f>
        <v/>
      </c>
      <c r="D274" s="193">
        <f>IF(SUMPRODUCT((('MTD Pivot'!$B$3:$B$400=$A$267) + ('MTD Pivot'!$A$3:$A$400=$A$267) &gt; 0) * (TRIM('MTD Pivot'!$C$3:$C$400)=TRIM($A274)) * ('MTD Pivot'!$D$2:$K$2=D$2) * 'MTD Pivot'!$D$3:$K$400)&gt;0, SUMPRODUCT((('MTD Pivot'!$B$3:$B$400=$A$267) + ('MTD Pivot'!$A$3:$A$400=$A$267) &gt; 0) * (TRIM('MTD Pivot'!$C$3:$C$400)=TRIM($A274)) * ('MTD Pivot'!$D$2:$K$2=D$2) * 'MTD Pivot'!$D$3:$K$400), "")</f>
        <v/>
      </c>
      <c r="E274" s="193">
        <f>IF(SUMPRODUCT((('MTD Pivot'!$B$3:$B$400=$A$267) + ('MTD Pivot'!$A$3:$A$400=$A$267) &gt; 0) * (TRIM('MTD Pivot'!$C$3:$C$400)=TRIM($A274)) * ('MTD Pivot'!$D$2:$K$2=E$2) * 'MTD Pivot'!$D$3:$K$400)&gt;0, SUMPRODUCT((('MTD Pivot'!$B$3:$B$400=$A$267) + ('MTD Pivot'!$A$3:$A$400=$A$267) &gt; 0) * (TRIM('MTD Pivot'!$C$3:$C$400)=TRIM($A274)) * ('MTD Pivot'!$D$2:$K$2=E$2) * 'MTD Pivot'!$D$3:$K$400), "")</f>
        <v/>
      </c>
      <c r="F274" s="193">
        <f>IF(SUMPRODUCT((('MTD Pivot'!$B$3:$B$400=$A$267) + ('MTD Pivot'!$A$3:$A$400=$A$267) &gt; 0) * (TRIM('MTD Pivot'!$C$3:$C$400)=TRIM($A274)) * ('MTD Pivot'!$D$2:$K$2=F$2) * 'MTD Pivot'!$D$3:$K$400)&gt;0, SUMPRODUCT((('MTD Pivot'!$B$3:$B$400=$A$267) + ('MTD Pivot'!$A$3:$A$400=$A$267) &gt; 0) * (TRIM('MTD Pivot'!$C$3:$C$400)=TRIM($A274)) * ('MTD Pivot'!$D$2:$K$2=F$2) * 'MTD Pivot'!$D$3:$K$400), "")</f>
        <v/>
      </c>
      <c r="G274" s="193">
        <f>IF(SUMPRODUCT((('MTD Pivot'!$B$3:$B$400=$A$267) + ('MTD Pivot'!$A$3:$A$400=$A$267) &gt; 0) * (TRIM('MTD Pivot'!$C$3:$C$400)=TRIM($A274)) * ('MTD Pivot'!$D$2:$K$2=G$2) * 'MTD Pivot'!$D$3:$K$400)&gt;0, SUMPRODUCT((('MTD Pivot'!$B$3:$B$400=$A$267) + ('MTD Pivot'!$A$3:$A$400=$A$267) &gt; 0) * (TRIM('MTD Pivot'!$C$3:$C$400)=TRIM($A274)) * ('MTD Pivot'!$D$2:$K$2=G$2) * 'MTD Pivot'!$D$3:$K$400), "")</f>
        <v/>
      </c>
      <c r="H274" s="193">
        <f>IF(SUMPRODUCT((('MTD Pivot'!$B$3:$B$400=$A$267) + ('MTD Pivot'!$A$3:$A$400=$A$267) &gt; 0) * (TRIM('MTD Pivot'!$C$3:$C$400)=TRIM($A274)) * ('MTD Pivot'!$D$2:$K$2=H$2) * 'MTD Pivot'!$D$3:$K$400)&gt;0, SUMPRODUCT((('MTD Pivot'!$B$3:$B$400=$A$267) + ('MTD Pivot'!$A$3:$A$400=$A$267) &gt; 0) * (TRIM('MTD Pivot'!$C$3:$C$400)=TRIM($A274)) * ('MTD Pivot'!$D$2:$K$2=H$2) * 'MTD Pivot'!$D$3:$K$400), "")</f>
        <v/>
      </c>
      <c r="I274" s="193">
        <f>IF(SUMPRODUCT((('MTD Pivot'!$B$3:$B$400=$A$267) + ('MTD Pivot'!$A$3:$A$400=$A$267) &gt; 0) * (TRIM('MTD Pivot'!$C$3:$C$400)=TRIM($A274)) * ('MTD Pivot'!$D$2:$K$2=I$2) * 'MTD Pivot'!$D$3:$K$400)&gt;0, SUMPRODUCT((('MTD Pivot'!$B$3:$B$400=$A$267) + ('MTD Pivot'!$A$3:$A$400=$A$267) &gt; 0) * (TRIM('MTD Pivot'!$C$3:$C$400)=TRIM($A274)) * ('MTD Pivot'!$D$2:$K$2=I$2) * 'MTD Pivot'!$D$3:$K$400), "")</f>
        <v/>
      </c>
      <c r="J274" s="193">
        <f>IF(SUMPRODUCT((('MTD Pivot'!$B$3:$B$400=$A$267) + ('MTD Pivot'!$A$3:$A$400=$A$267) &gt; 0) * (TRIM('MTD Pivot'!$C$3:$C$400)=TRIM($A274)) * ('MTD Pivot'!$D$2:$K$2=J$2) * 'MTD Pivot'!$D$3:$K$400)&gt;0, SUMPRODUCT((('MTD Pivot'!$B$3:$B$400=$A$267) + ('MTD Pivot'!$A$3:$A$400=$A$267) &gt; 0) * (TRIM('MTD Pivot'!$C$3:$C$400)=TRIM($A274)) * ('MTD Pivot'!$D$2:$K$2=J$2) * 'MTD Pivot'!$D$3:$K$400), "")</f>
        <v/>
      </c>
      <c r="K274" s="193">
        <f>IF(SUMPRODUCT((('MTD Pivot'!$B$3:$B$400=$A$267) + ('MTD Pivot'!$A$3:$A$400=$A$267) &gt; 0) * (TRIM('MTD Pivot'!$C$3:$C$400)=TRIM($A274)) * ('MTD Pivot'!$D$2:$K$2=K$2) * 'MTD Pivot'!$D$3:$K$400)&gt;0, SUMPRODUCT((('MTD Pivot'!$B$3:$B$400=$A$267) + ('MTD Pivot'!$A$3:$A$400=$A$267) &gt; 0) * (TRIM('MTD Pivot'!$C$3:$C$400)=TRIM($A274)) * ('MTD Pivot'!$D$2:$K$2=K$2) * 'MTD Pivot'!$D$3:$K$400), "")</f>
        <v/>
      </c>
      <c r="L274" s="193">
        <f>IF(SUMPRODUCT((('MTD Pivot'!$B$3:$B$400=$A$267) + ('MTD Pivot'!$A$3:$A$400=$A$267) &gt; 0) * (TRIM('MTD Pivot'!$C$3:$C$400)=TRIM($A274)) * ('MTD Pivot'!$D$2:$K$2=L$2) * 'MTD Pivot'!$D$3:$K$400)&gt;0, SUMPRODUCT((('MTD Pivot'!$B$3:$B$400=$A$267) + ('MTD Pivot'!$A$3:$A$400=$A$267) &gt; 0) * (TRIM('MTD Pivot'!$C$3:$C$400)=TRIM($A274)) * ('MTD Pivot'!$D$2:$K$2=L$2) * 'MTD Pivot'!$D$3:$K$400), "")</f>
        <v/>
      </c>
      <c r="M274" s="193">
        <f>IF(SUMPRODUCT((('MTD Pivot'!$B$3:$B$400=$A$267) + ('MTD Pivot'!$A$3:$A$400=$A$267) &gt; 0) * (TRIM('MTD Pivot'!$C$3:$C$400)=TRIM($A274)) * ('MTD Pivot'!$D$2:$K$2=M$2) * 'MTD Pivot'!$D$3:$K$400)&gt;0, SUMPRODUCT((('MTD Pivot'!$B$3:$B$400=$A$267) + ('MTD Pivot'!$A$3:$A$400=$A$267) &gt; 0) * (TRIM('MTD Pivot'!$C$3:$C$400)=TRIM($A274)) * ('MTD Pivot'!$D$2:$K$2=M$2) * 'MTD Pivot'!$D$3:$K$400), "")</f>
        <v/>
      </c>
      <c r="N274" s="157">
        <f>IF(AND(ISNUMBER(K274), ISNUMBER(J274), J274&gt;0), (K274-J274)/J274, "")</f>
        <v/>
      </c>
      <c r="O274" s="193">
        <f>IF(SUMPRODUCT((('Full month Pivot'!$B$3:$B$400=$A$267) + ('Full month Pivot'!$A$3:$A$400=$A$267) &gt; 0) * (TRIM('Full month Pivot'!$C$3:$C$400)=TRIM($A274)) * ('Full month Pivot'!$D$2:$K$2=O$2) * 'Full month Pivot'!$D$3:$K$400)&gt;0, SUMPRODUCT((('Full month Pivot'!$B$3:$B$400=$A$267) + ('Full month Pivot'!$A$3:$A$400=$A$267) &gt; 0) * (TRIM('Full month Pivot'!$C$3:$C$400)=TRIM($A274)) * ('Full month Pivot'!$D$2:$K$2=O$2) * 'Full month Pivot'!$D$3:$K$400), "")</f>
        <v/>
      </c>
      <c r="P274" s="193">
        <f>IF(SUMPRODUCT((('Full month Pivot'!$B$3:$B$400=$A$267) + ('Full month Pivot'!$A$3:$A$400=$A$267) &gt; 0) * (TRIM('Full month Pivot'!$C$3:$C$400)=TRIM($A274)) * ('Full month Pivot'!$D$2:$K$2=P$2) * 'Full month Pivot'!$D$3:$K$400)&gt;0, SUMPRODUCT((('Full month Pivot'!$B$3:$B$400=$A$267) + ('Full month Pivot'!$A$3:$A$400=$A$267) &gt; 0) * (TRIM('Full month Pivot'!$C$3:$C$400)=TRIM($A274)) * ('Full month Pivot'!$D$2:$K$2=P$2) * 'Full month Pivot'!$D$3:$K$400), "")</f>
        <v/>
      </c>
      <c r="Q274" s="193">
        <f>IF(SUMPRODUCT((('Full month Pivot'!$B$3:$B$400=$A$267) + ('Full month Pivot'!$A$3:$A$400=$A$267) &gt; 0) * (TRIM('Full month Pivot'!$C$3:$C$400)=TRIM($A274)) * ('Full month Pivot'!$D$2:$K$2=Q$2) * 'Full month Pivot'!$D$3:$K$400)&gt;0, SUMPRODUCT((('Full month Pivot'!$B$3:$B$400=$A$267) + ('Full month Pivot'!$A$3:$A$400=$A$267) &gt; 0) * (TRIM('Full month Pivot'!$C$3:$C$400)=TRIM($A274)) * ('Full month Pivot'!$D$2:$K$2=Q$2) * 'Full month Pivot'!$D$3:$K$400), "")</f>
        <v/>
      </c>
      <c r="R274" s="193">
        <f>IF(SUMPRODUCT((('Full month Pivot'!$B$3:$B$400=$A$267) + ('Full month Pivot'!$A$3:$A$400=$A$267) &gt; 0) * (TRIM('Full month Pivot'!$C$3:$C$400)=TRIM($A274)) * ('Full month Pivot'!$D$2:$K$2=R$2) * 'Full month Pivot'!$D$3:$K$400)&gt;0, SUMPRODUCT((('Full month Pivot'!$B$3:$B$400=$A$267) + ('Full month Pivot'!$A$3:$A$400=$A$267) &gt; 0) * (TRIM('Full month Pivot'!$C$3:$C$400)=TRIM($A274)) * ('Full month Pivot'!$D$2:$K$2=R$2) * 'Full month Pivot'!$D$3:$K$400), "")</f>
        <v/>
      </c>
      <c r="S274" s="193">
        <f>IF(SUMPRODUCT((('Full month Pivot'!$B$3:$B$400=$A$267) + ('Full month Pivot'!$A$3:$A$400=$A$267) &gt; 0) * (TRIM('Full month Pivot'!$C$3:$C$400)=TRIM($A274)) * ('Full month Pivot'!$D$2:$K$2=S$2) * 'Full month Pivot'!$D$3:$K$400)&gt;0, SUMPRODUCT((('Full month Pivot'!$B$3:$B$400=$A$267) + ('Full month Pivot'!$A$3:$A$400=$A$267) &gt; 0) * (TRIM('Full month Pivot'!$C$3:$C$400)=TRIM($A274)) * ('Full month Pivot'!$D$2:$K$2=S$2) * 'Full month Pivot'!$D$3:$K$400), "")</f>
        <v/>
      </c>
      <c r="T274" s="193">
        <f>IF(SUMPRODUCT((('Full month Pivot'!$B$3:$B$400=$A$267) + ('Full month Pivot'!$A$3:$A$400=$A$267) &gt; 0) * (TRIM('Full month Pivot'!$C$3:$C$400)=TRIM($A274)) * ('Full month Pivot'!$D$2:$K$2=T$2) * 'Full month Pivot'!$D$3:$K$400)&gt;0, SUMPRODUCT((('Full month Pivot'!$B$3:$B$400=$A$267) + ('Full month Pivot'!$A$3:$A$400=$A$267) &gt; 0) * (TRIM('Full month Pivot'!$C$3:$C$400)=TRIM($A274)) * ('Full month Pivot'!$D$2:$K$2=T$2) * 'Full month Pivot'!$D$3:$K$400), "")</f>
        <v/>
      </c>
      <c r="U274" s="193">
        <f>IF(SUMPRODUCT((('Full month Pivot'!$B$3:$B$400=$A$267) + ('Full month Pivot'!$A$3:$A$400=$A$267) &gt; 0) * (TRIM('Full month Pivot'!$C$3:$C$400)=TRIM($A274)) * ('Full month Pivot'!$D$2:$K$2=U$2) * 'Full month Pivot'!$D$3:$K$400)&gt;0, SUMPRODUCT((('Full month Pivot'!$B$3:$B$400=$A$267) + ('Full month Pivot'!$A$3:$A$400=$A$267) &gt; 0) * (TRIM('Full month Pivot'!$C$3:$C$400)=TRIM($A274)) * ('Full month Pivot'!$D$2:$K$2=U$2) * 'Full month Pivot'!$D$3:$K$400), "")</f>
        <v/>
      </c>
      <c r="V274" s="193">
        <f>IF(SUMPRODUCT((('Full month Pivot'!$B$3:$B$400=$A$267) + ('Full month Pivot'!$A$3:$A$400=$A$267) &gt; 0) * (TRIM('Full month Pivot'!$C$3:$C$400)=TRIM($A274)) * ('Full month Pivot'!$D$2:$K$2=V$2) * 'Full month Pivot'!$D$3:$K$400)&gt;0, SUMPRODUCT((('Full month Pivot'!$B$3:$B$400=$A$267) + ('Full month Pivot'!$A$3:$A$400=$A$267) &gt; 0) * (TRIM('Full month Pivot'!$C$3:$C$400)=TRIM($A274)) * ('Full month Pivot'!$D$2:$K$2=V$2) * 'Full month Pivot'!$D$3:$K$400), "")</f>
        <v/>
      </c>
      <c r="W274" s="193">
        <f>IF(SUMPRODUCT((('Full month Pivot'!$B$3:$B$400=$A$267) + ('Full month Pivot'!$A$3:$A$400=$A$267) &gt; 0) * (TRIM('Full month Pivot'!$C$3:$C$400)=TRIM($A274)) * ('Full month Pivot'!$D$2:$K$2=W$2) * 'Full month Pivot'!$D$3:$K$400)&gt;0, SUMPRODUCT((('Full month Pivot'!$B$3:$B$400=$A$267) + ('Full month Pivot'!$A$3:$A$400=$A$267) &gt; 0) * (TRIM('Full month Pivot'!$C$3:$C$400)=TRIM($A274)) * ('Full month Pivot'!$D$2:$K$2=W$2) * 'Full month Pivot'!$D$3:$K$400), "")</f>
        <v/>
      </c>
      <c r="X274" s="193">
        <f>IF(SUMPRODUCT((('Full month Pivot'!$B$3:$B$400=$A$267) + ('Full month Pivot'!$A$3:$A$400=$A$267) &gt; 0) * (TRIM('Full month Pivot'!$C$3:$C$400)=TRIM($A274)) * ('Full month Pivot'!$D$2:$K$2=X$2) * 'Full month Pivot'!$D$3:$K$400)&gt;0, SUMPRODUCT((('Full month Pivot'!$B$3:$B$400=$A$267) + ('Full month Pivot'!$A$3:$A$400=$A$267) &gt; 0) * (TRIM('Full month Pivot'!$C$3:$C$400)=TRIM($A274)) * ('Full month Pivot'!$D$2:$K$2=X$2) * 'Full month Pivot'!$D$3:$K$400), "")</f>
        <v/>
      </c>
      <c r="Y274" s="193">
        <f>IF(SUMPRODUCT((('Full month Pivot'!$B$3:$B$400=$A$267) + ('Full month Pivot'!$A$3:$A$400=$A$267) &gt; 0) * (TRIM('Full month Pivot'!$C$3:$C$400)=TRIM($A274)) * ('Full month Pivot'!$D$2:$K$2=Y$2) * 'Full month Pivot'!$D$3:$K$400)&gt;0, SUMPRODUCT((('Full month Pivot'!$B$3:$B$400=$A$267) + ('Full month Pivot'!$A$3:$A$400=$A$267) &gt; 0) * (TRIM('Full month Pivot'!$C$3:$C$400)=TRIM($A274)) * ('Full month Pivot'!$D$2:$K$2=Y$2) * 'Full month Pivot'!$D$3:$K$400), "")</f>
        <v/>
      </c>
      <c r="Z274" s="193">
        <f>IF(SUMPRODUCT((('Full month Pivot'!$B$3:$B$400=$A$267) + ('Full month Pivot'!$A$3:$A$400=$A$267) &gt; 0) * (TRIM('Full month Pivot'!$C$3:$C$400)=TRIM($A274)) * ('Full month Pivot'!$D$2:$K$2=Z$2) * 'Full month Pivot'!$D$3:$K$400)&gt;0, SUMPRODUCT((('Full month Pivot'!$B$3:$B$400=$A$267) + ('Full month Pivot'!$A$3:$A$400=$A$267) &gt; 0) * (TRIM('Full month Pivot'!$C$3:$C$400)=TRIM($A274)) * ('Full month Pivot'!$D$2:$K$2=Z$2) * 'Full month Pivot'!$D$3:$K$400), "")</f>
        <v/>
      </c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202" t="inlineStr">
        <is>
          <t xml:space="preserve">  Direct</t>
        </is>
      </c>
      <c r="B275" s="193">
        <f>IF(SUMPRODUCT((('MTD Pivot'!$B$3:$B$400=$A$267) + ('MTD Pivot'!$A$3:$A$400=$A$267) &gt; 0) * (TRIM('MTD Pivot'!$C$3:$C$400)=TRIM($A275)) * ('MTD Pivot'!$D$2:$K$2=B$2) * 'MTD Pivot'!$D$3:$K$400)&gt;0, SUMPRODUCT((('MTD Pivot'!$B$3:$B$400=$A$267) + ('MTD Pivot'!$A$3:$A$400=$A$267) &gt; 0) * (TRIM('MTD Pivot'!$C$3:$C$400)=TRIM($A275)) * ('MTD Pivot'!$D$2:$K$2=B$2) * 'MTD Pivot'!$D$3:$K$400), "")</f>
        <v/>
      </c>
      <c r="C275" s="193">
        <f>IF(SUMPRODUCT((('MTD Pivot'!$B$3:$B$400=$A$267) + ('MTD Pivot'!$A$3:$A$400=$A$267) &gt; 0) * (TRIM('MTD Pivot'!$C$3:$C$400)=TRIM($A275)) * ('MTD Pivot'!$D$2:$K$2=C$2) * 'MTD Pivot'!$D$3:$K$400)&gt;0, SUMPRODUCT((('MTD Pivot'!$B$3:$B$400=$A$267) + ('MTD Pivot'!$A$3:$A$400=$A$267) &gt; 0) * (TRIM('MTD Pivot'!$C$3:$C$400)=TRIM($A275)) * ('MTD Pivot'!$D$2:$K$2=C$2) * 'MTD Pivot'!$D$3:$K$400), "")</f>
        <v/>
      </c>
      <c r="D275" s="193">
        <f>IF(SUMPRODUCT((('MTD Pivot'!$B$3:$B$400=$A$267) + ('MTD Pivot'!$A$3:$A$400=$A$267) &gt; 0) * (TRIM('MTD Pivot'!$C$3:$C$400)=TRIM($A275)) * ('MTD Pivot'!$D$2:$K$2=D$2) * 'MTD Pivot'!$D$3:$K$400)&gt;0, SUMPRODUCT((('MTD Pivot'!$B$3:$B$400=$A$267) + ('MTD Pivot'!$A$3:$A$400=$A$267) &gt; 0) * (TRIM('MTD Pivot'!$C$3:$C$400)=TRIM($A275)) * ('MTD Pivot'!$D$2:$K$2=D$2) * 'MTD Pivot'!$D$3:$K$400), "")</f>
        <v/>
      </c>
      <c r="E275" s="193">
        <f>IF(SUMPRODUCT((('MTD Pivot'!$B$3:$B$400=$A$267) + ('MTD Pivot'!$A$3:$A$400=$A$267) &gt; 0) * (TRIM('MTD Pivot'!$C$3:$C$400)=TRIM($A275)) * ('MTD Pivot'!$D$2:$K$2=E$2) * 'MTD Pivot'!$D$3:$K$400)&gt;0, SUMPRODUCT((('MTD Pivot'!$B$3:$B$400=$A$267) + ('MTD Pivot'!$A$3:$A$400=$A$267) &gt; 0) * (TRIM('MTD Pivot'!$C$3:$C$400)=TRIM($A275)) * ('MTD Pivot'!$D$2:$K$2=E$2) * 'MTD Pivot'!$D$3:$K$400), "")</f>
        <v/>
      </c>
      <c r="F275" s="193">
        <f>IF(SUMPRODUCT((('MTD Pivot'!$B$3:$B$400=$A$267) + ('MTD Pivot'!$A$3:$A$400=$A$267) &gt; 0) * (TRIM('MTD Pivot'!$C$3:$C$400)=TRIM($A275)) * ('MTD Pivot'!$D$2:$K$2=F$2) * 'MTD Pivot'!$D$3:$K$400)&gt;0, SUMPRODUCT((('MTD Pivot'!$B$3:$B$400=$A$267) + ('MTD Pivot'!$A$3:$A$400=$A$267) &gt; 0) * (TRIM('MTD Pivot'!$C$3:$C$400)=TRIM($A275)) * ('MTD Pivot'!$D$2:$K$2=F$2) * 'MTD Pivot'!$D$3:$K$400), "")</f>
        <v/>
      </c>
      <c r="G275" s="193">
        <f>IF(SUMPRODUCT((('MTD Pivot'!$B$3:$B$400=$A$267) + ('MTD Pivot'!$A$3:$A$400=$A$267) &gt; 0) * (TRIM('MTD Pivot'!$C$3:$C$400)=TRIM($A275)) * ('MTD Pivot'!$D$2:$K$2=G$2) * 'MTD Pivot'!$D$3:$K$400)&gt;0, SUMPRODUCT((('MTD Pivot'!$B$3:$B$400=$A$267) + ('MTD Pivot'!$A$3:$A$400=$A$267) &gt; 0) * (TRIM('MTD Pivot'!$C$3:$C$400)=TRIM($A275)) * ('MTD Pivot'!$D$2:$K$2=G$2) * 'MTD Pivot'!$D$3:$K$400), "")</f>
        <v/>
      </c>
      <c r="H275" s="193">
        <f>IF(SUMPRODUCT((('MTD Pivot'!$B$3:$B$400=$A$267) + ('MTD Pivot'!$A$3:$A$400=$A$267) &gt; 0) * (TRIM('MTD Pivot'!$C$3:$C$400)=TRIM($A275)) * ('MTD Pivot'!$D$2:$K$2=H$2) * 'MTD Pivot'!$D$3:$K$400)&gt;0, SUMPRODUCT((('MTD Pivot'!$B$3:$B$400=$A$267) + ('MTD Pivot'!$A$3:$A$400=$A$267) &gt; 0) * (TRIM('MTD Pivot'!$C$3:$C$400)=TRIM($A275)) * ('MTD Pivot'!$D$2:$K$2=H$2) * 'MTD Pivot'!$D$3:$K$400), "")</f>
        <v/>
      </c>
      <c r="I275" s="193">
        <f>IF(SUMPRODUCT((('MTD Pivot'!$B$3:$B$400=$A$267) + ('MTD Pivot'!$A$3:$A$400=$A$267) &gt; 0) * (TRIM('MTD Pivot'!$C$3:$C$400)=TRIM($A275)) * ('MTD Pivot'!$D$2:$K$2=I$2) * 'MTD Pivot'!$D$3:$K$400)&gt;0, SUMPRODUCT((('MTD Pivot'!$B$3:$B$400=$A$267) + ('MTD Pivot'!$A$3:$A$400=$A$267) &gt; 0) * (TRIM('MTD Pivot'!$C$3:$C$400)=TRIM($A275)) * ('MTD Pivot'!$D$2:$K$2=I$2) * 'MTD Pivot'!$D$3:$K$400), "")</f>
        <v/>
      </c>
      <c r="J275" s="193">
        <f>IF(SUMPRODUCT((('MTD Pivot'!$B$3:$B$400=$A$267) + ('MTD Pivot'!$A$3:$A$400=$A$267) &gt; 0) * (TRIM('MTD Pivot'!$C$3:$C$400)=TRIM($A275)) * ('MTD Pivot'!$D$2:$K$2=J$2) * 'MTD Pivot'!$D$3:$K$400)&gt;0, SUMPRODUCT((('MTD Pivot'!$B$3:$B$400=$A$267) + ('MTD Pivot'!$A$3:$A$400=$A$267) &gt; 0) * (TRIM('MTD Pivot'!$C$3:$C$400)=TRIM($A275)) * ('MTD Pivot'!$D$2:$K$2=J$2) * 'MTD Pivot'!$D$3:$K$400), "")</f>
        <v/>
      </c>
      <c r="K275" s="193">
        <f>IF(SUMPRODUCT((('MTD Pivot'!$B$3:$B$400=$A$267) + ('MTD Pivot'!$A$3:$A$400=$A$267) &gt; 0) * (TRIM('MTD Pivot'!$C$3:$C$400)=TRIM($A275)) * ('MTD Pivot'!$D$2:$K$2=K$2) * 'MTD Pivot'!$D$3:$K$400)&gt;0, SUMPRODUCT((('MTD Pivot'!$B$3:$B$400=$A$267) + ('MTD Pivot'!$A$3:$A$400=$A$267) &gt; 0) * (TRIM('MTD Pivot'!$C$3:$C$400)=TRIM($A275)) * ('MTD Pivot'!$D$2:$K$2=K$2) * 'MTD Pivot'!$D$3:$K$400), "")</f>
        <v/>
      </c>
      <c r="L275" s="193">
        <f>IF(SUMPRODUCT((('MTD Pivot'!$B$3:$B$400=$A$267) + ('MTD Pivot'!$A$3:$A$400=$A$267) &gt; 0) * (TRIM('MTD Pivot'!$C$3:$C$400)=TRIM($A275)) * ('MTD Pivot'!$D$2:$K$2=L$2) * 'MTD Pivot'!$D$3:$K$400)&gt;0, SUMPRODUCT((('MTD Pivot'!$B$3:$B$400=$A$267) + ('MTD Pivot'!$A$3:$A$400=$A$267) &gt; 0) * (TRIM('MTD Pivot'!$C$3:$C$400)=TRIM($A275)) * ('MTD Pivot'!$D$2:$K$2=L$2) * 'MTD Pivot'!$D$3:$K$400), "")</f>
        <v/>
      </c>
      <c r="M275" s="193">
        <f>IF(SUMPRODUCT((('MTD Pivot'!$B$3:$B$400=$A$267) + ('MTD Pivot'!$A$3:$A$400=$A$267) &gt; 0) * (TRIM('MTD Pivot'!$C$3:$C$400)=TRIM($A275)) * ('MTD Pivot'!$D$2:$K$2=M$2) * 'MTD Pivot'!$D$3:$K$400)&gt;0, SUMPRODUCT((('MTD Pivot'!$B$3:$B$400=$A$267) + ('MTD Pivot'!$A$3:$A$400=$A$267) &gt; 0) * (TRIM('MTD Pivot'!$C$3:$C$400)=TRIM($A275)) * ('MTD Pivot'!$D$2:$K$2=M$2) * 'MTD Pivot'!$D$3:$K$400), "")</f>
        <v/>
      </c>
      <c r="N275" s="157">
        <f>IF(AND(ISNUMBER(K275), ISNUMBER(J275), J275&gt;0), (K275-J275)/J275, "")</f>
        <v/>
      </c>
      <c r="O275" s="193">
        <f>IF(SUMPRODUCT((('Full month Pivot'!$B$3:$B$400=$A$267) + ('Full month Pivot'!$A$3:$A$400=$A$267) &gt; 0) * (TRIM('Full month Pivot'!$C$3:$C$400)=TRIM($A275)) * ('Full month Pivot'!$D$2:$K$2=O$2) * 'Full month Pivot'!$D$3:$K$400)&gt;0, SUMPRODUCT((('Full month Pivot'!$B$3:$B$400=$A$267) + ('Full month Pivot'!$A$3:$A$400=$A$267) &gt; 0) * (TRIM('Full month Pivot'!$C$3:$C$400)=TRIM($A275)) * ('Full month Pivot'!$D$2:$K$2=O$2) * 'Full month Pivot'!$D$3:$K$400), "")</f>
        <v/>
      </c>
      <c r="P275" s="193">
        <f>IF(SUMPRODUCT((('Full month Pivot'!$B$3:$B$400=$A$267) + ('Full month Pivot'!$A$3:$A$400=$A$267) &gt; 0) * (TRIM('Full month Pivot'!$C$3:$C$400)=TRIM($A275)) * ('Full month Pivot'!$D$2:$K$2=P$2) * 'Full month Pivot'!$D$3:$K$400)&gt;0, SUMPRODUCT((('Full month Pivot'!$B$3:$B$400=$A$267) + ('Full month Pivot'!$A$3:$A$400=$A$267) &gt; 0) * (TRIM('Full month Pivot'!$C$3:$C$400)=TRIM($A275)) * ('Full month Pivot'!$D$2:$K$2=P$2) * 'Full month Pivot'!$D$3:$K$400), "")</f>
        <v/>
      </c>
      <c r="Q275" s="193">
        <f>IF(SUMPRODUCT((('Full month Pivot'!$B$3:$B$400=$A$267) + ('Full month Pivot'!$A$3:$A$400=$A$267) &gt; 0) * (TRIM('Full month Pivot'!$C$3:$C$400)=TRIM($A275)) * ('Full month Pivot'!$D$2:$K$2=Q$2) * 'Full month Pivot'!$D$3:$K$400)&gt;0, SUMPRODUCT((('Full month Pivot'!$B$3:$B$400=$A$267) + ('Full month Pivot'!$A$3:$A$400=$A$267) &gt; 0) * (TRIM('Full month Pivot'!$C$3:$C$400)=TRIM($A275)) * ('Full month Pivot'!$D$2:$K$2=Q$2) * 'Full month Pivot'!$D$3:$K$400), "")</f>
        <v/>
      </c>
      <c r="R275" s="193">
        <f>IF(SUMPRODUCT((('Full month Pivot'!$B$3:$B$400=$A$267) + ('Full month Pivot'!$A$3:$A$400=$A$267) &gt; 0) * (TRIM('Full month Pivot'!$C$3:$C$400)=TRIM($A275)) * ('Full month Pivot'!$D$2:$K$2=R$2) * 'Full month Pivot'!$D$3:$K$400)&gt;0, SUMPRODUCT((('Full month Pivot'!$B$3:$B$400=$A$267) + ('Full month Pivot'!$A$3:$A$400=$A$267) &gt; 0) * (TRIM('Full month Pivot'!$C$3:$C$400)=TRIM($A275)) * ('Full month Pivot'!$D$2:$K$2=R$2) * 'Full month Pivot'!$D$3:$K$400), "")</f>
        <v/>
      </c>
      <c r="S275" s="193">
        <f>IF(SUMPRODUCT((('Full month Pivot'!$B$3:$B$400=$A$267) + ('Full month Pivot'!$A$3:$A$400=$A$267) &gt; 0) * (TRIM('Full month Pivot'!$C$3:$C$400)=TRIM($A275)) * ('Full month Pivot'!$D$2:$K$2=S$2) * 'Full month Pivot'!$D$3:$K$400)&gt;0, SUMPRODUCT((('Full month Pivot'!$B$3:$B$400=$A$267) + ('Full month Pivot'!$A$3:$A$400=$A$267) &gt; 0) * (TRIM('Full month Pivot'!$C$3:$C$400)=TRIM($A275)) * ('Full month Pivot'!$D$2:$K$2=S$2) * 'Full month Pivot'!$D$3:$K$400), "")</f>
        <v/>
      </c>
      <c r="T275" s="193">
        <f>IF(SUMPRODUCT((('Full month Pivot'!$B$3:$B$400=$A$267) + ('Full month Pivot'!$A$3:$A$400=$A$267) &gt; 0) * (TRIM('Full month Pivot'!$C$3:$C$400)=TRIM($A275)) * ('Full month Pivot'!$D$2:$K$2=T$2) * 'Full month Pivot'!$D$3:$K$400)&gt;0, SUMPRODUCT((('Full month Pivot'!$B$3:$B$400=$A$267) + ('Full month Pivot'!$A$3:$A$400=$A$267) &gt; 0) * (TRIM('Full month Pivot'!$C$3:$C$400)=TRIM($A275)) * ('Full month Pivot'!$D$2:$K$2=T$2) * 'Full month Pivot'!$D$3:$K$400), "")</f>
        <v/>
      </c>
      <c r="U275" s="193">
        <f>IF(SUMPRODUCT((('Full month Pivot'!$B$3:$B$400=$A$267) + ('Full month Pivot'!$A$3:$A$400=$A$267) &gt; 0) * (TRIM('Full month Pivot'!$C$3:$C$400)=TRIM($A275)) * ('Full month Pivot'!$D$2:$K$2=U$2) * 'Full month Pivot'!$D$3:$K$400)&gt;0, SUMPRODUCT((('Full month Pivot'!$B$3:$B$400=$A$267) + ('Full month Pivot'!$A$3:$A$400=$A$267) &gt; 0) * (TRIM('Full month Pivot'!$C$3:$C$400)=TRIM($A275)) * ('Full month Pivot'!$D$2:$K$2=U$2) * 'Full month Pivot'!$D$3:$K$400), "")</f>
        <v/>
      </c>
      <c r="V275" s="193">
        <f>IF(SUMPRODUCT((('Full month Pivot'!$B$3:$B$400=$A$267) + ('Full month Pivot'!$A$3:$A$400=$A$267) &gt; 0) * (TRIM('Full month Pivot'!$C$3:$C$400)=TRIM($A275)) * ('Full month Pivot'!$D$2:$K$2=V$2) * 'Full month Pivot'!$D$3:$K$400)&gt;0, SUMPRODUCT((('Full month Pivot'!$B$3:$B$400=$A$267) + ('Full month Pivot'!$A$3:$A$400=$A$267) &gt; 0) * (TRIM('Full month Pivot'!$C$3:$C$400)=TRIM($A275)) * ('Full month Pivot'!$D$2:$K$2=V$2) * 'Full month Pivot'!$D$3:$K$400), "")</f>
        <v/>
      </c>
      <c r="W275" s="193">
        <f>IF(SUMPRODUCT((('Full month Pivot'!$B$3:$B$400=$A$267) + ('Full month Pivot'!$A$3:$A$400=$A$267) &gt; 0) * (TRIM('Full month Pivot'!$C$3:$C$400)=TRIM($A275)) * ('Full month Pivot'!$D$2:$K$2=W$2) * 'Full month Pivot'!$D$3:$K$400)&gt;0, SUMPRODUCT((('Full month Pivot'!$B$3:$B$400=$A$267) + ('Full month Pivot'!$A$3:$A$400=$A$267) &gt; 0) * (TRIM('Full month Pivot'!$C$3:$C$400)=TRIM($A275)) * ('Full month Pivot'!$D$2:$K$2=W$2) * 'Full month Pivot'!$D$3:$K$400), "")</f>
        <v/>
      </c>
      <c r="X275" s="193">
        <f>IF(SUMPRODUCT((('Full month Pivot'!$B$3:$B$400=$A$267) + ('Full month Pivot'!$A$3:$A$400=$A$267) &gt; 0) * (TRIM('Full month Pivot'!$C$3:$C$400)=TRIM($A275)) * ('Full month Pivot'!$D$2:$K$2=X$2) * 'Full month Pivot'!$D$3:$K$400)&gt;0, SUMPRODUCT((('Full month Pivot'!$B$3:$B$400=$A$267) + ('Full month Pivot'!$A$3:$A$400=$A$267) &gt; 0) * (TRIM('Full month Pivot'!$C$3:$C$400)=TRIM($A275)) * ('Full month Pivot'!$D$2:$K$2=X$2) * 'Full month Pivot'!$D$3:$K$400), "")</f>
        <v/>
      </c>
      <c r="Y275" s="193">
        <f>IF(SUMPRODUCT((('Full month Pivot'!$B$3:$B$400=$A$267) + ('Full month Pivot'!$A$3:$A$400=$A$267) &gt; 0) * (TRIM('Full month Pivot'!$C$3:$C$400)=TRIM($A275)) * ('Full month Pivot'!$D$2:$K$2=Y$2) * 'Full month Pivot'!$D$3:$K$400)&gt;0, SUMPRODUCT((('Full month Pivot'!$B$3:$B$400=$A$267) + ('Full month Pivot'!$A$3:$A$400=$A$267) &gt; 0) * (TRIM('Full month Pivot'!$C$3:$C$400)=TRIM($A275)) * ('Full month Pivot'!$D$2:$K$2=Y$2) * 'Full month Pivot'!$D$3:$K$400), "")</f>
        <v/>
      </c>
      <c r="Z275" s="193">
        <f>IF(SUMPRODUCT((('Full month Pivot'!$B$3:$B$400=$A$267) + ('Full month Pivot'!$A$3:$A$400=$A$267) &gt; 0) * (TRIM('Full month Pivot'!$C$3:$C$400)=TRIM($A275)) * ('Full month Pivot'!$D$2:$K$2=Z$2) * 'Full month Pivot'!$D$3:$K$400)&gt;0, SUMPRODUCT((('Full month Pivot'!$B$3:$B$400=$A$267) + ('Full month Pivot'!$A$3:$A$400=$A$267) &gt; 0) * (TRIM('Full month Pivot'!$C$3:$C$400)=TRIM($A275)) * ('Full month Pivot'!$D$2:$K$2=Z$2) * 'Full month Pivot'!$D$3:$K$400), "")</f>
        <v/>
      </c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202" t="inlineStr">
        <is>
          <t xml:space="preserve">  Referral</t>
        </is>
      </c>
      <c r="B276" s="193">
        <f>IF(SUMPRODUCT((('MTD Pivot'!$B$3:$B$400=$A$267) + ('MTD Pivot'!$A$3:$A$400=$A$267) &gt; 0) * (TRIM('MTD Pivot'!$C$3:$C$400)=TRIM($A276)) * ('MTD Pivot'!$D$2:$K$2=B$2) * 'MTD Pivot'!$D$3:$K$400)&gt;0, SUMPRODUCT((('MTD Pivot'!$B$3:$B$400=$A$267) + ('MTD Pivot'!$A$3:$A$400=$A$267) &gt; 0) * (TRIM('MTD Pivot'!$C$3:$C$400)=TRIM($A276)) * ('MTD Pivot'!$D$2:$K$2=B$2) * 'MTD Pivot'!$D$3:$K$400), "")</f>
        <v/>
      </c>
      <c r="C276" s="193">
        <f>IF(SUMPRODUCT((('MTD Pivot'!$B$3:$B$400=$A$267) + ('MTD Pivot'!$A$3:$A$400=$A$267) &gt; 0) * (TRIM('MTD Pivot'!$C$3:$C$400)=TRIM($A276)) * ('MTD Pivot'!$D$2:$K$2=C$2) * 'MTD Pivot'!$D$3:$K$400)&gt;0, SUMPRODUCT((('MTD Pivot'!$B$3:$B$400=$A$267) + ('MTD Pivot'!$A$3:$A$400=$A$267) &gt; 0) * (TRIM('MTD Pivot'!$C$3:$C$400)=TRIM($A276)) * ('MTD Pivot'!$D$2:$K$2=C$2) * 'MTD Pivot'!$D$3:$K$400), "")</f>
        <v/>
      </c>
      <c r="D276" s="193">
        <f>IF(SUMPRODUCT((('MTD Pivot'!$B$3:$B$400=$A$267) + ('MTD Pivot'!$A$3:$A$400=$A$267) &gt; 0) * (TRIM('MTD Pivot'!$C$3:$C$400)=TRIM($A276)) * ('MTD Pivot'!$D$2:$K$2=D$2) * 'MTD Pivot'!$D$3:$K$400)&gt;0, SUMPRODUCT((('MTD Pivot'!$B$3:$B$400=$A$267) + ('MTD Pivot'!$A$3:$A$400=$A$267) &gt; 0) * (TRIM('MTD Pivot'!$C$3:$C$400)=TRIM($A276)) * ('MTD Pivot'!$D$2:$K$2=D$2) * 'MTD Pivot'!$D$3:$K$400), "")</f>
        <v/>
      </c>
      <c r="E276" s="193">
        <f>IF(SUMPRODUCT((('MTD Pivot'!$B$3:$B$400=$A$267) + ('MTD Pivot'!$A$3:$A$400=$A$267) &gt; 0) * (TRIM('MTD Pivot'!$C$3:$C$400)=TRIM($A276)) * ('MTD Pivot'!$D$2:$K$2=E$2) * 'MTD Pivot'!$D$3:$K$400)&gt;0, SUMPRODUCT((('MTD Pivot'!$B$3:$B$400=$A$267) + ('MTD Pivot'!$A$3:$A$400=$A$267) &gt; 0) * (TRIM('MTD Pivot'!$C$3:$C$400)=TRIM($A276)) * ('MTD Pivot'!$D$2:$K$2=E$2) * 'MTD Pivot'!$D$3:$K$400), "")</f>
        <v/>
      </c>
      <c r="F276" s="193">
        <f>IF(SUMPRODUCT((('MTD Pivot'!$B$3:$B$400=$A$267) + ('MTD Pivot'!$A$3:$A$400=$A$267) &gt; 0) * (TRIM('MTD Pivot'!$C$3:$C$400)=TRIM($A276)) * ('MTD Pivot'!$D$2:$K$2=F$2) * 'MTD Pivot'!$D$3:$K$400)&gt;0, SUMPRODUCT((('MTD Pivot'!$B$3:$B$400=$A$267) + ('MTD Pivot'!$A$3:$A$400=$A$267) &gt; 0) * (TRIM('MTD Pivot'!$C$3:$C$400)=TRIM($A276)) * ('MTD Pivot'!$D$2:$K$2=F$2) * 'MTD Pivot'!$D$3:$K$400), "")</f>
        <v/>
      </c>
      <c r="G276" s="193">
        <f>IF(SUMPRODUCT((('MTD Pivot'!$B$3:$B$400=$A$267) + ('MTD Pivot'!$A$3:$A$400=$A$267) &gt; 0) * (TRIM('MTD Pivot'!$C$3:$C$400)=TRIM($A276)) * ('MTD Pivot'!$D$2:$K$2=G$2) * 'MTD Pivot'!$D$3:$K$400)&gt;0, SUMPRODUCT((('MTD Pivot'!$B$3:$B$400=$A$267) + ('MTD Pivot'!$A$3:$A$400=$A$267) &gt; 0) * (TRIM('MTD Pivot'!$C$3:$C$400)=TRIM($A276)) * ('MTD Pivot'!$D$2:$K$2=G$2) * 'MTD Pivot'!$D$3:$K$400), "")</f>
        <v/>
      </c>
      <c r="H276" s="193">
        <f>IF(SUMPRODUCT((('MTD Pivot'!$B$3:$B$400=$A$267) + ('MTD Pivot'!$A$3:$A$400=$A$267) &gt; 0) * (TRIM('MTD Pivot'!$C$3:$C$400)=TRIM($A276)) * ('MTD Pivot'!$D$2:$K$2=H$2) * 'MTD Pivot'!$D$3:$K$400)&gt;0, SUMPRODUCT((('MTD Pivot'!$B$3:$B$400=$A$267) + ('MTD Pivot'!$A$3:$A$400=$A$267) &gt; 0) * (TRIM('MTD Pivot'!$C$3:$C$400)=TRIM($A276)) * ('MTD Pivot'!$D$2:$K$2=H$2) * 'MTD Pivot'!$D$3:$K$400), "")</f>
        <v/>
      </c>
      <c r="I276" s="193">
        <f>IF(SUMPRODUCT((('MTD Pivot'!$B$3:$B$400=$A$267) + ('MTD Pivot'!$A$3:$A$400=$A$267) &gt; 0) * (TRIM('MTD Pivot'!$C$3:$C$400)=TRIM($A276)) * ('MTD Pivot'!$D$2:$K$2=I$2) * 'MTD Pivot'!$D$3:$K$400)&gt;0, SUMPRODUCT((('MTD Pivot'!$B$3:$B$400=$A$267) + ('MTD Pivot'!$A$3:$A$400=$A$267) &gt; 0) * (TRIM('MTD Pivot'!$C$3:$C$400)=TRIM($A276)) * ('MTD Pivot'!$D$2:$K$2=I$2) * 'MTD Pivot'!$D$3:$K$400), "")</f>
        <v/>
      </c>
      <c r="J276" s="193">
        <f>IF(SUMPRODUCT((('MTD Pivot'!$B$3:$B$400=$A$267) + ('MTD Pivot'!$A$3:$A$400=$A$267) &gt; 0) * (TRIM('MTD Pivot'!$C$3:$C$400)=TRIM($A276)) * ('MTD Pivot'!$D$2:$K$2=J$2) * 'MTD Pivot'!$D$3:$K$400)&gt;0, SUMPRODUCT((('MTD Pivot'!$B$3:$B$400=$A$267) + ('MTD Pivot'!$A$3:$A$400=$A$267) &gt; 0) * (TRIM('MTD Pivot'!$C$3:$C$400)=TRIM($A276)) * ('MTD Pivot'!$D$2:$K$2=J$2) * 'MTD Pivot'!$D$3:$K$400), "")</f>
        <v/>
      </c>
      <c r="K276" s="193">
        <f>IF(SUMPRODUCT((('MTD Pivot'!$B$3:$B$400=$A$267) + ('MTD Pivot'!$A$3:$A$400=$A$267) &gt; 0) * (TRIM('MTD Pivot'!$C$3:$C$400)=TRIM($A276)) * ('MTD Pivot'!$D$2:$K$2=K$2) * 'MTD Pivot'!$D$3:$K$400)&gt;0, SUMPRODUCT((('MTD Pivot'!$B$3:$B$400=$A$267) + ('MTD Pivot'!$A$3:$A$400=$A$267) &gt; 0) * (TRIM('MTD Pivot'!$C$3:$C$400)=TRIM($A276)) * ('MTD Pivot'!$D$2:$K$2=K$2) * 'MTD Pivot'!$D$3:$K$400), "")</f>
        <v/>
      </c>
      <c r="L276" s="193">
        <f>IF(SUMPRODUCT((('MTD Pivot'!$B$3:$B$400=$A$267) + ('MTD Pivot'!$A$3:$A$400=$A$267) &gt; 0) * (TRIM('MTD Pivot'!$C$3:$C$400)=TRIM($A276)) * ('MTD Pivot'!$D$2:$K$2=L$2) * 'MTD Pivot'!$D$3:$K$400)&gt;0, SUMPRODUCT((('MTD Pivot'!$B$3:$B$400=$A$267) + ('MTD Pivot'!$A$3:$A$400=$A$267) &gt; 0) * (TRIM('MTD Pivot'!$C$3:$C$400)=TRIM($A276)) * ('MTD Pivot'!$D$2:$K$2=L$2) * 'MTD Pivot'!$D$3:$K$400), "")</f>
        <v/>
      </c>
      <c r="M276" s="193">
        <f>IF(SUMPRODUCT((('MTD Pivot'!$B$3:$B$400=$A$267) + ('MTD Pivot'!$A$3:$A$400=$A$267) &gt; 0) * (TRIM('MTD Pivot'!$C$3:$C$400)=TRIM($A276)) * ('MTD Pivot'!$D$2:$K$2=M$2) * 'MTD Pivot'!$D$3:$K$400)&gt;0, SUMPRODUCT((('MTD Pivot'!$B$3:$B$400=$A$267) + ('MTD Pivot'!$A$3:$A$400=$A$267) &gt; 0) * (TRIM('MTD Pivot'!$C$3:$C$400)=TRIM($A276)) * ('MTD Pivot'!$D$2:$K$2=M$2) * 'MTD Pivot'!$D$3:$K$400), "")</f>
        <v/>
      </c>
      <c r="N276" s="157">
        <f>IF(AND(ISNUMBER(K276), ISNUMBER(J276), J276&gt;0), (K276-J276)/J276, "")</f>
        <v/>
      </c>
      <c r="O276" s="193">
        <f>IF(SUMPRODUCT((('Full month Pivot'!$B$3:$B$400=$A$267) + ('Full month Pivot'!$A$3:$A$400=$A$267) &gt; 0) * (TRIM('Full month Pivot'!$C$3:$C$400)=TRIM($A276)) * ('Full month Pivot'!$D$2:$K$2=O$2) * 'Full month Pivot'!$D$3:$K$400)&gt;0, SUMPRODUCT((('Full month Pivot'!$B$3:$B$400=$A$267) + ('Full month Pivot'!$A$3:$A$400=$A$267) &gt; 0) * (TRIM('Full month Pivot'!$C$3:$C$400)=TRIM($A276)) * ('Full month Pivot'!$D$2:$K$2=O$2) * 'Full month Pivot'!$D$3:$K$400), "")</f>
        <v/>
      </c>
      <c r="P276" s="193">
        <f>IF(SUMPRODUCT((('Full month Pivot'!$B$3:$B$400=$A$267) + ('Full month Pivot'!$A$3:$A$400=$A$267) &gt; 0) * (TRIM('Full month Pivot'!$C$3:$C$400)=TRIM($A276)) * ('Full month Pivot'!$D$2:$K$2=P$2) * 'Full month Pivot'!$D$3:$K$400)&gt;0, SUMPRODUCT((('Full month Pivot'!$B$3:$B$400=$A$267) + ('Full month Pivot'!$A$3:$A$400=$A$267) &gt; 0) * (TRIM('Full month Pivot'!$C$3:$C$400)=TRIM($A276)) * ('Full month Pivot'!$D$2:$K$2=P$2) * 'Full month Pivot'!$D$3:$K$400), "")</f>
        <v/>
      </c>
      <c r="Q276" s="193">
        <f>IF(SUMPRODUCT((('Full month Pivot'!$B$3:$B$400=$A$267) + ('Full month Pivot'!$A$3:$A$400=$A$267) &gt; 0) * (TRIM('Full month Pivot'!$C$3:$C$400)=TRIM($A276)) * ('Full month Pivot'!$D$2:$K$2=Q$2) * 'Full month Pivot'!$D$3:$K$400)&gt;0, SUMPRODUCT((('Full month Pivot'!$B$3:$B$400=$A$267) + ('Full month Pivot'!$A$3:$A$400=$A$267) &gt; 0) * (TRIM('Full month Pivot'!$C$3:$C$400)=TRIM($A276)) * ('Full month Pivot'!$D$2:$K$2=Q$2) * 'Full month Pivot'!$D$3:$K$400), "")</f>
        <v/>
      </c>
      <c r="R276" s="193">
        <f>IF(SUMPRODUCT((('Full month Pivot'!$B$3:$B$400=$A$267) + ('Full month Pivot'!$A$3:$A$400=$A$267) &gt; 0) * (TRIM('Full month Pivot'!$C$3:$C$400)=TRIM($A276)) * ('Full month Pivot'!$D$2:$K$2=R$2) * 'Full month Pivot'!$D$3:$K$400)&gt;0, SUMPRODUCT((('Full month Pivot'!$B$3:$B$400=$A$267) + ('Full month Pivot'!$A$3:$A$400=$A$267) &gt; 0) * (TRIM('Full month Pivot'!$C$3:$C$400)=TRIM($A276)) * ('Full month Pivot'!$D$2:$K$2=R$2) * 'Full month Pivot'!$D$3:$K$400), "")</f>
        <v/>
      </c>
      <c r="S276" s="193">
        <f>IF(SUMPRODUCT((('Full month Pivot'!$B$3:$B$400=$A$267) + ('Full month Pivot'!$A$3:$A$400=$A$267) &gt; 0) * (TRIM('Full month Pivot'!$C$3:$C$400)=TRIM($A276)) * ('Full month Pivot'!$D$2:$K$2=S$2) * 'Full month Pivot'!$D$3:$K$400)&gt;0, SUMPRODUCT((('Full month Pivot'!$B$3:$B$400=$A$267) + ('Full month Pivot'!$A$3:$A$400=$A$267) &gt; 0) * (TRIM('Full month Pivot'!$C$3:$C$400)=TRIM($A276)) * ('Full month Pivot'!$D$2:$K$2=S$2) * 'Full month Pivot'!$D$3:$K$400), "")</f>
        <v/>
      </c>
      <c r="T276" s="193">
        <f>IF(SUMPRODUCT((('Full month Pivot'!$B$3:$B$400=$A$267) + ('Full month Pivot'!$A$3:$A$400=$A$267) &gt; 0) * (TRIM('Full month Pivot'!$C$3:$C$400)=TRIM($A276)) * ('Full month Pivot'!$D$2:$K$2=T$2) * 'Full month Pivot'!$D$3:$K$400)&gt;0, SUMPRODUCT((('Full month Pivot'!$B$3:$B$400=$A$267) + ('Full month Pivot'!$A$3:$A$400=$A$267) &gt; 0) * (TRIM('Full month Pivot'!$C$3:$C$400)=TRIM($A276)) * ('Full month Pivot'!$D$2:$K$2=T$2) * 'Full month Pivot'!$D$3:$K$400), "")</f>
        <v/>
      </c>
      <c r="U276" s="193">
        <f>IF(SUMPRODUCT((('Full month Pivot'!$B$3:$B$400=$A$267) + ('Full month Pivot'!$A$3:$A$400=$A$267) &gt; 0) * (TRIM('Full month Pivot'!$C$3:$C$400)=TRIM($A276)) * ('Full month Pivot'!$D$2:$K$2=U$2) * 'Full month Pivot'!$D$3:$K$400)&gt;0, SUMPRODUCT((('Full month Pivot'!$B$3:$B$400=$A$267) + ('Full month Pivot'!$A$3:$A$400=$A$267) &gt; 0) * (TRIM('Full month Pivot'!$C$3:$C$400)=TRIM($A276)) * ('Full month Pivot'!$D$2:$K$2=U$2) * 'Full month Pivot'!$D$3:$K$400), "")</f>
        <v/>
      </c>
      <c r="V276" s="193">
        <f>IF(SUMPRODUCT((('Full month Pivot'!$B$3:$B$400=$A$267) + ('Full month Pivot'!$A$3:$A$400=$A$267) &gt; 0) * (TRIM('Full month Pivot'!$C$3:$C$400)=TRIM($A276)) * ('Full month Pivot'!$D$2:$K$2=V$2) * 'Full month Pivot'!$D$3:$K$400)&gt;0, SUMPRODUCT((('Full month Pivot'!$B$3:$B$400=$A$267) + ('Full month Pivot'!$A$3:$A$400=$A$267) &gt; 0) * (TRIM('Full month Pivot'!$C$3:$C$400)=TRIM($A276)) * ('Full month Pivot'!$D$2:$K$2=V$2) * 'Full month Pivot'!$D$3:$K$400), "")</f>
        <v/>
      </c>
      <c r="W276" s="193">
        <f>IF(SUMPRODUCT((('Full month Pivot'!$B$3:$B$400=$A$267) + ('Full month Pivot'!$A$3:$A$400=$A$267) &gt; 0) * (TRIM('Full month Pivot'!$C$3:$C$400)=TRIM($A276)) * ('Full month Pivot'!$D$2:$K$2=W$2) * 'Full month Pivot'!$D$3:$K$400)&gt;0, SUMPRODUCT((('Full month Pivot'!$B$3:$B$400=$A$267) + ('Full month Pivot'!$A$3:$A$400=$A$267) &gt; 0) * (TRIM('Full month Pivot'!$C$3:$C$400)=TRIM($A276)) * ('Full month Pivot'!$D$2:$K$2=W$2) * 'Full month Pivot'!$D$3:$K$400), "")</f>
        <v/>
      </c>
      <c r="X276" s="193">
        <f>IF(SUMPRODUCT((('Full month Pivot'!$B$3:$B$400=$A$267) + ('Full month Pivot'!$A$3:$A$400=$A$267) &gt; 0) * (TRIM('Full month Pivot'!$C$3:$C$400)=TRIM($A276)) * ('Full month Pivot'!$D$2:$K$2=X$2) * 'Full month Pivot'!$D$3:$K$400)&gt;0, SUMPRODUCT((('Full month Pivot'!$B$3:$B$400=$A$267) + ('Full month Pivot'!$A$3:$A$400=$A$267) &gt; 0) * (TRIM('Full month Pivot'!$C$3:$C$400)=TRIM($A276)) * ('Full month Pivot'!$D$2:$K$2=X$2) * 'Full month Pivot'!$D$3:$K$400), "")</f>
        <v/>
      </c>
      <c r="Y276" s="193">
        <f>IF(SUMPRODUCT((('Full month Pivot'!$B$3:$B$400=$A$267) + ('Full month Pivot'!$A$3:$A$400=$A$267) &gt; 0) * (TRIM('Full month Pivot'!$C$3:$C$400)=TRIM($A276)) * ('Full month Pivot'!$D$2:$K$2=Y$2) * 'Full month Pivot'!$D$3:$K$400)&gt;0, SUMPRODUCT((('Full month Pivot'!$B$3:$B$400=$A$267) + ('Full month Pivot'!$A$3:$A$400=$A$267) &gt; 0) * (TRIM('Full month Pivot'!$C$3:$C$400)=TRIM($A276)) * ('Full month Pivot'!$D$2:$K$2=Y$2) * 'Full month Pivot'!$D$3:$K$400), "")</f>
        <v/>
      </c>
      <c r="Z276" s="193">
        <f>IF(SUMPRODUCT((('Full month Pivot'!$B$3:$B$400=$A$267) + ('Full month Pivot'!$A$3:$A$400=$A$267) &gt; 0) * (TRIM('Full month Pivot'!$C$3:$C$400)=TRIM($A276)) * ('Full month Pivot'!$D$2:$K$2=Z$2) * 'Full month Pivot'!$D$3:$K$400)&gt;0, SUMPRODUCT((('Full month Pivot'!$B$3:$B$400=$A$267) + ('Full month Pivot'!$A$3:$A$400=$A$267) &gt; 0) * (TRIM('Full month Pivot'!$C$3:$C$400)=TRIM($A276)) * ('Full month Pivot'!$D$2:$K$2=Z$2) * 'Full month Pivot'!$D$3:$K$400), "")</f>
        <v/>
      </c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202" t="inlineStr">
        <is>
          <t xml:space="preserve">  Others</t>
        </is>
      </c>
      <c r="B277" s="193">
        <f>IF(SUMPRODUCT((('MTD Pivot'!$B$3:$B$400=$A$267) + ('MTD Pivot'!$A$3:$A$400=$A$267) &gt; 0) * (TRIM('MTD Pivot'!$C$3:$C$400)=TRIM($A277)) * ('MTD Pivot'!$D$2:$K$2=B$2) * 'MTD Pivot'!$D$3:$K$400)&gt;0, SUMPRODUCT((('MTD Pivot'!$B$3:$B$400=$A$267) + ('MTD Pivot'!$A$3:$A$400=$A$267) &gt; 0) * (TRIM('MTD Pivot'!$C$3:$C$400)=TRIM($A277)) * ('MTD Pivot'!$D$2:$K$2=B$2) * 'MTD Pivot'!$D$3:$K$400), "")</f>
        <v/>
      </c>
      <c r="C277" s="193">
        <f>IF(SUMPRODUCT((('MTD Pivot'!$B$3:$B$400=$A$267) + ('MTD Pivot'!$A$3:$A$400=$A$267) &gt; 0) * (TRIM('MTD Pivot'!$C$3:$C$400)=TRIM($A277)) * ('MTD Pivot'!$D$2:$K$2=C$2) * 'MTD Pivot'!$D$3:$K$400)&gt;0, SUMPRODUCT((('MTD Pivot'!$B$3:$B$400=$A$267) + ('MTD Pivot'!$A$3:$A$400=$A$267) &gt; 0) * (TRIM('MTD Pivot'!$C$3:$C$400)=TRIM($A277)) * ('MTD Pivot'!$D$2:$K$2=C$2) * 'MTD Pivot'!$D$3:$K$400), "")</f>
        <v/>
      </c>
      <c r="D277" s="193">
        <f>IF(SUMPRODUCT((('MTD Pivot'!$B$3:$B$400=$A$267) + ('MTD Pivot'!$A$3:$A$400=$A$267) &gt; 0) * (TRIM('MTD Pivot'!$C$3:$C$400)=TRIM($A277)) * ('MTD Pivot'!$D$2:$K$2=D$2) * 'MTD Pivot'!$D$3:$K$400)&gt;0, SUMPRODUCT((('MTD Pivot'!$B$3:$B$400=$A$267) + ('MTD Pivot'!$A$3:$A$400=$A$267) &gt; 0) * (TRIM('MTD Pivot'!$C$3:$C$400)=TRIM($A277)) * ('MTD Pivot'!$D$2:$K$2=D$2) * 'MTD Pivot'!$D$3:$K$400), "")</f>
        <v/>
      </c>
      <c r="E277" s="193">
        <f>IF(SUMPRODUCT((('MTD Pivot'!$B$3:$B$400=$A$267) + ('MTD Pivot'!$A$3:$A$400=$A$267) &gt; 0) * (TRIM('MTD Pivot'!$C$3:$C$400)=TRIM($A277)) * ('MTD Pivot'!$D$2:$K$2=E$2) * 'MTD Pivot'!$D$3:$K$400)&gt;0, SUMPRODUCT((('MTD Pivot'!$B$3:$B$400=$A$267) + ('MTD Pivot'!$A$3:$A$400=$A$267) &gt; 0) * (TRIM('MTD Pivot'!$C$3:$C$400)=TRIM($A277)) * ('MTD Pivot'!$D$2:$K$2=E$2) * 'MTD Pivot'!$D$3:$K$400), "")</f>
        <v/>
      </c>
      <c r="F277" s="193">
        <f>IF(SUMPRODUCT((('MTD Pivot'!$B$3:$B$400=$A$267) + ('MTD Pivot'!$A$3:$A$400=$A$267) &gt; 0) * (TRIM('MTD Pivot'!$C$3:$C$400)=TRIM($A277)) * ('MTD Pivot'!$D$2:$K$2=F$2) * 'MTD Pivot'!$D$3:$K$400)&gt;0, SUMPRODUCT((('MTD Pivot'!$B$3:$B$400=$A$267) + ('MTD Pivot'!$A$3:$A$400=$A$267) &gt; 0) * (TRIM('MTD Pivot'!$C$3:$C$400)=TRIM($A277)) * ('MTD Pivot'!$D$2:$K$2=F$2) * 'MTD Pivot'!$D$3:$K$400), "")</f>
        <v/>
      </c>
      <c r="G277" s="193">
        <f>IF(SUMPRODUCT((('MTD Pivot'!$B$3:$B$400=$A$267) + ('MTD Pivot'!$A$3:$A$400=$A$267) &gt; 0) * (TRIM('MTD Pivot'!$C$3:$C$400)=TRIM($A277)) * ('MTD Pivot'!$D$2:$K$2=G$2) * 'MTD Pivot'!$D$3:$K$400)&gt;0, SUMPRODUCT((('MTD Pivot'!$B$3:$B$400=$A$267) + ('MTD Pivot'!$A$3:$A$400=$A$267) &gt; 0) * (TRIM('MTD Pivot'!$C$3:$C$400)=TRIM($A277)) * ('MTD Pivot'!$D$2:$K$2=G$2) * 'MTD Pivot'!$D$3:$K$400), "")</f>
        <v/>
      </c>
      <c r="H277" s="193">
        <f>IF(SUMPRODUCT((('MTD Pivot'!$B$3:$B$400=$A$267) + ('MTD Pivot'!$A$3:$A$400=$A$267) &gt; 0) * (TRIM('MTD Pivot'!$C$3:$C$400)=TRIM($A277)) * ('MTD Pivot'!$D$2:$K$2=H$2) * 'MTD Pivot'!$D$3:$K$400)&gt;0, SUMPRODUCT((('MTD Pivot'!$B$3:$B$400=$A$267) + ('MTD Pivot'!$A$3:$A$400=$A$267) &gt; 0) * (TRIM('MTD Pivot'!$C$3:$C$400)=TRIM($A277)) * ('MTD Pivot'!$D$2:$K$2=H$2) * 'MTD Pivot'!$D$3:$K$400), "")</f>
        <v/>
      </c>
      <c r="I277" s="193">
        <f>IF(SUMPRODUCT((('MTD Pivot'!$B$3:$B$400=$A$267) + ('MTD Pivot'!$A$3:$A$400=$A$267) &gt; 0) * (TRIM('MTD Pivot'!$C$3:$C$400)=TRIM($A277)) * ('MTD Pivot'!$D$2:$K$2=I$2) * 'MTD Pivot'!$D$3:$K$400)&gt;0, SUMPRODUCT((('MTD Pivot'!$B$3:$B$400=$A$267) + ('MTD Pivot'!$A$3:$A$400=$A$267) &gt; 0) * (TRIM('MTD Pivot'!$C$3:$C$400)=TRIM($A277)) * ('MTD Pivot'!$D$2:$K$2=I$2) * 'MTD Pivot'!$D$3:$K$400), "")</f>
        <v/>
      </c>
      <c r="J277" s="193">
        <f>IF(SUMPRODUCT((('MTD Pivot'!$B$3:$B$400=$A$267) + ('MTD Pivot'!$A$3:$A$400=$A$267) &gt; 0) * (TRIM('MTD Pivot'!$C$3:$C$400)=TRIM($A277)) * ('MTD Pivot'!$D$2:$K$2=J$2) * 'MTD Pivot'!$D$3:$K$400)&gt;0, SUMPRODUCT((('MTD Pivot'!$B$3:$B$400=$A$267) + ('MTD Pivot'!$A$3:$A$400=$A$267) &gt; 0) * (TRIM('MTD Pivot'!$C$3:$C$400)=TRIM($A277)) * ('MTD Pivot'!$D$2:$K$2=J$2) * 'MTD Pivot'!$D$3:$K$400), "")</f>
        <v/>
      </c>
      <c r="K277" s="193">
        <f>IF(SUMPRODUCT((('MTD Pivot'!$B$3:$B$400=$A$267) + ('MTD Pivot'!$A$3:$A$400=$A$267) &gt; 0) * (TRIM('MTD Pivot'!$C$3:$C$400)=TRIM($A277)) * ('MTD Pivot'!$D$2:$K$2=K$2) * 'MTD Pivot'!$D$3:$K$400)&gt;0, SUMPRODUCT((('MTD Pivot'!$B$3:$B$400=$A$267) + ('MTD Pivot'!$A$3:$A$400=$A$267) &gt; 0) * (TRIM('MTD Pivot'!$C$3:$C$400)=TRIM($A277)) * ('MTD Pivot'!$D$2:$K$2=K$2) * 'MTD Pivot'!$D$3:$K$400), "")</f>
        <v/>
      </c>
      <c r="L277" s="193">
        <f>IF(SUMPRODUCT((('MTD Pivot'!$B$3:$B$400=$A$267) + ('MTD Pivot'!$A$3:$A$400=$A$267) &gt; 0) * (TRIM('MTD Pivot'!$C$3:$C$400)=TRIM($A277)) * ('MTD Pivot'!$D$2:$K$2=L$2) * 'MTD Pivot'!$D$3:$K$400)&gt;0, SUMPRODUCT((('MTD Pivot'!$B$3:$B$400=$A$267) + ('MTD Pivot'!$A$3:$A$400=$A$267) &gt; 0) * (TRIM('MTD Pivot'!$C$3:$C$400)=TRIM($A277)) * ('MTD Pivot'!$D$2:$K$2=L$2) * 'MTD Pivot'!$D$3:$K$400), "")</f>
        <v/>
      </c>
      <c r="M277" s="193">
        <f>IF(SUMPRODUCT((('MTD Pivot'!$B$3:$B$400=$A$267) + ('MTD Pivot'!$A$3:$A$400=$A$267) &gt; 0) * (TRIM('MTD Pivot'!$C$3:$C$400)=TRIM($A277)) * ('MTD Pivot'!$D$2:$K$2=M$2) * 'MTD Pivot'!$D$3:$K$400)&gt;0, SUMPRODUCT((('MTD Pivot'!$B$3:$B$400=$A$267) + ('MTD Pivot'!$A$3:$A$400=$A$267) &gt; 0) * (TRIM('MTD Pivot'!$C$3:$C$400)=TRIM($A277)) * ('MTD Pivot'!$D$2:$K$2=M$2) * 'MTD Pivot'!$D$3:$K$400), "")</f>
        <v/>
      </c>
      <c r="N277" s="157">
        <f>IF(AND(ISNUMBER(K277), ISNUMBER(J277), J277&gt;0), (K277-J277)/J277, "")</f>
        <v/>
      </c>
      <c r="O277" s="193">
        <f>IF(SUMPRODUCT((('Full month Pivot'!$B$3:$B$400=$A$267) + ('Full month Pivot'!$A$3:$A$400=$A$267) &gt; 0) * (TRIM('Full month Pivot'!$C$3:$C$400)=TRIM($A277)) * ('Full month Pivot'!$D$2:$K$2=O$2) * 'Full month Pivot'!$D$3:$K$400)&gt;0, SUMPRODUCT((('Full month Pivot'!$B$3:$B$400=$A$267) + ('Full month Pivot'!$A$3:$A$400=$A$267) &gt; 0) * (TRIM('Full month Pivot'!$C$3:$C$400)=TRIM($A277)) * ('Full month Pivot'!$D$2:$K$2=O$2) * 'Full month Pivot'!$D$3:$K$400), "")</f>
        <v/>
      </c>
      <c r="P277" s="193">
        <f>IF(SUMPRODUCT((('Full month Pivot'!$B$3:$B$400=$A$267) + ('Full month Pivot'!$A$3:$A$400=$A$267) &gt; 0) * (TRIM('Full month Pivot'!$C$3:$C$400)=TRIM($A277)) * ('Full month Pivot'!$D$2:$K$2=P$2) * 'Full month Pivot'!$D$3:$K$400)&gt;0, SUMPRODUCT((('Full month Pivot'!$B$3:$B$400=$A$267) + ('Full month Pivot'!$A$3:$A$400=$A$267) &gt; 0) * (TRIM('Full month Pivot'!$C$3:$C$400)=TRIM($A277)) * ('Full month Pivot'!$D$2:$K$2=P$2) * 'Full month Pivot'!$D$3:$K$400), "")</f>
        <v/>
      </c>
      <c r="Q277" s="193">
        <f>IF(SUMPRODUCT((('Full month Pivot'!$B$3:$B$400=$A$267) + ('Full month Pivot'!$A$3:$A$400=$A$267) &gt; 0) * (TRIM('Full month Pivot'!$C$3:$C$400)=TRIM($A277)) * ('Full month Pivot'!$D$2:$K$2=Q$2) * 'Full month Pivot'!$D$3:$K$400)&gt;0, SUMPRODUCT((('Full month Pivot'!$B$3:$B$400=$A$267) + ('Full month Pivot'!$A$3:$A$400=$A$267) &gt; 0) * (TRIM('Full month Pivot'!$C$3:$C$400)=TRIM($A277)) * ('Full month Pivot'!$D$2:$K$2=Q$2) * 'Full month Pivot'!$D$3:$K$400), "")</f>
        <v/>
      </c>
      <c r="R277" s="193">
        <f>IF(SUMPRODUCT((('Full month Pivot'!$B$3:$B$400=$A$267) + ('Full month Pivot'!$A$3:$A$400=$A$267) &gt; 0) * (TRIM('Full month Pivot'!$C$3:$C$400)=TRIM($A277)) * ('Full month Pivot'!$D$2:$K$2=R$2) * 'Full month Pivot'!$D$3:$K$400)&gt;0, SUMPRODUCT((('Full month Pivot'!$B$3:$B$400=$A$267) + ('Full month Pivot'!$A$3:$A$400=$A$267) &gt; 0) * (TRIM('Full month Pivot'!$C$3:$C$400)=TRIM($A277)) * ('Full month Pivot'!$D$2:$K$2=R$2) * 'Full month Pivot'!$D$3:$K$400), "")</f>
        <v/>
      </c>
      <c r="S277" s="193">
        <f>IF(SUMPRODUCT((('Full month Pivot'!$B$3:$B$400=$A$267) + ('Full month Pivot'!$A$3:$A$400=$A$267) &gt; 0) * (TRIM('Full month Pivot'!$C$3:$C$400)=TRIM($A277)) * ('Full month Pivot'!$D$2:$K$2=S$2) * 'Full month Pivot'!$D$3:$K$400)&gt;0, SUMPRODUCT((('Full month Pivot'!$B$3:$B$400=$A$267) + ('Full month Pivot'!$A$3:$A$400=$A$267) &gt; 0) * (TRIM('Full month Pivot'!$C$3:$C$400)=TRIM($A277)) * ('Full month Pivot'!$D$2:$K$2=S$2) * 'Full month Pivot'!$D$3:$K$400), "")</f>
        <v/>
      </c>
      <c r="T277" s="193">
        <f>IF(SUMPRODUCT((('Full month Pivot'!$B$3:$B$400=$A$267) + ('Full month Pivot'!$A$3:$A$400=$A$267) &gt; 0) * (TRIM('Full month Pivot'!$C$3:$C$400)=TRIM($A277)) * ('Full month Pivot'!$D$2:$K$2=T$2) * 'Full month Pivot'!$D$3:$K$400)&gt;0, SUMPRODUCT((('Full month Pivot'!$B$3:$B$400=$A$267) + ('Full month Pivot'!$A$3:$A$400=$A$267) &gt; 0) * (TRIM('Full month Pivot'!$C$3:$C$400)=TRIM($A277)) * ('Full month Pivot'!$D$2:$K$2=T$2) * 'Full month Pivot'!$D$3:$K$400), "")</f>
        <v/>
      </c>
      <c r="U277" s="193">
        <f>IF(SUMPRODUCT((('Full month Pivot'!$B$3:$B$400=$A$267) + ('Full month Pivot'!$A$3:$A$400=$A$267) &gt; 0) * (TRIM('Full month Pivot'!$C$3:$C$400)=TRIM($A277)) * ('Full month Pivot'!$D$2:$K$2=U$2) * 'Full month Pivot'!$D$3:$K$400)&gt;0, SUMPRODUCT((('Full month Pivot'!$B$3:$B$400=$A$267) + ('Full month Pivot'!$A$3:$A$400=$A$267) &gt; 0) * (TRIM('Full month Pivot'!$C$3:$C$400)=TRIM($A277)) * ('Full month Pivot'!$D$2:$K$2=U$2) * 'Full month Pivot'!$D$3:$K$400), "")</f>
        <v/>
      </c>
      <c r="V277" s="193">
        <f>IF(SUMPRODUCT((('Full month Pivot'!$B$3:$B$400=$A$267) + ('Full month Pivot'!$A$3:$A$400=$A$267) &gt; 0) * (TRIM('Full month Pivot'!$C$3:$C$400)=TRIM($A277)) * ('Full month Pivot'!$D$2:$K$2=V$2) * 'Full month Pivot'!$D$3:$K$400)&gt;0, SUMPRODUCT((('Full month Pivot'!$B$3:$B$400=$A$267) + ('Full month Pivot'!$A$3:$A$400=$A$267) &gt; 0) * (TRIM('Full month Pivot'!$C$3:$C$400)=TRIM($A277)) * ('Full month Pivot'!$D$2:$K$2=V$2) * 'Full month Pivot'!$D$3:$K$400), "")</f>
        <v/>
      </c>
      <c r="W277" s="193">
        <f>IF(SUMPRODUCT((('Full month Pivot'!$B$3:$B$400=$A$267) + ('Full month Pivot'!$A$3:$A$400=$A$267) &gt; 0) * (TRIM('Full month Pivot'!$C$3:$C$400)=TRIM($A277)) * ('Full month Pivot'!$D$2:$K$2=W$2) * 'Full month Pivot'!$D$3:$K$400)&gt;0, SUMPRODUCT((('Full month Pivot'!$B$3:$B$400=$A$267) + ('Full month Pivot'!$A$3:$A$400=$A$267) &gt; 0) * (TRIM('Full month Pivot'!$C$3:$C$400)=TRIM($A277)) * ('Full month Pivot'!$D$2:$K$2=W$2) * 'Full month Pivot'!$D$3:$K$400), "")</f>
        <v/>
      </c>
      <c r="X277" s="193">
        <f>IF(SUMPRODUCT((('Full month Pivot'!$B$3:$B$400=$A$267) + ('Full month Pivot'!$A$3:$A$400=$A$267) &gt; 0) * (TRIM('Full month Pivot'!$C$3:$C$400)=TRIM($A277)) * ('Full month Pivot'!$D$2:$K$2=X$2) * 'Full month Pivot'!$D$3:$K$400)&gt;0, SUMPRODUCT((('Full month Pivot'!$B$3:$B$400=$A$267) + ('Full month Pivot'!$A$3:$A$400=$A$267) &gt; 0) * (TRIM('Full month Pivot'!$C$3:$C$400)=TRIM($A277)) * ('Full month Pivot'!$D$2:$K$2=X$2) * 'Full month Pivot'!$D$3:$K$400), "")</f>
        <v/>
      </c>
      <c r="Y277" s="193">
        <f>IF(SUMPRODUCT((('Full month Pivot'!$B$3:$B$400=$A$267) + ('Full month Pivot'!$A$3:$A$400=$A$267) &gt; 0) * (TRIM('Full month Pivot'!$C$3:$C$400)=TRIM($A277)) * ('Full month Pivot'!$D$2:$K$2=Y$2) * 'Full month Pivot'!$D$3:$K$400)&gt;0, SUMPRODUCT((('Full month Pivot'!$B$3:$B$400=$A$267) + ('Full month Pivot'!$A$3:$A$400=$A$267) &gt; 0) * (TRIM('Full month Pivot'!$C$3:$C$400)=TRIM($A277)) * ('Full month Pivot'!$D$2:$K$2=Y$2) * 'Full month Pivot'!$D$3:$K$400), "")</f>
        <v/>
      </c>
      <c r="Z277" s="193">
        <f>IF(SUMPRODUCT((('Full month Pivot'!$B$3:$B$400=$A$267) + ('Full month Pivot'!$A$3:$A$400=$A$267) &gt; 0) * (TRIM('Full month Pivot'!$C$3:$C$400)=TRIM($A277)) * ('Full month Pivot'!$D$2:$K$2=Z$2) * 'Full month Pivot'!$D$3:$K$400)&gt;0, SUMPRODUCT((('Full month Pivot'!$B$3:$B$400=$A$267) + ('Full month Pivot'!$A$3:$A$400=$A$267) &gt; 0) * (TRIM('Full month Pivot'!$C$3:$C$400)=TRIM($A277)) * ('Full month Pivot'!$D$2:$K$2=Z$2) * 'Full month Pivot'!$D$3:$K$400), "")</f>
        <v/>
      </c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202" t="n"/>
      <c r="B278" s="202" t="n"/>
      <c r="C278" s="202" t="n"/>
      <c r="D278" s="202" t="n"/>
      <c r="E278" s="202" t="n"/>
      <c r="F278" s="202" t="n"/>
      <c r="G278" s="202" t="n"/>
      <c r="H278" s="202" t="n"/>
      <c r="I278" s="202" t="n"/>
      <c r="J278" s="202" t="n"/>
      <c r="K278" s="202" t="n"/>
      <c r="L278" s="202" t="n"/>
      <c r="M278" s="202" t="n"/>
      <c r="N278" s="202" t="n"/>
      <c r="O278" s="202" t="n"/>
      <c r="P278" s="202" t="n"/>
      <c r="Q278" s="202" t="n"/>
      <c r="R278" s="202" t="n"/>
      <c r="S278" s="202" t="n"/>
      <c r="T278" s="202" t="n"/>
      <c r="U278" s="202" t="n"/>
      <c r="V278" s="202" t="n"/>
      <c r="W278" s="202" t="n"/>
      <c r="X278" s="202" t="n"/>
      <c r="Y278" s="202" t="n"/>
      <c r="Z278" s="202" t="n"/>
      <c r="AA278" s="202" t="n"/>
      <c r="AB278" s="140" t="n"/>
      <c r="AC278" s="140" t="n"/>
      <c r="AD278" s="140" t="n"/>
    </row>
    <row r="279" ht="15.75" customHeight="1" s="346">
      <c r="A279" s="145" t="inlineStr">
        <is>
          <t>Trust</t>
        </is>
      </c>
      <c r="B279" s="145" t="n"/>
      <c r="C279" s="145" t="n"/>
      <c r="D279" s="145" t="n"/>
      <c r="E279" s="145" t="n"/>
      <c r="F279" s="145" t="n"/>
      <c r="G279" s="145" t="n"/>
      <c r="H279" s="145" t="n"/>
      <c r="I279" s="145" t="n"/>
      <c r="J279" s="145" t="n"/>
      <c r="K279" s="145" t="n"/>
      <c r="L279" s="145" t="n"/>
      <c r="M279" s="145" t="n"/>
      <c r="N279" s="145" t="n"/>
      <c r="O279" s="145" t="n"/>
      <c r="P279" s="145" t="n"/>
      <c r="Q279" s="145" t="n"/>
      <c r="R279" s="145" t="n"/>
      <c r="S279" s="145" t="n"/>
      <c r="T279" s="145" t="n"/>
      <c r="U279" s="145" t="n"/>
      <c r="V279" s="145" t="n"/>
      <c r="W279" s="145" t="n"/>
      <c r="X279" s="145" t="n"/>
      <c r="Y279" s="145" t="n"/>
      <c r="Z279" s="145" t="n"/>
      <c r="AA279" s="145" t="n"/>
      <c r="AB279" s="140" t="n"/>
      <c r="AC279" s="140" t="n"/>
      <c r="AD279" s="140" t="n"/>
    </row>
    <row r="280" ht="15.75" customHeight="1" s="346">
      <c r="A280" s="146" t="inlineStr">
        <is>
          <t>Page views</t>
        </is>
      </c>
      <c r="B280" s="147">
        <f>IF(SUM(B285:B289)&gt;0, SUM(B285:B289), "")</f>
        <v/>
      </c>
      <c r="C280" s="147">
        <f>IF(SUM(C285:C289)&gt;0, SUM(C285:C289), "")</f>
        <v/>
      </c>
      <c r="D280" s="147">
        <f>IF(SUM(D285:D289)&gt;0, SUM(D285:D289), "")</f>
        <v/>
      </c>
      <c r="E280" s="147">
        <f>IF(SUM(E285:E289)&gt;0, SUM(E285:E289), "")</f>
        <v/>
      </c>
      <c r="F280" s="147">
        <f>IF(SUM(F285:F289)&gt;0, SUM(F285:F289), "")</f>
        <v/>
      </c>
      <c r="G280" s="147">
        <f>IF(SUM(G285:G289)&gt;0, SUM(G285:G289), "")</f>
        <v/>
      </c>
      <c r="H280" s="147">
        <f>IF(SUM(H285:H289)&gt;0, SUM(H285:H289), "")</f>
        <v/>
      </c>
      <c r="I280" s="147">
        <f>IF(SUM(I285:I289)&gt;0, SUM(I285:I289), "")</f>
        <v/>
      </c>
      <c r="J280" s="147">
        <f>IF(SUM(J285:J289)&gt;0, SUM(J285:J289), "")</f>
        <v/>
      </c>
      <c r="K280" s="147">
        <f>IF(SUM(K285:K289)&gt;0, SUM(K285:K289), "")</f>
        <v/>
      </c>
      <c r="L280" s="147">
        <f>IF(SUM(L285:L289)&gt;0, SUM(L285:L289), "")</f>
        <v/>
      </c>
      <c r="M280" s="147">
        <f>IF(SUM(M285:M289)&gt;0, SUM(M285:M289), "")</f>
        <v/>
      </c>
      <c r="N280" s="148">
        <f>IFERROR((K280-J280)/J280, "")</f>
        <v/>
      </c>
      <c r="O280" s="147">
        <f>IF(SUM(O285:O289)&gt;0, SUM(O285:O289), "")</f>
        <v/>
      </c>
      <c r="P280" s="147">
        <f>IF(SUM(P285:P289)&gt;0, SUM(P285:P289), "")</f>
        <v/>
      </c>
      <c r="Q280" s="147">
        <f>IF(SUM(Q285:Q289)&gt;0, SUM(Q285:Q289), "")</f>
        <v/>
      </c>
      <c r="R280" s="147">
        <f>IF(SUM(R285:R289)&gt;0, SUM(R285:R289), "")</f>
        <v/>
      </c>
      <c r="S280" s="147">
        <f>IF(SUM(S285:S289)&gt;0, SUM(S285:S289), "")</f>
        <v/>
      </c>
      <c r="T280" s="147">
        <f>IF(SUM(T285:T289)&gt;0, SUM(T285:T289), "")</f>
        <v/>
      </c>
      <c r="U280" s="147">
        <f>IF(SUM(U285:U289)&gt;0, SUM(U285:U289), "")</f>
        <v/>
      </c>
      <c r="V280" s="147">
        <f>IF(SUM(V285:V289)&gt;0, SUM(V285:V289), "")</f>
        <v/>
      </c>
      <c r="W280" s="147">
        <f>IF(SUM(W285:W289)&gt;0, SUM(W285:W289), "")</f>
        <v/>
      </c>
      <c r="X280" s="147">
        <f>IF(SUM(X285:X289)&gt;0, SUM(X285:X289), "")</f>
        <v/>
      </c>
      <c r="Y280" s="147">
        <f>IF(SUM(Y285:Y289)&gt;0, SUM(Y285:Y289), "")</f>
        <v/>
      </c>
      <c r="Z280" s="147">
        <f>IF(SUM(Z285:Z289)&gt;0, SUM(Z285:Z289), "")</f>
        <v/>
      </c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150" t="inlineStr">
        <is>
          <t xml:space="preserve">  Click CTA</t>
        </is>
      </c>
      <c r="B281" s="150" t="n"/>
      <c r="C281" s="150" t="n"/>
      <c r="D281" s="150" t="n"/>
      <c r="E281" s="150" t="n"/>
      <c r="F281" s="150" t="n">
        <v>65</v>
      </c>
      <c r="G281" s="150" t="n">
        <v>816</v>
      </c>
      <c r="H281" s="150" t="n">
        <v>1465</v>
      </c>
      <c r="I281" s="150" t="n">
        <v>1592</v>
      </c>
      <c r="J281" s="150" t="n">
        <v>1400</v>
      </c>
      <c r="K281" s="150" t="n">
        <v>1492</v>
      </c>
      <c r="L281" s="150" t="n"/>
      <c r="M281" s="150" t="n"/>
      <c r="N281" s="151">
        <f>IFERROR((K281-J281)/J281, "")</f>
        <v/>
      </c>
      <c r="O281" s="150" t="n"/>
      <c r="P281" s="150" t="n"/>
      <c r="Q281" s="150" t="n"/>
      <c r="R281" s="150" t="n"/>
      <c r="S281" s="150" t="n">
        <v>66</v>
      </c>
      <c r="T281" s="150" t="n">
        <v>867</v>
      </c>
      <c r="U281" s="150" t="n">
        <v>1641</v>
      </c>
      <c r="V281" s="150" t="n">
        <v>1811</v>
      </c>
      <c r="W281" s="150" t="n">
        <v>1495</v>
      </c>
      <c r="X281" s="150" t="n">
        <v>1492</v>
      </c>
      <c r="Y281" s="150" t="n"/>
      <c r="Z281" s="150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152" t="inlineStr">
        <is>
          <t xml:space="preserve">  Net change</t>
        </is>
      </c>
      <c r="B282" s="153" t="n"/>
      <c r="C282" s="153">
        <f>IF(AND(ISNUMBER(C280), ISNUMBER(B280), B280&gt;0, C280&gt;0), C280-B280, "")</f>
        <v/>
      </c>
      <c r="D282" s="153">
        <f>IF(AND(ISNUMBER(D280), ISNUMBER(C280), C280&gt;0, D280&gt;0), D280-C280, "")</f>
        <v/>
      </c>
      <c r="E282" s="153">
        <f>IF(AND(ISNUMBER(E280), ISNUMBER(D280), D280&gt;0, E280&gt;0), E280-D280, "")</f>
        <v/>
      </c>
      <c r="F282" s="153">
        <f>IF(AND(ISNUMBER(F280), ISNUMBER(E280), E280&gt;0, F280&gt;0), F280-E280, "")</f>
        <v/>
      </c>
      <c r="G282" s="153">
        <f>IF(AND(ISNUMBER(G280), ISNUMBER(F280), F280&gt;0, G280&gt;0), G280-F280, "")</f>
        <v/>
      </c>
      <c r="H282" s="153">
        <f>IF(AND(ISNUMBER(H280), ISNUMBER(G280), G280&gt;0, H280&gt;0), H280-G280, "")</f>
        <v/>
      </c>
      <c r="I282" s="153">
        <f>IF(AND(ISNUMBER(I280), ISNUMBER(H280), H280&gt;0, I280&gt;0), I280-H280, "")</f>
        <v/>
      </c>
      <c r="J282" s="153">
        <f>IF(AND(ISNUMBER(J280), ISNUMBER(I280), I280&gt;0, J280&gt;0), J280-I280, "")</f>
        <v/>
      </c>
      <c r="K282" s="153">
        <f>IF(AND(ISNUMBER(K280), ISNUMBER(J280), J280&gt;0, K280&gt;0), K280-J280, "")</f>
        <v/>
      </c>
      <c r="L282" s="153">
        <f>IF(AND(ISNUMBER(L280), ISNUMBER(K280), K280&gt;0, L280&gt;0), L280-K280, "")</f>
        <v/>
      </c>
      <c r="M282" s="153">
        <f>IF(AND(ISNUMBER(M280), ISNUMBER(L280), L280&gt;0, M280&gt;0), M280-L280, "")</f>
        <v/>
      </c>
      <c r="N282" s="153" t="n"/>
      <c r="O282" s="153" t="n"/>
      <c r="P282" s="153">
        <f>IF(AND(ISNUMBER(P280), ISNUMBER(O280), O280&gt;0, P280&gt;0), P280-O280, "")</f>
        <v/>
      </c>
      <c r="Q282" s="153">
        <f>IF(AND(ISNUMBER(Q280), ISNUMBER(P280), P280&gt;0, Q280&gt;0), Q280-P280, "")</f>
        <v/>
      </c>
      <c r="R282" s="153">
        <f>IF(AND(ISNUMBER(R280), ISNUMBER(Q280), Q280&gt;0, R280&gt;0), R280-Q280, "")</f>
        <v/>
      </c>
      <c r="S282" s="153">
        <f>IF(AND(ISNUMBER(S280), ISNUMBER(R280), R280&gt;0, S280&gt;0), S280-R280, "")</f>
        <v/>
      </c>
      <c r="T282" s="153">
        <f>IF(AND(ISNUMBER(T280), ISNUMBER(S280), S280&gt;0, T280&gt;0), T280-S280, "")</f>
        <v/>
      </c>
      <c r="U282" s="153">
        <f>IF(AND(ISNUMBER(U280), ISNUMBER(T280), T280&gt;0, U280&gt;0), U280-T280, "")</f>
        <v/>
      </c>
      <c r="V282" s="153">
        <f>IF(AND(ISNUMBER(V280), ISNUMBER(U280), U280&gt;0, V280&gt;0), V280-U280, "")</f>
        <v/>
      </c>
      <c r="W282" s="153">
        <f>IF(AND(ISNUMBER(W280), ISNUMBER(V280), V280&gt;0, W280&gt;0), W280-V280, "")</f>
        <v/>
      </c>
      <c r="X282" s="153">
        <f>IF(AND(ISNUMBER(X280), ISNUMBER(W280), W280&gt;0, X280&gt;0), X280-W280, "")</f>
        <v/>
      </c>
      <c r="Y282" s="153">
        <f>IF(AND(ISNUMBER(Y280), ISNUMBER(X280), X280&gt;0, Y280&gt;0), Y280-X280, "")</f>
        <v/>
      </c>
      <c r="Z282" s="153">
        <f>IF(AND(ISNUMBER(Z280), ISNUMBER(Y280), Y280&gt;0, Z280&gt;0), Z280-Y280, "")</f>
        <v/>
      </c>
      <c r="AA282" s="153" t="n"/>
      <c r="AB282" s="140" t="n"/>
      <c r="AC282" s="140" t="n"/>
      <c r="AD282" s="140" t="n"/>
    </row>
    <row r="283" ht="15.75" customHeight="1" s="346">
      <c r="A283" s="152" t="inlineStr">
        <is>
          <t xml:space="preserve">  % Growth rate</t>
        </is>
      </c>
      <c r="B283" s="203" t="n"/>
      <c r="C283" s="203">
        <f>IF(AND(ISNUMBER(C280), ISNUMBER(B280), B280&gt;0, C280&gt;0), (C280-B280)/B280, "")</f>
        <v/>
      </c>
      <c r="D283" s="203">
        <f>IF(AND(ISNUMBER(D280), ISNUMBER(C280), C280&gt;0, D280&gt;0), (D280-C280)/C280, "")</f>
        <v/>
      </c>
      <c r="E283" s="203">
        <f>IF(AND(ISNUMBER(E280), ISNUMBER(D280), D280&gt;0, E280&gt;0), (E280-D280)/D280, "")</f>
        <v/>
      </c>
      <c r="F283" s="203">
        <f>IF(AND(ISNUMBER(F280), ISNUMBER(E280), E280&gt;0, F280&gt;0), (F280-E280)/E280, "")</f>
        <v/>
      </c>
      <c r="G283" s="203">
        <f>IF(AND(ISNUMBER(G280), ISNUMBER(F280), F280&gt;0, G280&gt;0), (G280-F280)/F280, "")</f>
        <v/>
      </c>
      <c r="H283" s="203">
        <f>IF(AND(ISNUMBER(H280), ISNUMBER(G280), G280&gt;0, H280&gt;0), (H280-G280)/G280, "")</f>
        <v/>
      </c>
      <c r="I283" s="203">
        <f>IF(AND(ISNUMBER(I280), ISNUMBER(H280), H280&gt;0, I280&gt;0), (I280-H280)/H280, "")</f>
        <v/>
      </c>
      <c r="J283" s="203">
        <f>IF(AND(ISNUMBER(J280), ISNUMBER(I280), I280&gt;0, J280&gt;0), (J280-I280)/I280, "")</f>
        <v/>
      </c>
      <c r="K283" s="203">
        <f>IF(AND(ISNUMBER(K280), ISNUMBER(J280), J280&gt;0, K280&gt;0), (K280-J280)/J280, "")</f>
        <v/>
      </c>
      <c r="L283" s="203">
        <f>IF(AND(ISNUMBER(L280), ISNUMBER(K280), K280&gt;0, L280&gt;0), (L280-K280)/K280, "")</f>
        <v/>
      </c>
      <c r="M283" s="203">
        <f>IF(AND(ISNUMBER(M280), ISNUMBER(L280), L280&gt;0, M280&gt;0), (M280-L280)/L280, "")</f>
        <v/>
      </c>
      <c r="N283" s="203" t="n"/>
      <c r="O283" s="203" t="n"/>
      <c r="P283" s="203">
        <f>IF(AND(ISNUMBER(P280), ISNUMBER(O280), O280&gt;0, P280&gt;0), (P280-O280)/O280, "")</f>
        <v/>
      </c>
      <c r="Q283" s="203">
        <f>IF(AND(ISNUMBER(Q280), ISNUMBER(P280), P280&gt;0, Q280&gt;0), (Q280-P280)/P280, "")</f>
        <v/>
      </c>
      <c r="R283" s="203">
        <f>IF(AND(ISNUMBER(R280), ISNUMBER(Q280), Q280&gt;0, R280&gt;0), (R280-Q280)/Q280, "")</f>
        <v/>
      </c>
      <c r="S283" s="203">
        <f>IF(AND(ISNUMBER(S280), ISNUMBER(R280), R280&gt;0, S280&gt;0), (S280-R280)/R280, "")</f>
        <v/>
      </c>
      <c r="T283" s="203">
        <f>IF(AND(ISNUMBER(T280), ISNUMBER(S280), S280&gt;0, T280&gt;0), (T280-S280)/S280, "")</f>
        <v/>
      </c>
      <c r="U283" s="203">
        <f>IF(AND(ISNUMBER(U280), ISNUMBER(T280), T280&gt;0, U280&gt;0), (U280-T280)/T280, "")</f>
        <v/>
      </c>
      <c r="V283" s="203">
        <f>IF(AND(ISNUMBER(V280), ISNUMBER(U280), U280&gt;0, V280&gt;0), (V280-U280)/U280, "")</f>
        <v/>
      </c>
      <c r="W283" s="203">
        <f>IF(AND(ISNUMBER(W280), ISNUMBER(V280), V280&gt;0, W280&gt;0), (W280-V280)/V280, "")</f>
        <v/>
      </c>
      <c r="X283" s="203">
        <f>IF(AND(ISNUMBER(X280), ISNUMBER(W280), W280&gt;0, X280&gt;0), (X280-W280)/W280, "")</f>
        <v/>
      </c>
      <c r="Y283" s="203">
        <f>IF(AND(ISNUMBER(Y280), ISNUMBER(X280), X280&gt;0, Y280&gt;0), (Y280-X280)/X280, "")</f>
        <v/>
      </c>
      <c r="Z283" s="203">
        <f>IF(AND(ISNUMBER(Z280), ISNUMBER(Y280), Y280&gt;0, Z280&gt;0), (Z280-Y280)/Y280, "")</f>
        <v/>
      </c>
      <c r="AA283" s="203" t="n"/>
      <c r="AB283" s="140" t="n"/>
      <c r="AC283" s="140" t="n"/>
      <c r="AD283" s="140" t="n"/>
    </row>
    <row r="284" ht="15.75" customHeight="1" s="346">
      <c r="A284" s="202" t="inlineStr">
        <is>
          <t>Tỷ trọng trong tổng traffic</t>
        </is>
      </c>
      <c r="B284" s="156">
        <f t="array" ref="B284">IF(AND(ISNUMBER(B280), B280&gt;0), B280/INDEX('MTD Pivot'!$D$3:$K$400, MATCH("Grand Total", 'MTD Pivot'!$A$3:$A$400, 0), MATCH(B$2, 'MTD Pivot'!$D$2:$K$2, 0)), "")</f>
        <v/>
      </c>
      <c r="C284" s="156">
        <f t="array" ref="C284">IF(AND(ISNUMBER(C280), C280&gt;0), C280/INDEX('MTD Pivot'!$D$3:$K$400, MATCH("Grand Total", 'MTD Pivot'!$A$3:$A$400, 0), MATCH(C$2, 'MTD Pivot'!$D$2:$K$2, 0)), "")</f>
        <v/>
      </c>
      <c r="D284" s="156">
        <f t="array" ref="D284">IF(AND(ISNUMBER(D280), D280&gt;0), D280/INDEX('MTD Pivot'!$D$3:$K$400, MATCH("Grand Total", 'MTD Pivot'!$A$3:$A$400, 0), MATCH(D$2, 'MTD Pivot'!$D$2:$K$2, 0)), "")</f>
        <v/>
      </c>
      <c r="E284" s="156">
        <f t="array" ref="E284">IF(AND(ISNUMBER(E280), E280&gt;0), E280/INDEX('MTD Pivot'!$D$3:$K$400, MATCH("Grand Total", 'MTD Pivot'!$A$3:$A$400, 0), MATCH(E$2, 'MTD Pivot'!$D$2:$K$2, 0)), "")</f>
        <v/>
      </c>
      <c r="F284" s="156">
        <f t="array" ref="F284">IF(AND(ISNUMBER(F280), F280&gt;0), F280/INDEX('MTD Pivot'!$D$3:$K$400, MATCH("Grand Total", 'MTD Pivot'!$A$3:$A$400, 0), MATCH(F$2, 'MTD Pivot'!$D$2:$K$2, 0)), "")</f>
        <v/>
      </c>
      <c r="G284" s="156">
        <f t="array" ref="G284">IF(AND(ISNUMBER(G280), G280&gt;0), G280/INDEX('MTD Pivot'!$D$3:$K$400, MATCH("Grand Total", 'MTD Pivot'!$A$3:$A$400, 0), MATCH(G$2, 'MTD Pivot'!$D$2:$K$2, 0)), "")</f>
        <v/>
      </c>
      <c r="H284" s="156">
        <f t="array" ref="H284">IF(AND(ISNUMBER(H280), H280&gt;0), H280/INDEX('MTD Pivot'!$D$3:$K$400, MATCH("Grand Total", 'MTD Pivot'!$A$3:$A$400, 0), MATCH(H$2, 'MTD Pivot'!$D$2:$K$2, 0)), "")</f>
        <v/>
      </c>
      <c r="I284" s="156">
        <f t="array" ref="I284">IF(AND(ISNUMBER(I280), I280&gt;0), I280/INDEX('MTD Pivot'!$D$3:$K$400, MATCH("Grand Total", 'MTD Pivot'!$A$3:$A$400, 0), MATCH(I$2, 'MTD Pivot'!$D$2:$K$2, 0)), "")</f>
        <v/>
      </c>
      <c r="J284" s="156">
        <f t="array" ref="J284">IF(AND(ISNUMBER(J280), J280&gt;0), J280/INDEX('MTD Pivot'!$D$3:$K$400, MATCH("Grand Total", 'MTD Pivot'!$A$3:$A$400, 0), MATCH(J$2, 'MTD Pivot'!$D$2:$K$2, 0)), "")</f>
        <v/>
      </c>
      <c r="K284" s="156">
        <f t="array" ref="K284">IF(AND(ISNUMBER(K280), K280&gt;0), K280/INDEX('MTD Pivot'!$D$3:$K$400, MATCH("Grand Total", 'MTD Pivot'!$A$3:$A$400, 0), MATCH(K$2, 'MTD Pivot'!$D$2:$K$2, 0)), "")</f>
        <v/>
      </c>
      <c r="L284" s="156">
        <f t="array" ref="L284">IF(AND(ISNUMBER(L280), L280&gt;0), L280/INDEX('MTD Pivot'!$D$3:$K$400, MATCH("Grand Total", 'MTD Pivot'!$A$3:$A$400, 0), MATCH(L$2, 'MTD Pivot'!$D$2:$K$2, 0)), "")</f>
        <v/>
      </c>
      <c r="M284" s="156">
        <f t="array" ref="M284">IF(AND(ISNUMBER(M280), M280&gt;0), M280/INDEX('MTD Pivot'!$D$3:$K$400, MATCH("Grand Total", 'MTD Pivot'!$A$3:$A$400, 0), MATCH(M$2, 'MTD Pivot'!$D$2:$K$2, 0)), "")</f>
        <v/>
      </c>
      <c r="N284" s="157">
        <f>IF(AND(ISNUMBER(K284), ISNUMBER(J284)), K284-J284, "")</f>
        <v/>
      </c>
      <c r="O284" s="156">
        <f t="array" ref="O284">IF(AND(ISNUMBER(O280), O280&gt;0), O280/INDEX('Full month Pivot'!$D$3:$K$400, MATCH("Grand Total", 'Full month Pivot'!$A$3:$A$400, 0), MATCH(O$2, 'Full month Pivot'!$D$2:$K$2, 0)), "")</f>
        <v/>
      </c>
      <c r="P284" s="156">
        <f t="array" ref="P284">IF(AND(ISNUMBER(P280), P280&gt;0), P280/INDEX('Full month Pivot'!$D$3:$K$400, MATCH("Grand Total", 'Full month Pivot'!$A$3:$A$400, 0), MATCH(P$2, 'Full month Pivot'!$D$2:$K$2, 0)), "")</f>
        <v/>
      </c>
      <c r="Q284" s="156">
        <f t="array" ref="Q284">IF(AND(ISNUMBER(Q280), Q280&gt;0), Q280/INDEX('Full month Pivot'!$D$3:$K$400, MATCH("Grand Total", 'Full month Pivot'!$A$3:$A$400, 0), MATCH(Q$2, 'Full month Pivot'!$D$2:$K$2, 0)), "")</f>
        <v/>
      </c>
      <c r="R284" s="156">
        <f t="array" ref="R284">IF(AND(ISNUMBER(R280), R280&gt;0), R280/INDEX('Full month Pivot'!$D$3:$K$400, MATCH("Grand Total", 'Full month Pivot'!$A$3:$A$400, 0), MATCH(R$2, 'Full month Pivot'!$D$2:$K$2, 0)), "")</f>
        <v/>
      </c>
      <c r="S284" s="156">
        <f t="array" ref="S284">IF(AND(ISNUMBER(S280), S280&gt;0), S280/INDEX('Full month Pivot'!$D$3:$K$400, MATCH("Grand Total", 'Full month Pivot'!$A$3:$A$400, 0), MATCH(S$2, 'Full month Pivot'!$D$2:$K$2, 0)), "")</f>
        <v/>
      </c>
      <c r="T284" s="156">
        <f t="array" ref="T284">IF(AND(ISNUMBER(T280), T280&gt;0), T280/INDEX('Full month Pivot'!$D$3:$K$400, MATCH("Grand Total", 'Full month Pivot'!$A$3:$A$400, 0), MATCH(T$2, 'Full month Pivot'!$D$2:$K$2, 0)), "")</f>
        <v/>
      </c>
      <c r="U284" s="156">
        <f t="array" ref="U284">IF(AND(ISNUMBER(U280), U280&gt;0), U280/INDEX('Full month Pivot'!$D$3:$K$400, MATCH("Grand Total", 'Full month Pivot'!$A$3:$A$400, 0), MATCH(U$2, 'Full month Pivot'!$D$2:$K$2, 0)), "")</f>
        <v/>
      </c>
      <c r="V284" s="156">
        <f t="array" ref="V284">IF(AND(ISNUMBER(V280), V280&gt;0), V280/INDEX('Full month Pivot'!$D$3:$K$400, MATCH("Grand Total", 'Full month Pivot'!$A$3:$A$400, 0), MATCH(V$2, 'Full month Pivot'!$D$2:$K$2, 0)), "")</f>
        <v/>
      </c>
      <c r="W284" s="156">
        <f t="array" ref="W284">IF(AND(ISNUMBER(W280), W280&gt;0), W280/INDEX('Full month Pivot'!$D$3:$K$400, MATCH("Grand Total", 'Full month Pivot'!$A$3:$A$400, 0), MATCH(W$2, 'Full month Pivot'!$D$2:$K$2, 0)), "")</f>
        <v/>
      </c>
      <c r="X284" s="156">
        <f t="array" ref="X284">IF(AND(ISNUMBER(X280), X280&gt;0), X280/INDEX('Full month Pivot'!$D$3:$K$400, MATCH("Grand Total", 'Full month Pivot'!$A$3:$A$400, 0), MATCH(X$2, 'Full month Pivot'!$D$2:$K$2, 0)), "")</f>
        <v/>
      </c>
      <c r="Y284" s="156">
        <f t="array" ref="Y284">IF(AND(ISNUMBER(Y280), Y280&gt;0), Y280/INDEX('Full month Pivot'!$D$3:$K$400, MATCH("Grand Total", 'Full month Pivot'!$A$3:$A$400, 0), MATCH(Y$2, 'Full month Pivot'!$D$2:$K$2, 0)), "")</f>
        <v/>
      </c>
      <c r="Z284" s="156">
        <f t="array" ref="Z284">IF(AND(ISNUMBER(Z280), Z280&gt;0), Z280/INDEX('Full month Pivot'!$D$3:$K$400, MATCH("Grand Total", 'Full month Pivot'!$A$3:$A$400, 0), MATCH(Z$2, 'Full month Pivot'!$D$2:$K$2, 0)), "")</f>
        <v/>
      </c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202" t="inlineStr">
        <is>
          <t xml:space="preserve">  Organic</t>
        </is>
      </c>
      <c r="B285" s="193">
        <f>IF(SUMPRODUCT((('MTD Pivot'!$B$3:$B$400=$A$279) + ('MTD Pivot'!$A$3:$A$400=$A$279) &gt; 0) * (TRIM('MTD Pivot'!$C$3:$C$400)=TRIM($A285)) * ('MTD Pivot'!$D$2:$K$2=B$2) * 'MTD Pivot'!$D$3:$K$400)&gt;0, SUMPRODUCT((('MTD Pivot'!$B$3:$B$400=$A$279) + ('MTD Pivot'!$A$3:$A$400=$A$279) &gt; 0) * (TRIM('MTD Pivot'!$C$3:$C$400)=TRIM($A285)) * ('MTD Pivot'!$D$2:$K$2=B$2) * 'MTD Pivot'!$D$3:$K$400), "")</f>
        <v/>
      </c>
      <c r="C285" s="193">
        <f>IF(SUMPRODUCT((('MTD Pivot'!$B$3:$B$400=$A$279) + ('MTD Pivot'!$A$3:$A$400=$A$279) &gt; 0) * (TRIM('MTD Pivot'!$C$3:$C$400)=TRIM($A285)) * ('MTD Pivot'!$D$2:$K$2=C$2) * 'MTD Pivot'!$D$3:$K$400)&gt;0, SUMPRODUCT((('MTD Pivot'!$B$3:$B$400=$A$279) + ('MTD Pivot'!$A$3:$A$400=$A$279) &gt; 0) * (TRIM('MTD Pivot'!$C$3:$C$400)=TRIM($A285)) * ('MTD Pivot'!$D$2:$K$2=C$2) * 'MTD Pivot'!$D$3:$K$400), "")</f>
        <v/>
      </c>
      <c r="D285" s="193">
        <f>IF(SUMPRODUCT((('MTD Pivot'!$B$3:$B$400=$A$279) + ('MTD Pivot'!$A$3:$A$400=$A$279) &gt; 0) * (TRIM('MTD Pivot'!$C$3:$C$400)=TRIM($A285)) * ('MTD Pivot'!$D$2:$K$2=D$2) * 'MTD Pivot'!$D$3:$K$400)&gt;0, SUMPRODUCT((('MTD Pivot'!$B$3:$B$400=$A$279) + ('MTD Pivot'!$A$3:$A$400=$A$279) &gt; 0) * (TRIM('MTD Pivot'!$C$3:$C$400)=TRIM($A285)) * ('MTD Pivot'!$D$2:$K$2=D$2) * 'MTD Pivot'!$D$3:$K$400), "")</f>
        <v/>
      </c>
      <c r="E285" s="193">
        <f>IF(SUMPRODUCT((('MTD Pivot'!$B$3:$B$400=$A$279) + ('MTD Pivot'!$A$3:$A$400=$A$279) &gt; 0) * (TRIM('MTD Pivot'!$C$3:$C$400)=TRIM($A285)) * ('MTD Pivot'!$D$2:$K$2=E$2) * 'MTD Pivot'!$D$3:$K$400)&gt;0, SUMPRODUCT((('MTD Pivot'!$B$3:$B$400=$A$279) + ('MTD Pivot'!$A$3:$A$400=$A$279) &gt; 0) * (TRIM('MTD Pivot'!$C$3:$C$400)=TRIM($A285)) * ('MTD Pivot'!$D$2:$K$2=E$2) * 'MTD Pivot'!$D$3:$K$400), "")</f>
        <v/>
      </c>
      <c r="F285" s="193">
        <f>IF(SUMPRODUCT((('MTD Pivot'!$B$3:$B$400=$A$279) + ('MTD Pivot'!$A$3:$A$400=$A$279) &gt; 0) * (TRIM('MTD Pivot'!$C$3:$C$400)=TRIM($A285)) * ('MTD Pivot'!$D$2:$K$2=F$2) * 'MTD Pivot'!$D$3:$K$400)&gt;0, SUMPRODUCT((('MTD Pivot'!$B$3:$B$400=$A$279) + ('MTD Pivot'!$A$3:$A$400=$A$279) &gt; 0) * (TRIM('MTD Pivot'!$C$3:$C$400)=TRIM($A285)) * ('MTD Pivot'!$D$2:$K$2=F$2) * 'MTD Pivot'!$D$3:$K$400), "")</f>
        <v/>
      </c>
      <c r="G285" s="193">
        <f>IF(SUMPRODUCT((('MTD Pivot'!$B$3:$B$400=$A$279) + ('MTD Pivot'!$A$3:$A$400=$A$279) &gt; 0) * (TRIM('MTD Pivot'!$C$3:$C$400)=TRIM($A285)) * ('MTD Pivot'!$D$2:$K$2=G$2) * 'MTD Pivot'!$D$3:$K$400)&gt;0, SUMPRODUCT((('MTD Pivot'!$B$3:$B$400=$A$279) + ('MTD Pivot'!$A$3:$A$400=$A$279) &gt; 0) * (TRIM('MTD Pivot'!$C$3:$C$400)=TRIM($A285)) * ('MTD Pivot'!$D$2:$K$2=G$2) * 'MTD Pivot'!$D$3:$K$400), "")</f>
        <v/>
      </c>
      <c r="H285" s="193">
        <f>IF(SUMPRODUCT((('MTD Pivot'!$B$3:$B$400=$A$279) + ('MTD Pivot'!$A$3:$A$400=$A$279) &gt; 0) * (TRIM('MTD Pivot'!$C$3:$C$400)=TRIM($A285)) * ('MTD Pivot'!$D$2:$K$2=H$2) * 'MTD Pivot'!$D$3:$K$400)&gt;0, SUMPRODUCT((('MTD Pivot'!$B$3:$B$400=$A$279) + ('MTD Pivot'!$A$3:$A$400=$A$279) &gt; 0) * (TRIM('MTD Pivot'!$C$3:$C$400)=TRIM($A285)) * ('MTD Pivot'!$D$2:$K$2=H$2) * 'MTD Pivot'!$D$3:$K$400), "")</f>
        <v/>
      </c>
      <c r="I285" s="193">
        <f>IF(SUMPRODUCT((('MTD Pivot'!$B$3:$B$400=$A$279) + ('MTD Pivot'!$A$3:$A$400=$A$279) &gt; 0) * (TRIM('MTD Pivot'!$C$3:$C$400)=TRIM($A285)) * ('MTD Pivot'!$D$2:$K$2=I$2) * 'MTD Pivot'!$D$3:$K$400)&gt;0, SUMPRODUCT((('MTD Pivot'!$B$3:$B$400=$A$279) + ('MTD Pivot'!$A$3:$A$400=$A$279) &gt; 0) * (TRIM('MTD Pivot'!$C$3:$C$400)=TRIM($A285)) * ('MTD Pivot'!$D$2:$K$2=I$2) * 'MTD Pivot'!$D$3:$K$400), "")</f>
        <v/>
      </c>
      <c r="J285" s="193">
        <f>IF(SUMPRODUCT((('MTD Pivot'!$B$3:$B$400=$A$279) + ('MTD Pivot'!$A$3:$A$400=$A$279) &gt; 0) * (TRIM('MTD Pivot'!$C$3:$C$400)=TRIM($A285)) * ('MTD Pivot'!$D$2:$K$2=J$2) * 'MTD Pivot'!$D$3:$K$400)&gt;0, SUMPRODUCT((('MTD Pivot'!$B$3:$B$400=$A$279) + ('MTD Pivot'!$A$3:$A$400=$A$279) &gt; 0) * (TRIM('MTD Pivot'!$C$3:$C$400)=TRIM($A285)) * ('MTD Pivot'!$D$2:$K$2=J$2) * 'MTD Pivot'!$D$3:$K$400), "")</f>
        <v/>
      </c>
      <c r="K285" s="193">
        <f>IF(SUMPRODUCT((('MTD Pivot'!$B$3:$B$400=$A$279) + ('MTD Pivot'!$A$3:$A$400=$A$279) &gt; 0) * (TRIM('MTD Pivot'!$C$3:$C$400)=TRIM($A285)) * ('MTD Pivot'!$D$2:$K$2=K$2) * 'MTD Pivot'!$D$3:$K$400)&gt;0, SUMPRODUCT((('MTD Pivot'!$B$3:$B$400=$A$279) + ('MTD Pivot'!$A$3:$A$400=$A$279) &gt; 0) * (TRIM('MTD Pivot'!$C$3:$C$400)=TRIM($A285)) * ('MTD Pivot'!$D$2:$K$2=K$2) * 'MTD Pivot'!$D$3:$K$400), "")</f>
        <v/>
      </c>
      <c r="L285" s="193">
        <f>IF(SUMPRODUCT((('MTD Pivot'!$B$3:$B$400=$A$279) + ('MTD Pivot'!$A$3:$A$400=$A$279) &gt; 0) * (TRIM('MTD Pivot'!$C$3:$C$400)=TRIM($A285)) * ('MTD Pivot'!$D$2:$K$2=L$2) * 'MTD Pivot'!$D$3:$K$400)&gt;0, SUMPRODUCT((('MTD Pivot'!$B$3:$B$400=$A$279) + ('MTD Pivot'!$A$3:$A$400=$A$279) &gt; 0) * (TRIM('MTD Pivot'!$C$3:$C$400)=TRIM($A285)) * ('MTD Pivot'!$D$2:$K$2=L$2) * 'MTD Pivot'!$D$3:$K$400), "")</f>
        <v/>
      </c>
      <c r="M285" s="193">
        <f>IF(SUMPRODUCT((('MTD Pivot'!$B$3:$B$400=$A$279) + ('MTD Pivot'!$A$3:$A$400=$A$279) &gt; 0) * (TRIM('MTD Pivot'!$C$3:$C$400)=TRIM($A285)) * ('MTD Pivot'!$D$2:$K$2=M$2) * 'MTD Pivot'!$D$3:$K$400)&gt;0, SUMPRODUCT((('MTD Pivot'!$B$3:$B$400=$A$279) + ('MTD Pivot'!$A$3:$A$400=$A$279) &gt; 0) * (TRIM('MTD Pivot'!$C$3:$C$400)=TRIM($A285)) * ('MTD Pivot'!$D$2:$K$2=M$2) * 'MTD Pivot'!$D$3:$K$400), "")</f>
        <v/>
      </c>
      <c r="N285" s="157">
        <f>IF(AND(ISNUMBER(K285), ISNUMBER(J285), J285&gt;0), (K285-J285)/J285, "")</f>
        <v/>
      </c>
      <c r="O285" s="193">
        <f>IF(SUMPRODUCT((('Full month Pivot'!$B$3:$B$400=$A$279) + ('Full month Pivot'!$A$3:$A$400=$A$279) &gt; 0) * (TRIM('Full month Pivot'!$C$3:$C$400)=TRIM($A285)) * ('Full month Pivot'!$D$2:$K$2=O$2) * 'Full month Pivot'!$D$3:$K$400)&gt;0, SUMPRODUCT((('Full month Pivot'!$B$3:$B$400=$A$279) + ('Full month Pivot'!$A$3:$A$400=$A$279) &gt; 0) * (TRIM('Full month Pivot'!$C$3:$C$400)=TRIM($A285)) * ('Full month Pivot'!$D$2:$K$2=O$2) * 'Full month Pivot'!$D$3:$K$400), "")</f>
        <v/>
      </c>
      <c r="P285" s="193">
        <f>IF(SUMPRODUCT((('Full month Pivot'!$B$3:$B$400=$A$279) + ('Full month Pivot'!$A$3:$A$400=$A$279) &gt; 0) * (TRIM('Full month Pivot'!$C$3:$C$400)=TRIM($A285)) * ('Full month Pivot'!$D$2:$K$2=P$2) * 'Full month Pivot'!$D$3:$K$400)&gt;0, SUMPRODUCT((('Full month Pivot'!$B$3:$B$400=$A$279) + ('Full month Pivot'!$A$3:$A$400=$A$279) &gt; 0) * (TRIM('Full month Pivot'!$C$3:$C$400)=TRIM($A285)) * ('Full month Pivot'!$D$2:$K$2=P$2) * 'Full month Pivot'!$D$3:$K$400), "")</f>
        <v/>
      </c>
      <c r="Q285" s="193">
        <f>IF(SUMPRODUCT((('Full month Pivot'!$B$3:$B$400=$A$279) + ('Full month Pivot'!$A$3:$A$400=$A$279) &gt; 0) * (TRIM('Full month Pivot'!$C$3:$C$400)=TRIM($A285)) * ('Full month Pivot'!$D$2:$K$2=Q$2) * 'Full month Pivot'!$D$3:$K$400)&gt;0, SUMPRODUCT((('Full month Pivot'!$B$3:$B$400=$A$279) + ('Full month Pivot'!$A$3:$A$400=$A$279) &gt; 0) * (TRIM('Full month Pivot'!$C$3:$C$400)=TRIM($A285)) * ('Full month Pivot'!$D$2:$K$2=Q$2) * 'Full month Pivot'!$D$3:$K$400), "")</f>
        <v/>
      </c>
      <c r="R285" s="193">
        <f>IF(SUMPRODUCT((('Full month Pivot'!$B$3:$B$400=$A$279) + ('Full month Pivot'!$A$3:$A$400=$A$279) &gt; 0) * (TRIM('Full month Pivot'!$C$3:$C$400)=TRIM($A285)) * ('Full month Pivot'!$D$2:$K$2=R$2) * 'Full month Pivot'!$D$3:$K$400)&gt;0, SUMPRODUCT((('Full month Pivot'!$B$3:$B$400=$A$279) + ('Full month Pivot'!$A$3:$A$400=$A$279) &gt; 0) * (TRIM('Full month Pivot'!$C$3:$C$400)=TRIM($A285)) * ('Full month Pivot'!$D$2:$K$2=R$2) * 'Full month Pivot'!$D$3:$K$400), "")</f>
        <v/>
      </c>
      <c r="S285" s="193">
        <f>IF(SUMPRODUCT((('Full month Pivot'!$B$3:$B$400=$A$279) + ('Full month Pivot'!$A$3:$A$400=$A$279) &gt; 0) * (TRIM('Full month Pivot'!$C$3:$C$400)=TRIM($A285)) * ('Full month Pivot'!$D$2:$K$2=S$2) * 'Full month Pivot'!$D$3:$K$400)&gt;0, SUMPRODUCT((('Full month Pivot'!$B$3:$B$400=$A$279) + ('Full month Pivot'!$A$3:$A$400=$A$279) &gt; 0) * (TRIM('Full month Pivot'!$C$3:$C$400)=TRIM($A285)) * ('Full month Pivot'!$D$2:$K$2=S$2) * 'Full month Pivot'!$D$3:$K$400), "")</f>
        <v/>
      </c>
      <c r="T285" s="193">
        <f>IF(SUMPRODUCT((('Full month Pivot'!$B$3:$B$400=$A$279) + ('Full month Pivot'!$A$3:$A$400=$A$279) &gt; 0) * (TRIM('Full month Pivot'!$C$3:$C$400)=TRIM($A285)) * ('Full month Pivot'!$D$2:$K$2=T$2) * 'Full month Pivot'!$D$3:$K$400)&gt;0, SUMPRODUCT((('Full month Pivot'!$B$3:$B$400=$A$279) + ('Full month Pivot'!$A$3:$A$400=$A$279) &gt; 0) * (TRIM('Full month Pivot'!$C$3:$C$400)=TRIM($A285)) * ('Full month Pivot'!$D$2:$K$2=T$2) * 'Full month Pivot'!$D$3:$K$400), "")</f>
        <v/>
      </c>
      <c r="U285" s="193">
        <f>IF(SUMPRODUCT((('Full month Pivot'!$B$3:$B$400=$A$279) + ('Full month Pivot'!$A$3:$A$400=$A$279) &gt; 0) * (TRIM('Full month Pivot'!$C$3:$C$400)=TRIM($A285)) * ('Full month Pivot'!$D$2:$K$2=U$2) * 'Full month Pivot'!$D$3:$K$400)&gt;0, SUMPRODUCT((('Full month Pivot'!$B$3:$B$400=$A$279) + ('Full month Pivot'!$A$3:$A$400=$A$279) &gt; 0) * (TRIM('Full month Pivot'!$C$3:$C$400)=TRIM($A285)) * ('Full month Pivot'!$D$2:$K$2=U$2) * 'Full month Pivot'!$D$3:$K$400), "")</f>
        <v/>
      </c>
      <c r="V285" s="193">
        <f>IF(SUMPRODUCT((('Full month Pivot'!$B$3:$B$400=$A$279) + ('Full month Pivot'!$A$3:$A$400=$A$279) &gt; 0) * (TRIM('Full month Pivot'!$C$3:$C$400)=TRIM($A285)) * ('Full month Pivot'!$D$2:$K$2=V$2) * 'Full month Pivot'!$D$3:$K$400)&gt;0, SUMPRODUCT((('Full month Pivot'!$B$3:$B$400=$A$279) + ('Full month Pivot'!$A$3:$A$400=$A$279) &gt; 0) * (TRIM('Full month Pivot'!$C$3:$C$400)=TRIM($A285)) * ('Full month Pivot'!$D$2:$K$2=V$2) * 'Full month Pivot'!$D$3:$K$400), "")</f>
        <v/>
      </c>
      <c r="W285" s="193">
        <f>IF(SUMPRODUCT((('Full month Pivot'!$B$3:$B$400=$A$279) + ('Full month Pivot'!$A$3:$A$400=$A$279) &gt; 0) * (TRIM('Full month Pivot'!$C$3:$C$400)=TRIM($A285)) * ('Full month Pivot'!$D$2:$K$2=W$2) * 'Full month Pivot'!$D$3:$K$400)&gt;0, SUMPRODUCT((('Full month Pivot'!$B$3:$B$400=$A$279) + ('Full month Pivot'!$A$3:$A$400=$A$279) &gt; 0) * (TRIM('Full month Pivot'!$C$3:$C$400)=TRIM($A285)) * ('Full month Pivot'!$D$2:$K$2=W$2) * 'Full month Pivot'!$D$3:$K$400), "")</f>
        <v/>
      </c>
      <c r="X285" s="193">
        <f>IF(SUMPRODUCT((('Full month Pivot'!$B$3:$B$400=$A$279) + ('Full month Pivot'!$A$3:$A$400=$A$279) &gt; 0) * (TRIM('Full month Pivot'!$C$3:$C$400)=TRIM($A285)) * ('Full month Pivot'!$D$2:$K$2=X$2) * 'Full month Pivot'!$D$3:$K$400)&gt;0, SUMPRODUCT((('Full month Pivot'!$B$3:$B$400=$A$279) + ('Full month Pivot'!$A$3:$A$400=$A$279) &gt; 0) * (TRIM('Full month Pivot'!$C$3:$C$400)=TRIM($A285)) * ('Full month Pivot'!$D$2:$K$2=X$2) * 'Full month Pivot'!$D$3:$K$400), "")</f>
        <v/>
      </c>
      <c r="Y285" s="193">
        <f>IF(SUMPRODUCT((('Full month Pivot'!$B$3:$B$400=$A$279) + ('Full month Pivot'!$A$3:$A$400=$A$279) &gt; 0) * (TRIM('Full month Pivot'!$C$3:$C$400)=TRIM($A285)) * ('Full month Pivot'!$D$2:$K$2=Y$2) * 'Full month Pivot'!$D$3:$K$400)&gt;0, SUMPRODUCT((('Full month Pivot'!$B$3:$B$400=$A$279) + ('Full month Pivot'!$A$3:$A$400=$A$279) &gt; 0) * (TRIM('Full month Pivot'!$C$3:$C$400)=TRIM($A285)) * ('Full month Pivot'!$D$2:$K$2=Y$2) * 'Full month Pivot'!$D$3:$K$400), "")</f>
        <v/>
      </c>
      <c r="Z285" s="193">
        <f>IF(SUMPRODUCT((('Full month Pivot'!$B$3:$B$400=$A$279) + ('Full month Pivot'!$A$3:$A$400=$A$279) &gt; 0) * (TRIM('Full month Pivot'!$C$3:$C$400)=TRIM($A285)) * ('Full month Pivot'!$D$2:$K$2=Z$2) * 'Full month Pivot'!$D$3:$K$400)&gt;0, SUMPRODUCT((('Full month Pivot'!$B$3:$B$400=$A$279) + ('Full month Pivot'!$A$3:$A$400=$A$279) &gt; 0) * (TRIM('Full month Pivot'!$C$3:$C$400)=TRIM($A285)) * ('Full month Pivot'!$D$2:$K$2=Z$2) * 'Full month Pivot'!$D$3:$K$400), "")</f>
        <v/>
      </c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202" t="inlineStr">
        <is>
          <t xml:space="preserve">  Paid</t>
        </is>
      </c>
      <c r="B286" s="193">
        <f>IF(SUMPRODUCT((('MTD Pivot'!$B$3:$B$400=$A$279) + ('MTD Pivot'!$A$3:$A$400=$A$279) &gt; 0) * (TRIM('MTD Pivot'!$C$3:$C$400)=TRIM($A286)) * ('MTD Pivot'!$D$2:$K$2=B$2) * 'MTD Pivot'!$D$3:$K$400)&gt;0, SUMPRODUCT((('MTD Pivot'!$B$3:$B$400=$A$279) + ('MTD Pivot'!$A$3:$A$400=$A$279) &gt; 0) * (TRIM('MTD Pivot'!$C$3:$C$400)=TRIM($A286)) * ('MTD Pivot'!$D$2:$K$2=B$2) * 'MTD Pivot'!$D$3:$K$400), "")</f>
        <v/>
      </c>
      <c r="C286" s="193">
        <f>IF(SUMPRODUCT((('MTD Pivot'!$B$3:$B$400=$A$279) + ('MTD Pivot'!$A$3:$A$400=$A$279) &gt; 0) * (TRIM('MTD Pivot'!$C$3:$C$400)=TRIM($A286)) * ('MTD Pivot'!$D$2:$K$2=C$2) * 'MTD Pivot'!$D$3:$K$400)&gt;0, SUMPRODUCT((('MTD Pivot'!$B$3:$B$400=$A$279) + ('MTD Pivot'!$A$3:$A$400=$A$279) &gt; 0) * (TRIM('MTD Pivot'!$C$3:$C$400)=TRIM($A286)) * ('MTD Pivot'!$D$2:$K$2=C$2) * 'MTD Pivot'!$D$3:$K$400), "")</f>
        <v/>
      </c>
      <c r="D286" s="193">
        <f>IF(SUMPRODUCT((('MTD Pivot'!$B$3:$B$400=$A$279) + ('MTD Pivot'!$A$3:$A$400=$A$279) &gt; 0) * (TRIM('MTD Pivot'!$C$3:$C$400)=TRIM($A286)) * ('MTD Pivot'!$D$2:$K$2=D$2) * 'MTD Pivot'!$D$3:$K$400)&gt;0, SUMPRODUCT((('MTD Pivot'!$B$3:$B$400=$A$279) + ('MTD Pivot'!$A$3:$A$400=$A$279) &gt; 0) * (TRIM('MTD Pivot'!$C$3:$C$400)=TRIM($A286)) * ('MTD Pivot'!$D$2:$K$2=D$2) * 'MTD Pivot'!$D$3:$K$400), "")</f>
        <v/>
      </c>
      <c r="E286" s="193">
        <f>IF(SUMPRODUCT((('MTD Pivot'!$B$3:$B$400=$A$279) + ('MTD Pivot'!$A$3:$A$400=$A$279) &gt; 0) * (TRIM('MTD Pivot'!$C$3:$C$400)=TRIM($A286)) * ('MTD Pivot'!$D$2:$K$2=E$2) * 'MTD Pivot'!$D$3:$K$400)&gt;0, SUMPRODUCT((('MTD Pivot'!$B$3:$B$400=$A$279) + ('MTD Pivot'!$A$3:$A$400=$A$279) &gt; 0) * (TRIM('MTD Pivot'!$C$3:$C$400)=TRIM($A286)) * ('MTD Pivot'!$D$2:$K$2=E$2) * 'MTD Pivot'!$D$3:$K$400), "")</f>
        <v/>
      </c>
      <c r="F286" s="193">
        <f>IF(SUMPRODUCT((('MTD Pivot'!$B$3:$B$400=$A$279) + ('MTD Pivot'!$A$3:$A$400=$A$279) &gt; 0) * (TRIM('MTD Pivot'!$C$3:$C$400)=TRIM($A286)) * ('MTD Pivot'!$D$2:$K$2=F$2) * 'MTD Pivot'!$D$3:$K$400)&gt;0, SUMPRODUCT((('MTD Pivot'!$B$3:$B$400=$A$279) + ('MTD Pivot'!$A$3:$A$400=$A$279) &gt; 0) * (TRIM('MTD Pivot'!$C$3:$C$400)=TRIM($A286)) * ('MTD Pivot'!$D$2:$K$2=F$2) * 'MTD Pivot'!$D$3:$K$400), "")</f>
        <v/>
      </c>
      <c r="G286" s="193">
        <f>IF(SUMPRODUCT((('MTD Pivot'!$B$3:$B$400=$A$279) + ('MTD Pivot'!$A$3:$A$400=$A$279) &gt; 0) * (TRIM('MTD Pivot'!$C$3:$C$400)=TRIM($A286)) * ('MTD Pivot'!$D$2:$K$2=G$2) * 'MTD Pivot'!$D$3:$K$400)&gt;0, SUMPRODUCT((('MTD Pivot'!$B$3:$B$400=$A$279) + ('MTD Pivot'!$A$3:$A$400=$A$279) &gt; 0) * (TRIM('MTD Pivot'!$C$3:$C$400)=TRIM($A286)) * ('MTD Pivot'!$D$2:$K$2=G$2) * 'MTD Pivot'!$D$3:$K$400), "")</f>
        <v/>
      </c>
      <c r="H286" s="193">
        <f>IF(SUMPRODUCT((('MTD Pivot'!$B$3:$B$400=$A$279) + ('MTD Pivot'!$A$3:$A$400=$A$279) &gt; 0) * (TRIM('MTD Pivot'!$C$3:$C$400)=TRIM($A286)) * ('MTD Pivot'!$D$2:$K$2=H$2) * 'MTD Pivot'!$D$3:$K$400)&gt;0, SUMPRODUCT((('MTD Pivot'!$B$3:$B$400=$A$279) + ('MTD Pivot'!$A$3:$A$400=$A$279) &gt; 0) * (TRIM('MTD Pivot'!$C$3:$C$400)=TRIM($A286)) * ('MTD Pivot'!$D$2:$K$2=H$2) * 'MTD Pivot'!$D$3:$K$400), "")</f>
        <v/>
      </c>
      <c r="I286" s="193">
        <f>IF(SUMPRODUCT((('MTD Pivot'!$B$3:$B$400=$A$279) + ('MTD Pivot'!$A$3:$A$400=$A$279) &gt; 0) * (TRIM('MTD Pivot'!$C$3:$C$400)=TRIM($A286)) * ('MTD Pivot'!$D$2:$K$2=I$2) * 'MTD Pivot'!$D$3:$K$400)&gt;0, SUMPRODUCT((('MTD Pivot'!$B$3:$B$400=$A$279) + ('MTD Pivot'!$A$3:$A$400=$A$279) &gt; 0) * (TRIM('MTD Pivot'!$C$3:$C$400)=TRIM($A286)) * ('MTD Pivot'!$D$2:$K$2=I$2) * 'MTD Pivot'!$D$3:$K$400), "")</f>
        <v/>
      </c>
      <c r="J286" s="193">
        <f>IF(SUMPRODUCT((('MTD Pivot'!$B$3:$B$400=$A$279) + ('MTD Pivot'!$A$3:$A$400=$A$279) &gt; 0) * (TRIM('MTD Pivot'!$C$3:$C$400)=TRIM($A286)) * ('MTD Pivot'!$D$2:$K$2=J$2) * 'MTD Pivot'!$D$3:$K$400)&gt;0, SUMPRODUCT((('MTD Pivot'!$B$3:$B$400=$A$279) + ('MTD Pivot'!$A$3:$A$400=$A$279) &gt; 0) * (TRIM('MTD Pivot'!$C$3:$C$400)=TRIM($A286)) * ('MTD Pivot'!$D$2:$K$2=J$2) * 'MTD Pivot'!$D$3:$K$400), "")</f>
        <v/>
      </c>
      <c r="K286" s="193">
        <f>IF(SUMPRODUCT((('MTD Pivot'!$B$3:$B$400=$A$279) + ('MTD Pivot'!$A$3:$A$400=$A$279) &gt; 0) * (TRIM('MTD Pivot'!$C$3:$C$400)=TRIM($A286)) * ('MTD Pivot'!$D$2:$K$2=K$2) * 'MTD Pivot'!$D$3:$K$400)&gt;0, SUMPRODUCT((('MTD Pivot'!$B$3:$B$400=$A$279) + ('MTD Pivot'!$A$3:$A$400=$A$279) &gt; 0) * (TRIM('MTD Pivot'!$C$3:$C$400)=TRIM($A286)) * ('MTD Pivot'!$D$2:$K$2=K$2) * 'MTD Pivot'!$D$3:$K$400), "")</f>
        <v/>
      </c>
      <c r="L286" s="193">
        <f>IF(SUMPRODUCT((('MTD Pivot'!$B$3:$B$400=$A$279) + ('MTD Pivot'!$A$3:$A$400=$A$279) &gt; 0) * (TRIM('MTD Pivot'!$C$3:$C$400)=TRIM($A286)) * ('MTD Pivot'!$D$2:$K$2=L$2) * 'MTD Pivot'!$D$3:$K$400)&gt;0, SUMPRODUCT((('MTD Pivot'!$B$3:$B$400=$A$279) + ('MTD Pivot'!$A$3:$A$400=$A$279) &gt; 0) * (TRIM('MTD Pivot'!$C$3:$C$400)=TRIM($A286)) * ('MTD Pivot'!$D$2:$K$2=L$2) * 'MTD Pivot'!$D$3:$K$400), "")</f>
        <v/>
      </c>
      <c r="M286" s="193">
        <f>IF(SUMPRODUCT((('MTD Pivot'!$B$3:$B$400=$A$279) + ('MTD Pivot'!$A$3:$A$400=$A$279) &gt; 0) * (TRIM('MTD Pivot'!$C$3:$C$400)=TRIM($A286)) * ('MTD Pivot'!$D$2:$K$2=M$2) * 'MTD Pivot'!$D$3:$K$400)&gt;0, SUMPRODUCT((('MTD Pivot'!$B$3:$B$400=$A$279) + ('MTD Pivot'!$A$3:$A$400=$A$279) &gt; 0) * (TRIM('MTD Pivot'!$C$3:$C$400)=TRIM($A286)) * ('MTD Pivot'!$D$2:$K$2=M$2) * 'MTD Pivot'!$D$3:$K$400), "")</f>
        <v/>
      </c>
      <c r="N286" s="157">
        <f>IF(AND(ISNUMBER(K286), ISNUMBER(J286), J286&gt;0), (K286-J286)/J286, "")</f>
        <v/>
      </c>
      <c r="O286" s="193">
        <f>IF(SUMPRODUCT((('Full month Pivot'!$B$3:$B$400=$A$279) + ('Full month Pivot'!$A$3:$A$400=$A$279) &gt; 0) * (TRIM('Full month Pivot'!$C$3:$C$400)=TRIM($A286)) * ('Full month Pivot'!$D$2:$K$2=O$2) * 'Full month Pivot'!$D$3:$K$400)&gt;0, SUMPRODUCT((('Full month Pivot'!$B$3:$B$400=$A$279) + ('Full month Pivot'!$A$3:$A$400=$A$279) &gt; 0) * (TRIM('Full month Pivot'!$C$3:$C$400)=TRIM($A286)) * ('Full month Pivot'!$D$2:$K$2=O$2) * 'Full month Pivot'!$D$3:$K$400), "")</f>
        <v/>
      </c>
      <c r="P286" s="193">
        <f>IF(SUMPRODUCT((('Full month Pivot'!$B$3:$B$400=$A$279) + ('Full month Pivot'!$A$3:$A$400=$A$279) &gt; 0) * (TRIM('Full month Pivot'!$C$3:$C$400)=TRIM($A286)) * ('Full month Pivot'!$D$2:$K$2=P$2) * 'Full month Pivot'!$D$3:$K$400)&gt;0, SUMPRODUCT((('Full month Pivot'!$B$3:$B$400=$A$279) + ('Full month Pivot'!$A$3:$A$400=$A$279) &gt; 0) * (TRIM('Full month Pivot'!$C$3:$C$400)=TRIM($A286)) * ('Full month Pivot'!$D$2:$K$2=P$2) * 'Full month Pivot'!$D$3:$K$400), "")</f>
        <v/>
      </c>
      <c r="Q286" s="193">
        <f>IF(SUMPRODUCT((('Full month Pivot'!$B$3:$B$400=$A$279) + ('Full month Pivot'!$A$3:$A$400=$A$279) &gt; 0) * (TRIM('Full month Pivot'!$C$3:$C$400)=TRIM($A286)) * ('Full month Pivot'!$D$2:$K$2=Q$2) * 'Full month Pivot'!$D$3:$K$400)&gt;0, SUMPRODUCT((('Full month Pivot'!$B$3:$B$400=$A$279) + ('Full month Pivot'!$A$3:$A$400=$A$279) &gt; 0) * (TRIM('Full month Pivot'!$C$3:$C$400)=TRIM($A286)) * ('Full month Pivot'!$D$2:$K$2=Q$2) * 'Full month Pivot'!$D$3:$K$400), "")</f>
        <v/>
      </c>
      <c r="R286" s="193">
        <f>IF(SUMPRODUCT((('Full month Pivot'!$B$3:$B$400=$A$279) + ('Full month Pivot'!$A$3:$A$400=$A$279) &gt; 0) * (TRIM('Full month Pivot'!$C$3:$C$400)=TRIM($A286)) * ('Full month Pivot'!$D$2:$K$2=R$2) * 'Full month Pivot'!$D$3:$K$400)&gt;0, SUMPRODUCT((('Full month Pivot'!$B$3:$B$400=$A$279) + ('Full month Pivot'!$A$3:$A$400=$A$279) &gt; 0) * (TRIM('Full month Pivot'!$C$3:$C$400)=TRIM($A286)) * ('Full month Pivot'!$D$2:$K$2=R$2) * 'Full month Pivot'!$D$3:$K$400), "")</f>
        <v/>
      </c>
      <c r="S286" s="193">
        <f>IF(SUMPRODUCT((('Full month Pivot'!$B$3:$B$400=$A$279) + ('Full month Pivot'!$A$3:$A$400=$A$279) &gt; 0) * (TRIM('Full month Pivot'!$C$3:$C$400)=TRIM($A286)) * ('Full month Pivot'!$D$2:$K$2=S$2) * 'Full month Pivot'!$D$3:$K$400)&gt;0, SUMPRODUCT((('Full month Pivot'!$B$3:$B$400=$A$279) + ('Full month Pivot'!$A$3:$A$400=$A$279) &gt; 0) * (TRIM('Full month Pivot'!$C$3:$C$400)=TRIM($A286)) * ('Full month Pivot'!$D$2:$K$2=S$2) * 'Full month Pivot'!$D$3:$K$400), "")</f>
        <v/>
      </c>
      <c r="T286" s="193">
        <f>IF(SUMPRODUCT((('Full month Pivot'!$B$3:$B$400=$A$279) + ('Full month Pivot'!$A$3:$A$400=$A$279) &gt; 0) * (TRIM('Full month Pivot'!$C$3:$C$400)=TRIM($A286)) * ('Full month Pivot'!$D$2:$K$2=T$2) * 'Full month Pivot'!$D$3:$K$400)&gt;0, SUMPRODUCT((('Full month Pivot'!$B$3:$B$400=$A$279) + ('Full month Pivot'!$A$3:$A$400=$A$279) &gt; 0) * (TRIM('Full month Pivot'!$C$3:$C$400)=TRIM($A286)) * ('Full month Pivot'!$D$2:$K$2=T$2) * 'Full month Pivot'!$D$3:$K$400), "")</f>
        <v/>
      </c>
      <c r="U286" s="193">
        <f>IF(SUMPRODUCT((('Full month Pivot'!$B$3:$B$400=$A$279) + ('Full month Pivot'!$A$3:$A$400=$A$279) &gt; 0) * (TRIM('Full month Pivot'!$C$3:$C$400)=TRIM($A286)) * ('Full month Pivot'!$D$2:$K$2=U$2) * 'Full month Pivot'!$D$3:$K$400)&gt;0, SUMPRODUCT((('Full month Pivot'!$B$3:$B$400=$A$279) + ('Full month Pivot'!$A$3:$A$400=$A$279) &gt; 0) * (TRIM('Full month Pivot'!$C$3:$C$400)=TRIM($A286)) * ('Full month Pivot'!$D$2:$K$2=U$2) * 'Full month Pivot'!$D$3:$K$400), "")</f>
        <v/>
      </c>
      <c r="V286" s="193">
        <f>IF(SUMPRODUCT((('Full month Pivot'!$B$3:$B$400=$A$279) + ('Full month Pivot'!$A$3:$A$400=$A$279) &gt; 0) * (TRIM('Full month Pivot'!$C$3:$C$400)=TRIM($A286)) * ('Full month Pivot'!$D$2:$K$2=V$2) * 'Full month Pivot'!$D$3:$K$400)&gt;0, SUMPRODUCT((('Full month Pivot'!$B$3:$B$400=$A$279) + ('Full month Pivot'!$A$3:$A$400=$A$279) &gt; 0) * (TRIM('Full month Pivot'!$C$3:$C$400)=TRIM($A286)) * ('Full month Pivot'!$D$2:$K$2=V$2) * 'Full month Pivot'!$D$3:$K$400), "")</f>
        <v/>
      </c>
      <c r="W286" s="193">
        <f>IF(SUMPRODUCT((('Full month Pivot'!$B$3:$B$400=$A$279) + ('Full month Pivot'!$A$3:$A$400=$A$279) &gt; 0) * (TRIM('Full month Pivot'!$C$3:$C$400)=TRIM($A286)) * ('Full month Pivot'!$D$2:$K$2=W$2) * 'Full month Pivot'!$D$3:$K$400)&gt;0, SUMPRODUCT((('Full month Pivot'!$B$3:$B$400=$A$279) + ('Full month Pivot'!$A$3:$A$400=$A$279) &gt; 0) * (TRIM('Full month Pivot'!$C$3:$C$400)=TRIM($A286)) * ('Full month Pivot'!$D$2:$K$2=W$2) * 'Full month Pivot'!$D$3:$K$400), "")</f>
        <v/>
      </c>
      <c r="X286" s="193">
        <f>IF(SUMPRODUCT((('Full month Pivot'!$B$3:$B$400=$A$279) + ('Full month Pivot'!$A$3:$A$400=$A$279) &gt; 0) * (TRIM('Full month Pivot'!$C$3:$C$400)=TRIM($A286)) * ('Full month Pivot'!$D$2:$K$2=X$2) * 'Full month Pivot'!$D$3:$K$400)&gt;0, SUMPRODUCT((('Full month Pivot'!$B$3:$B$400=$A$279) + ('Full month Pivot'!$A$3:$A$400=$A$279) &gt; 0) * (TRIM('Full month Pivot'!$C$3:$C$400)=TRIM($A286)) * ('Full month Pivot'!$D$2:$K$2=X$2) * 'Full month Pivot'!$D$3:$K$400), "")</f>
        <v/>
      </c>
      <c r="Y286" s="193">
        <f>IF(SUMPRODUCT((('Full month Pivot'!$B$3:$B$400=$A$279) + ('Full month Pivot'!$A$3:$A$400=$A$279) &gt; 0) * (TRIM('Full month Pivot'!$C$3:$C$400)=TRIM($A286)) * ('Full month Pivot'!$D$2:$K$2=Y$2) * 'Full month Pivot'!$D$3:$K$400)&gt;0, SUMPRODUCT((('Full month Pivot'!$B$3:$B$400=$A$279) + ('Full month Pivot'!$A$3:$A$400=$A$279) &gt; 0) * (TRIM('Full month Pivot'!$C$3:$C$400)=TRIM($A286)) * ('Full month Pivot'!$D$2:$K$2=Y$2) * 'Full month Pivot'!$D$3:$K$400), "")</f>
        <v/>
      </c>
      <c r="Z286" s="193">
        <f>IF(SUMPRODUCT((('Full month Pivot'!$B$3:$B$400=$A$279) + ('Full month Pivot'!$A$3:$A$400=$A$279) &gt; 0) * (TRIM('Full month Pivot'!$C$3:$C$400)=TRIM($A286)) * ('Full month Pivot'!$D$2:$K$2=Z$2) * 'Full month Pivot'!$D$3:$K$400)&gt;0, SUMPRODUCT((('Full month Pivot'!$B$3:$B$400=$A$279) + ('Full month Pivot'!$A$3:$A$400=$A$279) &gt; 0) * (TRIM('Full month Pivot'!$C$3:$C$400)=TRIM($A286)) * ('Full month Pivot'!$D$2:$K$2=Z$2) * 'Full month Pivot'!$D$3:$K$400), "")</f>
        <v/>
      </c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202" t="inlineStr">
        <is>
          <t xml:space="preserve">  Direct</t>
        </is>
      </c>
      <c r="B287" s="193">
        <f>IF(SUMPRODUCT((('MTD Pivot'!$B$3:$B$400=$A$279) + ('MTD Pivot'!$A$3:$A$400=$A$279) &gt; 0) * (TRIM('MTD Pivot'!$C$3:$C$400)=TRIM($A287)) * ('MTD Pivot'!$D$2:$K$2=B$2) * 'MTD Pivot'!$D$3:$K$400)&gt;0, SUMPRODUCT((('MTD Pivot'!$B$3:$B$400=$A$279) + ('MTD Pivot'!$A$3:$A$400=$A$279) &gt; 0) * (TRIM('MTD Pivot'!$C$3:$C$400)=TRIM($A287)) * ('MTD Pivot'!$D$2:$K$2=B$2) * 'MTD Pivot'!$D$3:$K$400), "")</f>
        <v/>
      </c>
      <c r="C287" s="193">
        <f>IF(SUMPRODUCT((('MTD Pivot'!$B$3:$B$400=$A$279) + ('MTD Pivot'!$A$3:$A$400=$A$279) &gt; 0) * (TRIM('MTD Pivot'!$C$3:$C$400)=TRIM($A287)) * ('MTD Pivot'!$D$2:$K$2=C$2) * 'MTD Pivot'!$D$3:$K$400)&gt;0, SUMPRODUCT((('MTD Pivot'!$B$3:$B$400=$A$279) + ('MTD Pivot'!$A$3:$A$400=$A$279) &gt; 0) * (TRIM('MTD Pivot'!$C$3:$C$400)=TRIM($A287)) * ('MTD Pivot'!$D$2:$K$2=C$2) * 'MTD Pivot'!$D$3:$K$400), "")</f>
        <v/>
      </c>
      <c r="D287" s="193">
        <f>IF(SUMPRODUCT((('MTD Pivot'!$B$3:$B$400=$A$279) + ('MTD Pivot'!$A$3:$A$400=$A$279) &gt; 0) * (TRIM('MTD Pivot'!$C$3:$C$400)=TRIM($A287)) * ('MTD Pivot'!$D$2:$K$2=D$2) * 'MTD Pivot'!$D$3:$K$400)&gt;0, SUMPRODUCT((('MTD Pivot'!$B$3:$B$400=$A$279) + ('MTD Pivot'!$A$3:$A$400=$A$279) &gt; 0) * (TRIM('MTD Pivot'!$C$3:$C$400)=TRIM($A287)) * ('MTD Pivot'!$D$2:$K$2=D$2) * 'MTD Pivot'!$D$3:$K$400), "")</f>
        <v/>
      </c>
      <c r="E287" s="193">
        <f>IF(SUMPRODUCT((('MTD Pivot'!$B$3:$B$400=$A$279) + ('MTD Pivot'!$A$3:$A$400=$A$279) &gt; 0) * (TRIM('MTD Pivot'!$C$3:$C$400)=TRIM($A287)) * ('MTD Pivot'!$D$2:$K$2=E$2) * 'MTD Pivot'!$D$3:$K$400)&gt;0, SUMPRODUCT((('MTD Pivot'!$B$3:$B$400=$A$279) + ('MTD Pivot'!$A$3:$A$400=$A$279) &gt; 0) * (TRIM('MTD Pivot'!$C$3:$C$400)=TRIM($A287)) * ('MTD Pivot'!$D$2:$K$2=E$2) * 'MTD Pivot'!$D$3:$K$400), "")</f>
        <v/>
      </c>
      <c r="F287" s="193">
        <f>IF(SUMPRODUCT((('MTD Pivot'!$B$3:$B$400=$A$279) + ('MTD Pivot'!$A$3:$A$400=$A$279) &gt; 0) * (TRIM('MTD Pivot'!$C$3:$C$400)=TRIM($A287)) * ('MTD Pivot'!$D$2:$K$2=F$2) * 'MTD Pivot'!$D$3:$K$400)&gt;0, SUMPRODUCT((('MTD Pivot'!$B$3:$B$400=$A$279) + ('MTD Pivot'!$A$3:$A$400=$A$279) &gt; 0) * (TRIM('MTD Pivot'!$C$3:$C$400)=TRIM($A287)) * ('MTD Pivot'!$D$2:$K$2=F$2) * 'MTD Pivot'!$D$3:$K$400), "")</f>
        <v/>
      </c>
      <c r="G287" s="193">
        <f>IF(SUMPRODUCT((('MTD Pivot'!$B$3:$B$400=$A$279) + ('MTD Pivot'!$A$3:$A$400=$A$279) &gt; 0) * (TRIM('MTD Pivot'!$C$3:$C$400)=TRIM($A287)) * ('MTD Pivot'!$D$2:$K$2=G$2) * 'MTD Pivot'!$D$3:$K$400)&gt;0, SUMPRODUCT((('MTD Pivot'!$B$3:$B$400=$A$279) + ('MTD Pivot'!$A$3:$A$400=$A$279) &gt; 0) * (TRIM('MTD Pivot'!$C$3:$C$400)=TRIM($A287)) * ('MTD Pivot'!$D$2:$K$2=G$2) * 'MTD Pivot'!$D$3:$K$400), "")</f>
        <v/>
      </c>
      <c r="H287" s="193">
        <f>IF(SUMPRODUCT((('MTD Pivot'!$B$3:$B$400=$A$279) + ('MTD Pivot'!$A$3:$A$400=$A$279) &gt; 0) * (TRIM('MTD Pivot'!$C$3:$C$400)=TRIM($A287)) * ('MTD Pivot'!$D$2:$K$2=H$2) * 'MTD Pivot'!$D$3:$K$400)&gt;0, SUMPRODUCT((('MTD Pivot'!$B$3:$B$400=$A$279) + ('MTD Pivot'!$A$3:$A$400=$A$279) &gt; 0) * (TRIM('MTD Pivot'!$C$3:$C$400)=TRIM($A287)) * ('MTD Pivot'!$D$2:$K$2=H$2) * 'MTD Pivot'!$D$3:$K$400), "")</f>
        <v/>
      </c>
      <c r="I287" s="193">
        <f>IF(SUMPRODUCT((('MTD Pivot'!$B$3:$B$400=$A$279) + ('MTD Pivot'!$A$3:$A$400=$A$279) &gt; 0) * (TRIM('MTD Pivot'!$C$3:$C$400)=TRIM($A287)) * ('MTD Pivot'!$D$2:$K$2=I$2) * 'MTD Pivot'!$D$3:$K$400)&gt;0, SUMPRODUCT((('MTD Pivot'!$B$3:$B$400=$A$279) + ('MTD Pivot'!$A$3:$A$400=$A$279) &gt; 0) * (TRIM('MTD Pivot'!$C$3:$C$400)=TRIM($A287)) * ('MTD Pivot'!$D$2:$K$2=I$2) * 'MTD Pivot'!$D$3:$K$400), "")</f>
        <v/>
      </c>
      <c r="J287" s="193">
        <f>IF(SUMPRODUCT((('MTD Pivot'!$B$3:$B$400=$A$279) + ('MTD Pivot'!$A$3:$A$400=$A$279) &gt; 0) * (TRIM('MTD Pivot'!$C$3:$C$400)=TRIM($A287)) * ('MTD Pivot'!$D$2:$K$2=J$2) * 'MTD Pivot'!$D$3:$K$400)&gt;0, SUMPRODUCT((('MTD Pivot'!$B$3:$B$400=$A$279) + ('MTD Pivot'!$A$3:$A$400=$A$279) &gt; 0) * (TRIM('MTD Pivot'!$C$3:$C$400)=TRIM($A287)) * ('MTD Pivot'!$D$2:$K$2=J$2) * 'MTD Pivot'!$D$3:$K$400), "")</f>
        <v/>
      </c>
      <c r="K287" s="193">
        <f>IF(SUMPRODUCT((('MTD Pivot'!$B$3:$B$400=$A$279) + ('MTD Pivot'!$A$3:$A$400=$A$279) &gt; 0) * (TRIM('MTD Pivot'!$C$3:$C$400)=TRIM($A287)) * ('MTD Pivot'!$D$2:$K$2=K$2) * 'MTD Pivot'!$D$3:$K$400)&gt;0, SUMPRODUCT((('MTD Pivot'!$B$3:$B$400=$A$279) + ('MTD Pivot'!$A$3:$A$400=$A$279) &gt; 0) * (TRIM('MTD Pivot'!$C$3:$C$400)=TRIM($A287)) * ('MTD Pivot'!$D$2:$K$2=K$2) * 'MTD Pivot'!$D$3:$K$400), "")</f>
        <v/>
      </c>
      <c r="L287" s="193">
        <f>IF(SUMPRODUCT((('MTD Pivot'!$B$3:$B$400=$A$279) + ('MTD Pivot'!$A$3:$A$400=$A$279) &gt; 0) * (TRIM('MTD Pivot'!$C$3:$C$400)=TRIM($A287)) * ('MTD Pivot'!$D$2:$K$2=L$2) * 'MTD Pivot'!$D$3:$K$400)&gt;0, SUMPRODUCT((('MTD Pivot'!$B$3:$B$400=$A$279) + ('MTD Pivot'!$A$3:$A$400=$A$279) &gt; 0) * (TRIM('MTD Pivot'!$C$3:$C$400)=TRIM($A287)) * ('MTD Pivot'!$D$2:$K$2=L$2) * 'MTD Pivot'!$D$3:$K$400), "")</f>
        <v/>
      </c>
      <c r="M287" s="193">
        <f>IF(SUMPRODUCT((('MTD Pivot'!$B$3:$B$400=$A$279) + ('MTD Pivot'!$A$3:$A$400=$A$279) &gt; 0) * (TRIM('MTD Pivot'!$C$3:$C$400)=TRIM($A287)) * ('MTD Pivot'!$D$2:$K$2=M$2) * 'MTD Pivot'!$D$3:$K$400)&gt;0, SUMPRODUCT((('MTD Pivot'!$B$3:$B$400=$A$279) + ('MTD Pivot'!$A$3:$A$400=$A$279) &gt; 0) * (TRIM('MTD Pivot'!$C$3:$C$400)=TRIM($A287)) * ('MTD Pivot'!$D$2:$K$2=M$2) * 'MTD Pivot'!$D$3:$K$400), "")</f>
        <v/>
      </c>
      <c r="N287" s="157">
        <f>IF(AND(ISNUMBER(K287), ISNUMBER(J287), J287&gt;0), (K287-J287)/J287, "")</f>
        <v/>
      </c>
      <c r="O287" s="193">
        <f>IF(SUMPRODUCT((('Full month Pivot'!$B$3:$B$400=$A$279) + ('Full month Pivot'!$A$3:$A$400=$A$279) &gt; 0) * (TRIM('Full month Pivot'!$C$3:$C$400)=TRIM($A287)) * ('Full month Pivot'!$D$2:$K$2=O$2) * 'Full month Pivot'!$D$3:$K$400)&gt;0, SUMPRODUCT((('Full month Pivot'!$B$3:$B$400=$A$279) + ('Full month Pivot'!$A$3:$A$400=$A$279) &gt; 0) * (TRIM('Full month Pivot'!$C$3:$C$400)=TRIM($A287)) * ('Full month Pivot'!$D$2:$K$2=O$2) * 'Full month Pivot'!$D$3:$K$400), "")</f>
        <v/>
      </c>
      <c r="P287" s="193">
        <f>IF(SUMPRODUCT((('Full month Pivot'!$B$3:$B$400=$A$279) + ('Full month Pivot'!$A$3:$A$400=$A$279) &gt; 0) * (TRIM('Full month Pivot'!$C$3:$C$400)=TRIM($A287)) * ('Full month Pivot'!$D$2:$K$2=P$2) * 'Full month Pivot'!$D$3:$K$400)&gt;0, SUMPRODUCT((('Full month Pivot'!$B$3:$B$400=$A$279) + ('Full month Pivot'!$A$3:$A$400=$A$279) &gt; 0) * (TRIM('Full month Pivot'!$C$3:$C$400)=TRIM($A287)) * ('Full month Pivot'!$D$2:$K$2=P$2) * 'Full month Pivot'!$D$3:$K$400), "")</f>
        <v/>
      </c>
      <c r="Q287" s="193">
        <f>IF(SUMPRODUCT((('Full month Pivot'!$B$3:$B$400=$A$279) + ('Full month Pivot'!$A$3:$A$400=$A$279) &gt; 0) * (TRIM('Full month Pivot'!$C$3:$C$400)=TRIM($A287)) * ('Full month Pivot'!$D$2:$K$2=Q$2) * 'Full month Pivot'!$D$3:$K$400)&gt;0, SUMPRODUCT((('Full month Pivot'!$B$3:$B$400=$A$279) + ('Full month Pivot'!$A$3:$A$400=$A$279) &gt; 0) * (TRIM('Full month Pivot'!$C$3:$C$400)=TRIM($A287)) * ('Full month Pivot'!$D$2:$K$2=Q$2) * 'Full month Pivot'!$D$3:$K$400), "")</f>
        <v/>
      </c>
      <c r="R287" s="193">
        <f>IF(SUMPRODUCT((('Full month Pivot'!$B$3:$B$400=$A$279) + ('Full month Pivot'!$A$3:$A$400=$A$279) &gt; 0) * (TRIM('Full month Pivot'!$C$3:$C$400)=TRIM($A287)) * ('Full month Pivot'!$D$2:$K$2=R$2) * 'Full month Pivot'!$D$3:$K$400)&gt;0, SUMPRODUCT((('Full month Pivot'!$B$3:$B$400=$A$279) + ('Full month Pivot'!$A$3:$A$400=$A$279) &gt; 0) * (TRIM('Full month Pivot'!$C$3:$C$400)=TRIM($A287)) * ('Full month Pivot'!$D$2:$K$2=R$2) * 'Full month Pivot'!$D$3:$K$400), "")</f>
        <v/>
      </c>
      <c r="S287" s="193">
        <f>IF(SUMPRODUCT((('Full month Pivot'!$B$3:$B$400=$A$279) + ('Full month Pivot'!$A$3:$A$400=$A$279) &gt; 0) * (TRIM('Full month Pivot'!$C$3:$C$400)=TRIM($A287)) * ('Full month Pivot'!$D$2:$K$2=S$2) * 'Full month Pivot'!$D$3:$K$400)&gt;0, SUMPRODUCT((('Full month Pivot'!$B$3:$B$400=$A$279) + ('Full month Pivot'!$A$3:$A$400=$A$279) &gt; 0) * (TRIM('Full month Pivot'!$C$3:$C$400)=TRIM($A287)) * ('Full month Pivot'!$D$2:$K$2=S$2) * 'Full month Pivot'!$D$3:$K$400), "")</f>
        <v/>
      </c>
      <c r="T287" s="193">
        <f>IF(SUMPRODUCT((('Full month Pivot'!$B$3:$B$400=$A$279) + ('Full month Pivot'!$A$3:$A$400=$A$279) &gt; 0) * (TRIM('Full month Pivot'!$C$3:$C$400)=TRIM($A287)) * ('Full month Pivot'!$D$2:$K$2=T$2) * 'Full month Pivot'!$D$3:$K$400)&gt;0, SUMPRODUCT((('Full month Pivot'!$B$3:$B$400=$A$279) + ('Full month Pivot'!$A$3:$A$400=$A$279) &gt; 0) * (TRIM('Full month Pivot'!$C$3:$C$400)=TRIM($A287)) * ('Full month Pivot'!$D$2:$K$2=T$2) * 'Full month Pivot'!$D$3:$K$400), "")</f>
        <v/>
      </c>
      <c r="U287" s="193">
        <f>IF(SUMPRODUCT((('Full month Pivot'!$B$3:$B$400=$A$279) + ('Full month Pivot'!$A$3:$A$400=$A$279) &gt; 0) * (TRIM('Full month Pivot'!$C$3:$C$400)=TRIM($A287)) * ('Full month Pivot'!$D$2:$K$2=U$2) * 'Full month Pivot'!$D$3:$K$400)&gt;0, SUMPRODUCT((('Full month Pivot'!$B$3:$B$400=$A$279) + ('Full month Pivot'!$A$3:$A$400=$A$279) &gt; 0) * (TRIM('Full month Pivot'!$C$3:$C$400)=TRIM($A287)) * ('Full month Pivot'!$D$2:$K$2=U$2) * 'Full month Pivot'!$D$3:$K$400), "")</f>
        <v/>
      </c>
      <c r="V287" s="193">
        <f>IF(SUMPRODUCT((('Full month Pivot'!$B$3:$B$400=$A$279) + ('Full month Pivot'!$A$3:$A$400=$A$279) &gt; 0) * (TRIM('Full month Pivot'!$C$3:$C$400)=TRIM($A287)) * ('Full month Pivot'!$D$2:$K$2=V$2) * 'Full month Pivot'!$D$3:$K$400)&gt;0, SUMPRODUCT((('Full month Pivot'!$B$3:$B$400=$A$279) + ('Full month Pivot'!$A$3:$A$400=$A$279) &gt; 0) * (TRIM('Full month Pivot'!$C$3:$C$400)=TRIM($A287)) * ('Full month Pivot'!$D$2:$K$2=V$2) * 'Full month Pivot'!$D$3:$K$400), "")</f>
        <v/>
      </c>
      <c r="W287" s="193">
        <f>IF(SUMPRODUCT((('Full month Pivot'!$B$3:$B$400=$A$279) + ('Full month Pivot'!$A$3:$A$400=$A$279) &gt; 0) * (TRIM('Full month Pivot'!$C$3:$C$400)=TRIM($A287)) * ('Full month Pivot'!$D$2:$K$2=W$2) * 'Full month Pivot'!$D$3:$K$400)&gt;0, SUMPRODUCT((('Full month Pivot'!$B$3:$B$400=$A$279) + ('Full month Pivot'!$A$3:$A$400=$A$279) &gt; 0) * (TRIM('Full month Pivot'!$C$3:$C$400)=TRIM($A287)) * ('Full month Pivot'!$D$2:$K$2=W$2) * 'Full month Pivot'!$D$3:$K$400), "")</f>
        <v/>
      </c>
      <c r="X287" s="193">
        <f>IF(SUMPRODUCT((('Full month Pivot'!$B$3:$B$400=$A$279) + ('Full month Pivot'!$A$3:$A$400=$A$279) &gt; 0) * (TRIM('Full month Pivot'!$C$3:$C$400)=TRIM($A287)) * ('Full month Pivot'!$D$2:$K$2=X$2) * 'Full month Pivot'!$D$3:$K$400)&gt;0, SUMPRODUCT((('Full month Pivot'!$B$3:$B$400=$A$279) + ('Full month Pivot'!$A$3:$A$400=$A$279) &gt; 0) * (TRIM('Full month Pivot'!$C$3:$C$400)=TRIM($A287)) * ('Full month Pivot'!$D$2:$K$2=X$2) * 'Full month Pivot'!$D$3:$K$400), "")</f>
        <v/>
      </c>
      <c r="Y287" s="193">
        <f>IF(SUMPRODUCT((('Full month Pivot'!$B$3:$B$400=$A$279) + ('Full month Pivot'!$A$3:$A$400=$A$279) &gt; 0) * (TRIM('Full month Pivot'!$C$3:$C$400)=TRIM($A287)) * ('Full month Pivot'!$D$2:$K$2=Y$2) * 'Full month Pivot'!$D$3:$K$400)&gt;0, SUMPRODUCT((('Full month Pivot'!$B$3:$B$400=$A$279) + ('Full month Pivot'!$A$3:$A$400=$A$279) &gt; 0) * (TRIM('Full month Pivot'!$C$3:$C$400)=TRIM($A287)) * ('Full month Pivot'!$D$2:$K$2=Y$2) * 'Full month Pivot'!$D$3:$K$400), "")</f>
        <v/>
      </c>
      <c r="Z287" s="193">
        <f>IF(SUMPRODUCT((('Full month Pivot'!$B$3:$B$400=$A$279) + ('Full month Pivot'!$A$3:$A$400=$A$279) &gt; 0) * (TRIM('Full month Pivot'!$C$3:$C$400)=TRIM($A287)) * ('Full month Pivot'!$D$2:$K$2=Z$2) * 'Full month Pivot'!$D$3:$K$400)&gt;0, SUMPRODUCT((('Full month Pivot'!$B$3:$B$400=$A$279) + ('Full month Pivot'!$A$3:$A$400=$A$279) &gt; 0) * (TRIM('Full month Pivot'!$C$3:$C$400)=TRIM($A287)) * ('Full month Pivot'!$D$2:$K$2=Z$2) * 'Full month Pivot'!$D$3:$K$400), "")</f>
        <v/>
      </c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202" t="inlineStr">
        <is>
          <t xml:space="preserve">  Referral</t>
        </is>
      </c>
      <c r="B288" s="193">
        <f>IF(SUMPRODUCT((('MTD Pivot'!$B$3:$B$400=$A$279) + ('MTD Pivot'!$A$3:$A$400=$A$279) &gt; 0) * (TRIM('MTD Pivot'!$C$3:$C$400)=TRIM($A288)) * ('MTD Pivot'!$D$2:$K$2=B$2) * 'MTD Pivot'!$D$3:$K$400)&gt;0, SUMPRODUCT((('MTD Pivot'!$B$3:$B$400=$A$279) + ('MTD Pivot'!$A$3:$A$400=$A$279) &gt; 0) * (TRIM('MTD Pivot'!$C$3:$C$400)=TRIM($A288)) * ('MTD Pivot'!$D$2:$K$2=B$2) * 'MTD Pivot'!$D$3:$K$400), "")</f>
        <v/>
      </c>
      <c r="C288" s="193">
        <f>IF(SUMPRODUCT((('MTD Pivot'!$B$3:$B$400=$A$279) + ('MTD Pivot'!$A$3:$A$400=$A$279) &gt; 0) * (TRIM('MTD Pivot'!$C$3:$C$400)=TRIM($A288)) * ('MTD Pivot'!$D$2:$K$2=C$2) * 'MTD Pivot'!$D$3:$K$400)&gt;0, SUMPRODUCT((('MTD Pivot'!$B$3:$B$400=$A$279) + ('MTD Pivot'!$A$3:$A$400=$A$279) &gt; 0) * (TRIM('MTD Pivot'!$C$3:$C$400)=TRIM($A288)) * ('MTD Pivot'!$D$2:$K$2=C$2) * 'MTD Pivot'!$D$3:$K$400), "")</f>
        <v/>
      </c>
      <c r="D288" s="193">
        <f>IF(SUMPRODUCT((('MTD Pivot'!$B$3:$B$400=$A$279) + ('MTD Pivot'!$A$3:$A$400=$A$279) &gt; 0) * (TRIM('MTD Pivot'!$C$3:$C$400)=TRIM($A288)) * ('MTD Pivot'!$D$2:$K$2=D$2) * 'MTD Pivot'!$D$3:$K$400)&gt;0, SUMPRODUCT((('MTD Pivot'!$B$3:$B$400=$A$279) + ('MTD Pivot'!$A$3:$A$400=$A$279) &gt; 0) * (TRIM('MTD Pivot'!$C$3:$C$400)=TRIM($A288)) * ('MTD Pivot'!$D$2:$K$2=D$2) * 'MTD Pivot'!$D$3:$K$400), "")</f>
        <v/>
      </c>
      <c r="E288" s="193">
        <f>IF(SUMPRODUCT((('MTD Pivot'!$B$3:$B$400=$A$279) + ('MTD Pivot'!$A$3:$A$400=$A$279) &gt; 0) * (TRIM('MTD Pivot'!$C$3:$C$400)=TRIM($A288)) * ('MTD Pivot'!$D$2:$K$2=E$2) * 'MTD Pivot'!$D$3:$K$400)&gt;0, SUMPRODUCT((('MTD Pivot'!$B$3:$B$400=$A$279) + ('MTD Pivot'!$A$3:$A$400=$A$279) &gt; 0) * (TRIM('MTD Pivot'!$C$3:$C$400)=TRIM($A288)) * ('MTD Pivot'!$D$2:$K$2=E$2) * 'MTD Pivot'!$D$3:$K$400), "")</f>
        <v/>
      </c>
      <c r="F288" s="193">
        <f>IF(SUMPRODUCT((('MTD Pivot'!$B$3:$B$400=$A$279) + ('MTD Pivot'!$A$3:$A$400=$A$279) &gt; 0) * (TRIM('MTD Pivot'!$C$3:$C$400)=TRIM($A288)) * ('MTD Pivot'!$D$2:$K$2=F$2) * 'MTD Pivot'!$D$3:$K$400)&gt;0, SUMPRODUCT((('MTD Pivot'!$B$3:$B$400=$A$279) + ('MTD Pivot'!$A$3:$A$400=$A$279) &gt; 0) * (TRIM('MTD Pivot'!$C$3:$C$400)=TRIM($A288)) * ('MTD Pivot'!$D$2:$K$2=F$2) * 'MTD Pivot'!$D$3:$K$400), "")</f>
        <v/>
      </c>
      <c r="G288" s="193">
        <f>IF(SUMPRODUCT((('MTD Pivot'!$B$3:$B$400=$A$279) + ('MTD Pivot'!$A$3:$A$400=$A$279) &gt; 0) * (TRIM('MTD Pivot'!$C$3:$C$400)=TRIM($A288)) * ('MTD Pivot'!$D$2:$K$2=G$2) * 'MTD Pivot'!$D$3:$K$400)&gt;0, SUMPRODUCT((('MTD Pivot'!$B$3:$B$400=$A$279) + ('MTD Pivot'!$A$3:$A$400=$A$279) &gt; 0) * (TRIM('MTD Pivot'!$C$3:$C$400)=TRIM($A288)) * ('MTD Pivot'!$D$2:$K$2=G$2) * 'MTD Pivot'!$D$3:$K$400), "")</f>
        <v/>
      </c>
      <c r="H288" s="193">
        <f>IF(SUMPRODUCT((('MTD Pivot'!$B$3:$B$400=$A$279) + ('MTD Pivot'!$A$3:$A$400=$A$279) &gt; 0) * (TRIM('MTD Pivot'!$C$3:$C$400)=TRIM($A288)) * ('MTD Pivot'!$D$2:$K$2=H$2) * 'MTD Pivot'!$D$3:$K$400)&gt;0, SUMPRODUCT((('MTD Pivot'!$B$3:$B$400=$A$279) + ('MTD Pivot'!$A$3:$A$400=$A$279) &gt; 0) * (TRIM('MTD Pivot'!$C$3:$C$400)=TRIM($A288)) * ('MTD Pivot'!$D$2:$K$2=H$2) * 'MTD Pivot'!$D$3:$K$400), "")</f>
        <v/>
      </c>
      <c r="I288" s="193">
        <f>IF(SUMPRODUCT((('MTD Pivot'!$B$3:$B$400=$A$279) + ('MTD Pivot'!$A$3:$A$400=$A$279) &gt; 0) * (TRIM('MTD Pivot'!$C$3:$C$400)=TRIM($A288)) * ('MTD Pivot'!$D$2:$K$2=I$2) * 'MTD Pivot'!$D$3:$K$400)&gt;0, SUMPRODUCT((('MTD Pivot'!$B$3:$B$400=$A$279) + ('MTD Pivot'!$A$3:$A$400=$A$279) &gt; 0) * (TRIM('MTD Pivot'!$C$3:$C$400)=TRIM($A288)) * ('MTD Pivot'!$D$2:$K$2=I$2) * 'MTD Pivot'!$D$3:$K$400), "")</f>
        <v/>
      </c>
      <c r="J288" s="193">
        <f>IF(SUMPRODUCT((('MTD Pivot'!$B$3:$B$400=$A$279) + ('MTD Pivot'!$A$3:$A$400=$A$279) &gt; 0) * (TRIM('MTD Pivot'!$C$3:$C$400)=TRIM($A288)) * ('MTD Pivot'!$D$2:$K$2=J$2) * 'MTD Pivot'!$D$3:$K$400)&gt;0, SUMPRODUCT((('MTD Pivot'!$B$3:$B$400=$A$279) + ('MTD Pivot'!$A$3:$A$400=$A$279) &gt; 0) * (TRIM('MTD Pivot'!$C$3:$C$400)=TRIM($A288)) * ('MTD Pivot'!$D$2:$K$2=J$2) * 'MTD Pivot'!$D$3:$K$400), "")</f>
        <v/>
      </c>
      <c r="K288" s="193">
        <f>IF(SUMPRODUCT((('MTD Pivot'!$B$3:$B$400=$A$279) + ('MTD Pivot'!$A$3:$A$400=$A$279) &gt; 0) * (TRIM('MTD Pivot'!$C$3:$C$400)=TRIM($A288)) * ('MTD Pivot'!$D$2:$K$2=K$2) * 'MTD Pivot'!$D$3:$K$400)&gt;0, SUMPRODUCT((('MTD Pivot'!$B$3:$B$400=$A$279) + ('MTD Pivot'!$A$3:$A$400=$A$279) &gt; 0) * (TRIM('MTD Pivot'!$C$3:$C$400)=TRIM($A288)) * ('MTD Pivot'!$D$2:$K$2=K$2) * 'MTD Pivot'!$D$3:$K$400), "")</f>
        <v/>
      </c>
      <c r="L288" s="193">
        <f>IF(SUMPRODUCT((('MTD Pivot'!$B$3:$B$400=$A$279) + ('MTD Pivot'!$A$3:$A$400=$A$279) &gt; 0) * (TRIM('MTD Pivot'!$C$3:$C$400)=TRIM($A288)) * ('MTD Pivot'!$D$2:$K$2=L$2) * 'MTD Pivot'!$D$3:$K$400)&gt;0, SUMPRODUCT((('MTD Pivot'!$B$3:$B$400=$A$279) + ('MTD Pivot'!$A$3:$A$400=$A$279) &gt; 0) * (TRIM('MTD Pivot'!$C$3:$C$400)=TRIM($A288)) * ('MTD Pivot'!$D$2:$K$2=L$2) * 'MTD Pivot'!$D$3:$K$400), "")</f>
        <v/>
      </c>
      <c r="M288" s="193">
        <f>IF(SUMPRODUCT((('MTD Pivot'!$B$3:$B$400=$A$279) + ('MTD Pivot'!$A$3:$A$400=$A$279) &gt; 0) * (TRIM('MTD Pivot'!$C$3:$C$400)=TRIM($A288)) * ('MTD Pivot'!$D$2:$K$2=M$2) * 'MTD Pivot'!$D$3:$K$400)&gt;0, SUMPRODUCT((('MTD Pivot'!$B$3:$B$400=$A$279) + ('MTD Pivot'!$A$3:$A$400=$A$279) &gt; 0) * (TRIM('MTD Pivot'!$C$3:$C$400)=TRIM($A288)) * ('MTD Pivot'!$D$2:$K$2=M$2) * 'MTD Pivot'!$D$3:$K$400), "")</f>
        <v/>
      </c>
      <c r="N288" s="157">
        <f>IF(AND(ISNUMBER(K288), ISNUMBER(J288), J288&gt;0), (K288-J288)/J288, "")</f>
        <v/>
      </c>
      <c r="O288" s="193">
        <f>IF(SUMPRODUCT((('Full month Pivot'!$B$3:$B$400=$A$279) + ('Full month Pivot'!$A$3:$A$400=$A$279) &gt; 0) * (TRIM('Full month Pivot'!$C$3:$C$400)=TRIM($A288)) * ('Full month Pivot'!$D$2:$K$2=O$2) * 'Full month Pivot'!$D$3:$K$400)&gt;0, SUMPRODUCT((('Full month Pivot'!$B$3:$B$400=$A$279) + ('Full month Pivot'!$A$3:$A$400=$A$279) &gt; 0) * (TRIM('Full month Pivot'!$C$3:$C$400)=TRIM($A288)) * ('Full month Pivot'!$D$2:$K$2=O$2) * 'Full month Pivot'!$D$3:$K$400), "")</f>
        <v/>
      </c>
      <c r="P288" s="193">
        <f>IF(SUMPRODUCT((('Full month Pivot'!$B$3:$B$400=$A$279) + ('Full month Pivot'!$A$3:$A$400=$A$279) &gt; 0) * (TRIM('Full month Pivot'!$C$3:$C$400)=TRIM($A288)) * ('Full month Pivot'!$D$2:$K$2=P$2) * 'Full month Pivot'!$D$3:$K$400)&gt;0, SUMPRODUCT((('Full month Pivot'!$B$3:$B$400=$A$279) + ('Full month Pivot'!$A$3:$A$400=$A$279) &gt; 0) * (TRIM('Full month Pivot'!$C$3:$C$400)=TRIM($A288)) * ('Full month Pivot'!$D$2:$K$2=P$2) * 'Full month Pivot'!$D$3:$K$400), "")</f>
        <v/>
      </c>
      <c r="Q288" s="193">
        <f>IF(SUMPRODUCT((('Full month Pivot'!$B$3:$B$400=$A$279) + ('Full month Pivot'!$A$3:$A$400=$A$279) &gt; 0) * (TRIM('Full month Pivot'!$C$3:$C$400)=TRIM($A288)) * ('Full month Pivot'!$D$2:$K$2=Q$2) * 'Full month Pivot'!$D$3:$K$400)&gt;0, SUMPRODUCT((('Full month Pivot'!$B$3:$B$400=$A$279) + ('Full month Pivot'!$A$3:$A$400=$A$279) &gt; 0) * (TRIM('Full month Pivot'!$C$3:$C$400)=TRIM($A288)) * ('Full month Pivot'!$D$2:$K$2=Q$2) * 'Full month Pivot'!$D$3:$K$400), "")</f>
        <v/>
      </c>
      <c r="R288" s="193">
        <f>IF(SUMPRODUCT((('Full month Pivot'!$B$3:$B$400=$A$279) + ('Full month Pivot'!$A$3:$A$400=$A$279) &gt; 0) * (TRIM('Full month Pivot'!$C$3:$C$400)=TRIM($A288)) * ('Full month Pivot'!$D$2:$K$2=R$2) * 'Full month Pivot'!$D$3:$K$400)&gt;0, SUMPRODUCT((('Full month Pivot'!$B$3:$B$400=$A$279) + ('Full month Pivot'!$A$3:$A$400=$A$279) &gt; 0) * (TRIM('Full month Pivot'!$C$3:$C$400)=TRIM($A288)) * ('Full month Pivot'!$D$2:$K$2=R$2) * 'Full month Pivot'!$D$3:$K$400), "")</f>
        <v/>
      </c>
      <c r="S288" s="193">
        <f>IF(SUMPRODUCT((('Full month Pivot'!$B$3:$B$400=$A$279) + ('Full month Pivot'!$A$3:$A$400=$A$279) &gt; 0) * (TRIM('Full month Pivot'!$C$3:$C$400)=TRIM($A288)) * ('Full month Pivot'!$D$2:$K$2=S$2) * 'Full month Pivot'!$D$3:$K$400)&gt;0, SUMPRODUCT((('Full month Pivot'!$B$3:$B$400=$A$279) + ('Full month Pivot'!$A$3:$A$400=$A$279) &gt; 0) * (TRIM('Full month Pivot'!$C$3:$C$400)=TRIM($A288)) * ('Full month Pivot'!$D$2:$K$2=S$2) * 'Full month Pivot'!$D$3:$K$400), "")</f>
        <v/>
      </c>
      <c r="T288" s="193">
        <f>IF(SUMPRODUCT((('Full month Pivot'!$B$3:$B$400=$A$279) + ('Full month Pivot'!$A$3:$A$400=$A$279) &gt; 0) * (TRIM('Full month Pivot'!$C$3:$C$400)=TRIM($A288)) * ('Full month Pivot'!$D$2:$K$2=T$2) * 'Full month Pivot'!$D$3:$K$400)&gt;0, SUMPRODUCT((('Full month Pivot'!$B$3:$B$400=$A$279) + ('Full month Pivot'!$A$3:$A$400=$A$279) &gt; 0) * (TRIM('Full month Pivot'!$C$3:$C$400)=TRIM($A288)) * ('Full month Pivot'!$D$2:$K$2=T$2) * 'Full month Pivot'!$D$3:$K$400), "")</f>
        <v/>
      </c>
      <c r="U288" s="193">
        <f>IF(SUMPRODUCT((('Full month Pivot'!$B$3:$B$400=$A$279) + ('Full month Pivot'!$A$3:$A$400=$A$279) &gt; 0) * (TRIM('Full month Pivot'!$C$3:$C$400)=TRIM($A288)) * ('Full month Pivot'!$D$2:$K$2=U$2) * 'Full month Pivot'!$D$3:$K$400)&gt;0, SUMPRODUCT((('Full month Pivot'!$B$3:$B$400=$A$279) + ('Full month Pivot'!$A$3:$A$400=$A$279) &gt; 0) * (TRIM('Full month Pivot'!$C$3:$C$400)=TRIM($A288)) * ('Full month Pivot'!$D$2:$K$2=U$2) * 'Full month Pivot'!$D$3:$K$400), "")</f>
        <v/>
      </c>
      <c r="V288" s="193">
        <f>IF(SUMPRODUCT((('Full month Pivot'!$B$3:$B$400=$A$279) + ('Full month Pivot'!$A$3:$A$400=$A$279) &gt; 0) * (TRIM('Full month Pivot'!$C$3:$C$400)=TRIM($A288)) * ('Full month Pivot'!$D$2:$K$2=V$2) * 'Full month Pivot'!$D$3:$K$400)&gt;0, SUMPRODUCT((('Full month Pivot'!$B$3:$B$400=$A$279) + ('Full month Pivot'!$A$3:$A$400=$A$279) &gt; 0) * (TRIM('Full month Pivot'!$C$3:$C$400)=TRIM($A288)) * ('Full month Pivot'!$D$2:$K$2=V$2) * 'Full month Pivot'!$D$3:$K$400), "")</f>
        <v/>
      </c>
      <c r="W288" s="193">
        <f>IF(SUMPRODUCT((('Full month Pivot'!$B$3:$B$400=$A$279) + ('Full month Pivot'!$A$3:$A$400=$A$279) &gt; 0) * (TRIM('Full month Pivot'!$C$3:$C$400)=TRIM($A288)) * ('Full month Pivot'!$D$2:$K$2=W$2) * 'Full month Pivot'!$D$3:$K$400)&gt;0, SUMPRODUCT((('Full month Pivot'!$B$3:$B$400=$A$279) + ('Full month Pivot'!$A$3:$A$400=$A$279) &gt; 0) * (TRIM('Full month Pivot'!$C$3:$C$400)=TRIM($A288)) * ('Full month Pivot'!$D$2:$K$2=W$2) * 'Full month Pivot'!$D$3:$K$400), "")</f>
        <v/>
      </c>
      <c r="X288" s="193">
        <f>IF(SUMPRODUCT((('Full month Pivot'!$B$3:$B$400=$A$279) + ('Full month Pivot'!$A$3:$A$400=$A$279) &gt; 0) * (TRIM('Full month Pivot'!$C$3:$C$400)=TRIM($A288)) * ('Full month Pivot'!$D$2:$K$2=X$2) * 'Full month Pivot'!$D$3:$K$400)&gt;0, SUMPRODUCT((('Full month Pivot'!$B$3:$B$400=$A$279) + ('Full month Pivot'!$A$3:$A$400=$A$279) &gt; 0) * (TRIM('Full month Pivot'!$C$3:$C$400)=TRIM($A288)) * ('Full month Pivot'!$D$2:$K$2=X$2) * 'Full month Pivot'!$D$3:$K$400), "")</f>
        <v/>
      </c>
      <c r="Y288" s="193">
        <f>IF(SUMPRODUCT((('Full month Pivot'!$B$3:$B$400=$A$279) + ('Full month Pivot'!$A$3:$A$400=$A$279) &gt; 0) * (TRIM('Full month Pivot'!$C$3:$C$400)=TRIM($A288)) * ('Full month Pivot'!$D$2:$K$2=Y$2) * 'Full month Pivot'!$D$3:$K$400)&gt;0, SUMPRODUCT((('Full month Pivot'!$B$3:$B$400=$A$279) + ('Full month Pivot'!$A$3:$A$400=$A$279) &gt; 0) * (TRIM('Full month Pivot'!$C$3:$C$400)=TRIM($A288)) * ('Full month Pivot'!$D$2:$K$2=Y$2) * 'Full month Pivot'!$D$3:$K$400), "")</f>
        <v/>
      </c>
      <c r="Z288" s="193">
        <f>IF(SUMPRODUCT((('Full month Pivot'!$B$3:$B$400=$A$279) + ('Full month Pivot'!$A$3:$A$400=$A$279) &gt; 0) * (TRIM('Full month Pivot'!$C$3:$C$400)=TRIM($A288)) * ('Full month Pivot'!$D$2:$K$2=Z$2) * 'Full month Pivot'!$D$3:$K$400)&gt;0, SUMPRODUCT((('Full month Pivot'!$B$3:$B$400=$A$279) + ('Full month Pivot'!$A$3:$A$400=$A$279) &gt; 0) * (TRIM('Full month Pivot'!$C$3:$C$400)=TRIM($A288)) * ('Full month Pivot'!$D$2:$K$2=Z$2) * 'Full month Pivot'!$D$3:$K$400), "")</f>
        <v/>
      </c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202" t="inlineStr">
        <is>
          <t xml:space="preserve">  Others</t>
        </is>
      </c>
      <c r="B289" s="193">
        <f>IF(SUMPRODUCT((('MTD Pivot'!$B$3:$B$400=$A$279) + ('MTD Pivot'!$A$3:$A$400=$A$279) &gt; 0) * (TRIM('MTD Pivot'!$C$3:$C$400)=TRIM($A289)) * ('MTD Pivot'!$D$2:$K$2=B$2) * 'MTD Pivot'!$D$3:$K$400)&gt;0, SUMPRODUCT((('MTD Pivot'!$B$3:$B$400=$A$279) + ('MTD Pivot'!$A$3:$A$400=$A$279) &gt; 0) * (TRIM('MTD Pivot'!$C$3:$C$400)=TRIM($A289)) * ('MTD Pivot'!$D$2:$K$2=B$2) * 'MTD Pivot'!$D$3:$K$400), "")</f>
        <v/>
      </c>
      <c r="C289" s="193">
        <f>IF(SUMPRODUCT((('MTD Pivot'!$B$3:$B$400=$A$279) + ('MTD Pivot'!$A$3:$A$400=$A$279) &gt; 0) * (TRIM('MTD Pivot'!$C$3:$C$400)=TRIM($A289)) * ('MTD Pivot'!$D$2:$K$2=C$2) * 'MTD Pivot'!$D$3:$K$400)&gt;0, SUMPRODUCT((('MTD Pivot'!$B$3:$B$400=$A$279) + ('MTD Pivot'!$A$3:$A$400=$A$279) &gt; 0) * (TRIM('MTD Pivot'!$C$3:$C$400)=TRIM($A289)) * ('MTD Pivot'!$D$2:$K$2=C$2) * 'MTD Pivot'!$D$3:$K$400), "")</f>
        <v/>
      </c>
      <c r="D289" s="193">
        <f>IF(SUMPRODUCT((('MTD Pivot'!$B$3:$B$400=$A$279) + ('MTD Pivot'!$A$3:$A$400=$A$279) &gt; 0) * (TRIM('MTD Pivot'!$C$3:$C$400)=TRIM($A289)) * ('MTD Pivot'!$D$2:$K$2=D$2) * 'MTD Pivot'!$D$3:$K$400)&gt;0, SUMPRODUCT((('MTD Pivot'!$B$3:$B$400=$A$279) + ('MTD Pivot'!$A$3:$A$400=$A$279) &gt; 0) * (TRIM('MTD Pivot'!$C$3:$C$400)=TRIM($A289)) * ('MTD Pivot'!$D$2:$K$2=D$2) * 'MTD Pivot'!$D$3:$K$400), "")</f>
        <v/>
      </c>
      <c r="E289" s="193">
        <f>IF(SUMPRODUCT((('MTD Pivot'!$B$3:$B$400=$A$279) + ('MTD Pivot'!$A$3:$A$400=$A$279) &gt; 0) * (TRIM('MTD Pivot'!$C$3:$C$400)=TRIM($A289)) * ('MTD Pivot'!$D$2:$K$2=E$2) * 'MTD Pivot'!$D$3:$K$400)&gt;0, SUMPRODUCT((('MTD Pivot'!$B$3:$B$400=$A$279) + ('MTD Pivot'!$A$3:$A$400=$A$279) &gt; 0) * (TRIM('MTD Pivot'!$C$3:$C$400)=TRIM($A289)) * ('MTD Pivot'!$D$2:$K$2=E$2) * 'MTD Pivot'!$D$3:$K$400), "")</f>
        <v/>
      </c>
      <c r="F289" s="193">
        <f>IF(SUMPRODUCT((('MTD Pivot'!$B$3:$B$400=$A$279) + ('MTD Pivot'!$A$3:$A$400=$A$279) &gt; 0) * (TRIM('MTD Pivot'!$C$3:$C$400)=TRIM($A289)) * ('MTD Pivot'!$D$2:$K$2=F$2) * 'MTD Pivot'!$D$3:$K$400)&gt;0, SUMPRODUCT((('MTD Pivot'!$B$3:$B$400=$A$279) + ('MTD Pivot'!$A$3:$A$400=$A$279) &gt; 0) * (TRIM('MTD Pivot'!$C$3:$C$400)=TRIM($A289)) * ('MTD Pivot'!$D$2:$K$2=F$2) * 'MTD Pivot'!$D$3:$K$400), "")</f>
        <v/>
      </c>
      <c r="G289" s="193">
        <f>IF(SUMPRODUCT((('MTD Pivot'!$B$3:$B$400=$A$279) + ('MTD Pivot'!$A$3:$A$400=$A$279) &gt; 0) * (TRIM('MTD Pivot'!$C$3:$C$400)=TRIM($A289)) * ('MTD Pivot'!$D$2:$K$2=G$2) * 'MTD Pivot'!$D$3:$K$400)&gt;0, SUMPRODUCT((('MTD Pivot'!$B$3:$B$400=$A$279) + ('MTD Pivot'!$A$3:$A$400=$A$279) &gt; 0) * (TRIM('MTD Pivot'!$C$3:$C$400)=TRIM($A289)) * ('MTD Pivot'!$D$2:$K$2=G$2) * 'MTD Pivot'!$D$3:$K$400), "")</f>
        <v/>
      </c>
      <c r="H289" s="193">
        <f>IF(SUMPRODUCT((('MTD Pivot'!$B$3:$B$400=$A$279) + ('MTD Pivot'!$A$3:$A$400=$A$279) &gt; 0) * (TRIM('MTD Pivot'!$C$3:$C$400)=TRIM($A289)) * ('MTD Pivot'!$D$2:$K$2=H$2) * 'MTD Pivot'!$D$3:$K$400)&gt;0, SUMPRODUCT((('MTD Pivot'!$B$3:$B$400=$A$279) + ('MTD Pivot'!$A$3:$A$400=$A$279) &gt; 0) * (TRIM('MTD Pivot'!$C$3:$C$400)=TRIM($A289)) * ('MTD Pivot'!$D$2:$K$2=H$2) * 'MTD Pivot'!$D$3:$K$400), "")</f>
        <v/>
      </c>
      <c r="I289" s="193">
        <f>IF(SUMPRODUCT((('MTD Pivot'!$B$3:$B$400=$A$279) + ('MTD Pivot'!$A$3:$A$400=$A$279) &gt; 0) * (TRIM('MTD Pivot'!$C$3:$C$400)=TRIM($A289)) * ('MTD Pivot'!$D$2:$K$2=I$2) * 'MTD Pivot'!$D$3:$K$400)&gt;0, SUMPRODUCT((('MTD Pivot'!$B$3:$B$400=$A$279) + ('MTD Pivot'!$A$3:$A$400=$A$279) &gt; 0) * (TRIM('MTD Pivot'!$C$3:$C$400)=TRIM($A289)) * ('MTD Pivot'!$D$2:$K$2=I$2) * 'MTD Pivot'!$D$3:$K$400), "")</f>
        <v/>
      </c>
      <c r="J289" s="193">
        <f>IF(SUMPRODUCT((('MTD Pivot'!$B$3:$B$400=$A$279) + ('MTD Pivot'!$A$3:$A$400=$A$279) &gt; 0) * (TRIM('MTD Pivot'!$C$3:$C$400)=TRIM($A289)) * ('MTD Pivot'!$D$2:$K$2=J$2) * 'MTD Pivot'!$D$3:$K$400)&gt;0, SUMPRODUCT((('MTD Pivot'!$B$3:$B$400=$A$279) + ('MTD Pivot'!$A$3:$A$400=$A$279) &gt; 0) * (TRIM('MTD Pivot'!$C$3:$C$400)=TRIM($A289)) * ('MTD Pivot'!$D$2:$K$2=J$2) * 'MTD Pivot'!$D$3:$K$400), "")</f>
        <v/>
      </c>
      <c r="K289" s="193">
        <f>IF(SUMPRODUCT((('MTD Pivot'!$B$3:$B$400=$A$279) + ('MTD Pivot'!$A$3:$A$400=$A$279) &gt; 0) * (TRIM('MTD Pivot'!$C$3:$C$400)=TRIM($A289)) * ('MTD Pivot'!$D$2:$K$2=K$2) * 'MTD Pivot'!$D$3:$K$400)&gt;0, SUMPRODUCT((('MTD Pivot'!$B$3:$B$400=$A$279) + ('MTD Pivot'!$A$3:$A$400=$A$279) &gt; 0) * (TRIM('MTD Pivot'!$C$3:$C$400)=TRIM($A289)) * ('MTD Pivot'!$D$2:$K$2=K$2) * 'MTD Pivot'!$D$3:$K$400), "")</f>
        <v/>
      </c>
      <c r="L289" s="193">
        <f>IF(SUMPRODUCT((('MTD Pivot'!$B$3:$B$400=$A$279) + ('MTD Pivot'!$A$3:$A$400=$A$279) &gt; 0) * (TRIM('MTD Pivot'!$C$3:$C$400)=TRIM($A289)) * ('MTD Pivot'!$D$2:$K$2=L$2) * 'MTD Pivot'!$D$3:$K$400)&gt;0, SUMPRODUCT((('MTD Pivot'!$B$3:$B$400=$A$279) + ('MTD Pivot'!$A$3:$A$400=$A$279) &gt; 0) * (TRIM('MTD Pivot'!$C$3:$C$400)=TRIM($A289)) * ('MTD Pivot'!$D$2:$K$2=L$2) * 'MTD Pivot'!$D$3:$K$400), "")</f>
        <v/>
      </c>
      <c r="M289" s="193">
        <f>IF(SUMPRODUCT((('MTD Pivot'!$B$3:$B$400=$A$279) + ('MTD Pivot'!$A$3:$A$400=$A$279) &gt; 0) * (TRIM('MTD Pivot'!$C$3:$C$400)=TRIM($A289)) * ('MTD Pivot'!$D$2:$K$2=M$2) * 'MTD Pivot'!$D$3:$K$400)&gt;0, SUMPRODUCT((('MTD Pivot'!$B$3:$B$400=$A$279) + ('MTD Pivot'!$A$3:$A$400=$A$279) &gt; 0) * (TRIM('MTD Pivot'!$C$3:$C$400)=TRIM($A289)) * ('MTD Pivot'!$D$2:$K$2=M$2) * 'MTD Pivot'!$D$3:$K$400), "")</f>
        <v/>
      </c>
      <c r="N289" s="157">
        <f>IF(AND(ISNUMBER(K289), ISNUMBER(J289), J289&gt;0), (K289-J289)/J289, "")</f>
        <v/>
      </c>
      <c r="O289" s="193">
        <f>IF(SUMPRODUCT((('Full month Pivot'!$B$3:$B$400=$A$279) + ('Full month Pivot'!$A$3:$A$400=$A$279) &gt; 0) * (TRIM('Full month Pivot'!$C$3:$C$400)=TRIM($A289)) * ('Full month Pivot'!$D$2:$K$2=O$2) * 'Full month Pivot'!$D$3:$K$400)&gt;0, SUMPRODUCT((('Full month Pivot'!$B$3:$B$400=$A$279) + ('Full month Pivot'!$A$3:$A$400=$A$279) &gt; 0) * (TRIM('Full month Pivot'!$C$3:$C$400)=TRIM($A289)) * ('Full month Pivot'!$D$2:$K$2=O$2) * 'Full month Pivot'!$D$3:$K$400), "")</f>
        <v/>
      </c>
      <c r="P289" s="193">
        <f>IF(SUMPRODUCT((('Full month Pivot'!$B$3:$B$400=$A$279) + ('Full month Pivot'!$A$3:$A$400=$A$279) &gt; 0) * (TRIM('Full month Pivot'!$C$3:$C$400)=TRIM($A289)) * ('Full month Pivot'!$D$2:$K$2=P$2) * 'Full month Pivot'!$D$3:$K$400)&gt;0, SUMPRODUCT((('Full month Pivot'!$B$3:$B$400=$A$279) + ('Full month Pivot'!$A$3:$A$400=$A$279) &gt; 0) * (TRIM('Full month Pivot'!$C$3:$C$400)=TRIM($A289)) * ('Full month Pivot'!$D$2:$K$2=P$2) * 'Full month Pivot'!$D$3:$K$400), "")</f>
        <v/>
      </c>
      <c r="Q289" s="193">
        <f>IF(SUMPRODUCT((('Full month Pivot'!$B$3:$B$400=$A$279) + ('Full month Pivot'!$A$3:$A$400=$A$279) &gt; 0) * (TRIM('Full month Pivot'!$C$3:$C$400)=TRIM($A289)) * ('Full month Pivot'!$D$2:$K$2=Q$2) * 'Full month Pivot'!$D$3:$K$400)&gt;0, SUMPRODUCT((('Full month Pivot'!$B$3:$B$400=$A$279) + ('Full month Pivot'!$A$3:$A$400=$A$279) &gt; 0) * (TRIM('Full month Pivot'!$C$3:$C$400)=TRIM($A289)) * ('Full month Pivot'!$D$2:$K$2=Q$2) * 'Full month Pivot'!$D$3:$K$400), "")</f>
        <v/>
      </c>
      <c r="R289" s="193">
        <f>IF(SUMPRODUCT((('Full month Pivot'!$B$3:$B$400=$A$279) + ('Full month Pivot'!$A$3:$A$400=$A$279) &gt; 0) * (TRIM('Full month Pivot'!$C$3:$C$400)=TRIM($A289)) * ('Full month Pivot'!$D$2:$K$2=R$2) * 'Full month Pivot'!$D$3:$K$400)&gt;0, SUMPRODUCT((('Full month Pivot'!$B$3:$B$400=$A$279) + ('Full month Pivot'!$A$3:$A$400=$A$279) &gt; 0) * (TRIM('Full month Pivot'!$C$3:$C$400)=TRIM($A289)) * ('Full month Pivot'!$D$2:$K$2=R$2) * 'Full month Pivot'!$D$3:$K$400), "")</f>
        <v/>
      </c>
      <c r="S289" s="193">
        <f>IF(SUMPRODUCT((('Full month Pivot'!$B$3:$B$400=$A$279) + ('Full month Pivot'!$A$3:$A$400=$A$279) &gt; 0) * (TRIM('Full month Pivot'!$C$3:$C$400)=TRIM($A289)) * ('Full month Pivot'!$D$2:$K$2=S$2) * 'Full month Pivot'!$D$3:$K$400)&gt;0, SUMPRODUCT((('Full month Pivot'!$B$3:$B$400=$A$279) + ('Full month Pivot'!$A$3:$A$400=$A$279) &gt; 0) * (TRIM('Full month Pivot'!$C$3:$C$400)=TRIM($A289)) * ('Full month Pivot'!$D$2:$K$2=S$2) * 'Full month Pivot'!$D$3:$K$400), "")</f>
        <v/>
      </c>
      <c r="T289" s="193">
        <f>IF(SUMPRODUCT((('Full month Pivot'!$B$3:$B$400=$A$279) + ('Full month Pivot'!$A$3:$A$400=$A$279) &gt; 0) * (TRIM('Full month Pivot'!$C$3:$C$400)=TRIM($A289)) * ('Full month Pivot'!$D$2:$K$2=T$2) * 'Full month Pivot'!$D$3:$K$400)&gt;0, SUMPRODUCT((('Full month Pivot'!$B$3:$B$400=$A$279) + ('Full month Pivot'!$A$3:$A$400=$A$279) &gt; 0) * (TRIM('Full month Pivot'!$C$3:$C$400)=TRIM($A289)) * ('Full month Pivot'!$D$2:$K$2=T$2) * 'Full month Pivot'!$D$3:$K$400), "")</f>
        <v/>
      </c>
      <c r="U289" s="193">
        <f>IF(SUMPRODUCT((('Full month Pivot'!$B$3:$B$400=$A$279) + ('Full month Pivot'!$A$3:$A$400=$A$279) &gt; 0) * (TRIM('Full month Pivot'!$C$3:$C$400)=TRIM($A289)) * ('Full month Pivot'!$D$2:$K$2=U$2) * 'Full month Pivot'!$D$3:$K$400)&gt;0, SUMPRODUCT((('Full month Pivot'!$B$3:$B$400=$A$279) + ('Full month Pivot'!$A$3:$A$400=$A$279) &gt; 0) * (TRIM('Full month Pivot'!$C$3:$C$400)=TRIM($A289)) * ('Full month Pivot'!$D$2:$K$2=U$2) * 'Full month Pivot'!$D$3:$K$400), "")</f>
        <v/>
      </c>
      <c r="V289" s="193">
        <f>IF(SUMPRODUCT((('Full month Pivot'!$B$3:$B$400=$A$279) + ('Full month Pivot'!$A$3:$A$400=$A$279) &gt; 0) * (TRIM('Full month Pivot'!$C$3:$C$400)=TRIM($A289)) * ('Full month Pivot'!$D$2:$K$2=V$2) * 'Full month Pivot'!$D$3:$K$400)&gt;0, SUMPRODUCT((('Full month Pivot'!$B$3:$B$400=$A$279) + ('Full month Pivot'!$A$3:$A$400=$A$279) &gt; 0) * (TRIM('Full month Pivot'!$C$3:$C$400)=TRIM($A289)) * ('Full month Pivot'!$D$2:$K$2=V$2) * 'Full month Pivot'!$D$3:$K$400), "")</f>
        <v/>
      </c>
      <c r="W289" s="193">
        <f>IF(SUMPRODUCT((('Full month Pivot'!$B$3:$B$400=$A$279) + ('Full month Pivot'!$A$3:$A$400=$A$279) &gt; 0) * (TRIM('Full month Pivot'!$C$3:$C$400)=TRIM($A289)) * ('Full month Pivot'!$D$2:$K$2=W$2) * 'Full month Pivot'!$D$3:$K$400)&gt;0, SUMPRODUCT((('Full month Pivot'!$B$3:$B$400=$A$279) + ('Full month Pivot'!$A$3:$A$400=$A$279) &gt; 0) * (TRIM('Full month Pivot'!$C$3:$C$400)=TRIM($A289)) * ('Full month Pivot'!$D$2:$K$2=W$2) * 'Full month Pivot'!$D$3:$K$400), "")</f>
        <v/>
      </c>
      <c r="X289" s="193">
        <f>IF(SUMPRODUCT((('Full month Pivot'!$B$3:$B$400=$A$279) + ('Full month Pivot'!$A$3:$A$400=$A$279) &gt; 0) * (TRIM('Full month Pivot'!$C$3:$C$400)=TRIM($A289)) * ('Full month Pivot'!$D$2:$K$2=X$2) * 'Full month Pivot'!$D$3:$K$400)&gt;0, SUMPRODUCT((('Full month Pivot'!$B$3:$B$400=$A$279) + ('Full month Pivot'!$A$3:$A$400=$A$279) &gt; 0) * (TRIM('Full month Pivot'!$C$3:$C$400)=TRIM($A289)) * ('Full month Pivot'!$D$2:$K$2=X$2) * 'Full month Pivot'!$D$3:$K$400), "")</f>
        <v/>
      </c>
      <c r="Y289" s="193">
        <f>IF(SUMPRODUCT((('Full month Pivot'!$B$3:$B$400=$A$279) + ('Full month Pivot'!$A$3:$A$400=$A$279) &gt; 0) * (TRIM('Full month Pivot'!$C$3:$C$400)=TRIM($A289)) * ('Full month Pivot'!$D$2:$K$2=Y$2) * 'Full month Pivot'!$D$3:$K$400)&gt;0, SUMPRODUCT((('Full month Pivot'!$B$3:$B$400=$A$279) + ('Full month Pivot'!$A$3:$A$400=$A$279) &gt; 0) * (TRIM('Full month Pivot'!$C$3:$C$400)=TRIM($A289)) * ('Full month Pivot'!$D$2:$K$2=Y$2) * 'Full month Pivot'!$D$3:$K$400), "")</f>
        <v/>
      </c>
      <c r="Z289" s="193">
        <f>IF(SUMPRODUCT((('Full month Pivot'!$B$3:$B$400=$A$279) + ('Full month Pivot'!$A$3:$A$400=$A$279) &gt; 0) * (TRIM('Full month Pivot'!$C$3:$C$400)=TRIM($A289)) * ('Full month Pivot'!$D$2:$K$2=Z$2) * 'Full month Pivot'!$D$3:$K$400)&gt;0, SUMPRODUCT((('Full month Pivot'!$B$3:$B$400=$A$279) + ('Full month Pivot'!$A$3:$A$400=$A$279) &gt; 0) * (TRIM('Full month Pivot'!$C$3:$C$400)=TRIM($A289)) * ('Full month Pivot'!$D$2:$K$2=Z$2) * 'Full month Pivot'!$D$3:$K$400), "")</f>
        <v/>
      </c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202" t="n"/>
      <c r="B290" s="202" t="n"/>
      <c r="C290" s="202" t="n"/>
      <c r="D290" s="202" t="n"/>
      <c r="E290" s="202" t="n"/>
      <c r="F290" s="202" t="n"/>
      <c r="G290" s="202" t="n"/>
      <c r="H290" s="202" t="n"/>
      <c r="I290" s="202" t="n"/>
      <c r="J290" s="202" t="n"/>
      <c r="K290" s="202" t="n"/>
      <c r="L290" s="202" t="n"/>
      <c r="M290" s="202" t="n"/>
      <c r="N290" s="202" t="n"/>
      <c r="O290" s="202" t="n"/>
      <c r="P290" s="202" t="n"/>
      <c r="Q290" s="202" t="n"/>
      <c r="R290" s="202" t="n"/>
      <c r="S290" s="202" t="n"/>
      <c r="T290" s="202" t="n"/>
      <c r="U290" s="202" t="n"/>
      <c r="V290" s="202" t="n"/>
      <c r="W290" s="202" t="n"/>
      <c r="X290" s="202" t="n"/>
      <c r="Y290" s="202" t="n"/>
      <c r="Z290" s="202" t="n"/>
      <c r="AA290" s="202" t="n"/>
      <c r="AB290" s="140" t="n"/>
      <c r="AC290" s="140" t="n"/>
      <c r="AD290" s="140" t="n"/>
    </row>
    <row r="291" ht="15.75" customHeight="1" s="346">
      <c r="A291" s="145" t="inlineStr">
        <is>
          <t>Data</t>
        </is>
      </c>
      <c r="B291" s="145" t="n"/>
      <c r="C291" s="145" t="n"/>
      <c r="D291" s="145" t="n"/>
      <c r="E291" s="145" t="n"/>
      <c r="F291" s="145" t="n"/>
      <c r="G291" s="145" t="n"/>
      <c r="H291" s="145" t="n"/>
      <c r="I291" s="145" t="n"/>
      <c r="J291" s="145" t="n"/>
      <c r="K291" s="145" t="n"/>
      <c r="L291" s="145" t="n"/>
      <c r="M291" s="145" t="n"/>
      <c r="N291" s="145" t="n"/>
      <c r="O291" s="145" t="n"/>
      <c r="P291" s="145" t="n"/>
      <c r="Q291" s="145" t="n"/>
      <c r="R291" s="145" t="n"/>
      <c r="S291" s="145" t="n"/>
      <c r="T291" s="145" t="n"/>
      <c r="U291" s="145" t="n"/>
      <c r="V291" s="145" t="n"/>
      <c r="W291" s="145" t="n"/>
      <c r="X291" s="145" t="n"/>
      <c r="Y291" s="145" t="n"/>
      <c r="Z291" s="145" t="n"/>
      <c r="AA291" s="145" t="n"/>
      <c r="AB291" s="140" t="n"/>
      <c r="AC291" s="140" t="n"/>
      <c r="AD291" s="140" t="n"/>
    </row>
    <row r="292" ht="15.75" customHeight="1" s="346">
      <c r="A292" s="146" t="inlineStr">
        <is>
          <t>Page views</t>
        </is>
      </c>
      <c r="B292" s="147">
        <f>IF(SUM(B297:B301)&gt;0, SUM(B297:B301), "")</f>
        <v/>
      </c>
      <c r="C292" s="147">
        <f>IF(SUM(C297:C301)&gt;0, SUM(C297:C301), "")</f>
        <v/>
      </c>
      <c r="D292" s="147">
        <f>IF(SUM(D297:D301)&gt;0, SUM(D297:D301), "")</f>
        <v/>
      </c>
      <c r="E292" s="147">
        <f>IF(SUM(E297:E301)&gt;0, SUM(E297:E301), "")</f>
        <v/>
      </c>
      <c r="F292" s="147">
        <f>IF(SUM(F297:F301)&gt;0, SUM(F297:F301), "")</f>
        <v/>
      </c>
      <c r="G292" s="147">
        <f>IF(SUM(G297:G301)&gt;0, SUM(G297:G301), "")</f>
        <v/>
      </c>
      <c r="H292" s="147">
        <f>IF(SUM(H297:H301)&gt;0, SUM(H297:H301), "")</f>
        <v/>
      </c>
      <c r="I292" s="147">
        <f>IF(SUM(I297:I301)&gt;0, SUM(I297:I301), "")</f>
        <v/>
      </c>
      <c r="J292" s="147">
        <f>IF(SUM(J297:J301)&gt;0, SUM(J297:J301), "")</f>
        <v/>
      </c>
      <c r="K292" s="147">
        <f>IF(SUM(K297:K301)&gt;0, SUM(K297:K301), "")</f>
        <v/>
      </c>
      <c r="L292" s="147">
        <f>IF(SUM(L297:L301)&gt;0, SUM(L297:L301), "")</f>
        <v/>
      </c>
      <c r="M292" s="147">
        <f>IF(SUM(M297:M301)&gt;0, SUM(M297:M301), "")</f>
        <v/>
      </c>
      <c r="N292" s="148">
        <f>IFERROR((K292-J292)/J292, "")</f>
        <v/>
      </c>
      <c r="O292" s="147">
        <f>IF(SUM(O297:O301)&gt;0, SUM(O297:O301), "")</f>
        <v/>
      </c>
      <c r="P292" s="147">
        <f>IF(SUM(P297:P301)&gt;0, SUM(P297:P301), "")</f>
        <v/>
      </c>
      <c r="Q292" s="147">
        <f>IF(SUM(Q297:Q301)&gt;0, SUM(Q297:Q301), "")</f>
        <v/>
      </c>
      <c r="R292" s="147">
        <f>IF(SUM(R297:R301)&gt;0, SUM(R297:R301), "")</f>
        <v/>
      </c>
      <c r="S292" s="147">
        <f>IF(SUM(S297:S301)&gt;0, SUM(S297:S301), "")</f>
        <v/>
      </c>
      <c r="T292" s="147">
        <f>IF(SUM(T297:T301)&gt;0, SUM(T297:T301), "")</f>
        <v/>
      </c>
      <c r="U292" s="147">
        <f>IF(SUM(U297:U301)&gt;0, SUM(U297:U301), "")</f>
        <v/>
      </c>
      <c r="V292" s="147">
        <f>IF(SUM(V297:V301)&gt;0, SUM(V297:V301), "")</f>
        <v/>
      </c>
      <c r="W292" s="147">
        <f>IF(SUM(W297:W301)&gt;0, SUM(W297:W301), "")</f>
        <v/>
      </c>
      <c r="X292" s="147">
        <f>IF(SUM(X297:X301)&gt;0, SUM(X297:X301), "")</f>
        <v/>
      </c>
      <c r="Y292" s="147">
        <f>IF(SUM(Y297:Y301)&gt;0, SUM(Y297:Y301), "")</f>
        <v/>
      </c>
      <c r="Z292" s="147">
        <f>IF(SUM(Z297:Z301)&gt;0, SUM(Z297:Z301), "")</f>
        <v/>
      </c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150" t="inlineStr">
        <is>
          <t xml:space="preserve">  Click CTA</t>
        </is>
      </c>
      <c r="B293" s="150" t="n"/>
      <c r="C293" s="150" t="n"/>
      <c r="D293" s="150" t="n"/>
      <c r="E293" s="150" t="n"/>
      <c r="F293" s="150" t="n">
        <v>28</v>
      </c>
      <c r="G293" s="150" t="n">
        <v>9</v>
      </c>
      <c r="H293" s="150" t="n">
        <v>10</v>
      </c>
      <c r="I293" s="150" t="n">
        <v>84</v>
      </c>
      <c r="J293" s="150" t="n">
        <v>38</v>
      </c>
      <c r="K293" s="150" t="n">
        <v>32</v>
      </c>
      <c r="L293" s="150" t="n"/>
      <c r="M293" s="150" t="n"/>
      <c r="N293" s="151">
        <f>IFERROR((K293-J293)/J293, "")</f>
        <v/>
      </c>
      <c r="O293" s="150" t="n"/>
      <c r="P293" s="150" t="n"/>
      <c r="Q293" s="150" t="n"/>
      <c r="R293" s="150" t="n"/>
      <c r="S293" s="150" t="n">
        <v>28</v>
      </c>
      <c r="T293" s="150" t="n">
        <v>9</v>
      </c>
      <c r="U293" s="150" t="n">
        <v>10</v>
      </c>
      <c r="V293" s="150" t="n">
        <v>97</v>
      </c>
      <c r="W293" s="150" t="n">
        <v>38</v>
      </c>
      <c r="X293" s="150" t="n">
        <v>32</v>
      </c>
      <c r="Y293" s="150" t="n"/>
      <c r="Z293" s="150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152" t="inlineStr">
        <is>
          <t xml:space="preserve">  Net change</t>
        </is>
      </c>
      <c r="B294" s="153" t="n"/>
      <c r="C294" s="153">
        <f>IF(AND(ISNUMBER(C292), ISNUMBER(B292), B292&gt;0, C292&gt;0), C292-B292, "")</f>
        <v/>
      </c>
      <c r="D294" s="153">
        <f>IF(AND(ISNUMBER(D292), ISNUMBER(C292), C292&gt;0, D292&gt;0), D292-C292, "")</f>
        <v/>
      </c>
      <c r="E294" s="153">
        <f>IF(AND(ISNUMBER(E292), ISNUMBER(D292), D292&gt;0, E292&gt;0), E292-D292, "")</f>
        <v/>
      </c>
      <c r="F294" s="153">
        <f>IF(AND(ISNUMBER(F292), ISNUMBER(E292), E292&gt;0, F292&gt;0), F292-E292, "")</f>
        <v/>
      </c>
      <c r="G294" s="153">
        <f>IF(AND(ISNUMBER(G292), ISNUMBER(F292), F292&gt;0, G292&gt;0), G292-F292, "")</f>
        <v/>
      </c>
      <c r="H294" s="153">
        <f>IF(AND(ISNUMBER(H292), ISNUMBER(G292), G292&gt;0, H292&gt;0), H292-G292, "")</f>
        <v/>
      </c>
      <c r="I294" s="153">
        <f>IF(AND(ISNUMBER(I292), ISNUMBER(H292), H292&gt;0, I292&gt;0), I292-H292, "")</f>
        <v/>
      </c>
      <c r="J294" s="153">
        <f>IF(AND(ISNUMBER(J292), ISNUMBER(I292), I292&gt;0, J292&gt;0), J292-I292, "")</f>
        <v/>
      </c>
      <c r="K294" s="153">
        <f>IF(AND(ISNUMBER(K292), ISNUMBER(J292), J292&gt;0, K292&gt;0), K292-J292, "")</f>
        <v/>
      </c>
      <c r="L294" s="153">
        <f>IF(AND(ISNUMBER(L292), ISNUMBER(K292), K292&gt;0, L292&gt;0), L292-K292, "")</f>
        <v/>
      </c>
      <c r="M294" s="153">
        <f>IF(AND(ISNUMBER(M292), ISNUMBER(L292), L292&gt;0, M292&gt;0), M292-L292, "")</f>
        <v/>
      </c>
      <c r="N294" s="153" t="n"/>
      <c r="O294" s="153" t="n"/>
      <c r="P294" s="153">
        <f>IF(AND(ISNUMBER(P292), ISNUMBER(O292), O292&gt;0, P292&gt;0), P292-O292, "")</f>
        <v/>
      </c>
      <c r="Q294" s="153">
        <f>IF(AND(ISNUMBER(Q292), ISNUMBER(P292), P292&gt;0, Q292&gt;0), Q292-P292, "")</f>
        <v/>
      </c>
      <c r="R294" s="153">
        <f>IF(AND(ISNUMBER(R292), ISNUMBER(Q292), Q292&gt;0, R292&gt;0), R292-Q292, "")</f>
        <v/>
      </c>
      <c r="S294" s="153">
        <f>IF(AND(ISNUMBER(S292), ISNUMBER(R292), R292&gt;0, S292&gt;0), S292-R292, "")</f>
        <v/>
      </c>
      <c r="T294" s="153">
        <f>IF(AND(ISNUMBER(T292), ISNUMBER(S292), S292&gt;0, T292&gt;0), T292-S292, "")</f>
        <v/>
      </c>
      <c r="U294" s="153">
        <f>IF(AND(ISNUMBER(U292), ISNUMBER(T292), T292&gt;0, U292&gt;0), U292-T292, "")</f>
        <v/>
      </c>
      <c r="V294" s="153">
        <f>IF(AND(ISNUMBER(V292), ISNUMBER(U292), U292&gt;0, V292&gt;0), V292-U292, "")</f>
        <v/>
      </c>
      <c r="W294" s="153">
        <f>IF(AND(ISNUMBER(W292), ISNUMBER(V292), V292&gt;0, W292&gt;0), W292-V292, "")</f>
        <v/>
      </c>
      <c r="X294" s="153">
        <f>IF(AND(ISNUMBER(X292), ISNUMBER(W292), W292&gt;0, X292&gt;0), X292-W292, "")</f>
        <v/>
      </c>
      <c r="Y294" s="153">
        <f>IF(AND(ISNUMBER(Y292), ISNUMBER(X292), X292&gt;0, Y292&gt;0), Y292-X292, "")</f>
        <v/>
      </c>
      <c r="Z294" s="153">
        <f>IF(AND(ISNUMBER(Z292), ISNUMBER(Y292), Y292&gt;0, Z292&gt;0), Z292-Y292, "")</f>
        <v/>
      </c>
      <c r="AA294" s="153" t="n"/>
      <c r="AB294" s="140" t="n"/>
      <c r="AC294" s="140" t="n"/>
      <c r="AD294" s="140" t="n"/>
    </row>
    <row r="295" ht="15.75" customHeight="1" s="346">
      <c r="A295" s="152" t="inlineStr">
        <is>
          <t xml:space="preserve">  % Growth rate</t>
        </is>
      </c>
      <c r="B295" s="203" t="n"/>
      <c r="C295" s="203">
        <f>IF(AND(ISNUMBER(C292), ISNUMBER(B292), B292&gt;0, C292&gt;0), (C292-B292)/B292, "")</f>
        <v/>
      </c>
      <c r="D295" s="203">
        <f>IF(AND(ISNUMBER(D292), ISNUMBER(C292), C292&gt;0, D292&gt;0), (D292-C292)/C292, "")</f>
        <v/>
      </c>
      <c r="E295" s="203">
        <f>IF(AND(ISNUMBER(E292), ISNUMBER(D292), D292&gt;0, E292&gt;0), (E292-D292)/D292, "")</f>
        <v/>
      </c>
      <c r="F295" s="203">
        <f>IF(AND(ISNUMBER(F292), ISNUMBER(E292), E292&gt;0, F292&gt;0), (F292-E292)/E292, "")</f>
        <v/>
      </c>
      <c r="G295" s="203">
        <f>IF(AND(ISNUMBER(G292), ISNUMBER(F292), F292&gt;0, G292&gt;0), (G292-F292)/F292, "")</f>
        <v/>
      </c>
      <c r="H295" s="203">
        <f>IF(AND(ISNUMBER(H292), ISNUMBER(G292), G292&gt;0, H292&gt;0), (H292-G292)/G292, "")</f>
        <v/>
      </c>
      <c r="I295" s="203">
        <f>IF(AND(ISNUMBER(I292), ISNUMBER(H292), H292&gt;0, I292&gt;0), (I292-H292)/H292, "")</f>
        <v/>
      </c>
      <c r="J295" s="203">
        <f>IF(AND(ISNUMBER(J292), ISNUMBER(I292), I292&gt;0, J292&gt;0), (J292-I292)/I292, "")</f>
        <v/>
      </c>
      <c r="K295" s="203">
        <f>IF(AND(ISNUMBER(K292), ISNUMBER(J292), J292&gt;0, K292&gt;0), (K292-J292)/J292, "")</f>
        <v/>
      </c>
      <c r="L295" s="203">
        <f>IF(AND(ISNUMBER(L292), ISNUMBER(K292), K292&gt;0, L292&gt;0), (L292-K292)/K292, "")</f>
        <v/>
      </c>
      <c r="M295" s="203">
        <f>IF(AND(ISNUMBER(M292), ISNUMBER(L292), L292&gt;0, M292&gt;0), (M292-L292)/L292, "")</f>
        <v/>
      </c>
      <c r="N295" s="203" t="n"/>
      <c r="O295" s="203" t="n"/>
      <c r="P295" s="203">
        <f>IF(AND(ISNUMBER(P292), ISNUMBER(O292), O292&gt;0, P292&gt;0), (P292-O292)/O292, "")</f>
        <v/>
      </c>
      <c r="Q295" s="203">
        <f>IF(AND(ISNUMBER(Q292), ISNUMBER(P292), P292&gt;0, Q292&gt;0), (Q292-P292)/P292, "")</f>
        <v/>
      </c>
      <c r="R295" s="203">
        <f>IF(AND(ISNUMBER(R292), ISNUMBER(Q292), Q292&gt;0, R292&gt;0), (R292-Q292)/Q292, "")</f>
        <v/>
      </c>
      <c r="S295" s="203">
        <f>IF(AND(ISNUMBER(S292), ISNUMBER(R292), R292&gt;0, S292&gt;0), (S292-R292)/R292, "")</f>
        <v/>
      </c>
      <c r="T295" s="203">
        <f>IF(AND(ISNUMBER(T292), ISNUMBER(S292), S292&gt;0, T292&gt;0), (T292-S292)/S292, "")</f>
        <v/>
      </c>
      <c r="U295" s="203">
        <f>IF(AND(ISNUMBER(U292), ISNUMBER(T292), T292&gt;0, U292&gt;0), (U292-T292)/T292, "")</f>
        <v/>
      </c>
      <c r="V295" s="203">
        <f>IF(AND(ISNUMBER(V292), ISNUMBER(U292), U292&gt;0, V292&gt;0), (V292-U292)/U292, "")</f>
        <v/>
      </c>
      <c r="W295" s="203">
        <f>IF(AND(ISNUMBER(W292), ISNUMBER(V292), V292&gt;0, W292&gt;0), (W292-V292)/V292, "")</f>
        <v/>
      </c>
      <c r="X295" s="203">
        <f>IF(AND(ISNUMBER(X292), ISNUMBER(W292), W292&gt;0, X292&gt;0), (X292-W292)/W292, "")</f>
        <v/>
      </c>
      <c r="Y295" s="203">
        <f>IF(AND(ISNUMBER(Y292), ISNUMBER(X292), X292&gt;0, Y292&gt;0), (Y292-X292)/X292, "")</f>
        <v/>
      </c>
      <c r="Z295" s="203">
        <f>IF(AND(ISNUMBER(Z292), ISNUMBER(Y292), Y292&gt;0, Z292&gt;0), (Z292-Y292)/Y292, "")</f>
        <v/>
      </c>
      <c r="AA295" s="203" t="n"/>
      <c r="AB295" s="140" t="n"/>
      <c r="AC295" s="140" t="n"/>
      <c r="AD295" s="140" t="n"/>
    </row>
    <row r="296" ht="15.75" customHeight="1" s="346">
      <c r="A296" s="202" t="inlineStr">
        <is>
          <t>Tỷ trọng trong tổng traffic</t>
        </is>
      </c>
      <c r="B296" s="156">
        <f t="array" ref="B296">IF(AND(ISNUMBER(B292), B292&gt;0), B292/INDEX('MTD Pivot'!$D$3:$K$400, MATCH("Grand Total", 'MTD Pivot'!$A$3:$A$400, 0), MATCH(B$2, 'MTD Pivot'!$D$2:$K$2, 0)), "")</f>
        <v/>
      </c>
      <c r="C296" s="156">
        <f t="array" ref="C296">IF(AND(ISNUMBER(C292), C292&gt;0), C292/INDEX('MTD Pivot'!$D$3:$K$400, MATCH("Grand Total", 'MTD Pivot'!$A$3:$A$400, 0), MATCH(C$2, 'MTD Pivot'!$D$2:$K$2, 0)), "")</f>
        <v/>
      </c>
      <c r="D296" s="156">
        <f t="array" ref="D296">IF(AND(ISNUMBER(D292), D292&gt;0), D292/INDEX('MTD Pivot'!$D$3:$K$400, MATCH("Grand Total", 'MTD Pivot'!$A$3:$A$400, 0), MATCH(D$2, 'MTD Pivot'!$D$2:$K$2, 0)), "")</f>
        <v/>
      </c>
      <c r="E296" s="156">
        <f t="array" ref="E296">IF(AND(ISNUMBER(E292), E292&gt;0), E292/INDEX('MTD Pivot'!$D$3:$K$400, MATCH("Grand Total", 'MTD Pivot'!$A$3:$A$400, 0), MATCH(E$2, 'MTD Pivot'!$D$2:$K$2, 0)), "")</f>
        <v/>
      </c>
      <c r="F296" s="156">
        <f t="array" ref="F296">IF(AND(ISNUMBER(F292), F292&gt;0), F292/INDEX('MTD Pivot'!$D$3:$K$400, MATCH("Grand Total", 'MTD Pivot'!$A$3:$A$400, 0), MATCH(F$2, 'MTD Pivot'!$D$2:$K$2, 0)), "")</f>
        <v/>
      </c>
      <c r="G296" s="156">
        <f t="array" ref="G296">IF(AND(ISNUMBER(G292), G292&gt;0), G292/INDEX('MTD Pivot'!$D$3:$K$400, MATCH("Grand Total", 'MTD Pivot'!$A$3:$A$400, 0), MATCH(G$2, 'MTD Pivot'!$D$2:$K$2, 0)), "")</f>
        <v/>
      </c>
      <c r="H296" s="156">
        <f t="array" ref="H296">IF(AND(ISNUMBER(H292), H292&gt;0), H292/INDEX('MTD Pivot'!$D$3:$K$400, MATCH("Grand Total", 'MTD Pivot'!$A$3:$A$400, 0), MATCH(H$2, 'MTD Pivot'!$D$2:$K$2, 0)), "")</f>
        <v/>
      </c>
      <c r="I296" s="156">
        <f t="array" ref="I296">IF(AND(ISNUMBER(I292), I292&gt;0), I292/INDEX('MTD Pivot'!$D$3:$K$400, MATCH("Grand Total", 'MTD Pivot'!$A$3:$A$400, 0), MATCH(I$2, 'MTD Pivot'!$D$2:$K$2, 0)), "")</f>
        <v/>
      </c>
      <c r="J296" s="156">
        <f t="array" ref="J296">IF(AND(ISNUMBER(J292), J292&gt;0), J292/INDEX('MTD Pivot'!$D$3:$K$400, MATCH("Grand Total", 'MTD Pivot'!$A$3:$A$400, 0), MATCH(J$2, 'MTD Pivot'!$D$2:$K$2, 0)), "")</f>
        <v/>
      </c>
      <c r="K296" s="156">
        <f t="array" ref="K296">IF(AND(ISNUMBER(K292), K292&gt;0), K292/INDEX('MTD Pivot'!$D$3:$K$400, MATCH("Grand Total", 'MTD Pivot'!$A$3:$A$400, 0), MATCH(K$2, 'MTD Pivot'!$D$2:$K$2, 0)), "")</f>
        <v/>
      </c>
      <c r="L296" s="156">
        <f t="array" ref="L296">IF(AND(ISNUMBER(L292), L292&gt;0), L292/INDEX('MTD Pivot'!$D$3:$K$400, MATCH("Grand Total", 'MTD Pivot'!$A$3:$A$400, 0), MATCH(L$2, 'MTD Pivot'!$D$2:$K$2, 0)), "")</f>
        <v/>
      </c>
      <c r="M296" s="156">
        <f t="array" ref="M296">IF(AND(ISNUMBER(M292), M292&gt;0), M292/INDEX('MTD Pivot'!$D$3:$K$400, MATCH("Grand Total", 'MTD Pivot'!$A$3:$A$400, 0), MATCH(M$2, 'MTD Pivot'!$D$2:$K$2, 0)), "")</f>
        <v/>
      </c>
      <c r="N296" s="157">
        <f>IF(AND(ISNUMBER(K296), ISNUMBER(J296)), K296-J296, "")</f>
        <v/>
      </c>
      <c r="O296" s="156">
        <f t="array" ref="O296">IF(AND(ISNUMBER(O292), O292&gt;0), O292/INDEX('Full month Pivot'!$D$3:$K$400, MATCH("Grand Total", 'Full month Pivot'!$A$3:$A$400, 0), MATCH(O$2, 'Full month Pivot'!$D$2:$K$2, 0)), "")</f>
        <v/>
      </c>
      <c r="P296" s="156">
        <f t="array" ref="P296">IF(AND(ISNUMBER(P292), P292&gt;0), P292/INDEX('Full month Pivot'!$D$3:$K$400, MATCH("Grand Total", 'Full month Pivot'!$A$3:$A$400, 0), MATCH(P$2, 'Full month Pivot'!$D$2:$K$2, 0)), "")</f>
        <v/>
      </c>
      <c r="Q296" s="156">
        <f t="array" ref="Q296">IF(AND(ISNUMBER(Q292), Q292&gt;0), Q292/INDEX('Full month Pivot'!$D$3:$K$400, MATCH("Grand Total", 'Full month Pivot'!$A$3:$A$400, 0), MATCH(Q$2, 'Full month Pivot'!$D$2:$K$2, 0)), "")</f>
        <v/>
      </c>
      <c r="R296" s="156">
        <f t="array" ref="R296">IF(AND(ISNUMBER(R292), R292&gt;0), R292/INDEX('Full month Pivot'!$D$3:$K$400, MATCH("Grand Total", 'Full month Pivot'!$A$3:$A$400, 0), MATCH(R$2, 'Full month Pivot'!$D$2:$K$2, 0)), "")</f>
        <v/>
      </c>
      <c r="S296" s="156">
        <f t="array" ref="S296">IF(AND(ISNUMBER(S292), S292&gt;0), S292/INDEX('Full month Pivot'!$D$3:$K$400, MATCH("Grand Total", 'Full month Pivot'!$A$3:$A$400, 0), MATCH(S$2, 'Full month Pivot'!$D$2:$K$2, 0)), "")</f>
        <v/>
      </c>
      <c r="T296" s="156">
        <f t="array" ref="T296">IF(AND(ISNUMBER(T292), T292&gt;0), T292/INDEX('Full month Pivot'!$D$3:$K$400, MATCH("Grand Total", 'Full month Pivot'!$A$3:$A$400, 0), MATCH(T$2, 'Full month Pivot'!$D$2:$K$2, 0)), "")</f>
        <v/>
      </c>
      <c r="U296" s="156">
        <f t="array" ref="U296">IF(AND(ISNUMBER(U292), U292&gt;0), U292/INDEX('Full month Pivot'!$D$3:$K$400, MATCH("Grand Total", 'Full month Pivot'!$A$3:$A$400, 0), MATCH(U$2, 'Full month Pivot'!$D$2:$K$2, 0)), "")</f>
        <v/>
      </c>
      <c r="V296" s="156">
        <f t="array" ref="V296">IF(AND(ISNUMBER(V292), V292&gt;0), V292/INDEX('Full month Pivot'!$D$3:$K$400, MATCH("Grand Total", 'Full month Pivot'!$A$3:$A$400, 0), MATCH(V$2, 'Full month Pivot'!$D$2:$K$2, 0)), "")</f>
        <v/>
      </c>
      <c r="W296" s="156">
        <f t="array" ref="W296">IF(AND(ISNUMBER(W292), W292&gt;0), W292/INDEX('Full month Pivot'!$D$3:$K$400, MATCH("Grand Total", 'Full month Pivot'!$A$3:$A$400, 0), MATCH(W$2, 'Full month Pivot'!$D$2:$K$2, 0)), "")</f>
        <v/>
      </c>
      <c r="X296" s="156">
        <f t="array" ref="X296">IF(AND(ISNUMBER(X292), X292&gt;0), X292/INDEX('Full month Pivot'!$D$3:$K$400, MATCH("Grand Total", 'Full month Pivot'!$A$3:$A$400, 0), MATCH(X$2, 'Full month Pivot'!$D$2:$K$2, 0)), "")</f>
        <v/>
      </c>
      <c r="Y296" s="156">
        <f t="array" ref="Y296">IF(AND(ISNUMBER(Y292), Y292&gt;0), Y292/INDEX('Full month Pivot'!$D$3:$K$400, MATCH("Grand Total", 'Full month Pivot'!$A$3:$A$400, 0), MATCH(Y$2, 'Full month Pivot'!$D$2:$K$2, 0)), "")</f>
        <v/>
      </c>
      <c r="Z296" s="156">
        <f t="array" ref="Z296">IF(AND(ISNUMBER(Z292), Z292&gt;0), Z292/INDEX('Full month Pivot'!$D$3:$K$400, MATCH("Grand Total", 'Full month Pivot'!$A$3:$A$400, 0), MATCH(Z$2, 'Full month Pivot'!$D$2:$K$2, 0)), "")</f>
        <v/>
      </c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202" t="inlineStr">
        <is>
          <t xml:space="preserve">  Organic</t>
        </is>
      </c>
      <c r="B297" s="193">
        <f>IF(SUMPRODUCT((('MTD Pivot'!$B$3:$B$400=$A$291) + ('MTD Pivot'!$A$3:$A$400=$A$291) &gt; 0) * (TRIM('MTD Pivot'!$C$3:$C$400)=TRIM($A297)) * ('MTD Pivot'!$D$2:$K$2=B$2) * 'MTD Pivot'!$D$3:$K$400)&gt;0, SUMPRODUCT((('MTD Pivot'!$B$3:$B$400=$A$291) + ('MTD Pivot'!$A$3:$A$400=$A$291) &gt; 0) * (TRIM('MTD Pivot'!$C$3:$C$400)=TRIM($A297)) * ('MTD Pivot'!$D$2:$K$2=B$2) * 'MTD Pivot'!$D$3:$K$400), "")</f>
        <v/>
      </c>
      <c r="C297" s="193">
        <f>IF(SUMPRODUCT((('MTD Pivot'!$B$3:$B$400=$A$291) + ('MTD Pivot'!$A$3:$A$400=$A$291) &gt; 0) * (TRIM('MTD Pivot'!$C$3:$C$400)=TRIM($A297)) * ('MTD Pivot'!$D$2:$K$2=C$2) * 'MTD Pivot'!$D$3:$K$400)&gt;0, SUMPRODUCT((('MTD Pivot'!$B$3:$B$400=$A$291) + ('MTD Pivot'!$A$3:$A$400=$A$291) &gt; 0) * (TRIM('MTD Pivot'!$C$3:$C$400)=TRIM($A297)) * ('MTD Pivot'!$D$2:$K$2=C$2) * 'MTD Pivot'!$D$3:$K$400), "")</f>
        <v/>
      </c>
      <c r="D297" s="193">
        <f>IF(SUMPRODUCT((('MTD Pivot'!$B$3:$B$400=$A$291) + ('MTD Pivot'!$A$3:$A$400=$A$291) &gt; 0) * (TRIM('MTD Pivot'!$C$3:$C$400)=TRIM($A297)) * ('MTD Pivot'!$D$2:$K$2=D$2) * 'MTD Pivot'!$D$3:$K$400)&gt;0, SUMPRODUCT((('MTD Pivot'!$B$3:$B$400=$A$291) + ('MTD Pivot'!$A$3:$A$400=$A$291) &gt; 0) * (TRIM('MTD Pivot'!$C$3:$C$400)=TRIM($A297)) * ('MTD Pivot'!$D$2:$K$2=D$2) * 'MTD Pivot'!$D$3:$K$400), "")</f>
        <v/>
      </c>
      <c r="E297" s="193">
        <f>IF(SUMPRODUCT((('MTD Pivot'!$B$3:$B$400=$A$291) + ('MTD Pivot'!$A$3:$A$400=$A$291) &gt; 0) * (TRIM('MTD Pivot'!$C$3:$C$400)=TRIM($A297)) * ('MTD Pivot'!$D$2:$K$2=E$2) * 'MTD Pivot'!$D$3:$K$400)&gt;0, SUMPRODUCT((('MTD Pivot'!$B$3:$B$400=$A$291) + ('MTD Pivot'!$A$3:$A$400=$A$291) &gt; 0) * (TRIM('MTD Pivot'!$C$3:$C$400)=TRIM($A297)) * ('MTD Pivot'!$D$2:$K$2=E$2) * 'MTD Pivot'!$D$3:$K$400), "")</f>
        <v/>
      </c>
      <c r="F297" s="193">
        <f>IF(SUMPRODUCT((('MTD Pivot'!$B$3:$B$400=$A$291) + ('MTD Pivot'!$A$3:$A$400=$A$291) &gt; 0) * (TRIM('MTD Pivot'!$C$3:$C$400)=TRIM($A297)) * ('MTD Pivot'!$D$2:$K$2=F$2) * 'MTD Pivot'!$D$3:$K$400)&gt;0, SUMPRODUCT((('MTD Pivot'!$B$3:$B$400=$A$291) + ('MTD Pivot'!$A$3:$A$400=$A$291) &gt; 0) * (TRIM('MTD Pivot'!$C$3:$C$400)=TRIM($A297)) * ('MTD Pivot'!$D$2:$K$2=F$2) * 'MTD Pivot'!$D$3:$K$400), "")</f>
        <v/>
      </c>
      <c r="G297" s="193">
        <f>IF(SUMPRODUCT((('MTD Pivot'!$B$3:$B$400=$A$291) + ('MTD Pivot'!$A$3:$A$400=$A$291) &gt; 0) * (TRIM('MTD Pivot'!$C$3:$C$400)=TRIM($A297)) * ('MTD Pivot'!$D$2:$K$2=G$2) * 'MTD Pivot'!$D$3:$K$400)&gt;0, SUMPRODUCT((('MTD Pivot'!$B$3:$B$400=$A$291) + ('MTD Pivot'!$A$3:$A$400=$A$291) &gt; 0) * (TRIM('MTD Pivot'!$C$3:$C$400)=TRIM($A297)) * ('MTD Pivot'!$D$2:$K$2=G$2) * 'MTD Pivot'!$D$3:$K$400), "")</f>
        <v/>
      </c>
      <c r="H297" s="193">
        <f>IF(SUMPRODUCT((('MTD Pivot'!$B$3:$B$400=$A$291) + ('MTD Pivot'!$A$3:$A$400=$A$291) &gt; 0) * (TRIM('MTD Pivot'!$C$3:$C$400)=TRIM($A297)) * ('MTD Pivot'!$D$2:$K$2=H$2) * 'MTD Pivot'!$D$3:$K$400)&gt;0, SUMPRODUCT((('MTD Pivot'!$B$3:$B$400=$A$291) + ('MTD Pivot'!$A$3:$A$400=$A$291) &gt; 0) * (TRIM('MTD Pivot'!$C$3:$C$400)=TRIM($A297)) * ('MTD Pivot'!$D$2:$K$2=H$2) * 'MTD Pivot'!$D$3:$K$400), "")</f>
        <v/>
      </c>
      <c r="I297" s="193">
        <f>IF(SUMPRODUCT((('MTD Pivot'!$B$3:$B$400=$A$291) + ('MTD Pivot'!$A$3:$A$400=$A$291) &gt; 0) * (TRIM('MTD Pivot'!$C$3:$C$400)=TRIM($A297)) * ('MTD Pivot'!$D$2:$K$2=I$2) * 'MTD Pivot'!$D$3:$K$400)&gt;0, SUMPRODUCT((('MTD Pivot'!$B$3:$B$400=$A$291) + ('MTD Pivot'!$A$3:$A$400=$A$291) &gt; 0) * (TRIM('MTD Pivot'!$C$3:$C$400)=TRIM($A297)) * ('MTD Pivot'!$D$2:$K$2=I$2) * 'MTD Pivot'!$D$3:$K$400), "")</f>
        <v/>
      </c>
      <c r="J297" s="193">
        <f>IF(SUMPRODUCT((('MTD Pivot'!$B$3:$B$400=$A$291) + ('MTD Pivot'!$A$3:$A$400=$A$291) &gt; 0) * (TRIM('MTD Pivot'!$C$3:$C$400)=TRIM($A297)) * ('MTD Pivot'!$D$2:$K$2=J$2) * 'MTD Pivot'!$D$3:$K$400)&gt;0, SUMPRODUCT((('MTD Pivot'!$B$3:$B$400=$A$291) + ('MTD Pivot'!$A$3:$A$400=$A$291) &gt; 0) * (TRIM('MTD Pivot'!$C$3:$C$400)=TRIM($A297)) * ('MTD Pivot'!$D$2:$K$2=J$2) * 'MTD Pivot'!$D$3:$K$400), "")</f>
        <v/>
      </c>
      <c r="K297" s="193">
        <f>IF(SUMPRODUCT((('MTD Pivot'!$B$3:$B$400=$A$291) + ('MTD Pivot'!$A$3:$A$400=$A$291) &gt; 0) * (TRIM('MTD Pivot'!$C$3:$C$400)=TRIM($A297)) * ('MTD Pivot'!$D$2:$K$2=K$2) * 'MTD Pivot'!$D$3:$K$400)&gt;0, SUMPRODUCT((('MTD Pivot'!$B$3:$B$400=$A$291) + ('MTD Pivot'!$A$3:$A$400=$A$291) &gt; 0) * (TRIM('MTD Pivot'!$C$3:$C$400)=TRIM($A297)) * ('MTD Pivot'!$D$2:$K$2=K$2) * 'MTD Pivot'!$D$3:$K$400), "")</f>
        <v/>
      </c>
      <c r="L297" s="193">
        <f>IF(SUMPRODUCT((('MTD Pivot'!$B$3:$B$400=$A$291) + ('MTD Pivot'!$A$3:$A$400=$A$291) &gt; 0) * (TRIM('MTD Pivot'!$C$3:$C$400)=TRIM($A297)) * ('MTD Pivot'!$D$2:$K$2=L$2) * 'MTD Pivot'!$D$3:$K$400)&gt;0, SUMPRODUCT((('MTD Pivot'!$B$3:$B$400=$A$291) + ('MTD Pivot'!$A$3:$A$400=$A$291) &gt; 0) * (TRIM('MTD Pivot'!$C$3:$C$400)=TRIM($A297)) * ('MTD Pivot'!$D$2:$K$2=L$2) * 'MTD Pivot'!$D$3:$K$400), "")</f>
        <v/>
      </c>
      <c r="M297" s="193">
        <f>IF(SUMPRODUCT((('MTD Pivot'!$B$3:$B$400=$A$291) + ('MTD Pivot'!$A$3:$A$400=$A$291) &gt; 0) * (TRIM('MTD Pivot'!$C$3:$C$400)=TRIM($A297)) * ('MTD Pivot'!$D$2:$K$2=M$2) * 'MTD Pivot'!$D$3:$K$400)&gt;0, SUMPRODUCT((('MTD Pivot'!$B$3:$B$400=$A$291) + ('MTD Pivot'!$A$3:$A$400=$A$291) &gt; 0) * (TRIM('MTD Pivot'!$C$3:$C$400)=TRIM($A297)) * ('MTD Pivot'!$D$2:$K$2=M$2) * 'MTD Pivot'!$D$3:$K$400), "")</f>
        <v/>
      </c>
      <c r="N297" s="157">
        <f>IF(AND(ISNUMBER(K297), ISNUMBER(J297), J297&gt;0), (K297-J297)/J297, "")</f>
        <v/>
      </c>
      <c r="O297" s="193">
        <f>IF(SUMPRODUCT((('Full month Pivot'!$B$3:$B$400=$A$291) + ('Full month Pivot'!$A$3:$A$400=$A$291) &gt; 0) * (TRIM('Full month Pivot'!$C$3:$C$400)=TRIM($A297)) * ('Full month Pivot'!$D$2:$K$2=O$2) * 'Full month Pivot'!$D$3:$K$400)&gt;0, SUMPRODUCT((('Full month Pivot'!$B$3:$B$400=$A$291) + ('Full month Pivot'!$A$3:$A$400=$A$291) &gt; 0) * (TRIM('Full month Pivot'!$C$3:$C$400)=TRIM($A297)) * ('Full month Pivot'!$D$2:$K$2=O$2) * 'Full month Pivot'!$D$3:$K$400), "")</f>
        <v/>
      </c>
      <c r="P297" s="193">
        <f>IF(SUMPRODUCT((('Full month Pivot'!$B$3:$B$400=$A$291) + ('Full month Pivot'!$A$3:$A$400=$A$291) &gt; 0) * (TRIM('Full month Pivot'!$C$3:$C$400)=TRIM($A297)) * ('Full month Pivot'!$D$2:$K$2=P$2) * 'Full month Pivot'!$D$3:$K$400)&gt;0, SUMPRODUCT((('Full month Pivot'!$B$3:$B$400=$A$291) + ('Full month Pivot'!$A$3:$A$400=$A$291) &gt; 0) * (TRIM('Full month Pivot'!$C$3:$C$400)=TRIM($A297)) * ('Full month Pivot'!$D$2:$K$2=P$2) * 'Full month Pivot'!$D$3:$K$400), "")</f>
        <v/>
      </c>
      <c r="Q297" s="193">
        <f>IF(SUMPRODUCT((('Full month Pivot'!$B$3:$B$400=$A$291) + ('Full month Pivot'!$A$3:$A$400=$A$291) &gt; 0) * (TRIM('Full month Pivot'!$C$3:$C$400)=TRIM($A297)) * ('Full month Pivot'!$D$2:$K$2=Q$2) * 'Full month Pivot'!$D$3:$K$400)&gt;0, SUMPRODUCT((('Full month Pivot'!$B$3:$B$400=$A$291) + ('Full month Pivot'!$A$3:$A$400=$A$291) &gt; 0) * (TRIM('Full month Pivot'!$C$3:$C$400)=TRIM($A297)) * ('Full month Pivot'!$D$2:$K$2=Q$2) * 'Full month Pivot'!$D$3:$K$400), "")</f>
        <v/>
      </c>
      <c r="R297" s="193">
        <f>IF(SUMPRODUCT((('Full month Pivot'!$B$3:$B$400=$A$291) + ('Full month Pivot'!$A$3:$A$400=$A$291) &gt; 0) * (TRIM('Full month Pivot'!$C$3:$C$400)=TRIM($A297)) * ('Full month Pivot'!$D$2:$K$2=R$2) * 'Full month Pivot'!$D$3:$K$400)&gt;0, SUMPRODUCT((('Full month Pivot'!$B$3:$B$400=$A$291) + ('Full month Pivot'!$A$3:$A$400=$A$291) &gt; 0) * (TRIM('Full month Pivot'!$C$3:$C$400)=TRIM($A297)) * ('Full month Pivot'!$D$2:$K$2=R$2) * 'Full month Pivot'!$D$3:$K$400), "")</f>
        <v/>
      </c>
      <c r="S297" s="193">
        <f>IF(SUMPRODUCT((('Full month Pivot'!$B$3:$B$400=$A$291) + ('Full month Pivot'!$A$3:$A$400=$A$291) &gt; 0) * (TRIM('Full month Pivot'!$C$3:$C$400)=TRIM($A297)) * ('Full month Pivot'!$D$2:$K$2=S$2) * 'Full month Pivot'!$D$3:$K$400)&gt;0, SUMPRODUCT((('Full month Pivot'!$B$3:$B$400=$A$291) + ('Full month Pivot'!$A$3:$A$400=$A$291) &gt; 0) * (TRIM('Full month Pivot'!$C$3:$C$400)=TRIM($A297)) * ('Full month Pivot'!$D$2:$K$2=S$2) * 'Full month Pivot'!$D$3:$K$400), "")</f>
        <v/>
      </c>
      <c r="T297" s="193">
        <f>IF(SUMPRODUCT((('Full month Pivot'!$B$3:$B$400=$A$291) + ('Full month Pivot'!$A$3:$A$400=$A$291) &gt; 0) * (TRIM('Full month Pivot'!$C$3:$C$400)=TRIM($A297)) * ('Full month Pivot'!$D$2:$K$2=T$2) * 'Full month Pivot'!$D$3:$K$400)&gt;0, SUMPRODUCT((('Full month Pivot'!$B$3:$B$400=$A$291) + ('Full month Pivot'!$A$3:$A$400=$A$291) &gt; 0) * (TRIM('Full month Pivot'!$C$3:$C$400)=TRIM($A297)) * ('Full month Pivot'!$D$2:$K$2=T$2) * 'Full month Pivot'!$D$3:$K$400), "")</f>
        <v/>
      </c>
      <c r="U297" s="193">
        <f>IF(SUMPRODUCT((('Full month Pivot'!$B$3:$B$400=$A$291) + ('Full month Pivot'!$A$3:$A$400=$A$291) &gt; 0) * (TRIM('Full month Pivot'!$C$3:$C$400)=TRIM($A297)) * ('Full month Pivot'!$D$2:$K$2=U$2) * 'Full month Pivot'!$D$3:$K$400)&gt;0, SUMPRODUCT((('Full month Pivot'!$B$3:$B$400=$A$291) + ('Full month Pivot'!$A$3:$A$400=$A$291) &gt; 0) * (TRIM('Full month Pivot'!$C$3:$C$400)=TRIM($A297)) * ('Full month Pivot'!$D$2:$K$2=U$2) * 'Full month Pivot'!$D$3:$K$400), "")</f>
        <v/>
      </c>
      <c r="V297" s="193">
        <f>IF(SUMPRODUCT((('Full month Pivot'!$B$3:$B$400=$A$291) + ('Full month Pivot'!$A$3:$A$400=$A$291) &gt; 0) * (TRIM('Full month Pivot'!$C$3:$C$400)=TRIM($A297)) * ('Full month Pivot'!$D$2:$K$2=V$2) * 'Full month Pivot'!$D$3:$K$400)&gt;0, SUMPRODUCT((('Full month Pivot'!$B$3:$B$400=$A$291) + ('Full month Pivot'!$A$3:$A$400=$A$291) &gt; 0) * (TRIM('Full month Pivot'!$C$3:$C$400)=TRIM($A297)) * ('Full month Pivot'!$D$2:$K$2=V$2) * 'Full month Pivot'!$D$3:$K$400), "")</f>
        <v/>
      </c>
      <c r="W297" s="193">
        <f>IF(SUMPRODUCT((('Full month Pivot'!$B$3:$B$400=$A$291) + ('Full month Pivot'!$A$3:$A$400=$A$291) &gt; 0) * (TRIM('Full month Pivot'!$C$3:$C$400)=TRIM($A297)) * ('Full month Pivot'!$D$2:$K$2=W$2) * 'Full month Pivot'!$D$3:$K$400)&gt;0, SUMPRODUCT((('Full month Pivot'!$B$3:$B$400=$A$291) + ('Full month Pivot'!$A$3:$A$400=$A$291) &gt; 0) * (TRIM('Full month Pivot'!$C$3:$C$400)=TRIM($A297)) * ('Full month Pivot'!$D$2:$K$2=W$2) * 'Full month Pivot'!$D$3:$K$400), "")</f>
        <v/>
      </c>
      <c r="X297" s="193">
        <f>IF(SUMPRODUCT((('Full month Pivot'!$B$3:$B$400=$A$291) + ('Full month Pivot'!$A$3:$A$400=$A$291) &gt; 0) * (TRIM('Full month Pivot'!$C$3:$C$400)=TRIM($A297)) * ('Full month Pivot'!$D$2:$K$2=X$2) * 'Full month Pivot'!$D$3:$K$400)&gt;0, SUMPRODUCT((('Full month Pivot'!$B$3:$B$400=$A$291) + ('Full month Pivot'!$A$3:$A$400=$A$291) &gt; 0) * (TRIM('Full month Pivot'!$C$3:$C$400)=TRIM($A297)) * ('Full month Pivot'!$D$2:$K$2=X$2) * 'Full month Pivot'!$D$3:$K$400), "")</f>
        <v/>
      </c>
      <c r="Y297" s="193">
        <f>IF(SUMPRODUCT((('Full month Pivot'!$B$3:$B$400=$A$291) + ('Full month Pivot'!$A$3:$A$400=$A$291) &gt; 0) * (TRIM('Full month Pivot'!$C$3:$C$400)=TRIM($A297)) * ('Full month Pivot'!$D$2:$K$2=Y$2) * 'Full month Pivot'!$D$3:$K$400)&gt;0, SUMPRODUCT((('Full month Pivot'!$B$3:$B$400=$A$291) + ('Full month Pivot'!$A$3:$A$400=$A$291) &gt; 0) * (TRIM('Full month Pivot'!$C$3:$C$400)=TRIM($A297)) * ('Full month Pivot'!$D$2:$K$2=Y$2) * 'Full month Pivot'!$D$3:$K$400), "")</f>
        <v/>
      </c>
      <c r="Z297" s="193">
        <f>IF(SUMPRODUCT((('Full month Pivot'!$B$3:$B$400=$A$291) + ('Full month Pivot'!$A$3:$A$400=$A$291) &gt; 0) * (TRIM('Full month Pivot'!$C$3:$C$400)=TRIM($A297)) * ('Full month Pivot'!$D$2:$K$2=Z$2) * 'Full month Pivot'!$D$3:$K$400)&gt;0, SUMPRODUCT((('Full month Pivot'!$B$3:$B$400=$A$291) + ('Full month Pivot'!$A$3:$A$400=$A$291) &gt; 0) * (TRIM('Full month Pivot'!$C$3:$C$400)=TRIM($A297)) * ('Full month Pivot'!$D$2:$K$2=Z$2) * 'Full month Pivot'!$D$3:$K$400), "")</f>
        <v/>
      </c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202" t="inlineStr">
        <is>
          <t xml:space="preserve">  Paid</t>
        </is>
      </c>
      <c r="B298" s="193">
        <f>IF(SUMPRODUCT((('MTD Pivot'!$B$3:$B$400=$A$291) + ('MTD Pivot'!$A$3:$A$400=$A$291) &gt; 0) * (TRIM('MTD Pivot'!$C$3:$C$400)=TRIM($A298)) * ('MTD Pivot'!$D$2:$K$2=B$2) * 'MTD Pivot'!$D$3:$K$400)&gt;0, SUMPRODUCT((('MTD Pivot'!$B$3:$B$400=$A$291) + ('MTD Pivot'!$A$3:$A$400=$A$291) &gt; 0) * (TRIM('MTD Pivot'!$C$3:$C$400)=TRIM($A298)) * ('MTD Pivot'!$D$2:$K$2=B$2) * 'MTD Pivot'!$D$3:$K$400), "")</f>
        <v/>
      </c>
      <c r="C298" s="193">
        <f>IF(SUMPRODUCT((('MTD Pivot'!$B$3:$B$400=$A$291) + ('MTD Pivot'!$A$3:$A$400=$A$291) &gt; 0) * (TRIM('MTD Pivot'!$C$3:$C$400)=TRIM($A298)) * ('MTD Pivot'!$D$2:$K$2=C$2) * 'MTD Pivot'!$D$3:$K$400)&gt;0, SUMPRODUCT((('MTD Pivot'!$B$3:$B$400=$A$291) + ('MTD Pivot'!$A$3:$A$400=$A$291) &gt; 0) * (TRIM('MTD Pivot'!$C$3:$C$400)=TRIM($A298)) * ('MTD Pivot'!$D$2:$K$2=C$2) * 'MTD Pivot'!$D$3:$K$400), "")</f>
        <v/>
      </c>
      <c r="D298" s="193">
        <f>IF(SUMPRODUCT((('MTD Pivot'!$B$3:$B$400=$A$291) + ('MTD Pivot'!$A$3:$A$400=$A$291) &gt; 0) * (TRIM('MTD Pivot'!$C$3:$C$400)=TRIM($A298)) * ('MTD Pivot'!$D$2:$K$2=D$2) * 'MTD Pivot'!$D$3:$K$400)&gt;0, SUMPRODUCT((('MTD Pivot'!$B$3:$B$400=$A$291) + ('MTD Pivot'!$A$3:$A$400=$A$291) &gt; 0) * (TRIM('MTD Pivot'!$C$3:$C$400)=TRIM($A298)) * ('MTD Pivot'!$D$2:$K$2=D$2) * 'MTD Pivot'!$D$3:$K$400), "")</f>
        <v/>
      </c>
      <c r="E298" s="193">
        <f>IF(SUMPRODUCT((('MTD Pivot'!$B$3:$B$400=$A$291) + ('MTD Pivot'!$A$3:$A$400=$A$291) &gt; 0) * (TRIM('MTD Pivot'!$C$3:$C$400)=TRIM($A298)) * ('MTD Pivot'!$D$2:$K$2=E$2) * 'MTD Pivot'!$D$3:$K$400)&gt;0, SUMPRODUCT((('MTD Pivot'!$B$3:$B$400=$A$291) + ('MTD Pivot'!$A$3:$A$400=$A$291) &gt; 0) * (TRIM('MTD Pivot'!$C$3:$C$400)=TRIM($A298)) * ('MTD Pivot'!$D$2:$K$2=E$2) * 'MTD Pivot'!$D$3:$K$400), "")</f>
        <v/>
      </c>
      <c r="F298" s="193">
        <f>IF(SUMPRODUCT((('MTD Pivot'!$B$3:$B$400=$A$291) + ('MTD Pivot'!$A$3:$A$400=$A$291) &gt; 0) * (TRIM('MTD Pivot'!$C$3:$C$400)=TRIM($A298)) * ('MTD Pivot'!$D$2:$K$2=F$2) * 'MTD Pivot'!$D$3:$K$400)&gt;0, SUMPRODUCT((('MTD Pivot'!$B$3:$B$400=$A$291) + ('MTD Pivot'!$A$3:$A$400=$A$291) &gt; 0) * (TRIM('MTD Pivot'!$C$3:$C$400)=TRIM($A298)) * ('MTD Pivot'!$D$2:$K$2=F$2) * 'MTD Pivot'!$D$3:$K$400), "")</f>
        <v/>
      </c>
      <c r="G298" s="193">
        <f>IF(SUMPRODUCT((('MTD Pivot'!$B$3:$B$400=$A$291) + ('MTD Pivot'!$A$3:$A$400=$A$291) &gt; 0) * (TRIM('MTD Pivot'!$C$3:$C$400)=TRIM($A298)) * ('MTD Pivot'!$D$2:$K$2=G$2) * 'MTD Pivot'!$D$3:$K$400)&gt;0, SUMPRODUCT((('MTD Pivot'!$B$3:$B$400=$A$291) + ('MTD Pivot'!$A$3:$A$400=$A$291) &gt; 0) * (TRIM('MTD Pivot'!$C$3:$C$400)=TRIM($A298)) * ('MTD Pivot'!$D$2:$K$2=G$2) * 'MTD Pivot'!$D$3:$K$400), "")</f>
        <v/>
      </c>
      <c r="H298" s="193">
        <f>IF(SUMPRODUCT((('MTD Pivot'!$B$3:$B$400=$A$291) + ('MTD Pivot'!$A$3:$A$400=$A$291) &gt; 0) * (TRIM('MTD Pivot'!$C$3:$C$400)=TRIM($A298)) * ('MTD Pivot'!$D$2:$K$2=H$2) * 'MTD Pivot'!$D$3:$K$400)&gt;0, SUMPRODUCT((('MTD Pivot'!$B$3:$B$400=$A$291) + ('MTD Pivot'!$A$3:$A$400=$A$291) &gt; 0) * (TRIM('MTD Pivot'!$C$3:$C$400)=TRIM($A298)) * ('MTD Pivot'!$D$2:$K$2=H$2) * 'MTD Pivot'!$D$3:$K$400), "")</f>
        <v/>
      </c>
      <c r="I298" s="193">
        <f>IF(SUMPRODUCT((('MTD Pivot'!$B$3:$B$400=$A$291) + ('MTD Pivot'!$A$3:$A$400=$A$291) &gt; 0) * (TRIM('MTD Pivot'!$C$3:$C$400)=TRIM($A298)) * ('MTD Pivot'!$D$2:$K$2=I$2) * 'MTD Pivot'!$D$3:$K$400)&gt;0, SUMPRODUCT((('MTD Pivot'!$B$3:$B$400=$A$291) + ('MTD Pivot'!$A$3:$A$400=$A$291) &gt; 0) * (TRIM('MTD Pivot'!$C$3:$C$400)=TRIM($A298)) * ('MTD Pivot'!$D$2:$K$2=I$2) * 'MTD Pivot'!$D$3:$K$400), "")</f>
        <v/>
      </c>
      <c r="J298" s="193">
        <f>IF(SUMPRODUCT((('MTD Pivot'!$B$3:$B$400=$A$291) + ('MTD Pivot'!$A$3:$A$400=$A$291) &gt; 0) * (TRIM('MTD Pivot'!$C$3:$C$400)=TRIM($A298)) * ('MTD Pivot'!$D$2:$K$2=J$2) * 'MTD Pivot'!$D$3:$K$400)&gt;0, SUMPRODUCT((('MTD Pivot'!$B$3:$B$400=$A$291) + ('MTD Pivot'!$A$3:$A$400=$A$291) &gt; 0) * (TRIM('MTD Pivot'!$C$3:$C$400)=TRIM($A298)) * ('MTD Pivot'!$D$2:$K$2=J$2) * 'MTD Pivot'!$D$3:$K$400), "")</f>
        <v/>
      </c>
      <c r="K298" s="193">
        <f>IF(SUMPRODUCT((('MTD Pivot'!$B$3:$B$400=$A$291) + ('MTD Pivot'!$A$3:$A$400=$A$291) &gt; 0) * (TRIM('MTD Pivot'!$C$3:$C$400)=TRIM($A298)) * ('MTD Pivot'!$D$2:$K$2=K$2) * 'MTD Pivot'!$D$3:$K$400)&gt;0, SUMPRODUCT((('MTD Pivot'!$B$3:$B$400=$A$291) + ('MTD Pivot'!$A$3:$A$400=$A$291) &gt; 0) * (TRIM('MTD Pivot'!$C$3:$C$400)=TRIM($A298)) * ('MTD Pivot'!$D$2:$K$2=K$2) * 'MTD Pivot'!$D$3:$K$400), "")</f>
        <v/>
      </c>
      <c r="L298" s="193">
        <f>IF(SUMPRODUCT((('MTD Pivot'!$B$3:$B$400=$A$291) + ('MTD Pivot'!$A$3:$A$400=$A$291) &gt; 0) * (TRIM('MTD Pivot'!$C$3:$C$400)=TRIM($A298)) * ('MTD Pivot'!$D$2:$K$2=L$2) * 'MTD Pivot'!$D$3:$K$400)&gt;0, SUMPRODUCT((('MTD Pivot'!$B$3:$B$400=$A$291) + ('MTD Pivot'!$A$3:$A$400=$A$291) &gt; 0) * (TRIM('MTD Pivot'!$C$3:$C$400)=TRIM($A298)) * ('MTD Pivot'!$D$2:$K$2=L$2) * 'MTD Pivot'!$D$3:$K$400), "")</f>
        <v/>
      </c>
      <c r="M298" s="193">
        <f>IF(SUMPRODUCT((('MTD Pivot'!$B$3:$B$400=$A$291) + ('MTD Pivot'!$A$3:$A$400=$A$291) &gt; 0) * (TRIM('MTD Pivot'!$C$3:$C$400)=TRIM($A298)) * ('MTD Pivot'!$D$2:$K$2=M$2) * 'MTD Pivot'!$D$3:$K$400)&gt;0, SUMPRODUCT((('MTD Pivot'!$B$3:$B$400=$A$291) + ('MTD Pivot'!$A$3:$A$400=$A$291) &gt; 0) * (TRIM('MTD Pivot'!$C$3:$C$400)=TRIM($A298)) * ('MTD Pivot'!$D$2:$K$2=M$2) * 'MTD Pivot'!$D$3:$K$400), "")</f>
        <v/>
      </c>
      <c r="N298" s="157">
        <f>IF(AND(ISNUMBER(K298), ISNUMBER(J298), J298&gt;0), (K298-J298)/J298, "")</f>
        <v/>
      </c>
      <c r="O298" s="193">
        <f>IF(SUMPRODUCT((('Full month Pivot'!$B$3:$B$400=$A$291) + ('Full month Pivot'!$A$3:$A$400=$A$291) &gt; 0) * (TRIM('Full month Pivot'!$C$3:$C$400)=TRIM($A298)) * ('Full month Pivot'!$D$2:$K$2=O$2) * 'Full month Pivot'!$D$3:$K$400)&gt;0, SUMPRODUCT((('Full month Pivot'!$B$3:$B$400=$A$291) + ('Full month Pivot'!$A$3:$A$400=$A$291) &gt; 0) * (TRIM('Full month Pivot'!$C$3:$C$400)=TRIM($A298)) * ('Full month Pivot'!$D$2:$K$2=O$2) * 'Full month Pivot'!$D$3:$K$400), "")</f>
        <v/>
      </c>
      <c r="P298" s="193">
        <f>IF(SUMPRODUCT((('Full month Pivot'!$B$3:$B$400=$A$291) + ('Full month Pivot'!$A$3:$A$400=$A$291) &gt; 0) * (TRIM('Full month Pivot'!$C$3:$C$400)=TRIM($A298)) * ('Full month Pivot'!$D$2:$K$2=P$2) * 'Full month Pivot'!$D$3:$K$400)&gt;0, SUMPRODUCT((('Full month Pivot'!$B$3:$B$400=$A$291) + ('Full month Pivot'!$A$3:$A$400=$A$291) &gt; 0) * (TRIM('Full month Pivot'!$C$3:$C$400)=TRIM($A298)) * ('Full month Pivot'!$D$2:$K$2=P$2) * 'Full month Pivot'!$D$3:$K$400), "")</f>
        <v/>
      </c>
      <c r="Q298" s="193">
        <f>IF(SUMPRODUCT((('Full month Pivot'!$B$3:$B$400=$A$291) + ('Full month Pivot'!$A$3:$A$400=$A$291) &gt; 0) * (TRIM('Full month Pivot'!$C$3:$C$400)=TRIM($A298)) * ('Full month Pivot'!$D$2:$K$2=Q$2) * 'Full month Pivot'!$D$3:$K$400)&gt;0, SUMPRODUCT((('Full month Pivot'!$B$3:$B$400=$A$291) + ('Full month Pivot'!$A$3:$A$400=$A$291) &gt; 0) * (TRIM('Full month Pivot'!$C$3:$C$400)=TRIM($A298)) * ('Full month Pivot'!$D$2:$K$2=Q$2) * 'Full month Pivot'!$D$3:$K$400), "")</f>
        <v/>
      </c>
      <c r="R298" s="193">
        <f>IF(SUMPRODUCT((('Full month Pivot'!$B$3:$B$400=$A$291) + ('Full month Pivot'!$A$3:$A$400=$A$291) &gt; 0) * (TRIM('Full month Pivot'!$C$3:$C$400)=TRIM($A298)) * ('Full month Pivot'!$D$2:$K$2=R$2) * 'Full month Pivot'!$D$3:$K$400)&gt;0, SUMPRODUCT((('Full month Pivot'!$B$3:$B$400=$A$291) + ('Full month Pivot'!$A$3:$A$400=$A$291) &gt; 0) * (TRIM('Full month Pivot'!$C$3:$C$400)=TRIM($A298)) * ('Full month Pivot'!$D$2:$K$2=R$2) * 'Full month Pivot'!$D$3:$K$400), "")</f>
        <v/>
      </c>
      <c r="S298" s="193">
        <f>IF(SUMPRODUCT((('Full month Pivot'!$B$3:$B$400=$A$291) + ('Full month Pivot'!$A$3:$A$400=$A$291) &gt; 0) * (TRIM('Full month Pivot'!$C$3:$C$400)=TRIM($A298)) * ('Full month Pivot'!$D$2:$K$2=S$2) * 'Full month Pivot'!$D$3:$K$400)&gt;0, SUMPRODUCT((('Full month Pivot'!$B$3:$B$400=$A$291) + ('Full month Pivot'!$A$3:$A$400=$A$291) &gt; 0) * (TRIM('Full month Pivot'!$C$3:$C$400)=TRIM($A298)) * ('Full month Pivot'!$D$2:$K$2=S$2) * 'Full month Pivot'!$D$3:$K$400), "")</f>
        <v/>
      </c>
      <c r="T298" s="193">
        <f>IF(SUMPRODUCT((('Full month Pivot'!$B$3:$B$400=$A$291) + ('Full month Pivot'!$A$3:$A$400=$A$291) &gt; 0) * (TRIM('Full month Pivot'!$C$3:$C$400)=TRIM($A298)) * ('Full month Pivot'!$D$2:$K$2=T$2) * 'Full month Pivot'!$D$3:$K$400)&gt;0, SUMPRODUCT((('Full month Pivot'!$B$3:$B$400=$A$291) + ('Full month Pivot'!$A$3:$A$400=$A$291) &gt; 0) * (TRIM('Full month Pivot'!$C$3:$C$400)=TRIM($A298)) * ('Full month Pivot'!$D$2:$K$2=T$2) * 'Full month Pivot'!$D$3:$K$400), "")</f>
        <v/>
      </c>
      <c r="U298" s="193">
        <f>IF(SUMPRODUCT((('Full month Pivot'!$B$3:$B$400=$A$291) + ('Full month Pivot'!$A$3:$A$400=$A$291) &gt; 0) * (TRIM('Full month Pivot'!$C$3:$C$400)=TRIM($A298)) * ('Full month Pivot'!$D$2:$K$2=U$2) * 'Full month Pivot'!$D$3:$K$400)&gt;0, SUMPRODUCT((('Full month Pivot'!$B$3:$B$400=$A$291) + ('Full month Pivot'!$A$3:$A$400=$A$291) &gt; 0) * (TRIM('Full month Pivot'!$C$3:$C$400)=TRIM($A298)) * ('Full month Pivot'!$D$2:$K$2=U$2) * 'Full month Pivot'!$D$3:$K$400), "")</f>
        <v/>
      </c>
      <c r="V298" s="193">
        <f>IF(SUMPRODUCT((('Full month Pivot'!$B$3:$B$400=$A$291) + ('Full month Pivot'!$A$3:$A$400=$A$291) &gt; 0) * (TRIM('Full month Pivot'!$C$3:$C$400)=TRIM($A298)) * ('Full month Pivot'!$D$2:$K$2=V$2) * 'Full month Pivot'!$D$3:$K$400)&gt;0, SUMPRODUCT((('Full month Pivot'!$B$3:$B$400=$A$291) + ('Full month Pivot'!$A$3:$A$400=$A$291) &gt; 0) * (TRIM('Full month Pivot'!$C$3:$C$400)=TRIM($A298)) * ('Full month Pivot'!$D$2:$K$2=V$2) * 'Full month Pivot'!$D$3:$K$400), "")</f>
        <v/>
      </c>
      <c r="W298" s="193">
        <f>IF(SUMPRODUCT((('Full month Pivot'!$B$3:$B$400=$A$291) + ('Full month Pivot'!$A$3:$A$400=$A$291) &gt; 0) * (TRIM('Full month Pivot'!$C$3:$C$400)=TRIM($A298)) * ('Full month Pivot'!$D$2:$K$2=W$2) * 'Full month Pivot'!$D$3:$K$400)&gt;0, SUMPRODUCT((('Full month Pivot'!$B$3:$B$400=$A$291) + ('Full month Pivot'!$A$3:$A$400=$A$291) &gt; 0) * (TRIM('Full month Pivot'!$C$3:$C$400)=TRIM($A298)) * ('Full month Pivot'!$D$2:$K$2=W$2) * 'Full month Pivot'!$D$3:$K$400), "")</f>
        <v/>
      </c>
      <c r="X298" s="193">
        <f>IF(SUMPRODUCT((('Full month Pivot'!$B$3:$B$400=$A$291) + ('Full month Pivot'!$A$3:$A$400=$A$291) &gt; 0) * (TRIM('Full month Pivot'!$C$3:$C$400)=TRIM($A298)) * ('Full month Pivot'!$D$2:$K$2=X$2) * 'Full month Pivot'!$D$3:$K$400)&gt;0, SUMPRODUCT((('Full month Pivot'!$B$3:$B$400=$A$291) + ('Full month Pivot'!$A$3:$A$400=$A$291) &gt; 0) * (TRIM('Full month Pivot'!$C$3:$C$400)=TRIM($A298)) * ('Full month Pivot'!$D$2:$K$2=X$2) * 'Full month Pivot'!$D$3:$K$400), "")</f>
        <v/>
      </c>
      <c r="Y298" s="193">
        <f>IF(SUMPRODUCT((('Full month Pivot'!$B$3:$B$400=$A$291) + ('Full month Pivot'!$A$3:$A$400=$A$291) &gt; 0) * (TRIM('Full month Pivot'!$C$3:$C$400)=TRIM($A298)) * ('Full month Pivot'!$D$2:$K$2=Y$2) * 'Full month Pivot'!$D$3:$K$400)&gt;0, SUMPRODUCT((('Full month Pivot'!$B$3:$B$400=$A$291) + ('Full month Pivot'!$A$3:$A$400=$A$291) &gt; 0) * (TRIM('Full month Pivot'!$C$3:$C$400)=TRIM($A298)) * ('Full month Pivot'!$D$2:$K$2=Y$2) * 'Full month Pivot'!$D$3:$K$400), "")</f>
        <v/>
      </c>
      <c r="Z298" s="193">
        <f>IF(SUMPRODUCT((('Full month Pivot'!$B$3:$B$400=$A$291) + ('Full month Pivot'!$A$3:$A$400=$A$291) &gt; 0) * (TRIM('Full month Pivot'!$C$3:$C$400)=TRIM($A298)) * ('Full month Pivot'!$D$2:$K$2=Z$2) * 'Full month Pivot'!$D$3:$K$400)&gt;0, SUMPRODUCT((('Full month Pivot'!$B$3:$B$400=$A$291) + ('Full month Pivot'!$A$3:$A$400=$A$291) &gt; 0) * (TRIM('Full month Pivot'!$C$3:$C$400)=TRIM($A298)) * ('Full month Pivot'!$D$2:$K$2=Z$2) * 'Full month Pivot'!$D$3:$K$400), "")</f>
        <v/>
      </c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202" t="inlineStr">
        <is>
          <t xml:space="preserve">  Direct</t>
        </is>
      </c>
      <c r="B299" s="193">
        <f>IF(SUMPRODUCT((('MTD Pivot'!$B$3:$B$400=$A$291) + ('MTD Pivot'!$A$3:$A$400=$A$291) &gt; 0) * (TRIM('MTD Pivot'!$C$3:$C$400)=TRIM($A299)) * ('MTD Pivot'!$D$2:$K$2=B$2) * 'MTD Pivot'!$D$3:$K$400)&gt;0, SUMPRODUCT((('MTD Pivot'!$B$3:$B$400=$A$291) + ('MTD Pivot'!$A$3:$A$400=$A$291) &gt; 0) * (TRIM('MTD Pivot'!$C$3:$C$400)=TRIM($A299)) * ('MTD Pivot'!$D$2:$K$2=B$2) * 'MTD Pivot'!$D$3:$K$400), "")</f>
        <v/>
      </c>
      <c r="C299" s="193">
        <f>IF(SUMPRODUCT((('MTD Pivot'!$B$3:$B$400=$A$291) + ('MTD Pivot'!$A$3:$A$400=$A$291) &gt; 0) * (TRIM('MTD Pivot'!$C$3:$C$400)=TRIM($A299)) * ('MTD Pivot'!$D$2:$K$2=C$2) * 'MTD Pivot'!$D$3:$K$400)&gt;0, SUMPRODUCT((('MTD Pivot'!$B$3:$B$400=$A$291) + ('MTD Pivot'!$A$3:$A$400=$A$291) &gt; 0) * (TRIM('MTD Pivot'!$C$3:$C$400)=TRIM($A299)) * ('MTD Pivot'!$D$2:$K$2=C$2) * 'MTD Pivot'!$D$3:$K$400), "")</f>
        <v/>
      </c>
      <c r="D299" s="193">
        <f>IF(SUMPRODUCT((('MTD Pivot'!$B$3:$B$400=$A$291) + ('MTD Pivot'!$A$3:$A$400=$A$291) &gt; 0) * (TRIM('MTD Pivot'!$C$3:$C$400)=TRIM($A299)) * ('MTD Pivot'!$D$2:$K$2=D$2) * 'MTD Pivot'!$D$3:$K$400)&gt;0, SUMPRODUCT((('MTD Pivot'!$B$3:$B$400=$A$291) + ('MTD Pivot'!$A$3:$A$400=$A$291) &gt; 0) * (TRIM('MTD Pivot'!$C$3:$C$400)=TRIM($A299)) * ('MTD Pivot'!$D$2:$K$2=D$2) * 'MTD Pivot'!$D$3:$K$400), "")</f>
        <v/>
      </c>
      <c r="E299" s="193">
        <f>IF(SUMPRODUCT((('MTD Pivot'!$B$3:$B$400=$A$291) + ('MTD Pivot'!$A$3:$A$400=$A$291) &gt; 0) * (TRIM('MTD Pivot'!$C$3:$C$400)=TRIM($A299)) * ('MTD Pivot'!$D$2:$K$2=E$2) * 'MTD Pivot'!$D$3:$K$400)&gt;0, SUMPRODUCT((('MTD Pivot'!$B$3:$B$400=$A$291) + ('MTD Pivot'!$A$3:$A$400=$A$291) &gt; 0) * (TRIM('MTD Pivot'!$C$3:$C$400)=TRIM($A299)) * ('MTD Pivot'!$D$2:$K$2=E$2) * 'MTD Pivot'!$D$3:$K$400), "")</f>
        <v/>
      </c>
      <c r="F299" s="193">
        <f>IF(SUMPRODUCT((('MTD Pivot'!$B$3:$B$400=$A$291) + ('MTD Pivot'!$A$3:$A$400=$A$291) &gt; 0) * (TRIM('MTD Pivot'!$C$3:$C$400)=TRIM($A299)) * ('MTD Pivot'!$D$2:$K$2=F$2) * 'MTD Pivot'!$D$3:$K$400)&gt;0, SUMPRODUCT((('MTD Pivot'!$B$3:$B$400=$A$291) + ('MTD Pivot'!$A$3:$A$400=$A$291) &gt; 0) * (TRIM('MTD Pivot'!$C$3:$C$400)=TRIM($A299)) * ('MTD Pivot'!$D$2:$K$2=F$2) * 'MTD Pivot'!$D$3:$K$400), "")</f>
        <v/>
      </c>
      <c r="G299" s="193">
        <f>IF(SUMPRODUCT((('MTD Pivot'!$B$3:$B$400=$A$291) + ('MTD Pivot'!$A$3:$A$400=$A$291) &gt; 0) * (TRIM('MTD Pivot'!$C$3:$C$400)=TRIM($A299)) * ('MTD Pivot'!$D$2:$K$2=G$2) * 'MTD Pivot'!$D$3:$K$400)&gt;0, SUMPRODUCT((('MTD Pivot'!$B$3:$B$400=$A$291) + ('MTD Pivot'!$A$3:$A$400=$A$291) &gt; 0) * (TRIM('MTD Pivot'!$C$3:$C$400)=TRIM($A299)) * ('MTD Pivot'!$D$2:$K$2=G$2) * 'MTD Pivot'!$D$3:$K$400), "")</f>
        <v/>
      </c>
      <c r="H299" s="193">
        <f>IF(SUMPRODUCT((('MTD Pivot'!$B$3:$B$400=$A$291) + ('MTD Pivot'!$A$3:$A$400=$A$291) &gt; 0) * (TRIM('MTD Pivot'!$C$3:$C$400)=TRIM($A299)) * ('MTD Pivot'!$D$2:$K$2=H$2) * 'MTD Pivot'!$D$3:$K$400)&gt;0, SUMPRODUCT((('MTD Pivot'!$B$3:$B$400=$A$291) + ('MTD Pivot'!$A$3:$A$400=$A$291) &gt; 0) * (TRIM('MTD Pivot'!$C$3:$C$400)=TRIM($A299)) * ('MTD Pivot'!$D$2:$K$2=H$2) * 'MTD Pivot'!$D$3:$K$400), "")</f>
        <v/>
      </c>
      <c r="I299" s="193">
        <f>IF(SUMPRODUCT((('MTD Pivot'!$B$3:$B$400=$A$291) + ('MTD Pivot'!$A$3:$A$400=$A$291) &gt; 0) * (TRIM('MTD Pivot'!$C$3:$C$400)=TRIM($A299)) * ('MTD Pivot'!$D$2:$K$2=I$2) * 'MTD Pivot'!$D$3:$K$400)&gt;0, SUMPRODUCT((('MTD Pivot'!$B$3:$B$400=$A$291) + ('MTD Pivot'!$A$3:$A$400=$A$291) &gt; 0) * (TRIM('MTD Pivot'!$C$3:$C$400)=TRIM($A299)) * ('MTD Pivot'!$D$2:$K$2=I$2) * 'MTD Pivot'!$D$3:$K$400), "")</f>
        <v/>
      </c>
      <c r="J299" s="193">
        <f>IF(SUMPRODUCT((('MTD Pivot'!$B$3:$B$400=$A$291) + ('MTD Pivot'!$A$3:$A$400=$A$291) &gt; 0) * (TRIM('MTD Pivot'!$C$3:$C$400)=TRIM($A299)) * ('MTD Pivot'!$D$2:$K$2=J$2) * 'MTD Pivot'!$D$3:$K$400)&gt;0, SUMPRODUCT((('MTD Pivot'!$B$3:$B$400=$A$291) + ('MTD Pivot'!$A$3:$A$400=$A$291) &gt; 0) * (TRIM('MTD Pivot'!$C$3:$C$400)=TRIM($A299)) * ('MTD Pivot'!$D$2:$K$2=J$2) * 'MTD Pivot'!$D$3:$K$400), "")</f>
        <v/>
      </c>
      <c r="K299" s="193">
        <f>IF(SUMPRODUCT((('MTD Pivot'!$B$3:$B$400=$A$291) + ('MTD Pivot'!$A$3:$A$400=$A$291) &gt; 0) * (TRIM('MTD Pivot'!$C$3:$C$400)=TRIM($A299)) * ('MTD Pivot'!$D$2:$K$2=K$2) * 'MTD Pivot'!$D$3:$K$400)&gt;0, SUMPRODUCT((('MTD Pivot'!$B$3:$B$400=$A$291) + ('MTD Pivot'!$A$3:$A$400=$A$291) &gt; 0) * (TRIM('MTD Pivot'!$C$3:$C$400)=TRIM($A299)) * ('MTD Pivot'!$D$2:$K$2=K$2) * 'MTD Pivot'!$D$3:$K$400), "")</f>
        <v/>
      </c>
      <c r="L299" s="193">
        <f>IF(SUMPRODUCT((('MTD Pivot'!$B$3:$B$400=$A$291) + ('MTD Pivot'!$A$3:$A$400=$A$291) &gt; 0) * (TRIM('MTD Pivot'!$C$3:$C$400)=TRIM($A299)) * ('MTD Pivot'!$D$2:$K$2=L$2) * 'MTD Pivot'!$D$3:$K$400)&gt;0, SUMPRODUCT((('MTD Pivot'!$B$3:$B$400=$A$291) + ('MTD Pivot'!$A$3:$A$400=$A$291) &gt; 0) * (TRIM('MTD Pivot'!$C$3:$C$400)=TRIM($A299)) * ('MTD Pivot'!$D$2:$K$2=L$2) * 'MTD Pivot'!$D$3:$K$400), "")</f>
        <v/>
      </c>
      <c r="M299" s="193">
        <f>IF(SUMPRODUCT((('MTD Pivot'!$B$3:$B$400=$A$291) + ('MTD Pivot'!$A$3:$A$400=$A$291) &gt; 0) * (TRIM('MTD Pivot'!$C$3:$C$400)=TRIM($A299)) * ('MTD Pivot'!$D$2:$K$2=M$2) * 'MTD Pivot'!$D$3:$K$400)&gt;0, SUMPRODUCT((('MTD Pivot'!$B$3:$B$400=$A$291) + ('MTD Pivot'!$A$3:$A$400=$A$291) &gt; 0) * (TRIM('MTD Pivot'!$C$3:$C$400)=TRIM($A299)) * ('MTD Pivot'!$D$2:$K$2=M$2) * 'MTD Pivot'!$D$3:$K$400), "")</f>
        <v/>
      </c>
      <c r="N299" s="157">
        <f>IF(AND(ISNUMBER(K299), ISNUMBER(J299), J299&gt;0), (K299-J299)/J299, "")</f>
        <v/>
      </c>
      <c r="O299" s="193">
        <f>IF(SUMPRODUCT((('Full month Pivot'!$B$3:$B$400=$A$291) + ('Full month Pivot'!$A$3:$A$400=$A$291) &gt; 0) * (TRIM('Full month Pivot'!$C$3:$C$400)=TRIM($A299)) * ('Full month Pivot'!$D$2:$K$2=O$2) * 'Full month Pivot'!$D$3:$K$400)&gt;0, SUMPRODUCT((('Full month Pivot'!$B$3:$B$400=$A$291) + ('Full month Pivot'!$A$3:$A$400=$A$291) &gt; 0) * (TRIM('Full month Pivot'!$C$3:$C$400)=TRIM($A299)) * ('Full month Pivot'!$D$2:$K$2=O$2) * 'Full month Pivot'!$D$3:$K$400), "")</f>
        <v/>
      </c>
      <c r="P299" s="193">
        <f>IF(SUMPRODUCT((('Full month Pivot'!$B$3:$B$400=$A$291) + ('Full month Pivot'!$A$3:$A$400=$A$291) &gt; 0) * (TRIM('Full month Pivot'!$C$3:$C$400)=TRIM($A299)) * ('Full month Pivot'!$D$2:$K$2=P$2) * 'Full month Pivot'!$D$3:$K$400)&gt;0, SUMPRODUCT((('Full month Pivot'!$B$3:$B$400=$A$291) + ('Full month Pivot'!$A$3:$A$400=$A$291) &gt; 0) * (TRIM('Full month Pivot'!$C$3:$C$400)=TRIM($A299)) * ('Full month Pivot'!$D$2:$K$2=P$2) * 'Full month Pivot'!$D$3:$K$400), "")</f>
        <v/>
      </c>
      <c r="Q299" s="193">
        <f>IF(SUMPRODUCT((('Full month Pivot'!$B$3:$B$400=$A$291) + ('Full month Pivot'!$A$3:$A$400=$A$291) &gt; 0) * (TRIM('Full month Pivot'!$C$3:$C$400)=TRIM($A299)) * ('Full month Pivot'!$D$2:$K$2=Q$2) * 'Full month Pivot'!$D$3:$K$400)&gt;0, SUMPRODUCT((('Full month Pivot'!$B$3:$B$400=$A$291) + ('Full month Pivot'!$A$3:$A$400=$A$291) &gt; 0) * (TRIM('Full month Pivot'!$C$3:$C$400)=TRIM($A299)) * ('Full month Pivot'!$D$2:$K$2=Q$2) * 'Full month Pivot'!$D$3:$K$400), "")</f>
        <v/>
      </c>
      <c r="R299" s="193">
        <f>IF(SUMPRODUCT((('Full month Pivot'!$B$3:$B$400=$A$291) + ('Full month Pivot'!$A$3:$A$400=$A$291) &gt; 0) * (TRIM('Full month Pivot'!$C$3:$C$400)=TRIM($A299)) * ('Full month Pivot'!$D$2:$K$2=R$2) * 'Full month Pivot'!$D$3:$K$400)&gt;0, SUMPRODUCT((('Full month Pivot'!$B$3:$B$400=$A$291) + ('Full month Pivot'!$A$3:$A$400=$A$291) &gt; 0) * (TRIM('Full month Pivot'!$C$3:$C$400)=TRIM($A299)) * ('Full month Pivot'!$D$2:$K$2=R$2) * 'Full month Pivot'!$D$3:$K$400), "")</f>
        <v/>
      </c>
      <c r="S299" s="193">
        <f>IF(SUMPRODUCT((('Full month Pivot'!$B$3:$B$400=$A$291) + ('Full month Pivot'!$A$3:$A$400=$A$291) &gt; 0) * (TRIM('Full month Pivot'!$C$3:$C$400)=TRIM($A299)) * ('Full month Pivot'!$D$2:$K$2=S$2) * 'Full month Pivot'!$D$3:$K$400)&gt;0, SUMPRODUCT((('Full month Pivot'!$B$3:$B$400=$A$291) + ('Full month Pivot'!$A$3:$A$400=$A$291) &gt; 0) * (TRIM('Full month Pivot'!$C$3:$C$400)=TRIM($A299)) * ('Full month Pivot'!$D$2:$K$2=S$2) * 'Full month Pivot'!$D$3:$K$400), "")</f>
        <v/>
      </c>
      <c r="T299" s="193">
        <f>IF(SUMPRODUCT((('Full month Pivot'!$B$3:$B$400=$A$291) + ('Full month Pivot'!$A$3:$A$400=$A$291) &gt; 0) * (TRIM('Full month Pivot'!$C$3:$C$400)=TRIM($A299)) * ('Full month Pivot'!$D$2:$K$2=T$2) * 'Full month Pivot'!$D$3:$K$400)&gt;0, SUMPRODUCT((('Full month Pivot'!$B$3:$B$400=$A$291) + ('Full month Pivot'!$A$3:$A$400=$A$291) &gt; 0) * (TRIM('Full month Pivot'!$C$3:$C$400)=TRIM($A299)) * ('Full month Pivot'!$D$2:$K$2=T$2) * 'Full month Pivot'!$D$3:$K$400), "")</f>
        <v/>
      </c>
      <c r="U299" s="193">
        <f>IF(SUMPRODUCT((('Full month Pivot'!$B$3:$B$400=$A$291) + ('Full month Pivot'!$A$3:$A$400=$A$291) &gt; 0) * (TRIM('Full month Pivot'!$C$3:$C$400)=TRIM($A299)) * ('Full month Pivot'!$D$2:$K$2=U$2) * 'Full month Pivot'!$D$3:$K$400)&gt;0, SUMPRODUCT((('Full month Pivot'!$B$3:$B$400=$A$291) + ('Full month Pivot'!$A$3:$A$400=$A$291) &gt; 0) * (TRIM('Full month Pivot'!$C$3:$C$400)=TRIM($A299)) * ('Full month Pivot'!$D$2:$K$2=U$2) * 'Full month Pivot'!$D$3:$K$400), "")</f>
        <v/>
      </c>
      <c r="V299" s="193">
        <f>IF(SUMPRODUCT((('Full month Pivot'!$B$3:$B$400=$A$291) + ('Full month Pivot'!$A$3:$A$400=$A$291) &gt; 0) * (TRIM('Full month Pivot'!$C$3:$C$400)=TRIM($A299)) * ('Full month Pivot'!$D$2:$K$2=V$2) * 'Full month Pivot'!$D$3:$K$400)&gt;0, SUMPRODUCT((('Full month Pivot'!$B$3:$B$400=$A$291) + ('Full month Pivot'!$A$3:$A$400=$A$291) &gt; 0) * (TRIM('Full month Pivot'!$C$3:$C$400)=TRIM($A299)) * ('Full month Pivot'!$D$2:$K$2=V$2) * 'Full month Pivot'!$D$3:$K$400), "")</f>
        <v/>
      </c>
      <c r="W299" s="193">
        <f>IF(SUMPRODUCT((('Full month Pivot'!$B$3:$B$400=$A$291) + ('Full month Pivot'!$A$3:$A$400=$A$291) &gt; 0) * (TRIM('Full month Pivot'!$C$3:$C$400)=TRIM($A299)) * ('Full month Pivot'!$D$2:$K$2=W$2) * 'Full month Pivot'!$D$3:$K$400)&gt;0, SUMPRODUCT((('Full month Pivot'!$B$3:$B$400=$A$291) + ('Full month Pivot'!$A$3:$A$400=$A$291) &gt; 0) * (TRIM('Full month Pivot'!$C$3:$C$400)=TRIM($A299)) * ('Full month Pivot'!$D$2:$K$2=W$2) * 'Full month Pivot'!$D$3:$K$400), "")</f>
        <v/>
      </c>
      <c r="X299" s="193">
        <f>IF(SUMPRODUCT((('Full month Pivot'!$B$3:$B$400=$A$291) + ('Full month Pivot'!$A$3:$A$400=$A$291) &gt; 0) * (TRIM('Full month Pivot'!$C$3:$C$400)=TRIM($A299)) * ('Full month Pivot'!$D$2:$K$2=X$2) * 'Full month Pivot'!$D$3:$K$400)&gt;0, SUMPRODUCT((('Full month Pivot'!$B$3:$B$400=$A$291) + ('Full month Pivot'!$A$3:$A$400=$A$291) &gt; 0) * (TRIM('Full month Pivot'!$C$3:$C$400)=TRIM($A299)) * ('Full month Pivot'!$D$2:$K$2=X$2) * 'Full month Pivot'!$D$3:$K$400), "")</f>
        <v/>
      </c>
      <c r="Y299" s="193">
        <f>IF(SUMPRODUCT((('Full month Pivot'!$B$3:$B$400=$A$291) + ('Full month Pivot'!$A$3:$A$400=$A$291) &gt; 0) * (TRIM('Full month Pivot'!$C$3:$C$400)=TRIM($A299)) * ('Full month Pivot'!$D$2:$K$2=Y$2) * 'Full month Pivot'!$D$3:$K$400)&gt;0, SUMPRODUCT((('Full month Pivot'!$B$3:$B$400=$A$291) + ('Full month Pivot'!$A$3:$A$400=$A$291) &gt; 0) * (TRIM('Full month Pivot'!$C$3:$C$400)=TRIM($A299)) * ('Full month Pivot'!$D$2:$K$2=Y$2) * 'Full month Pivot'!$D$3:$K$400), "")</f>
        <v/>
      </c>
      <c r="Z299" s="193">
        <f>IF(SUMPRODUCT((('Full month Pivot'!$B$3:$B$400=$A$291) + ('Full month Pivot'!$A$3:$A$400=$A$291) &gt; 0) * (TRIM('Full month Pivot'!$C$3:$C$400)=TRIM($A299)) * ('Full month Pivot'!$D$2:$K$2=Z$2) * 'Full month Pivot'!$D$3:$K$400)&gt;0, SUMPRODUCT((('Full month Pivot'!$B$3:$B$400=$A$291) + ('Full month Pivot'!$A$3:$A$400=$A$291) &gt; 0) * (TRIM('Full month Pivot'!$C$3:$C$400)=TRIM($A299)) * ('Full month Pivot'!$D$2:$K$2=Z$2) * 'Full month Pivot'!$D$3:$K$400), "")</f>
        <v/>
      </c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202" t="inlineStr">
        <is>
          <t xml:space="preserve">  Referral</t>
        </is>
      </c>
      <c r="B300" s="193">
        <f>IF(SUMPRODUCT((('MTD Pivot'!$B$3:$B$400=$A$291) + ('MTD Pivot'!$A$3:$A$400=$A$291) &gt; 0) * (TRIM('MTD Pivot'!$C$3:$C$400)=TRIM($A300)) * ('MTD Pivot'!$D$2:$K$2=B$2) * 'MTD Pivot'!$D$3:$K$400)&gt;0, SUMPRODUCT((('MTD Pivot'!$B$3:$B$400=$A$291) + ('MTD Pivot'!$A$3:$A$400=$A$291) &gt; 0) * (TRIM('MTD Pivot'!$C$3:$C$400)=TRIM($A300)) * ('MTD Pivot'!$D$2:$K$2=B$2) * 'MTD Pivot'!$D$3:$K$400), "")</f>
        <v/>
      </c>
      <c r="C300" s="193">
        <f>IF(SUMPRODUCT((('MTD Pivot'!$B$3:$B$400=$A$291) + ('MTD Pivot'!$A$3:$A$400=$A$291) &gt; 0) * (TRIM('MTD Pivot'!$C$3:$C$400)=TRIM($A300)) * ('MTD Pivot'!$D$2:$K$2=C$2) * 'MTD Pivot'!$D$3:$K$400)&gt;0, SUMPRODUCT((('MTD Pivot'!$B$3:$B$400=$A$291) + ('MTD Pivot'!$A$3:$A$400=$A$291) &gt; 0) * (TRIM('MTD Pivot'!$C$3:$C$400)=TRIM($A300)) * ('MTD Pivot'!$D$2:$K$2=C$2) * 'MTD Pivot'!$D$3:$K$400), "")</f>
        <v/>
      </c>
      <c r="D300" s="193">
        <f>IF(SUMPRODUCT((('MTD Pivot'!$B$3:$B$400=$A$291) + ('MTD Pivot'!$A$3:$A$400=$A$291) &gt; 0) * (TRIM('MTD Pivot'!$C$3:$C$400)=TRIM($A300)) * ('MTD Pivot'!$D$2:$K$2=D$2) * 'MTD Pivot'!$D$3:$K$400)&gt;0, SUMPRODUCT((('MTD Pivot'!$B$3:$B$400=$A$291) + ('MTD Pivot'!$A$3:$A$400=$A$291) &gt; 0) * (TRIM('MTD Pivot'!$C$3:$C$400)=TRIM($A300)) * ('MTD Pivot'!$D$2:$K$2=D$2) * 'MTD Pivot'!$D$3:$K$400), "")</f>
        <v/>
      </c>
      <c r="E300" s="193">
        <f>IF(SUMPRODUCT((('MTD Pivot'!$B$3:$B$400=$A$291) + ('MTD Pivot'!$A$3:$A$400=$A$291) &gt; 0) * (TRIM('MTD Pivot'!$C$3:$C$400)=TRIM($A300)) * ('MTD Pivot'!$D$2:$K$2=E$2) * 'MTD Pivot'!$D$3:$K$400)&gt;0, SUMPRODUCT((('MTD Pivot'!$B$3:$B$400=$A$291) + ('MTD Pivot'!$A$3:$A$400=$A$291) &gt; 0) * (TRIM('MTD Pivot'!$C$3:$C$400)=TRIM($A300)) * ('MTD Pivot'!$D$2:$K$2=E$2) * 'MTD Pivot'!$D$3:$K$400), "")</f>
        <v/>
      </c>
      <c r="F300" s="193">
        <f>IF(SUMPRODUCT((('MTD Pivot'!$B$3:$B$400=$A$291) + ('MTD Pivot'!$A$3:$A$400=$A$291) &gt; 0) * (TRIM('MTD Pivot'!$C$3:$C$400)=TRIM($A300)) * ('MTD Pivot'!$D$2:$K$2=F$2) * 'MTD Pivot'!$D$3:$K$400)&gt;0, SUMPRODUCT((('MTD Pivot'!$B$3:$B$400=$A$291) + ('MTD Pivot'!$A$3:$A$400=$A$291) &gt; 0) * (TRIM('MTD Pivot'!$C$3:$C$400)=TRIM($A300)) * ('MTD Pivot'!$D$2:$K$2=F$2) * 'MTD Pivot'!$D$3:$K$400), "")</f>
        <v/>
      </c>
      <c r="G300" s="193">
        <f>IF(SUMPRODUCT((('MTD Pivot'!$B$3:$B$400=$A$291) + ('MTD Pivot'!$A$3:$A$400=$A$291) &gt; 0) * (TRIM('MTD Pivot'!$C$3:$C$400)=TRIM($A300)) * ('MTD Pivot'!$D$2:$K$2=G$2) * 'MTD Pivot'!$D$3:$K$400)&gt;0, SUMPRODUCT((('MTD Pivot'!$B$3:$B$400=$A$291) + ('MTD Pivot'!$A$3:$A$400=$A$291) &gt; 0) * (TRIM('MTD Pivot'!$C$3:$C$400)=TRIM($A300)) * ('MTD Pivot'!$D$2:$K$2=G$2) * 'MTD Pivot'!$D$3:$K$400), "")</f>
        <v/>
      </c>
      <c r="H300" s="193">
        <f>IF(SUMPRODUCT((('MTD Pivot'!$B$3:$B$400=$A$291) + ('MTD Pivot'!$A$3:$A$400=$A$291) &gt; 0) * (TRIM('MTD Pivot'!$C$3:$C$400)=TRIM($A300)) * ('MTD Pivot'!$D$2:$K$2=H$2) * 'MTD Pivot'!$D$3:$K$400)&gt;0, SUMPRODUCT((('MTD Pivot'!$B$3:$B$400=$A$291) + ('MTD Pivot'!$A$3:$A$400=$A$291) &gt; 0) * (TRIM('MTD Pivot'!$C$3:$C$400)=TRIM($A300)) * ('MTD Pivot'!$D$2:$K$2=H$2) * 'MTD Pivot'!$D$3:$K$400), "")</f>
        <v/>
      </c>
      <c r="I300" s="193">
        <f>IF(SUMPRODUCT((('MTD Pivot'!$B$3:$B$400=$A$291) + ('MTD Pivot'!$A$3:$A$400=$A$291) &gt; 0) * (TRIM('MTD Pivot'!$C$3:$C$400)=TRIM($A300)) * ('MTD Pivot'!$D$2:$K$2=I$2) * 'MTD Pivot'!$D$3:$K$400)&gt;0, SUMPRODUCT((('MTD Pivot'!$B$3:$B$400=$A$291) + ('MTD Pivot'!$A$3:$A$400=$A$291) &gt; 0) * (TRIM('MTD Pivot'!$C$3:$C$400)=TRIM($A300)) * ('MTD Pivot'!$D$2:$K$2=I$2) * 'MTD Pivot'!$D$3:$K$400), "")</f>
        <v/>
      </c>
      <c r="J300" s="193">
        <f>IF(SUMPRODUCT((('MTD Pivot'!$B$3:$B$400=$A$291) + ('MTD Pivot'!$A$3:$A$400=$A$291) &gt; 0) * (TRIM('MTD Pivot'!$C$3:$C$400)=TRIM($A300)) * ('MTD Pivot'!$D$2:$K$2=J$2) * 'MTD Pivot'!$D$3:$K$400)&gt;0, SUMPRODUCT((('MTD Pivot'!$B$3:$B$400=$A$291) + ('MTD Pivot'!$A$3:$A$400=$A$291) &gt; 0) * (TRIM('MTD Pivot'!$C$3:$C$400)=TRIM($A300)) * ('MTD Pivot'!$D$2:$K$2=J$2) * 'MTD Pivot'!$D$3:$K$400), "")</f>
        <v/>
      </c>
      <c r="K300" s="193">
        <f>IF(SUMPRODUCT((('MTD Pivot'!$B$3:$B$400=$A$291) + ('MTD Pivot'!$A$3:$A$400=$A$291) &gt; 0) * (TRIM('MTD Pivot'!$C$3:$C$400)=TRIM($A300)) * ('MTD Pivot'!$D$2:$K$2=K$2) * 'MTD Pivot'!$D$3:$K$400)&gt;0, SUMPRODUCT((('MTD Pivot'!$B$3:$B$400=$A$291) + ('MTD Pivot'!$A$3:$A$400=$A$291) &gt; 0) * (TRIM('MTD Pivot'!$C$3:$C$400)=TRIM($A300)) * ('MTD Pivot'!$D$2:$K$2=K$2) * 'MTD Pivot'!$D$3:$K$400), "")</f>
        <v/>
      </c>
      <c r="L300" s="193">
        <f>IF(SUMPRODUCT((('MTD Pivot'!$B$3:$B$400=$A$291) + ('MTD Pivot'!$A$3:$A$400=$A$291) &gt; 0) * (TRIM('MTD Pivot'!$C$3:$C$400)=TRIM($A300)) * ('MTD Pivot'!$D$2:$K$2=L$2) * 'MTD Pivot'!$D$3:$K$400)&gt;0, SUMPRODUCT((('MTD Pivot'!$B$3:$B$400=$A$291) + ('MTD Pivot'!$A$3:$A$400=$A$291) &gt; 0) * (TRIM('MTD Pivot'!$C$3:$C$400)=TRIM($A300)) * ('MTD Pivot'!$D$2:$K$2=L$2) * 'MTD Pivot'!$D$3:$K$400), "")</f>
        <v/>
      </c>
      <c r="M300" s="193">
        <f>IF(SUMPRODUCT((('MTD Pivot'!$B$3:$B$400=$A$291) + ('MTD Pivot'!$A$3:$A$400=$A$291) &gt; 0) * (TRIM('MTD Pivot'!$C$3:$C$400)=TRIM($A300)) * ('MTD Pivot'!$D$2:$K$2=M$2) * 'MTD Pivot'!$D$3:$K$400)&gt;0, SUMPRODUCT((('MTD Pivot'!$B$3:$B$400=$A$291) + ('MTD Pivot'!$A$3:$A$400=$A$291) &gt; 0) * (TRIM('MTD Pivot'!$C$3:$C$400)=TRIM($A300)) * ('MTD Pivot'!$D$2:$K$2=M$2) * 'MTD Pivot'!$D$3:$K$400), "")</f>
        <v/>
      </c>
      <c r="N300" s="157">
        <f>IF(AND(ISNUMBER(K300), ISNUMBER(J300), J300&gt;0), (K300-J300)/J300, "")</f>
        <v/>
      </c>
      <c r="O300" s="193">
        <f>IF(SUMPRODUCT((('Full month Pivot'!$B$3:$B$400=$A$291) + ('Full month Pivot'!$A$3:$A$400=$A$291) &gt; 0) * (TRIM('Full month Pivot'!$C$3:$C$400)=TRIM($A300)) * ('Full month Pivot'!$D$2:$K$2=O$2) * 'Full month Pivot'!$D$3:$K$400)&gt;0, SUMPRODUCT((('Full month Pivot'!$B$3:$B$400=$A$291) + ('Full month Pivot'!$A$3:$A$400=$A$291) &gt; 0) * (TRIM('Full month Pivot'!$C$3:$C$400)=TRIM($A300)) * ('Full month Pivot'!$D$2:$K$2=O$2) * 'Full month Pivot'!$D$3:$K$400), "")</f>
        <v/>
      </c>
      <c r="P300" s="193">
        <f>IF(SUMPRODUCT((('Full month Pivot'!$B$3:$B$400=$A$291) + ('Full month Pivot'!$A$3:$A$400=$A$291) &gt; 0) * (TRIM('Full month Pivot'!$C$3:$C$400)=TRIM($A300)) * ('Full month Pivot'!$D$2:$K$2=P$2) * 'Full month Pivot'!$D$3:$K$400)&gt;0, SUMPRODUCT((('Full month Pivot'!$B$3:$B$400=$A$291) + ('Full month Pivot'!$A$3:$A$400=$A$291) &gt; 0) * (TRIM('Full month Pivot'!$C$3:$C$400)=TRIM($A300)) * ('Full month Pivot'!$D$2:$K$2=P$2) * 'Full month Pivot'!$D$3:$K$400), "")</f>
        <v/>
      </c>
      <c r="Q300" s="193">
        <f>IF(SUMPRODUCT((('Full month Pivot'!$B$3:$B$400=$A$291) + ('Full month Pivot'!$A$3:$A$400=$A$291) &gt; 0) * (TRIM('Full month Pivot'!$C$3:$C$400)=TRIM($A300)) * ('Full month Pivot'!$D$2:$K$2=Q$2) * 'Full month Pivot'!$D$3:$K$400)&gt;0, SUMPRODUCT((('Full month Pivot'!$B$3:$B$400=$A$291) + ('Full month Pivot'!$A$3:$A$400=$A$291) &gt; 0) * (TRIM('Full month Pivot'!$C$3:$C$400)=TRIM($A300)) * ('Full month Pivot'!$D$2:$K$2=Q$2) * 'Full month Pivot'!$D$3:$K$400), "")</f>
        <v/>
      </c>
      <c r="R300" s="193">
        <f>IF(SUMPRODUCT((('Full month Pivot'!$B$3:$B$400=$A$291) + ('Full month Pivot'!$A$3:$A$400=$A$291) &gt; 0) * (TRIM('Full month Pivot'!$C$3:$C$400)=TRIM($A300)) * ('Full month Pivot'!$D$2:$K$2=R$2) * 'Full month Pivot'!$D$3:$K$400)&gt;0, SUMPRODUCT((('Full month Pivot'!$B$3:$B$400=$A$291) + ('Full month Pivot'!$A$3:$A$400=$A$291) &gt; 0) * (TRIM('Full month Pivot'!$C$3:$C$400)=TRIM($A300)) * ('Full month Pivot'!$D$2:$K$2=R$2) * 'Full month Pivot'!$D$3:$K$400), "")</f>
        <v/>
      </c>
      <c r="S300" s="193">
        <f>IF(SUMPRODUCT((('Full month Pivot'!$B$3:$B$400=$A$291) + ('Full month Pivot'!$A$3:$A$400=$A$291) &gt; 0) * (TRIM('Full month Pivot'!$C$3:$C$400)=TRIM($A300)) * ('Full month Pivot'!$D$2:$K$2=S$2) * 'Full month Pivot'!$D$3:$K$400)&gt;0, SUMPRODUCT((('Full month Pivot'!$B$3:$B$400=$A$291) + ('Full month Pivot'!$A$3:$A$400=$A$291) &gt; 0) * (TRIM('Full month Pivot'!$C$3:$C$400)=TRIM($A300)) * ('Full month Pivot'!$D$2:$K$2=S$2) * 'Full month Pivot'!$D$3:$K$400), "")</f>
        <v/>
      </c>
      <c r="T300" s="193">
        <f>IF(SUMPRODUCT((('Full month Pivot'!$B$3:$B$400=$A$291) + ('Full month Pivot'!$A$3:$A$400=$A$291) &gt; 0) * (TRIM('Full month Pivot'!$C$3:$C$400)=TRIM($A300)) * ('Full month Pivot'!$D$2:$K$2=T$2) * 'Full month Pivot'!$D$3:$K$400)&gt;0, SUMPRODUCT((('Full month Pivot'!$B$3:$B$400=$A$291) + ('Full month Pivot'!$A$3:$A$400=$A$291) &gt; 0) * (TRIM('Full month Pivot'!$C$3:$C$400)=TRIM($A300)) * ('Full month Pivot'!$D$2:$K$2=T$2) * 'Full month Pivot'!$D$3:$K$400), "")</f>
        <v/>
      </c>
      <c r="U300" s="193">
        <f>IF(SUMPRODUCT((('Full month Pivot'!$B$3:$B$400=$A$291) + ('Full month Pivot'!$A$3:$A$400=$A$291) &gt; 0) * (TRIM('Full month Pivot'!$C$3:$C$400)=TRIM($A300)) * ('Full month Pivot'!$D$2:$K$2=U$2) * 'Full month Pivot'!$D$3:$K$400)&gt;0, SUMPRODUCT((('Full month Pivot'!$B$3:$B$400=$A$291) + ('Full month Pivot'!$A$3:$A$400=$A$291) &gt; 0) * (TRIM('Full month Pivot'!$C$3:$C$400)=TRIM($A300)) * ('Full month Pivot'!$D$2:$K$2=U$2) * 'Full month Pivot'!$D$3:$K$400), "")</f>
        <v/>
      </c>
      <c r="V300" s="193">
        <f>IF(SUMPRODUCT((('Full month Pivot'!$B$3:$B$400=$A$291) + ('Full month Pivot'!$A$3:$A$400=$A$291) &gt; 0) * (TRIM('Full month Pivot'!$C$3:$C$400)=TRIM($A300)) * ('Full month Pivot'!$D$2:$K$2=V$2) * 'Full month Pivot'!$D$3:$K$400)&gt;0, SUMPRODUCT((('Full month Pivot'!$B$3:$B$400=$A$291) + ('Full month Pivot'!$A$3:$A$400=$A$291) &gt; 0) * (TRIM('Full month Pivot'!$C$3:$C$400)=TRIM($A300)) * ('Full month Pivot'!$D$2:$K$2=V$2) * 'Full month Pivot'!$D$3:$K$400), "")</f>
        <v/>
      </c>
      <c r="W300" s="193">
        <f>IF(SUMPRODUCT((('Full month Pivot'!$B$3:$B$400=$A$291) + ('Full month Pivot'!$A$3:$A$400=$A$291) &gt; 0) * (TRIM('Full month Pivot'!$C$3:$C$400)=TRIM($A300)) * ('Full month Pivot'!$D$2:$K$2=W$2) * 'Full month Pivot'!$D$3:$K$400)&gt;0, SUMPRODUCT((('Full month Pivot'!$B$3:$B$400=$A$291) + ('Full month Pivot'!$A$3:$A$400=$A$291) &gt; 0) * (TRIM('Full month Pivot'!$C$3:$C$400)=TRIM($A300)) * ('Full month Pivot'!$D$2:$K$2=W$2) * 'Full month Pivot'!$D$3:$K$400), "")</f>
        <v/>
      </c>
      <c r="X300" s="193">
        <f>IF(SUMPRODUCT((('Full month Pivot'!$B$3:$B$400=$A$291) + ('Full month Pivot'!$A$3:$A$400=$A$291) &gt; 0) * (TRIM('Full month Pivot'!$C$3:$C$400)=TRIM($A300)) * ('Full month Pivot'!$D$2:$K$2=X$2) * 'Full month Pivot'!$D$3:$K$400)&gt;0, SUMPRODUCT((('Full month Pivot'!$B$3:$B$400=$A$291) + ('Full month Pivot'!$A$3:$A$400=$A$291) &gt; 0) * (TRIM('Full month Pivot'!$C$3:$C$400)=TRIM($A300)) * ('Full month Pivot'!$D$2:$K$2=X$2) * 'Full month Pivot'!$D$3:$K$400), "")</f>
        <v/>
      </c>
      <c r="Y300" s="193">
        <f>IF(SUMPRODUCT((('Full month Pivot'!$B$3:$B$400=$A$291) + ('Full month Pivot'!$A$3:$A$400=$A$291) &gt; 0) * (TRIM('Full month Pivot'!$C$3:$C$400)=TRIM($A300)) * ('Full month Pivot'!$D$2:$K$2=Y$2) * 'Full month Pivot'!$D$3:$K$400)&gt;0, SUMPRODUCT((('Full month Pivot'!$B$3:$B$400=$A$291) + ('Full month Pivot'!$A$3:$A$400=$A$291) &gt; 0) * (TRIM('Full month Pivot'!$C$3:$C$400)=TRIM($A300)) * ('Full month Pivot'!$D$2:$K$2=Y$2) * 'Full month Pivot'!$D$3:$K$400), "")</f>
        <v/>
      </c>
      <c r="Z300" s="193">
        <f>IF(SUMPRODUCT((('Full month Pivot'!$B$3:$B$400=$A$291) + ('Full month Pivot'!$A$3:$A$400=$A$291) &gt; 0) * (TRIM('Full month Pivot'!$C$3:$C$400)=TRIM($A300)) * ('Full month Pivot'!$D$2:$K$2=Z$2) * 'Full month Pivot'!$D$3:$K$400)&gt;0, SUMPRODUCT((('Full month Pivot'!$B$3:$B$400=$A$291) + ('Full month Pivot'!$A$3:$A$400=$A$291) &gt; 0) * (TRIM('Full month Pivot'!$C$3:$C$400)=TRIM($A300)) * ('Full month Pivot'!$D$2:$K$2=Z$2) * 'Full month Pivot'!$D$3:$K$400), "")</f>
        <v/>
      </c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O1:Z1"/>
    <mergeCell ref="B1:M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>
        <f>"Update to: " &amp; DAY(NOW())</f>
        <v/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SUM(H9,H16,H23,H30,H37,H44)</f>
        <v/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/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/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 t="n">
        <v>794897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SUMPRODUCT(('MTD Pivot'!$A$3:$A$175=$A$15)*('MTD Pivot'!$D$2:$K$2=H2)*'MTD Pivot'!$D$3:$K$175)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 t="n">
        <v>139677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SUMPRODUCT(('MTD Pivot'!$A$3:$A$175=$A$22)*('MTD Pivot'!$D$2:$K$2=H2)*'MTD Pivot'!$D$3:$K$175)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 t="n">
        <v>51905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SUMPRODUCT(('MTD Pivot'!$A$3:$A$175=$A$29)*('MTD Pivot'!$D$2:$K$2=H2)*'MTD Pivot'!$D$3:$K$175)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 t="n">
        <v>24895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SUMPRODUCT(('MTD Pivot'!$A$3:$A$175=$A$36)*('MTD Pivot'!$D$2:$K$2=H2)*'MTD Pivot'!$D$3:$K$175)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 t="n">
        <v>699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SUMPRODUCT(('MTD Pivot'!$A$3:$A$175=$A$43)*('MTD Pivot'!$D$2:$K$2=H2)*'MTD Pivot'!$D$3:$K$175)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SUMPRODUCT(('MTD Pivot'!$A$3:$A$175=$A$44)*('MTD Pivot'!$D$2:$K$2=H2)*'MTD Pivot'!$D$3:$K$175)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 t="n">
        <v>726016</v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 t="n">
        <v>753992</v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 t="n">
        <v>122242</v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 t="n">
        <v>129820</v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 t="n">
        <v>42977</v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 t="n">
        <v>47551</v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 t="n">
        <v>22140</v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 t="n">
        <v>23412</v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 t="n">
        <v>644</v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 t="n">
        <v>659</v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2026-10-31T00:27:40Z</dcterms:modified>
</cp:coreProperties>
</file>