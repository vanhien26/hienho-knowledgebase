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admap" sheetId="1" state="visible" r:id="rId1"/>
    <sheet xmlns:r="http://schemas.openxmlformats.org/officeDocument/2006/relationships" name="Opportunity &amp; Priority" sheetId="2" state="visible" r:id="rId2"/>
    <sheet xmlns:r="http://schemas.openxmlformats.org/officeDocument/2006/relationships" name="KPIs &amp; Target Metrics" sheetId="3" state="visible" r:id="rId3"/>
    <sheet xmlns:r="http://schemas.openxmlformats.org/officeDocument/2006/relationships" name="RACI &amp; Resource Allocation"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1E293B"/>
      <sz val="14"/>
    </font>
    <font>
      <name val="Calibri"/>
      <i val="1"/>
      <color rgb="00475569"/>
      <sz val="10"/>
    </font>
    <font>
      <name val="Calibri"/>
      <b val="1"/>
      <color rgb="00FFFFFF"/>
      <sz val="11"/>
    </font>
    <font>
      <name val="Calibri"/>
      <b val="1"/>
      <color rgb="00991B1B"/>
      <sz val="11"/>
    </font>
    <font>
      <name val="Calibri"/>
      <b val="1"/>
      <color rgb="001E293B"/>
      <sz val="11"/>
    </font>
    <font>
      <name val="Calibri"/>
      <color rgb="001E293B"/>
      <sz val="11"/>
    </font>
    <font>
      <name val="Calibri"/>
      <b val="1"/>
      <color rgb="001E40AF"/>
      <sz val="11"/>
    </font>
  </fonts>
  <fills count="5">
    <fill>
      <patternFill/>
    </fill>
    <fill>
      <patternFill patternType="gray125"/>
    </fill>
    <fill>
      <patternFill patternType="solid">
        <fgColor rgb="001E293B"/>
        <bgColor rgb="001E293B"/>
      </patternFill>
    </fill>
    <fill>
      <patternFill patternType="solid">
        <fgColor rgb="00F8FAFC"/>
        <bgColor rgb="00F8FAFC"/>
      </patternFill>
    </fill>
    <fill>
      <patternFill patternType="solid">
        <fgColor rgb="00FFFFFF"/>
        <b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3" fillId="2" borderId="1" applyAlignment="1" pivotButton="0" quotePrefix="0" xfId="0">
      <alignment horizontal="left" vertical="center" wrapText="1"/>
    </xf>
    <xf numFmtId="0" fontId="6" fillId="3" borderId="1" applyAlignment="1" pivotButton="0" quotePrefix="0" xfId="0">
      <alignment horizontal="left" vertical="center" wrapText="1"/>
    </xf>
    <xf numFmtId="0" fontId="4"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5" fillId="0" borderId="0" pivotButton="0" quotePrefix="0" xfId="0"/>
    <xf numFmtId="3" fontId="6" fillId="3" borderId="1" applyAlignment="1" pivotButton="0" quotePrefix="0" xfId="0">
      <alignment horizontal="right" vertical="center"/>
    </xf>
    <xf numFmtId="164" fontId="5" fillId="3" borderId="1" applyAlignment="1" pivotButton="0" quotePrefix="0" xfId="0">
      <alignment horizontal="center" vertical="center" wrapText="1"/>
    </xf>
    <xf numFmtId="3" fontId="6" fillId="4" borderId="1" applyAlignment="1" pivotButton="0" quotePrefix="0" xfId="0">
      <alignment horizontal="right" vertical="center"/>
    </xf>
    <xf numFmtId="164" fontId="5"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showGridLines="1" workbookViewId="0">
      <selection activeCell="A1" sqref="A1"/>
    </sheetView>
  </sheetViews>
  <sheetFormatPr baseColWidth="8" defaultRowHeight="15"/>
  <cols>
    <col width="34" customWidth="1" min="1" max="1"/>
    <col width="25" customWidth="1" min="2" max="2"/>
    <col width="34" customWidth="1" min="3" max="3"/>
    <col width="68" customWidth="1" min="4" max="4"/>
    <col width="15" customWidth="1" min="5" max="5"/>
    <col width="16" customWidth="1" min="6" max="6"/>
    <col width="32" customWidth="1" min="7" max="7"/>
  </cols>
  <sheetData>
    <row r="1">
      <c r="A1" s="1" t="inlineStr">
        <is>
          <t>PRODUCT ROADMAP - [Student Web Hub] Kế Hoạch Triển Khai Kênh Web Platform (H2/2026)</t>
        </is>
      </c>
    </row>
    <row r="2">
      <c r="A2" s="2" t="inlineStr">
        <is>
          <t>Phase 1: Foundation (Master Gateway &amp; Pilot 05 Trường Review + 4 JTBD); Phase 2: Programmatic Scale-out (100+ Trường &amp; Sub-pages Ecosystem).</t>
        </is>
      </c>
    </row>
    <row r="4" ht="28" customHeight="1">
      <c r="A4" s="3" t="inlineStr">
        <is>
          <t>Phase</t>
        </is>
      </c>
      <c r="B4" s="3" t="inlineStr">
        <is>
          <t>Module / Chuyên Mục</t>
        </is>
      </c>
      <c r="C4" s="4" t="inlineStr">
        <is>
          <t>Hạng Mục Công Việc</t>
        </is>
      </c>
      <c r="D4" s="4" t="inlineStr">
        <is>
          <t>Nội Dung Triển Khai Chi Tiết</t>
        </is>
      </c>
      <c r="E4" s="3" t="inlineStr">
        <is>
          <t>Mức Ưu Tiên</t>
        </is>
      </c>
      <c r="F4" s="3" t="inlineStr">
        <is>
          <t>Trạng Thái</t>
        </is>
      </c>
      <c r="G4" s="3" t="inlineStr">
        <is>
          <t>Phụ Trách &amp; Thời Hạn</t>
        </is>
      </c>
    </row>
    <row r="5" ht="80" customHeight="1">
      <c r="A5" s="5" t="inlineStr">
        <is>
          <t>Phase 1: Foundation (Master Gateway &amp; Pilot 05 Trường)</t>
        </is>
      </c>
      <c r="B5" s="5" t="inlineStr">
        <is>
          <t>Trang Chủ Sinh Viên Gateway</t>
        </is>
      </c>
      <c r="C5" s="5" t="inlineStr">
        <is>
          <t>Build Trang Chủ Sinh Viên Navigation Master Page (/sinh-vien)</t>
        </is>
      </c>
      <c r="D5" s="5" t="inlineStr">
        <is>
          <t>1. Xây dựng trang chủ momo.vn/sinh-vien đóng vai trò Cổng dẫn đường (Navigation Hub) tìm kiếm và điều hướng người dùng đến các trang chi tiết trường ĐH.
2. Tích hợp thanh tìm kiếm trường 1-touch, danh mục gợi ý trường top search, banner ưu đãi Student Pass (&gt;1.386M/năm) &amp; chiến dịch 'Bảo bối nhập học'.
3. Tích hợp Lưới icon điều hướng 6 tiện ích cố định: Đóng học phí, Cổng đăng ký tín chỉ, Vay nhanh, Ví Trả Sau 0%, Túi Thần Tài, Vé xem phim.</t>
        </is>
      </c>
      <c r="E5" s="6" t="inlineStr">
        <is>
          <t>Cao</t>
        </is>
      </c>
      <c r="F5" s="7" t="inlineStr">
        <is>
          <t>Đang làm</t>
        </is>
      </c>
      <c r="G5" s="8" t="inlineStr">
        <is>
          <t>Web Platform Team x Design Team
(Hoàn thành: 15/09/2026)</t>
        </is>
      </c>
    </row>
    <row r="6" ht="80" customHeight="1">
      <c r="A6" s="9" t="inlineStr">
        <is>
          <t>Phase 1: Foundation (Master Gateway &amp; Pilot 05 Trường)</t>
        </is>
      </c>
      <c r="B6" s="9" t="inlineStr">
        <is>
          <t>Pilot 05 Trường - Review Engine</t>
        </is>
      </c>
      <c r="C6" s="9" t="inlineStr">
        <is>
          <t>Build Pilot 05 Trang Trường Hướng Nhu Cầu Review + Tên Trường</t>
        </is>
      </c>
      <c r="D6" s="9" t="inlineStr">
        <is>
          <t>1. Triển khai 05 trang trường trọng điểm Phase 1: UEH, FTU, TDTU, HCMUT, VLU tại momo.vn/sinh-vien/[ten-truong].
2. Tối ưu SEO đón trọn nhu cầu tìm kiếm cụm từ khóa 'Review + Tên trường' (VD: review đại học tôn đức thắng, review ueh, review vlu...).
3. Kéo toàn bộ dữ liệu Đánh giá &amp; Review UGC 5 tiêu chí (Khuôn viên, Thư viện, Canteen, An ninh, KTX) từ App MoMo ra Web hiển thị công khai không cần đăng nhập.
4. Tích hợp Bộ lọc tab chọn xem bài review theo từng cơ sở chi nhánh cụ thể (Parent-Child Campus Model).</t>
        </is>
      </c>
      <c r="E6" s="10" t="inlineStr">
        <is>
          <t>Cao</t>
        </is>
      </c>
      <c r="F6" s="11" t="inlineStr">
        <is>
          <t>Đang làm</t>
        </is>
      </c>
      <c r="G6" s="12" t="inlineStr">
        <is>
          <t>Web Platform Team x Content Team
(Hoàn thành: 30/09/2026)</t>
        </is>
      </c>
    </row>
    <row r="7" ht="80" customHeight="1">
      <c r="A7" s="5" t="inlineStr">
        <is>
          <t>Phase 1: Foundation (Master Gateway &amp; Pilot 05 Trường)</t>
        </is>
      </c>
      <c r="B7" s="5" t="inlineStr">
        <is>
          <t>Pilot 05 Trường - 4 JTBD Integration</t>
        </is>
      </c>
      <c r="C7" s="5" t="inlineStr">
        <is>
          <t>Tích Hợp 4 Nhóm Nhu Cầu Cốt Lõi (JTBD) Trong 05 Trang Trường</t>
        </is>
      </c>
      <c r="D7" s="5" t="inlineStr">
        <is>
          <t>1. JTBD 1 - Thông Tin Tổng Quan &amp; Học Phí: NAP, học phí trung bình, utility giả lập học phí tín chỉ (12-30 tín chỉ) + nút 'Nộp học phí ngay'.
2. JTBD 2 - Điểm Chuẩn Tuyển Sinh: Điểm chuẩn 3 năm gần nhất theo từng ngành học, phương thức xét tuyển &amp; tiêu chí phụ.
3. JTBD 3 - Tiện Ích Quanh Trường: Bản đồ GPS 5km tích hợp bộ lọc Quán ăn, Nhà trọ/KTX, Cà phê, Siêu thị chấp nhận MoMo SME + Tuyến xe buýt đến trường.
4. JTBD 4 - Student Pass Identity: Khối đặc quyền Thẻ Sinh Viên Số cá nhân hóa, nút CTA kích hoạt Student Pass (OneLink mở App MoMo eKYC).</t>
        </is>
      </c>
      <c r="E7" s="6" t="inlineStr">
        <is>
          <t>Cao</t>
        </is>
      </c>
      <c r="F7" s="7" t="inlineStr">
        <is>
          <t>Đang làm</t>
        </is>
      </c>
      <c r="G7" s="8" t="inlineStr">
        <is>
          <t>Web Platform Team x Product Team
(Hoàn thành: 30/09/2026)</t>
        </is>
      </c>
    </row>
    <row r="8" ht="80" customHeight="1">
      <c r="A8" s="9" t="inlineStr">
        <is>
          <t>Phase 1: Foundation (Master Gateway &amp; Pilot 05 Trường)</t>
        </is>
      </c>
      <c r="B8" s="9" t="inlineStr">
        <is>
          <t>Soft Auth &amp; SEO/GEO Setup</t>
        </is>
      </c>
      <c r="C8" s="9" t="inlineStr">
        <is>
          <t>Cơ Chế Định Danh 3 Bước (Soft Auth) &amp; Tối Ưu SEO/GEO Kỹ Thuật</t>
        </is>
      </c>
      <c r="D8" s="9" t="inlineStr">
        <is>
          <t>1. Cấu hình luồng Soft Auth 3 bước: Bước 1 (Trải nghiệm Utility/Review) -&gt; Bước 2 (Contact Collection: Email .edu.vn) -&gt; Bước 3 (App Authentication: Sync Agent ID).
2. Chuẩn hóa Schema Org Datasets (EducationalOrganization, Review, FAQPage) cho trích dẫn Google AI Overview (AIO) &amp; Perplexity.
3. Gắn Captcha Module bảo vệ Webform chống spam và tối ưu Core Web Vitals.</t>
        </is>
      </c>
      <c r="E8" s="10" t="inlineStr">
        <is>
          <t>Cao</t>
        </is>
      </c>
      <c r="F8" s="11" t="inlineStr">
        <is>
          <t>Đang làm</t>
        </is>
      </c>
      <c r="G8" s="12" t="inlineStr">
        <is>
          <t>Web Platform Team x Growth Team
(Hoàn thành: 15/09/2026)</t>
        </is>
      </c>
    </row>
    <row r="9" ht="80" customHeight="1">
      <c r="A9" s="5" t="inlineStr">
        <is>
          <t>Phase 2: Programmatic Scale (Scale-out 100+ Trường &amp; Sub-pages)</t>
        </is>
      </c>
      <c r="B9" s="5" t="inlineStr">
        <is>
          <t>Programmatic pSEO Scale-out</t>
        </is>
      </c>
      <c r="C9" s="5" t="inlineStr">
        <is>
          <t>Tự Động Hóa Mở Rộng Scale-out 100+ Trang Trường Đại Học / Cao Đẳng</t>
        </is>
      </c>
      <c r="D9" s="5" t="inlineStr">
        <is>
          <t>1. Scale-out Tier 1 (Volume &gt;100K/tháng): ĐH Công Nghiệp HN (165K), ĐH Bách Khoa HN (135K), ĐH Sư Phạm HN (135K), ĐH Phenikaa (135K), ĐHQG HN/TPHCM (110K-135K), ĐH Thương Mại (110K), Học viện Ngân hàng (110K), ĐH Y HN (110K).
2. Scale-out Tier 2 (Volume 50K-100K/tháng): ĐH Cần Thơ (90.5K), ĐH Giao Thông Vận Tải (90.5K), ĐH Thủy Lợi (90.5K), ĐH SPKT TPHCM (74K), PTIT (74K), ĐH Thăng Long (74K).
3. Scale-out Tier 3: Mở rộng phủ trọn 100+ trường ĐH/CĐ toàn quốc từ dữ liệu pSEO Engine để đạt target 500.000 PageView / Q4.</t>
        </is>
      </c>
      <c r="E9" s="6" t="inlineStr">
        <is>
          <t>Cao</t>
        </is>
      </c>
      <c r="F9" s="7" t="inlineStr">
        <is>
          <t>Kế hoạch</t>
        </is>
      </c>
      <c r="G9" s="8" t="inlineStr">
        <is>
          <t>Web Platform Team x Content Team
(Tháng 10 - 11/2026)</t>
        </is>
      </c>
    </row>
    <row r="10" ht="80" customHeight="1">
      <c r="A10" s="9" t="inlineStr">
        <is>
          <t>Phase 2: Programmatic Scale (Scale-out 100+ Trường &amp; Sub-pages)</t>
        </is>
      </c>
      <c r="B10" s="9" t="inlineStr">
        <is>
          <t>Sub-pages Architecture Scale</t>
        </is>
      </c>
      <c r="C10" s="9" t="inlineStr">
        <is>
          <t>Mở Rộng Kiến Trúc Trang Con Chuyên Biệt (Sub-pages)</t>
        </is>
      </c>
      <c r="D10" s="9" t="inlineStr">
        <is>
          <t>1. Sub-page Nhà Trọ &amp; KTX (/sinh-vien/[ten-truong]/nha-tro): Danh sách phòng trọ an toàn, giá thuê KTX, bản đồ khoảng cách + micro-tool tính tiền trọ/chia tiền phòng.
2. Sub-page Review UGC Chi Tiết (/sinh-vien/[ten-truong]/review): Tổng hợp tất cả bài viết đánh giá 5 sao theo từng cơ sở (Campus A, B, N).
3. Sub-page Workshop &amp; Event (/sinh-vien/[ten-truong]/workshop): Đăng ký tham gia chuỗi Webinar 'Career &amp; AI Talk' và sự kiện CLB trường ĐH.
4. Sub-page Đại Sứ Sinh Viên (/sinh-vien/[ten-truong]/ambassador): Tuyển dụng &amp; quản lý mạng lưới Campus Ambassador MoMo tại 50+ trường ĐH.</t>
        </is>
      </c>
      <c r="E10" s="10" t="inlineStr">
        <is>
          <t>Cao</t>
        </is>
      </c>
      <c r="F10" s="11" t="inlineStr">
        <is>
          <t>Kế hoạch</t>
        </is>
      </c>
      <c r="G10" s="12" t="inlineStr">
        <is>
          <t>Web Platform Team x Youth Segment Team
(Tháng 10 - 11/2026)</t>
        </is>
      </c>
    </row>
    <row r="11" ht="80" customHeight="1">
      <c r="A11" s="5" t="inlineStr">
        <is>
          <t>Phase 2: Programmatic Scale (Scale-out 100+ Trường &amp; Sub-pages)</t>
        </is>
      </c>
      <c r="B11" s="5" t="inlineStr">
        <is>
          <t>Cổng Việc Làm Sinh Viên</t>
        </is>
      </c>
      <c r="C11" s="5" t="inlineStr">
        <is>
          <t>Tích Hợp Cổng Việc Làm Part-time &amp; Thực Tập Sinh (Internship)</t>
        </is>
      </c>
      <c r="D11" s="5" t="inlineStr">
        <is>
          <t>1. Xây dựng phân hệ việc làm 2 nhánh: Việc làm thêm (Part-time) và Thực tập sinh (Internship) nhúng địa điểm gần cơ sở trường ĐH.
2. Modal Popup chi tiết JD công việc chuẩn TopCV, mức lương (VNĐ/giờ hoặc /tháng), quyền lợi &amp; CTA Ứng tuyển 1-click.</t>
        </is>
      </c>
      <c r="E11" s="13" t="inlineStr">
        <is>
          <t>Trung bình</t>
        </is>
      </c>
      <c r="F11" s="7" t="inlineStr">
        <is>
          <t>Kế hoạch</t>
        </is>
      </c>
      <c r="G11" s="8" t="inlineStr">
        <is>
          <t>Web Platform Team x Partner Team
(Tháng 11/2026)</t>
        </is>
      </c>
    </row>
    <row r="12" ht="80" customHeight="1">
      <c r="A12" s="9" t="inlineStr">
        <is>
          <t>Phase 2: Programmatic Scale (Scale-out 100+ Trường &amp; Sub-pages)</t>
        </is>
      </c>
      <c r="B12" s="9" t="inlineStr">
        <is>
          <t>Gamification &amp; Financial Cross-sell</t>
        </is>
      </c>
      <c r="C12" s="9" t="inlineStr">
        <is>
          <t>Scale Micro-Gamification &amp; Phễu Chuyển Đổi Tài Chính Sinh Viên</t>
        </is>
      </c>
      <c r="D12" s="9" t="inlineStr">
        <is>
          <t>1. Micro-game 'Thực Tập Sinh Đầu Tư': Cấp 100 triệu tiền ảo cho sinh viên trải nghiệm chứng khoán giả lập, đua top Bảng xếp hạng tích Xu MoMo.
2. Điều hướng chuyển đổi người dùng từ Web sang App mở Ví Trả Sau (0% lãi suất, free phí duy trì), Túi Thần Tài và Mini-app Quản Lý Chi Tiêu.
3. Thúc đẩy bứt phá mục tiêu 70.000 New Verified Students và 1.500.000 Student Pass MEU.</t>
        </is>
      </c>
      <c r="E12" s="14" t="inlineStr">
        <is>
          <t>Trung bình</t>
        </is>
      </c>
      <c r="F12" s="11" t="inlineStr">
        <is>
          <t>Kế hoạch</t>
        </is>
      </c>
      <c r="G12" s="12" t="inlineStr">
        <is>
          <t>Web Platform Team x Finhub Team
(Tháng 11 - 12/2026)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showGridLines="1" workbookViewId="0">
      <selection activeCell="A1" sqref="A1"/>
    </sheetView>
  </sheetViews>
  <sheetFormatPr baseColWidth="8" defaultRowHeight="15"/>
  <cols>
    <col width="42" customWidth="1" min="1" max="1"/>
    <col width="26" customWidth="1" min="2" max="2"/>
    <col width="14" customWidth="1" min="3" max="3"/>
    <col width="14" customWidth="1" min="4" max="4"/>
    <col width="16" customWidth="1" min="5" max="5"/>
    <col width="12" customWidth="1" min="6" max="6"/>
    <col width="14" customWidth="1" min="7" max="7"/>
    <col width="14" customWidth="1" min="8" max="8"/>
    <col width="30" customWidth="1" min="9" max="9"/>
    <col width="75" customWidth="1" min="10" max="10"/>
    <col width="22" customWidth="1" min="11" max="11"/>
    <col width="12" customWidth="1" min="12" max="12"/>
  </cols>
  <sheetData>
    <row r="1">
      <c r="A1" s="1" t="inlineStr">
        <is>
          <t>MA TRẬN NGUYÊN CỨU TỪ KHÓA &amp; MARKET SIZE CÁC TRƯỜNG ĐẠI HỌC (STUDENT HUB)</t>
        </is>
      </c>
      <c r="K1" s="15" t="inlineStr">
        <is>
          <t>Trọng số Volume</t>
        </is>
      </c>
      <c r="L1" s="15" t="n">
        <v>4</v>
      </c>
    </row>
    <row r="2">
      <c r="A2" s="2" t="inlineStr">
        <is>
          <t>Trích xuất chính xác 100% dữ liệu Search Volume theo cụm từ khóa trường học từ file [WP] Student Hub - Content Structure.xlsx.</t>
        </is>
      </c>
      <c r="K2" s="15" t="inlineStr">
        <is>
          <t>Trọng số Intent</t>
        </is>
      </c>
      <c r="L2" s="15" t="n">
        <v>3</v>
      </c>
    </row>
    <row r="3">
      <c r="K3" s="15" t="inlineStr">
        <is>
          <t>Trọng số Monetization</t>
        </is>
      </c>
      <c r="L3" s="15" t="n">
        <v>3</v>
      </c>
    </row>
    <row r="4" ht="28" customHeight="1">
      <c r="A4" s="4" t="inlineStr">
        <is>
          <t>Cụm Chủ Đề Từ Khóa Trường (Cluster)</t>
        </is>
      </c>
      <c r="B4" s="3" t="inlineStr">
        <is>
          <t>Search/tháng (Mẫu 5 Trường)</t>
        </is>
      </c>
      <c r="C4" s="3" t="inlineStr">
        <is>
          <t>Volume (1-10)</t>
        </is>
      </c>
      <c r="D4" s="3" t="inlineStr">
        <is>
          <t>Intent GD (1-5)</t>
        </is>
      </c>
      <c r="E4" s="3" t="inlineStr">
        <is>
          <t>Monetization (1-5)</t>
        </is>
      </c>
      <c r="F4" s="3" t="inlineStr">
        <is>
          <t>Data seed</t>
        </is>
      </c>
      <c r="G4" s="3" t="inlineStr">
        <is>
          <t>Điểm ưu tiên</t>
        </is>
      </c>
      <c r="H4" s="3" t="inlineStr">
        <is>
          <t>Tier</t>
        </is>
      </c>
      <c r="I4" s="4" t="inlineStr">
        <is>
          <t>Nhóm chiến lược</t>
        </is>
      </c>
      <c r="J4" s="4" t="inlineStr">
        <is>
          <t>Nội dung chi tiết &amp; Từ khóa đại diện trong file</t>
        </is>
      </c>
      <c r="K4" s="15" t="inlineStr">
        <is>
          <t>Bonus data seed</t>
        </is>
      </c>
      <c r="L4" s="15" t="n">
        <v>0.5</v>
      </c>
    </row>
    <row r="5" ht="32" customHeight="1">
      <c r="A5" s="5" t="inlineStr">
        <is>
          <t>Cụm 4A - Điểm rèn luyện &amp; Đánh giá cá nhân</t>
        </is>
      </c>
      <c r="B5" s="16" t="n">
        <v>10260</v>
      </c>
      <c r="C5" s="8" t="n">
        <v>10</v>
      </c>
      <c r="D5" s="8" t="n">
        <v>3</v>
      </c>
      <c r="E5" s="8" t="n">
        <v>2</v>
      </c>
      <c r="F5" s="8" t="n">
        <v>1</v>
      </c>
      <c r="G5" s="17">
        <f>(C5*$L$1 + D5*$L$2 + E5*$L$3)/10 + F5*$L$4</f>
        <v/>
      </c>
      <c r="H5" s="6">
        <f>IF(G5&gt;=7.5, "High (P1)", IF(G5&gt;=5.5, "Medium (P2)", "Low (P3)"))</f>
        <v/>
      </c>
      <c r="I5" s="5" t="inlineStr">
        <is>
          <t>Nhóm 1 - Engagement Magnet</t>
        </is>
      </c>
      <c r="J5" s="5" t="inlineStr">
        <is>
          <t>Hút lượt tra cứu lớn nhất mẫu 5 trường (Ví dụ: điểm rèn luyện ueh = 9.910 search/tháng). Tiêu chí xét học bổng KKHT &amp; khen thưởng.</t>
        </is>
      </c>
    </row>
    <row r="6" ht="32" customHeight="1">
      <c r="A6" s="9" t="inlineStr">
        <is>
          <t>Cụm 1 - Tuyển sinh, Điểm chuẩn &amp; Xếp hạng</t>
        </is>
      </c>
      <c r="B6" s="18" t="n">
        <v>7820</v>
      </c>
      <c r="C6" s="12" t="n">
        <v>9</v>
      </c>
      <c r="D6" s="12" t="n">
        <v>4</v>
      </c>
      <c r="E6" s="12" t="n">
        <v>2</v>
      </c>
      <c r="F6" s="12" t="n">
        <v>2</v>
      </c>
      <c r="G6" s="19">
        <f>(C6*$L$1 + D6*$L$2 + E6*$L$3)/10 + F6*$L$4</f>
        <v/>
      </c>
      <c r="H6" s="10">
        <f>IF(G6&gt;=7.5, "High (P1)", IF(G6&gt;=5.5, "Medium (P2)", "Low (P3)"))</f>
        <v/>
      </c>
      <c r="I6" s="9" t="inlineStr">
        <is>
          <t>Nhóm 1 - Information &amp; Admission</t>
        </is>
      </c>
      <c r="J6" s="9" t="inlineStr">
        <is>
          <t>Tra cứu điểm chuẩn, ngành đào tạo, chương trình CLC &amp; review campus (Ví dụ: điểm chuẩn đại học ngoại thương = 2.900, thư viện tdtu = 2.400).</t>
        </is>
      </c>
    </row>
    <row r="7" ht="32" customHeight="1">
      <c r="A7" s="5" t="inlineStr">
        <is>
          <t>Cụm 3 - Đời sống sinh viên, KTX &amp; Campus</t>
        </is>
      </c>
      <c r="B7" s="16" t="n">
        <v>4730</v>
      </c>
      <c r="C7" s="8" t="n">
        <v>8</v>
      </c>
      <c r="D7" s="8" t="n">
        <v>4</v>
      </c>
      <c r="E7" s="8" t="n">
        <v>3</v>
      </c>
      <c r="F7" s="8" t="n">
        <v>1</v>
      </c>
      <c r="G7" s="17">
        <f>(C7*$L$1 + D7*$L$2 + E7*$L$3)/10 + F7*$L$4</f>
        <v/>
      </c>
      <c r="H7" s="6">
        <f>IF(G7&gt;=7.5, "High (P1)", IF(G7&gt;=5.5, "Medium (P2)", "Low (P3)"))</f>
        <v/>
      </c>
      <c r="I7" s="5" t="inlineStr">
        <is>
          <t>Nhóm 1 - Campus Life &amp; Accommodation</t>
        </is>
      </c>
      <c r="J7" s="5" t="inlineStr">
        <is>
          <t>Tra cứu KTX (ký túc xá đại học tôn đức thắng = 3.750), trọ gần trường, tuyến xe buýt, câu lạc bộ &amp; tiện ích 5km quanh chi nhánh.</t>
        </is>
      </c>
    </row>
    <row r="8" ht="32" customHeight="1">
      <c r="A8" s="9" t="inlineStr">
        <is>
          <t>Cụm 2 - Học phí &amp; Học bổng Sinh viên</t>
        </is>
      </c>
      <c r="B8" s="18" t="n">
        <v>3400</v>
      </c>
      <c r="C8" s="12" t="n">
        <v>7</v>
      </c>
      <c r="D8" s="12" t="n">
        <v>5</v>
      </c>
      <c r="E8" s="12" t="n">
        <v>4</v>
      </c>
      <c r="F8" s="12" t="n">
        <v>2</v>
      </c>
      <c r="G8" s="19">
        <f>(C8*$L$1 + D8*$L$2 + E8*$L$3)/10 + F8*$L$4</f>
        <v/>
      </c>
      <c r="H8" s="10">
        <f>IF(G8&gt;=7.5, "High (P1)", IF(G8&gt;=5.5, "Medium (P2)", "Low (P3)"))</f>
        <v/>
      </c>
      <c r="I8" s="9" t="inlineStr">
        <is>
          <t>Nhóm 1 - Flagship Financial Utility</t>
        </is>
      </c>
      <c r="J8" s="9" t="inlineStr">
        <is>
          <t>Học phí VLU (1.370 search), học phí UEH, học bổng FTU; Giả lập học phí tín chỉ + OneLink nộp học phí In-App.</t>
        </is>
      </c>
    </row>
    <row r="9" ht="32" customHeight="1">
      <c r="A9" s="5" t="inlineStr">
        <is>
          <t>Cụm 6 - Văn bằng 2 &amp; Chương trình mở rộng</t>
        </is>
      </c>
      <c r="B9" s="16" t="n">
        <v>2160</v>
      </c>
      <c r="C9" s="8" t="n">
        <v>6</v>
      </c>
      <c r="D9" s="8" t="n">
        <v>3</v>
      </c>
      <c r="E9" s="8" t="n">
        <v>2</v>
      </c>
      <c r="F9" s="8" t="n">
        <v>1</v>
      </c>
      <c r="G9" s="17">
        <f>(C9*$L$1 + D9*$L$2 + E9*$L$3)/10 + F9*$L$4</f>
        <v/>
      </c>
      <c r="H9" s="13">
        <f>IF(G9&gt;=7.5, "High (P1)", IF(G9&gt;=5.5, "Medium (P2)", "Low (P3)"))</f>
        <v/>
      </c>
      <c r="I9" s="5" t="inlineStr">
        <is>
          <t>Nhóm 2 - Academic Expansion</t>
        </is>
      </c>
      <c r="J9" s="5" t="inlineStr">
        <is>
          <t>Tra cứu văn bằng 2 (văn bằng 2 ueh = 910), học thạc sĩ, liên thông đại học &amp; học vượt.</t>
        </is>
      </c>
    </row>
    <row r="10" ht="32" customHeight="1">
      <c r="A10" s="9" t="inlineStr">
        <is>
          <t>Cụm 4B - Đăng ký tín chỉ &amp; Quy chế học vụ</t>
        </is>
      </c>
      <c r="B10" s="18" t="n">
        <v>190</v>
      </c>
      <c r="C10" s="12" t="n">
        <v>4</v>
      </c>
      <c r="D10" s="12" t="n">
        <v>4</v>
      </c>
      <c r="E10" s="12" t="n">
        <v>2</v>
      </c>
      <c r="F10" s="12" t="n">
        <v>1</v>
      </c>
      <c r="G10" s="19">
        <f>(C10*$L$1 + D10*$L$2 + E10*$L$3)/10 + F10*$L$4</f>
        <v/>
      </c>
      <c r="H10" s="14">
        <f>IF(G10&gt;=7.5, "High (P1)", IF(G10&gt;=5.5, "Medium (P2)", "Low (P3)"))</f>
        <v/>
      </c>
      <c r="I10" s="9" t="inlineStr">
        <is>
          <t>Nhóm 2 - Academic Rules</t>
        </is>
      </c>
      <c r="J10" s="9" t="inlineStr">
        <is>
          <t>Quy trình đăng ký tín chỉ (student.ueh.edu.vn, FTUGate), bảo lưu kết quả, phúc khảo điểm &amp; miễn học phần tiếng Anh.</t>
        </is>
      </c>
    </row>
    <row r="11" ht="32" customHeight="1">
      <c r="A11" s="5" t="inlineStr">
        <is>
          <t>Cụm 5 - Nghề nghiệp &amp; Phát triển bản thân</t>
        </is>
      </c>
      <c r="B11" s="16" t="n">
        <v>0</v>
      </c>
      <c r="C11" s="8" t="n">
        <v>3</v>
      </c>
      <c r="D11" s="8" t="n">
        <v>4</v>
      </c>
      <c r="E11" s="8" t="n">
        <v>3</v>
      </c>
      <c r="F11" s="8" t="n">
        <v>1</v>
      </c>
      <c r="G11" s="17">
        <f>(C11*$L$1 + D11*$L$2 + E11*$L$3)/10 + F11*$L$4</f>
        <v/>
      </c>
      <c r="H11" s="13">
        <f>IF(G11&gt;=7.5, "High (P1)", IF(G11&gt;=5.5, "Medium (P2)", "Low (P3)"))</f>
        <v/>
      </c>
      <c r="I11" s="5" t="inlineStr">
        <is>
          <t>Nhóm 2 - Career &amp; Internship</t>
        </is>
      </c>
      <c r="J11" s="5" t="inlineStr">
        <is>
          <t>Cơ hội việc làm sinh viên, thực tập sinh VLU/UEH &amp; định hướng nghề nghiệp sau tốt nghiệp.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showGridLines="1" workbookViewId="0">
      <selection activeCell="A1" sqref="A1"/>
    </sheetView>
  </sheetViews>
  <sheetFormatPr baseColWidth="8" defaultRowHeight="15"/>
  <cols>
    <col width="18" customWidth="1" min="1" max="1"/>
    <col width="28" customWidth="1" min="2" max="2"/>
    <col width="32" customWidth="1" min="3" max="3"/>
    <col width="45" customWidth="1" min="4" max="4"/>
    <col width="45" customWidth="1" min="5" max="5"/>
  </cols>
  <sheetData>
    <row r="1">
      <c r="A1" s="1" t="inlineStr">
        <is>
          <t>CHỈ SỐ MỤC TIÊU ĐÃ PHÊ DUYỆT - STUDENT HUB (WEB x APP ALIGNMENT)</t>
        </is>
      </c>
    </row>
    <row r="2">
      <c r="A2" s="2" t="inlineStr">
        <is>
          <t>Bộ chỉ số đo lường hiệu quả chuyển đổi từ Web Hub sang hệ sinh thái Student Pass In-App (Thống nhất cùng BU Youth &amp; Student Segment).</t>
        </is>
      </c>
    </row>
    <row r="4" ht="28" customHeight="1">
      <c r="A4" s="3" t="inlineStr">
        <is>
          <t>Tầng Đo Lường</t>
        </is>
      </c>
      <c r="B4" s="4" t="inlineStr">
        <is>
          <t>Chỉ Số Mục Tiêu Chính</t>
        </is>
      </c>
      <c r="C4" s="3" t="inlineStr">
        <is>
          <t>Mục Tiêu Cam Kết (KPI Target)</t>
        </is>
      </c>
      <c r="D4" s="4" t="inlineStr">
        <is>
          <t>Căn Cứ &amp; Nguồn Số Liệu</t>
        </is>
      </c>
      <c r="E4" s="4" t="inlineStr">
        <is>
          <t>Ý Nghĩa &amp; Vai Trò Thực Tế</t>
        </is>
      </c>
    </row>
    <row r="5" ht="40" customHeight="1">
      <c r="A5" s="8" t="inlineStr">
        <is>
          <t>Kênh Website</t>
        </is>
      </c>
      <c r="B5" s="5" t="inlineStr">
        <is>
          <t>Web Traffic Target (PageView)</t>
        </is>
      </c>
      <c r="C5" s="7" t="inlineStr">
        <is>
          <t>500.000 PageView / Q4 (~167.000 PageView/tháng)</t>
        </is>
      </c>
      <c r="D5" s="5" t="inlineStr">
        <is>
          <t>Umami Analytics đo lường từ nguồn Organic Search (pSEO/GEO), chuyên mục Webinar và chuỗi Seeding Ambassador</t>
        </is>
      </c>
      <c r="E5" s="5" t="inlineStr">
        <is>
          <t>Đo lường quy mô lưu lượng truy cập tự nhiên và số cơ hội hiển thị tiện ích sinh viên.</t>
        </is>
      </c>
    </row>
    <row r="6" ht="40" customHeight="1">
      <c r="A6" s="12" t="inlineStr">
        <is>
          <t>Kênh Website</t>
        </is>
      </c>
      <c r="B6" s="9" t="inlineStr">
        <is>
          <t>Web-to-App CTR</t>
        </is>
      </c>
      <c r="C6" s="11" t="inlineStr">
        <is>
          <t>10.00% - 15.00%</t>
        </is>
      </c>
      <c r="D6" s="9" t="inlineStr">
        <is>
          <t>Baseline CTR tiêu chuẩn toàn nền tảng Web Platform đối với tệp người dùng trẻ Gen Z</t>
        </is>
      </c>
      <c r="E6" s="9" t="inlineStr">
        <is>
          <t>Tỷ lệ nhấp nút hành động CTA OneLink từ Web Hub điều hướng người dùng sang App MoMo.</t>
        </is>
      </c>
    </row>
    <row r="7" ht="40" customHeight="1">
      <c r="A7" s="8" t="inlineStr">
        <is>
          <t>Ứng Dụng MoMo</t>
        </is>
      </c>
      <c r="B7" s="5" t="inlineStr">
        <is>
          <t>New Verified Students</t>
        </is>
      </c>
      <c r="C7" s="7" t="inlineStr">
        <is>
          <t>70.000 Sinh viên xác thực mới (Q3 - Q4)</t>
        </is>
      </c>
      <c r="D7" s="5" t="inlineStr">
        <is>
          <t>Hệ thống xác thực Student Pass In-App kết hợp phễu điều hướng từ Web Hub</t>
        </is>
      </c>
      <c r="E7" s="5" t="inlineStr">
        <is>
          <t>Số lượng sinh viên mới hoàn tất xác thực định danh Thẻ Sinh Viên Số / Email .edu.vn In-App.</t>
        </is>
      </c>
    </row>
    <row r="8" ht="40" customHeight="1">
      <c r="A8" s="12" t="inlineStr">
        <is>
          <t>Ứng Dụng MoMo</t>
        </is>
      </c>
      <c r="B8" s="9" t="inlineStr">
        <is>
          <t>Student Pass MEU</t>
        </is>
      </c>
      <c r="C8" s="11" t="inlineStr">
        <is>
          <t>1.500.000 Student Pass MEU</t>
        </is>
      </c>
      <c r="D8" s="9" t="inlineStr">
        <is>
          <t>Số liệu người dùng active tích lũy từ hệ sinh thái Student Pass trên App MoMo</t>
        </is>
      </c>
      <c r="E8" s="9" t="inlineStr">
        <is>
          <t>Tổng số người dùng sinh viên định danh hoạt động hàng tháng (Monthly Engaged Users).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showGridLines="1" workbookViewId="0">
      <selection activeCell="A1" sqref="A1"/>
    </sheetView>
  </sheetViews>
  <sheetFormatPr baseColWidth="8" defaultRowHeight="15"/>
  <cols>
    <col width="38" customWidth="1" min="1" max="1"/>
    <col width="20" customWidth="1" min="2" max="2"/>
    <col width="24" customWidth="1" min="3" max="3"/>
    <col width="22" customWidth="1" min="4" max="4"/>
    <col width="18" customWidth="1" min="5" max="5"/>
    <col width="22" customWidth="1" min="6" max="6"/>
    <col width="45" customWidth="1" min="7" max="7"/>
  </cols>
  <sheetData>
    <row r="1">
      <c r="A1" s="1" t="inlineStr">
        <is>
          <t>BẢNG PHÂN CÔNG TRÁCH NHIỆM RACI - STUDENT HUB</t>
        </is>
      </c>
    </row>
    <row r="2">
      <c r="A2" s="2" t="inlineStr">
        <is>
          <t>Phân định rõ ràng trách nhiệm giữa Web Platform Team và các phòng ban liên quan (R: Responsible, A: Accountable, C: Consulted, I: Informed).</t>
        </is>
      </c>
    </row>
    <row r="4" ht="28" customHeight="1">
      <c r="A4" s="4" t="inlineStr">
        <is>
          <t>Hạng Mục Công Việc</t>
        </is>
      </c>
      <c r="B4" s="3" t="inlineStr">
        <is>
          <t>Web Platform Team</t>
        </is>
      </c>
      <c r="C4" s="3" t="inlineStr">
        <is>
          <t>Youth &amp; Student Segment</t>
        </is>
      </c>
      <c r="D4" s="3" t="inlineStr">
        <is>
          <t>Content &amp; SEO Team</t>
        </is>
      </c>
      <c r="E4" s="3" t="inlineStr">
        <is>
          <t>UI/UX Design</t>
        </is>
      </c>
      <c r="F4" s="3" t="inlineStr">
        <is>
          <t>Growth &amp; Data Team</t>
        </is>
      </c>
      <c r="G4" s="4" t="inlineStr">
        <is>
          <t>Ghi Chú Phối Hợp Thực Tế</t>
        </is>
      </c>
    </row>
    <row r="5" ht="30" customHeight="1">
      <c r="A5" s="5" t="inlineStr">
        <is>
          <t>Thiết lập mục tiêu &amp; Kiến trúc Student Hub</t>
        </is>
      </c>
      <c r="B5" s="7" t="inlineStr">
        <is>
          <t>Chủ trì (A)</t>
        </is>
      </c>
      <c r="C5" s="8" t="inlineStr">
        <is>
          <t>Phối hợp (C)</t>
        </is>
      </c>
      <c r="D5" s="8" t="inlineStr">
        <is>
          <t>Phối hợp (C)</t>
        </is>
      </c>
      <c r="E5" s="8" t="inlineStr">
        <is>
          <t>Phối hợp (C)</t>
        </is>
      </c>
      <c r="F5" s="8" t="inlineStr">
        <is>
          <t>Phối hợp (C)</t>
        </is>
      </c>
      <c r="G5" s="5" t="inlineStr">
        <is>
          <t>Alignment mục tiêu 500K PageView &amp; W2A CTR 10-15%.</t>
        </is>
      </c>
    </row>
    <row r="6" ht="30" customHeight="1">
      <c r="A6" s="9" t="inlineStr">
        <is>
          <t>Thiết kế UI/UX Master Hub &amp; Trang Trường Gateway</t>
        </is>
      </c>
      <c r="B6" s="11" t="inlineStr">
        <is>
          <t>Phối hợp (C)</t>
        </is>
      </c>
      <c r="C6" s="12" t="inlineStr">
        <is>
          <t>Theo dõi (I)</t>
        </is>
      </c>
      <c r="D6" s="12" t="inlineStr">
        <is>
          <t>Theo dõi (I)</t>
        </is>
      </c>
      <c r="E6" s="12" t="inlineStr">
        <is>
          <t>Chủ trì (A)</t>
        </is>
      </c>
      <c r="F6" s="12" t="inlineStr">
        <is>
          <t>Theo dõi (I)</t>
        </is>
      </c>
      <c r="G6" s="9" t="inlineStr">
        <is>
          <t>Design thiết kế UI/UX phong cách Gen Z, tối giản, tương thích mobile.</t>
        </is>
      </c>
    </row>
    <row r="7" ht="30" customHeight="1">
      <c r="A7" s="5" t="inlineStr">
        <is>
          <t>Phát triển Master Page /sinh-vien &amp; Search Navigation Engine</t>
        </is>
      </c>
      <c r="B7" s="7" t="inlineStr">
        <is>
          <t>Chủ trì (A/R)</t>
        </is>
      </c>
      <c r="C7" s="8" t="inlineStr">
        <is>
          <t>Theo dõi (I)</t>
        </is>
      </c>
      <c r="D7" s="8" t="inlineStr">
        <is>
          <t>Phối hợp (C)</t>
        </is>
      </c>
      <c r="E7" s="8" t="inlineStr">
        <is>
          <t>Phối hợp (C)</t>
        </is>
      </c>
      <c r="F7" s="8" t="inlineStr">
        <is>
          <t>Theo dõi (I)</t>
        </is>
      </c>
      <c r="G7" s="5" t="inlineStr">
        <is>
          <t>Web Platform lập trình Gateway dẫn đường, nhúng ô tra cứu trường &amp; utility học phí.</t>
        </is>
      </c>
    </row>
    <row r="8" ht="30" customHeight="1">
      <c r="A8" s="9" t="inlineStr">
        <is>
          <t>Sản xuất nội dung Pilot 05 trường &amp; Programmatic pSEO 100+ trường</t>
        </is>
      </c>
      <c r="B8" s="11" t="inlineStr">
        <is>
          <t>Phối hợp (C)</t>
        </is>
      </c>
      <c r="C8" s="12" t="inlineStr">
        <is>
          <t>Theo dõi (I)</t>
        </is>
      </c>
      <c r="D8" s="12" t="inlineStr">
        <is>
          <t>Chủ trì (A/R)</t>
        </is>
      </c>
      <c r="E8" s="12" t="inlineStr">
        <is>
          <t>Theo dõi (I)</t>
        </is>
      </c>
      <c r="F8" s="12" t="inlineStr">
        <is>
          <t>Theo dõi (I)</t>
        </is>
      </c>
      <c r="G8" s="9" t="inlineStr">
        <is>
          <t>Content Team biên tập dữ liệu review trường học, bài viết cẩm nang &amp; tối ưu GEO AI Search.</t>
        </is>
      </c>
    </row>
    <row r="9" ht="30" customHeight="1">
      <c r="A9" s="5" t="inlineStr">
        <is>
          <t>Cấu hình luồng Soft Auth &amp; Deep Link OneLink</t>
        </is>
      </c>
      <c r="B9" s="7" t="inlineStr">
        <is>
          <t>Thực hiện (R)</t>
        </is>
      </c>
      <c r="C9" s="8" t="inlineStr">
        <is>
          <t>Theo dõi (I)</t>
        </is>
      </c>
      <c r="D9" s="8" t="inlineStr">
        <is>
          <t>Theo dõi (I)</t>
        </is>
      </c>
      <c r="E9" s="8" t="inlineStr">
        <is>
          <t>Theo dõi (I)</t>
        </is>
      </c>
      <c r="F9" s="8" t="inlineStr">
        <is>
          <t>Chủ trì (A)</t>
        </is>
      </c>
      <c r="G9" s="5" t="inlineStr">
        <is>
          <t>Growth Team tạo đường dẫn OneLink; Web Platform gắn nút CTA &amp; luồng Soft Auth.</t>
        </is>
      </c>
    </row>
    <row r="10" ht="30" customHeight="1">
      <c r="A10" s="9" t="inlineStr">
        <is>
          <t>Tích hợp UGC Review &amp; Multi-Campus Engine</t>
        </is>
      </c>
      <c r="B10" s="11" t="inlineStr">
        <is>
          <t>Chủ trì (A)</t>
        </is>
      </c>
      <c r="C10" s="12" t="inlineStr">
        <is>
          <t>Phối hợp (C)</t>
        </is>
      </c>
      <c r="D10" s="12" t="inlineStr">
        <is>
          <t>Phối hợp (C)</t>
        </is>
      </c>
      <c r="E10" s="12" t="inlineStr">
        <is>
          <t>Phối hợp (C)</t>
        </is>
      </c>
      <c r="F10" s="12" t="inlineStr">
        <is>
          <t>Theo dõi (I)</t>
        </is>
      </c>
      <c r="G10" s="9" t="inlineStr">
        <is>
          <t>Kết nối API kéo dữ liệu review trường học 5 sao In-App ra hiển thị Web.</t>
        </is>
      </c>
    </row>
    <row r="11" ht="30" customHeight="1">
      <c r="A11" s="5" t="inlineStr">
        <is>
          <t>Vận hành Student Pass Webinar &amp; Ambassador Portal</t>
        </is>
      </c>
      <c r="B11" s="7" t="inlineStr">
        <is>
          <t>Phối hợp (C)</t>
        </is>
      </c>
      <c r="C11" s="8" t="inlineStr">
        <is>
          <t>Chủ trì (A)</t>
        </is>
      </c>
      <c r="D11" s="8" t="inlineStr">
        <is>
          <t>Phối hợp (C)</t>
        </is>
      </c>
      <c r="E11" s="8" t="inlineStr">
        <is>
          <t>Phối hợp (C)</t>
        </is>
      </c>
      <c r="F11" s="8" t="inlineStr">
        <is>
          <t>Theo dõi (I)</t>
        </is>
      </c>
      <c r="G11" s="5" t="inlineStr">
        <is>
          <t>Youth Segment Team phụ trách chuỗi workshop &amp; mạng lưới sinh viên đại sứ.</t>
        </is>
      </c>
    </row>
    <row r="12" ht="30" customHeight="1">
      <c r="A12" s="9" t="inlineStr">
        <is>
          <t>Sửa lỗi SEO &amp; Gắn mã Captcha bảo vệ Webform</t>
        </is>
      </c>
      <c r="B12" s="11" t="inlineStr">
        <is>
          <t>Chủ trì (A/R)</t>
        </is>
      </c>
      <c r="C12" s="12" t="inlineStr">
        <is>
          <t>Theo dõi (I)</t>
        </is>
      </c>
      <c r="D12" s="12" t="inlineStr">
        <is>
          <t>Phối hợp (C)</t>
        </is>
      </c>
      <c r="E12" s="12" t="inlineStr">
        <is>
          <t>Theo dõi (I)</t>
        </is>
      </c>
      <c r="F12" s="12" t="inlineStr">
        <is>
          <t>Theo dõi (I)</t>
        </is>
      </c>
      <c r="G12" s="9" t="inlineStr">
        <is>
          <t>Web Platform hoàn thiện tối ưu Core Web Vitals, Schema Org &amp; Captcha module.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2026-08-25T13:27:58Z</dcterms:created>
  <dcterms:modified xmlns:dcterms="http://purl.org/dc/terms/" xmlns:xsi="http://www.w3.org/2001/XMLSchema-instance" xsi:type="dcterms:W3CDTF">2026-08-25T14:08:47Z</dcterms:modified>
</cp:coreProperties>
</file>